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用語辞書" sheetId="4" r:id="rId8"/>
    <sheet state="visible" name="地形" sheetId="5" r:id="rId9"/>
    <sheet state="visible" name="出現敵" sheetId="6" r:id="rId10"/>
    <sheet state="visible" name="召喚モンスターリスト" sheetId="7" r:id="rId11"/>
    <sheet state="visible" name="モンスター合成" sheetId="8" r:id="rId12"/>
    <sheet state="visible" name="災害" sheetId="9" r:id="rId13"/>
    <sheet state="visible" name="都市基本データ" sheetId="10" r:id="rId14"/>
    <sheet state="visible" name="都市" sheetId="11" r:id="rId15"/>
    <sheet state="visible" name="施設" sheetId="12" r:id="rId16"/>
    <sheet state="visible" name="研究" sheetId="13" r:id="rId17"/>
    <sheet state="visible" name="付与" sheetId="14" r:id="rId18"/>
    <sheet state="visible" name="国家設定" sheetId="15" r:id="rId19"/>
    <sheet state="visible" name="消費量" sheetId="16" r:id="rId20"/>
    <sheet state="visible" name="装備" sheetId="17" r:id="rId21"/>
    <sheet state="visible" name="イベント" sheetId="18" r:id="rId22"/>
    <sheet state="visible" name="勝利対象土地" sheetId="19" r:id="rId23"/>
    <sheet state="visible" name="特産品" sheetId="20" r:id="rId24"/>
    <sheet state="visible" name="道具" sheetId="21" r:id="rId25"/>
    <sheet state="visible" name="スキル一覧" sheetId="22" r:id="rId26"/>
    <sheet state="visible" name="性格会話" sheetId="23" r:id="rId27"/>
  </sheets>
  <definedNames>
    <definedName hidden="1" localSheetId="0" name="_xlnm._FilterDatabase">CS!$A$4:$T$1661</definedName>
    <definedName hidden="1" localSheetId="17" name="_xlnm._FilterDatabase">'イベント'!$A$1:$U$100</definedName>
    <definedName hidden="1" localSheetId="21"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
      <text>
        <t xml:space="preserve">部隊への命令効率を高める。士気上昇量やバフ効果量が増加し、部隊スキルの性能が向上する。</t>
      </text>
    </comment>
    <comment authorId="0" ref="BC52">
      <text>
        <t xml:space="preserve">2026-10-14: 武器なしでも爪攻撃を可能にする暫定値。身体武器Lv1相当（値÷10）。</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種族と勢力で共通の名称。例:只人。人族はエルフ/ドワーフ等も含む分類であり、只人の別名ではない。</t>
      </text>
    </comment>
    <comment authorId="0" ref="B1">
      <text>
        <t xml:space="preserve">能力・成長・スキルを参照するクラス名。既存ヒューマン等は能力定義の参照名で、表示種族名とは別。</t>
      </text>
    </comment>
    <comment authorId="0" ref="C1">
      <text>
        <t xml:space="preserve">設定完了した種族のみTRUE。FALSEは新規開始・NPC勢力・一般村の自動生成候補から除外。既存ユニット/保存データは削除しない。</t>
      </text>
    </comment>
    <comment authorId="0" ref="D1">
      <text>
        <t xml:space="preserve">旧セーブ等の読み取り互換用JSON配列。新規作成時は種族列の名称を使う。</t>
      </text>
    </comment>
    <comment authorId="0" ref="E1">
      <text>
        <t xml:space="preserve">旧種族/勢力の画像。値は今回変更しない。空欄を推測で補完しない。</t>
      </text>
    </comment>
    <comment authorId="0" ref="F1">
      <text>
        <t xml:space="preserve">旧種族/勢力の概要。値は今回変更しない。空欄を推測で補完しない。</t>
      </text>
    </comment>
    <comment authorId="0" ref="G1">
      <text>
        <t xml:space="preserve">旧種族/勢力の詳細。値は今回変更しない。空欄を推測で補完しない。</t>
      </text>
    </comment>
    <comment authorId="0" ref="Q11">
      <text>
        <t xml:space="preserve">既存の概要・特徴から作成した調整可能な初期候補。能力の上乗せや解禁ではない。</t>
      </text>
    </comment>
    <comment authorId="0" ref="H1">
      <text>
        <t xml:space="preserve">表示用の文字列JSON配列。能力・技能の効果そのものではない。</t>
      </text>
    </comment>
    <comment authorId="0" ref="R11">
      <text>
        <t xml:space="preserve">既存の概要・特徴から作成した調整可能な初期候補。能力の上乗せや解禁ではない。</t>
      </text>
    </comment>
    <comment authorId="0" ref="I1">
      <text>
        <t xml:space="preserve">旧種族/勢力のマーカー文字。値は今回変更しない。空欄を推測で補完しない。</t>
      </text>
    </comment>
    <comment authorId="0" ref="Q9">
      <text>
        <t xml:space="preserve">既存の概要・特徴から作成した調整可能な初期候補。能力の上乗せや解禁ではない。</t>
      </text>
    </comment>
    <comment authorId="0" ref="J1">
      <text>
        <t xml:space="preserve">旧種族/勢力のマーカー色。値は今回変更しない。空欄を推測で補完しない。</t>
      </text>
    </comment>
    <comment authorId="0" ref="R9">
      <text>
        <t xml:space="preserve">既存の概要・特徴から作成した調整可能な初期候補。能力の上乗せや解禁ではない。</t>
      </text>
    </comment>
    <comment authorId="0" ref="K1">
      <text>
        <t xml:space="preserve">旧種族/勢力の初期人数。値は今回変更しない。空欄を推測で補完しない。</t>
      </text>
    </comment>
    <comment authorId="0" ref="Q7">
      <text>
        <t xml:space="preserve">既存の概要・特徴から作成した調整可能な初期候補。能力の上乗せや解禁ではない。</t>
      </text>
    </comment>
    <comment authorId="0" ref="L1">
      <text>
        <t xml:space="preserve">初期領土の高さ基準。0は設定済み、空欄は未設定。未設定のまま使用可TRUEにはできない。</t>
      </text>
    </comment>
    <comment authorId="0" ref="R7">
      <text>
        <t xml:space="preserve">既存の概要・特徴から作成した調整可能な初期候補。能力の上乗せや解禁ではない。</t>
      </text>
    </comment>
    <comment authorId="0" ref="M1">
      <text>
        <t xml:space="preserve">旧種族/勢力のヒーロー。値は今回変更しない。空欄を推測で補完しない。</t>
      </text>
    </comment>
    <comment authorId="0" ref="Q5">
      <text>
        <t xml:space="preserve">現在使用不可・表示設定未完成のため、推奨も未設定。</t>
      </text>
    </comment>
    <comment authorId="0" ref="N1">
      <text>
        <t xml:space="preserve">旧種族/勢力の軍隊。値は今回変更しない。空欄を推測で補完しない。</t>
      </text>
    </comment>
    <comment authorId="0" ref="R5">
      <text>
        <t xml:space="preserve">現在使用不可・表示設定未完成のため、推奨も未設定。</t>
      </text>
    </comment>
    <comment authorId="0" ref="Q3">
      <text>
        <t xml:space="preserve">既存の概要・特徴から作成した調整可能な初期候補。能力の上乗せや解禁ではない。</t>
      </text>
    </comment>
    <comment authorId="0" ref="O1">
      <text>
        <t xml:space="preserve">旧種族/勢力の土地。値は今回変更しない。空欄を推測で補完しない。</t>
      </text>
    </comment>
    <comment authorId="0" ref="P1">
      <text>
        <t xml:space="preserve">未設定理由・編集用メモ。未完成の種族も削除せずここで管理。</t>
      </text>
    </comment>
    <comment authorId="0" ref="R3">
      <text>
        <t xml:space="preserve">既存の概要・特徴から作成した調整可能な初期候補。能力の上乗せや解禁ではない。</t>
      </text>
    </comment>
    <comment authorId="0" ref="Q1">
      <text>
        <t xml:space="preserve">登録済みクラスの名前を/区切りで複数指定。選択制限・クラス取得条件の免除ではなく、候補評価の加点用。徴兵対象の種族で解決。空欄=適性加点なし。記載順は順位ではない。初期候補は調整案。</t>
      </text>
    </comment>
    <comment authorId="0" ref="R1">
      <text>
        <t xml:space="preserve">都市シートの通常特化名を/区切りで複数指定。拠点の住民構成比で適性を集計する設計。選択制限ではなく加点用で、解禁条件・切替待機・不足資源・戦況を優先。空欄=加点なし。プレイヤーは自由選択。記載順は順位ではない。初期候補は調整案。</t>
      </text>
    </comment>
    <comment authorId="0" ref="Q12">
      <text>
        <t xml:space="preserve">既存の概要・特徴から作成した調整可能な初期候補。能力の上乗せや解禁ではない。</t>
      </text>
    </comment>
    <comment authorId="0" ref="R12">
      <text>
        <t xml:space="preserve">既存の概要・特徴から作成した調整可能な初期候補。能力の上乗せや解禁ではない。</t>
      </text>
    </comment>
    <comment authorId="0" ref="Q10">
      <text>
        <t xml:space="preserve">既存の概要・特徴から作成した調整可能な初期候補。能力の上乗せや解禁ではない。</t>
      </text>
    </comment>
    <comment authorId="0" ref="R10">
      <text>
        <t xml:space="preserve">既存の概要・特徴から作成した調整可能な初期候補。能力の上乗せや解禁ではない。</t>
      </text>
    </comment>
    <comment authorId="0" ref="Q8">
      <text>
        <t xml:space="preserve">現在使用不可・表示設定未完成のため、推奨も未設定。</t>
      </text>
    </comment>
    <comment authorId="0" ref="R8">
      <text>
        <t xml:space="preserve">現在使用不可・表示設定未完成のため、推奨も未設定。</t>
      </text>
    </comment>
    <comment authorId="0" ref="Q6">
      <text>
        <t xml:space="preserve">既存の概要・特徴から作成した調整可能な初期候補。能力の上乗せや解禁ではない。</t>
      </text>
    </comment>
    <comment authorId="0" ref="R6">
      <text>
        <t xml:space="preserve">既存の概要・特徴から作成した調整可能な初期候補。能力の上乗せや解禁ではない。</t>
      </text>
    </comment>
    <comment authorId="0" ref="Q4">
      <text>
        <t xml:space="preserve">現在使用不可・表示設定未完成のため、推奨も未設定。</t>
      </text>
    </comment>
    <comment authorId="0" ref="R4">
      <text>
        <t xml:space="preserve">現在使用不可・表示設定未完成のため、推奨も未設定。</t>
      </text>
    </comment>
    <comment authorId="0" ref="Q2">
      <text>
        <t xml:space="preserve">既存の概要・特徴から作成した調整可能な初期候補。能力の上乗せや解禁ではない。</t>
      </text>
    </comment>
    <comment authorId="0" ref="R2">
      <text>
        <t xml:space="preserve">既存の概要・特徴から作成した調整可能な初期候補。能力の上乗せや解禁ではない。</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 authorId="0" ref="AM1">
      <text>
        <t xml:space="preserve">攻撃専用。地形破壊/落石/瓦礫。自然災害とは別処理。空欄は従来処理。</t>
      </text>
    </comment>
    <comment authorId="0" ref="AN1">
      <text>
        <t xml:space="preserve">スラッシュ区切りの攻撃成分。同じ行は最大値を使用。例:物理/打撃。</t>
      </text>
    </comment>
    <comment authorId="0" ref="AO1">
      <text>
        <t xml:space="preserve">到達威力から引く軽減値。0以下は地形ダメージなし。地上200、洞窟岩壁50、瓦礫0。地形被害倍率は減算後に乗算。</t>
      </text>
    </comment>
    <comment authorId="0" ref="AP1">
      <text>
        <t xml:space="preserve">地形/瓦礫の初期耐久。正数必須。対象地形は完全一致、スラッシュ区切り。</t>
      </text>
    </comment>
    <comment authorId="0" ref="AQ1">
      <text>
        <t xml:space="preserve">(到達威力-攻撃発生威力)に乗算。瓦礫への攻撃にも使用。</t>
      </text>
    </comment>
    <comment authorId="0" ref="AR1">
      <text>
        <t xml:space="preserve">地上の崩壊時に下げる高度段階数。地下では変化後地形に変換し隣接床に合わせる。</t>
      </text>
    </comment>
    <comment authorId="0" ref="AS1">
      <text>
        <t xml:space="preserve">瓦礫撤去1回のAP。攻撃値分の耐久を削る。</t>
      </text>
    </comment>
    <comment authorId="0" ref="AT1">
      <text>
        <t xml:space="preserve">地下の破壊後地形。空欄なら地形名は維持。</t>
      </text>
    </comment>
    <comment authorId="0" ref="AU1">
      <text>
        <t xml:space="preserve">地形破壊から落石までの猶予T。最低1。敵/AI処理中の発生は次の行動期間を残すため+1T。</t>
      </text>
    </comment>
    <comment authorId="0" ref="AV1">
      <text>
        <t xml:space="preserve">JSON。movement/stepsPerTurn、maximumRadius/radiusGrowthPerTurnで移動と発達。minimumHeight/maximumHeight/minimumClimateTemperatureで配置と進行制限。rubbleDurability、weather/weatherHumidity、triggerDisaster/triggerRadius、visionPenalty/scoutPenalty/rangedAccuracyMultiplier。powerRange={minimum,maximum,humidityMinimum,humidityMaximum}とmagicPowerで自然/魔法の威力を設定。空欄は従来動作。 damageComponents=[{element,weight}]で合計威力を属性別に配分。knockback={resistanceKey,powerPerTile,maximumDistance}で耐性軽減後の吹き飛ばしを設定。判定はHP被害とは別。</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守護者: 資源_数量を/区切りで複数指定（消費列と一致）。試練召喚_守護者配下_Lv30_数1。村発展_施設3_数2（完成した非住居施設の種類数、受注後に増加必須）。旧保存用に見張り/周辺脅威も変換対応。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継続支援の納品間隔（1以上のターン数）。初回は受注ターン＋周期、各納品は村での支援報告で実行。資源不足時は消費しない。</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村計画は施設/守備隊/食料/周辺脅威。依頼ひな型は不足資源/周辺脅威/警備/建設支援/複合支援/継続支援。村の実計画から必要なものだけ生成する。</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六角マス距離。守護者の村発展は対象村の探索半径、試練召喚は配置半径。納品は空欄。村計画は周辺脅威の走査。</t>
      </text>
    </comment>
    <comment authorId="0" ref="AB1">
      <text>
        <t xml:space="preserve">1依頼の資源数/個体数の上限。</t>
      </text>
    </comment>
    <comment authorId="0" ref="AC1">
      <text>
        <t xml:space="preserve">村計画では備蓄/訓練目標。継続支援では納品回数。周期×回数が契約期間の目安。</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JSON配列。name=固有名/race=基礎種族/className=能力クラス/unique=重複禁止。同名固有クラスがあれば優先。任意trialIdsでこの候補専用のイベントID3件を指定でき、M列より優先。未指定は土地共通の3試練。</t>
      </text>
    </comment>
    <comment authorId="0" ref="H1">
      <text>
        <t xml:space="preserve">JSON配列。race/className。出現敵に登録済みの単独候補だけ生成。未登録の組合せを作らない。</t>
      </text>
    </comment>
    <comment authorId="0" ref="I1">
      <text>
        <t xml:space="preserve">守護者Lvの整数設定。Lvは1以上、その他は0以上。既存守護者のセーブを再生成しない。</t>
      </text>
    </comment>
    <comment authorId="0" ref="J1">
      <text>
        <t xml:space="preserve">配下数の整数設定。Lvは1以上、その他は0以上。既存守護者のセーブを再生成しない。</t>
      </text>
    </comment>
    <comment authorId="0" ref="K1">
      <text>
        <t xml:space="preserve">配下Lv差の整数設定。Lvは1以上、その他は0以上。既存守護者のセーブを再生成しない。</t>
      </text>
    </comment>
    <comment authorId="0" ref="L1">
      <text>
        <t xml:space="preserve">配下Lv幅の整数設定。Lvは1以上、その他は0以上。既存守護者のセーブを再生成しない。</t>
      </text>
    </comment>
    <comment authorId="0" ref="M1">
      <text>
        <t xml:space="preserve">イベントシートで有効な守護者依頼のIDを3件指定したJSON配列。この土地の平和取得には全件報告が必要。</t>
      </text>
    </comment>
    <comment authorId="0" ref="N1">
      <text>
        <t xml:space="preserve">守護範囲の整数設定。Lvは1以上、その他は0以上。既存守護者のセーブを再生成しない。</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配置時の地域基準湿潤度0〜100。上下限を含む。空欄は制限なし。採取量や既存配置は変更しない。暫定バランス値。</t>
      </text>
    </commen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 authorId="0" ref="N1">
      <text>
        <t xml:space="preserve">配置時の地域基準気温（℃）。上下限を含む。空欄は制限なし。現在天候では変動しない。暫定バランス値。</t>
      </text>
    </comment>
    <comment authorId="0" ref="O1">
      <text>
        <t xml:space="preserve">配置時の地域基準気温（℃）。上下限を含む。空欄は制限なし。現在天候では変動しない。暫定バランス値。</t>
      </text>
    </comment>
    <comment authorId="0" ref="P1">
      <text>
        <t xml:space="preserve">配置時の地域基準湿潤度0〜100。上下限を含む。空欄は制限なし。採取量や既存配置は変更しない。暫定バランス値。</t>
      </text>
    </comment>
  </commentList>
</comments>
</file>

<file path=xl/sharedStrings.xml><?xml version="1.0" encoding="utf-8"?>
<sst xmlns="http://schemas.openxmlformats.org/spreadsheetml/2006/main" count="17941" uniqueCount="5792">
  <si>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</si>
  <si>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</si>
  <si>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</si>
  <si>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</si>
  <si>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</si>
  <si>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</si>
  <si>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</si>
  <si>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</si>
  <si>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</si>
  <si>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</si>
  <si>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</si>
  <si>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</si>
  <si>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</si>
  <si>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</si>
  <si>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</si>
  <si>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</si>
  <si>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</si>
  <si>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</si>
  <si>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</si>
  <si>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</si>
  <si>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</si>
  <si>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</si>
  <si>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</si>
  <si>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</si>
  <si>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</si>
  <si>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</si>
  <si>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</si>
  <si>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</si>
  <si>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</si>
  <si>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</si>
  <si>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</si>
  <si>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</si>
  <si>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</si>
  <si>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</si>
  <si>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</si>
  <si>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</si>
  <si>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</si>
  <si>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</si>
  <si>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</si>
  <si>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</si>
  <si>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</si>
  <si>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</si>
  <si>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</si>
  <si>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</si>
  <si>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</si>
  <si>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</si>
  <si>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</si>
  <si>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</si>
  <si>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</si>
  <si>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</si>
  <si>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</si>
  <si>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</si>
  <si>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</si>
  <si>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</si>
  <si>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</si>
  <si>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</si>
  <si>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</si>
  <si>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</si>
  <si>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</si>
  <si>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</si>
  <si>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</si>
  <si>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</si>
  <si>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</si>
  <si>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</si>
  <si>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</si>
  <si>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</si>
  <si>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</si>
  <si>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</si>
  <si>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</si>
  <si>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</si>
  <si>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</si>
  <si>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</si>
  <si>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</si>
  <si>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</si>
  <si>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</si>
  <si>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</si>
  <si>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</si>
  <si>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</si>
  <si>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</si>
  <si>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</si>
  <si>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</si>
  <si>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</si>
  <si>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</si>
  <si>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</si>
  <si>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</si>
  <si>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</si>
  <si>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</si>
  <si>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</si>
  <si>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</si>
  <si>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</si>
  <si>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</si>
  <si>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</si>
  <si>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</si>
  <si>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</si>
  <si>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</si>
  <si>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</si>
  <si>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</si>
  <si>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</si>
  <si>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</si>
  <si>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</si>
  <si>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</si>
  <si>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</si>
  <si>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</si>
  <si>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</si>
  <si>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</si>
  <si>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</si>
  <si>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</si>
  <si>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</si>
  <si>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</si>
  <si>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</si>
  <si>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</si>
  <si>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</si>
  <si>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</si>
  <si>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</si>
  <si>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</si>
  <si>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</si>
  <si>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</si>
  <si>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</si>
  <si>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</si>
  <si>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</si>
  <si>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</si>
  <si>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</si>
  <si>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</si>
  <si>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</si>
  <si>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</si>
  <si>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</si>
  <si>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</si>
  <si>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</si>
  <si>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</si>
  <si>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</si>
  <si>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</si>
  <si>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</si>
  <si>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</si>
  <si>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</si>
  <si>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</si>
  <si>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</si>
  <si>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</si>
  <si>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</si>
  <si>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</si>
  <si>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</si>
  <si>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</si>
  <si>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</si>
  <si>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</si>
  <si>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</si>
  <si>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</si>
  <si>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</si>
  <si>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</si>
  <si>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</si>
  <si>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</si>
  <si>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</si>
  <si>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</si>
  <si>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</si>
  <si>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</si>
  <si>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</si>
  <si>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</si>
  <si>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</si>
  <si>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</si>
  <si>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</si>
  <si>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</si>
  <si>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</si>
  <si>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</si>
  <si>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</si>
  <si>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</si>
  <si>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</si>
  <si>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</si>
  <si>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</si>
  <si>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</si>
  <si>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</si>
  <si>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</si>
  <si>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</si>
  <si>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</si>
  <si>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</si>
  <si>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</si>
  <si>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</si>
  <si>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</si>
  <si>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</si>
  <si>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</si>
  <si>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</si>
  <si>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</si>
  <si>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</si>
  <si>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</si>
  <si>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</si>
  <si>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</si>
  <si>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</si>
  <si>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</si>
  <si>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</si>
  <si>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</si>
  <si>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</si>
  <si>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</si>
  <si>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</si>
  <si>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</si>
  <si>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</si>
  <si>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</si>
  <si>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</si>
  <si>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</si>
  <si>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</si>
  <si>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</si>
  <si>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</si>
  <si>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</si>
  <si>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</si>
  <si>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</si>
  <si>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</si>
  <si>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</si>
  <si>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</si>
  <si>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</si>
  <si>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</si>
  <si>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</si>
  <si>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</si>
  <si>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</si>
  <si>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</si>
  <si>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</si>
  <si>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</si>
  <si>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</si>
  <si>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</si>
  <si>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</si>
  <si>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</si>
  <si>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</si>
  <si>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</si>
  <si>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</si>
  <si>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</si>
  <si>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</si>
  <si>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</si>
  <si>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</si>
  <si>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</si>
  <si>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</si>
  <si>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</si>
  <si>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</si>
  <si>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</si>
  <si>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</si>
  <si>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</si>
  <si>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</si>
  <si>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</si>
  <si>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</si>
  <si>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</si>
  <si>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</si>
  <si>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</si>
  <si>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</si>
  <si>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</si>
  <si>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</si>
  <si>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</si>
  <si>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</si>
  <si>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</si>
  <si>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</si>
  <si>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</si>
  <si>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</si>
  <si>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</si>
  <si>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効果:転移_森 射程:100</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</si>
  <si>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</si>
  <si>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</si>
  <si>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</si>
  <si>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</si>
  <si>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</si>
  <si>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</si>
  <si>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</si>
  <si>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</si>
  <si>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</si>
  <si>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</si>
  <si>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</si>
  <si>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</si>
  <si>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</si>
  <si>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</si>
  <si>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</si>
  <si>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</si>
  <si>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</si>
  <si>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</si>
  <si>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</si>
  <si>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</si>
  <si>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</si>
  <si>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</si>
  <si>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</si>
  <si>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</si>
  <si>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</si>
  <si>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</si>
  <si>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</si>
  <si>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</si>
  <si>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</si>
  <si>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</si>
  <si>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</si>
  <si>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</si>
  <si>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</si>
  <si>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</si>
  <si>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</si>
  <si>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</si>
  <si>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</si>
  <si>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</si>
  <si>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</si>
  <si>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</si>
  <si>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</si>
  <si>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</si>
  <si>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</si>
  <si>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</si>
  <si>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</si>
  <si>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</si>
  <si>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</si>
  <si>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</si>
  <si>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</si>
  <si>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</si>
  <si>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</si>
  <si>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</si>
  <si>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</si>
  <si>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</si>
  <si>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</si>
  <si>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</si>
  <si>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</si>
  <si>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</si>
  <si>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</si>
  <si>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</si>
  <si>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</si>
  <si>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</si>
  <si>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</si>
  <si>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</si>
  <si>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</si>
  <si>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</si>
  <si>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</si>
  <si>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</si>
  <si>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</si>
  <si>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</si>
  <si>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</si>
  <si>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</si>
  <si>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</si>
  <si>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</si>
  <si>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</si>
  <si>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</si>
  <si>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</si>
  <si>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</si>
  <si>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</si>
  <si>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</si>
  <si>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</si>
  <si>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</si>
  <si>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</si>
  <si>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</si>
  <si>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</si>
  <si>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</si>
  <si>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</si>
  <si>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</si>
  <si>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</si>
  <si>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</si>
  <si>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</si>
  <si>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</si>
  <si>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</si>
  <si>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</si>
  <si>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</si>
  <si>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</si>
  <si>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</si>
  <si>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</si>
  <si>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</si>
  <si>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</si>
  <si>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</si>
  <si>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</si>
  <si>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</si>
  <si>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</si>
  <si>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</si>
  <si>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</si>
  <si>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</si>
  <si>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</si>
  <si>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</si>
  <si>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</si>
  <si>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</si>
  <si>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</si>
  <si>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</si>
  <si>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</si>
  <si>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</si>
  <si>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</si>
  <si>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</si>
  <si>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</si>
  <si>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</si>
  <si>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</si>
  <si>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</si>
  <si>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</si>
  <si>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</si>
  <si>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</si>
  <si>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</si>
  <si>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</si>
  <si>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</si>
  <si>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</si>
  <si>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</si>
  <si>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</si>
  <si>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</si>
  <si>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</si>
  <si>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</si>
  <si>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</si>
  <si>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</si>
  <si>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</si>
  <si>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</si>
  <si>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</si>
  <si>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</si>
  <si>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</si>
  <si>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</si>
  <si>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</si>
  <si>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</si>
  <si>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</si>
  <si>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</si>
  <si>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</si>
  <si>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</si>
  <si>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</si>
  <si>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</si>
  <si>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</si>
  <si>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</si>
  <si>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</si>
  <si>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</si>
  <si>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</si>
  <si>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</si>
  <si>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</si>
  <si>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</si>
  <si>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</si>
  <si>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</si>
  <si>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</si>
  <si>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</si>
  <si>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</si>
  <si>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</si>
  <si>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</si>
  <si>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</si>
  <si>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</si>
  <si>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</si>
  <si>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</si>
  <si>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</si>
  <si>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</si>
  <si>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</si>
  <si>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</si>
  <si>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</si>
  <si>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</si>
  <si>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</si>
  <si>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</si>
  <si>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</si>
  <si>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</si>
  <si>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</si>
  <si>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</si>
  <si>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</si>
  <si>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</si>
  <si>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</si>
  <si>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</si>
  <si>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</si>
  <si>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</si>
  <si>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</si>
  <si>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</si>
  <si>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</si>
  <si>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</si>
  <si>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</si>
  <si>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</si>
  <si>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</si>
  <si>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</si>
  <si>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</si>
  <si>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</si>
  <si>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</si>
  <si>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</si>
  <si>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</si>
  <si>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</si>
  <si>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</si>
  <si>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</si>
  <si>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</si>
  <si>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</si>
  <si>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</si>
  <si>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</si>
  <si>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</si>
  <si>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</si>
  <si>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</si>
  <si>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</si>
  <si>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</si>
  <si>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</si>
  <si>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</si>
  <si>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</si>
  <si>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</si>
  <si>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</si>
  <si>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</si>
  <si>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</si>
  <si>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</si>
  <si>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</si>
  <si>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</si>
  <si>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</si>
  <si>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</si>
  <si>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</si>
  <si>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</si>
  <si>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</si>
  <si>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</si>
  <si>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</si>
  <si>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</si>
  <si>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</si>
  <si>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</si>
  <si>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</si>
  <si>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</si>
  <si>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</si>
  <si>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</si>
  <si>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</si>
  <si>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</si>
  <si>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</si>
  <si>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</si>
  <si>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</si>
  <si>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</si>
  <si>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</si>
  <si>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</si>
  <si>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</si>
  <si>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</si>
  <si>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</si>
  <si>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</si>
  <si>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</si>
  <si>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</si>
  <si>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</si>
  <si>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</si>
  <si>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</si>
  <si>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</si>
  <si>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</si>
  <si>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</si>
  <si>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</si>
  <si>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</si>
  <si>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</si>
  <si>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</si>
  <si>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</si>
  <si>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</si>
  <si>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</si>
  <si>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</si>
  <si>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</si>
  <si>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</si>
  <si>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</si>
  <si>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</si>
  <si>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</si>
  <si>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</si>
  <si>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</si>
  <si>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</si>
  <si>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</si>
  <si>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</si>
  <si>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</si>
  <si>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</si>
  <si>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</si>
  <si>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</si>
  <si>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</si>
  <si>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</si>
  <si>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</si>
  <si>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</si>
  <si>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</si>
  <si>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</si>
  <si>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</si>
  <si>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</si>
  <si>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</si>
  <si>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</si>
  <si>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</si>
  <si>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</si>
  <si>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</si>
  <si>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</si>
  <si>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</si>
  <si>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</si>
  <si>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</si>
  <si>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</si>
  <si>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</si>
  <si>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</si>
  <si>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</si>
  <si>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</si>
  <si>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</si>
  <si>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</si>
  <si>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</si>
  <si>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</si>
  <si>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</si>
  <si>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</si>
  <si>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</si>
  <si>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</si>
  <si>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</si>
  <si>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</si>
  <si>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</si>
  <si>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</si>
  <si>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</si>
  <si>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</si>
  <si>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</si>
  <si>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</si>
  <si>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</si>
  <si>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</si>
  <si>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</si>
  <si>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</si>
  <si>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</si>
  <si>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</si>
  <si>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</si>
  <si>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</si>
  <si>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</si>
  <si>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</si>
  <si>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</si>
  <si>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</si>
  <si>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</si>
  <si>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</si>
  <si>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</si>
  <si>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</si>
  <si>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</si>
  <si>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</si>
  <si>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</si>
  <si>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</si>
  <si>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</si>
  <si>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</si>
  <si>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</si>
  <si>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</si>
  <si>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</si>
  <si>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</si>
  <si>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</si>
  <si>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</si>
  <si>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</si>
  <si>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</si>
  <si>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</si>
  <si>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</si>
  <si>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</si>
  <si>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</si>
  <si>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</si>
  <si>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</si>
  <si>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</si>
  <si>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</si>
  <si>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</si>
  <si>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</si>
  <si>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</si>
  <si>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</si>
  <si>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</si>
  <si>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</si>
  <si>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</si>
  <si>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</si>
  <si>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</si>
  <si>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</si>
  <si>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</si>
  <si>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</si>
  <si>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</si>
  <si>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</si>
  <si>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</si>
  <si>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</si>
  <si>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</si>
  <si>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</si>
  <si>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</si>
  <si>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</si>
  <si>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</si>
  <si>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</si>
  <si>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</si>
  <si>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</si>
  <si>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</si>
  <si>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</si>
  <si>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</si>
  <si>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</si>
  <si>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</si>
  <si>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</si>
  <si>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</si>
  <si>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</si>
  <si>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</si>
  <si>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</si>
  <si>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</si>
  <si>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</si>
  <si>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</si>
  <si>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</si>
  <si>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</si>
  <si>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</si>
  <si>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</si>
  <si>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</si>
  <si>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</si>
  <si>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</si>
  <si>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</si>
  <si>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</si>
  <si>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</si>
  <si>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</si>
  <si>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</si>
  <si>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</si>
  <si>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</si>
  <si>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</si>
  <si>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</si>
  <si>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</si>
  <si>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</si>
  <si>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</si>
  <si>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</si>
  <si>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</si>
  <si>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</si>
  <si>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</si>
  <si>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</si>
  <si>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</si>
  <si>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</si>
  <si>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</si>
  <si>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</si>
  <si>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</si>
  <si>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</si>
  <si>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</si>
  <si>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</si>
  <si>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</si>
  <si>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</si>
  <si>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</si>
  <si>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</si>
  <si>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</si>
  <si>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</si>
  <si>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</si>
  <si>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</si>
  <si>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</si>
  <si>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</si>
  <si>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</si>
  <si>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</si>
  <si>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</si>
  <si>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</si>
  <si>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</si>
  <si>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</si>
  <si>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</si>
  <si>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</si>
  <si>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</si>
  <si>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</si>
  <si>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</si>
  <si>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</si>
  <si>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</si>
  <si>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</si>
  <si>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</si>
  <si>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</si>
  <si>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</si>
  <si>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</si>
  <si>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</si>
  <si>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</si>
  <si>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</si>
  <si>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</si>
  <si>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</si>
  <si>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</si>
  <si>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</si>
  <si>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</si>
  <si>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</si>
  <si>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</si>
  <si>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</si>
  <si>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</si>
  <si>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</si>
  <si>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</si>
  <si>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</si>
  <si>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</si>
  <si>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</si>
  <si>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</si>
  <si>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</si>
  <si>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</si>
  <si>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</si>
  <si>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</si>
  <si>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</si>
  <si>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</si>
  <si>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</si>
  <si>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</si>
  <si>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</si>
  <si>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</si>
  <si>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</si>
  <si>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</si>
  <si>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</si>
  <si>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</si>
  <si>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</si>
  <si>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</si>
  <si>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</si>
  <si>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</si>
  <si>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</si>
  <si>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</si>
  <si>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</si>
  <si>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</si>
  <si>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</si>
  <si>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</si>
  <si>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</si>
  <si>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</si>
  <si>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</si>
  <si>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</si>
  <si>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</si>
  <si>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</si>
  <si>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</si>
  <si>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</si>
  <si>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</si>
  <si>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</si>
  <si>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</si>
  <si>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</si>
  <si>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</si>
  <si>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</si>
  <si>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</si>
  <si>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</si>
  <si>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</si>
  <si>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</si>
  <si>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</si>
  <si>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</si>
  <si>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</si>
  <si>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</si>
  <si>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</si>
  <si>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</si>
  <si>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</si>
  <si>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</si>
  <si>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</si>
  <si>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</si>
  <si>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</si>
  <si>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</si>
  <si>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</si>
  <si>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</si>
  <si>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</si>
  <si>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</si>
  <si>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</si>
  <si>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</si>
  <si>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</si>
  <si>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</si>
  <si>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</si>
  <si>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</si>
  <si>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</si>
  <si>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</si>
  <si>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</si>
  <si>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</si>
  <si>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</si>
  <si>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</si>
  <si>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</si>
  <si>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</si>
  <si>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</si>
  <si>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</si>
  <si>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</si>
  <si>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</si>
  <si>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</si>
  <si>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</si>
  <si>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</si>
  <si>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</si>
  <si>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</si>
  <si>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</si>
  <si>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</si>
  <si>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</si>
  <si>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</si>
  <si>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</si>
  <si>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</si>
  <si>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</si>
  <si>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</si>
  <si>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</si>
  <si>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</si>
  <si>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</si>
  <si>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</si>
  <si>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</si>
  <si>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</si>
  <si>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</si>
  <si>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</si>
  <si>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</si>
  <si>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</si>
  <si>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</si>
  <si>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</si>
  <si>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</si>
  <si>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</si>
  <si>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</si>
  <si>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</si>
  <si>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</si>
  <si>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</si>
  <si>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</si>
  <si>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</si>
  <si>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</si>
  <si>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</si>
  <si>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</si>
  <si>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</si>
  <si>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</si>
  <si>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</si>
  <si>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</si>
  <si>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</si>
  <si>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</si>
  <si>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</si>
  <si>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</si>
  <si>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</si>
  <si>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</si>
  <si>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</si>
  <si>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</si>
  <si>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</si>
  <si>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</si>
  <si>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</si>
  <si>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</si>
  <si>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</si>
  <si>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</si>
  <si>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</si>
  <si>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</si>
  <si>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</si>
  <si>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</si>
  <si>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</si>
  <si>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</si>
  <si>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</si>
  <si>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</si>
  <si>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</si>
  <si>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</si>
  <si>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</si>
  <si>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</si>
  <si>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</si>
  <si>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</si>
  <si>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</si>
  <si>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</si>
  <si>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</si>
  <si>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</si>
  <si>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</si>
  <si>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</si>
  <si>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</si>
  <si>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</si>
  <si>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</si>
  <si>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</si>
  <si>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</si>
  <si>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</si>
  <si>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</si>
  <si>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</si>
  <si>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</si>
  <si>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</si>
  <si>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</si>
  <si>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</si>
  <si>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</si>
  <si>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</si>
  <si>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</si>
  <si>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</si>
  <si>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</si>
  <si>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</si>
  <si>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</si>
  <si>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</si>
  <si>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</si>
  <si>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</si>
  <si>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</si>
  <si>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</si>
  <si>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</si>
  <si>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</si>
  <si>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</si>
  <si>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</si>
  <si>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</si>
  <si>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</si>
  <si>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</si>
  <si>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</si>
  <si>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</si>
  <si>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</si>
  <si>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</si>
  <si>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</si>
  <si>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</si>
  <si>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</si>
  <si>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</si>
  <si>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</si>
  <si>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</si>
  <si>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</si>
  <si>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</si>
  <si>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</si>
  <si>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</si>
  <si>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</si>
  <si>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</si>
  <si>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</si>
  <si>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</si>
  <si>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</si>
  <si>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</si>
  <si>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</si>
  <si>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</si>
  <si>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</si>
  <si>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</si>
  <si>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</si>
  <si>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</si>
  <si>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</si>
  <si>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</si>
  <si>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</si>
  <si>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</si>
  <si>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</si>
  <si>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</si>
  <si>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</si>
  <si>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</si>
  <si>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</si>
  <si>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</si>
  <si>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</si>
  <si>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</si>
  <si>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</si>
  <si>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</si>
  <si>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</si>
  <si>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</si>
  <si>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</si>
  <si>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</si>
  <si>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</si>
  <si>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</si>
  <si>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</si>
  <si>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</si>
  <si>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</si>
  <si>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</si>
  <si>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</si>
  <si>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</si>
  <si>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</si>
  <si>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</si>
  <si>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</si>
  <si>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</si>
  <si>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</si>
  <si>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</si>
  <si>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</si>
  <si>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</si>
  <si>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</si>
  <si>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</si>
  <si>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</si>
  <si>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</si>
  <si>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</si>
  <si>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</si>
  <si>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</si>
  <si>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</si>
  <si>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</si>
  <si>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</si>
  <si>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</si>
  <si>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</si>
  <si>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</si>
  <si>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</si>
  <si>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</si>
  <si>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</si>
  <si>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</si>
  <si>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</si>
  <si>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</si>
  <si>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</si>
  <si>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</si>
  <si>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</si>
  <si>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</si>
  <si>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</si>
  <si>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</si>
  <si>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</si>
  <si>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</si>
  <si>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</si>
  <si>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</si>
  <si>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</si>
  <si>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</si>
  <si>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</si>
  <si>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</si>
  <si>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</si>
  <si>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</si>
  <si>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</si>
  <si>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</si>
  <si>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</si>
  <si>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</si>
  <si>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</si>
  <si>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</si>
  <si>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</si>
  <si>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</si>
  <si>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</si>
  <si>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</si>
  <si>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</si>
  <si>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</si>
  <si>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</si>
  <si>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</si>
  <si>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</si>
  <si>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</si>
  <si>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</si>
  <si>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</si>
  <si>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</si>
  <si>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</si>
  <si>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</si>
  <si>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</si>
  <si>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</si>
  <si>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</si>
  <si>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</si>
  <si>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</si>
  <si>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</si>
  <si>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</si>
  <si>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</si>
  <si>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</si>
  <si>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</si>
  <si>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</si>
  <si>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</si>
  <si>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</si>
  <si>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</si>
  <si>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</si>
  <si>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</si>
  <si>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</si>
  <si>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</si>
  <si>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</si>
  <si>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</si>
  <si>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</si>
  <si>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</si>
  <si>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</si>
  <si>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</si>
  <si>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</si>
  <si>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</si>
  <si>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</si>
  <si>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</si>
  <si>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</si>
  <si>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</si>
  <si>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</si>
  <si>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</si>
  <si>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</si>
  <si>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</si>
  <si>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</si>
  <si>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</si>
  <si>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</si>
  <si>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</si>
  <si>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</si>
  <si>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</si>
  <si>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</si>
  <si>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</si>
  <si>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</si>
  <si>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</si>
  <si>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</si>
  <si>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</si>
  <si>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</si>
  <si>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</si>
  <si>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</si>
  <si>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</si>
  <si>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</si>
  <si>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</si>
  <si>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</si>
  <si>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</si>
  <si>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</si>
  <si>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</si>
  <si>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</si>
  <si>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</si>
  <si>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</si>
  <si>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</si>
  <si>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</si>
  <si>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</si>
  <si>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</si>
  <si>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</si>
  <si>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</si>
  <si>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</si>
  <si>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</si>
  <si>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</si>
  <si>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</si>
  <si>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</si>
  <si>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</si>
  <si>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</si>
  <si>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</si>
  <si>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</si>
  <si>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</si>
  <si>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</si>
  <si>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</si>
  <si>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</si>
  <si>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</si>
  <si>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</si>
  <si>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</si>
  <si>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</si>
  <si>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</si>
  <si>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</si>
  <si>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</si>
  <si>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</si>
  <si>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</si>
  <si>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</si>
  <si>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</si>
  <si>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</si>
  <si>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</si>
  <si>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</si>
  <si>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</si>
  <si>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</si>
  <si>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</si>
  <si>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</si>
  <si>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</si>
  <si>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</si>
  <si>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</si>
  <si>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</si>
  <si>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</si>
  <si>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</si>
  <si>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</si>
  <si>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</si>
  <si>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</si>
  <si>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</si>
  <si>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</si>
  <si>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</si>
  <si>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</si>
  <si>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</si>
  <si>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</si>
  <si>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</si>
  <si>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</si>
  <si>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</si>
  <si>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</si>
  <si>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</si>
  <si>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</si>
  <si>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</si>
  <si>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</si>
  <si>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</si>
  <si>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</si>
  <si>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</si>
  <si>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</si>
  <si>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</si>
  <si>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</si>
  <si>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</si>
  <si>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</si>
  <si>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</si>
  <si>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</si>
  <si>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</si>
  <si>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</si>
  <si>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</si>
  <si>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</si>
  <si>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</si>
  <si>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</si>
  <si>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</si>
  <si>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</si>
  <si>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</si>
  <si>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</si>
  <si>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</si>
  <si>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</si>
  <si>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</si>
  <si>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</si>
  <si>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</si>
  <si>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</si>
  <si>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</si>
  <si>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</si>
  <si>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</si>
  <si>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</si>
  <si>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</si>
  <si>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</si>
  <si>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</si>
  <si>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</si>
  <si>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</si>
  <si>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</si>
  <si>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</si>
  <si>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</si>
  <si>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</si>
  <si>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</si>
  <si>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</si>
  <si>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</si>
  <si>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</si>
  <si>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</si>
  <si>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</si>
  <si>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</si>
  <si>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</si>
  <si>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</si>
  <si>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</si>
  <si>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</si>
  <si>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</si>
  <si>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</si>
  <si>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</si>
  <si>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</si>
  <si>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</si>
  <si>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</si>
  <si>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</si>
  <si>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</si>
  <si>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</si>
  <si>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</si>
  <si>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</si>
  <si>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</si>
  <si>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</si>
  <si>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</si>
  <si>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</si>
  <si>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</si>
  <si>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</si>
  <si>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</si>
  <si>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</si>
  <si>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</si>
  <si>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</si>
  <si>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</si>
  <si>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</si>
  <si>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</si>
  <si>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</si>
  <si>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</si>
  <si>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</si>
  <si>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</si>
  <si>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</si>
  <si>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</si>
  <si>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</si>
  <si>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</si>
  <si>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</si>
  <si>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</si>
  <si>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</si>
  <si>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</si>
  <si>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</si>
  <si>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</si>
  <si>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</si>
  <si>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</si>
  <si>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</si>
  <si>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</si>
  <si>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</si>
  <si>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</si>
  <si>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</si>
  <si>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</si>
  <si>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</si>
  <si>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</si>
  <si>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</si>
  <si>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</si>
  <si>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</si>
  <si>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</si>
  <si>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</si>
  <si>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</si>
  <si>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</si>
  <si>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</si>
  <si>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</si>
  <si>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</si>
  <si>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</si>
  <si>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</si>
  <si>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</si>
  <si>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</si>
  <si>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</si>
  <si>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</si>
  <si>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</si>
  <si>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</si>
  <si>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</si>
  <si>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</si>
  <si>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</si>
  <si>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</si>
  <si>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</si>
  <si>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</si>
  <si>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</si>
  <si>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</si>
  <si>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</si>
  <si>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</si>
  <si>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</si>
  <si>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</si>
  <si>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</si>
  <si>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</si>
  <si>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</si>
  <si>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</si>
  <si>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</si>
  <si>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</si>
  <si>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</si>
  <si>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</si>
  <si>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</si>
  <si>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</si>
  <si>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</si>
  <si>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</si>
  <si>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</si>
  <si>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</si>
  <si>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</si>
  <si>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</si>
  <si>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</si>
  <si>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</si>
  <si>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</si>
  <si>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</si>
  <si>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</si>
  <si>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</si>
  <si>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</si>
  <si>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</si>
  <si>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</si>
  <si>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</si>
  <si>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</si>
  <si>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</si>
  <si>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</si>
  <si>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</si>
  <si>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</si>
  <si>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</si>
  <si>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</si>
  <si>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次元の扉</t>
  </si>
  <si>
    <t>空間</t>
  </si>
  <si>
    <t>攻撃手段:魔法 効果:転移 射程:100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</si>
  <si>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</si>
  <si>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</si>
  <si>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</si>
  <si>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</si>
  <si>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</si>
  <si>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</si>
  <si>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</si>
  <si>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</si>
  <si>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</si>
  <si>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</si>
  <si>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</si>
  <si>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</si>
  <si>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</si>
  <si>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</si>
  <si>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</si>
  <si>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</si>
  <si>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</si>
  <si>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</si>
  <si>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</si>
  <si>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</si>
  <si>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</si>
  <si>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</si>
  <si>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</si>
  <si>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</si>
  <si>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</si>
  <si>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</si>
  <si>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</si>
  <si>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</si>
  <si>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</si>
  <si>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</si>
  <si>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</si>
  <si>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</si>
  <si>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</si>
  <si>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</si>
  <si>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</si>
  <si>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</si>
  <si>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</si>
  <si>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</si>
  <si>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</si>
  <si>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</si>
  <si>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</si>
  <si>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</si>
  <si>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</si>
  <si>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</si>
  <si>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</si>
  <si>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</si>
  <si>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</si>
  <si>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</si>
  <si>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</si>
  <si>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</si>
  <si>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</si>
  <si>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</si>
  <si>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</si>
  <si>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</si>
  <si>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</si>
  <si>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</si>
  <si>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</si>
  <si>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</si>
  <si>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</si>
  <si>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</si>
  <si>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</si>
  <si>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</si>
  <si>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</si>
  <si>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</si>
  <si>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</si>
  <si>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</si>
  <si>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</si>
  <si>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</si>
  <si>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</si>
  <si>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</si>
  <si>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</si>
  <si>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</si>
  <si>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</si>
  <si>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</si>
  <si>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</si>
  <si>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</si>
  <si>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</si>
  <si>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</si>
  <si>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</si>
  <si>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</si>
  <si>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</si>
  <si>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</si>
  <si>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</si>
  <si>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</si>
  <si>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</si>
  <si>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</si>
  <si>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</si>
  <si>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</si>
  <si>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</si>
  <si>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</si>
  <si>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</si>
  <si>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</si>
  <si>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</si>
  <si>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</si>
  <si>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</si>
  <si>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</si>
  <si>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</si>
  <si>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</si>
  <si>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</si>
  <si>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</si>
  <si>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</si>
  <si>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</si>
  <si>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</si>
  <si>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</si>
  <si>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</si>
  <si>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</si>
  <si>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</si>
  <si>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</si>
  <si>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</si>
  <si>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</si>
  <si>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</si>
  <si>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</si>
  <si>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</si>
  <si>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</si>
  <si>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</si>
  <si>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</si>
  <si>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</si>
  <si>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</si>
  <si>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</si>
  <si>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</si>
  <si>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</si>
  <si>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</si>
  <si>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</si>
  <si>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</si>
  <si>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</si>
  <si>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</si>
  <si>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</si>
  <si>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</si>
  <si>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</si>
  <si>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</si>
  <si>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</si>
  <si>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</si>
  <si>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</si>
  <si>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</si>
  <si>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</si>
  <si>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</si>
  <si>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</si>
  <si>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</si>
  <si>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</si>
  <si>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</si>
  <si>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</si>
  <si>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</si>
  <si>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</si>
  <si>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</si>
  <si>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</si>
  <si>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</si>
  <si>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</si>
  <si>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</si>
  <si>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</si>
  <si>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</si>
  <si>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</si>
  <si>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</si>
  <si>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</si>
  <si>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</si>
  <si>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</si>
  <si>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</si>
  <si>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</si>
  <si>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</si>
  <si>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</si>
  <si>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</si>
  <si>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</si>
  <si>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</si>
  <si>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</si>
  <si>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</si>
  <si>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</si>
  <si>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</si>
  <si>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</si>
  <si>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</si>
  <si>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</si>
  <si>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</si>
  <si>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</si>
  <si>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</si>
  <si>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</si>
  <si>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</si>
  <si>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</si>
  <si>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</si>
  <si>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</si>
  <si>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</si>
  <si>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</si>
  <si>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</si>
  <si>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</si>
  <si>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</si>
  <si>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</si>
  <si>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</si>
  <si>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</si>
  <si>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</si>
  <si>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</si>
  <si>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</si>
  <si>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</si>
  <si>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</si>
  <si>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</si>
  <si>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</si>
  <si>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</si>
  <si>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</si>
  <si>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</si>
  <si>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</si>
  <si>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</si>
  <si>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</si>
  <si>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</si>
  <si>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</si>
  <si>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</si>
  <si>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</si>
  <si>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</si>
  <si>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</si>
  <si>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</si>
  <si>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</si>
  <si>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</si>
  <si>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</si>
  <si>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</si>
  <si>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</si>
  <si>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</si>
  <si>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</si>
  <si>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</si>
  <si>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</si>
  <si>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</si>
  <si>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</si>
  <si>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</si>
  <si>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</si>
  <si>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</si>
  <si>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</si>
  <si>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</si>
  <si>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</si>
  <si>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</si>
  <si>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</si>
  <si>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</si>
  <si>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</si>
  <si>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</si>
  <si>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</si>
  <si>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</si>
  <si>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</si>
  <si>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</si>
  <si>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</si>
  <si>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</si>
  <si>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</si>
  <si>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</si>
  <si>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</si>
  <si>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</si>
  <si>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</si>
  <si>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</si>
  <si>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</si>
  <si>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</si>
  <si>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</si>
  <si>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</si>
  <si>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</si>
  <si>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</si>
  <si>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</si>
  <si>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</si>
  <si>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</si>
  <si>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</si>
  <si>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</si>
  <si>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</si>
  <si>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</si>
  <si>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</si>
  <si>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</si>
  <si>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</si>
  <si>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</si>
  <si>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</si>
  <si>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</si>
  <si>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</si>
  <si>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</si>
  <si>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</si>
  <si>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</si>
  <si>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</si>
  <si>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</si>
  <si>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</si>
  <si>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</si>
  <si>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</si>
  <si>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</si>
  <si>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</si>
  <si>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</si>
  <si>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</si>
  <si>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</si>
  <si>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</si>
  <si>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</si>
  <si>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</si>
  <si>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</si>
  <si>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</si>
  <si>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</si>
  <si>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</si>
  <si>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</si>
  <si>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</si>
  <si>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</si>
  <si>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</si>
  <si>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</si>
  <si>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</si>
  <si>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</si>
  <si>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</si>
  <si>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</si>
  <si>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</si>
  <si>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</si>
  <si>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</si>
  <si>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</si>
  <si>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</si>
  <si>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</si>
  <si>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</si>
  <si>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</si>
  <si>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</si>
  <si>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</si>
  <si>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</si>
  <si>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</si>
  <si>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</si>
  <si>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</si>
  <si>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</si>
  <si>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</si>
  <si>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</si>
  <si>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</si>
  <si>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</si>
  <si>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</si>
  <si>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</si>
  <si>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</si>
  <si>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</si>
  <si>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</si>
  <si>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</si>
  <si>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</si>
  <si>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</si>
  <si>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</si>
  <si>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</si>
  <si>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</si>
  <si>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</si>
  <si>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</si>
  <si>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</si>
  <si>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</si>
  <si>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</si>
  <si>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</si>
  <si>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</si>
  <si>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</si>
  <si>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</si>
  <si>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</si>
  <si>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</si>
  <si>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</si>
  <si>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</si>
  <si>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</si>
  <si>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</si>
  <si>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</si>
  <si>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</si>
  <si>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</si>
  <si>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</si>
  <si>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</si>
  <si>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</si>
  <si>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</si>
  <si>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</si>
  <si>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</si>
  <si>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</si>
  <si>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</si>
  <si>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</si>
  <si>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</si>
  <si>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</si>
  <si>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</si>
  <si>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</si>
  <si>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</si>
  <si>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</si>
  <si>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</si>
  <si>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</si>
  <si>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</si>
  <si>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</si>
  <si>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</si>
  <si>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</si>
  <si>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</si>
  <si>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</si>
  <si>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</si>
  <si>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</si>
  <si>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</si>
  <si>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</si>
  <si>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</si>
  <si>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</si>
  <si>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</si>
  <si>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</si>
  <si>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</si>
  <si>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</si>
  <si>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</si>
  <si>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</si>
  <si>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</si>
  <si>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</si>
  <si>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</si>
  <si>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</si>
  <si>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</si>
  <si>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</si>
  <si>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</si>
  <si>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</si>
  <si>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</si>
  <si>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</si>
  <si>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</si>
  <si>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</si>
  <si>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</si>
  <si>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</si>
  <si>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</si>
  <si>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</si>
  <si>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</si>
  <si>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</si>
  <si>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</si>
  <si>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</si>
  <si>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</si>
  <si>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</si>
  <si>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</si>
  <si>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</si>
  <si>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</si>
  <si>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</si>
  <si>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</si>
  <si>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</si>
  <si>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</si>
  <si>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</si>
  <si>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</si>
  <si>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</si>
  <si>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</si>
  <si>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</si>
  <si>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</si>
  <si>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</si>
  <si>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</si>
  <si>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</si>
  <si>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</si>
  <si>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</si>
  <si>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</si>
  <si>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</si>
  <si>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</si>
  <si>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</si>
  <si>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</si>
  <si>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</si>
  <si>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</si>
  <si>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</si>
  <si>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</si>
  <si>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</si>
  <si>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</si>
  <si>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</si>
  <si>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</si>
  <si>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</si>
  <si>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</si>
  <si>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</si>
  <si>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</si>
  <si>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</si>
  <si>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</si>
  <si>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</si>
  <si>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</si>
  <si>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</si>
  <si>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</si>
  <si>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</si>
  <si>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</si>
  <si>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</si>
  <si>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</si>
  <si>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</si>
  <si>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</si>
  <si>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</si>
  <si>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</si>
  <si>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</si>
  <si>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</si>
  <si>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</si>
  <si>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</si>
  <si>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</si>
  <si>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</si>
  <si>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</si>
  <si>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</si>
  <si>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</si>
  <si>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</si>
  <si>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</si>
  <si>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</si>
  <si>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</si>
  <si>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</si>
  <si>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</si>
  <si>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</si>
  <si>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</si>
  <si>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</si>
  <si>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</si>
  <si>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</si>
  <si>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</si>
  <si>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</si>
  <si>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</si>
  <si>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</si>
  <si>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</si>
  <si>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</si>
  <si>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</si>
  <si>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</si>
  <si>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</si>
  <si>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</si>
  <si>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</si>
  <si>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</si>
  <si>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</si>
  <si>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</si>
  <si>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</si>
  <si>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</si>
  <si>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</si>
  <si>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</si>
  <si>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</si>
  <si>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</si>
  <si>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</si>
  <si>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</si>
  <si>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</si>
  <si>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</si>
  <si>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</si>
  <si>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</si>
  <si>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</si>
  <si>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</si>
  <si>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</si>
  <si>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</si>
  <si>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</si>
  <si>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</si>
  <si>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</si>
  <si>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</si>
  <si>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</si>
  <si>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</si>
  <si>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</si>
  <si>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</si>
  <si>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</si>
  <si>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</si>
  <si>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</si>
  <si>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</si>
  <si>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</si>
  <si>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</si>
  <si>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</si>
  <si>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</si>
  <si>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</si>
  <si>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</si>
  <si>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</si>
  <si>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</si>
  <si>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</si>
  <si>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</si>
  <si>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</si>
  <si>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</si>
  <si>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</si>
  <si>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</si>
  <si>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</si>
  <si>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</si>
  <si>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</si>
  <si>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</si>
  <si>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</si>
  <si>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</si>
  <si>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</si>
  <si>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</si>
  <si>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</si>
  <si>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</si>
  <si>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</si>
  <si>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</si>
  <si>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</si>
  <si>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</si>
  <si>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</si>
  <si>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</si>
  <si>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</si>
  <si>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</si>
  <si>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</si>
  <si>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</si>
  <si>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</si>
  <si>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</si>
  <si>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</si>
  <si>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</si>
  <si>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</si>
  <si>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</si>
  <si>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</si>
  <si>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</si>
  <si>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</si>
  <si>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</si>
  <si>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</si>
  <si>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</si>
  <si>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</si>
  <si>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</si>
  <si>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</si>
  <si>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</si>
  <si>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</si>
  <si>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</si>
  <si>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</si>
  <si>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</si>
  <si>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</si>
  <si>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</si>
  <si>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</si>
  <si>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</si>
  <si>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</si>
  <si>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</si>
  <si>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</si>
  <si>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</si>
  <si>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</si>
  <si>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</si>
  <si>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</si>
  <si>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</si>
  <si>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</si>
  <si>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</si>
  <si>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</si>
  <si>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</si>
  <si>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</si>
  <si>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</si>
  <si>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</si>
  <si>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</si>
  <si>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</si>
  <si>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</si>
  <si>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</si>
  <si>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</si>
  <si>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</si>
  <si>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</si>
  <si>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</si>
  <si>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</si>
  <si>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</si>
  <si>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</si>
  <si>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</si>
  <si>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</si>
  <si>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</si>
  <si>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</si>
  <si>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</si>
  <si>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</si>
  <si>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</si>
  <si>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</si>
  <si>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</si>
  <si>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</si>
  <si>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</si>
  <si>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</si>
  <si>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</si>
  <si>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</si>
  <si>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</si>
  <si>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</si>
  <si>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</si>
  <si>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</si>
  <si>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</si>
  <si>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</si>
  <si>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</si>
  <si>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</si>
  <si>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</si>
  <si>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</si>
  <si>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</si>
  <si>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</si>
  <si>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</si>
  <si>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</si>
  <si>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</si>
  <si>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</si>
  <si>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</si>
  <si>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</si>
  <si>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</si>
  <si>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</si>
  <si>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</si>
  <si>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</si>
  <si>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</si>
  <si>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</si>
  <si>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</si>
  <si>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</si>
  <si>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</si>
  <si>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</si>
  <si>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</si>
  <si>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</si>
  <si>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</si>
  <si>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</si>
  <si>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</si>
  <si>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</si>
  <si>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</si>
  <si>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</si>
  <si>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</si>
  <si>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</si>
  <si>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</si>
  <si>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</si>
  <si>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</si>
  <si>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</si>
  <si>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</si>
  <si>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</si>
  <si>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</si>
  <si>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</si>
  <si>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</si>
  <si>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</si>
  <si>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</si>
  <si>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</si>
  <si>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</si>
  <si>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</si>
  <si>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</si>
  <si>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</si>
  <si>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</si>
  <si>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</si>
  <si>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</si>
  <si>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</si>
  <si>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</si>
  <si>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</si>
  <si>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</si>
  <si>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</si>
  <si>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</si>
  <si>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</si>
  <si>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</si>
  <si>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</si>
  <si>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</si>
  <si>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</si>
  <si>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</si>
  <si>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</si>
  <si>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</si>
  <si>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</si>
  <si>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</si>
  <si>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</si>
  <si>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</si>
  <si>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</si>
  <si>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</si>
  <si>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</si>
  <si>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</si>
  <si>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</si>
  <si>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</si>
  <si>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</si>
  <si>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</si>
  <si>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</si>
  <si>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</si>
  <si>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</si>
  <si>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</si>
  <si>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</si>
  <si>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</si>
  <si>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</si>
  <si>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</si>
  <si>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</si>
  <si>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</si>
  <si>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</si>
  <si>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</si>
  <si>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</si>
  <si>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</si>
  <si>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</si>
  <si>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</si>
  <si>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</si>
  <si>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</si>
  <si>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</si>
  <si>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</si>
  <si>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</si>
  <si>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</si>
  <si>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</si>
  <si>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</si>
  <si>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</si>
  <si>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</si>
  <si>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</si>
  <si>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</si>
  <si>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</si>
  <si>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</si>
  <si>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</si>
  <si>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</si>
  <si>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</si>
  <si>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</si>
  <si>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</si>
  <si>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</si>
  <si>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</si>
  <si>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</si>
  <si>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</si>
  <si>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</si>
  <si>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</si>
  <si>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</si>
  <si>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</si>
  <si>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</si>
  <si>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</si>
  <si>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</si>
  <si>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</si>
  <si>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</si>
  <si>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</si>
  <si>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</si>
  <si>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</si>
  <si>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</si>
  <si>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</si>
  <si>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</si>
  <si>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</si>
  <si>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</si>
  <si>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</si>
  <si>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</si>
  <si>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</si>
  <si>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</si>
  <si>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</si>
  <si>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</si>
  <si>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</si>
  <si>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</si>
  <si>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</si>
  <si>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</si>
  <si>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</si>
  <si>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</si>
  <si>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</si>
  <si>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</si>
  <si>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</si>
  <si>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</si>
  <si>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</si>
  <si>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</si>
  <si>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</si>
  <si>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</si>
  <si>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</si>
  <si>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</si>
  <si>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</si>
  <si>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</si>
  <si>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</si>
  <si>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</si>
  <si>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</si>
  <si>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</si>
  <si>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</si>
  <si>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</si>
  <si>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</si>
  <si>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</si>
  <si>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</si>
  <si>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</si>
  <si>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</si>
  <si>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</si>
  <si>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</si>
  <si>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</si>
  <si>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</si>
  <si>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</si>
  <si>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</si>
  <si>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</si>
  <si>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</si>
  <si>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</si>
  <si>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</si>
  <si>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</si>
  <si>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</si>
  <si>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</si>
  <si>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</si>
  <si>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</si>
  <si>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</si>
  <si>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</si>
  <si>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</si>
  <si>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</si>
  <si>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</si>
  <si>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</si>
  <si>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</si>
  <si>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</si>
  <si>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</si>
  <si>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</si>
  <si>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</si>
  <si>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</si>
  <si>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</si>
  <si>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</si>
  <si>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</si>
  <si>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</si>
  <si>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</si>
  <si>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</si>
  <si>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</si>
  <si>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</si>
  <si>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</si>
  <si>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</si>
  <si>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</si>
  <si>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</si>
  <si>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</si>
  <si>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</si>
  <si>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</si>
  <si>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</si>
  <si>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</si>
  <si>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</si>
  <si>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</si>
  <si>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</si>
  <si>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</si>
  <si>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</si>
  <si>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</si>
  <si>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</si>
  <si>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</si>
  <si>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</si>
  <si>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</si>
  <si>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</si>
  <si>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</si>
  <si>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</si>
  <si>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</si>
  <si>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</si>
  <si>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</si>
  <si>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</si>
  <si>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</si>
  <si>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</si>
  <si>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</si>
  <si>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</si>
  <si>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</si>
  <si>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</si>
  <si>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</si>
  <si>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</si>
  <si>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</si>
  <si>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</si>
  <si>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</si>
  <si>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</si>
  <si>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</si>
  <si>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</si>
  <si>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</si>
  <si>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</si>
  <si>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</si>
  <si>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</si>
  <si>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</si>
  <si>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</si>
  <si>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</si>
  <si>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</si>
  <si>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</si>
  <si>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</si>
  <si>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</si>
  <si>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</si>
  <si>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</si>
  <si>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</si>
  <si>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</si>
  <si>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</si>
  <si>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</si>
  <si>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</si>
  <si>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</si>
  <si>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</si>
  <si>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</si>
  <si>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</si>
  <si>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</si>
  <si>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</si>
  <si>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</si>
  <si>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</si>
  <si>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</si>
  <si>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</si>
  <si>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</si>
  <si>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</si>
  <si>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</si>
  <si>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</si>
  <si>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</si>
  <si>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</si>
  <si>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</si>
  <si>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</si>
  <si>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</si>
  <si>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</si>
  <si>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</si>
  <si>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</si>
  <si>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</si>
  <si>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</si>
  <si>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</si>
  <si>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</si>
  <si>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</si>
  <si>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</si>
  <si>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</si>
  <si>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</si>
  <si>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</si>
  <si>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</si>
  <si>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</si>
  <si>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</si>
  <si>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</si>
  <si>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</si>
  <si>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</si>
  <si>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</si>
  <si>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</si>
  <si>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</si>
  <si>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</si>
  <si>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</si>
  <si>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</si>
  <si>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</si>
  <si>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</si>
  <si>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</si>
  <si>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</si>
  <si>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</si>
  <si>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</si>
  <si>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</si>
  <si>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</si>
  <si>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</si>
  <si>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</si>
  <si>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</si>
  <si>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</si>
  <si>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</si>
  <si>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</si>
  <si>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</si>
  <si>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</si>
  <si>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</si>
  <si>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</si>
  <si>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</si>
  <si>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</si>
  <si>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</si>
  <si>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</si>
  <si>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</si>
  <si>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</si>
  <si>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</si>
  <si>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</si>
  <si>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</si>
  <si>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</si>
  <si>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</si>
  <si>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</si>
  <si>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</si>
  <si>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</si>
  <si>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</si>
  <si>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</si>
  <si>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</si>
  <si>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</si>
  <si>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</si>
  <si>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</si>
  <si>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</si>
  <si>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</si>
  <si>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</si>
  <si>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</si>
  <si>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</si>
  <si>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</si>
  <si>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</si>
  <si>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</si>
  <si>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</si>
  <si>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</si>
  <si>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</si>
  <si>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</si>
  <si>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</si>
  <si>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</si>
  <si>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</si>
  <si>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</si>
  <si>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</si>
  <si>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</si>
  <si>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</si>
  <si>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</si>
  <si>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</si>
  <si>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</si>
  <si>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</si>
  <si>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</si>
  <si>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</si>
  <si>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</si>
  <si>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</si>
  <si>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</si>
  <si>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</si>
  <si>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</si>
  <si>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</si>
  <si>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</si>
  <si>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</si>
  <si>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</si>
  <si>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</si>
  <si>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</si>
  <si>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</si>
  <si>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</si>
  <si>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</si>
  <si>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</si>
  <si>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</si>
  <si>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</si>
  <si>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</si>
  <si>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</si>
  <si>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</si>
  <si>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</si>
  <si>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</si>
  <si>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</si>
  <si>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</si>
  <si>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</si>
  <si>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</si>
  <si>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</si>
  <si>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</si>
  <si>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</si>
  <si>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</si>
  <si>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</si>
  <si>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</si>
  <si>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</si>
  <si>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</si>
  <si>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</si>
  <si>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</si>
  <si>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</si>
  <si>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</si>
  <si>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</si>
  <si>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</si>
  <si>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</si>
  <si>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</si>
  <si>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</si>
  <si>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</si>
  <si>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</si>
  <si>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</si>
  <si>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</si>
  <si>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</si>
  <si>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</si>
  <si>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</si>
  <si>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</si>
  <si>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</si>
  <si>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</si>
  <si>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</si>
  <si>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</si>
  <si>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</si>
  <si>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</si>
  <si>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</si>
  <si>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</si>
  <si>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</si>
  <si>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</si>
  <si>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</si>
  <si>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</si>
  <si>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</si>
  <si>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</si>
  <si>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</si>
  <si>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</si>
  <si>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</si>
  <si>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</si>
  <si>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</si>
  <si>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</si>
  <si>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</si>
  <si>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</si>
  <si>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</si>
  <si>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</si>
  <si>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</si>
  <si>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</si>
  <si>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</si>
  <si>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</si>
  <si>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</si>
  <si>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</si>
  <si>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</si>
  <si>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</si>
  <si>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</si>
  <si>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</si>
  <si>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</si>
  <si>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</si>
  <si>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</si>
  <si>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</si>
  <si>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</si>
  <si>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</si>
  <si>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</si>
  <si>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</si>
  <si>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</si>
  <si>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</si>
  <si>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</si>
  <si>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</si>
  <si>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</si>
  <si>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</si>
  <si>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</si>
  <si>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</si>
  <si>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</si>
  <si>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</si>
  <si>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</si>
  <si>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</si>
  <si>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</si>
  <si>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</si>
  <si>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</si>
  <si>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</si>
  <si>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</si>
  <si>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</si>
  <si>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</si>
  <si>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</si>
  <si>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</si>
  <si>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</si>
  <si>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</si>
  <si>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</si>
  <si>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</si>
  <si>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</si>
  <si>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</si>
  <si>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</si>
  <si>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</si>
  <si>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</si>
  <si>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</si>
  <si>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</si>
  <si>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</si>
  <si>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</si>
  <si>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</si>
  <si>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</si>
  <si>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</si>
  <si>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</si>
  <si>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</si>
  <si>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</si>
  <si>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</si>
  <si>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</si>
  <si>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</si>
  <si>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</si>
  <si>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</si>
  <si>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</si>
  <si>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</si>
  <si>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</si>
  <si>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</si>
  <si>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</si>
  <si>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</si>
  <si>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</si>
  <si>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</si>
  <si>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</si>
  <si>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</si>
  <si>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</si>
  <si>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</si>
  <si>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</si>
  <si>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</si>
  <si>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</si>
  <si>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</si>
  <si>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</si>
  <si>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</si>
  <si>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</si>
  <si>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</si>
  <si>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</si>
  <si>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</si>
  <si>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</si>
  <si>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</si>
  <si>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</si>
  <si>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</si>
  <si>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</si>
  <si>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</si>
  <si>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</si>
  <si>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</si>
  <si>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</si>
  <si>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</si>
  <si>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</si>
  <si>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</si>
  <si>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</si>
  <si>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</si>
  <si>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</si>
  <si>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</si>
  <si>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</si>
  <si>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</si>
  <si>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</si>
  <si>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</si>
  <si>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</si>
  <si>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</si>
  <si>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</si>
  <si>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</si>
  <si>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</si>
  <si>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</si>
  <si>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</si>
  <si>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</si>
  <si>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</si>
  <si>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</si>
  <si>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</si>
  <si>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</si>
  <si>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</si>
  <si>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</si>
  <si>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</si>
  <si>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</si>
  <si>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</si>
  <si>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</si>
  <si>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</si>
  <si>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</si>
  <si>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</si>
  <si>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</si>
  <si>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</si>
  <si>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</si>
  <si>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</si>
  <si>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</si>
  <si>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</si>
  <si>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</si>
  <si>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</si>
  <si>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</si>
  <si>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</si>
  <si>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</si>
  <si>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</si>
  <si>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</si>
  <si>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</si>
  <si>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</si>
  <si>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</si>
  <si>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</si>
  <si>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</si>
  <si>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</si>
  <si>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</si>
  <si>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</si>
  <si>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</si>
  <si>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</si>
  <si>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</si>
  <si>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</si>
  <si>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</si>
  <si>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</si>
  <si>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</si>
  <si>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</si>
  <si>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</si>
  <si>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</si>
  <si>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</si>
  <si>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</si>
  <si>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</si>
  <si>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</si>
  <si>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</si>
  <si>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</si>
  <si>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</si>
  <si>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</si>
  <si>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</si>
  <si>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</si>
  <si>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</si>
  <si>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</si>
  <si>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</si>
  <si>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</si>
  <si>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</si>
  <si>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</si>
  <si>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</si>
  <si>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</si>
  <si>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</si>
  <si>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</si>
  <si>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</si>
  <si>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</si>
  <si>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</si>
  <si>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</si>
  <si>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</si>
  <si>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</si>
  <si>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</si>
  <si>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</si>
  <si>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</si>
  <si>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</si>
  <si>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</si>
  <si>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</si>
  <si>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</si>
  <si>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</si>
  <si>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</si>
  <si>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</si>
  <si>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</si>
  <si>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</si>
  <si>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</si>
  <si>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</si>
  <si>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</si>
  <si>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</si>
  <si>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</si>
  <si>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</si>
  <si>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</si>
  <si>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</si>
  <si>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</si>
  <si>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</si>
  <si>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</si>
  <si>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</si>
  <si>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</si>
  <si>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</si>
  <si>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</si>
  <si>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</si>
  <si>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</si>
  <si>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</si>
  <si>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</si>
  <si>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</si>
  <si>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</si>
  <si>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</si>
  <si>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</si>
  <si>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</si>
  <si>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</si>
  <si>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</si>
  <si>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</si>
  <si>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</si>
  <si>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</si>
  <si>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</si>
  <si>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</si>
  <si>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</si>
  <si>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</si>
  <si>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</si>
  <si>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</si>
  <si>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</si>
  <si>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</si>
  <si>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</si>
  <si>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</si>
  <si>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</si>
  <si>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</si>
  <si>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</si>
  <si>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</si>
  <si>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</si>
  <si>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</si>
  <si>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</si>
  <si>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</si>
  <si>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</si>
  <si>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</si>
  <si>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</si>
  <si>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</si>
  <si>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</si>
  <si>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</si>
  <si>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</si>
  <si>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</si>
  <si>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</si>
  <si>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</si>
  <si>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</si>
  <si>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</si>
  <si>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</si>
  <si>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</si>
  <si>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</si>
  <si>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</si>
  <si>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</si>
  <si>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</si>
  <si>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</si>
  <si>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</si>
  <si>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</si>
  <si>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</si>
  <si>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</si>
  <si>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</si>
  <si>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</si>
  <si>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</si>
  <si>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</si>
  <si>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</si>
  <si>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</si>
  <si>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</si>
  <si>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</si>
  <si>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</si>
  <si>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</si>
  <si>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</si>
  <si>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</si>
  <si>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</si>
  <si>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</si>
  <si>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</si>
  <si>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</si>
  <si>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</si>
  <si>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</si>
  <si>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</si>
  <si>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</si>
  <si>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</si>
  <si>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</si>
  <si>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</si>
  <si>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</si>
  <si>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</si>
  <si>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</si>
  <si>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</si>
  <si>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</si>
  <si>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</si>
  <si>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</si>
  <si>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</si>
  <si>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</si>
  <si>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</si>
  <si>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</si>
  <si>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</si>
  <si>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</si>
  <si>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</si>
  <si>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</si>
  <si>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</si>
  <si>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</si>
  <si>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</si>
  <si>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</si>
  <si>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</si>
  <si>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</si>
  <si>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</si>
  <si>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</si>
  <si>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</si>
  <si>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</si>
  <si>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</si>
  <si>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</si>
  <si>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</si>
  <si>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</si>
  <si>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</si>
  <si>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</si>
  <si>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</si>
  <si>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</si>
  <si>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</si>
  <si>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</si>
  <si>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</si>
  <si>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</si>
  <si>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</si>
  <si>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</si>
  <si>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</si>
  <si>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</si>
  <si>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</si>
  <si>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</si>
  <si>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</si>
  <si>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</si>
  <si>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</si>
  <si>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</si>
  <si>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</si>
  <si>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</si>
  <si>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</si>
  <si>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 悪魔 ===========-</t>
  </si>
  <si>
    <t>魔族</t>
  </si>
  <si>
    <t>悪魔</t>
  </si>
  <si>
    <t>["火山","荒野"]</t>
  </si>
  <si>
    <t>ヘルフレイムデヴィル</t>
  </si>
  <si>
    <t>デヴィル_10</t>
  </si>
  <si>
    <t>デヴィル派生。性能は基礎デヴィル値を暫定継承。専用スキル・詳細階層は未調整。</t>
  </si>
  <si>
    <t>ヘルフロストデヴィル</t>
  </si>
  <si>
    <t>ブラッドデヴィル</t>
  </si>
  <si>
    <t>フレイムデヴィル</t>
  </si>
  <si>
    <t>ヘルザーデヴィル</t>
  </si>
  <si>
    <t>武装生成</t>
  </si>
  <si>
    <t>デヴィル専用系統。性能は基礎デヴィル値を暫定継承。専用スキル・正式な階層は未調整。</t>
  </si>
  <si>
    <t>変身</t>
  </si>
  <si>
    <t>空間操作</t>
  </si>
  <si>
    <t>-=========== 天使 ===========-</t>
  </si>
  <si>
    <t>天使</t>
  </si>
  <si>
    <t>["死の霧"]</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</si>
  <si>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</si>
  <si>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</si>
  <si>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</si>
  <si>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</si>
  <si>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</si>
  <si>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</si>
  <si>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</si>
  <si>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</si>
  <si>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</si>
  <si>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</si>
  <si>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</si>
  <si>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</si>
  <si>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</si>
  <si>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</si>
  <si>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</si>
  <si>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 アンデッド ===========-</t>
  </si>
  <si>
    <t>吸血鬼</t>
  </si>
  <si>
    <t>["丘陵","森"]</t>
  </si>
  <si>
    <t>["砂漠","平地"]</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</si>
  <si>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</si>
  <si>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</si>
  <si>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</si>
  <si>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</si>
  <si>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</si>
  <si>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</si>
  <si>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</si>
  <si>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</si>
  <si>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</si>
  <si>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</si>
  <si>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</si>
  <si>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</si>
  <si>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</si>
  <si>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</si>
  <si>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レヴナント_10</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</si>
  <si>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</si>
  <si>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</si>
  <si>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</si>
  <si>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</si>
  <si>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</si>
  <si>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</si>
  <si>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</si>
  <si>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</si>
  <si>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</si>
  <si>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</si>
  <si>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</si>
  <si>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</si>
  <si>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</si>
  <si>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</si>
  <si>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</si>
  <si>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</si>
  <si>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</si>
  <si>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</si>
  <si>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</si>
  <si>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</si>
  <si>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</si>
  <si>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</si>
  <si>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</si>
  <si>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</si>
  <si>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</si>
  <si>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</si>
  <si>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</si>
  <si>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</si>
  <si>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</si>
  <si>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</si>
  <si>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</si>
  <si>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</si>
  <si>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</si>
  <si>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</si>
  <si>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</si>
  <si>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</si>
  <si>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</si>
  <si>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</si>
  <si>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</si>
  <si>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</si>
  <si>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</si>
  <si>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</si>
  <si>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</si>
  <si>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</si>
  <si>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</si>
  <si>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</si>
  <si>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</si>
  <si>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</si>
  <si>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</si>
  <si>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</si>
  <si>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</si>
  <si>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</si>
  <si>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</si>
  <si>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</si>
  <si>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</si>
  <si>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</si>
  <si>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</si>
  <si>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</si>
  <si>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</si>
  <si>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</si>
  <si>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</si>
  <si>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</si>
  <si>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</si>
  <si>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</si>
  <si>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</si>
  <si>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</si>
  <si>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</si>
  <si>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</si>
  <si>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</si>
  <si>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</si>
  <si>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</si>
  <si>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</si>
  <si>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</si>
  <si>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</si>
  <si>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</si>
  <si>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</si>
  <si>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</si>
  <si>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</si>
  <si>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</si>
  <si>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</si>
  <si>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</si>
  <si>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</si>
  <si>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</si>
  <si>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</si>
  <si>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</si>
  <si>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</si>
  <si>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</si>
  <si>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</si>
  <si>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</si>
  <si>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</si>
  <si>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</si>
  <si>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</si>
  <si>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</si>
  <si>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</si>
  <si>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</si>
  <si>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</si>
  <si>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</si>
  <si>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</si>
  <si>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</si>
  <si>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</si>
  <si>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</si>
  <si>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</si>
  <si>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</si>
  <si>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</si>
  <si>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</si>
  <si>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</si>
  <si>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</si>
  <si>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</si>
  <si>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</si>
  <si>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</si>
  <si>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</si>
  <si>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</si>
  <si>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</si>
  <si>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</si>
  <si>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</si>
  <si>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</si>
  <si>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</si>
  <si>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</si>
  <si>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</si>
  <si>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</si>
  <si>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</si>
  <si>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</si>
  <si>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</si>
  <si>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</si>
  <si>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</si>
  <si>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</si>
  <si>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</si>
  <si>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</si>
  <si>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</si>
  <si>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</si>
  <si>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</si>
  <si>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</si>
  <si>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</si>
  <si>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</si>
  <si>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</si>
  <si>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</si>
  <si>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</si>
  <si>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</si>
  <si>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</si>
  <si>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</si>
  <si>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</si>
  <si>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</si>
  <si>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</si>
  <si>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</si>
  <si>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</si>
  <si>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</si>
  <si>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</si>
  <si>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</si>
  <si>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</si>
  <si>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</si>
  <si>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</si>
  <si>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</si>
  <si>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</si>
  <si>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</si>
  <si>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</si>
  <si>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</si>
  <si>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</si>
  <si>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</si>
  <si>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</si>
  <si>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</si>
  <si>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</si>
  <si>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</si>
  <si>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</si>
  <si>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</si>
  <si>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</si>
  <si>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</si>
  <si>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</si>
  <si>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</si>
  <si>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</si>
  <si>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</si>
  <si>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</si>
  <si>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</si>
  <si>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</si>
  <si>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</si>
  <si>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</si>
  <si>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能力クラス</t>
  </si>
  <si>
    <t>使用可</t>
  </si>
  <si>
    <t>旧名称</t>
  </si>
  <si>
    <t>画像</t>
  </si>
  <si>
    <t>概要</t>
  </si>
  <si>
    <t>特徴</t>
  </si>
  <si>
    <t>マーカー文字</t>
  </si>
  <si>
    <t>マーカー色</t>
  </si>
  <si>
    <t>初期人数</t>
  </si>
  <si>
    <t>高さ</t>
  </si>
  <si>
    <t>ヒーロー</t>
  </si>
  <si>
    <t>軍隊</t>
  </si>
  <si>
    <t>土地</t>
  </si>
  <si>
    <t>設定メモ</t>
  </si>
  <si>
    <t>推奨クラス</t>
  </si>
  <si>
    <t>推奨都市特化</t>
  </si>
  <si>
    <t>["人間","ヒューマン"]</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</si>
  <si>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</si>
  <si>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</si>
  <si>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</si>
  <si>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</si>
  <si>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只</t>
  </si>
  <si>
    <t>#3e5d84</t>
  </si>
  <si>
    <t>交易都市/農業都市/学術都市</t>
  </si>
  <si>
    <t>["森人"]</t>
  </si>
  <si>
    <t>/assets/images/role/森人.webp</t>
  </si>
  <si>
    <t>魔法・索敵に秀でた長命種。</t>
  </si>
  <si>
    <t>森地形と相性が良く、精密運用で真価を発揮する。防衛よりも戦術優位を取り続ける構成向き。</t>
  </si>
  <si>
    <t>["魔術適性","索敵強化","森林親和"]</t>
  </si>
  <si>
    <t>#4a7d3c</t>
  </si>
  <si>
    <t>ウィザード/アーチャー/スカウト/ドルイド</t>
  </si>
  <si>
    <t>魔法都市/学術都市/神秘都市</t>
  </si>
  <si>
    <t>["土人"]</t>
  </si>
  <si>
    <t>土</t>
  </si>
  <si>
    <t>#7a5f3a</t>
  </si>
  <si>
    <t>洞窟,丘,山</t>
  </si>
  <si>
    <t>表示情報（画像・概要・詳細・特徴）が未設定</t>
  </si>
  <si>
    <t>ファイター/ナイト/ドルイド</t>
  </si>
  <si>
    <t>["ビーストマン"]</t>
  </si>
  <si>
    <t>獣</t>
  </si>
  <si>
    <t>#8a6d2e</t>
  </si>
  <si>
    <t>モンク/レンジャー/フェンサー</t>
  </si>
  <si>
    <t>["ドラゴニュート"]</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</si>
  <si>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</si>
  <si>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</si>
  <si>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</si>
  <si>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</si>
  <si>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#39687f</t>
  </si>
  <si>
    <t>丘,山,平地,沼</t>
  </si>
  <si>
    <t>ファイター/ウォーリアー/ガーディアン</t>
  </si>
  <si>
    <t>軍事都市/城塞都市</t>
  </si>
  <si>
    <t>["大鬼"]</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</si>
  <si>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</si>
  <si>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</si>
  <si>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</si>
  <si>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</si>
  <si>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鬼</t>
  </si>
  <si>
    <t>#7f3f2e</t>
  </si>
  <si>
    <t>丘,平地,森,山</t>
  </si>
  <si>
    <t>["ジャイアント"]</t>
  </si>
  <si>
    <t>巨</t>
  </si>
  <si>
    <t>#6b5c4b</t>
  </si>
  <si>
    <t>丘,平地,山</t>
  </si>
  <si>
    <t>["鬼妖"]</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</si>
  <si>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</si>
  <si>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</si>
  <si>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</si>
  <si>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</si>
  <si>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妖</t>
  </si>
  <si>
    <t>#5f7c3a</t>
  </si>
  <si>
    <t>丘,森</t>
  </si>
  <si>
    <t>スカウト/アーチャー/ファイター</t>
  </si>
  <si>
    <t>軍事都市/交易都市</t>
  </si>
  <si>
    <t>["デヴィル"]</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</si>
  <si>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</si>
  <si>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</si>
  <si>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</si>
  <si>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</si>
  <si>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魔</t>
  </si>
  <si>
    <t>#6a2f4f</t>
  </si>
  <si>
    <t>山,森,湖</t>
  </si>
  <si>
    <t>ウィザード/ファイター/スカウト</t>
  </si>
  <si>
    <t>魔法都市/軍事都市/神秘都市</t>
  </si>
  <si>
    <t>["エンジェル"]</t>
  </si>
  <si>
    <t>/assets/images/role/天使.webp</t>
  </si>
  <si>
    <t>支援と維持戦に優れた加護系種族。</t>
  </si>
  <si>
    <t>部隊全体の安定性を上げる効果が多く、長期戦で有利。信仰系スキルや統治との噛み合わせが良い。</t>
  </si>
  <si>
    <t>["全体支援","持久戦","信仰適性"]</t>
  </si>
  <si>
    <t>天</t>
  </si>
  <si>
    <t>#5c6fa2</t>
  </si>
  <si>
    <t>火山,山,丘,洞窟</t>
  </si>
  <si>
    <t>クレリック/ナイト/パラディン</t>
  </si>
  <si>
    <t>信仰都市/城塞都市</t>
  </si>
  <si>
    <t>["吸血鬼"]</t>
  </si>
  <si>
    <t>/assets/images/role/吸血鬼.webp</t>
  </si>
  <si>
    <t>継戦吸収型の技巧種族。</t>
  </si>
  <si>
    <t>削り合いに強く、戦線維持能力が高い。瞬間火力よりも、戦闘テンポの主導権を握る運用向き。</t>
  </si>
  <si>
    <t>["自己回復","持久戦","夜戦適性"]</t>
  </si>
  <si>
    <t>吸</t>
  </si>
  <si>
    <t>#662f4a</t>
  </si>
  <si>
    <t>洞窟,森,渓谷</t>
  </si>
  <si>
    <t>高さ未設定</t>
  </si>
  <si>
    <t>ウィザード/スカウト/レンジャー</t>
  </si>
  <si>
    <t>軍事都市/城塞都市/死者の都</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</si>
  <si>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</si>
  <si>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</si>
  <si>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</si>
  <si>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</si>
  <si>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</si>
  <si>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</si>
  <si>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</si>
  <si>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</si>
  <si>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</si>
  <si>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</si>
  <si>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</si>
  <si>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</si>
  <si>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</si>
  <si>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</si>
  <si>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</si>
  <si>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</si>
  <si>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</si>
  <si>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</si>
  <si>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</si>
  <si>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</si>
  <si>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</si>
  <si>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</si>
  <si>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</si>
  <si>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</si>
  <si>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</si>
  <si>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</si>
  <si>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</si>
  <si>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</si>
  <si>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</si>
  <si>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</si>
  <si>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</si>
  <si>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</si>
  <si>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</si>
  <si>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</si>
  <si>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</si>
  <si>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</si>
  <si>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</si>
  <si>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</si>
  <si>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</si>
  <si>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</si>
  <si>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</si>
  <si>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</si>
  <si>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</si>
  <si>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</si>
  <si>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</si>
  <si>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</si>
  <si>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</si>
  <si>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</si>
  <si>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</si>
  <si>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</si>
  <si>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</si>
  <si>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</si>
  <si>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</si>
  <si>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</si>
  <si>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</si>
  <si>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</si>
  <si>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</si>
  <si>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</si>
  <si>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</si>
  <si>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</si>
  <si>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</si>
  <si>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</si>
  <si>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</si>
  <si>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</si>
  <si>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</si>
  <si>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</si>
  <si>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</si>
  <si>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</si>
  <si>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</si>
  <si>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</si>
  <si>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</si>
  <si>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</si>
  <si>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</si>
  <si>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</si>
  <si>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</si>
  <si>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</si>
  <si>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</si>
  <si>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</si>
  <si>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</si>
  <si>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</si>
  <si>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</si>
  <si>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</si>
  <si>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</si>
  <si>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</si>
  <si>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</si>
  <si>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</si>
  <si>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</si>
  <si>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</si>
  <si>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</si>
  <si>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</si>
  <si>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</si>
  <si>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</si>
  <si>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</si>
  <si>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</si>
  <si>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</si>
  <si>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</si>
  <si>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</si>
  <si>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</si>
  <si>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</si>
  <si>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</si>
  <si>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</si>
  <si>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</si>
  <si>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</si>
  <si>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</si>
  <si>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</si>
  <si>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</si>
  <si>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</si>
  <si>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</si>
  <si>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</si>
  <si>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</si>
  <si>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</si>
  <si>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</si>
  <si>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</si>
  <si>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</si>
  <si>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</si>
  <si>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</si>
  <si>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</si>
  <si>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</si>
  <si>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</si>
  <si>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</si>
  <si>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</si>
  <si>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</si>
  <si>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</si>
  <si>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</si>
  <si>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</si>
  <si>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</si>
  <si>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</si>
  <si>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</si>
  <si>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</si>
  <si>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</si>
  <si>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</si>
  <si>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</si>
  <si>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</si>
  <si>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</si>
  <si>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</si>
  <si>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</si>
  <si>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</si>
  <si>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</si>
  <si>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</si>
  <si>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</si>
  <si>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</si>
  <si>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</si>
  <si>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</si>
  <si>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</si>
  <si>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</si>
  <si>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</si>
  <si>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</si>
  <si>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</si>
  <si>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</si>
  <si>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</si>
  <si>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</si>
  <si>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</si>
  <si>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</si>
  <si>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</si>
  <si>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</si>
  <si>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</si>
  <si>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</si>
  <si>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</si>
  <si>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</si>
  <si>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</si>
  <si>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</si>
  <si>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</si>
  <si>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</si>
  <si>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</si>
  <si>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</si>
  <si>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</si>
  <si>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</si>
  <si>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</si>
  <si>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</si>
  <si>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</si>
  <si>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</si>
  <si>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</si>
  <si>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</si>
  <si>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</si>
  <si>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</si>
  <si>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</si>
  <si>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</si>
  <si>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</si>
  <si>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</si>
  <si>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</si>
  <si>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</si>
  <si>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</si>
  <si>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</si>
  <si>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</si>
  <si>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</si>
  <si>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</si>
  <si>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</si>
  <si>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</si>
  <si>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</si>
  <si>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</si>
  <si>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</si>
  <si>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</si>
  <si>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</si>
  <si>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</si>
  <si>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</si>
  <si>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</si>
  <si>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</si>
  <si>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</si>
  <si>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</si>
  <si>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</si>
  <si>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</si>
  <si>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</si>
  <si>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</si>
  <si>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</si>
  <si>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</si>
  <si>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</si>
  <si>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</si>
  <si>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</si>
  <si>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</si>
  <si>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</si>
  <si>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</si>
  <si>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</si>
  <si>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</si>
  <si>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</si>
  <si>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</si>
  <si>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</si>
  <si>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</si>
  <si>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</si>
  <si>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</si>
  <si>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</si>
  <si>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</si>
  <si>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</si>
  <si>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</si>
  <si>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</si>
  <si>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</si>
  <si>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</si>
  <si>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</si>
  <si>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</si>
  <si>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</si>
  <si>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</si>
  <si>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</si>
  <si>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</si>
  <si>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</si>
  <si>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</si>
  <si>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</si>
  <si>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</si>
  <si>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</si>
  <si>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</si>
  <si>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</si>
  <si>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</si>
  <si>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</si>
  <si>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</si>
  <si>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</si>
  <si>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</si>
  <si>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</si>
  <si>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</si>
  <si>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</si>
  <si>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</si>
  <si>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</si>
  <si>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</si>
  <si>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</si>
  <si>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</si>
  <si>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</si>
  <si>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</si>
  <si>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</si>
  <si>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</si>
  <si>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</si>
  <si>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</si>
  <si>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</si>
  <si>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</si>
  <si>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</si>
  <si>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</si>
  <si>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</si>
  <si>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</si>
  <si>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</si>
  <si>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</si>
  <si>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</si>
  <si>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</si>
  <si>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</si>
  <si>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</si>
  <si>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</si>
  <si>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</si>
  <si>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</si>
  <si>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</si>
  <si>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</si>
  <si>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</si>
  <si>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</si>
  <si>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</si>
  <si>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</si>
  <si>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</si>
  <si>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</si>
  <si>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</si>
  <si>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</si>
  <si>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</si>
  <si>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</si>
  <si>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</si>
  <si>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</si>
  <si>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</si>
  <si>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</si>
  <si>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</si>
  <si>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</si>
  <si>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</si>
  <si>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</si>
  <si>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</si>
  <si>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</si>
  <si>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</si>
  <si>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</si>
  <si>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</si>
  <si>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</si>
  <si>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</si>
  <si>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</si>
  <si>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</si>
  <si>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</si>
  <si>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</si>
  <si>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</si>
  <si>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</si>
  <si>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</si>
  <si>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</si>
  <si>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</si>
  <si>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</si>
  <si>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</si>
  <si>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</si>
  <si>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</si>
  <si>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</si>
  <si>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</si>
  <si>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</si>
  <si>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</si>
  <si>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</si>
  <si>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</si>
  <si>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</si>
  <si>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</si>
  <si>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</si>
  <si>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</si>
  <si>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</si>
  <si>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</si>
  <si>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</si>
  <si>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</si>
  <si>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</si>
  <si>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</si>
  <si>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</si>
  <si>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</si>
  <si>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</si>
  <si>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</si>
  <si>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</si>
  <si>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</si>
  <si>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</si>
  <si>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</si>
  <si>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</si>
  <si>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</si>
  <si>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</si>
  <si>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</si>
  <si>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</si>
  <si>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</si>
  <si>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</si>
  <si>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</si>
  <si>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</si>
  <si>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</si>
  <si>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</si>
  <si>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</si>
  <si>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</si>
  <si>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</si>
  <si>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</si>
  <si>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</si>
  <si>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</si>
  <si>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</si>
  <si>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</si>
  <si>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</si>
  <si>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</si>
  <si>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</si>
  <si>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</si>
  <si>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</si>
  <si>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</si>
  <si>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</si>
  <si>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</si>
  <si>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</si>
  <si>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</si>
  <si>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</si>
  <si>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</si>
  <si>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</si>
  <si>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</si>
  <si>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</si>
  <si>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</si>
  <si>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</si>
  <si>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</si>
  <si>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</si>
  <si>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</si>
  <si>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</si>
  <si>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</si>
  <si>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</si>
  <si>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</si>
  <si>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</si>
  <si>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</si>
  <si>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</si>
  <si>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</si>
  <si>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</si>
  <si>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</si>
  <si>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</si>
  <si>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</si>
  <si>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</si>
  <si>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</si>
  <si>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</si>
  <si>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</si>
  <si>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</si>
  <si>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</si>
  <si>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</si>
  <si>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</si>
  <si>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</si>
  <si>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</si>
  <si>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</si>
  <si>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</si>
  <si>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</si>
  <si>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</si>
  <si>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</si>
  <si>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</si>
  <si>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</si>
  <si>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</si>
  <si>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</si>
  <si>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</si>
  <si>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</si>
  <si>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</si>
  <si>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</si>
  <si>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</si>
  <si>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</si>
  <si>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</si>
  <si>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</si>
  <si>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</si>
  <si>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</si>
  <si>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</si>
  <si>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</si>
  <si>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</si>
  <si>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</si>
  <si>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</si>
  <si>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</si>
  <si>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</si>
  <si>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</si>
  <si>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</si>
  <si>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</si>
  <si>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</si>
  <si>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</si>
  <si>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</si>
  <si>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</si>
  <si>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</si>
  <si>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</si>
  <si>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</si>
  <si>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</si>
  <si>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</si>
  <si>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</si>
  <si>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</si>
  <si>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</si>
  <si>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</si>
  <si>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</si>
  <si>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</si>
  <si>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</si>
  <si>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</si>
  <si>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</si>
  <si>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</si>
  <si>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</si>
  <si>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</si>
  <si>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</si>
  <si>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</si>
  <si>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</si>
  <si>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</si>
  <si>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</si>
  <si>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</si>
  <si>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</si>
  <si>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</si>
  <si>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</si>
  <si>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</si>
  <si>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</si>
  <si>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</si>
  <si>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</si>
  <si>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</si>
  <si>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</si>
  <si>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</si>
  <si>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</si>
  <si>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</si>
  <si>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</si>
  <si>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</si>
  <si>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</si>
  <si>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</si>
  <si>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</si>
  <si>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</si>
  <si>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</si>
  <si>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</si>
  <si>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</si>
  <si>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</si>
  <si>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</si>
  <si>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</si>
  <si>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</si>
  <si>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</si>
  <si>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</si>
  <si>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</si>
  <si>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</si>
  <si>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</si>
  <si>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</si>
  <si>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</si>
  <si>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</si>
  <si>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</si>
  <si>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</si>
  <si>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</si>
  <si>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</si>
  <si>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</si>
  <si>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</si>
  <si>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</si>
  <si>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</si>
  <si>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</si>
  <si>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</si>
  <si>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</si>
  <si>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</si>
  <si>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</si>
  <si>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</si>
  <si>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</si>
  <si>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</si>
  <si>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</si>
  <si>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</si>
  <si>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</si>
  <si>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</si>
  <si>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</si>
  <si>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</si>
  <si>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</si>
  <si>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</si>
  <si>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</si>
  <si>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</si>
  <si>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</si>
  <si>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</si>
  <si>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</si>
  <si>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</si>
  <si>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</si>
  <si>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</si>
  <si>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</si>
  <si>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</si>
  <si>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</si>
  <si>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</si>
  <si>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</si>
  <si>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</si>
  <si>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</si>
  <si>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</si>
  <si>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</si>
  <si>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</si>
  <si>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</si>
  <si>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</si>
  <si>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</si>
  <si>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</si>
  <si>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</si>
  <si>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</si>
  <si>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</si>
  <si>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</si>
  <si>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</si>
  <si>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</si>
  <si>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</si>
  <si>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</si>
  <si>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</si>
  <si>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</si>
  <si>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</si>
  <si>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</si>
  <si>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</si>
  <si>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</si>
  <si>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</si>
  <si>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</si>
  <si>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</si>
  <si>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</si>
  <si>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</si>
  <si>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</si>
  <si>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</si>
  <si>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</si>
  <si>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</si>
  <si>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</si>
  <si>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</si>
  <si>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</si>
  <si>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</si>
  <si>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</si>
  <si>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</si>
  <si>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</si>
  <si>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</si>
  <si>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</si>
  <si>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</si>
  <si>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</si>
  <si>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</si>
  <si>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</si>
  <si>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</si>
  <si>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</si>
  <si>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</si>
  <si>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</si>
  <si>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</si>
  <si>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</si>
  <si>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</si>
  <si>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</si>
  <si>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</si>
  <si>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</si>
  <si>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</si>
  <si>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</si>
  <si>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</si>
  <si>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</si>
  <si>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</si>
  <si>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</si>
  <si>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</si>
  <si>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</si>
  <si>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</si>
  <si>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</si>
  <si>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</si>
  <si>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</si>
  <si>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</si>
  <si>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</si>
  <si>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</si>
  <si>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</si>
  <si>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</si>
  <si>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</si>
  <si>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</si>
  <si>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</si>
  <si>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</si>
  <si>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</si>
  <si>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</si>
  <si>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</si>
  <si>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</si>
  <si>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</si>
  <si>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</si>
  <si>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</si>
  <si>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</si>
  <si>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</si>
  <si>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</si>
  <si>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</si>
  <si>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</si>
  <si>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</si>
  <si>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</si>
  <si>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</si>
  <si>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</si>
  <si>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</si>
  <si>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</si>
  <si>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</si>
  <si>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</si>
  <si>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</si>
  <si>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</si>
  <si>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</si>
  <si>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</si>
  <si>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</si>
  <si>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</si>
  <si>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</si>
  <si>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</si>
  <si>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</si>
  <si>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</si>
  <si>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</si>
  <si>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</si>
  <si>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</si>
  <si>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</si>
  <si>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</si>
  <si>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</si>
  <si>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</si>
  <si>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</si>
  <si>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</si>
  <si>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</si>
  <si>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</si>
  <si>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</si>
  <si>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</si>
  <si>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</si>
  <si>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</si>
  <si>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</si>
  <si>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</si>
  <si>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</si>
  <si>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</si>
  <si>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</si>
  <si>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</si>
  <si>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</si>
  <si>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</si>
  <si>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</si>
  <si>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</si>
  <si>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</si>
  <si>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</si>
  <si>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</si>
  <si>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</si>
  <si>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</si>
  <si>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</si>
  <si>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</si>
  <si>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</si>
  <si>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</si>
  <si>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</si>
  <si>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</si>
  <si>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</si>
  <si>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</si>
  <si>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</si>
  <si>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</si>
  <si>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</si>
  <si>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</si>
  <si>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</si>
  <si>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</si>
  <si>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</si>
  <si>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</si>
  <si>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</si>
  <si>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</si>
  <si>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</si>
  <si>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</si>
  <si>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</si>
  <si>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</si>
  <si>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</si>
  <si>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</si>
  <si>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</si>
  <si>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</si>
  <si>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</si>
  <si>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</si>
  <si>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</si>
  <si>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</si>
  <si>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</si>
  <si>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</si>
  <si>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</si>
  <si>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</si>
  <si>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</si>
  <si>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</si>
  <si>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</si>
  <si>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</si>
  <si>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</si>
  <si>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</si>
  <si>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</si>
  <si>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</si>
  <si>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</si>
  <si>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</si>
  <si>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</si>
  <si>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</si>
  <si>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</si>
  <si>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</si>
  <si>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</si>
  <si>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</si>
  <si>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</si>
  <si>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</si>
  <si>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</si>
  <si>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</si>
  <si>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</si>
  <si>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</si>
  <si>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</si>
  <si>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</si>
  <si>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</si>
  <si>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</si>
  <si>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</si>
  <si>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</si>
  <si>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</si>
  <si>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</si>
  <si>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</si>
  <si>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</si>
  <si>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</si>
  <si>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</si>
  <si>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</si>
  <si>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</si>
  <si>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</si>
  <si>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</si>
  <si>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</si>
  <si>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</si>
  <si>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</si>
  <si>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</si>
  <si>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</si>
  <si>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</si>
  <si>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</si>
  <si>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</si>
  <si>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</si>
  <si>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</si>
  <si>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</si>
  <si>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</si>
  <si>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</si>
  <si>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</si>
  <si>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</si>
  <si>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</si>
  <si>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</si>
  <si>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</si>
  <si>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</si>
  <si>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</si>
  <si>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</si>
  <si>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</si>
  <si>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</si>
  <si>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</si>
  <si>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</si>
  <si>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</si>
  <si>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</si>
  <si>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</si>
  <si>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</si>
  <si>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</si>
  <si>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</si>
  <si>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</si>
  <si>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</si>
  <si>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</si>
  <si>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</si>
  <si>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</si>
  <si>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</si>
  <si>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</si>
  <si>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</si>
  <si>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</si>
  <si>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</si>
  <si>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</si>
  <si>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</si>
  <si>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</si>
  <si>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</si>
  <si>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</si>
  <si>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</si>
  <si>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</si>
  <si>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</si>
  <si>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</si>
  <si>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</si>
  <si>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</si>
  <si>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</si>
  <si>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</si>
  <si>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</si>
  <si>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</si>
  <si>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</si>
  <si>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</si>
  <si>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</si>
  <si>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</si>
  <si>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</si>
  <si>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</si>
  <si>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</si>
  <si>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</si>
  <si>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</si>
  <si>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</si>
  <si>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</si>
  <si>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</si>
  <si>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</si>
  <si>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</si>
  <si>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</si>
  <si>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</si>
  <si>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</si>
  <si>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</si>
  <si>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</si>
  <si>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</si>
  <si>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</si>
  <si>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</si>
  <si>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</si>
  <si>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</si>
  <si>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</si>
  <si>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</si>
  <si>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</si>
  <si>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</si>
  <si>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</si>
  <si>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</si>
  <si>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</si>
  <si>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</si>
  <si>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</si>
  <si>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</si>
  <si>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</si>
  <si>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</si>
  <si>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</si>
  <si>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</si>
  <si>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</si>
  <si>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</si>
  <si>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</si>
  <si>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</si>
  <si>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</si>
  <si>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</si>
  <si>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</si>
  <si>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</si>
  <si>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</si>
  <si>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</si>
  <si>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</si>
  <si>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</si>
  <si>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</si>
  <si>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</si>
  <si>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</si>
  <si>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</si>
  <si>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</si>
  <si>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</si>
  <si>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</si>
  <si>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</si>
  <si>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</si>
  <si>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</si>
  <si>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</si>
  <si>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</si>
  <si>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</si>
  <si>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</si>
  <si>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</si>
  <si>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</si>
  <si>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</si>
  <si>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</si>
  <si>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</si>
  <si>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</si>
  <si>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</si>
  <si>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</si>
  <si>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</si>
  <si>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</si>
  <si>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</si>
  <si>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</si>
  <si>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</si>
  <si>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</si>
  <si>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</si>
  <si>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</si>
  <si>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</si>
  <si>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</si>
  <si>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</si>
  <si>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</si>
  <si>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</si>
  <si>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</si>
  <si>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</si>
  <si>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</si>
  <si>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</si>
  <si>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</si>
  <si>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</si>
  <si>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</si>
  <si>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</si>
  <si>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</si>
  <si>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</si>
  <si>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</si>
  <si>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</si>
  <si>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</si>
  <si>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</si>
  <si>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</si>
  <si>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</si>
  <si>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</si>
  <si>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</si>
  <si>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</si>
  <si>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</si>
  <si>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</si>
  <si>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</si>
  <si>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</si>
  <si>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</si>
  <si>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</si>
  <si>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</si>
  <si>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</si>
  <si>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</si>
  <si>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</si>
  <si>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</si>
  <si>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</si>
  <si>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</si>
  <si>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</si>
  <si>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</si>
  <si>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</si>
  <si>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</si>
  <si>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</si>
  <si>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</si>
  <si>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</si>
  <si>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</si>
  <si>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</si>
  <si>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</si>
  <si>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</si>
  <si>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</si>
  <si>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</si>
  <si>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</si>
  <si>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</si>
  <si>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</si>
  <si>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</si>
  <si>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</si>
  <si>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</si>
  <si>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</si>
  <si>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</si>
  <si>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</si>
  <si>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</si>
  <si>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</si>
  <si>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</si>
  <si>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</si>
  <si>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</si>
  <si>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</si>
  <si>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</si>
  <si>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</si>
  <si>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</si>
  <si>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</si>
  <si>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</si>
  <si>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</si>
  <si>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</si>
  <si>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</si>
  <si>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</si>
  <si>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</si>
  <si>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</si>
  <si>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</si>
  <si>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</si>
  <si>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</si>
  <si>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</si>
  <si>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</si>
  <si>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</si>
  <si>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</si>
  <si>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</si>
  <si>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</si>
  <si>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</si>
  <si>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</si>
  <si>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</si>
  <si>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</si>
  <si>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</si>
  <si>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</si>
  <si>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</si>
  <si>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</si>
  <si>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</si>
  <si>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</si>
  <si>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</si>
  <si>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</si>
  <si>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</si>
  <si>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</si>
  <si>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</si>
  <si>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</si>
  <si>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</si>
  <si>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</si>
  <si>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</si>
  <si>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</si>
  <si>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</si>
  <si>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</si>
  <si>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</si>
  <si>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</si>
  <si>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</si>
  <si>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</si>
  <si>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</si>
  <si>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</si>
  <si>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</si>
  <si>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</si>
  <si>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</si>
  <si>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</si>
  <si>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</si>
  <si>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</si>
  <si>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</si>
  <si>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</si>
  <si>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</si>
  <si>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</si>
  <si>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</si>
  <si>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</si>
  <si>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</si>
  <si>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</si>
  <si>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</si>
  <si>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</si>
  <si>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</si>
  <si>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</si>
  <si>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</si>
  <si>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</si>
  <si>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</si>
  <si>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</si>
  <si>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</si>
  <si>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</si>
  <si>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</si>
  <si>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</si>
  <si>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</si>
  <si>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</si>
  <si>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</si>
  <si>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</si>
  <si>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</si>
  <si>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</si>
  <si>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</si>
  <si>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</si>
  <si>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</si>
  <si>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</si>
  <si>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</si>
  <si>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</si>
  <si>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</si>
  <si>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</si>
  <si>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</si>
  <si>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</si>
  <si>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</si>
  <si>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</si>
  <si>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</si>
  <si>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</si>
  <si>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</si>
  <si>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</si>
  <si>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</si>
  <si>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</si>
  <si>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</si>
  <si>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</si>
  <si>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</si>
  <si>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</si>
  <si>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</si>
  <si>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</si>
  <si>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</si>
  <si>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</si>
  <si>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</si>
  <si>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</si>
  <si>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</si>
  <si>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</si>
  <si>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</si>
  <si>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</si>
  <si>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</si>
  <si>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</si>
  <si>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</si>
  <si>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</si>
  <si>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</si>
  <si>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</si>
  <si>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</si>
  <si>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</si>
  <si>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</si>
  <si>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</si>
  <si>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</si>
  <si>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</si>
  <si>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</si>
  <si>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</si>
  <si>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</si>
  <si>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</si>
  <si>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</si>
  <si>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</si>
  <si>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</si>
  <si>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</si>
  <si>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</si>
  <si>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</si>
  <si>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</si>
  <si>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</si>
  <si>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</si>
  <si>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</si>
  <si>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</si>
  <si>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</si>
  <si>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</si>
  <si>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</si>
  <si>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</si>
  <si>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</si>
  <si>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</si>
  <si>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</si>
  <si>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</si>
  <si>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</si>
  <si>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</si>
  <si>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</si>
  <si>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</si>
  <si>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</si>
  <si>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</si>
  <si>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</si>
  <si>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</si>
  <si>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</si>
  <si>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</si>
  <si>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</si>
  <si>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</si>
  <si>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</si>
  <si>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</si>
  <si>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</si>
  <si>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</si>
  <si>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</si>
  <si>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</si>
  <si>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</si>
  <si>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</si>
  <si>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</si>
  <si>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</si>
  <si>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</si>
  <si>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</si>
  <si>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</si>
  <si>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</si>
  <si>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</si>
  <si>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</si>
  <si>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</si>
  <si>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</si>
  <si>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</si>
  <si>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</si>
  <si>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</si>
  <si>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</si>
  <si>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</si>
  <si>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</si>
  <si>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</si>
  <si>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</si>
  <si>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</si>
  <si>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</si>
  <si>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</si>
  <si>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</si>
  <si>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</si>
  <si>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</si>
  <si>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</si>
  <si>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</si>
  <si>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</si>
  <si>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</si>
  <si>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</si>
  <si>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</si>
  <si>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</si>
  <si>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</si>
  <si>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</si>
  <si>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</si>
  <si>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</si>
  <si>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</si>
  <si>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地形災害処理</t>
  </si>
  <si>
    <t>攻撃発生属性</t>
  </si>
  <si>
    <t>威力軽減</t>
  </si>
  <si>
    <t>地形耐久</t>
  </si>
  <si>
    <t>地形被害倍率</t>
  </si>
  <si>
    <t>高度低下</t>
  </si>
  <si>
    <t>撤去AP</t>
  </si>
  <si>
    <t>変化後地形</t>
  </si>
  <si>
    <t>発生猶予ターン</t>
  </si>
  <si>
    <t>災害詳細設定</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</si>
  <si>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</si>
  <si>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</si>
  <si>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</si>
  <si>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</si>
  <si>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</si>
  <si>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</si>
  <si>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</si>
  <si>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</si>
  <si>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</si>
  <si>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</si>
  <si>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</si>
  <si>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</si>
  <si>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</si>
  <si>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</si>
  <si>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</si>
  <si>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</si>
  <si>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</si>
  <si>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</si>
  <si>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</si>
  <si>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</si>
  <si>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</si>
  <si>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</si>
  <si>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</si>
  <si>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</si>
  <si>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</si>
  <si>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</si>
  <si>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</si>
  <si>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</si>
  <si>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</si>
  <si>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</si>
  <si>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</si>
  <si>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</si>
  <si>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毎ターン範囲内3マスにつき1発。自然の落雷威力は湿度65〜100に応じ140〜250、魔法由来は200。端数は余り÷3の確率で1発追加。</t>
  </si>
  <si>
    <t>災害:落雷嵐</t>
  </si>
  <si>
    <t>威力範囲/魔法威力は災害詳細設定。湿度から確定計算して保存し、同じターンの再抽選をしない。</t>
  </si>
  <si>
    <t>ランダム</t>
  </si>
  <si>
    <t>{"powerRange":{"minimum":140,"maximum":250,"humidityMinimum":65,"humidityMaximum":100},"magicPower":200}</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</si>
  <si>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</si>
  <si>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</si>
  <si>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</si>
  <si>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</si>
  <si>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</si>
  <si>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</si>
  <si>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</si>
  <si>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</si>
  <si>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</si>
  <si>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</si>
  <si>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</si>
  <si>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</si>
  <si>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</si>
  <si>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</si>
  <si>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</si>
  <si>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</si>
  <si>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</si>
  <si>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</si>
  <si>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</si>
  <si>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</si>
  <si>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</si>
  <si>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</si>
  <si>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</si>
  <si>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</si>
  <si>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</si>
  <si>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</si>
  <si>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</si>
  <si>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</si>
  <si>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</si>
  <si>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</si>
  <si>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</si>
  <si>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</si>
  <si>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</si>
  <si>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</si>
  <si>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</si>
  <si>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</si>
  <si>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</si>
  <si>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</si>
  <si>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</si>
  <si>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</si>
  <si>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</si>
  <si>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</si>
  <si>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</si>
  <si>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</si>
  <si>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</si>
  <si>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</si>
  <si>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</si>
  <si>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</si>
  <si>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</si>
  <si>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</si>
  <si>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</si>
  <si>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</si>
  <si>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</si>
  <si>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</si>
  <si>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</si>
  <si>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</si>
  <si>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</si>
  <si>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</si>
  <si>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</si>
  <si>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</si>
  <si>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</si>
  <si>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</si>
  <si>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</si>
  <si>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</si>
  <si>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</si>
  <si>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</si>
  <si>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</si>
  <si>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</si>
  <si>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</si>
  <si>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</si>
  <si>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</si>
  <si>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</si>
  <si>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</si>
  <si>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</si>
  <si>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</si>
  <si>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</si>
  <si>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</si>
  <si>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</si>
  <si>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</si>
  <si>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</si>
  <si>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</si>
  <si>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</si>
  <si>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</si>
  <si>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</si>
  <si>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</si>
  <si>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</si>
  <si>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</si>
  <si>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</si>
  <si>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</si>
  <si>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</si>
  <si>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</si>
  <si>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</si>
  <si>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</si>
  <si>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</si>
  <si>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</si>
  <si>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</si>
  <si>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</si>
  <si>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</si>
  <si>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</si>
  <si>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</si>
  <si>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</si>
  <si>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</si>
  <si>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</si>
  <si>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</si>
  <si>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</si>
  <si>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</si>
  <si>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</si>
  <si>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</si>
  <si>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</si>
  <si>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</si>
  <si>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</si>
  <si>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</si>
  <si>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</si>
  <si>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</si>
  <si>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</si>
  <si>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</si>
  <si>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</si>
  <si>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丘陵崩壊</t>
  </si>
  <si>
    <t>強い攻撃で耐久を削り、高度低下と落石を予告する。</t>
  </si>
  <si>
    <t>地形災害:丘陵崩壊</t>
  </si>
  <si>
    <t>地形破壊</t>
  </si>
  <si>
    <t>物理/打撃</t>
  </si>
  <si>
    <t>山岳崩壊</t>
  </si>
  <si>
    <t>山岳・岩場の耐久が0になると高度低下と落石を予告する。</t>
  </si>
  <si>
    <t>地形災害:山岳崩壊</t>
  </si>
  <si>
    <t>山岳/岩場</t>
  </si>
  <si>
    <t>洞窟落盤</t>
  </si>
  <si>
    <t>岩壁の耐久が0になると通路に変わり、隣接通路への落石を予告する。</t>
  </si>
  <si>
    <t>地形災害:洞窟落盤</t>
  </si>
  <si>
    <t>岩壁</t>
  </si>
  <si>
    <t>猶予後に通常の防御・耐性で被害を計算し、瓦礫を残す。</t>
  </si>
  <si>
    <t>地形災害:落石</t>
  </si>
  <si>
    <t>瓦礫</t>
  </si>
  <si>
    <t>進入と射線を遮る。攻撃または隣接して撤去し、耐久0で消える。</t>
  </si>
  <si>
    <t>地形災害:瓦礫</t>
  </si>
  <si>
    <t>砂漠・荒野で索敵と視界、射撃命中にペナルティ。</t>
  </si>
  <si>
    <t>災害:砂嵐</t>
  </si>
  <si>
    <t>砂漠/荒野</t>
  </si>
  <si>
    <t>{"visionPenalty":1,"scoutPenalty":25,"rangedAccuracyMultiplier":0.75}</t>
  </si>
  <si>
    <t>雪崩</t>
  </si>
  <si>
    <t>雪山の斜面を低い方へ進み、打撃被害と瓦礫を残す。</t>
  </si>
  <si>
    <t>災害:雪崩</t>
  </si>
  <si>
    <t>雪山/雪原/山岳</t>
  </si>
  <si>
    <t>{"movement":"downhill","stepsPerTurn":1,"minimumHeight":2,"rubbleDurability":100}</t>
  </si>
  <si>
    <t>打撃・切断の複合被害。怯み耐性で軽減した判定値に応じて外側へ吹き飛ばす。</t>
  </si>
  <si>
    <t>災害:竜巻</t>
  </si>
  <si>
    <t>平地/草原/荒野</t>
  </si>
  <si>
    <t>打撃/切断</t>
  </si>
  <si>
    <t>{"movement":"drift","stepsPerTurn":1,"damageComponents":[{"element":"打撃","weight":1},{"element":"切断","weight":1}],"knockback":{"resistanceKey":"怯み耐性","powerPerTile":50,"maximumDistance":3}}</t>
  </si>
  <si>
    <t>温暖な海で発生し移動。範囲内を豪雨にし、洪水・土砂崩れ・暴風の条件に接続する。</t>
  </si>
  <si>
    <t>災害:台風</t>
  </si>
  <si>
    <t>{"movement":"drift","stepsPerTurn":1,"minimumClimateTemperature":20,"weather":"豪雨","weatherHumidity":100,"rangedAccuracyMultiplier":0.75,"maximumRadius":4,"radiusGrowthPerTurn":1}</t>
  </si>
  <si>
    <t>近海の地震を条件に沿岸で発生。低地へ進み、打撃被害を与える。施設HPの直接被害は未実装。</t>
  </si>
  <si>
    <t>災害:津波</t>
  </si>
  <si>
    <t>{"movement":"coast","stepsPerTurn":1,"maximumHeight":1,"triggerDisaster":"災害:地震","triggerRadius":6}</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</si>
  <si>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</si>
  <si>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</si>
  <si>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</si>
  <si>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</si>
  <si>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</si>
  <si>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</si>
  <si>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</si>
  <si>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</si>
  <si>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</si>
  <si>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</si>
  <si>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</si>
  <si>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</si>
  <si>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</si>
  <si>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</si>
  <si>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</si>
  <si>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</si>
  <si>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</si>
  <si>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</si>
  <si>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</si>
  <si>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</si>
  <si>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</si>
  <si>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</si>
  <si>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</si>
  <si>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</si>
  <si>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</si>
  <si>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</si>
  <si>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</si>
  <si>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</si>
  <si>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</si>
  <si>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</si>
  <si>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</si>
  <si>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</si>
  <si>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</si>
  <si>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</si>
  <si>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</si>
  <si>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</si>
  <si>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</si>
  <si>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</si>
  <si>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</si>
  <si>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</si>
  <si>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</si>
  <si>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</si>
  <si>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</si>
  <si>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</si>
  <si>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</si>
  <si>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</si>
  <si>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</si>
  <si>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</si>
  <si>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</si>
  <si>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</si>
  <si>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</si>
  <si>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</si>
  <si>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</si>
  <si>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</si>
  <si>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</si>
  <si>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</si>
  <si>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</si>
  <si>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</si>
  <si>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</si>
  <si>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</si>
  <si>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</si>
  <si>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</si>
  <si>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</si>
  <si>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</si>
  <si>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</si>
  <si>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</si>
  <si>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</si>
  <si>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</si>
  <si>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</si>
  <si>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</si>
  <si>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</si>
  <si>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</si>
  <si>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</si>
  <si>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</si>
  <si>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</si>
  <si>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</si>
  <si>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</si>
  <si>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</si>
  <si>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</si>
  <si>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</si>
  <si>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</si>
  <si>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</si>
  <si>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</si>
  <si>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</si>
  <si>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</si>
  <si>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</si>
  <si>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</si>
  <si>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</si>
  <si>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</si>
  <si>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</si>
  <si>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</si>
  <si>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</si>
  <si>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</si>
  <si>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</si>
  <si>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</si>
  <si>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</si>
  <si>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</si>
  <si>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</si>
  <si>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</si>
  <si>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</si>
  <si>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</si>
  <si>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</si>
  <si>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</si>
  <si>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</si>
  <si>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</si>
  <si>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</si>
  <si>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</si>
  <si>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</si>
  <si>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</si>
  <si>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</si>
  <si>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</si>
  <si>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</si>
  <si>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</si>
  <si>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</si>
  <si>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</si>
  <si>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</si>
  <si>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</si>
  <si>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</si>
  <si>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</si>
  <si>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</si>
  <si>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</si>
  <si>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</si>
  <si>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</si>
  <si>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</si>
  <si>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</si>
  <si>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</si>
  <si>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</si>
  <si>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</si>
  <si>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</si>
  <si>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</si>
  <si>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</si>
  <si>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</si>
  <si>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</si>
  <si>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</si>
  <si>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</si>
  <si>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</si>
  <si>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</si>
  <si>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</si>
  <si>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</si>
  <si>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</si>
  <si>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</si>
  <si>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</si>
  <si>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</si>
  <si>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</si>
  <si>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</si>
  <si>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</si>
  <si>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</si>
  <si>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</si>
  <si>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</si>
  <si>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</si>
  <si>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</si>
  <si>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</si>
  <si>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</si>
  <si>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</si>
  <si>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</si>
  <si>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</si>
  <si>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</si>
  <si>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</si>
  <si>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</si>
  <si>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</si>
  <si>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</si>
  <si>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</si>
  <si>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</si>
  <si>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</si>
  <si>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</si>
  <si>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</si>
  <si>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</si>
  <si>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</si>
  <si>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</si>
  <si>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</si>
  <si>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</si>
  <si>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</si>
  <si>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</si>
  <si>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</si>
  <si>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</si>
  <si>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</si>
  <si>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</si>
  <si>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</si>
  <si>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</si>
  <si>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</si>
  <si>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</si>
  <si>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</si>
  <si>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</si>
  <si>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</si>
  <si>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</si>
  <si>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</si>
  <si>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</si>
  <si>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</si>
  <si>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</si>
  <si>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</si>
  <si>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</si>
  <si>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</si>
  <si>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</si>
  <si>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</si>
  <si>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</si>
  <si>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</si>
  <si>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</si>
  <si>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</si>
  <si>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</si>
  <si>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</si>
  <si>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</si>
  <si>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</si>
  <si>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</si>
  <si>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</si>
  <si>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</si>
  <si>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</si>
  <si>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</si>
  <si>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</si>
  <si>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</si>
  <si>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</si>
  <si>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</si>
  <si>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</si>
  <si>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</si>
  <si>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</si>
  <si>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</si>
  <si>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</si>
  <si>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</si>
  <si>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</si>
  <si>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</si>
  <si>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</si>
  <si>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</si>
  <si>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</si>
  <si>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</si>
  <si>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</si>
  <si>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</si>
  <si>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</si>
  <si>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</si>
  <si>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</si>
  <si>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</si>
  <si>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</si>
  <si>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</si>
  <si>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</si>
  <si>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</si>
  <si>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</si>
  <si>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</si>
  <si>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</si>
  <si>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</si>
  <si>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</si>
  <si>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</si>
  <si>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</si>
  <si>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</si>
  <si>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</si>
  <si>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</si>
  <si>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</si>
  <si>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</si>
  <si>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</si>
  <si>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</si>
  <si>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</si>
  <si>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</si>
  <si>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</si>
  <si>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</si>
  <si>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</si>
  <si>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</si>
  <si>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</si>
  <si>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</si>
  <si>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</si>
  <si>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</si>
  <si>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</si>
  <si>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</si>
  <si>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</si>
  <si>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</si>
  <si>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</si>
  <si>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</si>
  <si>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</si>
  <si>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</si>
  <si>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</si>
  <si>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</si>
  <si>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</si>
  <si>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</si>
  <si>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</si>
  <si>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</si>
  <si>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</si>
  <si>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</si>
  <si>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</si>
  <si>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</si>
  <si>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</si>
  <si>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</si>
  <si>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</si>
  <si>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</si>
  <si>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</si>
  <si>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</si>
  <si>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</si>
  <si>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</si>
  <si>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</si>
  <si>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</si>
  <si>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</si>
  <si>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</si>
  <si>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</si>
  <si>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</si>
  <si>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</si>
  <si>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</si>
  <si>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</si>
  <si>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</si>
  <si>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</si>
  <si>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</si>
  <si>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</si>
  <si>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</si>
  <si>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</si>
  <si>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</si>
  <si>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</si>
  <si>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</si>
  <si>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</si>
  <si>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</si>
  <si>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</si>
  <si>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</si>
  <si>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</si>
  <si>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</si>
  <si>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</si>
  <si>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</si>
  <si>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</si>
  <si>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</si>
  <si>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</si>
  <si>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</si>
  <si>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</si>
  <si>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</si>
  <si>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</si>
  <si>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</si>
  <si>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</si>
  <si>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村/墓地</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</si>
  <si>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</si>
  <si>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</si>
  <si>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</si>
  <si>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</si>
  <si>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</si>
  <si>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</si>
  <si>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</si>
  <si>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</si>
  <si>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</si>
  <si>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</si>
  <si>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</si>
  <si>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</si>
  <si>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</si>
  <si>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</si>
  <si>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</si>
  <si>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</si>
  <si>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</si>
  <si>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</si>
  <si>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</si>
  <si>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</si>
  <si>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</si>
  <si>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</si>
  <si>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</si>
  <si>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</si>
  <si>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</si>
  <si>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</si>
  <si>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</si>
  <si>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</si>
  <si>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</si>
  <si>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</si>
  <si>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</si>
  <si>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</si>
  <si>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</si>
  <si>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</si>
  <si>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</si>
  <si>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</si>
  <si>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</si>
  <si>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</si>
  <si>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</si>
  <si>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</si>
  <si>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</si>
  <si>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</si>
  <si>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</si>
  <si>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</si>
  <si>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</si>
  <si>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</si>
  <si>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</si>
  <si>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</si>
  <si>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</si>
  <si>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</si>
  <si>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</si>
  <si>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</si>
  <si>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</si>
  <si>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</si>
  <si>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</si>
  <si>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</si>
  <si>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</si>
  <si>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</si>
  <si>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</si>
  <si>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</si>
  <si>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</si>
  <si>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</si>
  <si>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</si>
  <si>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</si>
  <si>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</si>
  <si>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</si>
  <si>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</si>
  <si>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</si>
  <si>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</si>
  <si>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</si>
  <si>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</si>
  <si>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</si>
  <si>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</si>
  <si>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</si>
  <si>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</si>
  <si>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</si>
  <si>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</si>
  <si>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</si>
  <si>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</si>
  <si>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</si>
  <si>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</si>
  <si>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</si>
  <si>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</si>
  <si>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</si>
  <si>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</si>
  <si>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</si>
  <si>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</si>
  <si>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</si>
  <si>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</si>
  <si>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</si>
  <si>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</si>
  <si>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</si>
  <si>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</si>
  <si>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</si>
  <si>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</si>
  <si>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</si>
  <si>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</si>
  <si>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</si>
  <si>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</si>
  <si>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</si>
  <si>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</si>
  <si>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</si>
  <si>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</si>
  <si>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</si>
  <si>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</si>
  <si>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</si>
  <si>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</si>
  <si>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</si>
  <si>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</si>
  <si>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</si>
  <si>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</si>
  <si>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</si>
  <si>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</si>
  <si>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</si>
  <si>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</si>
  <si>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</si>
  <si>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</si>
  <si>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</si>
  <si>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</si>
  <si>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</si>
  <si>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</si>
  <si>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</si>
  <si>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</si>
  <si>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</si>
  <si>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</si>
  <si>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</si>
  <si>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</si>
  <si>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</si>
  <si>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</si>
  <si>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</si>
  <si>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</si>
  <si>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</si>
  <si>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</si>
  <si>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</si>
  <si>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</si>
  <si>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</si>
  <si>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</si>
  <si>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</si>
  <si>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</si>
  <si>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</si>
  <si>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</si>
  <si>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</si>
  <si>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</si>
  <si>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</si>
  <si>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</si>
  <si>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</si>
  <si>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</si>
  <si>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</si>
  <si>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</si>
  <si>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</si>
  <si>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</si>
  <si>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</si>
  <si>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</si>
  <si>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</si>
  <si>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</si>
  <si>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</si>
  <si>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</si>
  <si>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</si>
  <si>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</si>
  <si>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</si>
  <si>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</si>
  <si>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</si>
  <si>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</si>
  <si>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</si>
  <si>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</si>
  <si>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</si>
  <si>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</si>
  <si>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</si>
  <si>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</si>
  <si>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</si>
  <si>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</si>
  <si>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</si>
  <si>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</si>
  <si>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</si>
  <si>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</si>
  <si>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</si>
  <si>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</si>
  <si>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</si>
  <si>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</si>
  <si>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</si>
  <si>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</si>
  <si>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</si>
  <si>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</si>
  <si>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</si>
  <si>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</si>
  <si>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</si>
  <si>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</si>
  <si>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</si>
  <si>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</si>
  <si>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</si>
  <si>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</si>
  <si>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</si>
  <si>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</si>
  <si>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</si>
  <si>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</si>
  <si>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</si>
  <si>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</si>
  <si>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</si>
  <si>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</si>
  <si>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</si>
  <si>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</si>
  <si>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</si>
  <si>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</si>
  <si>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</si>
  <si>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</si>
  <si>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</si>
  <si>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</si>
  <si>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</si>
  <si>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</si>
  <si>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</si>
  <si>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</si>
  <si>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</si>
  <si>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</si>
  <si>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</si>
  <si>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</si>
  <si>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</si>
  <si>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</si>
  <si>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</si>
  <si>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</si>
  <si>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</si>
  <si>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</si>
  <si>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</si>
  <si>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</si>
  <si>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</si>
  <si>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</si>
  <si>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</si>
  <si>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</si>
  <si>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</si>
  <si>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</si>
  <si>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</si>
  <si>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</si>
  <si>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</si>
  <si>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</si>
  <si>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</si>
  <si>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</si>
  <si>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</si>
  <si>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</si>
  <si>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</si>
  <si>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</si>
  <si>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</si>
  <si>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</si>
  <si>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</si>
  <si>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</si>
  <si>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</si>
  <si>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</si>
  <si>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</si>
  <si>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</si>
  <si>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</si>
  <si>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</si>
  <si>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</si>
  <si>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</si>
  <si>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</si>
  <si>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</si>
  <si>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</si>
  <si>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</si>
  <si>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</si>
  <si>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</si>
  <si>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</si>
  <si>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</si>
  <si>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</si>
  <si>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</si>
  <si>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</si>
  <si>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</si>
  <si>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</si>
  <si>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</si>
  <si>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</si>
  <si>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</si>
  <si>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</si>
  <si>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</si>
  <si>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</si>
  <si>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</si>
  <si>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</si>
  <si>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</si>
  <si>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</si>
  <si>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</si>
  <si>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</si>
  <si>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</si>
  <si>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</si>
  <si>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</si>
  <si>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</si>
  <si>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</si>
  <si>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</si>
  <si>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</si>
  <si>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</si>
  <si>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</si>
  <si>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</si>
  <si>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</si>
  <si>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</si>
  <si>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</si>
  <si>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</si>
  <si>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</si>
  <si>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</si>
  <si>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</si>
  <si>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</si>
  <si>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</si>
  <si>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</si>
  <si>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</si>
  <si>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</si>
  <si>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</si>
  <si>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</si>
  <si>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</si>
  <si>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</si>
  <si>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</si>
  <si>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</si>
  <si>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</si>
  <si>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</si>
  <si>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</si>
  <si>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</si>
  <si>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</si>
  <si>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</si>
  <si>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</si>
  <si>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</si>
  <si>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</si>
  <si>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</si>
  <si>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</si>
  <si>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</si>
  <si>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</si>
  <si>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</si>
  <si>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</si>
  <si>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</si>
  <si>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</si>
  <si>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</si>
  <si>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</si>
  <si>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</si>
  <si>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</si>
  <si>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</si>
  <si>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</si>
  <si>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</si>
  <si>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</si>
  <si>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</si>
  <si>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</si>
  <si>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</si>
  <si>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</si>
  <si>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</si>
  <si>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</si>
  <si>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</si>
  <si>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</si>
  <si>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</si>
  <si>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</si>
  <si>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</si>
  <si>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</si>
  <si>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</si>
  <si>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</si>
  <si>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</si>
  <si>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</si>
  <si>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</si>
  <si>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</si>
  <si>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</si>
  <si>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</si>
  <si>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</si>
  <si>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</si>
  <si>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</si>
  <si>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</si>
  <si>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</si>
  <si>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</si>
  <si>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</si>
  <si>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</si>
  <si>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</si>
  <si>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</si>
  <si>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</si>
  <si>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</si>
  <si>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</si>
  <si>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</si>
  <si>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</si>
  <si>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</si>
  <si>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</si>
  <si>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</si>
  <si>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</si>
  <si>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</si>
  <si>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</si>
  <si>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</si>
  <si>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</si>
  <si>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</si>
  <si>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</si>
  <si>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</si>
  <si>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</si>
  <si>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</si>
  <si>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</si>
  <si>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</si>
  <si>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</si>
  <si>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</si>
  <si>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</si>
  <si>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</si>
  <si>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</si>
  <si>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</si>
  <si>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</si>
  <si>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</si>
  <si>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</si>
  <si>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</si>
  <si>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</si>
  <si>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</si>
  <si>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</si>
  <si>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</si>
  <si>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</si>
  <si>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</si>
  <si>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</si>
  <si>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</si>
  <si>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</si>
  <si>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</si>
  <si>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</si>
  <si>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</si>
  <si>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</si>
  <si>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</si>
  <si>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</si>
  <si>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</si>
  <si>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</si>
  <si>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</si>
  <si>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</si>
  <si>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</si>
  <si>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</si>
  <si>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</si>
  <si>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</si>
  <si>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</si>
  <si>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</si>
  <si>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</si>
  <si>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</si>
  <si>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</si>
  <si>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</si>
  <si>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</si>
  <si>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</si>
  <si>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</si>
  <si>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</si>
  <si>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</si>
  <si>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</si>
  <si>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</si>
  <si>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</si>
  <si>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</si>
  <si>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</si>
  <si>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</si>
  <si>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</si>
  <si>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</si>
  <si>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</si>
  <si>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</si>
  <si>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</si>
  <si>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</si>
  <si>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</si>
  <si>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</si>
  <si>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</si>
  <si>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</si>
  <si>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</si>
  <si>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</si>
  <si>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</si>
  <si>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</si>
  <si>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</si>
  <si>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</si>
  <si>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</si>
  <si>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</si>
  <si>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</si>
  <si>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</si>
  <si>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</si>
  <si>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</si>
  <si>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</si>
  <si>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</si>
  <si>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</si>
  <si>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</si>
  <si>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</si>
  <si>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</si>
  <si>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</si>
  <si>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</si>
  <si>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</si>
  <si>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</si>
  <si>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</si>
  <si>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</si>
  <si>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</si>
  <si>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</si>
  <si>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</si>
  <si>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</si>
  <si>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</si>
  <si>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</si>
  <si>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</si>
  <si>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</si>
  <si>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</si>
  <si>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</si>
  <si>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</si>
  <si>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</si>
  <si>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</si>
  <si>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</si>
  <si>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</si>
  <si>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</si>
  <si>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</si>
  <si>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</si>
  <si>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</si>
  <si>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</si>
  <si>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</si>
  <si>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</si>
  <si>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</si>
  <si>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</si>
  <si>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</si>
  <si>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</si>
  <si>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</si>
  <si>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</si>
  <si>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</si>
  <si>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</si>
  <si>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</si>
  <si>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</si>
  <si>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</si>
  <si>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</si>
  <si>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</si>
  <si>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</si>
  <si>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</si>
  <si>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</si>
  <si>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</si>
  <si>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</si>
  <si>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</si>
  <si>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</si>
  <si>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</si>
  <si>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</si>
  <si>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</si>
  <si>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</si>
  <si>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</si>
  <si>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</si>
  <si>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</si>
  <si>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</si>
  <si>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</si>
  <si>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</si>
  <si>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</si>
  <si>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</si>
  <si>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</si>
  <si>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</si>
  <si>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</si>
  <si>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</si>
  <si>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</si>
  <si>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</si>
  <si>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</si>
  <si>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</si>
  <si>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</si>
  <si>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</si>
  <si>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</si>
  <si>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</si>
  <si>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</si>
  <si>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</si>
  <si>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</si>
  <si>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</si>
  <si>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</si>
  <si>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</si>
  <si>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</si>
  <si>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</si>
  <si>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</si>
  <si>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</si>
  <si>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</si>
  <si>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</si>
  <si>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</si>
  <si>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</si>
  <si>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</si>
  <si>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</si>
  <si>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</si>
  <si>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</si>
  <si>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</si>
  <si>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</si>
  <si>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</si>
  <si>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</si>
  <si>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</si>
  <si>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</si>
  <si>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</si>
  <si>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</si>
  <si>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</si>
  <si>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</si>
  <si>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</si>
  <si>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</si>
  <si>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</si>
  <si>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</si>
  <si>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</si>
  <si>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</si>
  <si>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</si>
  <si>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</si>
  <si>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</si>
  <si>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</si>
  <si>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</si>
  <si>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</si>
  <si>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</si>
  <si>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</si>
  <si>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</si>
  <si>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</si>
  <si>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</si>
  <si>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</si>
  <si>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</si>
  <si>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</si>
  <si>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</si>
  <si>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</si>
  <si>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</si>
  <si>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</si>
  <si>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</si>
  <si>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</si>
  <si>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</si>
  <si>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</si>
  <si>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</si>
  <si>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</si>
  <si>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</si>
  <si>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</si>
  <si>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</si>
  <si>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</si>
  <si>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</si>
  <si>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</si>
  <si>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</si>
  <si>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</si>
  <si>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</si>
  <si>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</si>
  <si>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</si>
  <si>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</si>
  <si>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</si>
  <si>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</si>
  <si>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</si>
  <si>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</si>
  <si>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</si>
  <si>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</si>
  <si>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</si>
  <si>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</si>
  <si>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</si>
  <si>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希少資源の奉納</t>
  </si>
  <si>
    <t>黒木・特木・青金鋼・赤黒鋼・宝石を各10、選択中の自拠点から一括納品する。</t>
  </si>
  <si>
    <t>守護者と交流</t>
  </si>
  <si>
    <t>1. 試練を受ける
1-1. 達成を報告する
1-2. 後にする
2. 断る</t>
  </si>
  <si>
    <t>1. この試練を果たし、お前の覚悟を示せ。
1-1. 見事だ。確かにお前の力を認めよう。
1-2. 成し遂げたら戻ってくるがよい。
2. 覚悟ができたら再び来るがよい。</t>
  </si>
  <si>
    <t>1-1. 黒木_10/特木_10/青金鋼_10/赤黒鋼_10/宝石_10</t>
  </si>
  <si>
    <t>1-1. 友好度_35</t>
  </si>
  <si>
    <t>1. 依頼開始_GUARDIAN_TRIAL_RESOURCES
1-1. 依頼完了_GUARDIAN_TRIAL_RESOURCES</t>
  </si>
  <si>
    <t>黒木_10/特木_10/青金鋼_10/赤黒鋼_10/宝石_10</t>
  </si>
  <si>
    <t>UI102: 調整用初期値。3試練すべて達成で平和譲渡。各依頼1回。旧IDの受注済み保存は旧条件を保持するが、新試練の達成には数えない。</t>
  </si>
  <si>
    <t>GUARDIAN_TRIAL_RESOURCES</t>
  </si>
  <si>
    <t>周辺の村の発展</t>
  </si>
  <si>
    <t>周囲16マスの未発展の村2つを完成施設3種類以上に育てる。受注時に対象を固定し、受注後の施設増加も必要。住居は数えない。</t>
  </si>
  <si>
    <t>1. 依頼開始_GUARDIAN_TRIAL_DEVELOPMENT
1-1. 依頼完了_GUARDIAN_TRIAL_DEVELOPMENT</t>
  </si>
  <si>
    <t>村発展_施設3_数2</t>
  </si>
  <si>
    <t>GUARDIAN_TRIAL_DEVELOPMENT</t>
  </si>
  <si>
    <t>力の証明</t>
  </si>
  <si>
    <t>守護者が地上の周囲3マスに召喚するLv30の配下1体を討伐する。召喚体は死体・装備を残さない。</t>
  </si>
  <si>
    <t>1. 依頼開始_GUARDIAN_TRIAL_POWER
1-1. 依頼完了_GUARDIAN_TRIAL_POWER</t>
  </si>
  <si>
    <t>試練召喚_守護者配下_Lv30_数1</t>
  </si>
  <si>
    <t>GUARDIAN_TRIAL_POWER</t>
  </si>
  <si>
    <t>村の周囲を警備</t>
  </si>
  <si>
    <t>守備兵の不足・訓練中、または周辺の脅威がある村の近くで3ターン連続して警備する。</t>
  </si>
  <si>
    <t>警備_3</t>
  </si>
  <si>
    <t>村の計画・危機から生成。固定の番号付き会話から受注しない。受注時の目標・数量・周期・報酬を保存。</t>
  </si>
  <si>
    <t>VILLAGE_SUPPORT_DEFENSE</t>
  </si>
  <si>
    <t>警備</t>
  </si>
  <si>
    <t>村の建設支援</t>
  </si>
  <si>
    <t>村の計画で必要になった施設の完成を支援する。受注時に対象施設を固定し、既存施設を完成扱いにしない。</t>
  </si>
  <si>
    <t>建設_1</t>
  </si>
  <si>
    <t>VILLAGE_SUPPORT_CONSTRUCTION</t>
  </si>
  <si>
    <t>建設支援</t>
  </si>
  <si>
    <t>警備と建設の総合支援</t>
  </si>
  <si>
    <t>村の周囲で3ターン連続警備し、計画施設を完成させる。両方の条件達成後に報告する。</t>
  </si>
  <si>
    <t>警備_3/建設_1</t>
  </si>
  <si>
    <t>TPL_VILLAGE_COMPOSITE</t>
  </si>
  <si>
    <t>複合支援</t>
  </si>
  <si>
    <t>食料の定期納品契約</t>
  </si>
  <si>
    <t>不足する食料を最大20ずつ、5ターンごとに計3回納品する。各納品日は受注時から数え、報告で手動納品。猶予3ターン超過時は報告で日程を再開。</t>
  </si>
  <si>
    <t>TPL_VILLAGE_CONTRACT</t>
  </si>
  <si>
    <t>継続支援</t>
  </si>
  <si>
    <t>配置地形</t>
  </si>
  <si>
    <t>代替地形</t>
  </si>
  <si>
    <t>発見方法</t>
  </si>
  <si>
    <t>守護者候補</t>
  </si>
  <si>
    <t>配下候補</t>
  </si>
  <si>
    <t>守護者Lv</t>
  </si>
  <si>
    <t>配下数</t>
  </si>
  <si>
    <t>配下Lv差</t>
  </si>
  <si>
    <t>配下Lv幅</t>
  </si>
  <si>
    <t>試練ID</t>
  </si>
  <si>
    <t>守護範囲</t>
  </si>
  <si>
    <t>勝利対象:太陽の山</t>
  </si>
  <si>
    <t>太陽の光を宿す霊峰。</t>
  </si>
  <si>
    <t>[{"name":"白虎","race":"タイガー","className":"神獣","unique":true},{"name":"スフィンクス","race":"ライオン","className":"幻獣","unique":true},{"name":"応龍","race":"ドレイク","className":"神獣","unique":true}]</t>
  </si>
  <si>
    <t>[{"race":"ホーク","className":"ソルアニマル"},{"race":"タイガー","className":"ソルアニマル"}]</t>
  </si>
  <si>
    <t>["GUARDIAN_TRIAL_RESOURCES","GUARDIAN_TRIAL_DEVELOPMENT","GUARDIAN_TRIAL_POWER"]</t>
  </si>
  <si>
    <t>勝利対象:黄昏の樹</t>
  </si>
  <si>
    <t>黄昏の気配をまとった巨樹。</t>
  </si>
  <si>
    <t>[{"name":"麒麟","race":"ホース","className":"神獣","unique":true},{"name":"白沢","race":"ライオン","className":"神獣","unique":true},{"name":"九尾狐","race":"フォックス","className":"神獣","unique":true}]</t>
  </si>
  <si>
    <t>[{"race":"ウルフ","className":"ムーンアニマル"},{"race":"トレント","className":"トレント"}]</t>
  </si>
  <si>
    <t>勝利対象:星の火口</t>
  </si>
  <si>
    <t>星光を宿す火口。</t>
  </si>
  <si>
    <t>[{"name":"朱雀","race":"ホーク","className":"神獣","unique":true,"lowerForm":"フェニックス"},{"name":"サラマンダー","race":"リザード","className":"フレイムアニマル","unique":true}]</t>
  </si>
  <si>
    <t>[{"race":"フレイムエレメンタル","className":"フレイムエレメンタル"},{"race":"ボア","className":"フレイムアニマル"},{"race":"フォックス","className":"フレイムアニマル"}]</t>
  </si>
  <si>
    <t>勝利対象:宇宙の海</t>
  </si>
  <si>
    <t>宇宙を映す海域。</t>
  </si>
  <si>
    <t>[{"name":"玄武","race":"タートル","className":"神獣","unique":true},{"name":"青龍","race":"スネーク","className":"神獣","unique":true},{"name":"クラーケン","race":"ウォーターエレメンタル","className":"幻獣","unique":true}]</t>
  </si>
  <si>
    <t>[{"race":"スネーク","className":"シーアニマル"},{"race":"クロコダイル","className":"シーアニマル"},{"race":"ウォーターエレメンタル","className":"ウォーターエレメンタル"}]</t>
  </si>
  <si>
    <t>採取周期</t>
  </si>
  <si>
    <t>採取量</t>
  </si>
  <si>
    <t>研究区分</t>
  </si>
  <si>
    <t>研究速度補正</t>
  </si>
  <si>
    <t>設定状態</t>
  </si>
  <si>
    <t>最低高度</t>
  </si>
  <si>
    <t>最高高度</t>
  </si>
  <si>
    <t>出現重み</t>
  </si>
  <si>
    <t>最低湿潤度</t>
  </si>
  <si>
    <t>最高湿潤度</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</si>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</sst>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30">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sz val="11.0"/>
      <color theme="1"/>
      <name val="Arial"/>
    </font>
    <font>
      <b/>
      <color theme="1"/>
      <name val="Aptos Narrow"/>
    </font>
    <font>
      <b/>
      <sz val="10.0"/>
      <color theme="1"/>
      <name val="Aptos Narrow"/>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D8EFE5"/>
        <bgColor rgb="FFD8EFE5"/>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91">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16" numFmtId="0" xfId="0" applyAlignment="1" applyFont="1">
      <alignment vertical="center"/>
    </xf>
    <xf borderId="0" fillId="0" fontId="17" numFmtId="0" xfId="0" applyAlignment="1" applyFont="1">
      <alignment horizontal="center" readingOrder="0" vertical="center"/>
    </xf>
    <xf borderId="0" fillId="0" fontId="16" numFmtId="0" xfId="0" applyAlignment="1" applyFont="1">
      <alignment vertical="center"/>
    </xf>
    <xf borderId="0" fillId="0" fontId="18" numFmtId="0" xfId="0" applyAlignment="1" applyFont="1">
      <alignment vertical="center"/>
    </xf>
    <xf borderId="2" fillId="6" fontId="16" numFmtId="0" xfId="0" applyAlignment="1" applyBorder="1" applyFill="1" applyFont="1">
      <alignment vertical="center"/>
    </xf>
    <xf borderId="0" fillId="0" fontId="16" numFmtId="0" xfId="0" applyAlignment="1" applyFont="1">
      <alignment vertical="center"/>
    </xf>
    <xf borderId="2" fillId="12" fontId="16" numFmtId="0" xfId="0" applyAlignment="1" applyBorder="1" applyFill="1" applyFont="1">
      <alignment vertical="center"/>
    </xf>
    <xf borderId="0" fillId="0" fontId="14" numFmtId="0" xfId="0" applyAlignment="1" applyFont="1">
      <alignment horizontal="right" readingOrder="0" shrinkToFit="0" vertical="center" wrapText="1"/>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9" numFmtId="0" xfId="0" applyAlignment="1" applyFont="1">
      <alignment readingOrder="0" vertical="center"/>
    </xf>
    <xf borderId="0" fillId="0" fontId="16" numFmtId="0" xfId="0" applyAlignment="1" applyFont="1">
      <alignment horizontal="right" readingOrder="0" vertical="center"/>
    </xf>
    <xf borderId="2" fillId="6" fontId="16" numFmtId="0" xfId="0" applyAlignment="1" applyBorder="1" applyFill="1" applyFont="1">
      <alignment readingOrder="0" vertical="center"/>
    </xf>
    <xf borderId="0" fillId="0" fontId="16" numFmtId="0" xfId="0" applyAlignment="1" applyFont="1">
      <alignment horizontal="center" readingOrder="0" vertical="center"/>
    </xf>
    <xf borderId="2" fillId="6" fontId="17" numFmtId="0" xfId="0" applyAlignment="1" applyBorder="1" applyFill="1" applyFont="1">
      <alignment readingOrder="0" vertical="center"/>
    </xf>
    <xf borderId="0" fillId="0" fontId="17" numFmtId="0" xfId="0" applyAlignment="1" applyFont="1">
      <alignment readingOrder="0" vertical="center"/>
    </xf>
    <xf borderId="0" fillId="0" fontId="19" numFmtId="0" xfId="0" applyAlignment="1" applyFont="1">
      <alignment vertical="center"/>
    </xf>
    <xf borderId="0" fillId="0" fontId="16" numFmtId="0" xfId="0" applyAlignment="1" applyFont="1">
      <alignment horizontal="righ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13" fontId="1" numFmtId="0" xfId="0" applyAlignment="1" applyFill="1" applyFont="1">
      <alignment readingOrder="0" shrinkToFit="0" vertical="center" wrapText="1"/>
    </xf>
    <xf borderId="0" fillId="13" fontId="1" numFmtId="0" xfId="0" applyAlignment="1" applyFill="1" applyFont="1">
      <alignment readingOrder="0" shrinkToFit="0" vertical="center" wrapText="0"/>
    </xf>
    <xf borderId="0" fillId="14" fontId="20" numFmtId="0" xfId="0" applyAlignment="1" applyFill="1" applyFont="1">
      <alignment shrinkToFit="0" vertical="center" wrapText="1"/>
    </xf>
    <xf borderId="0" fillId="0" fontId="8" numFmtId="0" xfId="0" applyAlignment="1" applyFont="1">
      <alignment readingOrder="0" shrinkToFit="0" vertical="top" wrapText="1"/>
    </xf>
    <xf borderId="0" fillId="0" fontId="8" numFmtId="0" xfId="0" applyAlignment="1" applyFont="1">
      <alignment readingOrder="0" shrinkToFit="0" vertical="top" wrapText="0"/>
    </xf>
    <xf borderId="0" fillId="0" fontId="8" numFmtId="9" xfId="0" applyAlignment="1" applyFont="1" applyNumberFormat="1">
      <alignment readingOrder="0" shrinkToFit="0" vertical="top" wrapText="1"/>
    </xf>
    <xf borderId="0" fillId="0" fontId="8" numFmtId="0" xfId="0" applyAlignment="1" applyFont="1">
      <alignment shrinkToFit="0" vertical="top" wrapText="1"/>
    </xf>
    <xf borderId="0" fillId="0" fontId="9" numFmtId="0" xfId="0" applyAlignment="1" applyFont="1">
      <alignment readingOrder="0" shrinkToFit="0" vertical="top" wrapText="1"/>
    </xf>
    <xf borderId="0" fillId="0" fontId="8" numFmtId="0" xfId="0" applyAlignment="1" applyFont="1">
      <alignment readingOrder="0" shrinkToFit="0" vertical="top" wrapText="1"/>
    </xf>
    <xf borderId="0" fillId="0" fontId="8" numFmtId="0" xfId="0" applyAlignment="1" applyFont="1">
      <alignment shrinkToFit="0" vertical="center" wrapText="0"/>
    </xf>
    <xf borderId="0" fillId="13" fontId="20" numFmtId="0" xfId="0" applyAlignment="1" applyFill="1" applyFont="1">
      <alignment shrinkToFit="0" vertical="center" wrapText="1"/>
    </xf>
    <xf borderId="0" fillId="13" fontId="1" numFmtId="0" xfId="0" applyAlignment="1" applyFill="1" applyFont="1">
      <alignment shrinkToFit="0" vertical="center"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14" numFmtId="9" xfId="0" applyAlignment="1" applyFont="1" applyNumberFormat="1">
      <alignment vertical="center"/>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1" numFmtId="0" xfId="0" applyAlignment="1" applyFont="1">
      <alignment shrinkToFit="0" vertical="center" wrapText="1"/>
    </xf>
    <xf borderId="0" fillId="0" fontId="20" numFmtId="0" xfId="0" applyAlignment="1" applyFont="1">
      <alignment shrinkToFit="0" vertical="center" wrapText="1"/>
    </xf>
    <xf borderId="0" fillId="15" fontId="20" numFmtId="0" xfId="0" applyAlignment="1" applyFill="1" applyFont="1">
      <alignment horizontal="center" readingOrder="0" vertical="center"/>
    </xf>
    <xf borderId="0" fillId="15" fontId="20"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6" fontId="22" numFmtId="0" xfId="0" applyAlignment="1" applyFill="1" applyFont="1">
      <alignment horizontal="center" readingOrder="0" vertical="center"/>
    </xf>
    <xf borderId="0" fillId="17" fontId="23" numFmtId="0" xfId="0" applyAlignment="1" applyFill="1" applyFont="1">
      <alignment horizontal="center" readingOrder="0" vertical="center"/>
    </xf>
    <xf borderId="0" fillId="16" fontId="22" numFmtId="0" xfId="0" applyAlignment="1" applyFill="1" applyFont="1">
      <alignment horizontal="center" readingOrder="0" shrinkToFit="0" vertical="center" wrapText="1"/>
    </xf>
    <xf borderId="0" fillId="17"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7" fontId="8" numFmtId="0" xfId="0" applyAlignment="1" applyFill="1" applyFont="1">
      <alignment readingOrder="0" vertical="center"/>
    </xf>
    <xf borderId="0" fillId="17"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8" fontId="14" numFmtId="0" xfId="0" applyAlignment="1" applyBorder="1" applyFill="1" applyFont="1">
      <alignment vertical="center"/>
    </xf>
    <xf borderId="2" fillId="19" fontId="14" numFmtId="0" xfId="0" applyAlignment="1" applyBorder="1" applyFill="1" applyFont="1">
      <alignment vertical="center"/>
    </xf>
    <xf borderId="2" fillId="20" fontId="24" numFmtId="0" xfId="0" applyAlignment="1" applyBorder="1" applyFill="1" applyFont="1">
      <alignment vertical="center"/>
    </xf>
    <xf borderId="0" fillId="0" fontId="25" numFmtId="49" xfId="0" applyAlignment="1" applyFont="1" applyNumberFormat="1">
      <alignment vertical="center"/>
    </xf>
    <xf borderId="0" fillId="21" fontId="20" numFmtId="0" xfId="0" applyAlignment="1" applyFill="1" applyFont="1">
      <alignment shrinkToFit="0" vertical="center" wrapText="1"/>
    </xf>
    <xf borderId="0" fillId="21" fontId="20" numFmtId="0" xfId="0" applyAlignment="1" applyFill="1" applyFont="1">
      <alignment readingOrder="0" shrinkToFit="0" vertical="center" wrapText="1"/>
    </xf>
    <xf borderId="0" fillId="0" fontId="26" numFmtId="49" xfId="0" applyAlignment="1" applyFont="1" applyNumberFormat="1">
      <alignment vertical="center"/>
    </xf>
    <xf borderId="2" fillId="6"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9"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2" fontId="1" numFmtId="0" xfId="0" applyAlignment="1" applyFill="1" applyFont="1">
      <alignment readingOrder="0" vertical="center"/>
    </xf>
    <xf borderId="0" fillId="22" fontId="1" numFmtId="0" xfId="0" applyAlignment="1" applyFill="1" applyFont="1">
      <alignment shrinkToFit="0" vertical="center" wrapText="1"/>
    </xf>
    <xf borderId="0" fillId="22"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7" numFmtId="0" xfId="0" applyAlignment="1" applyFill="1" applyFont="1">
      <alignment shrinkToFit="0" vertical="top" wrapText="1"/>
    </xf>
    <xf borderId="0" fillId="13" fontId="20" numFmtId="0" xfId="0" applyAlignment="1" applyFill="1" applyFont="1">
      <alignment shrinkToFit="0" vertical="top" wrapText="1"/>
    </xf>
    <xf borderId="2" fillId="6" fontId="28" numFmtId="0" xfId="0" applyAlignment="1" applyBorder="1" applyFill="1" applyFont="1">
      <alignment shrinkToFit="0" vertical="center" wrapText="1"/>
    </xf>
    <xf borderId="0" fillId="0" fontId="26"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14" fontId="29" numFmtId="0" xfId="0" applyAlignment="1" applyFill="1" applyFont="1">
      <alignment shrinkToFit="0" vertical="top" wrapText="1"/>
    </xf>
    <xf borderId="0" fillId="14" fontId="29"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2" numFmtId="0" xfId="0" applyAlignment="1" applyFill="1" applyFont="1">
      <alignment readingOrder="0" shrinkToFit="0" vertical="center" wrapText="1"/>
    </xf>
    <xf borderId="0" fillId="14" fontId="20" numFmtId="0" xfId="0" applyAlignment="1" applyFill="1" applyFont="1">
      <alignment readingOrder="0" shrinkToFit="0" vertical="top" wrapText="1"/>
    </xf>
    <xf borderId="0" fillId="14" fontId="20" numFmtId="0" xfId="0" applyAlignment="1" applyFill="1" applyFont="1">
      <alignment vertical="center"/>
    </xf>
    <xf borderId="0" fillId="14" fontId="20" numFmtId="0" xfId="0" applyAlignment="1" applyFill="1" applyFont="1">
      <alignment readingOrder="0" shrinkToFit="0" vertical="center" wrapText="1"/>
    </xf>
    <xf borderId="0" fillId="24" fontId="20" numFmtId="0" xfId="0" applyAlignment="1" applyFill="1" applyFont="1">
      <alignment readingOrder="0" shrinkToFit="0" vertical="center" wrapText="1"/>
    </xf>
    <xf borderId="2" fillId="3" fontId="21" numFmtId="0" xfId="0" applyAlignment="1" applyBorder="1" applyFill="1" applyFont="1">
      <alignment shrinkToFit="0" vertical="top" wrapText="1"/>
    </xf>
    <xf borderId="0" fillId="0" fontId="1" numFmtId="0" xfId="0" applyAlignment="1" applyFont="1">
      <alignment readingOrder="0" shrinkToFit="0" vertical="top" wrapText="1"/>
    </xf>
    <xf borderId="0" fillId="15" fontId="20"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5.xml"/><Relationship Id="rId3"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6.xml"/><Relationship Id="rId3"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7.xml"/><Relationship Id="rId3"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8.xml"/><Relationship Id="rId3"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9.xml"/><Relationship Id="rId3"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20.xml"/><Relationship Id="rId3" Type="http://schemas.openxmlformats.org/officeDocument/2006/relationships/vmlDrawing" Target="../drawings/vmlDrawing17.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VLOOKUP($I4,'用語辞書'!$A:$B,COLUMN('用語辞書'!B$1),FALSE),
IF(_xlpm.v=0,"",_xlpm.v)
),"")</f>
        <v/>
      </c>
      <c r="K4" s="17"/>
      <c r="L4" s="17" t="str">
        <f>IF(OR(COUNTIF('クラス'!$A$1:$A$1262,$B4)&gt;0,$B4="",$M4=""),"",True)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VLOOKUP($I5,'用語辞書'!$A:$B,COLUMN('用語辞書'!B$1),FALSE),
IF(_xlpm.v=0,"",_xlpm.v)
),"")</f>
        <v/>
      </c>
      <c r="K5" s="17"/>
      <c r="L5" s="17" t="str">
        <f>IF(OR(COUNTIF('クラス'!$A$1:$A$1262,$B5)&gt;0,$B5="",$M5=""),"",True)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VLOOKUP($I6,'用語辞書'!$A:$B,COLUMN('用語辞書'!B$1),FALSE),
IF(_xlpm.v=0,"",_xlpm.v)
),"")</f>
        <v/>
      </c>
      <c r="K6" s="17"/>
      <c r="L6" s="17" t="str">
        <f>IF(OR(COUNTIF('クラス'!$A$1:$A$1262,$B6)&gt;0,$B6="",$M6=""),"",True)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VLOOKUP($I7,'用語辞書'!$A:$B,COLUMN('用語辞書'!B$1),FALSE),
IF(_xlpm.v=0,"",_xlpm.v)
),"")</f>
        <v/>
      </c>
      <c r="K7" s="17"/>
      <c r="L7" s="17" t="str">
        <f>IF(OR(COUNTIF('クラス'!$A$1:$A$1262,$B7)&gt;0,$B7="",$M7=""),"",True)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VLOOKUP($I8,'用語辞書'!$A:$B,COLUMN('用語辞書'!B$1),FALSE),
IF(_xlpm.v=0,"",_xlpm.v)
),"")</f>
        <v/>
      </c>
      <c r="K8" s="17"/>
      <c r="L8" s="17" t="b">
        <f>IF(OR(COUNTIF('クラス'!$A$1:$A$1262,$B8)&gt;0,$B8="",$M8=""),"",True)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VLOOKUP($I9,'用語辞書'!$A:$B,COLUMN('用語辞書'!B$1),FALSE),
IF(_xlpm.v=0,"",_xlpm.v)
),"")</f>
        <v/>
      </c>
      <c r="K9" s="17"/>
      <c r="L9" s="17" t="b">
        <f>IF(OR(COUNTIF('クラス'!$A$1:$A$1262,$B9)&gt;0,$B9="",$M9=""),"",True)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VLOOKUP($I10,'用語辞書'!$A:$B,COLUMN('用語辞書'!B$1),FALSE),
IF(_xlpm.v=0,"",_xlpm.v)
),"")</f>
        <v/>
      </c>
      <c r="K10" s="17"/>
      <c r="L10" s="17" t="b">
        <f>IF(OR(COUNTIF('クラス'!$A$1:$A$1262,$B10)&gt;0,$B10="",$M10=""),"",True)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VLOOKUP($I11,'用語辞書'!$A:$B,COLUMN('用語辞書'!B$1),FALSE),
IF(_xlpm.v=0,"",_xlpm.v)
),"")</f>
        <v/>
      </c>
      <c r="K11" s="17"/>
      <c r="L11" s="17" t="b">
        <f>IF(OR(COUNTIF('クラス'!$A$1:$A$1262,$B11)&gt;0,$B11="",$M11=""),"",True)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VLOOKUP($I12,'用語辞書'!$A:$B,COLUMN('用語辞書'!B$1),FALSE),
IF(_xlpm.v=0,"",_xlpm.v)
),"")</f>
        <v/>
      </c>
      <c r="K12" s="17"/>
      <c r="L12" s="17" t="b">
        <f>IF(OR(COUNTIF('クラス'!$A$1:$A$1262,$B12)&gt;0,$B12="",$M12=""),"",True)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VLOOKUP($I13,'用語辞書'!$A:$B,COLUMN('用語辞書'!B$1),FALSE),
IF(_xlpm.v=0,"",_xlpm.v)
),"")</f>
        <v/>
      </c>
      <c r="K13" s="17"/>
      <c r="L13" s="17" t="b">
        <f>IF(OR(COUNTIF('クラス'!$A$1:$A$1262,$B13)&gt;0,$B13="",$M13=""),"",True)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VLOOKUP($I14,'用語辞書'!$A:$B,COLUMN('用語辞書'!B$1),FALSE),
IF(_xlpm.v=0,"",_xlpm.v)
),"")</f>
        <v/>
      </c>
      <c r="K14" s="17"/>
      <c r="L14" s="17" t="b">
        <f>IF(OR(COUNTIF('クラス'!$A$1:$A$1262,$B14)&gt;0,$B14="",$M14=""),"",True)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VLOOKUP($I15,'用語辞書'!$A:$B,COLUMN('用語辞書'!B$1),FALSE),
IF(_xlpm.v=0,"",_xlpm.v)
),"")</f>
        <v/>
      </c>
      <c r="K15" s="17"/>
      <c r="L15" s="17" t="b">
        <f>IF(OR(COUNTIF('クラス'!$A$1:$A$1262,$B15)&gt;0,$B15="",$M15=""),"",True)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VLOOKUP($I16,'用語辞書'!$A:$B,COLUMN('用語辞書'!B$1),FALSE),
IF(_xlpm.v=0,"",_xlpm.v)
),"")</f>
        <v/>
      </c>
      <c r="K16" s="17"/>
      <c r="L16" s="17" t="str">
        <f>IF(OR(COUNTIF('クラス'!$A$1:$A$1262,$B16)&gt;0,$B16="",$M16=""),"",True)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VLOOKUP($I17,'用語辞書'!$A:$B,COLUMN('用語辞書'!B$1),FALSE),
IF(_xlpm.v=0,"",_xlpm.v)
),"")</f>
        <v/>
      </c>
      <c r="K17" s="17"/>
      <c r="L17" s="17" t="b">
        <f>IF(OR(COUNTIF('クラス'!$A$1:$A$1262,$B17)&gt;0,$B17="",$M17=""),"",True)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VLOOKUP($I18,'用語辞書'!$A:$B,COLUMN('用語辞書'!B$1),FALSE),
IF(_xlpm.v=0,"",_xlpm.v)
),"")</f>
        <v/>
      </c>
      <c r="K18" s="17"/>
      <c r="L18" s="17" t="str">
        <f>IF(OR(COUNTIF('クラス'!$A$1:$A$1262,$B18)&gt;0,$B18="",$M18=""),"",True)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VLOOKUP($I19,'用語辞書'!$A:$B,COLUMN('用語辞書'!B$1),FALSE),
IF(_xlpm.v=0,"",_xlpm.v)
),"")</f>
        <v/>
      </c>
      <c r="K19" s="17"/>
      <c r="L19" s="17" t="str">
        <f>IF(OR(COUNTIF('クラス'!$A$1:$A$1262,$B19)&gt;0,$B19="",$M19=""),"",True)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VLOOKUP($I20,'用語辞書'!$A:$B,COLUMN('用語辞書'!B$1),FALSE),
IF(_xlpm.v=0,"",_xlpm.v)
),"")</f>
        <v/>
      </c>
      <c r="K20" s="17"/>
      <c r="L20" s="17" t="str">
        <f>IF(OR(COUNTIF('クラス'!$A$1:$A$1262,$B20)&gt;0,$B20="",$M20=""),"",True)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VLOOKUP($I21,'用語辞書'!$A:$B,COLUMN('用語辞書'!B$1),FALSE),
IF(_xlpm.v=0,"",_xlpm.v)
),"")</f>
        <v/>
      </c>
      <c r="K21" s="17"/>
      <c r="L21" s="17" t="str">
        <f>IF(OR(COUNTIF('クラス'!$A$1:$A$1262,$B21)&gt;0,$B21="",$M21=""),"",True)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VLOOKUP($I22,'用語辞書'!$A:$B,COLUMN('用語辞書'!B$1),FALSE),
IF(_xlpm.v=0,"",_xlpm.v)
),"")</f>
        <v/>
      </c>
      <c r="K22" s="17"/>
      <c r="L22" s="17" t="b">
        <f>IF(OR(COUNTIF('クラス'!$A$1:$A$1262,$B22)&gt;0,$B22="",$M22=""),"",True)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VLOOKUP($I23,'用語辞書'!$A:$B,COLUMN('用語辞書'!B$1),FALSE),
IF(_xlpm.v=0,"",_xlpm.v)
),"")</f>
        <v/>
      </c>
      <c r="K23" s="17"/>
      <c r="L23" s="17" t="b">
        <f>IF(OR(COUNTIF('クラス'!$A$1:$A$1262,$B23)&gt;0,$B23="",$M23=""),"",True)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VLOOKUP($I24,'用語辞書'!$A:$B,COLUMN('用語辞書'!B$1),FALSE),
IF(_xlpm.v=0,"",_xlpm.v)
),"")</f>
        <v/>
      </c>
      <c r="K24" s="17"/>
      <c r="L24" s="17" t="str">
        <f>IF(OR(COUNTIF('クラス'!$A$1:$A$1262,$B24)&gt;0,$B24="",$M24=""),"",True)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VLOOKUP($I25,'用語辞書'!$A:$B,COLUMN('用語辞書'!B$1),FALSE),
IF(_xlpm.v=0,"",_xlpm.v)
),"")</f>
        <v/>
      </c>
      <c r="K25" s="17"/>
      <c r="L25" s="17" t="str">
        <f>IF(OR(COUNTIF('クラス'!$A$1:$A$1262,$B25)&gt;0,$B25="",$M25=""),"",True)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VLOOKUP($I26,'用語辞書'!$A:$B,COLUMN('用語辞書'!B$1),FALSE),
IF(_xlpm.v=0,"",_xlpm.v)
),"")</f>
        <v/>
      </c>
      <c r="K26" s="17"/>
      <c r="L26" s="17" t="b">
        <f>IF(OR(COUNTIF('クラス'!$A$1:$A$1262,$B26)&gt;0,$B26="",$M26=""),"",True)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VLOOKUP($I27,'用語辞書'!$A:$B,COLUMN('用語辞書'!B$1),FALSE),
IF(_xlpm.v=0,"",_xlpm.v)
),"")</f>
        <v/>
      </c>
      <c r="K27" s="17"/>
      <c r="L27" s="17" t="str">
        <f>IF(OR(COUNTIF('クラス'!$A$1:$A$1262,$B27)&gt;0,$B27="",$M27=""),"",True)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VLOOKUP($I28,'用語辞書'!$A:$B,COLUMN('用語辞書'!B$1),FALSE),
IF(_xlpm.v=0,"",_xlpm.v)
),"")</f>
        <v/>
      </c>
      <c r="K28" s="17"/>
      <c r="L28" s="17" t="str">
        <f>IF(OR(COUNTIF('クラス'!$A$1:$A$1262,$B28)&gt;0,$B28="",$M28=""),"",True)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VLOOKUP($I29,'用語辞書'!$A:$B,COLUMN('用語辞書'!B$1),FALSE),
IF(_xlpm.v=0,"",_xlpm.v)
),"")</f>
        <v/>
      </c>
      <c r="K29" s="17"/>
      <c r="L29" s="17" t="str">
        <f>IF(OR(COUNTIF('クラス'!$A$1:$A$1262,$B29)&gt;0,$B29="",$M29=""),"",True)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VLOOKUP($I30,'用語辞書'!$A:$B,COLUMN('用語辞書'!B$1),FALSE),
IF(_xlpm.v=0,"",_xlpm.v)
),"")</f>
        <v/>
      </c>
      <c r="K30" s="17"/>
      <c r="L30" s="17" t="str">
        <f>IF(OR(COUNTIF('クラス'!$A$1:$A$1262,$B30)&gt;0,$B30="",$M30=""),"",True)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VLOOKUP($I31,'用語辞書'!$A:$B,COLUMN('用語辞書'!B$1),FALSE),
IF(_xlpm.v=0,"",_xlpm.v)
),"")</f>
        <v/>
      </c>
      <c r="K31" s="17"/>
      <c r="L31" s="17" t="str">
        <f>IF(OR(COUNTIF('クラス'!$A$1:$A$1262,$B31)&gt;0,$B31="",$M31=""),"",True)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VLOOKUP($I32,'用語辞書'!$A:$B,COLUMN('用語辞書'!B$1),FALSE),
IF(_xlpm.v=0,"",_xlpm.v)
),"")</f>
        <v/>
      </c>
      <c r="K32" s="17"/>
      <c r="L32" s="17" t="str">
        <f>IF(OR(COUNTIF('クラス'!$A$1:$A$1262,$B32)&gt;0,$B32="",$M32=""),"",True)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VLOOKUP($I33,'用語辞書'!$A:$B,COLUMN('用語辞書'!B$1),FALSE),
IF(_xlpm.v=0,"",_xlpm.v)
),"")</f>
        <v/>
      </c>
      <c r="K33" s="17"/>
      <c r="L33" s="17" t="str">
        <f>IF(OR(COUNTIF('クラス'!$A$1:$A$1262,$B33)&gt;0,$B33="",$M33=""),"",True)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IF(OR(COUNTIF('クラス'!$A$1:$A$1262,$B34)&gt;0,$B34="",$M34=""),"",True)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VLOOKUP($I35,'用語辞書'!$A:$B,COLUMN('用語辞書'!B$1),FALSE),
IF(_xlpm.v=0,"",_xlpm.v)
),"")</f>
        <v/>
      </c>
      <c r="K35" s="17"/>
      <c r="L35" s="17" t="str">
        <f>IF(OR(COUNTIF('クラス'!$A$1:$A$1262,$B35)&gt;0,$B35="",$M35=""),"",True)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VLOOKUP($I36,'用語辞書'!$A:$B,COLUMN('用語辞書'!B$1),FALSE),
IF(_xlpm.v=0,"",_xlpm.v)
),"")</f>
        <v/>
      </c>
      <c r="K36" s="17"/>
      <c r="L36" s="17" t="b">
        <f>IF(OR(COUNTIF('クラス'!$A$1:$A$1262,$B36)&gt;0,$B36="",$M36=""),"",True)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VLOOKUP($I37,'用語辞書'!$A:$B,COLUMN('用語辞書'!B$1),FALSE),
IF(_xlpm.v=0,"",_xlpm.v)
),"")</f>
        <v/>
      </c>
      <c r="K37" s="17"/>
      <c r="L37" s="17" t="b">
        <f>IF(OR(COUNTIF('クラス'!$A$1:$A$1262,$B37)&gt;0,$B37="",$M37=""),"",True)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VLOOKUP($I38,'用語辞書'!$A:$B,COLUMN('用語辞書'!B$1),FALSE),
IF(_xlpm.v=0,"",_xlpm.v)
),"")</f>
        <v/>
      </c>
      <c r="K38" s="17"/>
      <c r="L38" s="17" t="b">
        <f>IF(OR(COUNTIF('クラス'!$A$1:$A$1262,$B38)&gt;0,$B38="",$M38=""),"",True)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VLOOKUP($I39,'用語辞書'!$A:$B,COLUMN('用語辞書'!B$1),FALSE),
IF(_xlpm.v=0,"",_xlpm.v)
),"")</f>
        <v/>
      </c>
      <c r="K39" s="17"/>
      <c r="L39" s="17" t="b">
        <f>IF(OR(COUNTIF('クラス'!$A$1:$A$1262,$B39)&gt;0,$B39="",$M39=""),"",True)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VLOOKUP($I40,'用語辞書'!$A:$B,COLUMN('用語辞書'!B$1),FALSE),
IF(_xlpm.v=0,"",_xlpm.v)
),"")</f>
        <v/>
      </c>
      <c r="K40" s="17"/>
      <c r="L40" s="17" t="b">
        <f>IF(OR(COUNTIF('クラス'!$A$1:$A$1262,$B40)&gt;0,$B40="",$M40=""),"",True)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VLOOKUP($I41,'用語辞書'!$A:$B,COLUMN('用語辞書'!B$1),FALSE),
IF(_xlpm.v=0,"",_xlpm.v)
),"")</f>
        <v/>
      </c>
      <c r="K41" s="17"/>
      <c r="L41" s="17" t="b">
        <f>IF(OR(COUNTIF('クラス'!$A$1:$A$1262,$B41)&gt;0,$B41="",$M41=""),"",True)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VLOOKUP($I42,'用語辞書'!$A:$B,COLUMN('用語辞書'!B$1),FALSE),
IF(_xlpm.v=0,"",_xlpm.v)
),"")</f>
        <v/>
      </c>
      <c r="K42" s="17"/>
      <c r="L42" s="17" t="b">
        <f>IF(OR(COUNTIF('クラス'!$A$1:$A$1262,$B42)&gt;0,$B42="",$M42=""),"",True)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VLOOKUP($I43,'用語辞書'!$A:$B,COLUMN('用語辞書'!B$1),FALSE),
IF(_xlpm.v=0,"",_xlpm.v)
),"")</f>
        <v/>
      </c>
      <c r="K43" s="17"/>
      <c r="L43" s="17" t="b">
        <f>IF(OR(COUNTIF('クラス'!$A$1:$A$1262,$B43)&gt;0,$B43="",$M43=""),"",True)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VLOOKUP($I44,'用語辞書'!$A:$B,COLUMN('用語辞書'!B$1),FALSE),
IF(_xlpm.v=0,"",_xlpm.v)
),"")</f>
        <v/>
      </c>
      <c r="K44" s="17"/>
      <c r="L44" s="17" t="b">
        <f>IF(OR(COUNTIF('クラス'!$A$1:$A$1262,$B44)&gt;0,$B44="",$M44=""),"",True)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VLOOKUP($I45,'用語辞書'!$A:$B,COLUMN('用語辞書'!B$1),FALSE),
IF(_xlpm.v=0,"",_xlpm.v)
),"")</f>
        <v/>
      </c>
      <c r="K45" s="17"/>
      <c r="L45" s="17" t="b">
        <f>IF(OR(COUNTIF('クラス'!$A$1:$A$1262,$B45)&gt;0,$B45="",$M45=""),"",True)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VLOOKUP($I46,'用語辞書'!$A:$B,COLUMN('用語辞書'!B$1),FALSE),
IF(_xlpm.v=0,"",_xlpm.v)
),"")</f>
        <v/>
      </c>
      <c r="K46" s="17"/>
      <c r="L46" s="17" t="b">
        <f>IF(OR(COUNTIF('クラス'!$A$1:$A$1262,$B46)&gt;0,$B46="",$M46=""),"",True)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VLOOKUP($I47,'用語辞書'!$A:$B,COLUMN('用語辞書'!B$1),FALSE),
IF(_xlpm.v=0,"",_xlpm.v)
),"")</f>
        <v/>
      </c>
      <c r="K47" s="17"/>
      <c r="L47" s="17" t="b">
        <f>IF(OR(COUNTIF('クラス'!$A$1:$A$1262,$B47)&gt;0,$B47="",$M47=""),"",True)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VLOOKUP($I48,'用語辞書'!$A:$B,COLUMN('用語辞書'!B$1),FALSE),
IF(_xlpm.v=0,"",_xlpm.v)
),"")</f>
        <v/>
      </c>
      <c r="K48" s="17"/>
      <c r="L48" s="17" t="b">
        <f>IF(OR(COUNTIF('クラス'!$A$1:$A$1262,$B48)&gt;0,$B48="",$M48=""),"",True)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VLOOKUP($I49,'用語辞書'!$A:$B,COLUMN('用語辞書'!B$1),FALSE),
IF(_xlpm.v=0,"",_xlpm.v)
),"")</f>
        <v/>
      </c>
      <c r="K49" s="17"/>
      <c r="L49" s="17" t="b">
        <f>IF(OR(COUNTIF('クラス'!$A$1:$A$1262,$B49)&gt;0,$B49="",$M49=""),"",True)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VLOOKUP($I50,'用語辞書'!$A:$B,COLUMN('用語辞書'!B$1),FALSE),
IF(_xlpm.v=0,"",_xlpm.v)
),"")</f>
        <v/>
      </c>
      <c r="K50" s="17"/>
      <c r="L50" s="17" t="b">
        <f>IF(OR(COUNTIF('クラス'!$A$1:$A$1262,$B50)&gt;0,$B50="",$M50=""),"",True)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VLOOKUP($I51,'用語辞書'!$A:$B,COLUMN('用語辞書'!B$1),FALSE),
IF(_xlpm.v=0,"",_xlpm.v)
),"")</f>
        <v/>
      </c>
      <c r="K51" s="17"/>
      <c r="L51" s="17" t="str">
        <f>IF(OR(COUNTIF('クラス'!$A$1:$A$1262,$B51)&gt;0,$B51="",$M51=""),"",True)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VLOOKUP($I52,'用語辞書'!$A:$B,COLUMN('用語辞書'!B$1),FALSE),
IF(_xlpm.v=0,"",_xlpm.v)
),"")</f>
        <v/>
      </c>
      <c r="K52" s="17"/>
      <c r="L52" s="17" t="str">
        <f>IF(OR(COUNTIF('クラス'!$A$1:$A$1262,$B52)&gt;0,$B52="",$M52=""),"",True)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VLOOKUP($I53,'用語辞書'!$A:$B,COLUMN('用語辞書'!B$1),FALSE),
IF(_xlpm.v=0,"",_xlpm.v)
),"")</f>
        <v/>
      </c>
      <c r="K53" s="17"/>
      <c r="L53" s="17" t="str">
        <f>IF(OR(COUNTIF('クラス'!$A$1:$A$1262,$B53)&gt;0,$B53="",$M53=""),"",True)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VLOOKUP($I54,'用語辞書'!$A:$B,COLUMN('用語辞書'!B$1),FALSE),
IF(_xlpm.v=0,"",_xlpm.v)
),"")</f>
        <v/>
      </c>
      <c r="K54" s="17"/>
      <c r="L54" s="17" t="str">
        <f>IF(OR(COUNTIF('クラス'!$A$1:$A$1262,$B54)&gt;0,$B54="",$M54=""),"",True)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VLOOKUP($I55,'用語辞書'!$A:$B,COLUMN('用語辞書'!B$1),FALSE),
IF(_xlpm.v=0,"",_xlpm.v)
),"")</f>
        <v/>
      </c>
      <c r="K55" s="17"/>
      <c r="L55" s="17" t="str">
        <f>IF(OR(COUNTIF('クラス'!$A$1:$A$1262,$B55)&gt;0,$B55="",$M55=""),"",True)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VLOOKUP($I56,'用語辞書'!$A:$B,COLUMN('用語辞書'!B$1),FALSE),
IF(_xlpm.v=0,"",_xlpm.v)
),"")</f>
        <v/>
      </c>
      <c r="K56" s="17"/>
      <c r="L56" s="17" t="str">
        <f>IF(OR(COUNTIF('クラス'!$A$1:$A$1262,$B56)&gt;0,$B56="",$M56=""),"",True)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VLOOKUP($I57,'用語辞書'!$A:$B,COLUMN('用語辞書'!B$1),FALSE),
IF(_xlpm.v=0,"",_xlpm.v)
),"")</f>
        <v/>
      </c>
      <c r="K57" s="17"/>
      <c r="L57" s="17" t="str">
        <f>IF(OR(COUNTIF('クラス'!$A$1:$A$1262,$B57)&gt;0,$B57="",$M57=""),"",True)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VLOOKUP($I58,'用語辞書'!$A:$B,COLUMN('用語辞書'!B$1),FALSE),
IF(_xlpm.v=0,"",_xlpm.v)
),"")</f>
        <v/>
      </c>
      <c r="K58" s="17"/>
      <c r="L58" s="17" t="str">
        <f>IF(OR(COUNTIF('クラス'!$A$1:$A$1262,$B58)&gt;0,$B58="",$M58=""),"",True)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VLOOKUP($I59,'用語辞書'!$A:$B,COLUMN('用語辞書'!B$1),FALSE),
IF(_xlpm.v=0,"",_xlpm.v)
),"")</f>
        <v/>
      </c>
      <c r="K59" s="17"/>
      <c r="L59" s="17" t="str">
        <f>IF(OR(COUNTIF('クラス'!$A$1:$A$1262,$B59)&gt;0,$B59="",$M59=""),"",True)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IF(OR(COUNTIF('クラス'!$A$1:$A$1262,$B60)&gt;0,$B60="",$M60=""),"",True)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VLOOKUP($I61,'用語辞書'!$A:$B,COLUMN('用語辞書'!B$1),FALSE),
IF(_xlpm.v=0,"",_xlpm.v)
),"")</f>
        <v/>
      </c>
      <c r="K61" s="17"/>
      <c r="L61" s="17" t="str">
        <f>IF(OR(COUNTIF('クラス'!$A$1:$A$1262,$B61)&gt;0,$B61="",$M61=""),"",True)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VLOOKUP($I62,'用語辞書'!$A:$B,COLUMN('用語辞書'!B$1),FALSE),
IF(_xlpm.v=0,"",_xlpm.v)
),"")</f>
        <v/>
      </c>
      <c r="K62" s="17"/>
      <c r="L62" s="17" t="b">
        <f>IF(OR(COUNTIF('クラス'!$A$1:$A$1262,$B62)&gt;0,$B62="",$M62=""),"",True)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VLOOKUP($I63,'用語辞書'!$A:$B,COLUMN('用語辞書'!B$1),FALSE),
IF(_xlpm.v=0,"",_xlpm.v)
),"")</f>
        <v/>
      </c>
      <c r="K63" s="17"/>
      <c r="L63" s="17" t="b">
        <f>IF(OR(COUNTIF('クラス'!$A$1:$A$1262,$B63)&gt;0,$B63="",$M63=""),"",True)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VLOOKUP($I64,'用語辞書'!$A:$B,COLUMN('用語辞書'!B$1),FALSE),
IF(_xlpm.v=0,"",_xlpm.v)
),"")</f>
        <v/>
      </c>
      <c r="K64" s="17"/>
      <c r="L64" s="17" t="b">
        <f>IF(OR(COUNTIF('クラス'!$A$1:$A$1262,$B64)&gt;0,$B64="",$M64=""),"",True)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VLOOKUP($I65,'用語辞書'!$A:$B,COLUMN('用語辞書'!B$1),FALSE),
IF(_xlpm.v=0,"",_xlpm.v)
),"")</f>
        <v/>
      </c>
      <c r="K65" s="17"/>
      <c r="L65" s="17" t="b">
        <f>IF(OR(COUNTIF('クラス'!$A$1:$A$1262,$B65)&gt;0,$B65="",$M65=""),"",True)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VLOOKUP($I66,'用語辞書'!$A:$B,COLUMN('用語辞書'!B$1),FALSE),
IF(_xlpm.v=0,"",_xlpm.v)
),"")</f>
        <v/>
      </c>
      <c r="K66" s="17"/>
      <c r="L66" s="17" t="b">
        <f>IF(OR(COUNTIF('クラス'!$A$1:$A$1262,$B66)&gt;0,$B66="",$M66=""),"",True)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VLOOKUP($I67,'用語辞書'!$A:$B,COLUMN('用語辞書'!B$1),FALSE),
IF(_xlpm.v=0,"",_xlpm.v)
),"")</f>
        <v/>
      </c>
      <c r="K67" s="17"/>
      <c r="L67" s="17" t="b">
        <f>IF(OR(COUNTIF('クラス'!$A$1:$A$1262,$B67)&gt;0,$B67="",$M67=""),"",True)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VLOOKUP($I68,'用語辞書'!$A:$B,COLUMN('用語辞書'!B$1),FALSE),
IF(_xlpm.v=0,"",_xlpm.v)
),"")</f>
        <v/>
      </c>
      <c r="K68" s="17"/>
      <c r="L68" s="17" t="b">
        <f>IF(OR(COUNTIF('クラス'!$A$1:$A$1262,$B68)&gt;0,$B68="",$M68=""),"",True)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VLOOKUP($I69,'用語辞書'!$A:$B,COLUMN('用語辞書'!B$1),FALSE),
IF(_xlpm.v=0,"",_xlpm.v)
),"")</f>
        <v/>
      </c>
      <c r="K69" s="17"/>
      <c r="L69" s="17" t="b">
        <f>IF(OR(COUNTIF('クラス'!$A$1:$A$1262,$B69)&gt;0,$B69="",$M69=""),"",True)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VLOOKUP($I70,'用語辞書'!$A:$B,COLUMN('用語辞書'!B$1),FALSE),
IF(_xlpm.v=0,"",_xlpm.v)
),"")</f>
        <v/>
      </c>
      <c r="K70" s="17"/>
      <c r="L70" s="17" t="b">
        <f>IF(OR(COUNTIF('クラス'!$A$1:$A$1262,$B70)&gt;0,$B70="",$M70=""),"",True)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VLOOKUP($I71,'用語辞書'!$A:$B,COLUMN('用語辞書'!B$1),FALSE),
IF(_xlpm.v=0,"",_xlpm.v)
),"")</f>
        <v/>
      </c>
      <c r="K71" s="17"/>
      <c r="L71" s="17" t="b">
        <f>IF(OR(COUNTIF('クラス'!$A$1:$A$1262,$B71)&gt;0,$B71="",$M71=""),"",True)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VLOOKUP($I72,'用語辞書'!$A:$B,COLUMN('用語辞書'!B$1),FALSE),
IF(_xlpm.v=0,"",_xlpm.v)
),"")</f>
        <v/>
      </c>
      <c r="K72" s="17"/>
      <c r="L72" s="17" t="b">
        <f>IF(OR(COUNTIF('クラス'!$A$1:$A$1262,$B72)&gt;0,$B72="",$M72=""),"",True)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VLOOKUP($I73,'用語辞書'!$A:$B,COLUMN('用語辞書'!B$1),FALSE),
IF(_xlpm.v=0,"",_xlpm.v)
),"")</f>
        <v/>
      </c>
      <c r="K73" s="17"/>
      <c r="L73" s="17" t="b">
        <f>IF(OR(COUNTIF('クラス'!$A$1:$A$1262,$B73)&gt;0,$B73="",$M73=""),"",True)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VLOOKUP($I74,'用語辞書'!$A:$B,COLUMN('用語辞書'!B$1),FALSE),
IF(_xlpm.v=0,"",_xlpm.v)
),"")</f>
        <v/>
      </c>
      <c r="K74" s="17"/>
      <c r="L74" s="17" t="b">
        <f>IF(OR(COUNTIF('クラス'!$A$1:$A$1262,$B74)&gt;0,$B74="",$M74=""),"",True)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VLOOKUP($I75,'用語辞書'!$A:$B,COLUMN('用語辞書'!B$1),FALSE),
IF(_xlpm.v=0,"",_xlpm.v)
),"")</f>
        <v/>
      </c>
      <c r="K75" s="17"/>
      <c r="L75" s="17" t="b">
        <f>IF(OR(COUNTIF('クラス'!$A$1:$A$1262,$B75)&gt;0,$B75="",$M75=""),"",True)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VLOOKUP($I76,'用語辞書'!$A:$B,COLUMN('用語辞書'!B$1),FALSE),
IF(_xlpm.v=0,"",_xlpm.v)
),"")</f>
        <v/>
      </c>
      <c r="K76" s="17"/>
      <c r="L76" s="17" t="b">
        <f>IF(OR(COUNTIF('クラス'!$A$1:$A$1262,$B76)&gt;0,$B76="",$M76=""),"",True)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VLOOKUP($I77,'用語辞書'!$A:$B,COLUMN('用語辞書'!B$1),FALSE),
IF(_xlpm.v=0,"",_xlpm.v)
),"")</f>
        <v/>
      </c>
      <c r="K77" s="17"/>
      <c r="L77" s="17" t="b">
        <f>IF(OR(COUNTIF('クラス'!$A$1:$A$1262,$B77)&gt;0,$B77="",$M77=""),"",True)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VLOOKUP($I78,'用語辞書'!$A:$B,COLUMN('用語辞書'!B$1),FALSE),
IF(_xlpm.v=0,"",_xlpm.v)
),"")</f>
        <v/>
      </c>
      <c r="K78" s="17"/>
      <c r="L78" s="17" t="str">
        <f>IF(OR(COUNTIF('クラス'!$A$1:$A$1262,$B78)&gt;0,$B78="",$M78=""),"",True)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VLOOKUP($I79,'用語辞書'!$A:$B,COLUMN('用語辞書'!B$1),FALSE),
IF(_xlpm.v=0,"",_xlpm.v)
),"")</f>
        <v/>
      </c>
      <c r="K79" s="17"/>
      <c r="L79" s="17" t="str">
        <f>IF(OR(COUNTIF('クラス'!$A$1:$A$1262,$B79)&gt;0,$B79="",$M79=""),"",True)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VLOOKUP($I80,'用語辞書'!$A:$B,COLUMN('用語辞書'!B$1),FALSE),
IF(_xlpm.v=0,"",_xlpm.v)
),"")</f>
        <v/>
      </c>
      <c r="K80" s="17"/>
      <c r="L80" s="17" t="str">
        <f>IF(OR(COUNTIF('クラス'!$A$1:$A$1262,$B80)&gt;0,$B80="",$M80=""),"",True)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VLOOKUP($I81,'用語辞書'!$A:$B,COLUMN('用語辞書'!B$1),FALSE),
IF(_xlpm.v=0,"",_xlpm.v)
),"")</f>
        <v/>
      </c>
      <c r="K81" s="17"/>
      <c r="L81" s="17" t="str">
        <f>IF(OR(COUNTIF('クラス'!$A$1:$A$1262,$B81)&gt;0,$B81="",$M81=""),"",True)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VLOOKUP($I82,'用語辞書'!$A:$B,COLUMN('用語辞書'!B$1),FALSE),
IF(_xlpm.v=0,"",_xlpm.v)
),"")</f>
        <v/>
      </c>
      <c r="K82" s="17"/>
      <c r="L82" s="17" t="str">
        <f>IF(OR(COUNTIF('クラス'!$A$1:$A$1262,$B82)&gt;0,$B82="",$M82=""),"",True)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VLOOKUP($I83,'用語辞書'!$A:$B,COLUMN('用語辞書'!B$1),FALSE),
IF(_xlpm.v=0,"",_xlpm.v)
),"")</f>
        <v/>
      </c>
      <c r="K83" s="17"/>
      <c r="L83" s="17" t="str">
        <f>IF(OR(COUNTIF('クラス'!$A$1:$A$1262,$B83)&gt;0,$B83="",$M83=""),"",True)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VLOOKUP($I84,'用語辞書'!$A:$B,COLUMN('用語辞書'!B$1),FALSE),
IF(_xlpm.v=0,"",_xlpm.v)
),"")</f>
        <v/>
      </c>
      <c r="K84" s="17"/>
      <c r="L84" s="17" t="str">
        <f>IF(OR(COUNTIF('クラス'!$A$1:$A$1262,$B84)&gt;0,$B84="",$M84=""),"",True)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VLOOKUP($I85,'用語辞書'!$A:$B,COLUMN('用語辞書'!B$1),FALSE),
IF(_xlpm.v=0,"",_xlpm.v)
),"")</f>
        <v/>
      </c>
      <c r="K85" s="17"/>
      <c r="L85" s="17" t="str">
        <f>IF(OR(COUNTIF('クラス'!$A$1:$A$1262,$B85)&gt;0,$B85="",$M85=""),"",True)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IF(OR(COUNTIF('クラス'!$A$1:$A$1262,$B86)&gt;0,$B86="",$M86=""),"",True)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IF(OR(COUNTIF('クラス'!$A$1:$A$1262,$B87)&gt;0,$B87="",$M87=""),"",True)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IF(OR(COUNTIF('クラス'!$A$1:$A$1262,$B88)&gt;0,$B88="",$M88=""),"",True)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IF(OR(COUNTIF('クラス'!$A$1:$A$1262,$B89)&gt;0,$B89="",$M89=""),"",True)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IF(OR(COUNTIF('クラス'!$A$1:$A$1262,$B90)&gt;0,$B90="",$M90=""),"",True)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IF(OR(COUNTIF('クラス'!$A$1:$A$1262,$B91)&gt;0,$B91="",$M91=""),"",True)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IF(OR(COUNTIF('クラス'!$A$1:$A$1262,$B92)&gt;0,$B92="",$M92=""),"",True)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IF(OR(COUNTIF('クラス'!$A$1:$A$1262,$B93)&gt;0,$B93="",$M93=""),"",True)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IF(OR(COUNTIF('クラス'!$A$1:$A$1262,$B94)&gt;0,$B94="",$M94=""),"",True)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IF(OR(COUNTIF('クラス'!$A$1:$A$1262,$B95)&gt;0,$B95="",$M95=""),"",True)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IF(OR(COUNTIF('クラス'!$A$1:$A$1262,$B96)&gt;0,$B96="",$M96=""),"",True)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IF(OR(COUNTIF('クラス'!$A$1:$A$1262,$B97)&gt;0,$B97="",$M97=""),"",True)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IF(OR(COUNTIF('クラス'!$A$1:$A$1262,$B98)&gt;0,$B98="",$M98=""),"",True)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IF(OR(COUNTIF('クラス'!$A$1:$A$1262,$B99)&gt;0,$B99="",$M99=""),"",True)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IF(OR(COUNTIF('クラス'!$A$1:$A$1262,$B100)&gt;0,$B100="",$M100=""),"",True)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IF(OR(COUNTIF('クラス'!$A$1:$A$1262,$B101)&gt;0,$B101="",$M101=""),"",True)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IF(OR(COUNTIF('クラス'!$A$1:$A$1262,$B102)&gt;0,$B102="",$M102=""),"",True)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IF(OR(COUNTIF('クラス'!$A$1:$A$1262,$B103)&gt;0,$B103="",$M103=""),"",True)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IF(OR(COUNTIF('クラス'!$A$1:$A$1262,$B104)&gt;0,$B104="",$M104=""),"",True)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IF(OR(COUNTIF('クラス'!$A$1:$A$1262,$B105)&gt;0,$B105="",$M105=""),"",True)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IF(OR(COUNTIF('クラス'!$A$1:$A$1262,$B106)&gt;0,$B106="",$M106=""),"",True)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IF(OR(COUNTIF('クラス'!$A$1:$A$1262,$B107)&gt;0,$B107="",$M107=""),"",True)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IF(OR(COUNTIF('クラス'!$A$1:$A$1262,$B108)&gt;0,$B108="",$M108=""),"",True)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IF(OR(COUNTIF('クラス'!$A$1:$A$1262,$B109)&gt;0,$B109="",$M109=""),"",True)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IF(OR(COUNTIF('クラス'!$A$1:$A$1262,$B110)&gt;0,$B110="",$M110=""),"",True)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IF(OR(COUNTIF('クラス'!$A$1:$A$1262,$B111)&gt;0,$B111="",$M111=""),"",True)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IF(OR(COUNTIF('クラス'!$A$1:$A$1262,$B112)&gt;0,$B112="",$M112=""),"",True)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IF(OR(COUNTIF('クラス'!$A$1:$A$1262,$B113)&gt;0,$B113="",$M113=""),"",True)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IF(OR(COUNTIF('クラス'!$A$1:$A$1262,$B114)&gt;0,$B114="",$M114=""),"",True)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IF(OR(COUNTIF('クラス'!$A$1:$A$1262,$B115)&gt;0,$B115="",$M115=""),"",True)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IF(OR(COUNTIF('クラス'!$A$1:$A$1262,$B116)&gt;0,$B116="",$M116=""),"",True)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IF(OR(COUNTIF('クラス'!$A$1:$A$1262,$B117)&gt;0,$B117="",$M117=""),"",True)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IF(OR(COUNTIF('クラス'!$A$1:$A$1262,$B118)&gt;0,$B118="",$M118=""),"",True)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IF(OR(COUNTIF('クラス'!$A$1:$A$1262,$B119)&gt;0,$B119="",$M119=""),"",True)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IF(OR(COUNTIF('クラス'!$A$1:$A$1262,$B120)&gt;0,$B120="",$M120=""),"",True)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IF(OR(COUNTIF('クラス'!$A$1:$A$1262,$B121)&gt;0,$B121="",$M121=""),"",True)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IF(OR(COUNTIF('クラス'!$A$1:$A$1262,$B122)&gt;0,$B122="",$M122=""),"",True)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IF(OR(COUNTIF('クラス'!$A$1:$A$1262,$B123)&gt;0,$B123="",$M123=""),"",True)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IF(OR(COUNTIF('クラス'!$A$1:$A$1262,$B124)&gt;0,$B124="",$M124=""),"",True)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IF(OR(COUNTIF('クラス'!$A$1:$A$1262,$B125)&gt;0,$B125="",$M125=""),"",True)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IF(OR(COUNTIF('クラス'!$A$1:$A$1262,$B126)&gt;0,$B126="",$M126=""),"",True)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IF(OR(COUNTIF('クラス'!$A$1:$A$1262,$B127)&gt;0,$B127="",$M127=""),"",True)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IF(OR(COUNTIF('クラス'!$A$1:$A$1262,$B128)&gt;0,$B128="",$M128=""),"",True)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IF(OR(COUNTIF('クラス'!$A$1:$A$1262,$B129)&gt;0,$B129="",$M129=""),"",True)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IF(OR(COUNTIF('クラス'!$A$1:$A$1262,$B130)&gt;0,$B130="",$M130=""),"",True)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IF(OR(COUNTIF('クラス'!$A$1:$A$1262,$B131)&gt;0,$B131="",$M131=""),"",True)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IF(OR(COUNTIF('クラス'!$A$1:$A$1262,$B132)&gt;0,$B132="",$M132=""),"",True)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IF(OR(COUNTIF('クラス'!$A$1:$A$1262,$B133)&gt;0,$B133="",$M133=""),"",True)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IF(OR(COUNTIF('クラス'!$A$1:$A$1262,$B134)&gt;0,$B134="",$M134=""),"",True)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IF(OR(COUNTIF('クラス'!$A$1:$A$1262,$B135)&gt;0,$B135="",$M135=""),"",True)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IF(OR(COUNTIF('クラス'!$A$1:$A$1262,$B136)&gt;0,$B136="",$M136=""),"",True)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IF(OR(COUNTIF('クラス'!$A$1:$A$1262,$B137)&gt;0,$B137="",$M137=""),"",True)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IF(OR(COUNTIF('クラス'!$A$1:$A$1262,$B138)&gt;0,$B138="",$M138=""),"",True)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IF(OR(COUNTIF('クラス'!$A$1:$A$1262,$B139)&gt;0,$B139="",$M139=""),"",True)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IF(OR(COUNTIF('クラス'!$A$1:$A$1262,$B140)&gt;0,$B140="",$M140=""),"",True)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IF(OR(COUNTIF('クラス'!$A$1:$A$1262,$B141)&gt;0,$B141="",$M141=""),"",True)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IF(OR(COUNTIF('クラス'!$A$1:$A$1262,$B142)&gt;0,$B142="",$M142=""),"",True)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IF(OR(COUNTIF('クラス'!$A$1:$A$1262,$B143)&gt;0,$B143="",$M143=""),"",True)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IF(OR(COUNTIF('クラス'!$A$1:$A$1262,$B144)&gt;0,$B144="",$M144=""),"",True)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IF(OR(COUNTIF('クラス'!$A$1:$A$1262,$B145)&gt;0,$B145="",$M145=""),"",True)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IF(OR(COUNTIF('クラス'!$A$1:$A$1262,$B146)&gt;0,$B146="",$M146=""),"",True)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IF(OR(COUNTIF('クラス'!$A$1:$A$1262,$B147)&gt;0,$B147="",$M147=""),"",True)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IF(OR(COUNTIF('クラス'!$A$1:$A$1262,$B148)&gt;0,$B148="",$M148=""),"",True)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IF(OR(COUNTIF('クラス'!$A$1:$A$1262,$B149)&gt;0,$B149="",$M149=""),"",True)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IF(OR(COUNTIF('クラス'!$A$1:$A$1262,$B150)&gt;0,$B150="",$M150=""),"",True)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IF(OR(COUNTIF('クラス'!$A$1:$A$1262,$B151)&gt;0,$B151="",$M151=""),"",True)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IF(OR(COUNTIF('クラス'!$A$1:$A$1262,$B152)&gt;0,$B152="",$M152=""),"",True)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IF(OR(COUNTIF('クラス'!$A$1:$A$1262,$B153)&gt;0,$B153="",$M153=""),"",True)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IF(OR(COUNTIF('クラス'!$A$1:$A$1262,$B154)&gt;0,$B154="",$M154=""),"",True)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IF(OR(COUNTIF('クラス'!$A$1:$A$1262,$B155)&gt;0,$B155="",$M155=""),"",True)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IF(OR(COUNTIF('クラス'!$A$1:$A$1262,$B156)&gt;0,$B156="",$M156=""),"",True)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IF(OR(COUNTIF('クラス'!$A$1:$A$1262,$B157)&gt;0,$B157="",$M157=""),"",True)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IF(OR(COUNTIF('クラス'!$A$1:$A$1262,$B158)&gt;0,$B158="",$M158=""),"",True)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IF(OR(COUNTIF('クラス'!$A$1:$A$1262,$B159)&gt;0,$B159="",$M159=""),"",True)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IF(OR(COUNTIF('クラス'!$A$1:$A$1262,$B160)&gt;0,$B160="",$M160=""),"",True)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IF(OR(COUNTIF('クラス'!$A$1:$A$1262,$B161)&gt;0,$B161="",$M161=""),"",True)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IF(OR(COUNTIF('クラス'!$A$1:$A$1262,$B162)&gt;0,$B162="",$M162=""),"",True)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IF(OR(COUNTIF('クラス'!$A$1:$A$1262,$B163)&gt;0,$B163="",$M163=""),"",True)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IF(OR(COUNTIF('クラス'!$A$1:$A$1262,$B164)&gt;0,$B164="",$M164=""),"",True)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IF(OR(COUNTIF('クラス'!$A$1:$A$1262,$B165)&gt;0,$B165="",$M165=""),"",True)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IF(OR(COUNTIF('クラス'!$A$1:$A$1262,$B166)&gt;0,$B166="",$M166=""),"",True)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IF(OR(COUNTIF('クラス'!$A$1:$A$1262,$B167)&gt;0,$B167="",$M167=""),"",True)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IF(OR(COUNTIF('クラス'!$A$1:$A$1262,$B168)&gt;0,$B168="",$M168=""),"",True)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IF(OR(COUNTIF('クラス'!$A$1:$A$1262,$B169)&gt;0,$B169="",$M169=""),"",True)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IF(OR(COUNTIF('クラス'!$A$1:$A$1262,$B170)&gt;0,$B170="",$M170=""),"",True)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IF(OR(COUNTIF('クラス'!$A$1:$A$1262,$B171)&gt;0,$B171="",$M171=""),"",True)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IF(OR(COUNTIF('クラス'!$A$1:$A$1262,$B172)&gt;0,$B172="",$M172=""),"",True)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IF(OR(COUNTIF('クラス'!$A$1:$A$1262,$B173)&gt;0,$B173="",$M173=""),"",True)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IF(OR(COUNTIF('クラス'!$A$1:$A$1262,$B174)&gt;0,$B174="",$M174=""),"",True)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IF(OR(COUNTIF('クラス'!$A$1:$A$1262,$B175)&gt;0,$B175="",$M175=""),"",True)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IF(OR(COUNTIF('クラス'!$A$1:$A$1262,$B176)&gt;0,$B176="",$M176=""),"",True)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IF(OR(COUNTIF('クラス'!$A$1:$A$1262,$B177)&gt;0,$B177="",$M177=""),"",True)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IF(OR(COUNTIF('クラス'!$A$1:$A$1262,$B178)&gt;0,$B178="",$M178=""),"",True)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IF(OR(COUNTIF('クラス'!$A$1:$A$1262,$B179)&gt;0,$B179="",$M179=""),"",True)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IF(OR(COUNTIF('クラス'!$A$1:$A$1262,$B180)&gt;0,$B180="",$M180=""),"",True)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IF(OR(COUNTIF('クラス'!$A$1:$A$1262,$B181)&gt;0,$B181="",$M181=""),"",True)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IF(OR(COUNTIF('クラス'!$A$1:$A$1262,$B182)&gt;0,$B182="",$M182=""),"",True)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IF(OR(COUNTIF('クラス'!$A$1:$A$1262,$B183)&gt;0,$B183="",$M183=""),"",True)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IF(OR(COUNTIF('クラス'!$A$1:$A$1262,$B184)&gt;0,$B184="",$M184=""),"",True)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IF(OR(COUNTIF('クラス'!$A$1:$A$1262,$B185)&gt;0,$B185="",$M185=""),"",True)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IF(OR(COUNTIF('クラス'!$A$1:$A$1262,$B186)&gt;0,$B186="",$M186=""),"",True)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IF(OR(COUNTIF('クラス'!$A$1:$A$1262,$B187)&gt;0,$B187="",$M187=""),"",True)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IF(OR(COUNTIF('クラス'!$A$1:$A$1262,$B188)&gt;0,$B188="",$M188=""),"",True)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IF(OR(COUNTIF('クラス'!$A$1:$A$1262,$B189)&gt;0,$B189="",$M189=""),"",True)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IF(OR(COUNTIF('クラス'!$A$1:$A$1262,$B190)&gt;0,$B190="",$M190=""),"",True)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IF(OR(COUNTIF('クラス'!$A$1:$A$1262,$B191)&gt;0,$B191="",$M191=""),"",True)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IF(OR(COUNTIF('クラス'!$A$1:$A$1262,$B192)&gt;0,$B192="",$M192=""),"",True)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IF(OR(COUNTIF('クラス'!$A$1:$A$1262,$B193)&gt;0,$B193="",$M193=""),"",True)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IF(OR(COUNTIF('クラス'!$A$1:$A$1262,$B194)&gt;0,$B194="",$M194=""),"",True)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IF(OR(COUNTIF('クラス'!$A$1:$A$1262,$B195)&gt;0,$B195="",$M195=""),"",True)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IF(OR(COUNTIF('クラス'!$A$1:$A$1262,$B196)&gt;0,$B196="",$M196=""),"",True)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IF(OR(COUNTIF('クラス'!$A$1:$A$1262,$B197)&gt;0,$B197="",$M197=""),"",True)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IF(OR(COUNTIF('クラス'!$A$1:$A$1262,$B198)&gt;0,$B198="",$M198=""),"",True)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IF(OR(COUNTIF('クラス'!$A$1:$A$1262,$B199)&gt;0,$B199="",$M199=""),"",True)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IF(OR(COUNTIF('クラス'!$A$1:$A$1262,$B200)&gt;0,$B200="",$M200=""),"",True)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IF(OR(COUNTIF('クラス'!$A$1:$A$1262,$B201)&gt;0,$B201="",$M201=""),"",True)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IF(OR(COUNTIF('クラス'!$A$1:$A$1262,$B202)&gt;0,$B202="",$M202=""),"",True)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IF(OR(COUNTIF('クラス'!$A$1:$A$1262,$B203)&gt;0,$B203="",$M203=""),"",True)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IF(OR(COUNTIF('クラス'!$A$1:$A$1262,$B204)&gt;0,$B204="",$M204=""),"",True)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IF(OR(COUNTIF('クラス'!$A$1:$A$1262,$B205)&gt;0,$B205="",$M205=""),"",True)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IF(OR(COUNTIF('クラス'!$A$1:$A$1262,$B206)&gt;0,$B206="",$M206=""),"",True)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IF(OR(COUNTIF('クラス'!$A$1:$A$1262,$B207)&gt;0,$B207="",$M207=""),"",True)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IF(OR(COUNTIF('クラス'!$A$1:$A$1262,$B208)&gt;0,$B208="",$M208=""),"",True)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IF(OR(COUNTIF('クラス'!$A$1:$A$1262,$B209)&gt;0,$B209="",$M209=""),"",True)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IF(OR(COUNTIF('クラス'!$A$1:$A$1262,$B210)&gt;0,$B210="",$M210=""),"",True)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IF(OR(COUNTIF('クラス'!$A$1:$A$1262,$B211)&gt;0,$B211="",$M211=""),"",True)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IF(OR(COUNTIF('クラス'!$A$1:$A$1262,$B212)&gt;0,$B212="",$M212=""),"",True)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IF(OR(COUNTIF('クラス'!$A$1:$A$1262,$B213)&gt;0,$B213="",$M213=""),"",True)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IF(OR(COUNTIF('クラス'!$A$1:$A$1262,$B214)&gt;0,$B214="",$M214=""),"",True)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IF(OR(COUNTIF('クラス'!$A$1:$A$1262,$B215)&gt;0,$B215="",$M215=""),"",True)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IF(OR(COUNTIF('クラス'!$A$1:$A$1262,$B216)&gt;0,$B216="",$M216=""),"",True)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IF(OR(COUNTIF('クラス'!$A$1:$A$1262,$B217)&gt;0,$B217="",$M217=""),"",True)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IF(OR(COUNTIF('クラス'!$A$1:$A$1262,$B218)&gt;0,$B218="",$M218=""),"",True)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IF(OR(COUNTIF('クラス'!$A$1:$A$1262,$B219)&gt;0,$B219="",$M219=""),"",True)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IF(OR(COUNTIF('クラス'!$A$1:$A$1262,$B220)&gt;0,$B220="",$M220=""),"",True)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IF(OR(COUNTIF('クラス'!$A$1:$A$1262,$B221)&gt;0,$B221="",$M221=""),"",True)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IF(OR(COUNTIF('クラス'!$A$1:$A$1262,$B222)&gt;0,$B222="",$M222=""),"",True)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IF(OR(COUNTIF('クラス'!$A$1:$A$1262,$B223)&gt;0,$B223="",$M223=""),"",True)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IF(OR(COUNTIF('クラス'!$A$1:$A$1262,$B224)&gt;0,$B224="",$M224=""),"",True)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IF(OR(COUNTIF('クラス'!$A$1:$A$1262,$B225)&gt;0,$B225="",$M225=""),"",True)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IF(OR(COUNTIF('クラス'!$A$1:$A$1262,$B226)&gt;0,$B226="",$M226=""),"",True)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IF(OR(COUNTIF('クラス'!$A$1:$A$1262,$B227)&gt;0,$B227="",$M227=""),"",True)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IF(OR(COUNTIF('クラス'!$A$1:$A$1262,$B228)&gt;0,$B228="",$M228=""),"",True)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IF(OR(COUNTIF('クラス'!$A$1:$A$1262,$B229)&gt;0,$B229="",$M229=""),"",True)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IF(OR(COUNTIF('クラス'!$A$1:$A$1262,$B230)&gt;0,$B230="",$M230=""),"",True)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IF(OR(COUNTIF('クラス'!$A$1:$A$1262,$B231)&gt;0,$B231="",$M231=""),"",True)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IF(OR(COUNTIF('クラス'!$A$1:$A$1262,$B232)&gt;0,$B232="",$M232=""),"",True)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IF(OR(COUNTIF('クラス'!$A$1:$A$1262,$B233)&gt;0,$B233="",$M233=""),"",True)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IF(OR(COUNTIF('クラス'!$A$1:$A$1262,$B234)&gt;0,$B234="",$M234=""),"",True)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IF(OR(COUNTIF('クラス'!$A$1:$A$1262,$B235)&gt;0,$B235="",$M235=""),"",True)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IF(OR(COUNTIF('クラス'!$A$1:$A$1262,$B236)&gt;0,$B236="",$M236=""),"",True)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IF(OR(COUNTIF('クラス'!$A$1:$A$1262,$B237)&gt;0,$B237="",$M237=""),"",True)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IF(OR(COUNTIF('クラス'!$A$1:$A$1262,$B238)&gt;0,$B238="",$M238=""),"",True)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IF(OR(COUNTIF('クラス'!$A$1:$A$1262,$B239)&gt;0,$B239="",$M239=""),"",True)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IF(OR(COUNTIF('クラス'!$A$1:$A$1262,$B240)&gt;0,$B240="",$M240=""),"",True)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IF(OR(COUNTIF('クラス'!$A$1:$A$1262,$B241)&gt;0,$B241="",$M241=""),"",True)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IF(OR(COUNTIF('クラス'!$A$1:$A$1262,$B242)&gt;0,$B242="",$M242=""),"",True)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IF(OR(COUNTIF('クラス'!$A$1:$A$1262,$B243)&gt;0,$B243="",$M243=""),"",True)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IF(OR(COUNTIF('クラス'!$A$1:$A$1262,$B244)&gt;0,$B244="",$M244=""),"",True)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IF(OR(COUNTIF('クラス'!$A$1:$A$1262,$B245)&gt;0,$B245="",$M245=""),"",True)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IF(OR(COUNTIF('クラス'!$A$1:$A$1262,$B246)&gt;0,$B246="",$M246=""),"",True)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IF(OR(COUNTIF('クラス'!$A$1:$A$1262,$B247)&gt;0,$B247="",$M247=""),"",True)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IF(OR(COUNTIF('クラス'!$A$1:$A$1262,$B248)&gt;0,$B248="",$M248=""),"",True)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IF(OR(COUNTIF('クラス'!$A$1:$A$1262,$B249)&gt;0,$B249="",$M249=""),"",True)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IF(OR(COUNTIF('クラス'!$A$1:$A$1262,$B250)&gt;0,$B250="",$M250=""),"",True)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IF(OR(COUNTIF('クラス'!$A$1:$A$1262,$B251)&gt;0,$B251="",$M251=""),"",True)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IF(OR(COUNTIF('クラス'!$A$1:$A$1262,$B252)&gt;0,$B252="",$M252=""),"",True)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IF(OR(COUNTIF('クラス'!$A$1:$A$1262,$B253)&gt;0,$B253="",$M253=""),"",True)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IF(OR(COUNTIF('クラス'!$A$1:$A$1262,$B254)&gt;0,$B254="",$M254=""),"",True)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IF(OR(COUNTIF('クラス'!$A$1:$A$1262,$B255)&gt;0,$B255="",$M255=""),"",True)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IF(OR(COUNTIF('クラス'!$A$1:$A$1262,$B256)&gt;0,$B256="",$M256=""),"",True)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IF(OR(COUNTIF('クラス'!$A$1:$A$1262,$B257)&gt;0,$B257="",$M257=""),"",True)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IF(OR(COUNTIF('クラス'!$A$1:$A$1262,$B258)&gt;0,$B258="",$M258=""),"",True)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IF(OR(COUNTIF('クラス'!$A$1:$A$1262,$B259)&gt;0,$B259="",$M259=""),"",True)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IF(OR(COUNTIF('クラス'!$A$1:$A$1262,$B260)&gt;0,$B260="",$M260=""),"",True)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IF(OR(COUNTIF('クラス'!$A$1:$A$1262,$B261)&gt;0,$B261="",$M261=""),"",True)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IF(OR(COUNTIF('クラス'!$A$1:$A$1262,$B262)&gt;0,$B262="",$M262=""),"",True)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IF(OR(COUNTIF('クラス'!$A$1:$A$1262,$B263)&gt;0,$B263="",$M263=""),"",True)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IF(OR(COUNTIF('クラス'!$A$1:$A$1262,$B264)&gt;0,$B264="",$M264=""),"",True)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IF(OR(COUNTIF('クラス'!$A$1:$A$1262,$B265)&gt;0,$B265="",$M265=""),"",True)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IF(OR(COUNTIF('クラス'!$A$1:$A$1262,$B266)&gt;0,$B266="",$M266=""),"",True)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IF(OR(COUNTIF('クラス'!$A$1:$A$1262,$B267)&gt;0,$B267="",$M267=""),"",True)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IF(OR(COUNTIF('クラス'!$A$1:$A$1262,$B268)&gt;0,$B268="",$M268=""),"",True)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IF(OR(COUNTIF('クラス'!$A$1:$A$1262,$B269)&gt;0,$B269="",$M269=""),"",True)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IF(OR(COUNTIF('クラス'!$A$1:$A$1262,$B270)&gt;0,$B270="",$M270=""),"",True)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IF(OR(COUNTIF('クラス'!$A$1:$A$1262,$B271)&gt;0,$B271="",$M271=""),"",True)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IF(OR(COUNTIF('クラス'!$A$1:$A$1262,$B272)&gt;0,$B272="",$M272=""),"",True)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IF(OR(COUNTIF('クラス'!$A$1:$A$1262,$B273)&gt;0,$B273="",$M273=""),"",True)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IF(OR(COUNTIF('クラス'!$A$1:$A$1262,$B274)&gt;0,$B274="",$M274=""),"",True)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IF(OR(COUNTIF('クラス'!$A$1:$A$1262,$B275)&gt;0,$B275="",$M275=""),"",True)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IF(OR(COUNTIF('クラス'!$A$1:$A$1262,$B276)&gt;0,$B276="",$M276=""),"",True)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IF(OR(COUNTIF('クラス'!$A$1:$A$1262,$B277)&gt;0,$B277="",$M277=""),"",True)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IF(OR(COUNTIF('クラス'!$A$1:$A$1262,$B278)&gt;0,$B278="",$M278=""),"",True)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IF(OR(COUNTIF('クラス'!$A$1:$A$1262,$B279)&gt;0,$B279="",$M279=""),"",True)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IF(OR(COUNTIF('クラス'!$A$1:$A$1262,$B280)&gt;0,$B280="",$M280=""),"",True)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IF(OR(COUNTIF('クラス'!$A$1:$A$1262,$B281)&gt;0,$B281="",$M281=""),"",True)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IF(OR(COUNTIF('クラス'!$A$1:$A$1262,$B282)&gt;0,$B282="",$M282=""),"",True)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IF(OR(COUNTIF('クラス'!$A$1:$A$1262,$B283)&gt;0,$B283="",$M283=""),"",True)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IF(OR(COUNTIF('クラス'!$A$1:$A$1262,$B284)&gt;0,$B284="",$M284=""),"",True)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IF(OR(COUNTIF('クラス'!$A$1:$A$1262,$B285)&gt;0,$B285="",$M285=""),"",True)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IF(OR(COUNTIF('クラス'!$A$1:$A$1262,$B286)&gt;0,$B286="",$M286=""),"",True)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IF(OR(COUNTIF('クラス'!$A$1:$A$1262,$B287)&gt;0,$B287="",$M287=""),"",True)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IF(OR(COUNTIF('クラス'!$A$1:$A$1262,$B288)&gt;0,$B288="",$M288=""),"",True)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IF(OR(COUNTIF('クラス'!$A$1:$A$1262,$B289)&gt;0,$B289="",$M289=""),"",True)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IF(OR(COUNTIF('クラス'!$A$1:$A$1262,$B290)&gt;0,$B290="",$M290=""),"",True)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IF(OR(COUNTIF('クラス'!$A$1:$A$1262,$B291)&gt;0,$B291="",$M291=""),"",True)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IF(OR(COUNTIF('クラス'!$A$1:$A$1262,$B292)&gt;0,$B292="",$M292=""),"",True)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IF(OR(COUNTIF('クラス'!$A$1:$A$1262,$B293)&gt;0,$B293="",$M293=""),"",True)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IF(OR(COUNTIF('クラス'!$A$1:$A$1262,$B294)&gt;0,$B294="",$M294=""),"",True)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IF(OR(COUNTIF('クラス'!$A$1:$A$1262,$B295)&gt;0,$B295="",$M295=""),"",True)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IF(OR(COUNTIF('クラス'!$A$1:$A$1262,$B296)&gt;0,$B296="",$M296=""),"",True)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IF(OR(COUNTIF('クラス'!$A$1:$A$1262,$B297)&gt;0,$B297="",$M297=""),"",True)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IF(OR(COUNTIF('クラス'!$A$1:$A$1262,$B298)&gt;0,$B298="",$M298=""),"",True)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IF(OR(COUNTIF('クラス'!$A$1:$A$1262,$B299)&gt;0,$B299="",$M299=""),"",True)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IF(OR(COUNTIF('クラス'!$A$1:$A$1262,$B300)&gt;0,$B300="",$M300=""),"",True)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IF(OR(COUNTIF('クラス'!$A$1:$A$1262,$B301)&gt;0,$B301="",$M301=""),"",True)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IF(OR(COUNTIF('クラス'!$A$1:$A$1262,$B302)&gt;0,$B302="",$M302=""),"",True)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IF(OR(COUNTIF('クラス'!$A$1:$A$1262,$B303)&gt;0,$B303="",$M303=""),"",True)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IF(OR(COUNTIF('クラス'!$A$1:$A$1262,$B304)&gt;0,$B304="",$M304=""),"",True)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IF(OR(COUNTIF('クラス'!$A$1:$A$1262,$B305)&gt;0,$B305="",$M305=""),"",True)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IF(OR(COUNTIF('クラス'!$A$1:$A$1262,$B306)&gt;0,$B306="",$M306=""),"",True)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IF(OR(COUNTIF('クラス'!$A$1:$A$1262,$B307)&gt;0,$B307="",$M307=""),"",True)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IF(OR(COUNTIF('クラス'!$A$1:$A$1262,$B308)&gt;0,$B308="",$M308=""),"",True)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IF(OR(COUNTIF('クラス'!$A$1:$A$1262,$B309)&gt;0,$B309="",$M309=""),"",True)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IF(OR(COUNTIF('クラス'!$A$1:$A$1262,$B310)&gt;0,$B310="",$M310=""),"",True)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IF(OR(COUNTIF('クラス'!$A$1:$A$1262,$B311)&gt;0,$B311="",$M311=""),"",True)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IF(OR(COUNTIF('クラス'!$A$1:$A$1262,$B312)&gt;0,$B312="",$M312=""),"",True)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IF(OR(COUNTIF('クラス'!$A$1:$A$1262,$B313)&gt;0,$B313="",$M313=""),"",True)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IF(OR(COUNTIF('クラス'!$A$1:$A$1262,$B314)&gt;0,$B314="",$M314=""),"",True)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IF(OR(COUNTIF('クラス'!$A$1:$A$1262,$B315)&gt;0,$B315="",$M315=""),"",True)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IF(OR(COUNTIF('クラス'!$A$1:$A$1262,$B316)&gt;0,$B316="",$M316=""),"",True)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IF(OR(COUNTIF('クラス'!$A$1:$A$1262,$B317)&gt;0,$B317="",$M317=""),"",True)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IF(OR(COUNTIF('クラス'!$A$1:$A$1262,$B318)&gt;0,$B318="",$M318=""),"",True)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IF(OR(COUNTIF('クラス'!$A$1:$A$1262,$B319)&gt;0,$B319="",$M319=""),"",True)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IF(OR(COUNTIF('クラス'!$A$1:$A$1262,$B320)&gt;0,$B320="",$M320=""),"",True)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IF(OR(COUNTIF('クラス'!$A$1:$A$1262,$B321)&gt;0,$B321="",$M321=""),"",True)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IF(OR(COUNTIF('クラス'!$A$1:$A$1262,$B322)&gt;0,$B322="",$M322=""),"",True)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IF(OR(COUNTIF('クラス'!$A$1:$A$1262,$B323)&gt;0,$B323="",$M323=""),"",True)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IF(OR(COUNTIF('クラス'!$A$1:$A$1262,$B324)&gt;0,$B324="",$M324=""),"",True)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IF(OR(COUNTIF('クラス'!$A$1:$A$1262,$B325)&gt;0,$B325="",$M325=""),"",True)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IF(OR(COUNTIF('クラス'!$A$1:$A$1262,$B326)&gt;0,$B326="",$M326=""),"",True)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IF(OR(COUNTIF('クラス'!$A$1:$A$1262,$B327)&gt;0,$B327="",$M327=""),"",True)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IF(OR(COUNTIF('クラス'!$A$1:$A$1262,$B328)&gt;0,$B328="",$M328=""),"",True)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IF(OR(COUNTIF('クラス'!$A$1:$A$1262,$B329)&gt;0,$B329="",$M329=""),"",True)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IF(OR(COUNTIF('クラス'!$A$1:$A$1262,$B330)&gt;0,$B330="",$M330=""),"",True)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IF(OR(COUNTIF('クラス'!$A$1:$A$1262,$B331)&gt;0,$B331="",$M331=""),"",True)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IF(OR(COUNTIF('クラス'!$A$1:$A$1262,$B332)&gt;0,$B332="",$M332=""),"",True)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IF(OR(COUNTIF('クラス'!$A$1:$A$1262,$B333)&gt;0,$B333="",$M333=""),"",True)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IF(OR(COUNTIF('クラス'!$A$1:$A$1262,$B334)&gt;0,$B334="",$M334=""),"",True)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IF(OR(COUNTIF('クラス'!$A$1:$A$1262,$B335)&gt;0,$B335="",$M335=""),"",True)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IF(OR(COUNTIF('クラス'!$A$1:$A$1262,$B336)&gt;0,$B336="",$M336=""),"",True)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IF(OR(COUNTIF('クラス'!$A$1:$A$1262,$B337)&gt;0,$B337="",$M337=""),"",True)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IF(OR(COUNTIF('クラス'!$A$1:$A$1262,$B338)&gt;0,$B338="",$M338=""),"",True)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IF(OR(COUNTIF('クラス'!$A$1:$A$1262,$B339)&gt;0,$B339="",$M339=""),"",True)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IF(OR(COUNTIF('クラス'!$A$1:$A$1262,$B340)&gt;0,$B340="",$M340=""),"",True)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IF(OR(COUNTIF('クラス'!$A$1:$A$1262,$B341)&gt;0,$B341="",$M341=""),"",True)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IF(OR(COUNTIF('クラス'!$A$1:$A$1262,$B342)&gt;0,$B342="",$M342=""),"",True)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IF(OR(COUNTIF('クラス'!$A$1:$A$1262,$B343)&gt;0,$B343="",$M343=""),"",True)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IF(OR(COUNTIF('クラス'!$A$1:$A$1262,$B344)&gt;0,$B344="",$M344=""),"",True)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IF(OR(COUNTIF('クラス'!$A$1:$A$1262,$B345)&gt;0,$B345="",$M345=""),"",True)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IF(OR(COUNTIF('クラス'!$A$1:$A$1262,$B346)&gt;0,$B346="",$M346=""),"",True)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IF(OR(COUNTIF('クラス'!$A$1:$A$1262,$B347)&gt;0,$B347="",$M347=""),"",True)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IF(OR(COUNTIF('クラス'!$A$1:$A$1262,$B348)&gt;0,$B348="",$M348=""),"",True)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IF(OR(COUNTIF('クラス'!$A$1:$A$1262,$B349)&gt;0,$B349="",$M349=""),"",True)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IF(OR(COUNTIF('クラス'!$A$1:$A$1262,$B350)&gt;0,$B350="",$M350=""),"",True)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IF(OR(COUNTIF('クラス'!$A$1:$A$1262,$B351)&gt;0,$B351="",$M351=""),"",True)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IF(OR(COUNTIF('クラス'!$A$1:$A$1262,$B352)&gt;0,$B352="",$M352=""),"",True)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IF(OR(COUNTIF('クラス'!$A$1:$A$1262,$B353)&gt;0,$B353="",$M353=""),"",True)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IF(OR(COUNTIF('クラス'!$A$1:$A$1262,$B354)&gt;0,$B354="",$M354=""),"",True)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IF(OR(COUNTIF('クラス'!$A$1:$A$1262,$B355)&gt;0,$B355="",$M355=""),"",True)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IF(OR(COUNTIF('クラス'!$A$1:$A$1262,$B356)&gt;0,$B356="",$M356=""),"",True)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IF(OR(COUNTIF('クラス'!$A$1:$A$1262,$B357)&gt;0,$B357="",$M357=""),"",True)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IF(OR(COUNTIF('クラス'!$A$1:$A$1262,$B358)&gt;0,$B358="",$M358=""),"",True)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IF(OR(COUNTIF('クラス'!$A$1:$A$1262,$B359)&gt;0,$B359="",$M359=""),"",True)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IF(OR(COUNTIF('クラス'!$A$1:$A$1262,$B360)&gt;0,$B360="",$M360=""),"",True)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IF(OR(COUNTIF('クラス'!$A$1:$A$1262,$B361)&gt;0,$B361="",$M361=""),"",True)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IF(OR(COUNTIF('クラス'!$A$1:$A$1262,$B362)&gt;0,$B362="",$M362=""),"",True)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IF(OR(COUNTIF('クラス'!$A$1:$A$1262,$B363)&gt;0,$B363="",$M363=""),"",True)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IF(OR(COUNTIF('クラス'!$A$1:$A$1262,$B364)&gt;0,$B364="",$M364=""),"",True)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IF(OR(COUNTIF('クラス'!$A$1:$A$1262,$B365)&gt;0,$B365="",$M365=""),"",True)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IF(OR(COUNTIF('クラス'!$A$1:$A$1262,$B366)&gt;0,$B366="",$M366=""),"",True)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IF(OR(COUNTIF('クラス'!$A$1:$A$1262,$B367)&gt;0,$B367="",$M367=""),"",True)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IF(OR(COUNTIF('クラス'!$A$1:$A$1262,$B368)&gt;0,$B368="",$M368=""),"",True)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IF(OR(COUNTIF('クラス'!$A$1:$A$1262,$B369)&gt;0,$B369="",$M369=""),"",True)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IF(OR(COUNTIF('クラス'!$A$1:$A$1262,$B370)&gt;0,$B370="",$M370=""),"",True)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IF(OR(COUNTIF('クラス'!$A$1:$A$1262,$B371)&gt;0,$B371="",$M371=""),"",True)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IF(OR(COUNTIF('クラス'!$A$1:$A$1262,$B372)&gt;0,$B372="",$M372=""),"",True)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IF(OR(COUNTIF('クラス'!$A$1:$A$1262,$B373)&gt;0,$B373="",$M373=""),"",True)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IF(OR(COUNTIF('クラス'!$A$1:$A$1262,$B374)&gt;0,$B374="",$M374=""),"",True)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IF(OR(COUNTIF('クラス'!$A$1:$A$1262,$B375)&gt;0,$B375="",$M375=""),"",True)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IF(OR(COUNTIF('クラス'!$A$1:$A$1262,$B376)&gt;0,$B376="",$M376=""),"",True)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IF(OR(COUNTIF('クラス'!$A$1:$A$1262,$B377)&gt;0,$B377="",$M377=""),"",True)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IF(OR(COUNTIF('クラス'!$A$1:$A$1262,$B378)&gt;0,$B378="",$M378=""),"",True)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IF(OR(COUNTIF('クラス'!$A$1:$A$1262,$B379)&gt;0,$B379="",$M379=""),"",True)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IF(OR(COUNTIF('クラス'!$A$1:$A$1262,$B380)&gt;0,$B380="",$M380=""),"",True)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IF(OR(COUNTIF('クラス'!$A$1:$A$1262,$B381)&gt;0,$B381="",$M381=""),"",True)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IF(OR(COUNTIF('クラス'!$A$1:$A$1262,$B382)&gt;0,$B382="",$M382=""),"",True)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IF(OR(COUNTIF('クラス'!$A$1:$A$1262,$B383)&gt;0,$B383="",$M383=""),"",True)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IF(OR(COUNTIF('クラス'!$A$1:$A$1262,$B384)&gt;0,$B384="",$M384=""),"",True)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IF(OR(COUNTIF('クラス'!$A$1:$A$1262,$B385)&gt;0,$B385="",$M385=""),"",True)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IF(OR(COUNTIF('クラス'!$A$1:$A$1262,$B386)&gt;0,$B386="",$M386=""),"",True)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IF(OR(COUNTIF('クラス'!$A$1:$A$1262,$B387)&gt;0,$B387="",$M387=""),"",True)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IF(OR(COUNTIF('クラス'!$A$1:$A$1262,$B388)&gt;0,$B388="",$M388=""),"",True)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IF(OR(COUNTIF('クラス'!$A$1:$A$1262,$B389)&gt;0,$B389="",$M389=""),"",True)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IF(OR(COUNTIF('クラス'!$A$1:$A$1262,$B390)&gt;0,$B390="",$M390=""),"",True)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IF(OR(COUNTIF('クラス'!$A$1:$A$1262,$B391)&gt;0,$B391="",$M391=""),"",True)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IF(OR(COUNTIF('クラス'!$A$1:$A$1262,$B392)&gt;0,$B392="",$M392=""),"",True)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IF(OR(COUNTIF('クラス'!$A$1:$A$1262,$B393)&gt;0,$B393="",$M393=""),"",True)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IF(OR(COUNTIF('クラス'!$A$1:$A$1262,$B394)&gt;0,$B394="",$M394=""),"",True)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IF(OR(COUNTIF('クラス'!$A$1:$A$1262,$B395)&gt;0,$B395="",$M395=""),"",True)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IF(OR(COUNTIF('クラス'!$A$1:$A$1262,$B396)&gt;0,$B396="",$M396=""),"",True)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IF(OR(COUNTIF('クラス'!$A$1:$A$1262,$B397)&gt;0,$B397="",$M397=""),"",True)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IF(OR(COUNTIF('クラス'!$A$1:$A$1262,$B398)&gt;0,$B398="",$M398=""),"",True)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IF(OR(COUNTIF('クラス'!$A$1:$A$1262,$B399)&gt;0,$B399="",$M399=""),"",True)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IF(OR(COUNTIF('クラス'!$A$1:$A$1262,$B400)&gt;0,$B400="",$M400=""),"",True)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IF(OR(COUNTIF('クラス'!$A$1:$A$1262,$B401)&gt;0,$B401="",$M401=""),"",True)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IF(OR(COUNTIF('クラス'!$A$1:$A$1262,$B402)&gt;0,$B402="",$M402=""),"",True)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IF(OR(COUNTIF('クラス'!$A$1:$A$1262,$B403)&gt;0,$B403="",$M403=""),"",True)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IF(OR(COUNTIF('クラス'!$A$1:$A$1262,$B404)&gt;0,$B404="",$M404=""),"",True)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IF(OR(COUNTIF('クラス'!$A$1:$A$1262,$B405)&gt;0,$B405="",$M405=""),"",True)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IF(OR(COUNTIF('クラス'!$A$1:$A$1262,$B406)&gt;0,$B406="",$M406=""),"",True)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IF(OR(COUNTIF('クラス'!$A$1:$A$1262,$B407)&gt;0,$B407="",$M407=""),"",True)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IF(OR(COUNTIF('クラス'!$A$1:$A$1262,$B408)&gt;0,$B408="",$M408=""),"",True)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IF(OR(COUNTIF('クラス'!$A$1:$A$1262,$B409)&gt;0,$B409="",$M409=""),"",True)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IF(OR(COUNTIF('クラス'!$A$1:$A$1262,$B410)&gt;0,$B410="",$M410=""),"",True)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IF(OR(COUNTIF('クラス'!$A$1:$A$1262,$B411)&gt;0,$B411="",$M411=""),"",True)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IF(OR(COUNTIF('クラス'!$A$1:$A$1262,$B412)&gt;0,$B412="",$M412=""),"",True)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IF(OR(COUNTIF('クラス'!$A$1:$A$1262,$B413)&gt;0,$B413="",$M413=""),"",True)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IF(OR(COUNTIF('クラス'!$A$1:$A$1262,$B414)&gt;0,$B414="",$M414=""),"",True)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IF(OR(COUNTIF('クラス'!$A$1:$A$1262,$B415)&gt;0,$B415="",$M415=""),"",True)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IF(OR(COUNTIF('クラス'!$A$1:$A$1262,$B416)&gt;0,$B416="",$M416=""),"",True)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IF(OR(COUNTIF('クラス'!$A$1:$A$1262,$B417)&gt;0,$B417="",$M417=""),"",True)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IF(OR(COUNTIF('クラス'!$A$1:$A$1262,$B418)&gt;0,$B418="",$M418=""),"",True)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IF(OR(COUNTIF('クラス'!$A$1:$A$1262,$B419)&gt;0,$B419="",$M419=""),"",True)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IF(OR(COUNTIF('クラス'!$A$1:$A$1262,$B420)&gt;0,$B420="",$M420=""),"",True)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IF(OR(COUNTIF('クラス'!$A$1:$A$1262,$B421)&gt;0,$B421="",$M421=""),"",True)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IF(OR(COUNTIF('クラス'!$A$1:$A$1262,$B422)&gt;0,$B422="",$M422=""),"",True)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IF(OR(COUNTIF('クラス'!$A$1:$A$1262,$B423)&gt;0,$B423="",$M423=""),"",True)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IF(OR(COUNTIF('クラス'!$A$1:$A$1262,$B424)&gt;0,$B424="",$M424=""),"",True)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IF(OR(COUNTIF('クラス'!$A$1:$A$1262,$B425)&gt;0,$B425="",$M425=""),"",True)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IF(OR(COUNTIF('クラス'!$A$1:$A$1262,$B426)&gt;0,$B426="",$M426=""),"",True)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IF(OR(COUNTIF('クラス'!$A$1:$A$1262,$B427)&gt;0,$B427="",$M427=""),"",True)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IF(OR(COUNTIF('クラス'!$A$1:$A$1262,$B428)&gt;0,$B428="",$M428=""),"",True)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IF(OR(COUNTIF('クラス'!$A$1:$A$1262,$B429)&gt;0,$B429="",$M429=""),"",True)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IF(OR(COUNTIF('クラス'!$A$1:$A$1262,$B430)&gt;0,$B430="",$M430=""),"",True)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IF(OR(COUNTIF('クラス'!$A$1:$A$1262,$B431)&gt;0,$B431="",$M431=""),"",True)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IF(OR(COUNTIF('クラス'!$A$1:$A$1262,$B432)&gt;0,$B432="",$M432=""),"",True)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IF(OR(COUNTIF('クラス'!$A$1:$A$1262,$B433)&gt;0,$B433="",$M433=""),"",True)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IF(OR(COUNTIF('クラス'!$A$1:$A$1262,$B434)&gt;0,$B434="",$M434=""),"",True)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IF(OR(COUNTIF('クラス'!$A$1:$A$1262,$B435)&gt;0,$B435="",$M435=""),"",True)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IF(OR(COUNTIF('クラス'!$A$1:$A$1262,$B436)&gt;0,$B436="",$M436=""),"",True)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IF(OR(COUNTIF('クラス'!$A$1:$A$1262,$B437)&gt;0,$B437="",$M437=""),"",True)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IF(OR(COUNTIF('クラス'!$A$1:$A$1262,$B438)&gt;0,$B438="",$M438=""),"",True)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IF(OR(COUNTIF('クラス'!$A$1:$A$1262,$B439)&gt;0,$B439="",$M439=""),"",True)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IF(OR(COUNTIF('クラス'!$A$1:$A$1262,$B440)&gt;0,$B440="",$M440=""),"",True)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IF(OR(COUNTIF('クラス'!$A$1:$A$1262,$B441)&gt;0,$B441="",$M441=""),"",True)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IF(OR(COUNTIF('クラス'!$A$1:$A$1262,$B442)&gt;0,$B442="",$M442=""),"",True)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IF(OR(COUNTIF('クラス'!$A$1:$A$1262,$B443)&gt;0,$B443="",$M443=""),"",True)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IF(OR(COUNTIF('クラス'!$A$1:$A$1262,$B444)&gt;0,$B444="",$M444=""),"",True)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IF(OR(COUNTIF('クラス'!$A$1:$A$1262,$B445)&gt;0,$B445="",$M445=""),"",True)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IF(OR(COUNTIF('クラス'!$A$1:$A$1262,$B446)&gt;0,$B446="",$M446=""),"",True)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IF(OR(COUNTIF('クラス'!$A$1:$A$1262,$B447)&gt;0,$B447="",$M447=""),"",True)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IF(OR(COUNTIF('クラス'!$A$1:$A$1262,$B448)&gt;0,$B448="",$M448=""),"",True)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IF(OR(COUNTIF('クラス'!$A$1:$A$1262,$B449)&gt;0,$B449="",$M449=""),"",True)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IF(OR(COUNTIF('クラス'!$A$1:$A$1262,$B450)&gt;0,$B450="",$M450=""),"",True)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IF(OR(COUNTIF('クラス'!$A$1:$A$1262,$B451)&gt;0,$B451="",$M451=""),"",True)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IF(OR(COUNTIF('クラス'!$A$1:$A$1262,$B452)&gt;0,$B452="",$M452=""),"",True)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IF(OR(COUNTIF('クラス'!$A$1:$A$1262,$B453)&gt;0,$B453="",$M453=""),"",True)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IF(OR(COUNTIF('クラス'!$A$1:$A$1262,$B454)&gt;0,$B454="",$M454=""),"",True)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IF(OR(COUNTIF('クラス'!$A$1:$A$1262,$B455)&gt;0,$B455="",$M455=""),"",True)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IF(OR(COUNTIF('クラス'!$A$1:$A$1262,$B456)&gt;0,$B456="",$M456=""),"",True)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IF(OR(COUNTIF('クラス'!$A$1:$A$1262,$B457)&gt;0,$B457="",$M457=""),"",True)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IF(OR(COUNTIF('クラス'!$A$1:$A$1262,$B458)&gt;0,$B458="",$M458=""),"",True)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IF(OR(COUNTIF('クラス'!$A$1:$A$1262,$B459)&gt;0,$B459="",$M459=""),"",True)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IF(OR(COUNTIF('クラス'!$A$1:$A$1262,$B460)&gt;0,$B460="",$M460=""),"",True)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IF(OR(COUNTIF('クラス'!$A$1:$A$1262,$B461)&gt;0,$B461="",$M461=""),"",True)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IF(OR(COUNTIF('クラス'!$A$1:$A$1262,$B462)&gt;0,$B462="",$M462=""),"",True)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IF(OR(COUNTIF('クラス'!$A$1:$A$1262,$B463)&gt;0,$B463="",$M463=""),"",True)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IF(OR(COUNTIF('クラス'!$A$1:$A$1262,$B464)&gt;0,$B464="",$M464=""),"",True)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IF(OR(COUNTIF('クラス'!$A$1:$A$1262,$B465)&gt;0,$B465="",$M465=""),"",True)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IF(OR(COUNTIF('クラス'!$A$1:$A$1262,$B466)&gt;0,$B466="",$M466=""),"",True)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IF(OR(COUNTIF('クラス'!$A$1:$A$1262,$B467)&gt;0,$B467="",$M467=""),"",True)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IF(OR(COUNTIF('クラス'!$A$1:$A$1262,$B468)&gt;0,$B468="",$M468=""),"",True)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IF(OR(COUNTIF('クラス'!$A$1:$A$1262,$B469)&gt;0,$B469="",$M469=""),"",True)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IF(OR(COUNTIF('クラス'!$A$1:$A$1262,$B470)&gt;0,$B470="",$M470=""),"",True)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IF(OR(COUNTIF('クラス'!$A$1:$A$1262,$B471)&gt;0,$B471="",$M471=""),"",True)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IF(OR(COUNTIF('クラス'!$A$1:$A$1262,$B472)&gt;0,$B472="",$M472=""),"",True)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IF(OR(COUNTIF('クラス'!$A$1:$A$1262,$B473)&gt;0,$B473="",$M473=""),"",True)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IF(OR(COUNTIF('クラス'!$A$1:$A$1262,$B474)&gt;0,$B474="",$M474=""),"",True)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IF(OR(COUNTIF('クラス'!$A$1:$A$1262,$B475)&gt;0,$B475="",$M475=""),"",True)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IF(OR(COUNTIF('クラス'!$A$1:$A$1262,$B476)&gt;0,$B476="",$M476=""),"",True)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IF(OR(COUNTIF('クラス'!$A$1:$A$1262,$B477)&gt;0,$B477="",$M477=""),"",True)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IF(OR(COUNTIF('クラス'!$A$1:$A$1262,$B478)&gt;0,$B478="",$M478=""),"",True)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IF(OR(COUNTIF('クラス'!$A$1:$A$1262,$B479)&gt;0,$B479="",$M479=""),"",True)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VLOOKUP($I480,'用語辞書'!$A:$B,COLUMN('用語辞書'!B$1),FALSE),
IF(_xlpm.v=0,"",_xlpm.v)
),"")</f>
        <v/>
      </c>
      <c r="K480" s="17"/>
      <c r="L480" s="17" t="str">
        <f>IF(OR(COUNTIF('クラス'!$A$1:$A$1262,$B480)&gt;0,$B480="",$M480=""),"",True)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VLOOKUP($I481,'用語辞書'!$A:$B,COLUMN('用語辞書'!B$1),FALSE),
IF(_xlpm.v=0,"",_xlpm.v)
),"")</f>
        <v/>
      </c>
      <c r="K481" s="17"/>
      <c r="L481" s="17" t="str">
        <f>IF(OR(COUNTIF('クラス'!$A$1:$A$1262,$B481)&gt;0,$B481="",$M481=""),"",True)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VLOOKUP($I482,'用語辞書'!$A:$B,COLUMN('用語辞書'!B$1),FALSE),
IF(_xlpm.v=0,"",_xlpm.v)
),"")</f>
        <v/>
      </c>
      <c r="K482" s="17"/>
      <c r="L482" s="17" t="b">
        <f>IF(OR(COUNTIF('クラス'!$A$1:$A$1262,$B482)&gt;0,$B482="",$M482=""),"",True)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VLOOKUP($I483,'用語辞書'!$A:$B,COLUMN('用語辞書'!B$1),FALSE),
IF(_xlpm.v=0,"",_xlpm.v)
),"")</f>
        <v/>
      </c>
      <c r="K483" s="17"/>
      <c r="L483" s="17" t="b">
        <f>IF(OR(COUNTIF('クラス'!$A$1:$A$1262,$B483)&gt;0,$B483="",$M483=""),"",True)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VLOOKUP($I484,'用語辞書'!$A:$B,COLUMN('用語辞書'!B$1),FALSE),
IF(_xlpm.v=0,"",_xlpm.v)
),"")</f>
        <v/>
      </c>
      <c r="K484" s="17"/>
      <c r="L484" s="17" t="str">
        <f>IF(OR(COUNTIF('クラス'!$A$1:$A$1262,$B484)&gt;0,$B484="",$M484=""),"",True)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VLOOKUP($I485,'用語辞書'!$A:$B,COLUMN('用語辞書'!B$1),FALSE),
IF(_xlpm.v=0,"",_xlpm.v)
),"")</f>
        <v/>
      </c>
      <c r="K485" s="17"/>
      <c r="L485" s="17" t="b">
        <f>IF(OR(COUNTIF('クラス'!$A$1:$A$1262,$B485)&gt;0,$B485="",$M485=""),"",True)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VLOOKUP($I486,'用語辞書'!$A:$B,COLUMN('用語辞書'!B$1),FALSE),
IF(_xlpm.v=0,"",_xlpm.v)
),"")</f>
        <v/>
      </c>
      <c r="K486" s="17"/>
      <c r="L486" s="17" t="str">
        <f>IF(OR(COUNTIF('クラス'!$A$1:$A$1262,$B486)&gt;0,$B486="",$M486=""),"",True)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VLOOKUP($I487,'用語辞書'!$A:$B,COLUMN('用語辞書'!B$1),FALSE),
IF(_xlpm.v=0,"",_xlpm.v)
),"")</f>
        <v/>
      </c>
      <c r="K487" s="17"/>
      <c r="L487" s="17" t="str">
        <f>IF(OR(COUNTIF('クラス'!$A$1:$A$1262,$B487)&gt;0,$B487="",$M487=""),"",True)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VLOOKUP($I488,'用語辞書'!$A:$B,COLUMN('用語辞書'!B$1),FALSE),
IF(_xlpm.v=0,"",_xlpm.v)
),"")</f>
        <v/>
      </c>
      <c r="K488" s="17"/>
      <c r="L488" s="17" t="b">
        <f>IF(OR(COUNTIF('クラス'!$A$1:$A$1262,$B488)&gt;0,$B488="",$M488=""),"",True)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VLOOKUP($I489,'用語辞書'!$A:$B,COLUMN('用語辞書'!B$1),FALSE),
IF(_xlpm.v=0,"",_xlpm.v)
),"")</f>
        <v/>
      </c>
      <c r="K489" s="17"/>
      <c r="L489" s="17" t="b">
        <f>IF(OR(COUNTIF('クラス'!$A$1:$A$1262,$B489)&gt;0,$B489="",$M489=""),"",True)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VLOOKUP($I490,'用語辞書'!$A:$B,COLUMN('用語辞書'!B$1),FALSE),
IF(_xlpm.v=0,"",_xlpm.v)
),"")</f>
        <v/>
      </c>
      <c r="K490" s="17"/>
      <c r="L490" s="17" t="b">
        <f>IF(OR(COUNTIF('クラス'!$A$1:$A$1262,$B490)&gt;0,$B490="",$M490=""),"",True)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VLOOKUP($I491,'用語辞書'!$A:$B,COLUMN('用語辞書'!B$1),FALSE),
IF(_xlpm.v=0,"",_xlpm.v)
),"")</f>
        <v/>
      </c>
      <c r="K491" s="17"/>
      <c r="L491" s="17" t="str">
        <f>IF(OR(COUNTIF('クラス'!$A$1:$A$1262,$B491)&gt;0,$B491="",$M491=""),"",True)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VLOOKUP($I492,'用語辞書'!$A:$B,COLUMN('用語辞書'!B$1),FALSE),
IF(_xlpm.v=0,"",_xlpm.v)
),"")</f>
        <v/>
      </c>
      <c r="K492" s="17"/>
      <c r="L492" s="17" t="str">
        <f>IF(OR(COUNTIF('クラス'!$A$1:$A$1262,$B492)&gt;0,$B492="",$M492=""),"",True)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VLOOKUP($I493,'用語辞書'!$A:$B,COLUMN('用語辞書'!B$1),FALSE),
IF(_xlpm.v=0,"",_xlpm.v)
),"")</f>
        <v/>
      </c>
      <c r="K493" s="17"/>
      <c r="L493" s="17" t="str">
        <f>IF(OR(COUNTIF('クラス'!$A$1:$A$1262,$B493)&gt;0,$B493="",$M493=""),"",True)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VLOOKUP($I494,'用語辞書'!$A:$B,COLUMN('用語辞書'!B$1),FALSE),
IF(_xlpm.v=0,"",_xlpm.v)
),"")</f>
        <v/>
      </c>
      <c r="K494" s="17"/>
      <c r="L494" s="17" t="str">
        <f>IF(OR(COUNTIF('クラス'!$A$1:$A$1262,$B494)&gt;0,$B494="",$M494=""),"",True)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VLOOKUP($I495,'用語辞書'!$A:$B,COLUMN('用語辞書'!B$1),FALSE),
IF(_xlpm.v=0,"",_xlpm.v)
),"")</f>
        <v/>
      </c>
      <c r="K495" s="17"/>
      <c r="L495" s="17" t="str">
        <f>IF(OR(COUNTIF('クラス'!$A$1:$A$1262,$B495)&gt;0,$B495="",$M495=""),"",True)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VLOOKUP($I496,'用語辞書'!$A:$B,COLUMN('用語辞書'!B$1),FALSE),
IF(_xlpm.v=0,"",_xlpm.v)
),"")</f>
        <v/>
      </c>
      <c r="K496" s="17"/>
      <c r="L496" s="17" t="str">
        <f>IF(OR(COUNTIF('クラス'!$A$1:$A$1262,$B496)&gt;0,$B496="",$M496=""),"",True)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VLOOKUP($I497,'用語辞書'!$A:$B,COLUMN('用語辞書'!B$1),FALSE),
IF(_xlpm.v=0,"",_xlpm.v)
),"")</f>
        <v/>
      </c>
      <c r="K497" s="17"/>
      <c r="L497" s="17" t="str">
        <f>IF(OR(COUNTIF('クラス'!$A$1:$A$1262,$B497)&gt;0,$B497="",$M497=""),"",True)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VLOOKUP($I498,'用語辞書'!$A:$B,COLUMN('用語辞書'!B$1),FALSE),
IF(_xlpm.v=0,"",_xlpm.v)
),"")</f>
        <v/>
      </c>
      <c r="K498" s="17"/>
      <c r="L498" s="17" t="b">
        <f>IF(OR(COUNTIF('クラス'!$A$1:$A$1262,$B498)&gt;0,$B498="",$M498=""),"",True)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VLOOKUP($I499,'用語辞書'!$A:$B,COLUMN('用語辞書'!B$1),FALSE),
IF(_xlpm.v=0,"",_xlpm.v)
),"")</f>
        <v/>
      </c>
      <c r="K499" s="17"/>
      <c r="L499" s="17" t="str">
        <f>IF(OR(COUNTIF('クラス'!$A$1:$A$1262,$B499)&gt;0,$B499="",$M499=""),"",True)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VLOOKUP($I500,'用語辞書'!$A:$B,COLUMN('用語辞書'!B$1),FALSE),
IF(_xlpm.v=0,"",_xlpm.v)
),"")</f>
        <v/>
      </c>
      <c r="K500" s="17"/>
      <c r="L500" s="17" t="str">
        <f>IF(OR(COUNTIF('クラス'!$A$1:$A$1262,$B500)&gt;0,$B500="",$M500=""),"",True)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VLOOKUP($I501,'用語辞書'!$A:$B,COLUMN('用語辞書'!B$1),FALSE),
IF(_xlpm.v=0,"",_xlpm.v)
),"")</f>
        <v/>
      </c>
      <c r="K501" s="17"/>
      <c r="L501" s="17" t="b">
        <f>IF(OR(COUNTIF('クラス'!$A$1:$A$1262,$B501)&gt;0,$B501="",$M501=""),"",True)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VLOOKUP($I502,'用語辞書'!$A:$B,COLUMN('用語辞書'!B$1),FALSE),
IF(_xlpm.v=0,"",_xlpm.v)
),"")</f>
        <v/>
      </c>
      <c r="K502" s="17"/>
      <c r="L502" s="17" t="str">
        <f>IF(OR(COUNTIF('クラス'!$A$1:$A$1262,$B502)&gt;0,$B502="",$M502=""),"",True)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VLOOKUP($I503,'用語辞書'!$A:$B,COLUMN('用語辞書'!B$1),FALSE),
IF(_xlpm.v=0,"",_xlpm.v)
),"")</f>
        <v/>
      </c>
      <c r="K503" s="17"/>
      <c r="L503" s="17" t="str">
        <f>IF(OR(COUNTIF('クラス'!$A$1:$A$1262,$B503)&gt;0,$B503="",$M503=""),"",True)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VLOOKUP($I504,'用語辞書'!$A:$B,COLUMN('用語辞書'!B$1),FALSE),
IF(_xlpm.v=0,"",_xlpm.v)
),"")</f>
        <v/>
      </c>
      <c r="K504" s="17"/>
      <c r="L504" s="17" t="str">
        <f>IF(OR(COUNTIF('クラス'!$A$1:$A$1262,$B504)&gt;0,$B504="",$M504=""),"",True)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VLOOKUP($I505,'用語辞書'!$A:$B,COLUMN('用語辞書'!B$1),FALSE),
IF(_xlpm.v=0,"",_xlpm.v)
),"")</f>
        <v/>
      </c>
      <c r="K505" s="17"/>
      <c r="L505" s="17" t="str">
        <f>IF(OR(COUNTIF('クラス'!$A$1:$A$1262,$B505)&gt;0,$B505="",$M505=""),"",True)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VLOOKUP($I506,'用語辞書'!$A:$B,COLUMN('用語辞書'!B$1),FALSE),
IF(_xlpm.v=0,"",_xlpm.v)
),"")</f>
        <v/>
      </c>
      <c r="K506" s="17"/>
      <c r="L506" s="17" t="str">
        <f>IF(OR(COUNTIF('クラス'!$A$1:$A$1262,$B506)&gt;0,$B506="",$M506=""),"",True)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VLOOKUP($I507,'用語辞書'!$A:$B,COLUMN('用語辞書'!B$1),FALSE),
IF(_xlpm.v=0,"",_xlpm.v)
),"")</f>
        <v/>
      </c>
      <c r="K507" s="17"/>
      <c r="L507" s="17" t="str">
        <f>IF(OR(COUNTIF('クラス'!$A$1:$A$1262,$B507)&gt;0,$B507="",$M507=""),"",True)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VLOOKUP($I508,'用語辞書'!$A:$B,COLUMN('用語辞書'!B$1),FALSE),
IF(_xlpm.v=0,"",_xlpm.v)
),"")</f>
        <v/>
      </c>
      <c r="K508" s="17"/>
      <c r="L508" s="17" t="str">
        <f>IF(OR(COUNTIF('クラス'!$A$1:$A$1262,$B508)&gt;0,$B508="",$M508=""),"",True)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VLOOKUP($I509,'用語辞書'!$A:$B,COLUMN('用語辞書'!B$1),FALSE),
IF(_xlpm.v=0,"",_xlpm.v)
),"")</f>
        <v/>
      </c>
      <c r="K509" s="17"/>
      <c r="L509" s="17" t="b">
        <f>IF(OR(COUNTIF('クラス'!$A$1:$A$1262,$B509)&gt;0,$B509="",$M509=""),"",True)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VLOOKUP($I510,'用語辞書'!$A:$B,COLUMN('用語辞書'!B$1),FALSE),
IF(_xlpm.v=0,"",_xlpm.v)
),"")</f>
        <v/>
      </c>
      <c r="K510" s="17"/>
      <c r="L510" s="17" t="str">
        <f>IF(OR(COUNTIF('クラス'!$A$1:$A$1262,$B510)&gt;0,$B510="",$M510=""),"",True)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VLOOKUP($I511,'用語辞書'!$A:$B,COLUMN('用語辞書'!B$1),FALSE),
IF(_xlpm.v=0,"",_xlpm.v)
),"")</f>
        <v/>
      </c>
      <c r="K511" s="17"/>
      <c r="L511" s="17" t="str">
        <f>IF(OR(COUNTIF('クラス'!$A$1:$A$1262,$B511)&gt;0,$B511="",$M511=""),"",True)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VLOOKUP($I512,'用語辞書'!$A:$B,COLUMN('用語辞書'!B$1),FALSE),
IF(_xlpm.v=0,"",_xlpm.v)
),"")</f>
        <v/>
      </c>
      <c r="K512" s="17"/>
      <c r="L512" s="17" t="str">
        <f>IF(OR(COUNTIF('クラス'!$A$1:$A$1262,$B512)&gt;0,$B512="",$M512=""),"",True)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VLOOKUP($I513,'用語辞書'!$A:$B,COLUMN('用語辞書'!B$1),FALSE),
IF(_xlpm.v=0,"",_xlpm.v)
),"")</f>
        <v/>
      </c>
      <c r="K513" s="17"/>
      <c r="L513" s="17" t="str">
        <f>IF(OR(COUNTIF('クラス'!$A$1:$A$1262,$B513)&gt;0,$B513="",$M513=""),"",True)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VLOOKUP($I514,'用語辞書'!$A:$B,COLUMN('用語辞書'!B$1),FALSE),
IF(_xlpm.v=0,"",_xlpm.v)
),"")</f>
        <v/>
      </c>
      <c r="K514" s="17"/>
      <c r="L514" s="17" t="str">
        <f>IF(OR(COUNTIF('クラス'!$A$1:$A$1262,$B514)&gt;0,$B514="",$M514=""),"",True)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VLOOKUP($I515,'用語辞書'!$A:$B,COLUMN('用語辞書'!B$1),FALSE),
IF(_xlpm.v=0,"",_xlpm.v)
),"")</f>
        <v/>
      </c>
      <c r="K515" s="17"/>
      <c r="L515" s="17" t="str">
        <f>IF(OR(COUNTIF('クラス'!$A$1:$A$1262,$B515)&gt;0,$B515="",$M515=""),"",True)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IF(OR(COUNTIF('クラス'!$A$1:$A$1262,$B516)&gt;0,$B516="",$M516=""),"",True)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VLOOKUP($I517,'用語辞書'!$A:$B,COLUMN('用語辞書'!B$1),FALSE),
IF(_xlpm.v=0,"",_xlpm.v)
),"")</f>
        <v/>
      </c>
      <c r="K517" s="17"/>
      <c r="L517" s="17" t="str">
        <f>IF(OR(COUNTIF('クラス'!$A$1:$A$1262,$B517)&gt;0,$B517="",$M517=""),"",True)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VLOOKUP($I518,'用語辞書'!$A:$B,COLUMN('用語辞書'!B$1),FALSE),
IF(_xlpm.v=0,"",_xlpm.v)
),"")</f>
        <v/>
      </c>
      <c r="K518" s="17"/>
      <c r="L518" s="17" t="str">
        <f>IF(OR(COUNTIF('クラス'!$A$1:$A$1262,$B518)&gt;0,$B518="",$M518=""),"",True)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VLOOKUP($I519,'用語辞書'!$A:$B,COLUMN('用語辞書'!B$1),FALSE),
IF(_xlpm.v=0,"",_xlpm.v)
),"")</f>
        <v/>
      </c>
      <c r="K519" s="17"/>
      <c r="L519" s="17" t="str">
        <f>IF(OR(COUNTIF('クラス'!$A$1:$A$1262,$B519)&gt;0,$B519="",$M519=""),"",True)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VLOOKUP($I520,'用語辞書'!$A:$B,COLUMN('用語辞書'!B$1),FALSE),
IF(_xlpm.v=0,"",_xlpm.v)
),"")</f>
        <v/>
      </c>
      <c r="K520" s="17"/>
      <c r="L520" s="17" t="b">
        <f>IF(OR(COUNTIF('クラス'!$A$1:$A$1262,$B520)&gt;0,$B520="",$M520=""),"",True)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VLOOKUP($I521,'用語辞書'!$A:$B,COLUMN('用語辞書'!B$1),FALSE),
IF(_xlpm.v=0,"",_xlpm.v)
),"")</f>
        <v/>
      </c>
      <c r="K521" s="17"/>
      <c r="L521" s="17" t="str">
        <f>IF(OR(COUNTIF('クラス'!$A$1:$A$1262,$B521)&gt;0,$B521="",$M521=""),"",True)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VLOOKUP($I522,'用語辞書'!$A:$B,COLUMN('用語辞書'!B$1),FALSE),
IF(_xlpm.v=0,"",_xlpm.v)
),"")</f>
        <v/>
      </c>
      <c r="K522" s="17"/>
      <c r="L522" s="17" t="str">
        <f>IF(OR(COUNTIF('クラス'!$A$1:$A$1262,$B522)&gt;0,$B522="",$M522=""),"",True)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VLOOKUP($I523,'用語辞書'!$A:$B,COLUMN('用語辞書'!B$1),FALSE),
IF(_xlpm.v=0,"",_xlpm.v)
),"")</f>
        <v/>
      </c>
      <c r="K523" s="17"/>
      <c r="L523" s="17" t="str">
        <f>IF(OR(COUNTIF('クラス'!$A$1:$A$1262,$B523)&gt;0,$B523="",$M523=""),"",True)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VLOOKUP($I524,'用語辞書'!$A:$B,COLUMN('用語辞書'!B$1),FALSE),
IF(_xlpm.v=0,"",_xlpm.v)
),"")</f>
        <v/>
      </c>
      <c r="K524" s="17"/>
      <c r="L524" s="17" t="str">
        <f>IF(OR(COUNTIF('クラス'!$A$1:$A$1262,$B524)&gt;0,$B524="",$M524=""),"",True)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VLOOKUP($I525,'用語辞書'!$A:$B,COLUMN('用語辞書'!B$1),FALSE),
IF(_xlpm.v=0,"",_xlpm.v)
),"")</f>
        <v/>
      </c>
      <c r="K525" s="17"/>
      <c r="L525" s="17" t="str">
        <f>IF(OR(COUNTIF('クラス'!$A$1:$A$1262,$B525)&gt;0,$B525="",$M525=""),"",True)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VLOOKUP($I526,'用語辞書'!$A:$B,COLUMN('用語辞書'!B$1),FALSE),
IF(_xlpm.v=0,"",_xlpm.v)
),"")</f>
        <v/>
      </c>
      <c r="K526" s="17"/>
      <c r="L526" s="17" t="str">
        <f>IF(OR(COUNTIF('クラス'!$A$1:$A$1262,$B526)&gt;0,$B526="",$M526=""),"",True)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VLOOKUP($I527,'用語辞書'!$A:$B,COLUMN('用語辞書'!B$1),FALSE),
IF(_xlpm.v=0,"",_xlpm.v)
),"")</f>
        <v/>
      </c>
      <c r="K527" s="17"/>
      <c r="L527" s="17" t="str">
        <f>IF(OR(COUNTIF('クラス'!$A$1:$A$1262,$B527)&gt;0,$B527="",$M527=""),"",True)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VLOOKUP($I528,'用語辞書'!$A:$B,COLUMN('用語辞書'!B$1),FALSE),
IF(_xlpm.v=0,"",_xlpm.v)
),"")</f>
        <v/>
      </c>
      <c r="K528" s="17"/>
      <c r="L528" s="17" t="str">
        <f>IF(OR(COUNTIF('クラス'!$A$1:$A$1262,$B528)&gt;0,$B528="",$M528=""),"",True)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IF(OR(COUNTIF('クラス'!$A$1:$A$1262,$B529)&gt;0,$B529="",$M529=""),"",True)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VLOOKUP($I530,'用語辞書'!$A:$B,COLUMN('用語辞書'!B$1),FALSE),
IF(_xlpm.v=0,"",_xlpm.v)
),"")</f>
        <v/>
      </c>
      <c r="K530" s="17"/>
      <c r="L530" s="17" t="str">
        <f>IF(OR(COUNTIF('クラス'!$A$1:$A$1262,$B530)&gt;0,$B530="",$M530=""),"",True)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VLOOKUP($I531,'用語辞書'!$A:$B,COLUMN('用語辞書'!B$1),FALSE),
IF(_xlpm.v=0,"",_xlpm.v)
),"")</f>
        <v/>
      </c>
      <c r="K531" s="17"/>
      <c r="L531" s="17" t="str">
        <f>IF(OR(COUNTIF('クラス'!$A$1:$A$1262,$B531)&gt;0,$B531="",$M531=""),"",True)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VLOOKUP($I532,'用語辞書'!$A:$B,COLUMN('用語辞書'!B$1),FALSE),
IF(_xlpm.v=0,"",_xlpm.v)
),"")</f>
        <v/>
      </c>
      <c r="K532" s="17"/>
      <c r="L532" s="17" t="b">
        <f>IF(OR(COUNTIF('クラス'!$A$1:$A$1262,$B532)&gt;0,$B532="",$M532=""),"",True)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VLOOKUP($I533,'用語辞書'!$A:$B,COLUMN('用語辞書'!B$1),FALSE),
IF(_xlpm.v=0,"",_xlpm.v)
),"")</f>
        <v/>
      </c>
      <c r="K533" s="17"/>
      <c r="L533" s="17" t="b">
        <f>IF(OR(COUNTIF('クラス'!$A$1:$A$1262,$B533)&gt;0,$B533="",$M533=""),"",True)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VLOOKUP($I534,'用語辞書'!$A:$B,COLUMN('用語辞書'!B$1),FALSE),
IF(_xlpm.v=0,"",_xlpm.v)
),"")</f>
        <v/>
      </c>
      <c r="K534" s="17"/>
      <c r="L534" s="17" t="str">
        <f>IF(OR(COUNTIF('クラス'!$A$1:$A$1262,$B534)&gt;0,$B534="",$M534=""),"",True)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VLOOKUP($I535,'用語辞書'!$A:$B,COLUMN('用語辞書'!B$1),FALSE),
IF(_xlpm.v=0,"",_xlpm.v)
),"")</f>
        <v/>
      </c>
      <c r="K535" s="17"/>
      <c r="L535" s="17" t="b">
        <f>IF(OR(COUNTIF('クラス'!$A$1:$A$1262,$B535)&gt;0,$B535="",$M535=""),"",True)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VLOOKUP($I536,'用語辞書'!$A:$B,COLUMN('用語辞書'!B$1),FALSE),
IF(_xlpm.v=0,"",_xlpm.v)
),"")</f>
        <v/>
      </c>
      <c r="K536" s="17"/>
      <c r="L536" s="17" t="b">
        <f>IF(OR(COUNTIF('クラス'!$A$1:$A$1262,$B536)&gt;0,$B536="",$M536=""),"",True)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VLOOKUP($I537,'用語辞書'!$A:$B,COLUMN('用語辞書'!B$1),FALSE),
IF(_xlpm.v=0,"",_xlpm.v)
),"")</f>
        <v/>
      </c>
      <c r="K537" s="17"/>
      <c r="L537" s="17" t="str">
        <f>IF(OR(COUNTIF('クラス'!$A$1:$A$1262,$B537)&gt;0,$B537="",$M537=""),"",True)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VLOOKUP($I538,'用語辞書'!$A:$B,COLUMN('用語辞書'!B$1),FALSE),
IF(_xlpm.v=0,"",_xlpm.v)
),"")</f>
        <v/>
      </c>
      <c r="K538" s="17"/>
      <c r="L538" s="17" t="b">
        <f>IF(OR(COUNTIF('クラス'!$A$1:$A$1262,$B538)&gt;0,$B538="",$M538=""),"",True)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VLOOKUP($I539,'用語辞書'!$A:$B,COLUMN('用語辞書'!B$1),FALSE),
IF(_xlpm.v=0,"",_xlpm.v)
),"")</f>
        <v/>
      </c>
      <c r="K539" s="17"/>
      <c r="L539" s="17" t="str">
        <f>IF(OR(COUNTIF('クラス'!$A$1:$A$1262,$B539)&gt;0,$B539="",$M539=""),"",True)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VLOOKUP($I540,'用語辞書'!$A:$B,COLUMN('用語辞書'!B$1),FALSE),
IF(_xlpm.v=0,"",_xlpm.v)
),"")</f>
        <v/>
      </c>
      <c r="K540" s="17"/>
      <c r="L540" s="17" t="str">
        <f>IF(OR(COUNTIF('クラス'!$A$1:$A$1262,$B540)&gt;0,$B540="",$M540=""),"",True)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VLOOKUP($I541,'用語辞書'!$A:$B,COLUMN('用語辞書'!B$1),FALSE),
IF(_xlpm.v=0,"",_xlpm.v)
),"")</f>
        <v/>
      </c>
      <c r="K541" s="17"/>
      <c r="L541" s="17" t="str">
        <f>IF(OR(COUNTIF('クラス'!$A$1:$A$1262,$B541)&gt;0,$B541="",$M541=""),"",True)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VLOOKUP($I542,'用語辞書'!$A:$B,COLUMN('用語辞書'!B$1),FALSE),
IF(_xlpm.v=0,"",_xlpm.v)
),"")</f>
        <v/>
      </c>
      <c r="K542" s="17"/>
      <c r="L542" s="17" t="str">
        <f>IF(OR(COUNTIF('クラス'!$A$1:$A$1262,$B542)&gt;0,$B542="",$M542=""),"",True)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VLOOKUP($I543,'用語辞書'!$A:$B,COLUMN('用語辞書'!B$1),FALSE),
IF(_xlpm.v=0,"",_xlpm.v)
),"")</f>
        <v/>
      </c>
      <c r="K543" s="17"/>
      <c r="L543" s="17" t="str">
        <f>IF(OR(COUNTIF('クラス'!$A$1:$A$1262,$B543)&gt;0,$B543="",$M543=""),"",True)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VLOOKUP($I544,'用語辞書'!$A:$B,COLUMN('用語辞書'!B$1),FALSE),
IF(_xlpm.v=0,"",_xlpm.v)
),"")</f>
        <v/>
      </c>
      <c r="K544" s="17"/>
      <c r="L544" s="17" t="str">
        <f>IF(OR(COUNTIF('クラス'!$A$1:$A$1262,$B544)&gt;0,$B544="",$M544=""),"",True)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VLOOKUP($I545,'用語辞書'!$A:$B,COLUMN('用語辞書'!B$1),FALSE),
IF(_xlpm.v=0,"",_xlpm.v)
),"")</f>
        <v/>
      </c>
      <c r="K545" s="17"/>
      <c r="L545" s="17" t="str">
        <f>IF(OR(COUNTIF('クラス'!$A$1:$A$1262,$B545)&gt;0,$B545="",$M545=""),"",True)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VLOOKUP($I546,'用語辞書'!$A:$B,COLUMN('用語辞書'!B$1),FALSE),
IF(_xlpm.v=0,"",_xlpm.v)
),"")</f>
        <v/>
      </c>
      <c r="K546" s="17"/>
      <c r="L546" s="17" t="str">
        <f>IF(OR(COUNTIF('クラス'!$A$1:$A$1262,$B546)&gt;0,$B546="",$M546=""),"",True)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VLOOKUP($I547,'用語辞書'!$A:$B,COLUMN('用語辞書'!B$1),FALSE),
IF(_xlpm.v=0,"",_xlpm.v)
),"")</f>
        <v/>
      </c>
      <c r="K547" s="17"/>
      <c r="L547" s="17" t="str">
        <f>IF(OR(COUNTIF('クラス'!$A$1:$A$1262,$B547)&gt;0,$B547="",$M547=""),"",True)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VLOOKUP($I548,'用語辞書'!$A:$B,COLUMN('用語辞書'!B$1),FALSE),
IF(_xlpm.v=0,"",_xlpm.v)
),"")</f>
        <v/>
      </c>
      <c r="K548" s="17"/>
      <c r="L548" s="17" t="str">
        <f>IF(OR(COUNTIF('クラス'!$A$1:$A$1262,$B548)&gt;0,$B548="",$M548=""),"",True)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VLOOKUP($I549,'用語辞書'!$A:$B,COLUMN('用語辞書'!B$1),FALSE),
IF(_xlpm.v=0,"",_xlpm.v)
),"")</f>
        <v/>
      </c>
      <c r="K549" s="17"/>
      <c r="L549" s="17" t="str">
        <f>IF(OR(COUNTIF('クラス'!$A$1:$A$1262,$B549)&gt;0,$B549="",$M549=""),"",True)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VLOOKUP($I550,'用語辞書'!$A:$B,COLUMN('用語辞書'!B$1),FALSE),
IF(_xlpm.v=0,"",_xlpm.v)
),"")</f>
        <v/>
      </c>
      <c r="K550" s="17"/>
      <c r="L550" s="17" t="str">
        <f>IF(OR(COUNTIF('クラス'!$A$1:$A$1262,$B550)&gt;0,$B550="",$M550=""),"",True)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VLOOKUP($I551,'用語辞書'!$A:$B,COLUMN('用語辞書'!B$1),FALSE),
IF(_xlpm.v=0,"",_xlpm.v)
),"")</f>
        <v/>
      </c>
      <c r="K551" s="17"/>
      <c r="L551" s="17" t="str">
        <f>IF(OR(COUNTIF('クラス'!$A$1:$A$1262,$B551)&gt;0,$B551="",$M551=""),"",True)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VLOOKUP($I552,'用語辞書'!$A:$B,COLUMN('用語辞書'!B$1),FALSE),
IF(_xlpm.v=0,"",_xlpm.v)
),"")</f>
        <v/>
      </c>
      <c r="K552" s="17"/>
      <c r="L552" s="17" t="str">
        <f>IF(OR(COUNTIF('クラス'!$A$1:$A$1262,$B552)&gt;0,$B552="",$M552=""),"",True)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VLOOKUP($I553,'用語辞書'!$A:$B,COLUMN('用語辞書'!B$1),FALSE),
IF(_xlpm.v=0,"",_xlpm.v)
),"")</f>
        <v/>
      </c>
      <c r="K553" s="17"/>
      <c r="L553" s="17" t="str">
        <f>IF(OR(COUNTIF('クラス'!$A$1:$A$1262,$B553)&gt;0,$B553="",$M553=""),"",True)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VLOOKUP($I554,'用語辞書'!$A:$B,COLUMN('用語辞書'!B$1),FALSE),
IF(_xlpm.v=0,"",_xlpm.v)
),"")</f>
        <v/>
      </c>
      <c r="K554" s="17"/>
      <c r="L554" s="17" t="str">
        <f>IF(OR(COUNTIF('クラス'!$A$1:$A$1262,$B554)&gt;0,$B554="",$M554=""),"",True)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VLOOKUP($I555,'用語辞書'!$A:$B,COLUMN('用語辞書'!B$1),FALSE),
IF(_xlpm.v=0,"",_xlpm.v)
),"")</f>
        <v/>
      </c>
      <c r="K555" s="17"/>
      <c r="L555" s="17" t="b">
        <f>IF(OR(COUNTIF('クラス'!$A$1:$A$1262,$B555)&gt;0,$B555="",$M555=""),"",True)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VLOOKUP($I556,'用語辞書'!$A:$B,COLUMN('用語辞書'!B$1),FALSE),
IF(_xlpm.v=0,"",_xlpm.v)
),"")</f>
        <v/>
      </c>
      <c r="K556" s="17"/>
      <c r="L556" s="17" t="str">
        <f>IF(OR(COUNTIF('クラス'!$A$1:$A$1262,$B556)&gt;0,$B556="",$M556=""),"",True)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VLOOKUP($I557,'用語辞書'!$A:$B,COLUMN('用語辞書'!B$1),FALSE),
IF(_xlpm.v=0,"",_xlpm.v)
),"")</f>
        <v/>
      </c>
      <c r="K557" s="17"/>
      <c r="L557" s="17" t="str">
        <f>IF(OR(COUNTIF('クラス'!$A$1:$A$1262,$B557)&gt;0,$B557="",$M557=""),"",True)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VLOOKUP($I558,'用語辞書'!$A:$B,COLUMN('用語辞書'!B$1),FALSE),
IF(_xlpm.v=0,"",_xlpm.v)
),"")</f>
        <v/>
      </c>
      <c r="K558" s="17"/>
      <c r="L558" s="17" t="str">
        <f>IF(OR(COUNTIF('クラス'!$A$1:$A$1262,$B558)&gt;0,$B558="",$M558=""),"",True)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VLOOKUP($I559,'用語辞書'!$A:$B,COLUMN('用語辞書'!B$1),FALSE),
IF(_xlpm.v=0,"",_xlpm.v)
),"")</f>
        <v/>
      </c>
      <c r="K559" s="17"/>
      <c r="L559" s="17" t="b">
        <f>IF(OR(COUNTIF('クラス'!$A$1:$A$1262,$B559)&gt;0,$B559="",$M559=""),"",True)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VLOOKUP($I560,'用語辞書'!$A:$B,COLUMN('用語辞書'!B$1),FALSE),
IF(_xlpm.v=0,"",_xlpm.v)
),"")</f>
        <v/>
      </c>
      <c r="K560" s="17"/>
      <c r="L560" s="17" t="str">
        <f>IF(OR(COUNTIF('クラス'!$A$1:$A$1262,$B560)&gt;0,$B560="",$M560=""),"",True)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VLOOKUP($I561,'用語辞書'!$A:$B,COLUMN('用語辞書'!B$1),FALSE),
IF(_xlpm.v=0,"",_xlpm.v)
),"")</f>
        <v/>
      </c>
      <c r="K561" s="17"/>
      <c r="L561" s="17" t="str">
        <f>IF(OR(COUNTIF('クラス'!$A$1:$A$1262,$B561)&gt;0,$B561="",$M561=""),"",True)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VLOOKUP($I562,'用語辞書'!$A:$B,COLUMN('用語辞書'!B$1),FALSE),
IF(_xlpm.v=0,"",_xlpm.v)
),"")</f>
        <v/>
      </c>
      <c r="K562" s="17"/>
      <c r="L562" s="17" t="str">
        <f>IF(OR(COUNTIF('クラス'!$A$1:$A$1262,$B562)&gt;0,$B562="",$M562=""),"",True)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VLOOKUP($I563,'用語辞書'!$A:$B,COLUMN('用語辞書'!B$1),FALSE),
IF(_xlpm.v=0,"",_xlpm.v)
),"")</f>
        <v/>
      </c>
      <c r="K563" s="17"/>
      <c r="L563" s="17" t="b">
        <f>IF(OR(COUNTIF('クラス'!$A$1:$A$1262,$B563)&gt;0,$B563="",$M563=""),"",True)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VLOOKUP($I564,'用語辞書'!$A:$B,COLUMN('用語辞書'!B$1),FALSE),
IF(_xlpm.v=0,"",_xlpm.v)
),"")</f>
        <v/>
      </c>
      <c r="K564" s="17"/>
      <c r="L564" s="17" t="b">
        <f>IF(OR(COUNTIF('クラス'!$A$1:$A$1262,$B564)&gt;0,$B564="",$M564=""),"",True)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VLOOKUP($I565,'用語辞書'!$A:$B,COLUMN('用語辞書'!B$1),FALSE),
IF(_xlpm.v=0,"",_xlpm.v)
),"")</f>
        <v/>
      </c>
      <c r="K565" s="17"/>
      <c r="L565" s="17" t="str">
        <f>IF(OR(COUNTIF('クラス'!$A$1:$A$1262,$B565)&gt;0,$B565="",$M565=""),"",True)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IF(OR(COUNTIF('クラス'!$A$1:$A$1262,$B566)&gt;0,$B566="",$M566=""),"",True)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VLOOKUP($I567,'用語辞書'!$A:$B,COLUMN('用語辞書'!B$1),FALSE),
IF(_xlpm.v=0,"",_xlpm.v)
),"")</f>
        <v/>
      </c>
      <c r="K567" s="17"/>
      <c r="L567" s="17" t="str">
        <f>IF(OR(COUNTIF('クラス'!$A$1:$A$1262,$B567)&gt;0,$B567="",$M567=""),"",True)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VLOOKUP($I568,'用語辞書'!$A:$B,COLUMN('用語辞書'!B$1),FALSE),
IF(_xlpm.v=0,"",_xlpm.v)
),"")</f>
        <v/>
      </c>
      <c r="K568" s="17"/>
      <c r="L568" s="17" t="str">
        <f>IF(OR(COUNTIF('クラス'!$A$1:$A$1262,$B568)&gt;0,$B568="",$M568=""),"",True)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VLOOKUP($I569,'用語辞書'!$A:$B,COLUMN('用語辞書'!B$1),FALSE),
IF(_xlpm.v=0,"",_xlpm.v)
),"")</f>
        <v/>
      </c>
      <c r="K569" s="17"/>
      <c r="L569" s="17" t="str">
        <f>IF(OR(COUNTIF('クラス'!$A$1:$A$1262,$B569)&gt;0,$B569="",$M569=""),"",True)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VLOOKUP($I570,'用語辞書'!$A:$B,COLUMN('用語辞書'!B$1),FALSE),
IF(_xlpm.v=0,"",_xlpm.v)
),"")</f>
        <v/>
      </c>
      <c r="K570" s="17"/>
      <c r="L570" s="17" t="str">
        <f>IF(OR(COUNTIF('クラス'!$A$1:$A$1262,$B570)&gt;0,$B570="",$M570=""),"",True)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VLOOKUP($I571,'用語辞書'!$A:$B,COLUMN('用語辞書'!B$1),FALSE),
IF(_xlpm.v=0,"",_xlpm.v)
),"")</f>
        <v/>
      </c>
      <c r="K571" s="17"/>
      <c r="L571" s="17" t="str">
        <f>IF(OR(COUNTIF('クラス'!$A$1:$A$1262,$B571)&gt;0,$B571="",$M571=""),"",True)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VLOOKUP($I572,'用語辞書'!$A:$B,COLUMN('用語辞書'!B$1),FALSE),
IF(_xlpm.v=0,"",_xlpm.v)
),"")</f>
        <v/>
      </c>
      <c r="K572" s="17"/>
      <c r="L572" s="17" t="str">
        <f>IF(OR(COUNTIF('クラス'!$A$1:$A$1262,$B572)&gt;0,$B572="",$M572=""),"",True)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VLOOKUP($I573,'用語辞書'!$A:$B,COLUMN('用語辞書'!B$1),FALSE),
IF(_xlpm.v=0,"",_xlpm.v)
),"")</f>
        <v/>
      </c>
      <c r="K573" s="17"/>
      <c r="L573" s="17" t="str">
        <f>IF(OR(COUNTIF('クラス'!$A$1:$A$1262,$B573)&gt;0,$B573="",$M573=""),"",True)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VLOOKUP($I574,'用語辞書'!$A:$B,COLUMN('用語辞書'!B$1),FALSE),
IF(_xlpm.v=0,"",_xlpm.v)
),"")</f>
        <v/>
      </c>
      <c r="K574" s="17"/>
      <c r="L574" s="17" t="str">
        <f>IF(OR(COUNTIF('クラス'!$A$1:$A$1262,$B574)&gt;0,$B574="",$M574=""),"",True)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VLOOKUP($I575,'用語辞書'!$A:$B,COLUMN('用語辞書'!B$1),FALSE),
IF(_xlpm.v=0,"",_xlpm.v)
),"")</f>
        <v/>
      </c>
      <c r="K575" s="17"/>
      <c r="L575" s="17" t="str">
        <f>IF(OR(COUNTIF('クラス'!$A$1:$A$1262,$B575)&gt;0,$B575="",$M575=""),"",True)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VLOOKUP($I576,'用語辞書'!$A:$B,COLUMN('用語辞書'!B$1),FALSE),
IF(_xlpm.v=0,"",_xlpm.v)
),"")</f>
        <v/>
      </c>
      <c r="K576" s="17"/>
      <c r="L576" s="17" t="str">
        <f>IF(OR(COUNTIF('クラス'!$A$1:$A$1262,$B576)&gt;0,$B576="",$M576=""),"",True)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VLOOKUP($I577,'用語辞書'!$A:$B,COLUMN('用語辞書'!B$1),FALSE),
IF(_xlpm.v=0,"",_xlpm.v)
),"")</f>
        <v/>
      </c>
      <c r="K577" s="17"/>
      <c r="L577" s="17" t="str">
        <f>IF(OR(COUNTIF('クラス'!$A$1:$A$1262,$B577)&gt;0,$B577="",$M577=""),"",True)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VLOOKUP($I578,'用語辞書'!$A:$B,COLUMN('用語辞書'!B$1),FALSE),
IF(_xlpm.v=0,"",_xlpm.v)
),"")</f>
        <v/>
      </c>
      <c r="K578" s="17"/>
      <c r="L578" s="17" t="str">
        <f>IF(OR(COUNTIF('クラス'!$A$1:$A$1262,$B578)&gt;0,$B578="",$M578=""),"",True)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VLOOKUP($I579,'用語辞書'!$A:$B,COLUMN('用語辞書'!B$1),FALSE),
IF(_xlpm.v=0,"",_xlpm.v)
),"")</f>
        <v/>
      </c>
      <c r="K579" s="17"/>
      <c r="L579" s="17" t="str">
        <f>IF(OR(COUNTIF('クラス'!$A$1:$A$1262,$B579)&gt;0,$B579="",$M579=""),"",True)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VLOOKUP($I580,'用語辞書'!$A:$B,COLUMN('用語辞書'!B$1),FALSE),
IF(_xlpm.v=0,"",_xlpm.v)
),"")</f>
        <v/>
      </c>
      <c r="K580" s="17"/>
      <c r="L580" s="17" t="b">
        <f>IF(OR(COUNTIF('クラス'!$A$1:$A$1262,$B580)&gt;0,$B580="",$M580=""),"",True)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VLOOKUP($I581,'用語辞書'!$A:$B,COLUMN('用語辞書'!B$1),FALSE),
IF(_xlpm.v=0,"",_xlpm.v)
),"")</f>
        <v/>
      </c>
      <c r="K581" s="17"/>
      <c r="L581" s="17" t="str">
        <f>IF(OR(COUNTIF('クラス'!$A$1:$A$1262,$B581)&gt;0,$B581="",$M581=""),"",True)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VLOOKUP($I582,'用語辞書'!$A:$B,COLUMN('用語辞書'!B$1),FALSE),
IF(_xlpm.v=0,"",_xlpm.v)
),"")</f>
        <v/>
      </c>
      <c r="K582" s="17"/>
      <c r="L582" s="17" t="str">
        <f>IF(OR(COUNTIF('クラス'!$A$1:$A$1262,$B582)&gt;0,$B582="",$M582=""),"",True)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VLOOKUP($I583,'用語辞書'!$A:$B,COLUMN('用語辞書'!B$1),FALSE),
IF(_xlpm.v=0,"",_xlpm.v)
),"")</f>
        <v/>
      </c>
      <c r="K583" s="17"/>
      <c r="L583" s="17" t="str">
        <f>IF(OR(COUNTIF('クラス'!$A$1:$A$1262,$B583)&gt;0,$B583="",$M583=""),"",True)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VLOOKUP($I584,'用語辞書'!$A:$B,COLUMN('用語辞書'!B$1),FALSE),
IF(_xlpm.v=0,"",_xlpm.v)
),"")</f>
        <v/>
      </c>
      <c r="K584" s="17"/>
      <c r="L584" s="17" t="str">
        <f>IF(OR(COUNTIF('クラス'!$A$1:$A$1262,$B584)&gt;0,$B584="",$M584=""),"",True)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VLOOKUP($I585,'用語辞書'!$A:$B,COLUMN('用語辞書'!B$1),FALSE),
IF(_xlpm.v=0,"",_xlpm.v)
),"")</f>
        <v/>
      </c>
      <c r="K585" s="17"/>
      <c r="L585" s="17" t="str">
        <f>IF(OR(COUNTIF('クラス'!$A$1:$A$1262,$B585)&gt;0,$B585="",$M585=""),"",True)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VLOOKUP($I586,'用語辞書'!$A:$B,COLUMN('用語辞書'!B$1),FALSE),
IF(_xlpm.v=0,"",_xlpm.v)
),"")</f>
        <v/>
      </c>
      <c r="K586" s="17"/>
      <c r="L586" s="17" t="str">
        <f>IF(OR(COUNTIF('クラス'!$A$1:$A$1262,$B586)&gt;0,$B586="",$M586=""),"",True)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VLOOKUP($I587,'用語辞書'!$A:$B,COLUMN('用語辞書'!B$1),FALSE),
IF(_xlpm.v=0,"",_xlpm.v)
),"")</f>
        <v/>
      </c>
      <c r="K587" s="17"/>
      <c r="L587" s="17" t="str">
        <f>IF(OR(COUNTIF('クラス'!$A$1:$A$1262,$B587)&gt;0,$B587="",$M587=""),"",True)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VLOOKUP($I588,'用語辞書'!$A:$B,COLUMN('用語辞書'!B$1),FALSE),
IF(_xlpm.v=0,"",_xlpm.v)
),"")</f>
        <v/>
      </c>
      <c r="K588" s="17"/>
      <c r="L588" s="17" t="str">
        <f>IF(OR(COUNTIF('クラス'!$A$1:$A$1262,$B588)&gt;0,$B588="",$M588=""),"",True)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VLOOKUP($I589,'用語辞書'!$A:$B,COLUMN('用語辞書'!B$1),FALSE),
IF(_xlpm.v=0,"",_xlpm.v)
),"")</f>
        <v/>
      </c>
      <c r="K589" s="17"/>
      <c r="L589" s="17" t="b">
        <f>IF(OR(COUNTIF('クラス'!$A$1:$A$1262,$B589)&gt;0,$B589="",$M589=""),"",True)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VLOOKUP($I590,'用語辞書'!$A:$B,COLUMN('用語辞書'!B$1),FALSE),
IF(_xlpm.v=0,"",_xlpm.v)
),"")</f>
        <v/>
      </c>
      <c r="K590" s="17"/>
      <c r="L590" s="17" t="str">
        <f>IF(OR(COUNTIF('クラス'!$A$1:$A$1262,$B590)&gt;0,$B590="",$M590=""),"",True)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IF(OR(COUNTIF('クラス'!$A$1:$A$1262,$B591)&gt;0,$B591="",$M591=""),"",True)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VLOOKUP($I592,'用語辞書'!$A:$B,COLUMN('用語辞書'!B$1),FALSE),
IF(_xlpm.v=0,"",_xlpm.v)
),"")</f>
        <v/>
      </c>
      <c r="K592" s="17"/>
      <c r="L592" s="17" t="str">
        <f>IF(OR(COUNTIF('クラス'!$A$1:$A$1262,$B592)&gt;0,$B592="",$M592=""),"",True)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VLOOKUP($I593,'用語辞書'!$A:$B,COLUMN('用語辞書'!B$1),FALSE),
IF(_xlpm.v=0,"",_xlpm.v)
),"")</f>
        <v/>
      </c>
      <c r="K593" s="17"/>
      <c r="L593" s="17" t="b">
        <f>IF(OR(COUNTIF('クラス'!$A$1:$A$1262,$B593)&gt;0,$B593="",$M593=""),"",True)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VLOOKUP($I594,'用語辞書'!$A:$B,COLUMN('用語辞書'!B$1),FALSE),
IF(_xlpm.v=0,"",_xlpm.v)
),"")</f>
        <v/>
      </c>
      <c r="K594" s="17"/>
      <c r="L594" s="17" t="str">
        <f>IF(OR(COUNTIF('クラス'!$A$1:$A$1262,$B594)&gt;0,$B594="",$M594=""),"",True)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VLOOKUP($I595,'用語辞書'!$A:$B,COLUMN('用語辞書'!B$1),FALSE),
IF(_xlpm.v=0,"",_xlpm.v)
),"")</f>
        <v/>
      </c>
      <c r="K595" s="17"/>
      <c r="L595" s="17" t="b">
        <f>IF(OR(COUNTIF('クラス'!$A$1:$A$1262,$B595)&gt;0,$B595="",$M595=""),"",True)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VLOOKUP($I596,'用語辞書'!$A:$B,COLUMN('用語辞書'!B$1),FALSE),
IF(_xlpm.v=0,"",_xlpm.v)
),"")</f>
        <v/>
      </c>
      <c r="K596" s="17"/>
      <c r="L596" s="17" t="str">
        <f>IF(OR(COUNTIF('クラス'!$A$1:$A$1262,$B596)&gt;0,$B596="",$M596=""),"",True)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VLOOKUP($I597,'用語辞書'!$A:$B,COLUMN('用語辞書'!B$1),FALSE),
IF(_xlpm.v=0,"",_xlpm.v)
),"")</f>
        <v/>
      </c>
      <c r="K597" s="17"/>
      <c r="L597" s="17" t="str">
        <f>IF(OR(COUNTIF('クラス'!$A$1:$A$1262,$B597)&gt;0,$B597="",$M597=""),"",True)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VLOOKUP($I598,'用語辞書'!$A:$B,COLUMN('用語辞書'!B$1),FALSE),
IF(_xlpm.v=0,"",_xlpm.v)
),"")</f>
        <v/>
      </c>
      <c r="K598" s="17"/>
      <c r="L598" s="17" t="b">
        <f>IF(OR(COUNTIF('クラス'!$A$1:$A$1262,$B598)&gt;0,$B598="",$M598=""),"",True)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VLOOKUP($I599,'用語辞書'!$A:$B,COLUMN('用語辞書'!B$1),FALSE),
IF(_xlpm.v=0,"",_xlpm.v)
),"")</f>
        <v/>
      </c>
      <c r="K599" s="17"/>
      <c r="L599" s="17" t="str">
        <f>IF(OR(COUNTIF('クラス'!$A$1:$A$1262,$B599)&gt;0,$B599="",$M599=""),"",True)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VLOOKUP($I600,'用語辞書'!$A:$B,COLUMN('用語辞書'!B$1),FALSE),
IF(_xlpm.v=0,"",_xlpm.v)
),"")</f>
        <v/>
      </c>
      <c r="K600" s="17"/>
      <c r="L600" s="17" t="str">
        <f>IF(OR(COUNTIF('クラス'!$A$1:$A$1262,$B600)&gt;0,$B600="",$M600=""),"",True)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VLOOKUP($I601,'用語辞書'!$A:$B,COLUMN('用語辞書'!B$1),FALSE),
IF(_xlpm.v=0,"",_xlpm.v)
),"")</f>
        <v/>
      </c>
      <c r="K601" s="17"/>
      <c r="L601" s="17" t="b">
        <f>IF(OR(COUNTIF('クラス'!$A$1:$A$1262,$B601)&gt;0,$B601="",$M601=""),"",True)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VLOOKUP($I602,'用語辞書'!$A:$B,COLUMN('用語辞書'!B$1),FALSE),
IF(_xlpm.v=0,"",_xlpm.v)
),"")</f>
        <v/>
      </c>
      <c r="K602" s="17"/>
      <c r="L602" s="17" t="str">
        <f>IF(OR(COUNTIF('クラス'!$A$1:$A$1262,$B602)&gt;0,$B602="",$M602=""),"",True)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VLOOKUP($I603,'用語辞書'!$A:$B,COLUMN('用語辞書'!B$1),FALSE),
IF(_xlpm.v=0,"",_xlpm.v)
),"")</f>
        <v/>
      </c>
      <c r="K603" s="17"/>
      <c r="L603" s="17" t="str">
        <f>IF(OR(COUNTIF('クラス'!$A$1:$A$1262,$B603)&gt;0,$B603="",$M603=""),"",True)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VLOOKUP($I604,'用語辞書'!$A:$B,COLUMN('用語辞書'!B$1),FALSE),
IF(_xlpm.v=0,"",_xlpm.v)
),"")</f>
        <v/>
      </c>
      <c r="K604" s="17"/>
      <c r="L604" s="17" t="str">
        <f>IF(OR(COUNTIF('クラス'!$A$1:$A$1262,$B604)&gt;0,$B604="",$M604=""),"",True)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VLOOKUP($I605,'用語辞書'!$A:$B,COLUMN('用語辞書'!B$1),FALSE),
IF(_xlpm.v=0,"",_xlpm.v)
),"")</f>
        <v/>
      </c>
      <c r="K605" s="17"/>
      <c r="L605" s="17" t="str">
        <f>IF(OR(COUNTIF('クラス'!$A$1:$A$1262,$B605)&gt;0,$B605="",$M605=""),"",True)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VLOOKUP($I606,'用語辞書'!$A:$B,COLUMN('用語辞書'!B$1),FALSE),
IF(_xlpm.v=0,"",_xlpm.v)
),"")</f>
        <v/>
      </c>
      <c r="K606" s="17"/>
      <c r="L606" s="17" t="str">
        <f>IF(OR(COUNTIF('クラス'!$A$1:$A$1262,$B606)&gt;0,$B606="",$M606=""),"",True)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VLOOKUP($I607,'用語辞書'!$A:$B,COLUMN('用語辞書'!B$1),FALSE),
IF(_xlpm.v=0,"",_xlpm.v)
),"")</f>
        <v/>
      </c>
      <c r="K607" s="17"/>
      <c r="L607" s="17" t="str">
        <f>IF(OR(COUNTIF('クラス'!$A$1:$A$1262,$B607)&gt;0,$B607="",$M607=""),"",True)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VLOOKUP($I608,'用語辞書'!$A:$B,COLUMN('用語辞書'!B$1),FALSE),
IF(_xlpm.v=0,"",_xlpm.v)
),"")</f>
        <v/>
      </c>
      <c r="K608" s="17"/>
      <c r="L608" s="17" t="str">
        <f>IF(OR(COUNTIF('クラス'!$A$1:$A$1262,$B608)&gt;0,$B608="",$M608=""),"",True)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VLOOKUP($I609,'用語辞書'!$A:$B,COLUMN('用語辞書'!B$1),FALSE),
IF(_xlpm.v=0,"",_xlpm.v)
),"")</f>
        <v/>
      </c>
      <c r="K609" s="17"/>
      <c r="L609" s="17" t="b">
        <f>IF(OR(COUNTIF('クラス'!$A$1:$A$1262,$B609)&gt;0,$B609="",$M609=""),"",True)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VLOOKUP($I610,'用語辞書'!$A:$B,COLUMN('用語辞書'!B$1),FALSE),
IF(_xlpm.v=0,"",_xlpm.v)
),"")</f>
        <v/>
      </c>
      <c r="K610" s="17"/>
      <c r="L610" s="17" t="str">
        <f>IF(OR(COUNTIF('クラス'!$A$1:$A$1262,$B610)&gt;0,$B610="",$M610=""),"",True)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VLOOKUP($I611,'用語辞書'!$A:$B,COLUMN('用語辞書'!B$1),FALSE),
IF(_xlpm.v=0,"",_xlpm.v)
),"")</f>
        <v/>
      </c>
      <c r="K611" s="17"/>
      <c r="L611" s="17" t="str">
        <f>IF(OR(COUNTIF('クラス'!$A$1:$A$1262,$B611)&gt;0,$B611="",$M611=""),"",True)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VLOOKUP($I612,'用語辞書'!$A:$B,COLUMN('用語辞書'!B$1),FALSE),
IF(_xlpm.v=0,"",_xlpm.v)
),"")</f>
        <v/>
      </c>
      <c r="K612" s="17"/>
      <c r="L612" s="17" t="str">
        <f>IF(OR(COUNTIF('クラス'!$A$1:$A$1262,$B612)&gt;0,$B612="",$M612=""),"",True)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VLOOKUP($I613,'用語辞書'!$A:$B,COLUMN('用語辞書'!B$1),FALSE),
IF(_xlpm.v=0,"",_xlpm.v)
),"")</f>
        <v/>
      </c>
      <c r="K613" s="17"/>
      <c r="L613" s="17" t="str">
        <f>IF(OR(COUNTIF('クラス'!$A$1:$A$1262,$B613)&gt;0,$B613="",$M613=""),"",True)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VLOOKUP($I614,'用語辞書'!$A:$B,COLUMN('用語辞書'!B$1),FALSE),
IF(_xlpm.v=0,"",_xlpm.v)
),"")</f>
        <v/>
      </c>
      <c r="K614" s="17"/>
      <c r="L614" s="17" t="b">
        <f>IF(OR(COUNTIF('クラス'!$A$1:$A$1262,$B614)&gt;0,$B614="",$M614=""),"",True)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VLOOKUP($I615,'用語辞書'!$A:$B,COLUMN('用語辞書'!B$1),FALSE),
IF(_xlpm.v=0,"",_xlpm.v)
),"")</f>
        <v/>
      </c>
      <c r="K615" s="17"/>
      <c r="L615" s="17" t="str">
        <f>IF(OR(COUNTIF('クラス'!$A$1:$A$1262,$B615)&gt;0,$B615="",$M615=""),"",True)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IF(OR(COUNTIF('クラス'!$A$1:$A$1262,$B616)&gt;0,$B616="",$M616=""),"",True)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VLOOKUP($I617,'用語辞書'!$A:$B,COLUMN('用語辞書'!B$1),FALSE),
IF(_xlpm.v=0,"",_xlpm.v)
),"")</f>
        <v/>
      </c>
      <c r="K617" s="17"/>
      <c r="L617" s="17" t="str">
        <f>IF(OR(COUNTIF('クラス'!$A$1:$A$1262,$B617)&gt;0,$B617="",$M617=""),"",True)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VLOOKUP($I618,'用語辞書'!$A:$B,COLUMN('用語辞書'!B$1),FALSE),
IF(_xlpm.v=0,"",_xlpm.v)
),"")</f>
        <v/>
      </c>
      <c r="K618" s="17"/>
      <c r="L618" s="17" t="b">
        <f>IF(OR(COUNTIF('クラス'!$A$1:$A$1262,$B618)&gt;0,$B618="",$M618=""),"",True)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VLOOKUP($I619,'用語辞書'!$A:$B,COLUMN('用語辞書'!B$1),FALSE),
IF(_xlpm.v=0,"",_xlpm.v)
),"")</f>
        <v/>
      </c>
      <c r="K619" s="17"/>
      <c r="L619" s="17" t="str">
        <f>IF(OR(COUNTIF('クラス'!$A$1:$A$1262,$B619)&gt;0,$B619="",$M619=""),"",True)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VLOOKUP($I620,'用語辞書'!$A:$B,COLUMN('用語辞書'!B$1),FALSE),
IF(_xlpm.v=0,"",_xlpm.v)
),"")</f>
        <v/>
      </c>
      <c r="K620" s="17"/>
      <c r="L620" s="17" t="b">
        <f>IF(OR(COUNTIF('クラス'!$A$1:$A$1262,$B620)&gt;0,$B620="",$M620=""),"",True)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VLOOKUP($I621,'用語辞書'!$A:$B,COLUMN('用語辞書'!B$1),FALSE),
IF(_xlpm.v=0,"",_xlpm.v)
),"")</f>
        <v/>
      </c>
      <c r="K621" s="17"/>
      <c r="L621" s="17" t="str">
        <f>IF(OR(COUNTIF('クラス'!$A$1:$A$1262,$B621)&gt;0,$B621="",$M621=""),"",True)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VLOOKUP($I622,'用語辞書'!$A:$B,COLUMN('用語辞書'!B$1),FALSE),
IF(_xlpm.v=0,"",_xlpm.v)
),"")</f>
        <v/>
      </c>
      <c r="K622" s="17"/>
      <c r="L622" s="17" t="str">
        <f>IF(OR(COUNTIF('クラス'!$A$1:$A$1262,$B622)&gt;0,$B622="",$M622=""),"",True)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VLOOKUP($I623,'用語辞書'!$A:$B,COLUMN('用語辞書'!B$1),FALSE),
IF(_xlpm.v=0,"",_xlpm.v)
),"")</f>
        <v/>
      </c>
      <c r="K623" s="17"/>
      <c r="L623" s="17" t="str">
        <f>IF(OR(COUNTIF('クラス'!$A$1:$A$1262,$B623)&gt;0,$B623="",$M623=""),"",True)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VLOOKUP($I624,'用語辞書'!$A:$B,COLUMN('用語辞書'!B$1),FALSE),
IF(_xlpm.v=0,"",_xlpm.v)
),"")</f>
        <v/>
      </c>
      <c r="K624" s="17"/>
      <c r="L624" s="17" t="str">
        <f>IF(OR(COUNTIF('クラス'!$A$1:$A$1262,$B624)&gt;0,$B624="",$M624=""),"",True)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VLOOKUP($I625,'用語辞書'!$A:$B,COLUMN('用語辞書'!B$1),FALSE),
IF(_xlpm.v=0,"",_xlpm.v)
),"")</f>
        <v/>
      </c>
      <c r="K625" s="17"/>
      <c r="L625" s="17" t="str">
        <f>IF(OR(COUNTIF('クラス'!$A$1:$A$1262,$B625)&gt;0,$B625="",$M625=""),"",True)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VLOOKUP($I626,'用語辞書'!$A:$B,COLUMN('用語辞書'!B$1),FALSE),
IF(_xlpm.v=0,"",_xlpm.v)
),"")</f>
        <v/>
      </c>
      <c r="K626" s="17"/>
      <c r="L626" s="17" t="str">
        <f>IF(OR(COUNTIF('クラス'!$A$1:$A$1262,$B626)&gt;0,$B626="",$M626=""),"",True)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VLOOKUP($I627,'用語辞書'!$A:$B,COLUMN('用語辞書'!B$1),FALSE),
IF(_xlpm.v=0,"",_xlpm.v)
),"")</f>
        <v/>
      </c>
      <c r="K627" s="17"/>
      <c r="L627" s="17" t="str">
        <f>IF(OR(COUNTIF('クラス'!$A$1:$A$1262,$B627)&gt;0,$B627="",$M627=""),"",True)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VLOOKUP($I628,'用語辞書'!$A:$B,COLUMN('用語辞書'!B$1),FALSE),
IF(_xlpm.v=0,"",_xlpm.v)
),"")</f>
        <v/>
      </c>
      <c r="K628" s="17"/>
      <c r="L628" s="17" t="str">
        <f>IF(OR(COUNTIF('クラス'!$A$1:$A$1262,$B628)&gt;0,$B628="",$M628=""),"",True)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IF(OR(COUNTIF('クラス'!$A$1:$A$1262,$B629)&gt;0,$B629="",$M629=""),"",True)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VLOOKUP($I630,'用語辞書'!$A:$B,COLUMN('用語辞書'!B$1),FALSE),
IF(_xlpm.v=0,"",_xlpm.v)
),"")</f>
        <v/>
      </c>
      <c r="K630" s="17"/>
      <c r="L630" s="17" t="str">
        <f>IF(OR(COUNTIF('クラス'!$A$1:$A$1262,$B630)&gt;0,$B630="",$M630=""),"",True)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VLOOKUP($I631,'用語辞書'!$A:$B,COLUMN('用語辞書'!B$1),FALSE),
IF(_xlpm.v=0,"",_xlpm.v)
),"")</f>
        <v/>
      </c>
      <c r="K631" s="17"/>
      <c r="L631" s="17" t="b">
        <f>IF(OR(COUNTIF('クラス'!$A$1:$A$1262,$B631)&gt;0,$B631="",$M631=""),"",True)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VLOOKUP($I632,'用語辞書'!$A:$B,COLUMN('用語辞書'!B$1),FALSE),
IF(_xlpm.v=0,"",_xlpm.v)
),"")</f>
        <v/>
      </c>
      <c r="K632" s="17"/>
      <c r="L632" s="17" t="b">
        <f>IF(OR(COUNTIF('クラス'!$A$1:$A$1262,$B632)&gt;0,$B632="",$M632=""),"",True)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VLOOKUP($I633,'用語辞書'!$A:$B,COLUMN('用語辞書'!B$1),FALSE),
IF(_xlpm.v=0,"",_xlpm.v)
),"")</f>
        <v/>
      </c>
      <c r="K633" s="17"/>
      <c r="L633" s="17" t="b">
        <f>IF(OR(COUNTIF('クラス'!$A$1:$A$1262,$B633)&gt;0,$B633="",$M633=""),"",True)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VLOOKUP($I634,'用語辞書'!$A:$B,COLUMN('用語辞書'!B$1),FALSE),
IF(_xlpm.v=0,"",_xlpm.v)
),"")</f>
        <v/>
      </c>
      <c r="K634" s="17"/>
      <c r="L634" s="17" t="str">
        <f>IF(OR(COUNTIF('クラス'!$A$1:$A$1262,$B634)&gt;0,$B634="",$M634=""),"",True)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VLOOKUP($I635,'用語辞書'!$A:$B,COLUMN('用語辞書'!B$1),FALSE),
IF(_xlpm.v=0,"",_xlpm.v)
),"")</f>
        <v/>
      </c>
      <c r="K635" s="17"/>
      <c r="L635" s="17" t="b">
        <f>IF(OR(COUNTIF('クラス'!$A$1:$A$1262,$B635)&gt;0,$B635="",$M635=""),"",True)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VLOOKUP($I636,'用語辞書'!$A:$B,COLUMN('用語辞書'!B$1),FALSE),
IF(_xlpm.v=0,"",_xlpm.v)
),"")</f>
        <v/>
      </c>
      <c r="K636" s="17"/>
      <c r="L636" s="17" t="str">
        <f>IF(OR(COUNTIF('クラス'!$A$1:$A$1262,$B636)&gt;0,$B636="",$M636=""),"",True)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VLOOKUP($I637,'用語辞書'!$A:$B,COLUMN('用語辞書'!B$1),FALSE),
IF(_xlpm.v=0,"",_xlpm.v)
),"")</f>
        <v/>
      </c>
      <c r="K637" s="17"/>
      <c r="L637" s="17" t="b">
        <f>IF(OR(COUNTIF('クラス'!$A$1:$A$1262,$B637)&gt;0,$B637="",$M637=""),"",True)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VLOOKUP($I638,'用語辞書'!$A:$B,COLUMN('用語辞書'!B$1),FALSE),
IF(_xlpm.v=0,"",_xlpm.v)
),"")</f>
        <v/>
      </c>
      <c r="K638" s="17"/>
      <c r="L638" s="17" t="str">
        <f>IF(OR(COUNTIF('クラス'!$A$1:$A$1262,$B638)&gt;0,$B638="",$M638=""),"",True)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VLOOKUP($I639,'用語辞書'!$A:$B,COLUMN('用語辞書'!B$1),FALSE),
IF(_xlpm.v=0,"",_xlpm.v)
),"")</f>
        <v/>
      </c>
      <c r="K639" s="17"/>
      <c r="L639" s="17" t="b">
        <f>IF(OR(COUNTIF('クラス'!$A$1:$A$1262,$B639)&gt;0,$B639="",$M639=""),"",True)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VLOOKUP($I640,'用語辞書'!$A:$B,COLUMN('用語辞書'!B$1),FALSE),
IF(_xlpm.v=0,"",_xlpm.v)
),"")</f>
        <v/>
      </c>
      <c r="K640" s="17"/>
      <c r="L640" s="17" t="str">
        <f>IF(OR(COUNTIF('クラス'!$A$1:$A$1262,$B640)&gt;0,$B640="",$M640=""),"",True)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VLOOKUP($I641,'用語辞書'!$A:$B,COLUMN('用語辞書'!B$1),FALSE),
IF(_xlpm.v=0,"",_xlpm.v)
),"")</f>
        <v/>
      </c>
      <c r="K641" s="17"/>
      <c r="L641" s="17" t="str">
        <f>IF(OR(COUNTIF('クラス'!$A$1:$A$1262,$B641)&gt;0,$B641="",$M641=""),"",True)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IF(OR(COUNTIF('クラス'!$A$1:$A$1262,$B642)&gt;0,$B642="",$M642=""),"",True)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IF(OR(COUNTIF('クラス'!$A$1:$A$1262,$B643)&gt;0,$B643="",$M643=""),"",True)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IF(OR(COUNTIF('クラス'!$A$1:$A$1262,$B644)&gt;0,$B644="",$M644=""),"",True)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IF(OR(COUNTIF('クラス'!$A$1:$A$1262,$B645)&gt;0,$B645="",$M645=""),"",True)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IF(OR(COUNTIF('クラス'!$A$1:$A$1262,$B646)&gt;0,$B646="",$M646=""),"",True)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IF(OR(COUNTIF('クラス'!$A$1:$A$1262,$B647)&gt;0,$B647="",$M647=""),"",True)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IF(OR(COUNTIF('クラス'!$A$1:$A$1262,$B648)&gt;0,$B648="",$M648=""),"",True)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IF(OR(COUNTIF('クラス'!$A$1:$A$1262,$B649)&gt;0,$B649="",$M649=""),"",True)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VLOOKUP($I650,'用語辞書'!$A:$B,COLUMN('用語辞書'!B$1),FALSE),
IF(_xlpm.v=0,"",_xlpm.v)
),"")</f>
        <v/>
      </c>
      <c r="K650" s="17"/>
      <c r="L650" s="17" t="str">
        <f>IF(OR(COUNTIF('クラス'!$A$1:$A$1262,$B650)&gt;0,$B650="",$M650=""),"",True)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VLOOKUP($I651,'用語辞書'!$A:$B,COLUMN('用語辞書'!B$1),FALSE),
IF(_xlpm.v=0,"",_xlpm.v)
),"")</f>
        <v/>
      </c>
      <c r="K651" s="17"/>
      <c r="L651" s="17" t="str">
        <f>IF(OR(COUNTIF('クラス'!$A$1:$A$1262,$B651)&gt;0,$B651="",$M651=""),"",True)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VLOOKUP($I652,'用語辞書'!$A:$B,COLUMN('用語辞書'!B$1),FALSE),
IF(_xlpm.v=0,"",_xlpm.v)
),"")</f>
        <v/>
      </c>
      <c r="K652" s="17"/>
      <c r="L652" s="17" t="str">
        <f>IF(OR(COUNTIF('クラス'!$A$1:$A$1262,$B652)&gt;0,$B652="",$M652=""),"",True)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VLOOKUP($I653,'用語辞書'!$A:$B,COLUMN('用語辞書'!B$1),FALSE),
IF(_xlpm.v=0,"",_xlpm.v)
),"")</f>
        <v/>
      </c>
      <c r="K653" s="17"/>
      <c r="L653" s="17" t="str">
        <f>IF(OR(COUNTIF('クラス'!$A$1:$A$1262,$B653)&gt;0,$B653="",$M653=""),"",True)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VLOOKUP($I654,'用語辞書'!$A:$B,COLUMN('用語辞書'!B$1),FALSE),
IF(_xlpm.v=0,"",_xlpm.v)
),"")</f>
        <v/>
      </c>
      <c r="K654" s="17"/>
      <c r="L654" s="17" t="str">
        <f>IF(OR(COUNTIF('クラス'!$A$1:$A$1262,$B654)&gt;0,$B654="",$M654=""),"",True)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VLOOKUP($I655,'用語辞書'!$A:$B,COLUMN('用語辞書'!B$1),FALSE),
IF(_xlpm.v=0,"",_xlpm.v)
),"")</f>
        <v/>
      </c>
      <c r="K655" s="17"/>
      <c r="L655" s="17" t="str">
        <f>IF(OR(COUNTIF('クラス'!$A$1:$A$1262,$B655)&gt;0,$B655="",$M655=""),"",True)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VLOOKUP($I656,'用語辞書'!$A:$B,COLUMN('用語辞書'!B$1),FALSE),
IF(_xlpm.v=0,"",_xlpm.v)
),"")</f>
        <v/>
      </c>
      <c r="K656" s="17"/>
      <c r="L656" s="17" t="str">
        <f>IF(OR(COUNTIF('クラス'!$A$1:$A$1262,$B656)&gt;0,$B656="",$M656=""),"",True)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VLOOKUP($I657,'用語辞書'!$A:$B,COLUMN('用語辞書'!B$1),FALSE),
IF(_xlpm.v=0,"",_xlpm.v)
),"")</f>
        <v/>
      </c>
      <c r="K657" s="17"/>
      <c r="L657" s="17" t="str">
        <f>IF(OR(COUNTIF('クラス'!$A$1:$A$1262,$B657)&gt;0,$B657="",$M657=""),"",True)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VLOOKUP($I658,'用語辞書'!$A:$B,COLUMN('用語辞書'!B$1),FALSE),
IF(_xlpm.v=0,"",_xlpm.v)
),"")</f>
        <v/>
      </c>
      <c r="K658" s="17"/>
      <c r="L658" s="17" t="str">
        <f>IF(OR(COUNTIF('クラス'!$A$1:$A$1262,$B658)&gt;0,$B658="",$M658=""),"",True)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VLOOKUP($I659,'用語辞書'!$A:$B,COLUMN('用語辞書'!B$1),FALSE),
IF(_xlpm.v=0,"",_xlpm.v)
),"")</f>
        <v/>
      </c>
      <c r="K659" s="17"/>
      <c r="L659" s="17" t="str">
        <f>IF(OR(COUNTIF('クラス'!$A$1:$A$1262,$B659)&gt;0,$B659="",$M659=""),"",True)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VLOOKUP($I660,'用語辞書'!$A:$B,COLUMN('用語辞書'!B$1),FALSE),
IF(_xlpm.v=0,"",_xlpm.v)
),"")</f>
        <v/>
      </c>
      <c r="K660" s="17"/>
      <c r="L660" s="17" t="str">
        <f>IF(OR(COUNTIF('クラス'!$A$1:$A$1262,$B660)&gt;0,$B660="",$M660=""),"",True)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VLOOKUP($I661,'用語辞書'!$A:$B,COLUMN('用語辞書'!B$1),FALSE),
IF(_xlpm.v=0,"",_xlpm.v)
),"")</f>
        <v/>
      </c>
      <c r="K661" s="17"/>
      <c r="L661" s="17" t="str">
        <f>IF(OR(COUNTIF('クラス'!$A$1:$A$1262,$B661)&gt;0,$B661="",$M661=""),"",True)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VLOOKUP($I662,'用語辞書'!$A:$B,COLUMN('用語辞書'!B$1),FALSE),
IF(_xlpm.v=0,"",_xlpm.v)
),"")</f>
        <v/>
      </c>
      <c r="K662" s="17"/>
      <c r="L662" s="17" t="str">
        <f>IF(OR(COUNTIF('クラス'!$A$1:$A$1262,$B662)&gt;0,$B662="",$M662=""),"",True)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VLOOKUP($I663,'用語辞書'!$A:$B,COLUMN('用語辞書'!B$1),FALSE),
IF(_xlpm.v=0,"",_xlpm.v)
),"")</f>
        <v/>
      </c>
      <c r="K663" s="17"/>
      <c r="L663" s="17" t="str">
        <f>IF(OR(COUNTIF('クラス'!$A$1:$A$1262,$B663)&gt;0,$B663="",$M663=""),"",True)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VLOOKUP($I664,'用語辞書'!$A:$B,COLUMN('用語辞書'!B$1),FALSE),
IF(_xlpm.v=0,"",_xlpm.v)
),"")</f>
        <v/>
      </c>
      <c r="K664" s="17"/>
      <c r="L664" s="17" t="str">
        <f>IF(OR(COUNTIF('クラス'!$A$1:$A$1262,$B664)&gt;0,$B664="",$M664=""),"",True)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VLOOKUP($I665,'用語辞書'!$A:$B,COLUMN('用語辞書'!B$1),FALSE),
IF(_xlpm.v=0,"",_xlpm.v)
),"")</f>
        <v/>
      </c>
      <c r="K665" s="17"/>
      <c r="L665" s="17" t="str">
        <f>IF(OR(COUNTIF('クラス'!$A$1:$A$1262,$B665)&gt;0,$B665="",$M665=""),"",True)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VLOOKUP($I666,'用語辞書'!$A:$B,COLUMN('用語辞書'!B$1),FALSE),
IF(_xlpm.v=0,"",_xlpm.v)
),"")</f>
        <v/>
      </c>
      <c r="K666" s="17"/>
      <c r="L666" s="17" t="str">
        <f>IF(OR(COUNTIF('クラス'!$A$1:$A$1262,$B666)&gt;0,$B666="",$M666=""),"",True)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VLOOKUP($I667,'用語辞書'!$A:$B,COLUMN('用語辞書'!B$1),FALSE),
IF(_xlpm.v=0,"",_xlpm.v)
),"")</f>
        <v/>
      </c>
      <c r="K667" s="17"/>
      <c r="L667" s="17" t="str">
        <f>IF(OR(COUNTIF('クラス'!$A$1:$A$1262,$B667)&gt;0,$B667="",$M667=""),"",True)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VLOOKUP($I668,'用語辞書'!$A:$B,COLUMN('用語辞書'!B$1),FALSE),
IF(_xlpm.v=0,"",_xlpm.v)
),"")</f>
        <v/>
      </c>
      <c r="K668" s="17"/>
      <c r="L668" s="17" t="str">
        <f>IF(OR(COUNTIF('クラス'!$A$1:$A$1262,$B668)&gt;0,$B668="",$M668=""),"",True)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VLOOKUP($I669,'用語辞書'!$A:$B,COLUMN('用語辞書'!B$1),FALSE),
IF(_xlpm.v=0,"",_xlpm.v)
),"")</f>
        <v/>
      </c>
      <c r="K669" s="17"/>
      <c r="L669" s="17" t="str">
        <f>IF(OR(COUNTIF('クラス'!$A$1:$A$1262,$B669)&gt;0,$B669="",$M669=""),"",True)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VLOOKUP($I670,'用語辞書'!$A:$B,COLUMN('用語辞書'!B$1),FALSE),
IF(_xlpm.v=0,"",_xlpm.v)
),"")</f>
        <v/>
      </c>
      <c r="K670" s="17"/>
      <c r="L670" s="17" t="str">
        <f>IF(OR(COUNTIF('クラス'!$A$1:$A$1262,$B670)&gt;0,$B670="",$M670=""),"",True)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VLOOKUP($I671,'用語辞書'!$A:$B,COLUMN('用語辞書'!B$1),FALSE),
IF(_xlpm.v=0,"",_xlpm.v)
),"")</f>
        <v/>
      </c>
      <c r="K671" s="17"/>
      <c r="L671" s="17" t="str">
        <f>IF(OR(COUNTIF('クラス'!$A$1:$A$1262,$B671)&gt;0,$B671="",$M671=""),"",True)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VLOOKUP($I672,'用語辞書'!$A:$B,COLUMN('用語辞書'!B$1),FALSE),
IF(_xlpm.v=0,"",_xlpm.v)
),"")</f>
        <v/>
      </c>
      <c r="K672" s="17"/>
      <c r="L672" s="17" t="str">
        <f>IF(OR(COUNTIF('クラス'!$A$1:$A$1262,$B672)&gt;0,$B672="",$M672=""),"",True)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VLOOKUP($I673,'用語辞書'!$A:$B,COLUMN('用語辞書'!B$1),FALSE),
IF(_xlpm.v=0,"",_xlpm.v)
),"")</f>
        <v/>
      </c>
      <c r="K673" s="17"/>
      <c r="L673" s="17" t="str">
        <f>IF(OR(COUNTIF('クラス'!$A$1:$A$1262,$B673)&gt;0,$B673="",$M673=""),"",True)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VLOOKUP($I674,'用語辞書'!$A:$B,COLUMN('用語辞書'!B$1),FALSE),
IF(_xlpm.v=0,"",_xlpm.v)
),"")</f>
        <v/>
      </c>
      <c r="K674" s="17"/>
      <c r="L674" s="17" t="str">
        <f>IF(OR(COUNTIF('クラス'!$A$1:$A$1262,$B674)&gt;0,$B674="",$M674=""),"",True)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VLOOKUP($I675,'用語辞書'!$A:$B,COLUMN('用語辞書'!B$1),FALSE),
IF(_xlpm.v=0,"",_xlpm.v)
),"")</f>
        <v/>
      </c>
      <c r="K675" s="17"/>
      <c r="L675" s="17" t="str">
        <f>IF(OR(COUNTIF('クラス'!$A$1:$A$1262,$B675)&gt;0,$B675="",$M675=""),"",True)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VLOOKUP($I676,'用語辞書'!$A:$B,COLUMN('用語辞書'!B$1),FALSE),
IF(_xlpm.v=0,"",_xlpm.v)
),"")</f>
        <v/>
      </c>
      <c r="K676" s="17"/>
      <c r="L676" s="17" t="str">
        <f>IF(OR(COUNTIF('クラス'!$A$1:$A$1262,$B676)&gt;0,$B676="",$M676=""),"",True)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VLOOKUP($I677,'用語辞書'!$A:$B,COLUMN('用語辞書'!B$1),FALSE),
IF(_xlpm.v=0,"",_xlpm.v)
),"")</f>
        <v/>
      </c>
      <c r="K677" s="17"/>
      <c r="L677" s="17" t="str">
        <f>IF(OR(COUNTIF('クラス'!$A$1:$A$1262,$B677)&gt;0,$B677="",$M677=""),"",True)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VLOOKUP($I678,'用語辞書'!$A:$B,COLUMN('用語辞書'!B$1),FALSE),
IF(_xlpm.v=0,"",_xlpm.v)
),"")</f>
        <v/>
      </c>
      <c r="K678" s="17"/>
      <c r="L678" s="17" t="str">
        <f>IF(OR(COUNTIF('クラス'!$A$1:$A$1262,$B678)&gt;0,$B678="",$M678=""),"",True)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VLOOKUP($I679,'用語辞書'!$A:$B,COLUMN('用語辞書'!B$1),FALSE),
IF(_xlpm.v=0,"",_xlpm.v)
),"")</f>
        <v/>
      </c>
      <c r="K679" s="17"/>
      <c r="L679" s="17" t="str">
        <f>IF(OR(COUNTIF('クラス'!$A$1:$A$1262,$B679)&gt;0,$B679="",$M679=""),"",True)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VLOOKUP($I680,'用語辞書'!$A:$B,COLUMN('用語辞書'!B$1),FALSE),
IF(_xlpm.v=0,"",_xlpm.v)
),"")</f>
        <v/>
      </c>
      <c r="K680" s="17"/>
      <c r="L680" s="17" t="str">
        <f>IF(OR(COUNTIF('クラス'!$A$1:$A$1262,$B680)&gt;0,$B680="",$M680=""),"",True)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VLOOKUP($I681,'用語辞書'!$A:$B,COLUMN('用語辞書'!B$1),FALSE),
IF(_xlpm.v=0,"",_xlpm.v)
),"")</f>
        <v/>
      </c>
      <c r="K681" s="17"/>
      <c r="L681" s="17" t="str">
        <f>IF(OR(COUNTIF('クラス'!$A$1:$A$1262,$B681)&gt;0,$B681="",$M681=""),"",True)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VLOOKUP($I682,'用語辞書'!$A:$B,COLUMN('用語辞書'!B$1),FALSE),
IF(_xlpm.v=0,"",_xlpm.v)
),"")</f>
        <v/>
      </c>
      <c r="K682" s="17"/>
      <c r="L682" s="17" t="str">
        <f>IF(OR(COUNTIF('クラス'!$A$1:$A$1262,$B682)&gt;0,$B682="",$M682=""),"",True)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VLOOKUP($I683,'用語辞書'!$A:$B,COLUMN('用語辞書'!B$1),FALSE),
IF(_xlpm.v=0,"",_xlpm.v)
),"")</f>
        <v/>
      </c>
      <c r="K683" s="17"/>
      <c r="L683" s="17" t="str">
        <f>IF(OR(COUNTIF('クラス'!$A$1:$A$1262,$B683)&gt;0,$B683="",$M683=""),"",True)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VLOOKUP($I684,'用語辞書'!$A:$B,COLUMN('用語辞書'!B$1),FALSE),
IF(_xlpm.v=0,"",_xlpm.v)
),"")</f>
        <v/>
      </c>
      <c r="K684" s="17"/>
      <c r="L684" s="17" t="str">
        <f>IF(OR(COUNTIF('クラス'!$A$1:$A$1262,$B684)&gt;0,$B684="",$M684=""),"",True)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VLOOKUP($I685,'用語辞書'!$A:$B,COLUMN('用語辞書'!B$1),FALSE),
IF(_xlpm.v=0,"",_xlpm.v)
),"")</f>
        <v/>
      </c>
      <c r="K685" s="17"/>
      <c r="L685" s="17" t="str">
        <f>IF(OR(COUNTIF('クラス'!$A$1:$A$1262,$B685)&gt;0,$B685="",$M685=""),"",True)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VLOOKUP($I686,'用語辞書'!$A:$B,COLUMN('用語辞書'!B$1),FALSE),
IF(_xlpm.v=0,"",_xlpm.v)
),"")</f>
        <v/>
      </c>
      <c r="K686" s="17"/>
      <c r="L686" s="17" t="str">
        <f>IF(OR(COUNTIF('クラス'!$A$1:$A$1262,$B686)&gt;0,$B686="",$M686=""),"",True)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VLOOKUP($I687,'用語辞書'!$A:$B,COLUMN('用語辞書'!B$1),FALSE),
IF(_xlpm.v=0,"",_xlpm.v)
),"")</f>
        <v/>
      </c>
      <c r="K687" s="17"/>
      <c r="L687" s="17" t="str">
        <f>IF(OR(COUNTIF('クラス'!$A$1:$A$1262,$B687)&gt;0,$B687="",$M687=""),"",True)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VLOOKUP($I688,'用語辞書'!$A:$B,COLUMN('用語辞書'!B$1),FALSE),
IF(_xlpm.v=0,"",_xlpm.v)
),"")</f>
        <v/>
      </c>
      <c r="K688" s="17"/>
      <c r="L688" s="17" t="str">
        <f>IF(OR(COUNTIF('クラス'!$A$1:$A$1262,$B688)&gt;0,$B688="",$M688=""),"",True)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VLOOKUP($I689,'用語辞書'!$A:$B,COLUMN('用語辞書'!B$1),FALSE),
IF(_xlpm.v=0,"",_xlpm.v)
),"")</f>
        <v/>
      </c>
      <c r="K689" s="17"/>
      <c r="L689" s="17" t="str">
        <f>IF(OR(COUNTIF('クラス'!$A$1:$A$1262,$B689)&gt;0,$B689="",$M689=""),"",True)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VLOOKUP($I690,'用語辞書'!$A:$B,COLUMN('用語辞書'!B$1),FALSE),
IF(_xlpm.v=0,"",_xlpm.v)
),"")</f>
        <v/>
      </c>
      <c r="K690" s="17"/>
      <c r="L690" s="17" t="str">
        <f>IF(OR(COUNTIF('クラス'!$A$1:$A$1262,$B690)&gt;0,$B690="",$M690=""),"",True)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VLOOKUP($I691,'用語辞書'!$A:$B,COLUMN('用語辞書'!B$1),FALSE),
IF(_xlpm.v=0,"",_xlpm.v)
),"")</f>
        <v/>
      </c>
      <c r="K691" s="17"/>
      <c r="L691" s="17" t="str">
        <f>IF(OR(COUNTIF('クラス'!$A$1:$A$1262,$B691)&gt;0,$B691="",$M691=""),"",True)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VLOOKUP($I692,'用語辞書'!$A:$B,COLUMN('用語辞書'!B$1),FALSE),
IF(_xlpm.v=0,"",_xlpm.v)
),"")</f>
        <v/>
      </c>
      <c r="K692" s="17"/>
      <c r="L692" s="17" t="str">
        <f>IF(OR(COUNTIF('クラス'!$A$1:$A$1262,$B692)&gt;0,$B692="",$M692=""),"",True)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VLOOKUP($I693,'用語辞書'!$A:$B,COLUMN('用語辞書'!B$1),FALSE),
IF(_xlpm.v=0,"",_xlpm.v)
),"")</f>
        <v/>
      </c>
      <c r="K693" s="17"/>
      <c r="L693" s="17" t="b">
        <f>IF(OR(COUNTIF('クラス'!$A$1:$A$1262,$B693)&gt;0,$B693="",$M693=""),"",True)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VLOOKUP($I694,'用語辞書'!$A:$B,COLUMN('用語辞書'!B$1),FALSE),
IF(_xlpm.v=0,"",_xlpm.v)
),"")</f>
        <v/>
      </c>
      <c r="K694" s="17"/>
      <c r="L694" s="17" t="str">
        <f>IF(OR(COUNTIF('クラス'!$A$1:$A$1262,$B694)&gt;0,$B694="",$M694=""),"",True)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VLOOKUP($I695,'用語辞書'!$A:$B,COLUMN('用語辞書'!B$1),FALSE),
IF(_xlpm.v=0,"",_xlpm.v)
),"")</f>
        <v/>
      </c>
      <c r="K695" s="17"/>
      <c r="L695" s="17" t="b">
        <f>IF(OR(COUNTIF('クラス'!$A$1:$A$1262,$B695)&gt;0,$B695="",$M695=""),"",True)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VLOOKUP($I696,'用語辞書'!$A:$B,COLUMN('用語辞書'!B$1),FALSE),
IF(_xlpm.v=0,"",_xlpm.v)
),"")</f>
        <v/>
      </c>
      <c r="K696" s="17"/>
      <c r="L696" s="17" t="str">
        <f>IF(OR(COUNTIF('クラス'!$A$1:$A$1262,$B696)&gt;0,$B696="",$M696=""),"",True)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VLOOKUP($I697,'用語辞書'!$A:$B,COLUMN('用語辞書'!B$1),FALSE),
IF(_xlpm.v=0,"",_xlpm.v)
),"")</f>
        <v/>
      </c>
      <c r="K697" s="17"/>
      <c r="L697" s="17" t="b">
        <f>IF(OR(COUNTIF('クラス'!$A$1:$A$1262,$B697)&gt;0,$B697="",$M697=""),"",True)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VLOOKUP($I698,'用語辞書'!$A:$B,COLUMN('用語辞書'!B$1),FALSE),
IF(_xlpm.v=0,"",_xlpm.v)
),"")</f>
        <v/>
      </c>
      <c r="K698" s="17"/>
      <c r="L698" s="17" t="str">
        <f>IF(OR(COUNTIF('クラス'!$A$1:$A$1262,$B698)&gt;0,$B698="",$M698=""),"",True)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VLOOKUP($I699,'用語辞書'!$A:$B,COLUMN('用語辞書'!B$1),FALSE),
IF(_xlpm.v=0,"",_xlpm.v)
),"")</f>
        <v/>
      </c>
      <c r="K699" s="17"/>
      <c r="L699" s="17" t="str">
        <f>IF(OR(COUNTIF('クラス'!$A$1:$A$1262,$B699)&gt;0,$B699="",$M699=""),"",True)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VLOOKUP($I700,'用語辞書'!$A:$B,COLUMN('用語辞書'!B$1),FALSE),
IF(_xlpm.v=0,"",_xlpm.v)
),"")</f>
        <v/>
      </c>
      <c r="K700" s="17"/>
      <c r="L700" s="17" t="b">
        <f>IF(OR(COUNTIF('クラス'!$A$1:$A$1262,$B700)&gt;0,$B700="",$M700=""),"",True)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VLOOKUP($I701,'用語辞書'!$A:$B,COLUMN('用語辞書'!B$1),FALSE),
IF(_xlpm.v=0,"",_xlpm.v)
),"")</f>
        <v/>
      </c>
      <c r="K701" s="17"/>
      <c r="L701" s="17" t="str">
        <f>IF(OR(COUNTIF('クラス'!$A$1:$A$1262,$B701)&gt;0,$B701="",$M701=""),"",True)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VLOOKUP($I702,'用語辞書'!$A:$B,COLUMN('用語辞書'!B$1),FALSE),
IF(_xlpm.v=0,"",_xlpm.v)
),"")</f>
        <v/>
      </c>
      <c r="K702" s="17"/>
      <c r="L702" s="17" t="str">
        <f>IF(OR(COUNTIF('クラス'!$A$1:$A$1262,$B702)&gt;0,$B702="",$M702=""),"",True)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VLOOKUP($I703,'用語辞書'!$A:$B,COLUMN('用語辞書'!B$1),FALSE),
IF(_xlpm.v=0,"",_xlpm.v)
),"")</f>
        <v/>
      </c>
      <c r="K703" s="17"/>
      <c r="L703" s="17" t="str">
        <f>IF(OR(COUNTIF('クラス'!$A$1:$A$1262,$B703)&gt;0,$B703="",$M703=""),"",True)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VLOOKUP($I704,'用語辞書'!$A:$B,COLUMN('用語辞書'!B$1),FALSE),
IF(_xlpm.v=0,"",_xlpm.v)
),"")</f>
        <v/>
      </c>
      <c r="K704" s="17"/>
      <c r="L704" s="17" t="str">
        <f>IF(OR(COUNTIF('クラス'!$A$1:$A$1262,$B704)&gt;0,$B704="",$M704=""),"",True)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VLOOKUP($I705,'用語辞書'!$A:$B,COLUMN('用語辞書'!B$1),FALSE),
IF(_xlpm.v=0,"",_xlpm.v)
),"")</f>
        <v/>
      </c>
      <c r="K705" s="17"/>
      <c r="L705" s="17" t="str">
        <f>IF(OR(COUNTIF('クラス'!$A$1:$A$1262,$B705)&gt;0,$B705="",$M705=""),"",True)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VLOOKUP($I706,'用語辞書'!$A:$B,COLUMN('用語辞書'!B$1),FALSE),
IF(_xlpm.v=0,"",_xlpm.v)
),"")</f>
        <v/>
      </c>
      <c r="K706" s="17"/>
      <c r="L706" s="17" t="str">
        <f>IF(OR(COUNTIF('クラス'!$A$1:$A$1262,$B706)&gt;0,$B706="",$M706=""),"",True)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VLOOKUP($I707,'用語辞書'!$A:$B,COLUMN('用語辞書'!B$1),FALSE),
IF(_xlpm.v=0,"",_xlpm.v)
),"")</f>
        <v/>
      </c>
      <c r="K707" s="17"/>
      <c r="L707" s="17" t="str">
        <f>IF(OR(COUNTIF('クラス'!$A$1:$A$1262,$B707)&gt;0,$B707="",$M707=""),"",True)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VLOOKUP($I708,'用語辞書'!$A:$B,COLUMN('用語辞書'!B$1),FALSE),
IF(_xlpm.v=0,"",_xlpm.v)
),"")</f>
        <v/>
      </c>
      <c r="K708" s="17"/>
      <c r="L708" s="17" t="b">
        <f>IF(OR(COUNTIF('クラス'!$A$1:$A$1262,$B708)&gt;0,$B708="",$M708=""),"",True)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VLOOKUP($I709,'用語辞書'!$A:$B,COLUMN('用語辞書'!B$1),FALSE),
IF(_xlpm.v=0,"",_xlpm.v)
),"")</f>
        <v/>
      </c>
      <c r="K709" s="17"/>
      <c r="L709" s="17" t="str">
        <f>IF(OR(COUNTIF('クラス'!$A$1:$A$1262,$B709)&gt;0,$B709="",$M709=""),"",True)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VLOOKUP($I710,'用語辞書'!$A:$B,COLUMN('用語辞書'!B$1),FALSE),
IF(_xlpm.v=0,"",_xlpm.v)
),"")</f>
        <v>攻撃・命中・士気などが低下する状態</v>
      </c>
      <c r="K710" s="17"/>
      <c r="L710" s="17" t="b">
        <f>IF(OR(COUNTIF('クラス'!$A$1:$A$1262,$B710)&gt;0,$B710="",$M710=""),"",True)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VLOOKUP($I711,'用語辞書'!$A:$B,COLUMN('用語辞書'!B$1),FALSE),
IF(_xlpm.v=0,"",_xlpm.v)
),"")</f>
        <v/>
      </c>
      <c r="K711" s="17"/>
      <c r="L711" s="17" t="str">
        <f>IF(OR(COUNTIF('クラス'!$A$1:$A$1262,$B711)&gt;0,$B711="",$M711=""),"",True)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VLOOKUP($I712,'用語辞書'!$A:$B,COLUMN('用語辞書'!B$1),FALSE),
IF(_xlpm.v=0,"",_xlpm.v)
),"")</f>
        <v/>
      </c>
      <c r="K712" s="17"/>
      <c r="L712" s="17" t="str">
        <f>IF(OR(COUNTIF('クラス'!$A$1:$A$1262,$B712)&gt;0,$B712="",$M712=""),"",True)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VLOOKUP($I713,'用語辞書'!$A:$B,COLUMN('用語辞書'!B$1),FALSE),
IF(_xlpm.v=0,"",_xlpm.v)
),"")</f>
        <v/>
      </c>
      <c r="K713" s="17"/>
      <c r="L713" s="17" t="b">
        <f>IF(OR(COUNTIF('クラス'!$A$1:$A$1262,$B713)&gt;0,$B713="",$M713=""),"",True)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VLOOKUP($I714,'用語辞書'!$A:$B,COLUMN('用語辞書'!B$1),FALSE),
IF(_xlpm.v=0,"",_xlpm.v)
),"")</f>
        <v/>
      </c>
      <c r="K714" s="17"/>
      <c r="L714" s="17" t="str">
        <f>IF(OR(COUNTIF('クラス'!$A$1:$A$1262,$B714)&gt;0,$B714="",$M714=""),"",True)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VLOOKUP($I715,'用語辞書'!$A:$B,COLUMN('用語辞書'!B$1),FALSE),
IF(_xlpm.v=0,"",_xlpm.v)
),"")</f>
        <v/>
      </c>
      <c r="K715" s="17"/>
      <c r="L715" s="17" t="str">
        <f>IF(OR(COUNTIF('クラス'!$A$1:$A$1262,$B715)&gt;0,$B715="",$M715=""),"",True)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VLOOKUP($I716,'用語辞書'!$A:$B,COLUMN('用語辞書'!B$1),FALSE),
IF(_xlpm.v=0,"",_xlpm.v)
),"")</f>
        <v/>
      </c>
      <c r="K716" s="17"/>
      <c r="L716" s="17" t="str">
        <f>IF(OR(COUNTIF('クラス'!$A$1:$A$1262,$B716)&gt;0,$B716="",$M716=""),"",True)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VLOOKUP($I717,'用語辞書'!$A:$B,COLUMN('用語辞書'!B$1),FALSE),
IF(_xlpm.v=0,"",_xlpm.v)
),"")</f>
        <v/>
      </c>
      <c r="K717" s="17"/>
      <c r="L717" s="17" t="b">
        <f>IF(OR(COUNTIF('クラス'!$A$1:$A$1262,$B717)&gt;0,$B717="",$M717=""),"",True)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VLOOKUP($I718,'用語辞書'!$A:$B,COLUMN('用語辞書'!B$1),FALSE),
IF(_xlpm.v=0,"",_xlpm.v)
),"")</f>
        <v/>
      </c>
      <c r="K718" s="17"/>
      <c r="L718" s="17" t="str">
        <f>IF(OR(COUNTIF('クラス'!$A$1:$A$1262,$B718)&gt;0,$B718="",$M718=""),"",True)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VLOOKUP($I719,'用語辞書'!$A:$B,COLUMN('用語辞書'!B$1),FALSE),
IF(_xlpm.v=0,"",_xlpm.v)
),"")</f>
        <v/>
      </c>
      <c r="K719" s="17"/>
      <c r="L719" s="17" t="b">
        <f>IF(OR(COUNTIF('クラス'!$A$1:$A$1262,$B719)&gt;0,$B719="",$M719=""),"",True)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VLOOKUP($I720,'用語辞書'!$A:$B,COLUMN('用語辞書'!B$1),FALSE),
IF(_xlpm.v=0,"",_xlpm.v)
),"")</f>
        <v/>
      </c>
      <c r="K720" s="17"/>
      <c r="L720" s="17" t="str">
        <f>IF(OR(COUNTIF('クラス'!$A$1:$A$1262,$B720)&gt;0,$B720="",$M720=""),"",True)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VLOOKUP($I721,'用語辞書'!$A:$B,COLUMN('用語辞書'!B$1),FALSE),
IF(_xlpm.v=0,"",_xlpm.v)
),"")</f>
        <v/>
      </c>
      <c r="K721" s="17"/>
      <c r="L721" s="17" t="b">
        <f>IF(OR(COUNTIF('クラス'!$A$1:$A$1262,$B721)&gt;0,$B721="",$M721=""),"",True)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VLOOKUP($I722,'用語辞書'!$A:$B,COLUMN('用語辞書'!B$1),FALSE),
IF(_xlpm.v=0,"",_xlpm.v)
),"")</f>
        <v/>
      </c>
      <c r="K722" s="17"/>
      <c r="L722" s="17" t="str">
        <f>IF(OR(COUNTIF('クラス'!$A$1:$A$1262,$B722)&gt;0,$B722="",$M722=""),"",True)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VLOOKUP($I723,'用語辞書'!$A:$B,COLUMN('用語辞書'!B$1),FALSE),
IF(_xlpm.v=0,"",_xlpm.v)
),"")</f>
        <v>攻撃・命中・士気などが低下する状態</v>
      </c>
      <c r="K723" s="17"/>
      <c r="L723" s="17" t="b">
        <f>IF(OR(COUNTIF('クラス'!$A$1:$A$1262,$B723)&gt;0,$B723="",$M723=""),"",True)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VLOOKUP($I724,'用語辞書'!$A:$B,COLUMN('用語辞書'!B$1),FALSE),
IF(_xlpm.v=0,"",_xlpm.v)
),"")</f>
        <v/>
      </c>
      <c r="K724" s="17"/>
      <c r="L724" s="17" t="str">
        <f>IF(OR(COUNTIF('クラス'!$A$1:$A$1262,$B724)&gt;0,$B724="",$M724=""),"",True)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VLOOKUP($I725,'用語辞書'!$A:$B,COLUMN('用語辞書'!B$1),FALSE),
IF(_xlpm.v=0,"",_xlpm.v)
),"")</f>
        <v/>
      </c>
      <c r="K725" s="17"/>
      <c r="L725" s="17" t="b">
        <f>IF(OR(COUNTIF('クラス'!$A$1:$A$1262,$B725)&gt;0,$B725="",$M725=""),"",True)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VLOOKUP($I726,'用語辞書'!$A:$B,COLUMN('用語辞書'!B$1),FALSE),
IF(_xlpm.v=0,"",_xlpm.v)
),"")</f>
        <v/>
      </c>
      <c r="K726" s="17"/>
      <c r="L726" s="17" t="b">
        <f>IF(OR(COUNTIF('クラス'!$A$1:$A$1262,$B726)&gt;0,$B726="",$M726=""),"",True)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VLOOKUP($I727,'用語辞書'!$A:$B,COLUMN('用語辞書'!B$1),FALSE),
IF(_xlpm.v=0,"",_xlpm.v)
),"")</f>
        <v/>
      </c>
      <c r="K727" s="17"/>
      <c r="L727" s="17" t="str">
        <f>IF(OR(COUNTIF('クラス'!$A$1:$A$1262,$B727)&gt;0,$B727="",$M727=""),"",True)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VLOOKUP($I728,'用語辞書'!$A:$B,COLUMN('用語辞書'!B$1),FALSE),
IF(_xlpm.v=0,"",_xlpm.v)
),"")</f>
        <v/>
      </c>
      <c r="K728" s="17"/>
      <c r="L728" s="17" t="str">
        <f>IF(OR(COUNTIF('クラス'!$A$1:$A$1262,$B728)&gt;0,$B728="",$M728=""),"",True)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VLOOKUP($I729,'用語辞書'!$A:$B,COLUMN('用語辞書'!B$1),FALSE),
IF(_xlpm.v=0,"",_xlpm.v)
),"")</f>
        <v/>
      </c>
      <c r="K729" s="17"/>
      <c r="L729" s="17" t="str">
        <f>IF(OR(COUNTIF('クラス'!$A$1:$A$1262,$B729)&gt;0,$B729="",$M729=""),"",True)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VLOOKUP($I730,'用語辞書'!$A:$B,COLUMN('用語辞書'!B$1),FALSE),
IF(_xlpm.v=0,"",_xlpm.v)
),"")</f>
        <v/>
      </c>
      <c r="K730" s="17"/>
      <c r="L730" s="17" t="b">
        <f>IF(OR(COUNTIF('クラス'!$A$1:$A$1262,$B730)&gt;0,$B730="",$M730=""),"",True)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VLOOKUP($I731,'用語辞書'!$A:$B,COLUMN('用語辞書'!B$1),FALSE),
IF(_xlpm.v=0,"",_xlpm.v)
),"")</f>
        <v/>
      </c>
      <c r="K731" s="17"/>
      <c r="L731" s="17" t="str">
        <f>IF(OR(COUNTIF('クラス'!$A$1:$A$1262,$B731)&gt;0,$B731="",$M731=""),"",True)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VLOOKUP($I732,'用語辞書'!$A:$B,COLUMN('用語辞書'!B$1),FALSE),
IF(_xlpm.v=0,"",_xlpm.v)
),"")</f>
        <v/>
      </c>
      <c r="K732" s="17"/>
      <c r="L732" s="17" t="b">
        <f>IF(OR(COUNTIF('クラス'!$A$1:$A$1262,$B732)&gt;0,$B732="",$M732=""),"",True)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VLOOKUP($I733,'用語辞書'!$A:$B,COLUMN('用語辞書'!B$1),FALSE),
IF(_xlpm.v=0,"",_xlpm.v)
),"")</f>
        <v/>
      </c>
      <c r="K733" s="17"/>
      <c r="L733" s="17" t="str">
        <f>IF(OR(COUNTIF('クラス'!$A$1:$A$1262,$B733)&gt;0,$B733="",$M733=""),"",True)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VLOOKUP($I734,'用語辞書'!$A:$B,COLUMN('用語辞書'!B$1),FALSE),
IF(_xlpm.v=0,"",_xlpm.v)
),"")</f>
        <v/>
      </c>
      <c r="K734" s="17"/>
      <c r="L734" s="17" t="b">
        <f>IF(OR(COUNTIF('クラス'!$A$1:$A$1262,$B734)&gt;0,$B734="",$M734=""),"",True)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VLOOKUP($I735,'用語辞書'!$A:$B,COLUMN('用語辞書'!B$1),FALSE),
IF(_xlpm.v=0,"",_xlpm.v)
),"")</f>
        <v/>
      </c>
      <c r="K735" s="17"/>
      <c r="L735" s="17" t="str">
        <f>IF(OR(COUNTIF('クラス'!$A$1:$A$1262,$B735)&gt;0,$B735="",$M735=""),"",True)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VLOOKUP($I736,'用語辞書'!$A:$B,COLUMN('用語辞書'!B$1),FALSE),
IF(_xlpm.v=0,"",_xlpm.v)
),"")</f>
        <v/>
      </c>
      <c r="K736" s="17"/>
      <c r="L736" s="17" t="b">
        <f>IF(OR(COUNTIF('クラス'!$A$1:$A$1262,$B736)&gt;0,$B736="",$M736=""),"",True)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VLOOKUP($I737,'用語辞書'!$A:$B,COLUMN('用語辞書'!B$1),FALSE),
IF(_xlpm.v=0,"",_xlpm.v)
),"")</f>
        <v/>
      </c>
      <c r="K737" s="17"/>
      <c r="L737" s="17" t="str">
        <f>IF(OR(COUNTIF('クラス'!$A$1:$A$1262,$B737)&gt;0,$B737="",$M737=""),"",True)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VLOOKUP($I738,'用語辞書'!$A:$B,COLUMN('用語辞書'!B$1),FALSE),
IF(_xlpm.v=0,"",_xlpm.v)
),"")</f>
        <v>対象を後方へ移動させる</v>
      </c>
      <c r="K738" s="17"/>
      <c r="L738" s="17" t="b">
        <f>IF(OR(COUNTIF('クラス'!$A$1:$A$1262,$B738)&gt;0,$B738="",$M738=""),"",True)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VLOOKUP($I739,'用語辞書'!$A:$B,COLUMN('用語辞書'!B$1),FALSE),
IF(_xlpm.v=0,"",_xlpm.v)
),"")</f>
        <v/>
      </c>
      <c r="K739" s="17"/>
      <c r="L739" s="17" t="b">
        <f>IF(OR(COUNTIF('クラス'!$A$1:$A$1262,$B739)&gt;0,$B739="",$M739=""),"",True)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VLOOKUP($I740,'用語辞書'!$A:$B,COLUMN('用語辞書'!B$1),FALSE),
IF(_xlpm.v=0,"",_xlpm.v)
),"")</f>
        <v/>
      </c>
      <c r="K740" s="17"/>
      <c r="L740" s="17" t="str">
        <f>IF(OR(COUNTIF('クラス'!$A$1:$A$1262,$B740)&gt;0,$B740="",$M740=""),"",True)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VLOOKUP($I741,'用語辞書'!$A:$B,COLUMN('用語辞書'!B$1),FALSE),
IF(_xlpm.v=0,"",_xlpm.v)
),"")</f>
        <v/>
      </c>
      <c r="K741" s="17"/>
      <c r="L741" s="17" t="str">
        <f>IF(OR(COUNTIF('クラス'!$A$1:$A$1262,$B741)&gt;0,$B741="",$M741=""),"",True)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VLOOKUP($I742,'用語辞書'!$A:$B,COLUMN('用語辞書'!B$1),FALSE),
IF(_xlpm.v=0,"",_xlpm.v)
),"")</f>
        <v/>
      </c>
      <c r="K742" s="17"/>
      <c r="L742" s="17" t="str">
        <f>IF(OR(COUNTIF('クラス'!$A$1:$A$1262,$B742)&gt;0,$B742="",$M742=""),"",True)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VLOOKUP($I743,'用語辞書'!$A:$B,COLUMN('用語辞書'!B$1),FALSE),
IF(_xlpm.v=0,"",_xlpm.v)
),"")</f>
        <v/>
      </c>
      <c r="K743" s="17"/>
      <c r="L743" s="17" t="b">
        <f>IF(OR(COUNTIF('クラス'!$A$1:$A$1262,$B743)&gt;0,$B743="",$M743=""),"",True)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VLOOKUP($I744,'用語辞書'!$A:$B,COLUMN('用語辞書'!B$1),FALSE),
IF(_xlpm.v=0,"",_xlpm.v)
),"")</f>
        <v/>
      </c>
      <c r="K744" s="17"/>
      <c r="L744" s="17" t="str">
        <f>IF(OR(COUNTIF('クラス'!$A$1:$A$1262,$B744)&gt;0,$B744="",$M744=""),"",True)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VLOOKUP($I745,'用語辞書'!$A:$B,COLUMN('用語辞書'!B$1),FALSE),
IF(_xlpm.v=0,"",_xlpm.v)
),"")</f>
        <v/>
      </c>
      <c r="K745" s="17"/>
      <c r="L745" s="17" t="b">
        <f>IF(OR(COUNTIF('クラス'!$A$1:$A$1262,$B745)&gt;0,$B745="",$M745=""),"",True)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VLOOKUP($I746,'用語辞書'!$A:$B,COLUMN('用語辞書'!B$1),FALSE),
IF(_xlpm.v=0,"",_xlpm.v)
),"")</f>
        <v/>
      </c>
      <c r="K746" s="17"/>
      <c r="L746" s="17" t="str">
        <f>IF(OR(COUNTIF('クラス'!$A$1:$A$1262,$B746)&gt;0,$B746="",$M746=""),"",True)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VLOOKUP($I747,'用語辞書'!$A:$B,COLUMN('用語辞書'!B$1),FALSE),
IF(_xlpm.v=0,"",_xlpm.v)
),"")</f>
        <v/>
      </c>
      <c r="K747" s="17"/>
      <c r="L747" s="17" t="b">
        <f>IF(OR(COUNTIF('クラス'!$A$1:$A$1262,$B747)&gt;0,$B747="",$M747=""),"",True)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VLOOKUP($I748,'用語辞書'!$A:$B,COLUMN('用語辞書'!B$1),FALSE),
IF(_xlpm.v=0,"",_xlpm.v)
),"")</f>
        <v/>
      </c>
      <c r="K748" s="17"/>
      <c r="L748" s="17" t="str">
        <f>IF(OR(COUNTIF('クラス'!$A$1:$A$1262,$B748)&gt;0,$B748="",$M748=""),"",True)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VLOOKUP($I749,'用語辞書'!$A:$B,COLUMN('用語辞書'!B$1),FALSE),
IF(_xlpm.v=0,"",_xlpm.v)
),"")</f>
        <v/>
      </c>
      <c r="K749" s="17"/>
      <c r="L749" s="17" t="b">
        <f>IF(OR(COUNTIF('クラス'!$A$1:$A$1262,$B749)&gt;0,$B749="",$M749=""),"",True)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VLOOKUP($I750,'用語辞書'!$A:$B,COLUMN('用語辞書'!B$1),FALSE),
IF(_xlpm.v=0,"",_xlpm.v)
),"")</f>
        <v/>
      </c>
      <c r="K750" s="17"/>
      <c r="L750" s="17" t="str">
        <f>IF(OR(COUNTIF('クラス'!$A$1:$A$1262,$B750)&gt;0,$B750="",$M750=""),"",True)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VLOOKUP($I751,'用語辞書'!$A:$B,COLUMN('用語辞書'!B$1),FALSE),
IF(_xlpm.v=0,"",_xlpm.v)
),"")</f>
        <v/>
      </c>
      <c r="K751" s="17"/>
      <c r="L751" s="17" t="b">
        <f>IF(OR(COUNTIF('クラス'!$A$1:$A$1262,$B751)&gt;0,$B751="",$M751=""),"",True)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VLOOKUP($I752,'用語辞書'!$A:$B,COLUMN('用語辞書'!B$1),FALSE),
IF(_xlpm.v=0,"",_xlpm.v)
),"")</f>
        <v/>
      </c>
      <c r="K752" s="17"/>
      <c r="L752" s="17" t="b">
        <f>IF(OR(COUNTIF('クラス'!$A$1:$A$1262,$B752)&gt;0,$B752="",$M752=""),"",True)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VLOOKUP($I753,'用語辞書'!$A:$B,COLUMN('用語辞書'!B$1),FALSE),
IF(_xlpm.v=0,"",_xlpm.v)
),"")</f>
        <v/>
      </c>
      <c r="K753" s="17"/>
      <c r="L753" s="17" t="str">
        <f>IF(OR(COUNTIF('クラス'!$A$1:$A$1262,$B753)&gt;0,$B753="",$M753=""),"",True)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VLOOKUP($I754,'用語辞書'!$A:$B,COLUMN('用語辞書'!B$1),FALSE),
IF(_xlpm.v=0,"",_xlpm.v)
),"")</f>
        <v/>
      </c>
      <c r="K754" s="17"/>
      <c r="L754" s="17" t="b">
        <f>IF(OR(COUNTIF('クラス'!$A$1:$A$1262,$B754)&gt;0,$B754="",$M754=""),"",True)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VLOOKUP($I755,'用語辞書'!$A:$B,COLUMN('用語辞書'!B$1),FALSE),
IF(_xlpm.v=0,"",_xlpm.v)
),"")</f>
        <v/>
      </c>
      <c r="K755" s="17"/>
      <c r="L755" s="17" t="str">
        <f>IF(OR(COUNTIF('クラス'!$A$1:$A$1262,$B755)&gt;0,$B755="",$M755=""),"",True)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VLOOKUP($I756,'用語辞書'!$A:$B,COLUMN('用語辞書'!B$1),FALSE),
IF(_xlpm.v=0,"",_xlpm.v)
),"")</f>
        <v/>
      </c>
      <c r="K756" s="17"/>
      <c r="L756" s="17" t="b">
        <f>IF(OR(COUNTIF('クラス'!$A$1:$A$1262,$B756)&gt;0,$B756="",$M756=""),"",True)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VLOOKUP($I757,'用語辞書'!$A:$B,COLUMN('用語辞書'!B$1),FALSE),
IF(_xlpm.v=0,"",_xlpm.v)
),"")</f>
        <v/>
      </c>
      <c r="K757" s="17"/>
      <c r="L757" s="17" t="str">
        <f>IF(OR(COUNTIF('クラス'!$A$1:$A$1262,$B757)&gt;0,$B757="",$M757=""),"",True)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VLOOKUP($I758,'用語辞書'!$A:$B,COLUMN('用語辞書'!B$1),FALSE),
IF(_xlpm.v=0,"",_xlpm.v)
),"")</f>
        <v/>
      </c>
      <c r="K758" s="17"/>
      <c r="L758" s="17" t="b">
        <f>IF(OR(COUNTIF('クラス'!$A$1:$A$1262,$B758)&gt;0,$B758="",$M758=""),"",True)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VLOOKUP($I759,'用語辞書'!$A:$B,COLUMN('用語辞書'!B$1),FALSE),
IF(_xlpm.v=0,"",_xlpm.v)
),"")</f>
        <v/>
      </c>
      <c r="K759" s="17"/>
      <c r="L759" s="17" t="str">
        <f>IF(OR(COUNTIF('クラス'!$A$1:$A$1262,$B759)&gt;0,$B759="",$M759=""),"",True)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VLOOKUP($I760,'用語辞書'!$A:$B,COLUMN('用語辞書'!B$1),FALSE),
IF(_xlpm.v=0,"",_xlpm.v)
),"")</f>
        <v/>
      </c>
      <c r="K760" s="17"/>
      <c r="L760" s="17" t="b">
        <f>IF(OR(COUNTIF('クラス'!$A$1:$A$1262,$B760)&gt;0,$B760="",$M760=""),"",True)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VLOOKUP($I761,'用語辞書'!$A:$B,COLUMN('用語辞書'!B$1),FALSE),
IF(_xlpm.v=0,"",_xlpm.v)
),"")</f>
        <v/>
      </c>
      <c r="K761" s="17"/>
      <c r="L761" s="17" t="str">
        <f>IF(OR(COUNTIF('クラス'!$A$1:$A$1262,$B761)&gt;0,$B761="",$M761=""),"",True)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VLOOKUP($I762,'用語辞書'!$A:$B,COLUMN('用語辞書'!B$1),FALSE),
IF(_xlpm.v=0,"",_xlpm.v)
),"")</f>
        <v/>
      </c>
      <c r="K762" s="17"/>
      <c r="L762" s="17" t="b">
        <f>IF(OR(COUNTIF('クラス'!$A$1:$A$1262,$B762)&gt;0,$B762="",$M762=""),"",True)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VLOOKUP($I763,'用語辞書'!$A:$B,COLUMN('用語辞書'!B$1),FALSE),
IF(_xlpm.v=0,"",_xlpm.v)
),"")</f>
        <v/>
      </c>
      <c r="K763" s="17"/>
      <c r="L763" s="17" t="b">
        <f>IF(OR(COUNTIF('クラス'!$A$1:$A$1262,$B763)&gt;0,$B763="",$M763=""),"",True)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VLOOKUP($I764,'用語辞書'!$A:$B,COLUMN('用語辞書'!B$1),FALSE),
IF(_xlpm.v=0,"",_xlpm.v)
),"")</f>
        <v/>
      </c>
      <c r="K764" s="17"/>
      <c r="L764" s="17" t="str">
        <f>IF(OR(COUNTIF('クラス'!$A$1:$A$1262,$B764)&gt;0,$B764="",$M764=""),"",True)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VLOOKUP($I765,'用語辞書'!$A:$B,COLUMN('用語辞書'!B$1),FALSE),
IF(_xlpm.v=0,"",_xlpm.v)
),"")</f>
        <v/>
      </c>
      <c r="K765" s="17"/>
      <c r="L765" s="17" t="str">
        <f>IF(OR(COUNTIF('クラス'!$A$1:$A$1262,$B765)&gt;0,$B765="",$M765=""),"",True)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VLOOKUP($I766,'用語辞書'!$A:$B,COLUMN('用語辞書'!B$1),FALSE),
IF(_xlpm.v=0,"",_xlpm.v)
),"")</f>
        <v/>
      </c>
      <c r="K766" s="17"/>
      <c r="L766" s="17" t="str">
        <f>IF(OR(COUNTIF('クラス'!$A$1:$A$1262,$B766)&gt;0,$B766="",$M766=""),"",True)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VLOOKUP($I767,'用語辞書'!$A:$B,COLUMN('用語辞書'!B$1),FALSE),
IF(_xlpm.v=0,"",_xlpm.v)
),"")</f>
        <v/>
      </c>
      <c r="K767" s="17"/>
      <c r="L767" s="17" t="str">
        <f>IF(OR(COUNTIF('クラス'!$A$1:$A$1262,$B767)&gt;0,$B767="",$M767=""),"",True)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VLOOKUP($I768,'用語辞書'!$A:$B,COLUMN('用語辞書'!B$1),FALSE),
IF(_xlpm.v=0,"",_xlpm.v)
),"")</f>
        <v/>
      </c>
      <c r="K768" s="17"/>
      <c r="L768" s="17" t="str">
        <f>IF(OR(COUNTIF('クラス'!$A$1:$A$1262,$B768)&gt;0,$B768="",$M768=""),"",True)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VLOOKUP($I769,'用語辞書'!$A:$B,COLUMN('用語辞書'!B$1),FALSE),
IF(_xlpm.v=0,"",_xlpm.v)
),"")</f>
        <v/>
      </c>
      <c r="K769" s="17"/>
      <c r="L769" s="17" t="b">
        <f>IF(OR(COUNTIF('クラス'!$A$1:$A$1262,$B769)&gt;0,$B769="",$M769=""),"",True)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VLOOKUP($I770,'用語辞書'!$A:$B,COLUMN('用語辞書'!B$1),FALSE),
IF(_xlpm.v=0,"",_xlpm.v)
),"")</f>
        <v/>
      </c>
      <c r="K770" s="17"/>
      <c r="L770" s="17" t="str">
        <f>IF(OR(COUNTIF('クラス'!$A$1:$A$1262,$B770)&gt;0,$B770="",$M770=""),"",True)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VLOOKUP($I771,'用語辞書'!$A:$B,COLUMN('用語辞書'!B$1),FALSE),
IF(_xlpm.v=0,"",_xlpm.v)
),"")</f>
        <v/>
      </c>
      <c r="K771" s="17"/>
      <c r="L771" s="17" t="str">
        <f>IF(OR(COUNTIF('クラス'!$A$1:$A$1262,$B771)&gt;0,$B771="",$M771=""),"",True)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VLOOKUP($I772,'用語辞書'!$A:$B,COLUMN('用語辞書'!B$1),FALSE),
IF(_xlpm.v=0,"",_xlpm.v)
),"")</f>
        <v/>
      </c>
      <c r="K772" s="17"/>
      <c r="L772" s="17" t="b">
        <f>IF(OR(COUNTIF('クラス'!$A$1:$A$1262,$B772)&gt;0,$B772="",$M772=""),"",True)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VLOOKUP($I773,'用語辞書'!$A:$B,COLUMN('用語辞書'!B$1),FALSE),
IF(_xlpm.v=0,"",_xlpm.v)
),"")</f>
        <v/>
      </c>
      <c r="K773" s="17"/>
      <c r="L773" s="17" t="b">
        <f>IF(OR(COUNTIF('クラス'!$A$1:$A$1262,$B773)&gt;0,$B773="",$M773=""),"",True)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VLOOKUP($I774,'用語辞書'!$A:$B,COLUMN('用語辞書'!B$1),FALSE),
IF(_xlpm.v=0,"",_xlpm.v)
),"")</f>
        <v/>
      </c>
      <c r="K774" s="17"/>
      <c r="L774" s="17" t="b">
        <f>IF(OR(COUNTIF('クラス'!$A$1:$A$1262,$B774)&gt;0,$B774="",$M774=""),"",True)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VLOOKUP($I775,'用語辞書'!$A:$B,COLUMN('用語辞書'!B$1),FALSE),
IF(_xlpm.v=0,"",_xlpm.v)
),"")</f>
        <v/>
      </c>
      <c r="K775" s="17"/>
      <c r="L775" s="17" t="str">
        <f>IF(OR(COUNTIF('クラス'!$A$1:$A$1262,$B775)&gt;0,$B775="",$M775=""),"",True)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VLOOKUP($I776,'用語辞書'!$A:$B,COLUMN('用語辞書'!B$1),FALSE),
IF(_xlpm.v=0,"",_xlpm.v)
),"")</f>
        <v/>
      </c>
      <c r="K776" s="17"/>
      <c r="L776" s="17" t="b">
        <f>IF(OR(COUNTIF('クラス'!$A$1:$A$1262,$B776)&gt;0,$B776="",$M776=""),"",True)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100.0</v>
      </c>
      <c r="H777" s="22" t="s">
        <v>1294</v>
      </c>
      <c r="I777" s="7"/>
      <c r="J777" s="7" t="str">
        <f>IFERROR(LET(_xlpm.v,
VLOOKUP($I777,'用語辞書'!$A:$B,COLUMN('用語辞書'!B$1),FALSE),
IF(_xlpm.v=0,"",_xlpm.v)
),"")</f>
        <v/>
      </c>
      <c r="K777" s="17"/>
      <c r="L777" s="17" t="b">
        <f>IF(OR(COUNTIF('クラス'!$A$1:$A$1262,$B777)&gt;0,$B777="",$M777=""),"",True)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VLOOKUP($I778,'用語辞書'!$A:$B,COLUMN('用語辞書'!B$1),FALSE),
IF(_xlpm.v=0,"",_xlpm.v)
),"")</f>
        <v/>
      </c>
      <c r="K778" s="17"/>
      <c r="L778" s="17" t="str">
        <f>IF(OR(COUNTIF('クラス'!$A$1:$A$1262,$B778)&gt;0,$B778="",$M778=""),"",True)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VLOOKUP($I779,'用語辞書'!$A:$B,COLUMN('用語辞書'!B$1),FALSE),
IF(_xlpm.v=0,"",_xlpm.v)
),"")</f>
        <v/>
      </c>
      <c r="K779" s="17"/>
      <c r="L779" s="17" t="str">
        <f>IF(OR(COUNTIF('クラス'!$A$1:$A$1262,$B779)&gt;0,$B779="",$M779=""),"",True)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VLOOKUP($I780,'用語辞書'!$A:$B,COLUMN('用語辞書'!B$1),FALSE),
IF(_xlpm.v=0,"",_xlpm.v)
),"")</f>
        <v/>
      </c>
      <c r="K780" s="17"/>
      <c r="L780" s="17" t="str">
        <f>IF(OR(COUNTIF('クラス'!$A$1:$A$1262,$B780)&gt;0,$B780="",$M780=""),"",True)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VLOOKUP($I781,'用語辞書'!$A:$B,COLUMN('用語辞書'!B$1),FALSE),
IF(_xlpm.v=0,"",_xlpm.v)
),"")</f>
        <v/>
      </c>
      <c r="K781" s="17"/>
      <c r="L781" s="17" t="b">
        <f>IF(OR(COUNTIF('クラス'!$A$1:$A$1262,$B781)&gt;0,$B781="",$M781=""),"",True)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VLOOKUP($I782,'用語辞書'!$A:$B,COLUMN('用語辞書'!B$1),FALSE),
IF(_xlpm.v=0,"",_xlpm.v)
),"")</f>
        <v/>
      </c>
      <c r="K782" s="17"/>
      <c r="L782" s="17" t="str">
        <f>IF(OR(COUNTIF('クラス'!$A$1:$A$1262,$B782)&gt;0,$B782="",$M782=""),"",True)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VLOOKUP($I783,'用語辞書'!$A:$B,COLUMN('用語辞書'!B$1),FALSE),
IF(_xlpm.v=0,"",_xlpm.v)
),"")</f>
        <v/>
      </c>
      <c r="K783" s="17"/>
      <c r="L783" s="17" t="str">
        <f>IF(OR(COUNTIF('クラス'!$A$1:$A$1262,$B783)&gt;0,$B783="",$M783=""),"",True)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VLOOKUP($I784,'用語辞書'!$A:$B,COLUMN('用語辞書'!B$1),FALSE),
IF(_xlpm.v=0,"",_xlpm.v)
),"")</f>
        <v/>
      </c>
      <c r="K784" s="17"/>
      <c r="L784" s="17" t="str">
        <f>IF(OR(COUNTIF('クラス'!$A$1:$A$1262,$B784)&gt;0,$B784="",$M784=""),"",True)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VLOOKUP($I785,'用語辞書'!$A:$B,COLUMN('用語辞書'!B$1),FALSE),
IF(_xlpm.v=0,"",_xlpm.v)
),"")</f>
        <v/>
      </c>
      <c r="K785" s="17"/>
      <c r="L785" s="17" t="b">
        <f>IF(OR(COUNTIF('クラス'!$A$1:$A$1262,$B785)&gt;0,$B785="",$M785=""),"",True)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VLOOKUP($I786,'用語辞書'!$A:$B,COLUMN('用語辞書'!B$1),FALSE),
IF(_xlpm.v=0,"",_xlpm.v)
),"")</f>
        <v/>
      </c>
      <c r="K786" s="17"/>
      <c r="L786" s="17" t="str">
        <f>IF(OR(COUNTIF('クラス'!$A$1:$A$1262,$B786)&gt;0,$B786="",$M786=""),"",True)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VLOOKUP($I787,'用語辞書'!$A:$B,COLUMN('用語辞書'!B$1),FALSE),
IF(_xlpm.v=0,"",_xlpm.v)
),"")</f>
        <v/>
      </c>
      <c r="K787" s="17"/>
      <c r="L787" s="17" t="str">
        <f>IF(OR(COUNTIF('クラス'!$A$1:$A$1262,$B787)&gt;0,$B787="",$M787=""),"",True)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VLOOKUP($I788,'用語辞書'!$A:$B,COLUMN('用語辞書'!B$1),FALSE),
IF(_xlpm.v=0,"",_xlpm.v)
),"")</f>
        <v/>
      </c>
      <c r="K788" s="17"/>
      <c r="L788" s="17" t="str">
        <f>IF(OR(COUNTIF('クラス'!$A$1:$A$1262,$B788)&gt;0,$B788="",$M788=""),"",True)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VLOOKUP($I789,'用語辞書'!$A:$B,COLUMN('用語辞書'!B$1),FALSE),
IF(_xlpm.v=0,"",_xlpm.v)
),"")</f>
        <v/>
      </c>
      <c r="K789" s="17"/>
      <c r="L789" s="17" t="str">
        <f>IF(OR(COUNTIF('クラス'!$A$1:$A$1262,$B789)&gt;0,$B789="",$M789=""),"",True)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VLOOKUP($I790,'用語辞書'!$A:$B,COLUMN('用語辞書'!B$1),FALSE),
IF(_xlpm.v=0,"",_xlpm.v)
),"")</f>
        <v/>
      </c>
      <c r="K790" s="17"/>
      <c r="L790" s="17" t="b">
        <f>IF(OR(COUNTIF('クラス'!$A$1:$A$1262,$B790)&gt;0,$B790="",$M790=""),"",True)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VLOOKUP($I791,'用語辞書'!$A:$B,COLUMN('用語辞書'!B$1),FALSE),
IF(_xlpm.v=0,"",_xlpm.v)
),"")</f>
        <v/>
      </c>
      <c r="K791" s="17"/>
      <c r="L791" s="17" t="str">
        <f>IF(OR(COUNTIF('クラス'!$A$1:$A$1262,$B791)&gt;0,$B791="",$M791=""),"",True)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VLOOKUP($I792,'用語辞書'!$A:$B,COLUMN('用語辞書'!B$1),FALSE),
IF(_xlpm.v=0,"",_xlpm.v)
),"")</f>
        <v/>
      </c>
      <c r="K792" s="17"/>
      <c r="L792" s="17" t="str">
        <f>IF(OR(COUNTIF('クラス'!$A$1:$A$1262,$B792)&gt;0,$B792="",$M792=""),"",True)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VLOOKUP($I793,'用語辞書'!$A:$B,COLUMN('用語辞書'!B$1),FALSE),
IF(_xlpm.v=0,"",_xlpm.v)
),"")</f>
        <v/>
      </c>
      <c r="K793" s="17"/>
      <c r="L793" s="17" t="str">
        <f>IF(OR(COUNTIF('クラス'!$A$1:$A$1262,$B793)&gt;0,$B793="",$M793=""),"",True)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VLOOKUP($I794,'用語辞書'!$A:$B,COLUMN('用語辞書'!B$1),FALSE),
IF(_xlpm.v=0,"",_xlpm.v)
),"")</f>
        <v/>
      </c>
      <c r="K794" s="17"/>
      <c r="L794" s="17" t="b">
        <f>IF(OR(COUNTIF('クラス'!$A$1:$A$1262,$B794)&gt;0,$B794="",$M794=""),"",True)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VLOOKUP($I795,'用語辞書'!$A:$B,COLUMN('用語辞書'!B$1),FALSE),
IF(_xlpm.v=0,"",_xlpm.v)
),"")</f>
        <v/>
      </c>
      <c r="K795" s="17"/>
      <c r="L795" s="17" t="str">
        <f>IF(OR(COUNTIF('クラス'!$A$1:$A$1262,$B795)&gt;0,$B795="",$M795=""),"",True)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VLOOKUP($I796,'用語辞書'!$A:$B,COLUMN('用語辞書'!B$1),FALSE),
IF(_xlpm.v=0,"",_xlpm.v)
),"")</f>
        <v/>
      </c>
      <c r="K796" s="17"/>
      <c r="L796" s="17" t="b">
        <f>IF(OR(COUNTIF('クラス'!$A$1:$A$1262,$B796)&gt;0,$B796="",$M796=""),"",True)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VLOOKUP($I797,'用語辞書'!$A:$B,COLUMN('用語辞書'!B$1),FALSE),
IF(_xlpm.v=0,"",_xlpm.v)
),"")</f>
        <v/>
      </c>
      <c r="K797" s="17"/>
      <c r="L797" s="17" t="str">
        <f>IF(OR(COUNTIF('クラス'!$A$1:$A$1262,$B797)&gt;0,$B797="",$M797=""),"",True)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VLOOKUP($I798,'用語辞書'!$A:$B,COLUMN('用語辞書'!B$1),FALSE),
IF(_xlpm.v=0,"",_xlpm.v)
),"")</f>
        <v/>
      </c>
      <c r="K798" s="17"/>
      <c r="L798" s="17" t="b">
        <f>IF(OR(COUNTIF('クラス'!$A$1:$A$1262,$B798)&gt;0,$B798="",$M798=""),"",True)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VLOOKUP($I799,'用語辞書'!$A:$B,COLUMN('用語辞書'!B$1),FALSE),
IF(_xlpm.v=0,"",_xlpm.v)
),"")</f>
        <v/>
      </c>
      <c r="K799" s="17"/>
      <c r="L799" s="17" t="str">
        <f>IF(OR(COUNTIF('クラス'!$A$1:$A$1262,$B799)&gt;0,$B799="",$M799=""),"",True)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VLOOKUP($I800,'用語辞書'!$A:$B,COLUMN('用語辞書'!B$1),FALSE),
IF(_xlpm.v=0,"",_xlpm.v)
),"")</f>
        <v/>
      </c>
      <c r="K800" s="17"/>
      <c r="L800" s="17" t="b">
        <f>IF(OR(COUNTIF('クラス'!$A$1:$A$1262,$B800)&gt;0,$B800="",$M800=""),"",True)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VLOOKUP($I801,'用語辞書'!$A:$B,COLUMN('用語辞書'!B$1),FALSE),
IF(_xlpm.v=0,"",_xlpm.v)
),"")</f>
        <v/>
      </c>
      <c r="K801" s="17"/>
      <c r="L801" s="17" t="str">
        <f>IF(OR(COUNTIF('クラス'!$A$1:$A$1262,$B801)&gt;0,$B801="",$M801=""),"",True)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VLOOKUP($I802,'用語辞書'!$A:$B,COLUMN('用語辞書'!B$1),FALSE),
IF(_xlpm.v=0,"",_xlpm.v)
),"")</f>
        <v/>
      </c>
      <c r="K802" s="17"/>
      <c r="L802" s="17" t="b">
        <f>IF(OR(COUNTIF('クラス'!$A$1:$A$1262,$B802)&gt;0,$B802="",$M802=""),"",True)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VLOOKUP($I803,'用語辞書'!$A:$B,COLUMN('用語辞書'!B$1),FALSE),
IF(_xlpm.v=0,"",_xlpm.v)
),"")</f>
        <v/>
      </c>
      <c r="K803" s="17"/>
      <c r="L803" s="17" t="b">
        <f>IF(OR(COUNTIF('クラス'!$A$1:$A$1262,$B803)&gt;0,$B803="",$M803=""),"",True)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VLOOKUP($I804,'用語辞書'!$A:$B,COLUMN('用語辞書'!B$1),FALSE),
IF(_xlpm.v=0,"",_xlpm.v)
),"")</f>
        <v/>
      </c>
      <c r="K804" s="17"/>
      <c r="L804" s="17" t="str">
        <f>IF(OR(COUNTIF('クラス'!$A$1:$A$1262,$B804)&gt;0,$B804="",$M804=""),"",True)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VLOOKUP($I805,'用語辞書'!$A:$B,COLUMN('用語辞書'!B$1),FALSE),
IF(_xlpm.v=0,"",_xlpm.v)
),"")</f>
        <v/>
      </c>
      <c r="K805" s="17"/>
      <c r="L805" s="17" t="str">
        <f>IF(OR(COUNTIF('クラス'!$A$1:$A$1262,$B805)&gt;0,$B805="",$M805=""),"",True)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VLOOKUP($I806,'用語辞書'!$A:$B,COLUMN('用語辞書'!B$1),FALSE),
IF(_xlpm.v=0,"",_xlpm.v)
),"")</f>
        <v/>
      </c>
      <c r="K806" s="17"/>
      <c r="L806" s="17" t="str">
        <f>IF(OR(COUNTIF('クラス'!$A$1:$A$1262,$B806)&gt;0,$B806="",$M806=""),"",True)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VLOOKUP($I807,'用語辞書'!$A:$B,COLUMN('用語辞書'!B$1),FALSE),
IF(_xlpm.v=0,"",_xlpm.v)
),"")</f>
        <v/>
      </c>
      <c r="K807" s="17"/>
      <c r="L807" s="17" t="str">
        <f>IF(OR(COUNTIF('クラス'!$A$1:$A$1262,$B807)&gt;0,$B807="",$M807=""),"",True)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VLOOKUP($I808,'用語辞書'!$A:$B,COLUMN('用語辞書'!B$1),FALSE),
IF(_xlpm.v=0,"",_xlpm.v)
),"")</f>
        <v/>
      </c>
      <c r="K808" s="17"/>
      <c r="L808" s="17" t="b">
        <f>IF(OR(COUNTIF('クラス'!$A$1:$A$1262,$B808)&gt;0,$B808="",$M808=""),"",True)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VLOOKUP($I809,'用語辞書'!$A:$B,COLUMN('用語辞書'!B$1),FALSE),
IF(_xlpm.v=0,"",_xlpm.v)
),"")</f>
        <v/>
      </c>
      <c r="K809" s="17"/>
      <c r="L809" s="17" t="str">
        <f>IF(OR(COUNTIF('クラス'!$A$1:$A$1262,$B809)&gt;0,$B809="",$M809=""),"",True)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VLOOKUP($I810,'用語辞書'!$A:$B,COLUMN('用語辞書'!B$1),FALSE),
IF(_xlpm.v=0,"",_xlpm.v)
),"")</f>
        <v/>
      </c>
      <c r="K810" s="17"/>
      <c r="L810" s="17" t="b">
        <f>IF(OR(COUNTIF('クラス'!$A$1:$A$1262,$B810)&gt;0,$B810="",$M810=""),"",True)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VLOOKUP($I811,'用語辞書'!$A:$B,COLUMN('用語辞書'!B$1),FALSE),
IF(_xlpm.v=0,"",_xlpm.v)
),"")</f>
        <v/>
      </c>
      <c r="K811" s="17"/>
      <c r="L811" s="17" t="str">
        <f>IF(OR(COUNTIF('クラス'!$A$1:$A$1262,$B811)&gt;0,$B811="",$M811=""),"",True)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VLOOKUP($I812,'用語辞書'!$A:$B,COLUMN('用語辞書'!B$1),FALSE),
IF(_xlpm.v=0,"",_xlpm.v)
),"")</f>
        <v/>
      </c>
      <c r="K812" s="17"/>
      <c r="L812" s="17" t="b">
        <f>IF(OR(COUNTIF('クラス'!$A$1:$A$1262,$B812)&gt;0,$B812="",$M812=""),"",True)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VLOOKUP($I813,'用語辞書'!$A:$B,COLUMN('用語辞書'!B$1),FALSE),
IF(_xlpm.v=0,"",_xlpm.v)
),"")</f>
        <v/>
      </c>
      <c r="K813" s="17"/>
      <c r="L813" s="17" t="str">
        <f>IF(OR(COUNTIF('クラス'!$A$1:$A$1262,$B813)&gt;0,$B813="",$M813=""),"",True)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VLOOKUP($I814,'用語辞書'!$A:$B,COLUMN('用語辞書'!B$1),FALSE),
IF(_xlpm.v=0,"",_xlpm.v)
),"")</f>
        <v/>
      </c>
      <c r="K814" s="17"/>
      <c r="L814" s="17" t="b">
        <f>IF(OR(COUNTIF('クラス'!$A$1:$A$1262,$B814)&gt;0,$B814="",$M814=""),"",True)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VLOOKUP($I815,'用語辞書'!$A:$B,COLUMN('用語辞書'!B$1),FALSE),
IF(_xlpm.v=0,"",_xlpm.v)
),"")</f>
        <v/>
      </c>
      <c r="K815" s="17"/>
      <c r="L815" s="17" t="str">
        <f>IF(OR(COUNTIF('クラス'!$A$1:$A$1262,$B815)&gt;0,$B815="",$M815=""),"",True)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VLOOKUP($I816,'用語辞書'!$A:$B,COLUMN('用語辞書'!B$1),FALSE),
IF(_xlpm.v=0,"",_xlpm.v)
),"")</f>
        <v/>
      </c>
      <c r="K816" s="17"/>
      <c r="L816" s="17" t="b">
        <f>IF(OR(COUNTIF('クラス'!$A$1:$A$1262,$B816)&gt;0,$B816="",$M816=""),"",True)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VLOOKUP($I817,'用語辞書'!$A:$B,COLUMN('用語辞書'!B$1),FALSE),
IF(_xlpm.v=0,"",_xlpm.v)
),"")</f>
        <v>HP0でも一定ターン生存</v>
      </c>
      <c r="K817" s="17"/>
      <c r="L817" s="17" t="b">
        <f>IF(OR(COUNTIF('クラス'!$A$1:$A$1262,$B817)&gt;0,$B817="",$M817=""),"",True)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VLOOKUP($I818,'用語辞書'!$A:$B,COLUMN('用語辞書'!B$1),FALSE),
IF(_xlpm.v=0,"",_xlpm.v)
),"")</f>
        <v/>
      </c>
      <c r="K818" s="17"/>
      <c r="L818" s="17" t="str">
        <f>IF(OR(COUNTIF('クラス'!$A$1:$A$1262,$B818)&gt;0,$B818="",$M818=""),"",True)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VLOOKUP($I819,'用語辞書'!$A:$B,COLUMN('用語辞書'!B$1),FALSE),
IF(_xlpm.v=0,"",_xlpm.v)
),"")</f>
        <v/>
      </c>
      <c r="K819" s="17"/>
      <c r="L819" s="17" t="str">
        <f>IF(OR(COUNTIF('クラス'!$A$1:$A$1262,$B819)&gt;0,$B819="",$M819=""),"",True)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VLOOKUP($I820,'用語辞書'!$A:$B,COLUMN('用語辞書'!B$1),FALSE),
IF(_xlpm.v=0,"",_xlpm.v)
),"")</f>
        <v/>
      </c>
      <c r="K820" s="17"/>
      <c r="L820" s="17" t="str">
        <f>IF(OR(COUNTIF('クラス'!$A$1:$A$1262,$B820)&gt;0,$B820="",$M820=""),"",True)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VLOOKUP($I821,'用語辞書'!$A:$B,COLUMN('用語辞書'!B$1),FALSE),
IF(_xlpm.v=0,"",_xlpm.v)
),"")</f>
        <v/>
      </c>
      <c r="K821" s="17"/>
      <c r="L821" s="17" t="b">
        <f>IF(OR(COUNTIF('クラス'!$A$1:$A$1262,$B821)&gt;0,$B821="",$M821=""),"",True)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VLOOKUP($I822,'用語辞書'!$A:$B,COLUMN('用語辞書'!B$1),FALSE),
IF(_xlpm.v=0,"",_xlpm.v)
),"")</f>
        <v/>
      </c>
      <c r="K822" s="17"/>
      <c r="L822" s="17" t="str">
        <f>IF(OR(COUNTIF('クラス'!$A$1:$A$1262,$B822)&gt;0,$B822="",$M822=""),"",True)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VLOOKUP($I823,'用語辞書'!$A:$B,COLUMN('用語辞書'!B$1),FALSE),
IF(_xlpm.v=0,"",_xlpm.v)
),"")</f>
        <v/>
      </c>
      <c r="K823" s="17"/>
      <c r="L823" s="17" t="b">
        <f>IF(OR(COUNTIF('クラス'!$A$1:$A$1262,$B823)&gt;0,$B823="",$M823=""),"",True)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VLOOKUP($I824,'用語辞書'!$A:$B,COLUMN('用語辞書'!B$1),FALSE),
IF(_xlpm.v=0,"",_xlpm.v)
),"")</f>
        <v/>
      </c>
      <c r="K824" s="17"/>
      <c r="L824" s="17" t="str">
        <f>IF(OR(COUNTIF('クラス'!$A$1:$A$1262,$B824)&gt;0,$B824="",$M824=""),"",True)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VLOOKUP($I825,'用語辞書'!$A:$B,COLUMN('用語辞書'!B$1),FALSE),
IF(_xlpm.v=0,"",_xlpm.v)
),"")</f>
        <v/>
      </c>
      <c r="K825" s="17"/>
      <c r="L825" s="17" t="b">
        <f>IF(OR(COUNTIF('クラス'!$A$1:$A$1262,$B825)&gt;0,$B825="",$M825=""),"",True)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VLOOKUP($I826,'用語辞書'!$A:$B,COLUMN('用語辞書'!B$1),FALSE),
IF(_xlpm.v=0,"",_xlpm.v)
),"")</f>
        <v/>
      </c>
      <c r="K826" s="17"/>
      <c r="L826" s="17" t="str">
        <f>IF(OR(COUNTIF('クラス'!$A$1:$A$1262,$B826)&gt;0,$B826="",$M826=""),"",True)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VLOOKUP($I827,'用語辞書'!$A:$B,COLUMN('用語辞書'!B$1),FALSE),
IF(_xlpm.v=0,"",_xlpm.v)
),"")</f>
        <v/>
      </c>
      <c r="K827" s="17"/>
      <c r="L827" s="17" t="b">
        <f>IF(OR(COUNTIF('クラス'!$A$1:$A$1262,$B827)&gt;0,$B827="",$M827=""),"",True)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VLOOKUP($I828,'用語辞書'!$A:$B,COLUMN('用語辞書'!B$1),FALSE),
IF(_xlpm.v=0,"",_xlpm.v)
),"")</f>
        <v/>
      </c>
      <c r="K828" s="17"/>
      <c r="L828" s="17" t="str">
        <f>IF(OR(COUNTIF('クラス'!$A$1:$A$1262,$B828)&gt;0,$B828="",$M828=""),"",True)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VLOOKUP($I829,'用語辞書'!$A:$B,COLUMN('用語辞書'!B$1),FALSE),
IF(_xlpm.v=0,"",_xlpm.v)
),"")</f>
        <v/>
      </c>
      <c r="K829" s="17"/>
      <c r="L829" s="17" t="b">
        <f>IF(OR(COUNTIF('クラス'!$A$1:$A$1262,$B829)&gt;0,$B829="",$M829=""),"",True)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VLOOKUP($I830,'用語辞書'!$A:$B,COLUMN('用語辞書'!B$1),FALSE),
IF(_xlpm.v=0,"",_xlpm.v)
),"")</f>
        <v/>
      </c>
      <c r="K830" s="17"/>
      <c r="L830" s="17" t="b">
        <f>IF(OR(COUNTIF('クラス'!$A$1:$A$1262,$B830)&gt;0,$B830="",$M830=""),"",True)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VLOOKUP($I831,'用語辞書'!$A:$B,COLUMN('用語辞書'!B$1),FALSE),
IF(_xlpm.v=0,"",_xlpm.v)
),"")</f>
        <v/>
      </c>
      <c r="K831" s="17"/>
      <c r="L831" s="17" t="str">
        <f>IF(OR(COUNTIF('クラス'!$A$1:$A$1262,$B831)&gt;0,$B831="",$M831=""),"",True)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VLOOKUP($I832,'用語辞書'!$A:$B,COLUMN('用語辞書'!B$1),FALSE),
IF(_xlpm.v=0,"",_xlpm.v)
),"")</f>
        <v/>
      </c>
      <c r="K832" s="17"/>
      <c r="L832" s="17" t="str">
        <f>IF(OR(COUNTIF('クラス'!$A$1:$A$1262,$B832)&gt;0,$B832="",$M832=""),"",True)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VLOOKUP($I833,'用語辞書'!$A:$B,COLUMN('用語辞書'!B$1),FALSE),
IF(_xlpm.v=0,"",_xlpm.v)
),"")</f>
        <v/>
      </c>
      <c r="K833" s="17"/>
      <c r="L833" s="17" t="str">
        <f>IF(OR(COUNTIF('クラス'!$A$1:$A$1262,$B833)&gt;0,$B833="",$M833=""),"",True)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VLOOKUP($I834,'用語辞書'!$A:$B,COLUMN('用語辞書'!B$1),FALSE),
IF(_xlpm.v=0,"",_xlpm.v)
),"")</f>
        <v/>
      </c>
      <c r="K834" s="17"/>
      <c r="L834" s="17" t="str">
        <f>IF(OR(COUNTIF('クラス'!$A$1:$A$1262,$B834)&gt;0,$B834="",$M834=""),"",True)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VLOOKUP($I835,'用語辞書'!$A:$B,COLUMN('用語辞書'!B$1),FALSE),
IF(_xlpm.v=0,"",_xlpm.v)
),"")</f>
        <v/>
      </c>
      <c r="K835" s="17"/>
      <c r="L835" s="17" t="str">
        <f>IF(OR(COUNTIF('クラス'!$A$1:$A$1262,$B835)&gt;0,$B835="",$M835=""),"",True)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VLOOKUP($I836,'用語辞書'!$A:$B,COLUMN('用語辞書'!B$1),FALSE),
IF(_xlpm.v=0,"",_xlpm.v)
),"")</f>
        <v/>
      </c>
      <c r="K836" s="17"/>
      <c r="L836" s="17" t="b">
        <f>IF(OR(COUNTIF('クラス'!$A$1:$A$1262,$B836)&gt;0,$B836="",$M836=""),"",True)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VLOOKUP($I837,'用語辞書'!$A:$B,COLUMN('用語辞書'!B$1),FALSE),
IF(_xlpm.v=0,"",_xlpm.v)
),"")</f>
        <v/>
      </c>
      <c r="K837" s="17"/>
      <c r="L837" s="17" t="str">
        <f>IF(OR(COUNTIF('クラス'!$A$1:$A$1262,$B837)&gt;0,$B837="",$M837=""),"",True)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VLOOKUP($I838,'用語辞書'!$A:$B,COLUMN('用語辞書'!B$1),FALSE),
IF(_xlpm.v=0,"",_xlpm.v)
),"")</f>
        <v>攻撃・命中・士気などが低下する状態</v>
      </c>
      <c r="K838" s="17"/>
      <c r="L838" s="17" t="b">
        <f>IF(OR(COUNTIF('クラス'!$A$1:$A$1262,$B838)&gt;0,$B838="",$M838=""),"",True)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VLOOKUP($I839,'用語辞書'!$A:$B,COLUMN('用語辞書'!B$1),FALSE),
IF(_xlpm.v=0,"",_xlpm.v)
),"")</f>
        <v/>
      </c>
      <c r="K839" s="17"/>
      <c r="L839" s="17" t="str">
        <f>IF(OR(COUNTIF('クラス'!$A$1:$A$1262,$B839)&gt;0,$B839="",$M839=""),"",True)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VLOOKUP($I840,'用語辞書'!$A:$B,COLUMN('用語辞書'!B$1),FALSE),
IF(_xlpm.v=0,"",_xlpm.v)
),"")</f>
        <v/>
      </c>
      <c r="K840" s="17"/>
      <c r="L840" s="17" t="b">
        <f>IF(OR(COUNTIF('クラス'!$A$1:$A$1262,$B840)&gt;0,$B840="",$M840=""),"",True)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VLOOKUP($I841,'用語辞書'!$A:$B,COLUMN('用語辞書'!B$1),FALSE),
IF(_xlpm.v=0,"",_xlpm.v)
),"")</f>
        <v/>
      </c>
      <c r="K841" s="17"/>
      <c r="L841" s="17" t="str">
        <f>IF(OR(COUNTIF('クラス'!$A$1:$A$1262,$B841)&gt;0,$B841="",$M841=""),"",True)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VLOOKUP($I842,'用語辞書'!$A:$B,COLUMN('用語辞書'!B$1),FALSE),
IF(_xlpm.v=0,"",_xlpm.v)
),"")</f>
        <v/>
      </c>
      <c r="K842" s="17"/>
      <c r="L842" s="17" t="b">
        <f>IF(OR(COUNTIF('クラス'!$A$1:$A$1262,$B842)&gt;0,$B842="",$M842=""),"",True)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VLOOKUP($I843,'用語辞書'!$A:$B,COLUMN('用語辞書'!B$1),FALSE),
IF(_xlpm.v=0,"",_xlpm.v)
),"")</f>
        <v/>
      </c>
      <c r="K843" s="17"/>
      <c r="L843" s="17" t="b">
        <f>IF(OR(COUNTIF('クラス'!$A$1:$A$1262,$B843)&gt;0,$B843="",$M843=""),"",True)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VLOOKUP($I844,'用語辞書'!$A:$B,COLUMN('用語辞書'!B$1),FALSE),
IF(_xlpm.v=0,"",_xlpm.v)
),"")</f>
        <v/>
      </c>
      <c r="K844" s="17"/>
      <c r="L844" s="17" t="str">
        <f>IF(OR(COUNTIF('クラス'!$A$1:$A$1262,$B844)&gt;0,$B844="",$M844=""),"",True)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VLOOKUP($I845,'用語辞書'!$A:$B,COLUMN('用語辞書'!B$1),FALSE),
IF(_xlpm.v=0,"",_xlpm.v)
),"")</f>
        <v/>
      </c>
      <c r="K845" s="17"/>
      <c r="L845" s="17" t="str">
        <f>IF(OR(COUNTIF('クラス'!$A$1:$A$1262,$B845)&gt;0,$B845="",$M845=""),"",True)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VLOOKUP($I846,'用語辞書'!$A:$B,COLUMN('用語辞書'!B$1),FALSE),
IF(_xlpm.v=0,"",_xlpm.v)
),"")</f>
        <v/>
      </c>
      <c r="K846" s="17"/>
      <c r="L846" s="17" t="str">
        <f>IF(OR(COUNTIF('クラス'!$A$1:$A$1262,$B846)&gt;0,$B846="",$M846=""),"",True)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VLOOKUP($I847,'用語辞書'!$A:$B,COLUMN('用語辞書'!B$1),FALSE),
IF(_xlpm.v=0,"",_xlpm.v)
),"")</f>
        <v/>
      </c>
      <c r="K847" s="17"/>
      <c r="L847" s="17" t="str">
        <f>IF(OR(COUNTIF('クラス'!$A$1:$A$1262,$B847)&gt;0,$B847="",$M847=""),"",True)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VLOOKUP($I848,'用語辞書'!$A:$B,COLUMN('用語辞書'!B$1),FALSE),
IF(_xlpm.v=0,"",_xlpm.v)
),"")</f>
        <v/>
      </c>
      <c r="K848" s="17"/>
      <c r="L848" s="17" t="b">
        <f>IF(OR(COUNTIF('クラス'!$A$1:$A$1262,$B848)&gt;0,$B848="",$M848=""),"",True)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VLOOKUP($I849,'用語辞書'!$A:$B,COLUMN('用語辞書'!B$1),FALSE),
IF(_xlpm.v=0,"",_xlpm.v)
),"")</f>
        <v/>
      </c>
      <c r="K849" s="17"/>
      <c r="L849" s="17" t="str">
        <f>IF(OR(COUNTIF('クラス'!$A$1:$A$1262,$B849)&gt;0,$B849="",$M849=""),"",True)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VLOOKUP($I850,'用語辞書'!$A:$B,COLUMN('用語辞書'!B$1),FALSE),
IF(_xlpm.v=0,"",_xlpm.v)
),"")</f>
        <v/>
      </c>
      <c r="K850" s="17"/>
      <c r="L850" s="17" t="b">
        <f>IF(OR(COUNTIF('クラス'!$A$1:$A$1262,$B850)&gt;0,$B850="",$M850=""),"",True)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VLOOKUP($I851,'用語辞書'!$A:$B,COLUMN('用語辞書'!B$1),FALSE),
IF(_xlpm.v=0,"",_xlpm.v)
),"")</f>
        <v/>
      </c>
      <c r="K851" s="17"/>
      <c r="L851" s="17" t="str">
        <f>IF(OR(COUNTIF('クラス'!$A$1:$A$1262,$B851)&gt;0,$B851="",$M851=""),"",True)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VLOOKUP($I852,'用語辞書'!$A:$B,COLUMN('用語辞書'!B$1),FALSE),
IF(_xlpm.v=0,"",_xlpm.v)
),"")</f>
        <v/>
      </c>
      <c r="K852" s="17"/>
      <c r="L852" s="17" t="b">
        <f>IF(OR(COUNTIF('クラス'!$A$1:$A$1262,$B852)&gt;0,$B852="",$M852=""),"",True)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VLOOKUP($I853,'用語辞書'!$A:$B,COLUMN('用語辞書'!B$1),FALSE),
IF(_xlpm.v=0,"",_xlpm.v)
),"")</f>
        <v/>
      </c>
      <c r="K853" s="17"/>
      <c r="L853" s="17" t="str">
        <f>IF(OR(COUNTIF('クラス'!$A$1:$A$1262,$B853)&gt;0,$B853="",$M853=""),"",True)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VLOOKUP($I854,'用語辞書'!$A:$B,COLUMN('用語辞書'!B$1),FALSE),
IF(_xlpm.v=0,"",_xlpm.v)
),"")</f>
        <v/>
      </c>
      <c r="K854" s="17"/>
      <c r="L854" s="17" t="b">
        <f>IF(OR(COUNTIF('クラス'!$A$1:$A$1262,$B854)&gt;0,$B854="",$M854=""),"",True)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VLOOKUP($I855,'用語辞書'!$A:$B,COLUMN('用語辞書'!B$1),FALSE),
IF(_xlpm.v=0,"",_xlpm.v)
),"")</f>
        <v/>
      </c>
      <c r="K855" s="17"/>
      <c r="L855" s="17" t="str">
        <f>IF(OR(COUNTIF('クラス'!$A$1:$A$1262,$B855)&gt;0,$B855="",$M855=""),"",True)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VLOOKUP($I856,'用語辞書'!$A:$B,COLUMN('用語辞書'!B$1),FALSE),
IF(_xlpm.v=0,"",_xlpm.v)
),"")</f>
        <v/>
      </c>
      <c r="K856" s="17"/>
      <c r="L856" s="17" t="b">
        <f>IF(OR(COUNTIF('クラス'!$A$1:$A$1262,$B856)&gt;0,$B856="",$M856=""),"",True)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VLOOKUP($I857,'用語辞書'!$A:$B,COLUMN('用語辞書'!B$1),FALSE),
IF(_xlpm.v=0,"",_xlpm.v)
),"")</f>
        <v/>
      </c>
      <c r="K857" s="17"/>
      <c r="L857" s="17" t="b">
        <f>IF(OR(COUNTIF('クラス'!$A$1:$A$1262,$B857)&gt;0,$B857="",$M857=""),"",True)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VLOOKUP($I858,'用語辞書'!$A:$B,COLUMN('用語辞書'!B$1),FALSE),
IF(_xlpm.v=0,"",_xlpm.v)
),"")</f>
        <v/>
      </c>
      <c r="K858" s="17"/>
      <c r="L858" s="17" t="str">
        <f>IF(OR(COUNTIF('クラス'!$A$1:$A$1262,$B858)&gt;0,$B858="",$M858=""),"",True)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VLOOKUP($I859,'用語辞書'!$A:$B,COLUMN('用語辞書'!B$1),FALSE),
IF(_xlpm.v=0,"",_xlpm.v)
),"")</f>
        <v/>
      </c>
      <c r="K859" s="17"/>
      <c r="L859" s="17" t="str">
        <f>IF(OR(COUNTIF('クラス'!$A$1:$A$1262,$B859)&gt;0,$B859="",$M859=""),"",True)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VLOOKUP($I860,'用語辞書'!$A:$B,COLUMN('用語辞書'!B$1),FALSE),
IF(_xlpm.v=0,"",_xlpm.v)
),"")</f>
        <v/>
      </c>
      <c r="K860" s="17"/>
      <c r="L860" s="17" t="str">
        <f>IF(OR(COUNTIF('クラス'!$A$1:$A$1262,$B860)&gt;0,$B860="",$M860=""),"",True)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VLOOKUP($I861,'用語辞書'!$A:$B,COLUMN('用語辞書'!B$1),FALSE),
IF(_xlpm.v=0,"",_xlpm.v)
),"")</f>
        <v/>
      </c>
      <c r="K861" s="17"/>
      <c r="L861" s="17" t="b">
        <f>IF(OR(COUNTIF('クラス'!$A$1:$A$1262,$B861)&gt;0,$B861="",$M861=""),"",True)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VLOOKUP($I862,'用語辞書'!$A:$B,COLUMN('用語辞書'!B$1),FALSE),
IF(_xlpm.v=0,"",_xlpm.v)
),"")</f>
        <v/>
      </c>
      <c r="K862" s="17"/>
      <c r="L862" s="17" t="str">
        <f>IF(OR(COUNTIF('クラス'!$A$1:$A$1262,$B862)&gt;0,$B862="",$M862=""),"",True)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VLOOKUP($I863,'用語辞書'!$A:$B,COLUMN('用語辞書'!B$1),FALSE),
IF(_xlpm.v=0,"",_xlpm.v)
),"")</f>
        <v/>
      </c>
      <c r="K863" s="17"/>
      <c r="L863" s="17" t="b">
        <f>IF(OR(COUNTIF('クラス'!$A$1:$A$1262,$B863)&gt;0,$B863="",$M863=""),"",True)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VLOOKUP($I864,'用語辞書'!$A:$B,COLUMN('用語辞書'!B$1),FALSE),
IF(_xlpm.v=0,"",_xlpm.v)
),"")</f>
        <v/>
      </c>
      <c r="K864" s="17"/>
      <c r="L864" s="17" t="str">
        <f>IF(OR(COUNTIF('クラス'!$A$1:$A$1262,$B864)&gt;0,$B864="",$M864=""),"",True)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VLOOKUP($I865,'用語辞書'!$A:$B,COLUMN('用語辞書'!B$1),FALSE),
IF(_xlpm.v=0,"",_xlpm.v)
),"")</f>
        <v/>
      </c>
      <c r="K865" s="17"/>
      <c r="L865" s="17" t="b">
        <f>IF(OR(COUNTIF('クラス'!$A$1:$A$1262,$B865)&gt;0,$B865="",$M865=""),"",True)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VLOOKUP($I866,'用語辞書'!$A:$B,COLUMN('用語辞書'!B$1),FALSE),
IF(_xlpm.v=0,"",_xlpm.v)
),"")</f>
        <v/>
      </c>
      <c r="K866" s="17"/>
      <c r="L866" s="17" t="str">
        <f>IF(OR(COUNTIF('クラス'!$A$1:$A$1262,$B866)&gt;0,$B866="",$M866=""),"",True)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VLOOKUP($I867,'用語辞書'!$A:$B,COLUMN('用語辞書'!B$1),FALSE),
IF(_xlpm.v=0,"",_xlpm.v)
),"")</f>
        <v/>
      </c>
      <c r="K867" s="17"/>
      <c r="L867" s="17" t="b">
        <f>IF(OR(COUNTIF('クラス'!$A$1:$A$1262,$B867)&gt;0,$B867="",$M867=""),"",True)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VLOOKUP($I868,'用語辞書'!$A:$B,COLUMN('用語辞書'!B$1),FALSE),
IF(_xlpm.v=0,"",_xlpm.v)
),"")</f>
        <v/>
      </c>
      <c r="K868" s="17"/>
      <c r="L868" s="17" t="str">
        <f>IF(OR(COUNTIF('クラス'!$A$1:$A$1262,$B868)&gt;0,$B868="",$M868=""),"",True)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VLOOKUP($I869,'用語辞書'!$A:$B,COLUMN('用語辞書'!B$1),FALSE),
IF(_xlpm.v=0,"",_xlpm.v)
),"")</f>
        <v/>
      </c>
      <c r="K869" s="17"/>
      <c r="L869" s="17" t="b">
        <f>IF(OR(COUNTIF('クラス'!$A$1:$A$1262,$B869)&gt;0,$B869="",$M869=""),"",True)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VLOOKUP($I870,'用語辞書'!$A:$B,COLUMN('用語辞書'!B$1),FALSE),
IF(_xlpm.v=0,"",_xlpm.v)
),"")</f>
        <v/>
      </c>
      <c r="K870" s="17"/>
      <c r="L870" s="17" t="b">
        <f>IF(OR(COUNTIF('クラス'!$A$1:$A$1262,$B870)&gt;0,$B870="",$M870=""),"",True)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VLOOKUP($I871,'用語辞書'!$A:$B,COLUMN('用語辞書'!B$1),FALSE),
IF(_xlpm.v=0,"",_xlpm.v)
),"")</f>
        <v/>
      </c>
      <c r="K871" s="17"/>
      <c r="L871" s="17" t="str">
        <f>IF(OR(COUNTIF('クラス'!$A$1:$A$1262,$B871)&gt;0,$B871="",$M871=""),"",True)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VLOOKUP($I872,'用語辞書'!$A:$B,COLUMN('用語辞書'!B$1),FALSE),
IF(_xlpm.v=0,"",_xlpm.v)
),"")</f>
        <v/>
      </c>
      <c r="K872" s="17"/>
      <c r="L872" s="17" t="str">
        <f>IF(OR(COUNTIF('クラス'!$A$1:$A$1262,$B872)&gt;0,$B872="",$M872=""),"",True)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VLOOKUP($I873,'用語辞書'!$A:$B,COLUMN('用語辞書'!B$1),FALSE),
IF(_xlpm.v=0,"",_xlpm.v)
),"")</f>
        <v/>
      </c>
      <c r="K873" s="17"/>
      <c r="L873" s="17" t="str">
        <f>IF(OR(COUNTIF('クラス'!$A$1:$A$1262,$B873)&gt;0,$B873="",$M873=""),"",True)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VLOOKUP($I874,'用語辞書'!$A:$B,COLUMN('用語辞書'!B$1),FALSE),
IF(_xlpm.v=0,"",_xlpm.v)
),"")</f>
        <v/>
      </c>
      <c r="K874" s="17"/>
      <c r="L874" s="17" t="b">
        <f>IF(OR(COUNTIF('クラス'!$A$1:$A$1262,$B874)&gt;0,$B874="",$M874=""),"",True)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VLOOKUP($I875,'用語辞書'!$A:$B,COLUMN('用語辞書'!B$1),FALSE),
IF(_xlpm.v=0,"",_xlpm.v)
),"")</f>
        <v/>
      </c>
      <c r="K875" s="17"/>
      <c r="L875" s="17" t="str">
        <f>IF(OR(COUNTIF('クラス'!$A$1:$A$1262,$B875)&gt;0,$B875="",$M875=""),"",True)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VLOOKUP($I876,'用語辞書'!$A:$B,COLUMN('用語辞書'!B$1),FALSE),
IF(_xlpm.v=0,"",_xlpm.v)
),"")</f>
        <v/>
      </c>
      <c r="K876" s="17"/>
      <c r="L876" s="17" t="b">
        <f>IF(OR(COUNTIF('クラス'!$A$1:$A$1262,$B876)&gt;0,$B876="",$M876=""),"",True)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VLOOKUP($I877,'用語辞書'!$A:$B,COLUMN('用語辞書'!B$1),FALSE),
IF(_xlpm.v=0,"",_xlpm.v)
),"")</f>
        <v/>
      </c>
      <c r="K877" s="17"/>
      <c r="L877" s="17" t="str">
        <f>IF(OR(COUNTIF('クラス'!$A$1:$A$1262,$B877)&gt;0,$B877="",$M877=""),"",True)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VLOOKUP($I878,'用語辞書'!$A:$B,COLUMN('用語辞書'!B$1),FALSE),
IF(_xlpm.v=0,"",_xlpm.v)
),"")</f>
        <v/>
      </c>
      <c r="K878" s="17"/>
      <c r="L878" s="17" t="b">
        <f>IF(OR(COUNTIF('クラス'!$A$1:$A$1262,$B878)&gt;0,$B878="",$M878=""),"",True)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VLOOKUP($I879,'用語辞書'!$A:$B,COLUMN('用語辞書'!B$1),FALSE),
IF(_xlpm.v=0,"",_xlpm.v)
),"")</f>
        <v/>
      </c>
      <c r="K879" s="17"/>
      <c r="L879" s="17" t="str">
        <f>IF(OR(COUNTIF('クラス'!$A$1:$A$1262,$B879)&gt;0,$B879="",$M879=""),"",True)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VLOOKUP($I880,'用語辞書'!$A:$B,COLUMN('用語辞書'!B$1),FALSE),
IF(_xlpm.v=0,"",_xlpm.v)
),"")</f>
        <v/>
      </c>
      <c r="K880" s="17"/>
      <c r="L880" s="17" t="b">
        <f>IF(OR(COUNTIF('クラス'!$A$1:$A$1262,$B880)&gt;0,$B880="",$M880=""),"",True)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VLOOKUP($I881,'用語辞書'!$A:$B,COLUMN('用語辞書'!B$1),FALSE),
IF(_xlpm.v=0,"",_xlpm.v)
),"")</f>
        <v/>
      </c>
      <c r="K881" s="17"/>
      <c r="L881" s="17" t="str">
        <f>IF(OR(COUNTIF('クラス'!$A$1:$A$1262,$B881)&gt;0,$B881="",$M881=""),"",True)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VLOOKUP($I882,'用語辞書'!$A:$B,COLUMN('用語辞書'!B$1),FALSE),
IF(_xlpm.v=0,"",_xlpm.v)
),"")</f>
        <v/>
      </c>
      <c r="K882" s="17"/>
      <c r="L882" s="17" t="b">
        <f>IF(OR(COUNTIF('クラス'!$A$1:$A$1262,$B882)&gt;0,$B882="",$M882=""),"",True)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VLOOKUP($I883,'用語辞書'!$A:$B,COLUMN('用語辞書'!B$1),FALSE),
IF(_xlpm.v=0,"",_xlpm.v)
),"")</f>
        <v/>
      </c>
      <c r="K883" s="17"/>
      <c r="L883" s="17" t="b">
        <f>IF(OR(COUNTIF('クラス'!$A$1:$A$1262,$B883)&gt;0,$B883="",$M883=""),"",True)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VLOOKUP($I884,'用語辞書'!$A:$B,COLUMN('用語辞書'!B$1),FALSE),
IF(_xlpm.v=0,"",_xlpm.v)
),"")</f>
        <v/>
      </c>
      <c r="K884" s="17"/>
      <c r="L884" s="17" t="str">
        <f>IF(OR(COUNTIF('クラス'!$A$1:$A$1262,$B884)&gt;0,$B884="",$M884=""),"",True)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VLOOKUP($I885,'用語辞書'!$A:$B,COLUMN('用語辞書'!B$1),FALSE),
IF(_xlpm.v=0,"",_xlpm.v)
),"")</f>
        <v/>
      </c>
      <c r="K885" s="17"/>
      <c r="L885" s="17" t="str">
        <f>IF(OR(COUNTIF('クラス'!$A$1:$A$1262,$B885)&gt;0,$B885="",$M885=""),"",True)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VLOOKUP($I886,'用語辞書'!$A:$B,COLUMN('用語辞書'!B$1),FALSE),
IF(_xlpm.v=0,"",_xlpm.v)
),"")</f>
        <v/>
      </c>
      <c r="K886" s="17"/>
      <c r="L886" s="17" t="str">
        <f>IF(OR(COUNTIF('クラス'!$A$1:$A$1262,$B886)&gt;0,$B886="",$M886=""),"",True)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VLOOKUP($I887,'用語辞書'!$A:$B,COLUMN('用語辞書'!B$1),FALSE),
IF(_xlpm.v=0,"",_xlpm.v)
),"")</f>
        <v/>
      </c>
      <c r="K887" s="17"/>
      <c r="L887" s="17" t="b">
        <f>IF(OR(COUNTIF('クラス'!$A$1:$A$1262,$B887)&gt;0,$B887="",$M887=""),"",True)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VLOOKUP($I888,'用語辞書'!$A:$B,COLUMN('用語辞書'!B$1),FALSE),
IF(_xlpm.v=0,"",_xlpm.v)
),"")</f>
        <v/>
      </c>
      <c r="K888" s="17"/>
      <c r="L888" s="17" t="str">
        <f>IF(OR(COUNTIF('クラス'!$A$1:$A$1262,$B888)&gt;0,$B888="",$M888=""),"",True)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VLOOKUP($I889,'用語辞書'!$A:$B,COLUMN('用語辞書'!B$1),FALSE),
IF(_xlpm.v=0,"",_xlpm.v)
),"")</f>
        <v/>
      </c>
      <c r="K889" s="17"/>
      <c r="L889" s="17" t="b">
        <f>IF(OR(COUNTIF('クラス'!$A$1:$A$1262,$B889)&gt;0,$B889="",$M889=""),"",True)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VLOOKUP($I890,'用語辞書'!$A:$B,COLUMN('用語辞書'!B$1),FALSE),
IF(_xlpm.v=0,"",_xlpm.v)
),"")</f>
        <v/>
      </c>
      <c r="K890" s="17"/>
      <c r="L890" s="17" t="str">
        <f>IF(OR(COUNTIF('クラス'!$A$1:$A$1262,$B890)&gt;0,$B890="",$M890=""),"",True)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VLOOKUP($I891,'用語辞書'!$A:$B,COLUMN('用語辞書'!B$1),FALSE),
IF(_xlpm.v=0,"",_xlpm.v)
),"")</f>
        <v/>
      </c>
      <c r="K891" s="17"/>
      <c r="L891" s="17" t="b">
        <f>IF(OR(COUNTIF('クラス'!$A$1:$A$1262,$B891)&gt;0,$B891="",$M891=""),"",True)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VLOOKUP($I892,'用語辞書'!$A:$B,COLUMN('用語辞書'!B$1),FALSE),
IF(_xlpm.v=0,"",_xlpm.v)
),"")</f>
        <v/>
      </c>
      <c r="K892" s="17"/>
      <c r="L892" s="17" t="str">
        <f>IF(OR(COUNTIF('クラス'!$A$1:$A$1262,$B892)&gt;0,$B892="",$M892=""),"",True)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VLOOKUP($I893,'用語辞書'!$A:$B,COLUMN('用語辞書'!B$1),FALSE),
IF(_xlpm.v=0,"",_xlpm.v)
),"")</f>
        <v/>
      </c>
      <c r="K893" s="17"/>
      <c r="L893" s="17" t="b">
        <f>IF(OR(COUNTIF('クラス'!$A$1:$A$1262,$B893)&gt;0,$B893="",$M893=""),"",True)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VLOOKUP($I894,'用語辞書'!$A:$B,COLUMN('用語辞書'!B$1),FALSE),
IF(_xlpm.v=0,"",_xlpm.v)
),"")</f>
        <v/>
      </c>
      <c r="K894" s="17"/>
      <c r="L894" s="17" t="str">
        <f>IF(OR(COUNTIF('クラス'!$A$1:$A$1262,$B894)&gt;0,$B894="",$M894=""),"",True)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VLOOKUP($I895,'用語辞書'!$A:$B,COLUMN('用語辞書'!B$1),FALSE),
IF(_xlpm.v=0,"",_xlpm.v)
),"")</f>
        <v/>
      </c>
      <c r="K895" s="17"/>
      <c r="L895" s="17" t="b">
        <f>IF(OR(COUNTIF('クラス'!$A$1:$A$1262,$B895)&gt;0,$B895="",$M895=""),"",True)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VLOOKUP($I896,'用語辞書'!$A:$B,COLUMN('用語辞書'!B$1),FALSE),
IF(_xlpm.v=0,"",_xlpm.v)
),"")</f>
        <v/>
      </c>
      <c r="K896" s="17"/>
      <c r="L896" s="17" t="b">
        <f>IF(OR(COUNTIF('クラス'!$A$1:$A$1262,$B896)&gt;0,$B896="",$M896=""),"",True)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VLOOKUP($I897,'用語辞書'!$A:$B,COLUMN('用語辞書'!B$1),FALSE),
IF(_xlpm.v=0,"",_xlpm.v)
),"")</f>
        <v/>
      </c>
      <c r="K897" s="17"/>
      <c r="L897" s="17" t="str">
        <f>IF(OR(COUNTIF('クラス'!$A$1:$A$1262,$B897)&gt;0,$B897="",$M897=""),"",True)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VLOOKUP($I898,'用語辞書'!$A:$B,COLUMN('用語辞書'!B$1),FALSE),
IF(_xlpm.v=0,"",_xlpm.v)
),"")</f>
        <v/>
      </c>
      <c r="K898" s="17"/>
      <c r="L898" s="17" t="str">
        <f>IF(OR(COUNTIF('クラス'!$A$1:$A$1262,$B898)&gt;0,$B898="",$M898=""),"",True)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VLOOKUP($I899,'用語辞書'!$A:$B,COLUMN('用語辞書'!B$1),FALSE),
IF(_xlpm.v=0,"",_xlpm.v)
),"")</f>
        <v/>
      </c>
      <c r="K899" s="17"/>
      <c r="L899" s="17" t="str">
        <f>IF(OR(COUNTIF('クラス'!$A$1:$A$1262,$B899)&gt;0,$B899="",$M899=""),"",True)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VLOOKUP($I900,'用語辞書'!$A:$B,COLUMN('用語辞書'!B$1),FALSE),
IF(_xlpm.v=0,"",_xlpm.v)
),"")</f>
        <v/>
      </c>
      <c r="K900" s="17"/>
      <c r="L900" s="17" t="b">
        <f>IF(OR(COUNTIF('クラス'!$A$1:$A$1262,$B900)&gt;0,$B900="",$M900=""),"",True)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VLOOKUP($I901,'用語辞書'!$A:$B,COLUMN('用語辞書'!B$1),FALSE),
IF(_xlpm.v=0,"",_xlpm.v)
),"")</f>
        <v/>
      </c>
      <c r="K901" s="17"/>
      <c r="L901" s="17" t="str">
        <f>IF(OR(COUNTIF('クラス'!$A$1:$A$1262,$B901)&gt;0,$B901="",$M901=""),"",True)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VLOOKUP($I902,'用語辞書'!$A:$B,COLUMN('用語辞書'!B$1),FALSE),
IF(_xlpm.v=0,"",_xlpm.v)
),"")</f>
        <v/>
      </c>
      <c r="K902" s="17"/>
      <c r="L902" s="17" t="b">
        <f>IF(OR(COUNTIF('クラス'!$A$1:$A$1262,$B902)&gt;0,$B902="",$M902=""),"",True)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VLOOKUP($I903,'用語辞書'!$A:$B,COLUMN('用語辞書'!B$1),FALSE),
IF(_xlpm.v=0,"",_xlpm.v)
),"")</f>
        <v/>
      </c>
      <c r="K903" s="17"/>
      <c r="L903" s="17" t="str">
        <f>IF(OR(COUNTIF('クラス'!$A$1:$A$1262,$B903)&gt;0,$B903="",$M903=""),"",True)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VLOOKUP($I904,'用語辞書'!$A:$B,COLUMN('用語辞書'!B$1),FALSE),
IF(_xlpm.v=0,"",_xlpm.v)
),"")</f>
        <v/>
      </c>
      <c r="K904" s="17"/>
      <c r="L904" s="17" t="b">
        <f>IF(OR(COUNTIF('クラス'!$A$1:$A$1262,$B904)&gt;0,$B904="",$M904=""),"",True)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VLOOKUP($I905,'用語辞書'!$A:$B,COLUMN('用語辞書'!B$1),FALSE),
IF(_xlpm.v=0,"",_xlpm.v)
),"")</f>
        <v/>
      </c>
      <c r="K905" s="17"/>
      <c r="L905" s="17" t="str">
        <f>IF(OR(COUNTIF('クラス'!$A$1:$A$1262,$B905)&gt;0,$B905="",$M905=""),"",True)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VLOOKUP($I906,'用語辞書'!$A:$B,COLUMN('用語辞書'!B$1),FALSE),
IF(_xlpm.v=0,"",_xlpm.v)
),"")</f>
        <v/>
      </c>
      <c r="K906" s="17"/>
      <c r="L906" s="17" t="b">
        <f>IF(OR(COUNTIF('クラス'!$A$1:$A$1262,$B906)&gt;0,$B906="",$M906=""),"",True)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VLOOKUP($I907,'用語辞書'!$A:$B,COLUMN('用語辞書'!B$1),FALSE),
IF(_xlpm.v=0,"",_xlpm.v)
),"")</f>
        <v/>
      </c>
      <c r="K907" s="17"/>
      <c r="L907" s="17" t="str">
        <f>IF(OR(COUNTIF('クラス'!$A$1:$A$1262,$B907)&gt;0,$B907="",$M907=""),"",True)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VLOOKUP($I908,'用語辞書'!$A:$B,COLUMN('用語辞書'!B$1),FALSE),
IF(_xlpm.v=0,"",_xlpm.v)
),"")</f>
        <v/>
      </c>
      <c r="K908" s="17"/>
      <c r="L908" s="17" t="b">
        <f>IF(OR(COUNTIF('クラス'!$A$1:$A$1262,$B908)&gt;0,$B908="",$M908=""),"",True)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VLOOKUP($I909,'用語辞書'!$A:$B,COLUMN('用語辞書'!B$1),FALSE),
IF(_xlpm.v=0,"",_xlpm.v)
),"")</f>
        <v/>
      </c>
      <c r="K909" s="17"/>
      <c r="L909" s="17" t="b">
        <f>IF(OR(COUNTIF('クラス'!$A$1:$A$1262,$B909)&gt;0,$B909="",$M909=""),"",True)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VLOOKUP($I910,'用語辞書'!$A:$B,COLUMN('用語辞書'!B$1),FALSE),
IF(_xlpm.v=0,"",_xlpm.v)
),"")</f>
        <v/>
      </c>
      <c r="K910" s="17"/>
      <c r="L910" s="17" t="str">
        <f>IF(OR(COUNTIF('クラス'!$A$1:$A$1262,$B910)&gt;0,$B910="",$M910=""),"",True)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VLOOKUP($I911,'用語辞書'!$A:$B,COLUMN('用語辞書'!B$1),FALSE),
IF(_xlpm.v=0,"",_xlpm.v)
),"")</f>
        <v/>
      </c>
      <c r="K911" s="17"/>
      <c r="L911" s="17" t="str">
        <f>IF(OR(COUNTIF('クラス'!$A$1:$A$1262,$B911)&gt;0,$B911="",$M911=""),"",True)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VLOOKUP($I912,'用語辞書'!$A:$B,COLUMN('用語辞書'!B$1),FALSE),
IF(_xlpm.v=0,"",_xlpm.v)
),"")</f>
        <v/>
      </c>
      <c r="K912" s="17"/>
      <c r="L912" s="17" t="b">
        <f>IF(OR(COUNTIF('クラス'!$A$1:$A$1262,$B912)&gt;0,$B912="",$M912=""),"",True)</f>
        <v>1</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VLOOKUP($I913,'用語辞書'!$A:$B,COLUMN('用語辞書'!B$1),FALSE),
IF(_xlpm.v=0,"",_xlpm.v)
),"")</f>
        <v/>
      </c>
      <c r="K913" s="17"/>
      <c r="L913" s="17" t="b">
        <f>IF(OR(COUNTIF('クラス'!$A$1:$A$1262,$B913)&gt;0,$B913="",$M913=""),"",True)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VLOOKUP($I914,'用語辞書'!$A:$B,COLUMN('用語辞書'!B$1),FALSE),
IF(_xlpm.v=0,"",_xlpm.v)
),"")</f>
        <v/>
      </c>
      <c r="K914" s="17"/>
      <c r="L914" s="17" t="str">
        <f>IF(OR(COUNTIF('クラス'!$A$1:$A$1262,$B914)&gt;0,$B914="",$M914=""),"",True)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VLOOKUP($I915,'用語辞書'!$A:$B,COLUMN('用語辞書'!B$1),FALSE),
IF(_xlpm.v=0,"",_xlpm.v)
),"")</f>
        <v/>
      </c>
      <c r="K915" s="17"/>
      <c r="L915" s="17" t="b">
        <f>IF(OR(COUNTIF('クラス'!$A$1:$A$1262,$B915)&gt;0,$B915="",$M915=""),"",True)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VLOOKUP($I916,'用語辞書'!$A:$B,COLUMN('用語辞書'!B$1),FALSE),
IF(_xlpm.v=0,"",_xlpm.v)
),"")</f>
        <v/>
      </c>
      <c r="K916" s="17"/>
      <c r="L916" s="17" t="str">
        <f>IF(OR(COUNTIF('クラス'!$A$1:$A$1262,$B916)&gt;0,$B916="",$M916=""),"",True)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VLOOKUP($I917,'用語辞書'!$A:$B,COLUMN('用語辞書'!B$1),FALSE),
IF(_xlpm.v=0,"",_xlpm.v)
),"")</f>
        <v/>
      </c>
      <c r="K917" s="17"/>
      <c r="L917" s="17" t="b">
        <f>IF(OR(COUNTIF('クラス'!$A$1:$A$1262,$B917)&gt;0,$B917="",$M917=""),"",True)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VLOOKUP($I918,'用語辞書'!$A:$B,COLUMN('用語辞書'!B$1),FALSE),
IF(_xlpm.v=0,"",_xlpm.v)
),"")</f>
        <v/>
      </c>
      <c r="K918" s="17"/>
      <c r="L918" s="17" t="str">
        <f>IF(OR(COUNTIF('クラス'!$A$1:$A$1262,$B918)&gt;0,$B918="",$M918=""),"",True)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VLOOKUP($I919,'用語辞書'!$A:$B,COLUMN('用語辞書'!B$1),FALSE),
IF(_xlpm.v=0,"",_xlpm.v)
),"")</f>
        <v/>
      </c>
      <c r="K919" s="17"/>
      <c r="L919" s="17" t="b">
        <f>IF(OR(COUNTIF('クラス'!$A$1:$A$1262,$B919)&gt;0,$B919="",$M919=""),"",True)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VLOOKUP($I920,'用語辞書'!$A:$B,COLUMN('用語辞書'!B$1),FALSE),
IF(_xlpm.v=0,"",_xlpm.v)
),"")</f>
        <v/>
      </c>
      <c r="K920" s="17"/>
      <c r="L920" s="17" t="str">
        <f>IF(OR(COUNTIF('クラス'!$A$1:$A$1262,$B920)&gt;0,$B920="",$M920=""),"",True)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VLOOKUP($I921,'用語辞書'!$A:$B,COLUMN('用語辞書'!B$1),FALSE),
IF(_xlpm.v=0,"",_xlpm.v)
),"")</f>
        <v/>
      </c>
      <c r="K921" s="17"/>
      <c r="L921" s="17" t="b">
        <f>IF(OR(COUNTIF('クラス'!$A$1:$A$1262,$B921)&gt;0,$B921="",$M921=""),"",True)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VLOOKUP($I922,'用語辞書'!$A:$B,COLUMN('用語辞書'!B$1),FALSE),
IF(_xlpm.v=0,"",_xlpm.v)
),"")</f>
        <v/>
      </c>
      <c r="K922" s="17"/>
      <c r="L922" s="17" t="b">
        <f>IF(OR(COUNTIF('クラス'!$A$1:$A$1262,$B922)&gt;0,$B922="",$M922=""),"",True)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VLOOKUP($I923,'用語辞書'!$A:$B,COLUMN('用語辞書'!B$1),FALSE),
IF(_xlpm.v=0,"",_xlpm.v)
),"")</f>
        <v/>
      </c>
      <c r="K923" s="17"/>
      <c r="L923" s="17" t="str">
        <f>IF(OR(COUNTIF('クラス'!$A$1:$A$1262,$B923)&gt;0,$B923="",$M923=""),"",True)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VLOOKUP($I924,'用語辞書'!$A:$B,COLUMN('用語辞書'!B$1),FALSE),
IF(_xlpm.v=0,"",_xlpm.v)
),"")</f>
        <v/>
      </c>
      <c r="K924" s="17"/>
      <c r="L924" s="17" t="str">
        <f>IF(OR(COUNTIF('クラス'!$A$1:$A$1262,$B924)&gt;0,$B924="",$M924=""),"",True)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VLOOKUP($I925,'用語辞書'!$A:$B,COLUMN('用語辞書'!B$1),FALSE),
IF(_xlpm.v=0,"",_xlpm.v)
),"")</f>
        <v/>
      </c>
      <c r="K925" s="17"/>
      <c r="L925" s="17" t="str">
        <f>IF(OR(COUNTIF('クラス'!$A$1:$A$1262,$B925)&gt;0,$B925="",$M925=""),"",True)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VLOOKUP($I926,'用語辞書'!$A:$B,COLUMN('用語辞書'!B$1),FALSE),
IF(_xlpm.v=0,"",_xlpm.v)
),"")</f>
        <v/>
      </c>
      <c r="K926" s="17"/>
      <c r="L926" s="17" t="b">
        <f>IF(OR(COUNTIF('クラス'!$A$1:$A$1262,$B926)&gt;0,$B926="",$M926=""),"",True)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VLOOKUP($I927,'用語辞書'!$A:$B,COLUMN('用語辞書'!B$1),FALSE),
IF(_xlpm.v=0,"",_xlpm.v)
),"")</f>
        <v/>
      </c>
      <c r="K927" s="17"/>
      <c r="L927" s="17" t="str">
        <f>IF(OR(COUNTIF('クラス'!$A$1:$A$1262,$B927)&gt;0,$B927="",$M927=""),"",True)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VLOOKUP($I928,'用語辞書'!$A:$B,COLUMN('用語辞書'!B$1),FALSE),
IF(_xlpm.v=0,"",_xlpm.v)
),"")</f>
        <v/>
      </c>
      <c r="K928" s="17"/>
      <c r="L928" s="17" t="b">
        <f>IF(OR(COUNTIF('クラス'!$A$1:$A$1262,$B928)&gt;0,$B928="",$M928=""),"",True)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VLOOKUP($I929,'用語辞書'!$A:$B,COLUMN('用語辞書'!B$1),FALSE),
IF(_xlpm.v=0,"",_xlpm.v)
),"")</f>
        <v/>
      </c>
      <c r="K929" s="17"/>
      <c r="L929" s="17" t="str">
        <f>IF(OR(COUNTIF('クラス'!$A$1:$A$1262,$B929)&gt;0,$B929="",$M929=""),"",True)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VLOOKUP($I930,'用語辞書'!$A:$B,COLUMN('用語辞書'!B$1),FALSE),
IF(_xlpm.v=0,"",_xlpm.v)
),"")</f>
        <v/>
      </c>
      <c r="K930" s="17"/>
      <c r="L930" s="17" t="b">
        <f>IF(OR(COUNTIF('クラス'!$A$1:$A$1262,$B930)&gt;0,$B930="",$M930=""),"",True)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VLOOKUP($I931,'用語辞書'!$A:$B,COLUMN('用語辞書'!B$1),FALSE),
IF(_xlpm.v=0,"",_xlpm.v)
),"")</f>
        <v/>
      </c>
      <c r="K931" s="17"/>
      <c r="L931" s="17" t="str">
        <f>IF(OR(COUNTIF('クラス'!$A$1:$A$1262,$B931)&gt;0,$B931="",$M931=""),"",True)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VLOOKUP($I932,'用語辞書'!$A:$B,COLUMN('用語辞書'!B$1),FALSE),
IF(_xlpm.v=0,"",_xlpm.v)
),"")</f>
        <v/>
      </c>
      <c r="K932" s="17"/>
      <c r="L932" s="17" t="b">
        <f>IF(OR(COUNTIF('クラス'!$A$1:$A$1262,$B932)&gt;0,$B932="",$M932=""),"",True)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VLOOKUP($I933,'用語辞書'!$A:$B,COLUMN('用語辞書'!B$1),FALSE),
IF(_xlpm.v=0,"",_xlpm.v)
),"")</f>
        <v/>
      </c>
      <c r="K933" s="17"/>
      <c r="L933" s="17" t="str">
        <f>IF(OR(COUNTIF('クラス'!$A$1:$A$1262,$B933)&gt;0,$B933="",$M933=""),"",True)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VLOOKUP($I934,'用語辞書'!$A:$B,COLUMN('用語辞書'!B$1),FALSE),
IF(_xlpm.v=0,"",_xlpm.v)
),"")</f>
        <v/>
      </c>
      <c r="K934" s="17"/>
      <c r="L934" s="17" t="b">
        <f>IF(OR(COUNTIF('クラス'!$A$1:$A$1262,$B934)&gt;0,$B934="",$M934=""),"",True)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VLOOKUP($I935,'用語辞書'!$A:$B,COLUMN('用語辞書'!B$1),FALSE),
IF(_xlpm.v=0,"",_xlpm.v)
),"")</f>
        <v/>
      </c>
      <c r="K935" s="17"/>
      <c r="L935" s="17" t="b">
        <f>IF(OR(COUNTIF('クラス'!$A$1:$A$1262,$B935)&gt;0,$B935="",$M935=""),"",True)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VLOOKUP($I936,'用語辞書'!$A:$B,COLUMN('用語辞書'!B$1),FALSE),
IF(_xlpm.v=0,"",_xlpm.v)
),"")</f>
        <v/>
      </c>
      <c r="K936" s="17"/>
      <c r="L936" s="17" t="str">
        <f>IF(OR(COUNTIF('クラス'!$A$1:$A$1262,$B936)&gt;0,$B936="",$M936=""),"",True)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VLOOKUP($I937,'用語辞書'!$A:$B,COLUMN('用語辞書'!B$1),FALSE),
IF(_xlpm.v=0,"",_xlpm.v)
),"")</f>
        <v/>
      </c>
      <c r="K937" s="17"/>
      <c r="L937" s="17" t="str">
        <f>IF(OR(COUNTIF('クラス'!$A$1:$A$1262,$B937)&gt;0,$B937="",$M937=""),"",True)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VLOOKUP($I938,'用語辞書'!$A:$B,COLUMN('用語辞書'!B$1),FALSE),
IF(_xlpm.v=0,"",_xlpm.v)
),"")</f>
        <v/>
      </c>
      <c r="K938" s="17"/>
      <c r="L938" s="17" t="str">
        <f>IF(OR(COUNTIF('クラス'!$A$1:$A$1262,$B938)&gt;0,$B938="",$M938=""),"",True)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VLOOKUP($I939,'用語辞書'!$A:$B,COLUMN('用語辞書'!B$1),FALSE),
IF(_xlpm.v=0,"",_xlpm.v)
),"")</f>
        <v/>
      </c>
      <c r="K939" s="17"/>
      <c r="L939" s="17" t="b">
        <f>IF(OR(COUNTIF('クラス'!$A$1:$A$1262,$B939)&gt;0,$B939="",$M939=""),"",True)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VLOOKUP($I940,'用語辞書'!$A:$B,COLUMN('用語辞書'!B$1),FALSE),
IF(_xlpm.v=0,"",_xlpm.v)
),"")</f>
        <v/>
      </c>
      <c r="K940" s="17"/>
      <c r="L940" s="17" t="str">
        <f>IF(OR(COUNTIF('クラス'!$A$1:$A$1262,$B940)&gt;0,$B940="",$M940=""),"",True)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VLOOKUP($I941,'用語辞書'!$A:$B,COLUMN('用語辞書'!B$1),FALSE),
IF(_xlpm.v=0,"",_xlpm.v)
),"")</f>
        <v/>
      </c>
      <c r="K941" s="17"/>
      <c r="L941" s="17" t="b">
        <f>IF(OR(COUNTIF('クラス'!$A$1:$A$1262,$B941)&gt;0,$B941="",$M941=""),"",True)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VLOOKUP($I942,'用語辞書'!$A:$B,COLUMN('用語辞書'!B$1),FALSE),
IF(_xlpm.v=0,"",_xlpm.v)
),"")</f>
        <v/>
      </c>
      <c r="K942" s="17"/>
      <c r="L942" s="17" t="str">
        <f>IF(OR(COUNTIF('クラス'!$A$1:$A$1262,$B942)&gt;0,$B942="",$M942=""),"",True)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VLOOKUP($I943,'用語辞書'!$A:$B,COLUMN('用語辞書'!B$1),FALSE),
IF(_xlpm.v=0,"",_xlpm.v)
),"")</f>
        <v/>
      </c>
      <c r="K943" s="17"/>
      <c r="L943" s="17" t="b">
        <f>IF(OR(COUNTIF('クラス'!$A$1:$A$1262,$B943)&gt;0,$B943="",$M943=""),"",True)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VLOOKUP($I944,'用語辞書'!$A:$B,COLUMN('用語辞書'!B$1),FALSE),
IF(_xlpm.v=0,"",_xlpm.v)
),"")</f>
        <v/>
      </c>
      <c r="K944" s="17"/>
      <c r="L944" s="17" t="str">
        <f>IF(OR(COUNTIF('クラス'!$A$1:$A$1262,$B944)&gt;0,$B944="",$M944=""),"",True)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VLOOKUP($I945,'用語辞書'!$A:$B,COLUMN('用語辞書'!B$1),FALSE),
IF(_xlpm.v=0,"",_xlpm.v)
),"")</f>
        <v/>
      </c>
      <c r="K945" s="17"/>
      <c r="L945" s="17" t="b">
        <f>IF(OR(COUNTIF('クラス'!$A$1:$A$1262,$B945)&gt;0,$B945="",$M945=""),"",True)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VLOOKUP($I946,'用語辞書'!$A:$B,COLUMN('用語辞書'!B$1),FALSE),
IF(_xlpm.v=0,"",_xlpm.v)
),"")</f>
        <v/>
      </c>
      <c r="K946" s="17"/>
      <c r="L946" s="17" t="str">
        <f>IF(OR(COUNTIF('クラス'!$A$1:$A$1262,$B946)&gt;0,$B946="",$M946=""),"",True)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VLOOKUP($I947,'用語辞書'!$A:$B,COLUMN('用語辞書'!B$1),FALSE),
IF(_xlpm.v=0,"",_xlpm.v)
),"")</f>
        <v/>
      </c>
      <c r="K947" s="17"/>
      <c r="L947" s="17" t="b">
        <f>IF(OR(COUNTIF('クラス'!$A$1:$A$1262,$B947)&gt;0,$B947="",$M947=""),"",True)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VLOOKUP($I948,'用語辞書'!$A:$B,COLUMN('用語辞書'!B$1),FALSE),
IF(_xlpm.v=0,"",_xlpm.v)
),"")</f>
        <v/>
      </c>
      <c r="K948" s="17"/>
      <c r="L948" s="17" t="b">
        <f>IF(OR(COUNTIF('クラス'!$A$1:$A$1262,$B948)&gt;0,$B948="",$M948=""),"",True)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VLOOKUP($I949,'用語辞書'!$A:$B,COLUMN('用語辞書'!B$1),FALSE),
IF(_xlpm.v=0,"",_xlpm.v)
),"")</f>
        <v/>
      </c>
      <c r="K949" s="17"/>
      <c r="L949" s="17" t="str">
        <f>IF(OR(COUNTIF('クラス'!$A$1:$A$1262,$B949)&gt;0,$B949="",$M949=""),"",True)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VLOOKUP($I950,'用語辞書'!$A:$B,COLUMN('用語辞書'!B$1),FALSE),
IF(_xlpm.v=0,"",_xlpm.v)
),"")</f>
        <v/>
      </c>
      <c r="K950" s="17"/>
      <c r="L950" s="17" t="str">
        <f>IF(OR(COUNTIF('クラス'!$A$1:$A$1262,$B950)&gt;0,$B950="",$M950=""),"",True)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VLOOKUP($I951,'用語辞書'!$A:$B,COLUMN('用語辞書'!B$1),FALSE),
IF(_xlpm.v=0,"",_xlpm.v)
),"")</f>
        <v/>
      </c>
      <c r="K951" s="17"/>
      <c r="L951" s="17" t="str">
        <f>IF(OR(COUNTIF('クラス'!$A$1:$A$1262,$B951)&gt;0,$B951="",$M951=""),"",True)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VLOOKUP($I952,'用語辞書'!$A:$B,COLUMN('用語辞書'!B$1),FALSE),
IF(_xlpm.v=0,"",_xlpm.v)
),"")</f>
        <v/>
      </c>
      <c r="K952" s="17"/>
      <c r="L952" s="17" t="b">
        <f>IF(OR(COUNTIF('クラス'!$A$1:$A$1262,$B952)&gt;0,$B952="",$M952=""),"",True)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VLOOKUP($I953,'用語辞書'!$A:$B,COLUMN('用語辞書'!B$1),FALSE),
IF(_xlpm.v=0,"",_xlpm.v)
),"")</f>
        <v/>
      </c>
      <c r="K953" s="17"/>
      <c r="L953" s="17" t="str">
        <f>IF(OR(COUNTIF('クラス'!$A$1:$A$1262,$B953)&gt;0,$B953="",$M953=""),"",True)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VLOOKUP($I954,'用語辞書'!$A:$B,COLUMN('用語辞書'!B$1),FALSE),
IF(_xlpm.v=0,"",_xlpm.v)
),"")</f>
        <v/>
      </c>
      <c r="K954" s="17"/>
      <c r="L954" s="17" t="b">
        <f>IF(OR(COUNTIF('クラス'!$A$1:$A$1262,$B954)&gt;0,$B954="",$M954=""),"",True)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VLOOKUP($I955,'用語辞書'!$A:$B,COLUMN('用語辞書'!B$1),FALSE),
IF(_xlpm.v=0,"",_xlpm.v)
),"")</f>
        <v/>
      </c>
      <c r="K955" s="17"/>
      <c r="L955" s="17" t="str">
        <f>IF(OR(COUNTIF('クラス'!$A$1:$A$1262,$B955)&gt;0,$B955="",$M955=""),"",True)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VLOOKUP($I956,'用語辞書'!$A:$B,COLUMN('用語辞書'!B$1),FALSE),
IF(_xlpm.v=0,"",_xlpm.v)
),"")</f>
        <v/>
      </c>
      <c r="K956" s="17"/>
      <c r="L956" s="17" t="b">
        <f>IF(OR(COUNTIF('クラス'!$A$1:$A$1262,$B956)&gt;0,$B956="",$M956=""),"",True)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VLOOKUP($I957,'用語辞書'!$A:$B,COLUMN('用語辞書'!B$1),FALSE),
IF(_xlpm.v=0,"",_xlpm.v)
),"")</f>
        <v/>
      </c>
      <c r="K957" s="17"/>
      <c r="L957" s="17" t="str">
        <f>IF(OR(COUNTIF('クラス'!$A$1:$A$1262,$B957)&gt;0,$B957="",$M957=""),"",True)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VLOOKUP($I958,'用語辞書'!$A:$B,COLUMN('用語辞書'!B$1),FALSE),
IF(_xlpm.v=0,"",_xlpm.v)
),"")</f>
        <v/>
      </c>
      <c r="K958" s="17"/>
      <c r="L958" s="17" t="b">
        <f>IF(OR(COUNTIF('クラス'!$A$1:$A$1262,$B958)&gt;0,$B958="",$M958=""),"",True)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VLOOKUP($I959,'用語辞書'!$A:$B,COLUMN('用語辞書'!B$1),FALSE),
IF(_xlpm.v=0,"",_xlpm.v)
),"")</f>
        <v/>
      </c>
      <c r="K959" s="17"/>
      <c r="L959" s="17" t="str">
        <f>IF(OR(COUNTIF('クラス'!$A$1:$A$1262,$B959)&gt;0,$B959="",$M959=""),"",True)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VLOOKUP($I960,'用語辞書'!$A:$B,COLUMN('用語辞書'!B$1),FALSE),
IF(_xlpm.v=0,"",_xlpm.v)
),"")</f>
        <v/>
      </c>
      <c r="K960" s="17"/>
      <c r="L960" s="17" t="b">
        <f>IF(OR(COUNTIF('クラス'!$A$1:$A$1262,$B960)&gt;0,$B960="",$M960=""),"",True)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VLOOKUP($I961,'用語辞書'!$A:$B,COLUMN('用語辞書'!B$1),FALSE),
IF(_xlpm.v=0,"",_xlpm.v)
),"")</f>
        <v/>
      </c>
      <c r="K961" s="17"/>
      <c r="L961" s="17" t="b">
        <f>IF(OR(COUNTIF('クラス'!$A$1:$A$1262,$B961)&gt;0,$B961="",$M961=""),"",True)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VLOOKUP($I962,'用語辞書'!$A:$B,COLUMN('用語辞書'!B$1),FALSE),
IF(_xlpm.v=0,"",_xlpm.v)
),"")</f>
        <v/>
      </c>
      <c r="K962" s="17"/>
      <c r="L962" s="17" t="str">
        <f>IF(OR(COUNTIF('クラス'!$A$1:$A$1262,$B962)&gt;0,$B962="",$M962=""),"",True)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VLOOKUP($I963,'用語辞書'!$A:$B,COLUMN('用語辞書'!B$1),FALSE),
IF(_xlpm.v=0,"",_xlpm.v)
),"")</f>
        <v/>
      </c>
      <c r="K963" s="17"/>
      <c r="L963" s="17" t="str">
        <f>IF(OR(COUNTIF('クラス'!$A$1:$A$1262,$B963)&gt;0,$B963="",$M963=""),"",True)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VLOOKUP($I964,'用語辞書'!$A:$B,COLUMN('用語辞書'!B$1),FALSE),
IF(_xlpm.v=0,"",_xlpm.v)
),"")</f>
        <v/>
      </c>
      <c r="K964" s="17"/>
      <c r="L964" s="17" t="b">
        <f>IF(OR(COUNTIF('クラス'!$A$1:$A$1262,$B964)&gt;0,$B964="",$M964=""),"",True)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VLOOKUP($I965,'用語辞書'!$A:$B,COLUMN('用語辞書'!B$1),FALSE),
IF(_xlpm.v=0,"",_xlpm.v)
),"")</f>
        <v/>
      </c>
      <c r="K965" s="17"/>
      <c r="L965" s="17" t="str">
        <f>IF(OR(COUNTIF('クラス'!$A$1:$A$1262,$B965)&gt;0,$B965="",$M965=""),"",True)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VLOOKUP($I966,'用語辞書'!$A:$B,COLUMN('用語辞書'!B$1),FALSE),
IF(_xlpm.v=0,"",_xlpm.v)
),"")</f>
        <v/>
      </c>
      <c r="K966" s="17"/>
      <c r="L966" s="17" t="str">
        <f>IF(OR(COUNTIF('クラス'!$A$1:$A$1262,$B966)&gt;0,$B966="",$M966=""),"",True)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VLOOKUP($I967,'用語辞書'!$A:$B,COLUMN('用語辞書'!B$1),FALSE),
IF(_xlpm.v=0,"",_xlpm.v)
),"")</f>
        <v/>
      </c>
      <c r="K967" s="17"/>
      <c r="L967" s="17" t="str">
        <f>IF(OR(COUNTIF('クラス'!$A$1:$A$1262,$B967)&gt;0,$B967="",$M967=""),"",True)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VLOOKUP($I968,'用語辞書'!$A:$B,COLUMN('用語辞書'!B$1),FALSE),
IF(_xlpm.v=0,"",_xlpm.v)
),"")</f>
        <v/>
      </c>
      <c r="K968" s="17"/>
      <c r="L968" s="17" t="str">
        <f>IF(OR(COUNTIF('クラス'!$A$1:$A$1262,$B968)&gt;0,$B968="",$M968=""),"",True)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VLOOKUP($I969,'用語辞書'!$A:$B,COLUMN('用語辞書'!B$1),FALSE),
IF(_xlpm.v=0,"",_xlpm.v)
),"")</f>
        <v/>
      </c>
      <c r="K969" s="17"/>
      <c r="L969" s="17" t="str">
        <f>IF(OR(COUNTIF('クラス'!$A$1:$A$1262,$B969)&gt;0,$B969="",$M969=""),"",True)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VLOOKUP($I970,'用語辞書'!$A:$B,COLUMN('用語辞書'!B$1),FALSE),
IF(_xlpm.v=0,"",_xlpm.v)
),"")</f>
        <v/>
      </c>
      <c r="K970" s="17"/>
      <c r="L970" s="17" t="str">
        <f>IF(OR(COUNTIF('クラス'!$A$1:$A$1262,$B970)&gt;0,$B970="",$M970=""),"",True)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VLOOKUP($I971,'用語辞書'!$A:$B,COLUMN('用語辞書'!B$1),FALSE),
IF(_xlpm.v=0,"",_xlpm.v)
),"")</f>
        <v/>
      </c>
      <c r="K971" s="17"/>
      <c r="L971" s="17" t="str">
        <f>IF(OR(COUNTIF('クラス'!$A$1:$A$1262,$B971)&gt;0,$B971="",$M971=""),"",True)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VLOOKUP($I972,'用語辞書'!$A:$B,COLUMN('用語辞書'!B$1),FALSE),
IF(_xlpm.v=0,"",_xlpm.v)
),"")</f>
        <v/>
      </c>
      <c r="K972" s="17"/>
      <c r="L972" s="17" t="str">
        <f>IF(OR(COUNTIF('クラス'!$A$1:$A$1262,$B972)&gt;0,$B972="",$M972=""),"",True)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VLOOKUP($I973,'用語辞書'!$A:$B,COLUMN('用語辞書'!B$1),FALSE),
IF(_xlpm.v=0,"",_xlpm.v)
),"")</f>
        <v/>
      </c>
      <c r="K973" s="17"/>
      <c r="L973" s="17" t="str">
        <f>IF(OR(COUNTIF('クラス'!$A$1:$A$1262,$B973)&gt;0,$B973="",$M973=""),"",True)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VLOOKUP($I974,'用語辞書'!$A:$B,COLUMN('用語辞書'!B$1),FALSE),
IF(_xlpm.v=0,"",_xlpm.v)
),"")</f>
        <v/>
      </c>
      <c r="K974" s="17"/>
      <c r="L974" s="17" t="str">
        <f>IF(OR(COUNTIF('クラス'!$A$1:$A$1262,$B974)&gt;0,$B974="",$M974=""),"",True)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VLOOKUP($I975,'用語辞書'!$A:$B,COLUMN('用語辞書'!B$1),FALSE),
IF(_xlpm.v=0,"",_xlpm.v)
),"")</f>
        <v/>
      </c>
      <c r="K975" s="17"/>
      <c r="L975" s="17" t="str">
        <f>IF(OR(COUNTIF('クラス'!$A$1:$A$1262,$B975)&gt;0,$B975="",$M975=""),"",True)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VLOOKUP($I976,'用語辞書'!$A:$B,COLUMN('用語辞書'!B$1),FALSE),
IF(_xlpm.v=0,"",_xlpm.v)
),"")</f>
        <v/>
      </c>
      <c r="K976" s="17"/>
      <c r="L976" s="17" t="str">
        <f>IF(OR(COUNTIF('クラス'!$A$1:$A$1262,$B976)&gt;0,$B976="",$M976=""),"",True)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VLOOKUP($I977,'用語辞書'!$A:$B,COLUMN('用語辞書'!B$1),FALSE),
IF(_xlpm.v=0,"",_xlpm.v)
),"")</f>
        <v/>
      </c>
      <c r="K977" s="17"/>
      <c r="L977" s="17" t="str">
        <f>IF(OR(COUNTIF('クラス'!$A$1:$A$1262,$B977)&gt;0,$B977="",$M977=""),"",True)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VLOOKUP($I978,'用語辞書'!$A:$B,COLUMN('用語辞書'!B$1),FALSE),
IF(_xlpm.v=0,"",_xlpm.v)
),"")</f>
        <v/>
      </c>
      <c r="K978" s="17"/>
      <c r="L978" s="17" t="str">
        <f>IF(OR(COUNTIF('クラス'!$A$1:$A$1262,$B978)&gt;0,$B978="",$M978=""),"",True)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VLOOKUP($I979,'用語辞書'!$A:$B,COLUMN('用語辞書'!B$1),FALSE),
IF(_xlpm.v=0,"",_xlpm.v)
),"")</f>
        <v/>
      </c>
      <c r="K979" s="17"/>
      <c r="L979" s="17" t="str">
        <f>IF(OR(COUNTIF('クラス'!$A$1:$A$1262,$B979)&gt;0,$B979="",$M979=""),"",True)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VLOOKUP($I980,'用語辞書'!$A:$B,COLUMN('用語辞書'!B$1),FALSE),
IF(_xlpm.v=0,"",_xlpm.v)
),"")</f>
        <v/>
      </c>
      <c r="K980" s="17"/>
      <c r="L980" s="17" t="str">
        <f>IF(OR(COUNTIF('クラス'!$A$1:$A$1262,$B980)&gt;0,$B980="",$M980=""),"",True)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VLOOKUP($I981,'用語辞書'!$A:$B,COLUMN('用語辞書'!B$1),FALSE),
IF(_xlpm.v=0,"",_xlpm.v)
),"")</f>
        <v/>
      </c>
      <c r="K981" s="17"/>
      <c r="L981" s="17" t="str">
        <f>IF(OR(COUNTIF('クラス'!$A$1:$A$1262,$B981)&gt;0,$B981="",$M981=""),"",True)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VLOOKUP($I982,'用語辞書'!$A:$B,COLUMN('用語辞書'!B$1),FALSE),
IF(_xlpm.v=0,"",_xlpm.v)
),"")</f>
        <v/>
      </c>
      <c r="K982" s="17"/>
      <c r="L982" s="17" t="str">
        <f>IF(OR(COUNTIF('クラス'!$A$1:$A$1262,$B982)&gt;0,$B982="",$M982=""),"",True)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VLOOKUP($I983,'用語辞書'!$A:$B,COLUMN('用語辞書'!B$1),FALSE),
IF(_xlpm.v=0,"",_xlpm.v)
),"")</f>
        <v/>
      </c>
      <c r="K983" s="17"/>
      <c r="L983" s="17" t="b">
        <f>IF(OR(COUNTIF('クラス'!$A$1:$A$1262,$B983)&gt;0,$B983="",$M983=""),"",True)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VLOOKUP($I984,'用語辞書'!$A:$B,COLUMN('用語辞書'!B$1),FALSE),
IF(_xlpm.v=0,"",_xlpm.v)
),"")</f>
        <v/>
      </c>
      <c r="K984" s="17"/>
      <c r="L984" s="17" t="str">
        <f>IF(OR(COUNTIF('クラス'!$A$1:$A$1262,$B984)&gt;0,$B984="",$M984=""),"",True)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VLOOKUP($I985,'用語辞書'!$A:$B,COLUMN('用語辞書'!B$1),FALSE),
IF(_xlpm.v=0,"",_xlpm.v)
),"")</f>
        <v/>
      </c>
      <c r="K985" s="17"/>
      <c r="L985" s="17" t="str">
        <f>IF(OR(COUNTIF('クラス'!$A$1:$A$1262,$B985)&gt;0,$B985="",$M985=""),"",True)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VLOOKUP($I986,'用語辞書'!$A:$B,COLUMN('用語辞書'!B$1),FALSE),
IF(_xlpm.v=0,"",_xlpm.v)
),"")</f>
        <v/>
      </c>
      <c r="K986" s="17"/>
      <c r="L986" s="17" t="str">
        <f>IF(OR(COUNTIF('クラス'!$A$1:$A$1262,$B986)&gt;0,$B986="",$M986=""),"",True)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VLOOKUP($I987,'用語辞書'!$A:$B,COLUMN('用語辞書'!B$1),FALSE),
IF(_xlpm.v=0,"",_xlpm.v)
),"")</f>
        <v/>
      </c>
      <c r="K987" s="17"/>
      <c r="L987" s="17" t="str">
        <f>IF(OR(COUNTIF('クラス'!$A$1:$A$1262,$B987)&gt;0,$B987="",$M987=""),"",True)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VLOOKUP($I988,'用語辞書'!$A:$B,COLUMN('用語辞書'!B$1),FALSE),
IF(_xlpm.v=0,"",_xlpm.v)
),"")</f>
        <v/>
      </c>
      <c r="K988" s="17"/>
      <c r="L988" s="17" t="b">
        <f>IF(OR(COUNTIF('クラス'!$A$1:$A$1262,$B988)&gt;0,$B988="",$M988=""),"",True)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VLOOKUP($I989,'用語辞書'!$A:$B,COLUMN('用語辞書'!B$1),FALSE),
IF(_xlpm.v=0,"",_xlpm.v)
),"")</f>
        <v/>
      </c>
      <c r="K989" s="17"/>
      <c r="L989" s="17" t="str">
        <f>IF(OR(COUNTIF('クラス'!$A$1:$A$1262,$B989)&gt;0,$B989="",$M989=""),"",True)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VLOOKUP($I990,'用語辞書'!$A:$B,COLUMN('用語辞書'!B$1),FALSE),
IF(_xlpm.v=0,"",_xlpm.v)
),"")</f>
        <v/>
      </c>
      <c r="K990" s="17"/>
      <c r="L990" s="17" t="str">
        <f>IF(OR(COUNTIF('クラス'!$A$1:$A$1262,$B990)&gt;0,$B990="",$M990=""),"",True)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VLOOKUP($I991,'用語辞書'!$A:$B,COLUMN('用語辞書'!B$1),FALSE),
IF(_xlpm.v=0,"",_xlpm.v)
),"")</f>
        <v/>
      </c>
      <c r="K991" s="17"/>
      <c r="L991" s="17" t="b">
        <f>IF(OR(COUNTIF('クラス'!$A$1:$A$1262,$B991)&gt;0,$B991="",$M991=""),"",True)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VLOOKUP($I992,'用語辞書'!$A:$B,COLUMN('用語辞書'!B$1),FALSE),
IF(_xlpm.v=0,"",_xlpm.v)
),"")</f>
        <v/>
      </c>
      <c r="K992" s="17"/>
      <c r="L992" s="17" t="b">
        <f>IF(OR(COUNTIF('クラス'!$A$1:$A$1262,$B992)&gt;0,$B992="",$M992=""),"",True)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VLOOKUP($I993,'用語辞書'!$A:$B,COLUMN('用語辞書'!B$1),FALSE),
IF(_xlpm.v=0,"",_xlpm.v)
),"")</f>
        <v/>
      </c>
      <c r="K993" s="17"/>
      <c r="L993" s="17" t="str">
        <f>IF(OR(COUNTIF('クラス'!$A$1:$A$1262,$B993)&gt;0,$B993="",$M993=""),"",True)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VLOOKUP($I994,'用語辞書'!$A:$B,COLUMN('用語辞書'!B$1),FALSE),
IF(_xlpm.v=0,"",_xlpm.v)
),"")</f>
        <v/>
      </c>
      <c r="K994" s="17"/>
      <c r="L994" s="17" t="str">
        <f>IF(OR(COUNTIF('クラス'!$A$1:$A$1262,$B994)&gt;0,$B994="",$M994=""),"",True)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VLOOKUP($I995,'用語辞書'!$A:$B,COLUMN('用語辞書'!B$1),FALSE),
IF(_xlpm.v=0,"",_xlpm.v)
),"")</f>
        <v/>
      </c>
      <c r="K995" s="17"/>
      <c r="L995" s="17" t="str">
        <f>IF(OR(COUNTIF('クラス'!$A$1:$A$1262,$B995)&gt;0,$B995="",$M995=""),"",True)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VLOOKUP($I996,'用語辞書'!$A:$B,COLUMN('用語辞書'!B$1),FALSE),
IF(_xlpm.v=0,"",_xlpm.v)
),"")</f>
        <v/>
      </c>
      <c r="K996" s="17"/>
      <c r="L996" s="17" t="b">
        <f>IF(OR(COUNTIF('クラス'!$A$1:$A$1262,$B996)&gt;0,$B996="",$M996=""),"",True)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VLOOKUP($I997,'用語辞書'!$A:$B,COLUMN('用語辞書'!B$1),FALSE),
IF(_xlpm.v=0,"",_xlpm.v)
),"")</f>
        <v/>
      </c>
      <c r="K997" s="17"/>
      <c r="L997" s="17" t="str">
        <f>IF(OR(COUNTIF('クラス'!$A$1:$A$1262,$B997)&gt;0,$B997="",$M997=""),"",True)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VLOOKUP($I998,'用語辞書'!$A:$B,COLUMN('用語辞書'!B$1),FALSE),
IF(_xlpm.v=0,"",_xlpm.v)
),"")</f>
        <v/>
      </c>
      <c r="K998" s="17"/>
      <c r="L998" s="17" t="str">
        <f>IF(OR(COUNTIF('クラス'!$A$1:$A$1262,$B998)&gt;0,$B998="",$M998=""),"",True)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VLOOKUP($I999,'用語辞書'!$A:$B,COLUMN('用語辞書'!B$1),FALSE),
IF(_xlpm.v=0,"",_xlpm.v)
),"")</f>
        <v/>
      </c>
      <c r="K999" s="17"/>
      <c r="L999" s="17" t="str">
        <f>IF(OR(COUNTIF('クラス'!$A$1:$A$1262,$B999)&gt;0,$B999="",$M999=""),"",True)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VLOOKUP($I1000,'用語辞書'!$A:$B,COLUMN('用語辞書'!B$1),FALSE),
IF(_xlpm.v=0,"",_xlpm.v)
),"")</f>
        <v/>
      </c>
      <c r="K1000" s="17"/>
      <c r="L1000" s="17" t="str">
        <f>IF(OR(COUNTIF('クラス'!$A$1:$A$1262,$B1000)&gt;0,$B1000="",$M1000=""),"",True)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VLOOKUP($I1001,'用語辞書'!$A:$B,COLUMN('用語辞書'!B$1),FALSE),
IF(_xlpm.v=0,"",_xlpm.v)
),"")</f>
        <v/>
      </c>
      <c r="K1001" s="17"/>
      <c r="L1001" s="17" t="b">
        <f>IF(OR(COUNTIF('クラス'!$A$1:$A$1262,$B1001)&gt;0,$B1001="",$M1001=""),"",True)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VLOOKUP($I1002,'用語辞書'!$A:$B,COLUMN('用語辞書'!B$1),FALSE),
IF(_xlpm.v=0,"",_xlpm.v)
),"")</f>
        <v/>
      </c>
      <c r="K1002" s="17"/>
      <c r="L1002" s="17" t="str">
        <f>IF(OR(COUNTIF('クラス'!$A$1:$A$1262,$B1002)&gt;0,$B1002="",$M1002=""),"",True)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VLOOKUP($I1003,'用語辞書'!$A:$B,COLUMN('用語辞書'!B$1),FALSE),
IF(_xlpm.v=0,"",_xlpm.v)
),"")</f>
        <v/>
      </c>
      <c r="K1003" s="17"/>
      <c r="L1003" s="17" t="str">
        <f>IF(OR(COUNTIF('クラス'!$A$1:$A$1262,$B1003)&gt;0,$B1003="",$M1003=""),"",True)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VLOOKUP($I1004,'用語辞書'!$A:$B,COLUMN('用語辞書'!B$1),FALSE),
IF(_xlpm.v=0,"",_xlpm.v)
),"")</f>
        <v/>
      </c>
      <c r="K1004" s="17"/>
      <c r="L1004" s="17" t="b">
        <f>IF(OR(COUNTIF('クラス'!$A$1:$A$1262,$B1004)&gt;0,$B1004="",$M1004=""),"",True)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VLOOKUP($I1005,'用語辞書'!$A:$B,COLUMN('用語辞書'!B$1),FALSE),
IF(_xlpm.v=0,"",_xlpm.v)
),"")</f>
        <v/>
      </c>
      <c r="K1005" s="17"/>
      <c r="L1005" s="17" t="b">
        <f>IF(OR(COUNTIF('クラス'!$A$1:$A$1262,$B1005)&gt;0,$B1005="",$M1005=""),"",True)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VLOOKUP($I1006,'用語辞書'!$A:$B,COLUMN('用語辞書'!B$1),FALSE),
IF(_xlpm.v=0,"",_xlpm.v)
),"")</f>
        <v/>
      </c>
      <c r="K1006" s="17"/>
      <c r="L1006" s="17" t="str">
        <f>IF(OR(COUNTIF('クラス'!$A$1:$A$1262,$B1006)&gt;0,$B1006="",$M1006=""),"",True)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VLOOKUP($I1007,'用語辞書'!$A:$B,COLUMN('用語辞書'!B$1),FALSE),
IF(_xlpm.v=0,"",_xlpm.v)
),"")</f>
        <v/>
      </c>
      <c r="K1007" s="17"/>
      <c r="L1007" s="17" t="str">
        <f>IF(OR(COUNTIF('クラス'!$A$1:$A$1262,$B1007)&gt;0,$B1007="",$M1007=""),"",True)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VLOOKUP($I1008,'用語辞書'!$A:$B,COLUMN('用語辞書'!B$1),FALSE),
IF(_xlpm.v=0,"",_xlpm.v)
),"")</f>
        <v/>
      </c>
      <c r="K1008" s="17"/>
      <c r="L1008" s="17" t="str">
        <f>IF(OR(COUNTIF('クラス'!$A$1:$A$1262,$B1008)&gt;0,$B1008="",$M1008=""),"",True)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VLOOKUP($I1009,'用語辞書'!$A:$B,COLUMN('用語辞書'!B$1),FALSE),
IF(_xlpm.v=0,"",_xlpm.v)
),"")</f>
        <v/>
      </c>
      <c r="K1009" s="17"/>
      <c r="L1009" s="17" t="b">
        <f>IF(OR(COUNTIF('クラス'!$A$1:$A$1262,$B1009)&gt;0,$B1009="",$M1009=""),"",True)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VLOOKUP($I1010,'用語辞書'!$A:$B,COLUMN('用語辞書'!B$1),FALSE),
IF(_xlpm.v=0,"",_xlpm.v)
),"")</f>
        <v/>
      </c>
      <c r="K1010" s="17"/>
      <c r="L1010" s="17" t="str">
        <f>IF(OR(COUNTIF('クラス'!$A$1:$A$1262,$B1010)&gt;0,$B1010="",$M1010=""),"",True)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VLOOKUP($I1011,'用語辞書'!$A:$B,COLUMN('用語辞書'!B$1),FALSE),
IF(_xlpm.v=0,"",_xlpm.v)
),"")</f>
        <v/>
      </c>
      <c r="K1011" s="17"/>
      <c r="L1011" s="17" t="b">
        <f>IF(OR(COUNTIF('クラス'!$A$1:$A$1262,$B1011)&gt;0,$B1011="",$M1011=""),"",True)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VLOOKUP($I1012,'用語辞書'!$A:$B,COLUMN('用語辞書'!B$1),FALSE),
IF(_xlpm.v=0,"",_xlpm.v)
),"")</f>
        <v/>
      </c>
      <c r="K1012" s="17"/>
      <c r="L1012" s="17" t="str">
        <f>IF(OR(COUNTIF('クラス'!$A$1:$A$1262,$B1012)&gt;0,$B1012="",$M1012=""),"",True)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VLOOKUP($I1013,'用語辞書'!$A:$B,COLUMN('用語辞書'!B$1),FALSE),
IF(_xlpm.v=0,"",_xlpm.v)
),"")</f>
        <v/>
      </c>
      <c r="K1013" s="17"/>
      <c r="L1013" s="17" t="str">
        <f>IF(OR(COUNTIF('クラス'!$A$1:$A$1262,$B1013)&gt;0,$B1013="",$M1013=""),"",True)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VLOOKUP($I1014,'用語辞書'!$A:$B,COLUMN('用語辞書'!B$1),FALSE),
IF(_xlpm.v=0,"",_xlpm.v)
),"")</f>
        <v/>
      </c>
      <c r="K1014" s="17"/>
      <c r="L1014" s="17" t="b">
        <f>IF(OR(COUNTIF('クラス'!$A$1:$A$1262,$B1014)&gt;0,$B1014="",$M1014=""),"",True)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VLOOKUP($I1015,'用語辞書'!$A:$B,COLUMN('用語辞書'!B$1),FALSE),
IF(_xlpm.v=0,"",_xlpm.v)
),"")</f>
        <v/>
      </c>
      <c r="K1015" s="17"/>
      <c r="L1015" s="17" t="str">
        <f>IF(OR(COUNTIF('クラス'!$A$1:$A$1262,$B1015)&gt;0,$B1015="",$M1015=""),"",True)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VLOOKUP($I1016,'用語辞書'!$A:$B,COLUMN('用語辞書'!B$1),FALSE),
IF(_xlpm.v=0,"",_xlpm.v)
),"")</f>
        <v/>
      </c>
      <c r="K1016" s="17"/>
      <c r="L1016" s="17" t="str">
        <f>IF(OR(COUNTIF('クラス'!$A$1:$A$1262,$B1016)&gt;0,$B1016="",$M1016=""),"",True)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VLOOKUP($I1017,'用語辞書'!$A:$B,COLUMN('用語辞書'!B$1),FALSE),
IF(_xlpm.v=0,"",_xlpm.v)
),"")</f>
        <v/>
      </c>
      <c r="K1017" s="17"/>
      <c r="L1017" s="17" t="b">
        <f>IF(OR(COUNTIF('クラス'!$A$1:$A$1262,$B1017)&gt;0,$B1017="",$M1017=""),"",True)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VLOOKUP($I1018,'用語辞書'!$A:$B,COLUMN('用語辞書'!B$1),FALSE),
IF(_xlpm.v=0,"",_xlpm.v)
),"")</f>
        <v>対象を後方へ移動させる</v>
      </c>
      <c r="K1018" s="17"/>
      <c r="L1018" s="17" t="b">
        <f>IF(OR(COUNTIF('クラス'!$A$1:$A$1262,$B1018)&gt;0,$B1018="",$M1018=""),"",True)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VLOOKUP($I1019,'用語辞書'!$A:$B,COLUMN('用語辞書'!B$1),FALSE),
IF(_xlpm.v=0,"",_xlpm.v)
),"")</f>
        <v/>
      </c>
      <c r="K1019" s="17"/>
      <c r="L1019" s="17" t="str">
        <f>IF(OR(COUNTIF('クラス'!$A$1:$A$1262,$B1019)&gt;0,$B1019="",$M1019=""),"",True)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VLOOKUP($I1020,'用語辞書'!$A:$B,COLUMN('用語辞書'!B$1),FALSE),
IF(_xlpm.v=0,"",_xlpm.v)
),"")</f>
        <v/>
      </c>
      <c r="K1020" s="17"/>
      <c r="L1020" s="17" t="str">
        <f>IF(OR(COUNTIF('クラス'!$A$1:$A$1262,$B1020)&gt;0,$B1020="",$M1020=""),"",True)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VLOOKUP($I1021,'用語辞書'!$A:$B,COLUMN('用語辞書'!B$1),FALSE),
IF(_xlpm.v=0,"",_xlpm.v)
),"")</f>
        <v/>
      </c>
      <c r="K1021" s="17"/>
      <c r="L1021" s="17" t="str">
        <f>IF(OR(COUNTIF('クラス'!$A$1:$A$1262,$B1021)&gt;0,$B1021="",$M1021=""),"",True)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VLOOKUP($I1022,'用語辞書'!$A:$B,COLUMN('用語辞書'!B$1),FALSE),
IF(_xlpm.v=0,"",_xlpm.v)
),"")</f>
        <v/>
      </c>
      <c r="K1022" s="17"/>
      <c r="L1022" s="17" t="b">
        <f>IF(OR(COUNTIF('クラス'!$A$1:$A$1262,$B1022)&gt;0,$B1022="",$M1022=""),"",True)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VLOOKUP($I1023,'用語辞書'!$A:$B,COLUMN('用語辞書'!B$1),FALSE),
IF(_xlpm.v=0,"",_xlpm.v)
),"")</f>
        <v/>
      </c>
      <c r="K1023" s="17"/>
      <c r="L1023" s="17" t="str">
        <f>IF(OR(COUNTIF('クラス'!$A$1:$A$1262,$B1023)&gt;0,$B1023="",$M1023=""),"",True)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VLOOKUP($I1024,'用語辞書'!$A:$B,COLUMN('用語辞書'!B$1),FALSE),
IF(_xlpm.v=0,"",_xlpm.v)
),"")</f>
        <v/>
      </c>
      <c r="K1024" s="17"/>
      <c r="L1024" s="17" t="str">
        <f>IF(OR(COUNTIF('クラス'!$A$1:$A$1262,$B1024)&gt;0,$B1024="",$M1024=""),"",True)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VLOOKUP($I1025,'用語辞書'!$A:$B,COLUMN('用語辞書'!B$1),FALSE),
IF(_xlpm.v=0,"",_xlpm.v)
),"")</f>
        <v/>
      </c>
      <c r="K1025" s="17"/>
      <c r="L1025" s="17" t="str">
        <f>IF(OR(COUNTIF('クラス'!$A$1:$A$1262,$B1025)&gt;0,$B1025="",$M1025=""),"",True)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VLOOKUP($I1026,'用語辞書'!$A:$B,COLUMN('用語辞書'!B$1),FALSE),
IF(_xlpm.v=0,"",_xlpm.v)
),"")</f>
        <v/>
      </c>
      <c r="K1026" s="17"/>
      <c r="L1026" s="17" t="str">
        <f>IF(OR(COUNTIF('クラス'!$A$1:$A$1262,$B1026)&gt;0,$B1026="",$M1026=""),"",True)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VLOOKUP($I1027,'用語辞書'!$A:$B,COLUMN('用語辞書'!B$1),FALSE),
IF(_xlpm.v=0,"",_xlpm.v)
),"")</f>
        <v/>
      </c>
      <c r="K1027" s="17"/>
      <c r="L1027" s="17" t="b">
        <f>IF(OR(COUNTIF('クラス'!$A$1:$A$1262,$B1027)&gt;0,$B1027="",$M1027=""),"",True)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VLOOKUP($I1028,'用語辞書'!$A:$B,COLUMN('用語辞書'!B$1),FALSE),
IF(_xlpm.v=0,"",_xlpm.v)
),"")</f>
        <v/>
      </c>
      <c r="K1028" s="17"/>
      <c r="L1028" s="17" t="str">
        <f>IF(OR(COUNTIF('クラス'!$A$1:$A$1262,$B1028)&gt;0,$B1028="",$M1028=""),"",True)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VLOOKUP($I1029,'用語辞書'!$A:$B,COLUMN('用語辞書'!B$1),FALSE),
IF(_xlpm.v=0,"",_xlpm.v)
),"")</f>
        <v/>
      </c>
      <c r="K1029" s="17"/>
      <c r="L1029" s="17" t="str">
        <f>IF(OR(COUNTIF('クラス'!$A$1:$A$1262,$B1029)&gt;0,$B1029="",$M1029=""),"",True)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VLOOKUP($I1030,'用語辞書'!$A:$B,COLUMN('用語辞書'!B$1),FALSE),
IF(_xlpm.v=0,"",_xlpm.v)
),"")</f>
        <v/>
      </c>
      <c r="K1030" s="17"/>
      <c r="L1030" s="17" t="b">
        <f>IF(OR(COUNTIF('クラス'!$A$1:$A$1262,$B1030)&gt;0,$B1030="",$M1030=""),"",True)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VLOOKUP($I1031,'用語辞書'!$A:$B,COLUMN('用語辞書'!B$1),FALSE),
IF(_xlpm.v=0,"",_xlpm.v)
),"")</f>
        <v/>
      </c>
      <c r="K1031" s="17"/>
      <c r="L1031" s="17" t="b">
        <f>IF(OR(COUNTIF('クラス'!$A$1:$A$1262,$B1031)&gt;0,$B1031="",$M1031=""),"",True)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VLOOKUP($I1032,'用語辞書'!$A:$B,COLUMN('用語辞書'!B$1),FALSE),
IF(_xlpm.v=0,"",_xlpm.v)
),"")</f>
        <v/>
      </c>
      <c r="K1032" s="17"/>
      <c r="L1032" s="17" t="str">
        <f>IF(OR(COUNTIF('クラス'!$A$1:$A$1262,$B1032)&gt;0,$B1032="",$M1032=""),"",True)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VLOOKUP($I1033,'用語辞書'!$A:$B,COLUMN('用語辞書'!B$1),FALSE),
IF(_xlpm.v=0,"",_xlpm.v)
),"")</f>
        <v/>
      </c>
      <c r="K1033" s="17"/>
      <c r="L1033" s="17" t="str">
        <f>IF(OR(COUNTIF('クラス'!$A$1:$A$1262,$B1033)&gt;0,$B1033="",$M1033=""),"",True)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VLOOKUP($I1034,'用語辞書'!$A:$B,COLUMN('用語辞書'!B$1),FALSE),
IF(_xlpm.v=0,"",_xlpm.v)
),"")</f>
        <v/>
      </c>
      <c r="K1034" s="17"/>
      <c r="L1034" s="17" t="str">
        <f>IF(OR(COUNTIF('クラス'!$A$1:$A$1262,$B1034)&gt;0,$B1034="",$M1034=""),"",True)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VLOOKUP($I1035,'用語辞書'!$A:$B,COLUMN('用語辞書'!B$1),FALSE),
IF(_xlpm.v=0,"",_xlpm.v)
),"")</f>
        <v/>
      </c>
      <c r="K1035" s="17"/>
      <c r="L1035" s="17" t="b">
        <f>IF(OR(COUNTIF('クラス'!$A$1:$A$1262,$B1035)&gt;0,$B1035="",$M1035=""),"",True)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VLOOKUP($I1036,'用語辞書'!$A:$B,COLUMN('用語辞書'!B$1),FALSE),
IF(_xlpm.v=0,"",_xlpm.v)
),"")</f>
        <v/>
      </c>
      <c r="K1036" s="17"/>
      <c r="L1036" s="17" t="str">
        <f>IF(OR(COUNTIF('クラス'!$A$1:$A$1262,$B1036)&gt;0,$B1036="",$M1036=""),"",True)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VLOOKUP($I1037,'用語辞書'!$A:$B,COLUMN('用語辞書'!B$1),FALSE),
IF(_xlpm.v=0,"",_xlpm.v)
),"")</f>
        <v/>
      </c>
      <c r="K1037" s="17"/>
      <c r="L1037" s="17" t="str">
        <f>IF(OR(COUNTIF('クラス'!$A$1:$A$1262,$B1037)&gt;0,$B1037="",$M1037=""),"",True)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VLOOKUP($I1038,'用語辞書'!$A:$B,COLUMN('用語辞書'!B$1),FALSE),
IF(_xlpm.v=0,"",_xlpm.v)
),"")</f>
        <v/>
      </c>
      <c r="K1038" s="17"/>
      <c r="L1038" s="17" t="str">
        <f>IF(OR(COUNTIF('クラス'!$A$1:$A$1262,$B1038)&gt;0,$B1038="",$M1038=""),"",True)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VLOOKUP($I1039,'用語辞書'!$A:$B,COLUMN('用語辞書'!B$1),FALSE),
IF(_xlpm.v=0,"",_xlpm.v)
),"")</f>
        <v/>
      </c>
      <c r="K1039" s="17"/>
      <c r="L1039" s="17" t="str">
        <f>IF(OR(COUNTIF('クラス'!$A$1:$A$1262,$B1039)&gt;0,$B1039="",$M1039=""),"",True)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VLOOKUP($I1040,'用語辞書'!$A:$B,COLUMN('用語辞書'!B$1),FALSE),
IF(_xlpm.v=0,"",_xlpm.v)
),"")</f>
        <v/>
      </c>
      <c r="K1040" s="17"/>
      <c r="L1040" s="17" t="b">
        <f>IF(OR(COUNTIF('クラス'!$A$1:$A$1262,$B1040)&gt;0,$B1040="",$M1040=""),"",True)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VLOOKUP($I1041,'用語辞書'!$A:$B,COLUMN('用語辞書'!B$1),FALSE),
IF(_xlpm.v=0,"",_xlpm.v)
),"")</f>
        <v/>
      </c>
      <c r="K1041" s="17"/>
      <c r="L1041" s="17" t="str">
        <f>IF(OR(COUNTIF('クラス'!$A$1:$A$1262,$B1041)&gt;0,$B1041="",$M1041=""),"",True)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VLOOKUP($I1042,'用語辞書'!$A:$B,COLUMN('用語辞書'!B$1),FALSE),
IF(_xlpm.v=0,"",_xlpm.v)
),"")</f>
        <v/>
      </c>
      <c r="K1042" s="17"/>
      <c r="L1042" s="17" t="str">
        <f>IF(OR(COUNTIF('クラス'!$A$1:$A$1262,$B1042)&gt;0,$B1042="",$M1042=""),"",True)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VLOOKUP($I1043,'用語辞書'!$A:$B,COLUMN('用語辞書'!B$1),FALSE),
IF(_xlpm.v=0,"",_xlpm.v)
),"")</f>
        <v/>
      </c>
      <c r="K1043" s="17"/>
      <c r="L1043" s="17" t="b">
        <f>IF(OR(COUNTIF('クラス'!$A$1:$A$1262,$B1043)&gt;0,$B1043="",$M1043=""),"",True)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VLOOKUP($I1044,'用語辞書'!$A:$B,COLUMN('用語辞書'!B$1),FALSE),
IF(_xlpm.v=0,"",_xlpm.v)
),"")</f>
        <v/>
      </c>
      <c r="K1044" s="17"/>
      <c r="L1044" s="17" t="b">
        <f>IF(OR(COUNTIF('クラス'!$A$1:$A$1262,$B1044)&gt;0,$B1044="",$M1044=""),"",True)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VLOOKUP($I1045,'用語辞書'!$A:$B,COLUMN('用語辞書'!B$1),FALSE),
IF(_xlpm.v=0,"",_xlpm.v)
),"")</f>
        <v/>
      </c>
      <c r="K1045" s="17"/>
      <c r="L1045" s="17" t="str">
        <f>IF(OR(COUNTIF('クラス'!$A$1:$A$1262,$B1045)&gt;0,$B1045="",$M1045=""),"",True)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VLOOKUP($I1046,'用語辞書'!$A:$B,COLUMN('用語辞書'!B$1),FALSE),
IF(_xlpm.v=0,"",_xlpm.v)
),"")</f>
        <v/>
      </c>
      <c r="K1046" s="17"/>
      <c r="L1046" s="17" t="str">
        <f>IF(OR(COUNTIF('クラス'!$A$1:$A$1262,$B1046)&gt;0,$B1046="",$M1046=""),"",True)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VLOOKUP($I1047,'用語辞書'!$A:$B,COLUMN('用語辞書'!B$1),FALSE),
IF(_xlpm.v=0,"",_xlpm.v)
),"")</f>
        <v/>
      </c>
      <c r="K1047" s="17"/>
      <c r="L1047" s="17" t="str">
        <f>IF(OR(COUNTIF('クラス'!$A$1:$A$1262,$B1047)&gt;0,$B1047="",$M1047=""),"",True)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VLOOKUP($I1048,'用語辞書'!$A:$B,COLUMN('用語辞書'!B$1),FALSE),
IF(_xlpm.v=0,"",_xlpm.v)
),"")</f>
        <v/>
      </c>
      <c r="K1048" s="17"/>
      <c r="L1048" s="17" t="str">
        <f>IF(OR(COUNTIF('クラス'!$A$1:$A$1262,$B1048)&gt;0,$B1048="",$M1048=""),"",True)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VLOOKUP($I1049,'用語辞書'!$A:$B,COLUMN('用語辞書'!B$1),FALSE),
IF(_xlpm.v=0,"",_xlpm.v)
),"")</f>
        <v/>
      </c>
      <c r="K1049" s="17"/>
      <c r="L1049" s="17" t="str">
        <f>IF(OR(COUNTIF('クラス'!$A$1:$A$1262,$B1049)&gt;0,$B1049="",$M1049=""),"",True)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VLOOKUP($I1050,'用語辞書'!$A:$B,COLUMN('用語辞書'!B$1),FALSE),
IF(_xlpm.v=0,"",_xlpm.v)
),"")</f>
        <v/>
      </c>
      <c r="K1050" s="17"/>
      <c r="L1050" s="17" t="b">
        <f>IF(OR(COUNTIF('クラス'!$A$1:$A$1262,$B1050)&gt;0,$B1050="",$M1050=""),"",True)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VLOOKUP($I1051,'用語辞書'!$A:$B,COLUMN('用語辞書'!B$1),FALSE),
IF(_xlpm.v=0,"",_xlpm.v)
),"")</f>
        <v/>
      </c>
      <c r="K1051" s="17"/>
      <c r="L1051" s="17" t="b">
        <f>IF(OR(COUNTIF('クラス'!$A$1:$A$1262,$B1051)&gt;0,$B1051="",$M1051=""),"",True)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VLOOKUP($I1052,'用語辞書'!$A:$B,COLUMN('用語辞書'!B$1),FALSE),
IF(_xlpm.v=0,"",_xlpm.v)
),"")</f>
        <v/>
      </c>
      <c r="K1052" s="17"/>
      <c r="L1052" s="17" t="b">
        <f>IF(OR(COUNTIF('クラス'!$A$1:$A$1262,$B1052)&gt;0,$B1052="",$M1052=""),"",True)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VLOOKUP($I1053,'用語辞書'!$A:$B,COLUMN('用語辞書'!B$1),FALSE),
IF(_xlpm.v=0,"",_xlpm.v)
),"")</f>
        <v/>
      </c>
      <c r="K1053" s="17"/>
      <c r="L1053" s="17" t="str">
        <f>IF(OR(COUNTIF('クラス'!$A$1:$A$1262,$B1053)&gt;0,$B1053="",$M1053=""),"",True)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VLOOKUP($I1054,'用語辞書'!$A:$B,COLUMN('用語辞書'!B$1),FALSE),
IF(_xlpm.v=0,"",_xlpm.v)
),"")</f>
        <v/>
      </c>
      <c r="K1054" s="17"/>
      <c r="L1054" s="17" t="str">
        <f>IF(OR(COUNTIF('クラス'!$A$1:$A$1262,$B1054)&gt;0,$B1054="",$M1054=""),"",True)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VLOOKUP($I1055,'用語辞書'!$A:$B,COLUMN('用語辞書'!B$1),FALSE),
IF(_xlpm.v=0,"",_xlpm.v)
),"")</f>
        <v/>
      </c>
      <c r="K1055" s="17"/>
      <c r="L1055" s="17" t="str">
        <f>IF(OR(COUNTIF('クラス'!$A$1:$A$1262,$B1055)&gt;0,$B1055="",$M1055=""),"",True)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VLOOKUP($I1056,'用語辞書'!$A:$B,COLUMN('用語辞書'!B$1),FALSE),
IF(_xlpm.v=0,"",_xlpm.v)
),"")</f>
        <v/>
      </c>
      <c r="K1056" s="17"/>
      <c r="L1056" s="17" t="str">
        <f>IF(OR(COUNTIF('クラス'!$A$1:$A$1262,$B1056)&gt;0,$B1056="",$M1056=""),"",True)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VLOOKUP($I1057,'用語辞書'!$A:$B,COLUMN('用語辞書'!B$1),FALSE),
IF(_xlpm.v=0,"",_xlpm.v)
),"")</f>
        <v/>
      </c>
      <c r="K1057" s="17"/>
      <c r="L1057" s="17" t="str">
        <f>IF(OR(COUNTIF('クラス'!$A$1:$A$1262,$B1057)&gt;0,$B1057="",$M1057=""),"",True)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VLOOKUP($I1058,'用語辞書'!$A:$B,COLUMN('用語辞書'!B$1),FALSE),
IF(_xlpm.v=0,"",_xlpm.v)
),"")</f>
        <v/>
      </c>
      <c r="K1058" s="17"/>
      <c r="L1058" s="17" t="str">
        <f>IF(OR(COUNTIF('クラス'!$A$1:$A$1262,$B1058)&gt;0,$B1058="",$M1058=""),"",True)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VLOOKUP($I1059,'用語辞書'!$A:$B,COLUMN('用語辞書'!B$1),FALSE),
IF(_xlpm.v=0,"",_xlpm.v)
),"")</f>
        <v/>
      </c>
      <c r="K1059" s="17"/>
      <c r="L1059" s="17" t="str">
        <f>IF(OR(COUNTIF('クラス'!$A$1:$A$1262,$B1059)&gt;0,$B1059="",$M1059=""),"",True)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VLOOKUP($I1060,'用語辞書'!$A:$B,COLUMN('用語辞書'!B$1),FALSE),
IF(_xlpm.v=0,"",_xlpm.v)
),"")</f>
        <v/>
      </c>
      <c r="K1060" s="17"/>
      <c r="L1060" s="17" t="str">
        <f>IF(OR(COUNTIF('クラス'!$A$1:$A$1262,$B1060)&gt;0,$B1060="",$M1060=""),"",True)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VLOOKUP($I1061,'用語辞書'!$A:$B,COLUMN('用語辞書'!B$1),FALSE),
IF(_xlpm.v=0,"",_xlpm.v)
),"")</f>
        <v/>
      </c>
      <c r="K1061" s="17"/>
      <c r="L1061" s="17" t="str">
        <f>IF(OR(COUNTIF('クラス'!$A$1:$A$1262,$B1061)&gt;0,$B1061="",$M1061=""),"",True)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VLOOKUP($I1062,'用語辞書'!$A:$B,COLUMN('用語辞書'!B$1),FALSE),
IF(_xlpm.v=0,"",_xlpm.v)
),"")</f>
        <v/>
      </c>
      <c r="K1062" s="17"/>
      <c r="L1062" s="17" t="str">
        <f>IF(OR(COUNTIF('クラス'!$A$1:$A$1262,$B1062)&gt;0,$B1062="",$M1062=""),"",True)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VLOOKUP($I1063,'用語辞書'!$A:$B,COLUMN('用語辞書'!B$1),FALSE),
IF(_xlpm.v=0,"",_xlpm.v)
),"")</f>
        <v/>
      </c>
      <c r="K1063" s="17"/>
      <c r="L1063" s="17" t="b">
        <f>IF(OR(COUNTIF('クラス'!$A$1:$A$1262,$B1063)&gt;0,$B1063="",$M1063=""),"",True)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VLOOKUP($I1064,'用語辞書'!$A:$B,COLUMN('用語辞書'!B$1),FALSE),
IF(_xlpm.v=0,"",_xlpm.v)
),"")</f>
        <v/>
      </c>
      <c r="K1064" s="17"/>
      <c r="L1064" s="17" t="str">
        <f>IF(OR(COUNTIF('クラス'!$A$1:$A$1262,$B1064)&gt;0,$B1064="",$M1064=""),"",True)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VLOOKUP($I1065,'用語辞書'!$A:$B,COLUMN('用語辞書'!B$1),FALSE),
IF(_xlpm.v=0,"",_xlpm.v)
),"")</f>
        <v/>
      </c>
      <c r="K1065" s="17"/>
      <c r="L1065" s="17" t="str">
        <f>IF(OR(COUNTIF('クラス'!$A$1:$A$1262,$B1065)&gt;0,$B1065="",$M1065=""),"",True)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VLOOKUP($I1066,'用語辞書'!$A:$B,COLUMN('用語辞書'!B$1),FALSE),
IF(_xlpm.v=0,"",_xlpm.v)
),"")</f>
        <v/>
      </c>
      <c r="K1066" s="17"/>
      <c r="L1066" s="17" t="str">
        <f>IF(OR(COUNTIF('クラス'!$A$1:$A$1262,$B1066)&gt;0,$B1066="",$M1066=""),"",True)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VLOOKUP($I1067,'用語辞書'!$A:$B,COLUMN('用語辞書'!B$1),FALSE),
IF(_xlpm.v=0,"",_xlpm.v)
),"")</f>
        <v/>
      </c>
      <c r="K1067" s="17"/>
      <c r="L1067" s="17" t="str">
        <f>IF(OR(COUNTIF('クラス'!$A$1:$A$1262,$B1067)&gt;0,$B1067="",$M1067=""),"",True)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VLOOKUP($I1068,'用語辞書'!$A:$B,COLUMN('用語辞書'!B$1),FALSE),
IF(_xlpm.v=0,"",_xlpm.v)
),"")</f>
        <v/>
      </c>
      <c r="K1068" s="17"/>
      <c r="L1068" s="17" t="str">
        <f>IF(OR(COUNTIF('クラス'!$A$1:$A$1262,$B1068)&gt;0,$B1068="",$M1068=""),"",True)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VLOOKUP($I1069,'用語辞書'!$A:$B,COLUMN('用語辞書'!B$1),FALSE),
IF(_xlpm.v=0,"",_xlpm.v)
),"")</f>
        <v/>
      </c>
      <c r="K1069" s="17"/>
      <c r="L1069" s="17" t="str">
        <f>IF(OR(COUNTIF('クラス'!$A$1:$A$1262,$B1069)&gt;0,$B1069="",$M1069=""),"",True)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VLOOKUP($I1070,'用語辞書'!$A:$B,COLUMN('用語辞書'!B$1),FALSE),
IF(_xlpm.v=0,"",_xlpm.v)
),"")</f>
        <v/>
      </c>
      <c r="K1070" s="17"/>
      <c r="L1070" s="17" t="str">
        <f>IF(OR(COUNTIF('クラス'!$A$1:$A$1262,$B1070)&gt;0,$B1070="",$M1070=""),"",True)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VLOOKUP($I1071,'用語辞書'!$A:$B,COLUMN('用語辞書'!B$1),FALSE),
IF(_xlpm.v=0,"",_xlpm.v)
),"")</f>
        <v/>
      </c>
      <c r="K1071" s="17"/>
      <c r="L1071" s="17" t="str">
        <f>IF(OR(COUNTIF('クラス'!$A$1:$A$1262,$B1071)&gt;0,$B1071="",$M1071=""),"",True)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VLOOKUP($I1072,'用語辞書'!$A:$B,COLUMN('用語辞書'!B$1),FALSE),
IF(_xlpm.v=0,"",_xlpm.v)
),"")</f>
        <v/>
      </c>
      <c r="K1072" s="17"/>
      <c r="L1072" s="17" t="str">
        <f>IF(OR(COUNTIF('クラス'!$A$1:$A$1262,$B1072)&gt;0,$B1072="",$M1072=""),"",True)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VLOOKUP($I1073,'用語辞書'!$A:$B,COLUMN('用語辞書'!B$1),FALSE),
IF(_xlpm.v=0,"",_xlpm.v)
),"")</f>
        <v/>
      </c>
      <c r="K1073" s="17"/>
      <c r="L1073" s="17" t="str">
        <f>IF(OR(COUNTIF('クラス'!$A$1:$A$1262,$B1073)&gt;0,$B1073="",$M1073=""),"",True)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VLOOKUP($I1074,'用語辞書'!$A:$B,COLUMN('用語辞書'!B$1),FALSE),
IF(_xlpm.v=0,"",_xlpm.v)
),"")</f>
        <v/>
      </c>
      <c r="K1074" s="17"/>
      <c r="L1074" s="17" t="str">
        <f>IF(OR(COUNTIF('クラス'!$A$1:$A$1262,$B1074)&gt;0,$B1074="",$M1074=""),"",True)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VLOOKUP($I1075,'用語辞書'!$A:$B,COLUMN('用語辞書'!B$1),FALSE),
IF(_xlpm.v=0,"",_xlpm.v)
),"")</f>
        <v/>
      </c>
      <c r="K1075" s="17"/>
      <c r="L1075" s="17" t="str">
        <f>IF(OR(COUNTIF('クラス'!$A$1:$A$1262,$B1075)&gt;0,$B1075="",$M1075=""),"",True)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VLOOKUP($I1076,'用語辞書'!$A:$B,COLUMN('用語辞書'!B$1),FALSE),
IF(_xlpm.v=0,"",_xlpm.v)
),"")</f>
        <v/>
      </c>
      <c r="K1076" s="17"/>
      <c r="L1076" s="17" t="str">
        <f>IF(OR(COUNTIF('クラス'!$A$1:$A$1262,$B1076)&gt;0,$B1076="",$M1076=""),"",True)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VLOOKUP($I1077,'用語辞書'!$A:$B,COLUMN('用語辞書'!B$1),FALSE),
IF(_xlpm.v=0,"",_xlpm.v)
),"")</f>
        <v/>
      </c>
      <c r="K1077" s="17"/>
      <c r="L1077" s="17" t="b">
        <f>IF(OR(COUNTIF('クラス'!$A$1:$A$1262,$B1077)&gt;0,$B1077="",$M1077=""),"",True)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VLOOKUP($I1078,'用語辞書'!$A:$B,COLUMN('用語辞書'!B$1),FALSE),
IF(_xlpm.v=0,"",_xlpm.v)
),"")</f>
        <v/>
      </c>
      <c r="K1078" s="17"/>
      <c r="L1078" s="17" t="str">
        <f>IF(OR(COUNTIF('クラス'!$A$1:$A$1262,$B1078)&gt;0,$B1078="",$M1078=""),"",True)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VLOOKUP($I1079,'用語辞書'!$A:$B,COLUMN('用語辞書'!B$1),FALSE),
IF(_xlpm.v=0,"",_xlpm.v)
),"")</f>
        <v/>
      </c>
      <c r="K1079" s="17"/>
      <c r="L1079" s="17" t="str">
        <f>IF(OR(COUNTIF('クラス'!$A$1:$A$1262,$B1079)&gt;0,$B1079="",$M1079=""),"",True)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VLOOKUP($I1080,'用語辞書'!$A:$B,COLUMN('用語辞書'!B$1),FALSE),
IF(_xlpm.v=0,"",_xlpm.v)
),"")</f>
        <v/>
      </c>
      <c r="K1080" s="17"/>
      <c r="L1080" s="17" t="str">
        <f>IF(OR(COUNTIF('クラス'!$A$1:$A$1262,$B1080)&gt;0,$B1080="",$M1080=""),"",True)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VLOOKUP($I1081,'用語辞書'!$A:$B,COLUMN('用語辞書'!B$1),FALSE),
IF(_xlpm.v=0,"",_xlpm.v)
),"")</f>
        <v/>
      </c>
      <c r="K1081" s="17"/>
      <c r="L1081" s="17" t="str">
        <f>IF(OR(COUNTIF('クラス'!$A$1:$A$1262,$B1081)&gt;0,$B1081="",$M1081=""),"",True)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VLOOKUP($I1082,'用語辞書'!$A:$B,COLUMN('用語辞書'!B$1),FALSE),
IF(_xlpm.v=0,"",_xlpm.v)
),"")</f>
        <v/>
      </c>
      <c r="K1082" s="17"/>
      <c r="L1082" s="17" t="str">
        <f>IF(OR(COUNTIF('クラス'!$A$1:$A$1262,$B1082)&gt;0,$B1082="",$M1082=""),"",True)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VLOOKUP($I1083,'用語辞書'!$A:$B,COLUMN('用語辞書'!B$1),FALSE),
IF(_xlpm.v=0,"",_xlpm.v)
),"")</f>
        <v/>
      </c>
      <c r="K1083" s="17"/>
      <c r="L1083" s="17" t="str">
        <f>IF(OR(COUNTIF('クラス'!$A$1:$A$1262,$B1083)&gt;0,$B1083="",$M1083=""),"",True)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VLOOKUP($I1084,'用語辞書'!$A:$B,COLUMN('用語辞書'!B$1),FALSE),
IF(_xlpm.v=0,"",_xlpm.v)
),"")</f>
        <v/>
      </c>
      <c r="K1084" s="17"/>
      <c r="L1084" s="17" t="str">
        <f>IF(OR(COUNTIF('クラス'!$A$1:$A$1262,$B1084)&gt;0,$B1084="",$M1084=""),"",True)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VLOOKUP($I1085,'用語辞書'!$A:$B,COLUMN('用語辞書'!B$1),FALSE),
IF(_xlpm.v=0,"",_xlpm.v)
),"")</f>
        <v/>
      </c>
      <c r="K1085" s="17"/>
      <c r="L1085" s="17" t="str">
        <f>IF(OR(COUNTIF('クラス'!$A$1:$A$1262,$B1085)&gt;0,$B1085="",$M1085=""),"",True)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VLOOKUP($I1086,'用語辞書'!$A:$B,COLUMN('用語辞書'!B$1),FALSE),
IF(_xlpm.v=0,"",_xlpm.v)
),"")</f>
        <v/>
      </c>
      <c r="K1086" s="17"/>
      <c r="L1086" s="17" t="str">
        <f>IF(OR(COUNTIF('クラス'!$A$1:$A$1262,$B1086)&gt;0,$B1086="",$M1086=""),"",True)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VLOOKUP($I1087,'用語辞書'!$A:$B,COLUMN('用語辞書'!B$1),FALSE),
IF(_xlpm.v=0,"",_xlpm.v)
),"")</f>
        <v/>
      </c>
      <c r="K1087" s="17"/>
      <c r="L1087" s="17" t="str">
        <f>IF(OR(COUNTIF('クラス'!$A$1:$A$1262,$B1087)&gt;0,$B1087="",$M1087=""),"",True)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VLOOKUP($I1088,'用語辞書'!$A:$B,COLUMN('用語辞書'!B$1),FALSE),
IF(_xlpm.v=0,"",_xlpm.v)
),"")</f>
        <v/>
      </c>
      <c r="K1088" s="17"/>
      <c r="L1088" s="17" t="str">
        <f>IF(OR(COUNTIF('クラス'!$A$1:$A$1262,$B1088)&gt;0,$B1088="",$M1088=""),"",True)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VLOOKUP($I1089,'用語辞書'!$A:$B,COLUMN('用語辞書'!B$1),FALSE),
IF(_xlpm.v=0,"",_xlpm.v)
),"")</f>
        <v/>
      </c>
      <c r="K1089" s="17"/>
      <c r="L1089" s="17" t="b">
        <f>IF(OR(COUNTIF('クラス'!$A$1:$A$1262,$B1089)&gt;0,$B1089="",$M1089=""),"",True)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VLOOKUP($I1090,'用語辞書'!$A:$B,COLUMN('用語辞書'!B$1),FALSE),
IF(_xlpm.v=0,"",_xlpm.v)
),"")</f>
        <v/>
      </c>
      <c r="K1090" s="17"/>
      <c r="L1090" s="17" t="b">
        <f>IF(OR(COUNTIF('クラス'!$A$1:$A$1262,$B1090)&gt;0,$B1090="",$M1090=""),"",True)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VLOOKUP($I1091,'用語辞書'!$A:$B,COLUMN('用語辞書'!B$1),FALSE),
IF(_xlpm.v=0,"",_xlpm.v)
),"")</f>
        <v/>
      </c>
      <c r="K1091" s="17"/>
      <c r="L1091" s="17" t="str">
        <f>IF(OR(COUNTIF('クラス'!$A$1:$A$1262,$B1091)&gt;0,$B1091="",$M1091=""),"",True)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VLOOKUP($I1092,'用語辞書'!$A:$B,COLUMN('用語辞書'!B$1),FALSE),
IF(_xlpm.v=0,"",_xlpm.v)
),"")</f>
        <v/>
      </c>
      <c r="K1092" s="17"/>
      <c r="L1092" s="17" t="str">
        <f>IF(OR(COUNTIF('クラス'!$A$1:$A$1262,$B1092)&gt;0,$B1092="",$M1092=""),"",True)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VLOOKUP($I1093,'用語辞書'!$A:$B,COLUMN('用語辞書'!B$1),FALSE),
IF(_xlpm.v=0,"",_xlpm.v)
),"")</f>
        <v/>
      </c>
      <c r="K1093" s="17"/>
      <c r="L1093" s="17" t="str">
        <f>IF(OR(COUNTIF('クラス'!$A$1:$A$1262,$B1093)&gt;0,$B1093="",$M1093=""),"",True)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VLOOKUP($I1094,'用語辞書'!$A:$B,COLUMN('用語辞書'!B$1),FALSE),
IF(_xlpm.v=0,"",_xlpm.v)
),"")</f>
        <v/>
      </c>
      <c r="K1094" s="17"/>
      <c r="L1094" s="17" t="str">
        <f>IF(OR(COUNTIF('クラス'!$A$1:$A$1262,$B1094)&gt;0,$B1094="",$M1094=""),"",True)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VLOOKUP($I1095,'用語辞書'!$A:$B,COLUMN('用語辞書'!B$1),FALSE),
IF(_xlpm.v=0,"",_xlpm.v)
),"")</f>
        <v/>
      </c>
      <c r="K1095" s="17"/>
      <c r="L1095" s="17" t="str">
        <f>IF(OR(COUNTIF('クラス'!$A$1:$A$1262,$B1095)&gt;0,$B1095="",$M1095=""),"",True)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VLOOKUP($I1096,'用語辞書'!$A:$B,COLUMN('用語辞書'!B$1),FALSE),
IF(_xlpm.v=0,"",_xlpm.v)
),"")</f>
        <v/>
      </c>
      <c r="K1096" s="17"/>
      <c r="L1096" s="17" t="str">
        <f>IF(OR(COUNTIF('クラス'!$A$1:$A$1262,$B1096)&gt;0,$B1096="",$M1096=""),"",True)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VLOOKUP($I1097,'用語辞書'!$A:$B,COLUMN('用語辞書'!B$1),FALSE),
IF(_xlpm.v=0,"",_xlpm.v)
),"")</f>
        <v/>
      </c>
      <c r="K1097" s="17"/>
      <c r="L1097" s="17" t="str">
        <f>IF(OR(COUNTIF('クラス'!$A$1:$A$1262,$B1097)&gt;0,$B1097="",$M1097=""),"",True)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VLOOKUP($I1098,'用語辞書'!$A:$B,COLUMN('用語辞書'!B$1),FALSE),
IF(_xlpm.v=0,"",_xlpm.v)
),"")</f>
        <v/>
      </c>
      <c r="K1098" s="17"/>
      <c r="L1098" s="17" t="str">
        <f>IF(OR(COUNTIF('クラス'!$A$1:$A$1262,$B1098)&gt;0,$B1098="",$M1098=""),"",True)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VLOOKUP($I1099,'用語辞書'!$A:$B,COLUMN('用語辞書'!B$1),FALSE),
IF(_xlpm.v=0,"",_xlpm.v)
),"")</f>
        <v/>
      </c>
      <c r="K1099" s="17"/>
      <c r="L1099" s="17" t="str">
        <f>IF(OR(COUNTIF('クラス'!$A$1:$A$1262,$B1099)&gt;0,$B1099="",$M1099=""),"",True)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VLOOKUP($I1100,'用語辞書'!$A:$B,COLUMN('用語辞書'!B$1),FALSE),
IF(_xlpm.v=0,"",_xlpm.v)
),"")</f>
        <v/>
      </c>
      <c r="K1100" s="17"/>
      <c r="L1100" s="17" t="str">
        <f>IF(OR(COUNTIF('クラス'!$A$1:$A$1262,$B1100)&gt;0,$B1100="",$M1100=""),"",True)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VLOOKUP($I1101,'用語辞書'!$A:$B,COLUMN('用語辞書'!B$1),FALSE),
IF(_xlpm.v=0,"",_xlpm.v)
),"")</f>
        <v/>
      </c>
      <c r="K1101" s="17"/>
      <c r="L1101" s="17" t="str">
        <f>IF(OR(COUNTIF('クラス'!$A$1:$A$1262,$B1101)&gt;0,$B1101="",$M1101=""),"",True)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VLOOKUP($I1102,'用語辞書'!$A:$B,COLUMN('用語辞書'!B$1),FALSE),
IF(_xlpm.v=0,"",_xlpm.v)
),"")</f>
        <v/>
      </c>
      <c r="K1102" s="17"/>
      <c r="L1102" s="17" t="b">
        <f>IF(OR(COUNTIF('クラス'!$A$1:$A$1262,$B1102)&gt;0,$B1102="",$M1102=""),"",True)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VLOOKUP($I1103,'用語辞書'!$A:$B,COLUMN('用語辞書'!B$1),FALSE),
IF(_xlpm.v=0,"",_xlpm.v)
),"")</f>
        <v/>
      </c>
      <c r="K1103" s="17"/>
      <c r="L1103" s="17" t="b">
        <f>IF(OR(COUNTIF('クラス'!$A$1:$A$1262,$B1103)&gt;0,$B1103="",$M1103=""),"",True)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VLOOKUP($I1104,'用語辞書'!$A:$B,COLUMN('用語辞書'!B$1),FALSE),
IF(_xlpm.v=0,"",_xlpm.v)
),"")</f>
        <v/>
      </c>
      <c r="K1104" s="17"/>
      <c r="L1104" s="17" t="str">
        <f>IF(OR(COUNTIF('クラス'!$A$1:$A$1262,$B1104)&gt;0,$B1104="",$M1104=""),"",True)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VLOOKUP($I1105,'用語辞書'!$A:$B,COLUMN('用語辞書'!B$1),FALSE),
IF(_xlpm.v=0,"",_xlpm.v)
),"")</f>
        <v/>
      </c>
      <c r="K1105" s="17"/>
      <c r="L1105" s="17" t="str">
        <f>IF(OR(COUNTIF('クラス'!$A$1:$A$1262,$B1105)&gt;0,$B1105="",$M1105=""),"",True)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VLOOKUP($I1106,'用語辞書'!$A:$B,COLUMN('用語辞書'!B$1),FALSE),
IF(_xlpm.v=0,"",_xlpm.v)
),"")</f>
        <v/>
      </c>
      <c r="K1106" s="17"/>
      <c r="L1106" s="17" t="str">
        <f>IF(OR(COUNTIF('クラス'!$A$1:$A$1262,$B1106)&gt;0,$B1106="",$M1106=""),"",True)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VLOOKUP($I1107,'用語辞書'!$A:$B,COLUMN('用語辞書'!B$1),FALSE),
IF(_xlpm.v=0,"",_xlpm.v)
),"")</f>
        <v/>
      </c>
      <c r="K1107" s="17"/>
      <c r="L1107" s="17" t="str">
        <f>IF(OR(COUNTIF('クラス'!$A$1:$A$1262,$B1107)&gt;0,$B1107="",$M1107=""),"",True)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VLOOKUP($I1108,'用語辞書'!$A:$B,COLUMN('用語辞書'!B$1),FALSE),
IF(_xlpm.v=0,"",_xlpm.v)
),"")</f>
        <v/>
      </c>
      <c r="K1108" s="17"/>
      <c r="L1108" s="17" t="str">
        <f>IF(OR(COUNTIF('クラス'!$A$1:$A$1262,$B1108)&gt;0,$B1108="",$M1108=""),"",True)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VLOOKUP($I1109,'用語辞書'!$A:$B,COLUMN('用語辞書'!B$1),FALSE),
IF(_xlpm.v=0,"",_xlpm.v)
),"")</f>
        <v/>
      </c>
      <c r="K1109" s="17"/>
      <c r="L1109" s="17" t="str">
        <f>IF(OR(COUNTIF('クラス'!$A$1:$A$1262,$B1109)&gt;0,$B1109="",$M1109=""),"",True)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VLOOKUP($I1110,'用語辞書'!$A:$B,COLUMN('用語辞書'!B$1),FALSE),
IF(_xlpm.v=0,"",_xlpm.v)
),"")</f>
        <v/>
      </c>
      <c r="K1110" s="17"/>
      <c r="L1110" s="17" t="str">
        <f>IF(OR(COUNTIF('クラス'!$A$1:$A$1262,$B1110)&gt;0,$B1110="",$M1110=""),"",True)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VLOOKUP($I1111,'用語辞書'!$A:$B,COLUMN('用語辞書'!B$1),FALSE),
IF(_xlpm.v=0,"",_xlpm.v)
),"")</f>
        <v/>
      </c>
      <c r="K1111" s="17"/>
      <c r="L1111" s="17" t="str">
        <f>IF(OR(COUNTIF('クラス'!$A$1:$A$1262,$B1111)&gt;0,$B1111="",$M1111=""),"",True)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VLOOKUP($I1112,'用語辞書'!$A:$B,COLUMN('用語辞書'!B$1),FALSE),
IF(_xlpm.v=0,"",_xlpm.v)
),"")</f>
        <v/>
      </c>
      <c r="K1112" s="17"/>
      <c r="L1112" s="17" t="str">
        <f>IF(OR(COUNTIF('クラス'!$A$1:$A$1262,$B1112)&gt;0,$B1112="",$M1112=""),"",True)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VLOOKUP($I1113,'用語辞書'!$A:$B,COLUMN('用語辞書'!B$1),FALSE),
IF(_xlpm.v=0,"",_xlpm.v)
),"")</f>
        <v/>
      </c>
      <c r="K1113" s="17"/>
      <c r="L1113" s="17" t="str">
        <f>IF(OR(COUNTIF('クラス'!$A$1:$A$1262,$B1113)&gt;0,$B1113="",$M1113=""),"",True)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VLOOKUP($I1114,'用語辞書'!$A:$B,COLUMN('用語辞書'!B$1),FALSE),
IF(_xlpm.v=0,"",_xlpm.v)
),"")</f>
        <v/>
      </c>
      <c r="K1114" s="17"/>
      <c r="L1114" s="17" t="str">
        <f>IF(OR(COUNTIF('クラス'!$A$1:$A$1262,$B1114)&gt;0,$B1114="",$M1114=""),"",True)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VLOOKUP($I1115,'用語辞書'!$A:$B,COLUMN('用語辞書'!B$1),FALSE),
IF(_xlpm.v=0,"",_xlpm.v)
),"")</f>
        <v/>
      </c>
      <c r="K1115" s="17"/>
      <c r="L1115" s="17" t="b">
        <f>IF(OR(COUNTIF('クラス'!$A$1:$A$1262,$B1115)&gt;0,$B1115="",$M1115=""),"",True)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VLOOKUP($I1116,'用語辞書'!$A:$B,COLUMN('用語辞書'!B$1),FALSE),
IF(_xlpm.v=0,"",_xlpm.v)
),"")</f>
        <v/>
      </c>
      <c r="K1116" s="17"/>
      <c r="L1116" s="17" t="b">
        <f>IF(OR(COUNTIF('クラス'!$A$1:$A$1262,$B1116)&gt;0,$B1116="",$M1116=""),"",True)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VLOOKUP($I1117,'用語辞書'!$A:$B,COLUMN('用語辞書'!B$1),FALSE),
IF(_xlpm.v=0,"",_xlpm.v)
),"")</f>
        <v/>
      </c>
      <c r="K1117" s="17"/>
      <c r="L1117" s="17" t="str">
        <f>IF(OR(COUNTIF('クラス'!$A$1:$A$1262,$B1117)&gt;0,$B1117="",$M1117=""),"",True)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VLOOKUP($I1118,'用語辞書'!$A:$B,COLUMN('用語辞書'!B$1),FALSE),
IF(_xlpm.v=0,"",_xlpm.v)
),"")</f>
        <v/>
      </c>
      <c r="K1118" s="17"/>
      <c r="L1118" s="17" t="str">
        <f>IF(OR(COUNTIF('クラス'!$A$1:$A$1262,$B1118)&gt;0,$B1118="",$M1118=""),"",True)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VLOOKUP($I1119,'用語辞書'!$A:$B,COLUMN('用語辞書'!B$1),FALSE),
IF(_xlpm.v=0,"",_xlpm.v)
),"")</f>
        <v/>
      </c>
      <c r="K1119" s="17"/>
      <c r="L1119" s="17" t="str">
        <f>IF(OR(COUNTIF('クラス'!$A$1:$A$1262,$B1119)&gt;0,$B1119="",$M1119=""),"",True)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VLOOKUP($I1120,'用語辞書'!$A:$B,COLUMN('用語辞書'!B$1),FALSE),
IF(_xlpm.v=0,"",_xlpm.v)
),"")</f>
        <v/>
      </c>
      <c r="K1120" s="17"/>
      <c r="L1120" s="17" t="str">
        <f>IF(OR(COUNTIF('クラス'!$A$1:$A$1262,$B1120)&gt;0,$B1120="",$M1120=""),"",True)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VLOOKUP($I1121,'用語辞書'!$A:$B,COLUMN('用語辞書'!B$1),FALSE),
IF(_xlpm.v=0,"",_xlpm.v)
),"")</f>
        <v/>
      </c>
      <c r="K1121" s="17"/>
      <c r="L1121" s="17" t="str">
        <f>IF(OR(COUNTIF('クラス'!$A$1:$A$1262,$B1121)&gt;0,$B1121="",$M1121=""),"",True)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VLOOKUP($I1122,'用語辞書'!$A:$B,COLUMN('用語辞書'!B$1),FALSE),
IF(_xlpm.v=0,"",_xlpm.v)
),"")</f>
        <v/>
      </c>
      <c r="K1122" s="17"/>
      <c r="L1122" s="17" t="str">
        <f>IF(OR(COUNTIF('クラス'!$A$1:$A$1262,$B1122)&gt;0,$B1122="",$M1122=""),"",True)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VLOOKUP($I1123,'用語辞書'!$A:$B,COLUMN('用語辞書'!B$1),FALSE),
IF(_xlpm.v=0,"",_xlpm.v)
),"")</f>
        <v/>
      </c>
      <c r="K1123" s="17"/>
      <c r="L1123" s="17" t="str">
        <f>IF(OR(COUNTIF('クラス'!$A$1:$A$1262,$B1123)&gt;0,$B1123="",$M1123=""),"",True)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VLOOKUP($I1124,'用語辞書'!$A:$B,COLUMN('用語辞書'!B$1),FALSE),
IF(_xlpm.v=0,"",_xlpm.v)
),"")</f>
        <v/>
      </c>
      <c r="K1124" s="17"/>
      <c r="L1124" s="17" t="str">
        <f>IF(OR(COUNTIF('クラス'!$A$1:$A$1262,$B1124)&gt;0,$B1124="",$M1124=""),"",True)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VLOOKUP($I1125,'用語辞書'!$A:$B,COLUMN('用語辞書'!B$1),FALSE),
IF(_xlpm.v=0,"",_xlpm.v)
),"")</f>
        <v/>
      </c>
      <c r="K1125" s="17"/>
      <c r="L1125" s="17" t="str">
        <f>IF(OR(COUNTIF('クラス'!$A$1:$A$1262,$B1125)&gt;0,$B1125="",$M1125=""),"",True)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VLOOKUP($I1126,'用語辞書'!$A:$B,COLUMN('用語辞書'!B$1),FALSE),
IF(_xlpm.v=0,"",_xlpm.v)
),"")</f>
        <v/>
      </c>
      <c r="K1126" s="17"/>
      <c r="L1126" s="17" t="str">
        <f>IF(OR(COUNTIF('クラス'!$A$1:$A$1262,$B1126)&gt;0,$B1126="",$M1126=""),"",True)</f>
        <v/>
      </c>
      <c r="M1126" s="1" t="str">
        <f>IF(COUNTIF($B$1:$C1661,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VLOOKUP($I1127,'用語辞書'!$A:$B,COLUMN('用語辞書'!B$1),FALSE),
IF(_xlpm.v=0,"",_xlpm.v)
),"")</f>
        <v/>
      </c>
      <c r="K1127" s="17"/>
      <c r="L1127" s="17" t="b">
        <f>IF(OR(COUNTIF('クラス'!$A$1:$A$1262,$B1127)&gt;0,$B1127="",$M1127=""),"",True)</f>
        <v>1</v>
      </c>
      <c r="M1127" s="1" t="str">
        <f t="shared" ref="M1127:M1150"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VLOOKUP($I1128,'用語辞書'!$A:$B,COLUMN('用語辞書'!B$1),FALSE),
IF(_xlpm.v=0,"",_xlpm.v)
),"")</f>
        <v/>
      </c>
      <c r="K1128" s="17"/>
      <c r="L1128" s="17" t="b">
        <f>IF(OR(COUNTIF('クラス'!$A$1:$A$1262,$B1128)&gt;0,$B1128="",$M1128=""),"",True)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VLOOKUP($I1129,'用語辞書'!$A:$B,COLUMN('用語辞書'!B$1),FALSE),
IF(_xlpm.v=0,"",_xlpm.v)
),"")</f>
        <v/>
      </c>
      <c r="K1129" s="17"/>
      <c r="L1129" s="17" t="b">
        <f>IF(OR(COUNTIF('クラス'!$A$1:$A$1262,$B1129)&gt;0,$B1129="",$M1129=""),"",True)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VLOOKUP($I1130,'用語辞書'!$A:$B,COLUMN('用語辞書'!B$1),FALSE),
IF(_xlpm.v=0,"",_xlpm.v)
),"")</f>
        <v/>
      </c>
      <c r="K1130" s="17"/>
      <c r="L1130" s="17" t="str">
        <f>IF(OR(COUNTIF('クラス'!$A$1:$A$1262,$B1130)&gt;0,$B1130="",$M1130=""),"",True)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VLOOKUP($I1131,'用語辞書'!$A:$B,COLUMN('用語辞書'!B$1),FALSE),
IF(_xlpm.v=0,"",_xlpm.v)
),"")</f>
        <v/>
      </c>
      <c r="K1131" s="17"/>
      <c r="L1131" s="17" t="str">
        <f>IF(OR(COUNTIF('クラス'!$A$1:$A$1262,$B1131)&gt;0,$B1131="",$M1131=""),"",True)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VLOOKUP($I1132,'用語辞書'!$A:$B,COLUMN('用語辞書'!B$1),FALSE),
IF(_xlpm.v=0,"",_xlpm.v)
),"")</f>
        <v/>
      </c>
      <c r="K1132" s="17"/>
      <c r="L1132" s="17" t="str">
        <f>IF(OR(COUNTIF('クラス'!$A$1:$A$1262,$B1132)&gt;0,$B1132="",$M1132=""),"",True)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VLOOKUP($I1133,'用語辞書'!$A:$B,COLUMN('用語辞書'!B$1),FALSE),
IF(_xlpm.v=0,"",_xlpm.v)
),"")</f>
        <v/>
      </c>
      <c r="K1133" s="17"/>
      <c r="L1133" s="17" t="str">
        <f>IF(OR(COUNTIF('クラス'!$A$1:$A$1262,$B1133)&gt;0,$B1133="",$M1133=""),"",True)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VLOOKUP($I1134,'用語辞書'!$A:$B,COLUMN('用語辞書'!B$1),FALSE),
IF(_xlpm.v=0,"",_xlpm.v)
),"")</f>
        <v/>
      </c>
      <c r="K1134" s="17"/>
      <c r="L1134" s="17" t="str">
        <f>IF(OR(COUNTIF('クラス'!$A$1:$A$1262,$B1134)&gt;0,$B1134="",$M1134=""),"",True)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VLOOKUP($I1135,'用語辞書'!$A:$B,COLUMN('用語辞書'!B$1),FALSE),
IF(_xlpm.v=0,"",_xlpm.v)
),"")</f>
        <v/>
      </c>
      <c r="K1135" s="17"/>
      <c r="L1135" s="17" t="str">
        <f>IF(OR(COUNTIF('クラス'!$A$1:$A$1262,$B1135)&gt;0,$B1135="",$M1135=""),"",True)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VLOOKUP($I1136,'用語辞書'!$A:$B,COLUMN('用語辞書'!B$1),FALSE),
IF(_xlpm.v=0,"",_xlpm.v)
),"")</f>
        <v/>
      </c>
      <c r="K1136" s="17"/>
      <c r="L1136" s="17" t="str">
        <f>IF(OR(COUNTIF('クラス'!$A$1:$A$1262,$B1136)&gt;0,$B1136="",$M1136=""),"",True)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VLOOKUP($I1137,'用語辞書'!$A:$B,COLUMN('用語辞書'!B$1),FALSE),
IF(_xlpm.v=0,"",_xlpm.v)
),"")</f>
        <v/>
      </c>
      <c r="K1137" s="17"/>
      <c r="L1137" s="17" t="str">
        <f>IF(OR(COUNTIF('クラス'!$A$1:$A$1262,$B1137)&gt;0,$B1137="",$M1137=""),"",True)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VLOOKUP($I1138,'用語辞書'!$A:$B,COLUMN('用語辞書'!B$1),FALSE),
IF(_xlpm.v=0,"",_xlpm.v)
),"")</f>
        <v/>
      </c>
      <c r="K1138" s="17"/>
      <c r="L1138" s="17" t="str">
        <f>IF(OR(COUNTIF('クラス'!$A$1:$A$1262,$B1138)&gt;0,$B1138="",$M1138=""),"",True)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VLOOKUP($I1139,'用語辞書'!$A:$B,COLUMN('用語辞書'!B$1),FALSE),
IF(_xlpm.v=0,"",_xlpm.v)
),"")</f>
        <v/>
      </c>
      <c r="K1139" s="17"/>
      <c r="L1139" s="17" t="str">
        <f>IF(OR(COUNTIF('クラス'!$A$1:$A$1262,$B1139)&gt;0,$B1139="",$M1139=""),"",True)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VLOOKUP($I1140,'用語辞書'!$A:$B,COLUMN('用語辞書'!B$1),FALSE),
IF(_xlpm.v=0,"",_xlpm.v)
),"")</f>
        <v/>
      </c>
      <c r="K1140" s="17"/>
      <c r="L1140" s="17" t="str">
        <f>IF(OR(COUNTIF('クラス'!$A$1:$A$1262,$B1140)&gt;0,$B1140="",$M1140=""),"",True)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VLOOKUP($I1141,'用語辞書'!$A:$B,COLUMN('用語辞書'!B$1),FALSE),
IF(_xlpm.v=0,"",_xlpm.v)
),"")</f>
        <v/>
      </c>
      <c r="K1141" s="17"/>
      <c r="L1141" s="17" t="b">
        <f>IF(OR(COUNTIF('クラス'!$A$1:$A$1262,$B1141)&gt;0,$B1141="",$M1141=""),"",True)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VLOOKUP($I1142,'用語辞書'!$A:$B,COLUMN('用語辞書'!B$1),FALSE),
IF(_xlpm.v=0,"",_xlpm.v)
),"")</f>
        <v/>
      </c>
      <c r="K1142" s="17"/>
      <c r="L1142" s="17" t="b">
        <f>IF(OR(COUNTIF('クラス'!$A$1:$A$1262,$B1142)&gt;0,$B1142="",$M1142=""),"",True)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VLOOKUP($I1143,'用語辞書'!$A:$B,COLUMN('用語辞書'!B$1),FALSE),
IF(_xlpm.v=0,"",_xlpm.v)
),"")</f>
        <v/>
      </c>
      <c r="K1143" s="17"/>
      <c r="L1143" s="17" t="str">
        <f>IF(OR(COUNTIF('クラス'!$A$1:$A$1262,$B1143)&gt;0,$B1143="",$M1143=""),"",True)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VLOOKUP($I1144,'用語辞書'!$A:$B,COLUMN('用語辞書'!B$1),FALSE),
IF(_xlpm.v=0,"",_xlpm.v)
),"")</f>
        <v/>
      </c>
      <c r="K1144" s="17"/>
      <c r="L1144" s="17" t="str">
        <f>IF(OR(COUNTIF('クラス'!$A$1:$A$1262,$B1144)&gt;0,$B1144="",$M1144=""),"",True)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VLOOKUP($I1145,'用語辞書'!$A:$B,COLUMN('用語辞書'!B$1),FALSE),
IF(_xlpm.v=0,"",_xlpm.v)
),"")</f>
        <v/>
      </c>
      <c r="K1145" s="17"/>
      <c r="L1145" s="17" t="str">
        <f>IF(OR(COUNTIF('クラス'!$A$1:$A$1262,$B1145)&gt;0,$B1145="",$M1145=""),"",True)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VLOOKUP($I1146,'用語辞書'!$A:$B,COLUMN('用語辞書'!B$1),FALSE),
IF(_xlpm.v=0,"",_xlpm.v)
),"")</f>
        <v/>
      </c>
      <c r="K1146" s="17"/>
      <c r="L1146" s="17" t="str">
        <f>IF(OR(COUNTIF('クラス'!$A$1:$A$1262,$B1146)&gt;0,$B1146="",$M1146=""),"",True)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VLOOKUP($I1147,'用語辞書'!$A:$B,COLUMN('用語辞書'!B$1),FALSE),
IF(_xlpm.v=0,"",_xlpm.v)
),"")</f>
        <v/>
      </c>
      <c r="K1147" s="17"/>
      <c r="L1147" s="17" t="str">
        <f>IF(OR(COUNTIF('クラス'!$A$1:$A$1262,$B1147)&gt;0,$B1147="",$M1147=""),"",True)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VLOOKUP($I1148,'用語辞書'!$A:$B,COLUMN('用語辞書'!B$1),FALSE),
IF(_xlpm.v=0,"",_xlpm.v)
),"")</f>
        <v/>
      </c>
      <c r="K1148" s="17"/>
      <c r="L1148" s="17" t="str">
        <f>IF(OR(COUNTIF('クラス'!$A$1:$A$1262,$B1148)&gt;0,$B1148="",$M1148=""),"",True)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VLOOKUP($I1149,'用語辞書'!$A:$B,COLUMN('用語辞書'!B$1),FALSE),
IF(_xlpm.v=0,"",_xlpm.v)
),"")</f>
        <v/>
      </c>
      <c r="K1149" s="17"/>
      <c r="L1149" s="17" t="str">
        <f>IF(OR(COUNTIF('クラス'!$A$1:$A$1262,$B1149)&gt;0,$B1149="",$M1149=""),"",True)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1" collapsed="1">
      <c r="A1150" s="1"/>
      <c r="B1150" s="1"/>
      <c r="C1150" s="1"/>
      <c r="D1150" s="1"/>
      <c r="E1150" s="14"/>
      <c r="F1150" s="15"/>
      <c r="G1150" s="16"/>
      <c r="H1150" s="11"/>
      <c r="I1150" s="7"/>
      <c r="J1150" s="7" t="str">
        <f>IFERROR(LET(_xlpm.v,
VLOOKUP($I1150,'用語辞書'!$A:$B,COLUMN('用語辞書'!B$1),FALSE),
IF(_xlpm.v=0,"",_xlpm.v)
),"")</f>
        <v/>
      </c>
      <c r="K1150" s="17"/>
      <c r="L1150" s="17" t="str">
        <f>IF(OR(COUNTIF('クラス'!$A$1:$A$1262,$B1150)&gt;0,$B1150="",$M1150=""),"",True)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 r="A1151" s="1"/>
      <c r="B1151" s="26" t="s">
        <v>1533</v>
      </c>
      <c r="C1151" s="1"/>
      <c r="D1151" s="1"/>
      <c r="E1151" s="14"/>
      <c r="F1151" s="15"/>
      <c r="G1151" s="16"/>
      <c r="H1151" s="11"/>
      <c r="I1151" s="7"/>
      <c r="J1151" s="7"/>
      <c r="K1151" s="17"/>
      <c r="L1151" s="17"/>
      <c r="M1151" s="1"/>
      <c r="N1151" s="1"/>
      <c r="O1151" s="1"/>
      <c r="P1151" s="11"/>
      <c r="Q1151" s="11"/>
      <c r="R1151" s="11"/>
      <c r="S1151" s="11"/>
      <c r="T1151" s="1"/>
      <c r="U1151" s="1"/>
      <c r="V1151" s="1"/>
      <c r="W1151" s="1"/>
      <c r="X1151" s="1"/>
      <c r="Y1151" s="1"/>
      <c r="Z1151" s="1"/>
    </row>
    <row r="1152" ht="18.0" customHeight="1" outlineLevel="2">
      <c r="A1152" s="26">
        <v>1.0</v>
      </c>
      <c r="B1152" s="26" t="s">
        <v>37</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2.0</v>
      </c>
      <c r="B1153" s="26" t="s">
        <v>35</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3.0</v>
      </c>
      <c r="B1154" s="26" t="s">
        <v>1534</v>
      </c>
      <c r="C1154" s="1"/>
      <c r="D1154" s="1"/>
      <c r="E1154" s="29" t="s">
        <v>33</v>
      </c>
      <c r="F1154" s="15"/>
      <c r="G1154" s="30">
        <v>60.0</v>
      </c>
      <c r="H1154" s="22" t="s">
        <v>1535</v>
      </c>
      <c r="I1154" s="7"/>
      <c r="J1154" s="32" t="s">
        <v>1536</v>
      </c>
      <c r="K1154" s="17"/>
      <c r="L1154" s="17"/>
      <c r="M1154" s="1"/>
      <c r="N1154" s="1"/>
      <c r="O1154" s="1"/>
      <c r="P1154" s="11"/>
      <c r="Q1154" s="11"/>
      <c r="R1154" s="11"/>
      <c r="S1154" s="11"/>
      <c r="T1154" s="1"/>
      <c r="U1154" s="1"/>
      <c r="V1154" s="1"/>
      <c r="W1154" s="1"/>
      <c r="X1154" s="1"/>
      <c r="Y1154" s="1"/>
      <c r="Z1154" s="1"/>
    </row>
    <row r="1155" ht="18.0" customHeight="1" outlineLevel="2">
      <c r="A1155" s="26">
        <v>4.0</v>
      </c>
      <c r="B1155" s="26" t="s">
        <v>1498</v>
      </c>
      <c r="C1155" s="1"/>
      <c r="D1155" s="1"/>
      <c r="E1155" s="29"/>
      <c r="F1155" s="15"/>
      <c r="G1155" s="30"/>
      <c r="H1155" s="22"/>
      <c r="I1155" s="7"/>
      <c r="J1155" s="7"/>
      <c r="K1155" s="17"/>
      <c r="L1155" s="17"/>
      <c r="M1155" s="1"/>
      <c r="N1155" s="1"/>
      <c r="O1155" s="1"/>
      <c r="P1155" s="11"/>
      <c r="Q1155" s="11"/>
      <c r="R1155" s="11"/>
      <c r="S1155" s="11"/>
      <c r="T1155" s="1"/>
      <c r="U1155" s="1"/>
      <c r="V1155" s="1"/>
      <c r="W1155" s="1"/>
      <c r="X1155" s="1"/>
      <c r="Y1155" s="1"/>
      <c r="Z1155" s="1"/>
    </row>
    <row r="1156" ht="18.0" customHeight="1" outlineLevel="2">
      <c r="A1156" s="26">
        <v>5.0</v>
      </c>
      <c r="B1156" s="26" t="s">
        <v>1500</v>
      </c>
      <c r="C1156" s="1"/>
      <c r="D1156" s="1"/>
      <c r="E1156" s="14"/>
      <c r="F1156" s="15"/>
      <c r="G1156" s="16"/>
      <c r="H1156" s="11"/>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6.0</v>
      </c>
      <c r="B1157" s="1"/>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7.0</v>
      </c>
      <c r="B1158" s="26" t="s">
        <v>1209</v>
      </c>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8.0</v>
      </c>
      <c r="B1159" s="1"/>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9.0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10.0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1">
      <c r="A1162" s="1"/>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26" t="s">
        <v>1537</v>
      </c>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2">
      <c r="A1165" s="26">
        <v>1.0</v>
      </c>
      <c r="B1165" s="26" t="s">
        <v>32</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2.0</v>
      </c>
      <c r="B1166" s="26" t="s">
        <v>1538</v>
      </c>
      <c r="C1166" s="1"/>
      <c r="D1166" s="1"/>
      <c r="E1166" s="29" t="s">
        <v>33</v>
      </c>
      <c r="F1166" s="15"/>
      <c r="G1166" s="30">
        <v>60.0</v>
      </c>
      <c r="H1166" s="22" t="s">
        <v>1539</v>
      </c>
      <c r="I1166" s="7"/>
      <c r="J1166" s="32" t="s">
        <v>1540</v>
      </c>
      <c r="K1166" s="17"/>
      <c r="L1166" s="17"/>
      <c r="M1166" s="1"/>
      <c r="N1166" s="1"/>
      <c r="O1166" s="1"/>
      <c r="P1166" s="11"/>
      <c r="Q1166" s="11"/>
      <c r="R1166" s="11"/>
      <c r="S1166" s="11"/>
      <c r="T1166" s="1"/>
      <c r="U1166" s="1"/>
      <c r="V1166" s="1"/>
      <c r="W1166" s="1"/>
      <c r="X1166" s="1"/>
      <c r="Y1166" s="1"/>
      <c r="Z1166" s="1"/>
    </row>
    <row r="1167" ht="18.0" customHeight="1" outlineLevel="2">
      <c r="A1167" s="26">
        <v>3.0</v>
      </c>
      <c r="B1167" s="26" t="s">
        <v>1541</v>
      </c>
      <c r="C1167" s="1"/>
      <c r="D1167" s="1"/>
      <c r="E1167" s="29" t="s">
        <v>55</v>
      </c>
      <c r="F1167" s="15"/>
      <c r="G1167" s="16"/>
      <c r="H1167" s="22" t="s">
        <v>1542</v>
      </c>
      <c r="I1167" s="7"/>
      <c r="J1167" s="32" t="s">
        <v>1543</v>
      </c>
      <c r="K1167" s="17"/>
      <c r="L1167" s="17"/>
      <c r="M1167" s="1"/>
      <c r="N1167" s="1"/>
      <c r="O1167" s="1"/>
      <c r="P1167" s="11"/>
      <c r="Q1167" s="11"/>
      <c r="R1167" s="11"/>
      <c r="S1167" s="11"/>
      <c r="T1167" s="1"/>
      <c r="U1167" s="1"/>
      <c r="V1167" s="1"/>
      <c r="W1167" s="1"/>
      <c r="X1167" s="1"/>
      <c r="Y1167" s="1"/>
      <c r="Z1167" s="1"/>
    </row>
    <row r="1168" ht="18.0" customHeight="1" outlineLevel="2">
      <c r="A1168" s="26">
        <v>4.0</v>
      </c>
      <c r="B1168" s="26" t="s">
        <v>1544</v>
      </c>
      <c r="C1168" s="1"/>
      <c r="D1168" s="1"/>
      <c r="E1168" s="29" t="s">
        <v>55</v>
      </c>
      <c r="F1168" s="15"/>
      <c r="G1168" s="30"/>
      <c r="H1168" s="22" t="s">
        <v>1545</v>
      </c>
      <c r="I1168" s="7"/>
      <c r="J1168" s="32" t="s">
        <v>1546</v>
      </c>
      <c r="K1168" s="17"/>
      <c r="L1168" s="17"/>
      <c r="M1168" s="1"/>
      <c r="N1168" s="1"/>
      <c r="O1168" s="1"/>
      <c r="P1168" s="11"/>
      <c r="Q1168" s="11"/>
      <c r="R1168" s="11"/>
      <c r="S1168" s="11"/>
      <c r="T1168" s="1"/>
      <c r="U1168" s="1"/>
      <c r="V1168" s="1"/>
      <c r="W1168" s="1"/>
      <c r="X1168" s="1"/>
      <c r="Y1168" s="1"/>
      <c r="Z1168" s="1"/>
    </row>
    <row r="1169" ht="18.0" customHeight="1" outlineLevel="2">
      <c r="A1169" s="26">
        <v>5.0</v>
      </c>
      <c r="B1169" s="26" t="s">
        <v>1500</v>
      </c>
      <c r="C1169" s="1"/>
      <c r="D1169" s="1"/>
      <c r="E1169" s="14"/>
      <c r="F1169" s="15"/>
      <c r="G1169" s="16"/>
      <c r="H1169" s="11"/>
      <c r="I1169" s="7"/>
      <c r="J1169" s="7"/>
      <c r="K1169" s="17"/>
      <c r="L1169" s="17"/>
      <c r="M1169" s="1"/>
      <c r="N1169" s="1"/>
      <c r="O1169" s="1"/>
      <c r="P1169" s="11"/>
      <c r="Q1169" s="11"/>
      <c r="R1169" s="11"/>
      <c r="S1169" s="11"/>
      <c r="T1169" s="1"/>
      <c r="U1169" s="1"/>
      <c r="V1169" s="1"/>
      <c r="W1169" s="1"/>
      <c r="X1169" s="1"/>
      <c r="Y1169" s="1"/>
      <c r="Z1169" s="1"/>
    </row>
    <row r="1170" ht="18.0" customHeight="1" outlineLevel="2">
      <c r="A1170" s="26">
        <v>6.0</v>
      </c>
      <c r="B1170" s="1"/>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7.0</v>
      </c>
      <c r="B1171" s="26" t="s">
        <v>1209</v>
      </c>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8.0</v>
      </c>
      <c r="B1172" s="1"/>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9.0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10.0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1">
      <c r="A1175" s="1"/>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26" t="s">
        <v>1547</v>
      </c>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2">
      <c r="A1178" s="26">
        <v>1.0</v>
      </c>
      <c r="B1178" s="26" t="s">
        <v>37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2.0</v>
      </c>
      <c r="B1179" s="26" t="s">
        <v>45</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3.0</v>
      </c>
      <c r="B1180" s="26" t="s">
        <v>1548</v>
      </c>
      <c r="C1180" s="1"/>
      <c r="D1180" s="1"/>
      <c r="E1180" s="29" t="s">
        <v>33</v>
      </c>
      <c r="F1180" s="15"/>
      <c r="G1180" s="30">
        <v>60.0</v>
      </c>
      <c r="H1180" s="22" t="s">
        <v>1549</v>
      </c>
      <c r="I1180" s="7"/>
      <c r="J1180" s="32" t="s">
        <v>1550</v>
      </c>
      <c r="K1180" s="17"/>
      <c r="L1180" s="17"/>
      <c r="M1180" s="1"/>
      <c r="N1180" s="1"/>
      <c r="O1180" s="1"/>
      <c r="P1180" s="11"/>
      <c r="Q1180" s="11"/>
      <c r="R1180" s="11"/>
      <c r="S1180" s="11"/>
      <c r="T1180" s="1"/>
      <c r="U1180" s="1"/>
      <c r="V1180" s="1"/>
      <c r="W1180" s="1"/>
      <c r="X1180" s="1"/>
      <c r="Y1180" s="1"/>
      <c r="Z1180" s="1"/>
    </row>
    <row r="1181" ht="18.0" customHeight="1" outlineLevel="2">
      <c r="A1181" s="26">
        <v>4.0</v>
      </c>
      <c r="B1181" s="26" t="s">
        <v>1551</v>
      </c>
      <c r="C1181" s="1"/>
      <c r="D1181" s="1"/>
      <c r="E1181" s="29" t="s">
        <v>55</v>
      </c>
      <c r="F1181" s="15"/>
      <c r="G1181" s="30"/>
      <c r="H1181" s="22" t="s">
        <v>1552</v>
      </c>
      <c r="I1181" s="7"/>
      <c r="J1181" s="32" t="s">
        <v>1553</v>
      </c>
      <c r="K1181" s="17"/>
      <c r="L1181" s="17"/>
      <c r="M1181" s="1"/>
      <c r="N1181" s="1"/>
      <c r="O1181" s="1"/>
      <c r="P1181" s="11"/>
      <c r="Q1181" s="11"/>
      <c r="R1181" s="11"/>
      <c r="S1181" s="11"/>
      <c r="T1181" s="1"/>
      <c r="U1181" s="1"/>
      <c r="V1181" s="1"/>
      <c r="W1181" s="1"/>
      <c r="X1181" s="1"/>
      <c r="Y1181" s="1"/>
      <c r="Z1181" s="1"/>
    </row>
    <row r="1182" ht="18.0" customHeight="1" outlineLevel="2">
      <c r="A1182" s="26">
        <v>5.0</v>
      </c>
      <c r="B1182" s="26" t="s">
        <v>1500</v>
      </c>
      <c r="C1182" s="1"/>
      <c r="D1182" s="1"/>
      <c r="E1182" s="14"/>
      <c r="F1182" s="15"/>
      <c r="G1182" s="16"/>
      <c r="H1182" s="11"/>
      <c r="I1182" s="7"/>
      <c r="J1182" s="7"/>
      <c r="K1182" s="17"/>
      <c r="L1182" s="17"/>
      <c r="M1182" s="1"/>
      <c r="N1182" s="1"/>
      <c r="O1182" s="1"/>
      <c r="P1182" s="11"/>
      <c r="Q1182" s="11"/>
      <c r="R1182" s="11"/>
      <c r="S1182" s="11"/>
      <c r="T1182" s="1"/>
      <c r="U1182" s="1"/>
      <c r="V1182" s="1"/>
      <c r="W1182" s="1"/>
      <c r="X1182" s="1"/>
      <c r="Y1182" s="1"/>
      <c r="Z1182" s="1"/>
    </row>
    <row r="1183" ht="18.0" customHeight="1" outlineLevel="2">
      <c r="A1183" s="26">
        <v>6.0</v>
      </c>
      <c r="B1183" s="1"/>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7.0</v>
      </c>
      <c r="B1184" s="26" t="s">
        <v>1209</v>
      </c>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8.0</v>
      </c>
      <c r="B1185" s="1"/>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9.0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10.0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1">
      <c r="A1188" s="1"/>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26" t="s">
        <v>1554</v>
      </c>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2">
      <c r="A1191" s="26">
        <v>1.0</v>
      </c>
      <c r="B1191" s="26" t="s">
        <v>35</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2.0</v>
      </c>
      <c r="B1192" s="26" t="s">
        <v>39</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3.0</v>
      </c>
      <c r="B1193" s="26" t="s">
        <v>1555</v>
      </c>
      <c r="C1193" s="1"/>
      <c r="D1193" s="1"/>
      <c r="E1193" s="29" t="s">
        <v>55</v>
      </c>
      <c r="F1193" s="15"/>
      <c r="G1193" s="16"/>
      <c r="H1193" s="22" t="s">
        <v>1556</v>
      </c>
      <c r="I1193" s="7"/>
      <c r="J1193" s="32" t="s">
        <v>1557</v>
      </c>
      <c r="K1193" s="17"/>
      <c r="L1193" s="17"/>
      <c r="M1193" s="1"/>
      <c r="N1193" s="1"/>
      <c r="O1193" s="1"/>
      <c r="P1193" s="11"/>
      <c r="Q1193" s="11"/>
      <c r="R1193" s="11"/>
      <c r="S1193" s="11"/>
      <c r="T1193" s="1"/>
      <c r="U1193" s="1"/>
      <c r="V1193" s="1"/>
      <c r="W1193" s="1"/>
      <c r="X1193" s="1"/>
      <c r="Y1193" s="1"/>
      <c r="Z1193" s="1"/>
    </row>
    <row r="1194" ht="18.0" customHeight="1" outlineLevel="2">
      <c r="A1194" s="26">
        <v>4.0</v>
      </c>
      <c r="B1194" s="26" t="s">
        <v>1558</v>
      </c>
      <c r="C1194" s="1"/>
      <c r="D1194" s="1"/>
      <c r="E1194" s="29" t="s">
        <v>55</v>
      </c>
      <c r="F1194" s="15"/>
      <c r="G1194" s="30"/>
      <c r="H1194" s="22" t="s">
        <v>1559</v>
      </c>
      <c r="I1194" s="7"/>
      <c r="J1194" s="32" t="s">
        <v>1560</v>
      </c>
      <c r="K1194" s="17"/>
      <c r="L1194" s="17"/>
      <c r="M1194" s="1"/>
      <c r="N1194" s="1"/>
      <c r="O1194" s="1"/>
      <c r="P1194" s="11"/>
      <c r="Q1194" s="11"/>
      <c r="R1194" s="11"/>
      <c r="S1194" s="11"/>
      <c r="T1194" s="1"/>
      <c r="U1194" s="1"/>
      <c r="V1194" s="1"/>
      <c r="W1194" s="1"/>
      <c r="X1194" s="1"/>
      <c r="Y1194" s="1"/>
      <c r="Z1194" s="1"/>
    </row>
    <row r="1195" ht="18.0" customHeight="1" outlineLevel="2">
      <c r="A1195" s="26">
        <v>5.0</v>
      </c>
      <c r="B1195" s="26" t="s">
        <v>1500</v>
      </c>
      <c r="C1195" s="1"/>
      <c r="D1195" s="1"/>
      <c r="E1195" s="14"/>
      <c r="F1195" s="15"/>
      <c r="G1195" s="16"/>
      <c r="H1195" s="11"/>
      <c r="I1195" s="7"/>
      <c r="J1195" s="7"/>
      <c r="K1195" s="17"/>
      <c r="L1195" s="17"/>
      <c r="M1195" s="1"/>
      <c r="N1195" s="1"/>
      <c r="O1195" s="1"/>
      <c r="P1195" s="11"/>
      <c r="Q1195" s="11"/>
      <c r="R1195" s="11"/>
      <c r="S1195" s="11"/>
      <c r="T1195" s="1"/>
      <c r="U1195" s="1"/>
      <c r="V1195" s="1"/>
      <c r="W1195" s="1"/>
      <c r="X1195" s="1"/>
      <c r="Y1195" s="1"/>
      <c r="Z1195" s="1"/>
    </row>
    <row r="1196" ht="18.0" customHeight="1" outlineLevel="2">
      <c r="A1196" s="26">
        <v>6.0</v>
      </c>
      <c r="B1196" s="1"/>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7.0</v>
      </c>
      <c r="B1197" s="26" t="s">
        <v>1209</v>
      </c>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8.0</v>
      </c>
      <c r="B1198" s="1"/>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9.0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10.0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1">
      <c r="A1201" s="1"/>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26" t="s">
        <v>1561</v>
      </c>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2">
      <c r="A1204" s="26">
        <v>1.0</v>
      </c>
      <c r="B1204" s="26" t="s">
        <v>1562</v>
      </c>
      <c r="C1204" s="1"/>
      <c r="D1204" s="1"/>
      <c r="E1204" s="29" t="s">
        <v>33</v>
      </c>
      <c r="F1204" s="15"/>
      <c r="G1204" s="30">
        <v>40.0</v>
      </c>
      <c r="H1204" s="22" t="s">
        <v>1563</v>
      </c>
      <c r="I1204" s="7"/>
      <c r="J1204" s="32" t="s">
        <v>1564</v>
      </c>
      <c r="K1204" s="17"/>
      <c r="L1204" s="17"/>
      <c r="M1204" s="1"/>
      <c r="N1204" s="1"/>
      <c r="O1204" s="1"/>
      <c r="P1204" s="11"/>
      <c r="Q1204" s="11"/>
      <c r="R1204" s="11"/>
      <c r="S1204" s="11"/>
      <c r="T1204" s="1"/>
      <c r="U1204" s="1"/>
      <c r="V1204" s="1"/>
      <c r="W1204" s="1"/>
      <c r="X1204" s="1"/>
      <c r="Y1204" s="1"/>
      <c r="Z1204" s="1"/>
    </row>
    <row r="1205" ht="18.0" customHeight="1" outlineLevel="2">
      <c r="A1205" s="26">
        <v>2.0</v>
      </c>
      <c r="B1205" s="26" t="s">
        <v>1565</v>
      </c>
      <c r="C1205" s="1"/>
      <c r="D1205" s="1"/>
      <c r="E1205" s="29" t="s">
        <v>33</v>
      </c>
      <c r="F1205" s="15"/>
      <c r="G1205" s="30">
        <v>40.0</v>
      </c>
      <c r="H1205" s="22" t="s">
        <v>1566</v>
      </c>
      <c r="I1205" s="7"/>
      <c r="J1205" s="32" t="s">
        <v>1567</v>
      </c>
      <c r="K1205" s="17"/>
      <c r="L1205" s="17"/>
      <c r="M1205" s="1"/>
      <c r="N1205" s="1"/>
      <c r="O1205" s="1"/>
      <c r="P1205" s="11"/>
      <c r="Q1205" s="11"/>
      <c r="R1205" s="11"/>
      <c r="S1205" s="11"/>
      <c r="T1205" s="1"/>
      <c r="U1205" s="1"/>
      <c r="V1205" s="1"/>
      <c r="W1205" s="1"/>
      <c r="X1205" s="1"/>
      <c r="Y1205" s="1"/>
      <c r="Z1205" s="1"/>
    </row>
    <row r="1206" ht="18.0" customHeight="1" outlineLevel="2">
      <c r="A1206" s="26">
        <v>3.0</v>
      </c>
      <c r="B1206" s="26" t="s">
        <v>1568</v>
      </c>
      <c r="C1206" s="1"/>
      <c r="D1206" s="1"/>
      <c r="E1206" s="29" t="s">
        <v>55</v>
      </c>
      <c r="F1206" s="15"/>
      <c r="G1206" s="16"/>
      <c r="H1206" s="22" t="s">
        <v>1569</v>
      </c>
      <c r="I1206" s="7"/>
      <c r="J1206" s="32" t="s">
        <v>1570</v>
      </c>
      <c r="K1206" s="17"/>
      <c r="L1206" s="17"/>
      <c r="M1206" s="1"/>
      <c r="N1206" s="1"/>
      <c r="O1206" s="1"/>
      <c r="P1206" s="11"/>
      <c r="Q1206" s="11"/>
      <c r="R1206" s="11"/>
      <c r="S1206" s="11"/>
      <c r="T1206" s="1"/>
      <c r="U1206" s="1"/>
      <c r="V1206" s="1"/>
      <c r="W1206" s="1"/>
      <c r="X1206" s="1"/>
      <c r="Y1206" s="1"/>
      <c r="Z1206" s="1"/>
    </row>
    <row r="1207" ht="18.0" customHeight="1" outlineLevel="2">
      <c r="A1207" s="26">
        <v>4.0</v>
      </c>
      <c r="B1207" s="26" t="s">
        <v>1571</v>
      </c>
      <c r="C1207" s="1"/>
      <c r="D1207" s="1"/>
      <c r="E1207" s="29" t="s">
        <v>55</v>
      </c>
      <c r="F1207" s="15"/>
      <c r="G1207" s="30"/>
      <c r="H1207" s="22" t="s">
        <v>1545</v>
      </c>
      <c r="I1207" s="7"/>
      <c r="J1207" s="32" t="s">
        <v>1572</v>
      </c>
      <c r="K1207" s="17"/>
      <c r="L1207" s="17"/>
      <c r="M1207" s="1"/>
      <c r="N1207" s="1"/>
      <c r="O1207" s="1"/>
      <c r="P1207" s="11"/>
      <c r="Q1207" s="11"/>
      <c r="R1207" s="11"/>
      <c r="S1207" s="11"/>
      <c r="T1207" s="1"/>
      <c r="U1207" s="1"/>
      <c r="V1207" s="1"/>
      <c r="W1207" s="1"/>
      <c r="X1207" s="1"/>
      <c r="Y1207" s="1"/>
      <c r="Z1207" s="1"/>
    </row>
    <row r="1208" ht="18.0" customHeight="1" outlineLevel="2">
      <c r="A1208" s="26">
        <v>5.0</v>
      </c>
      <c r="B1208" s="26" t="s">
        <v>1500</v>
      </c>
      <c r="C1208" s="1"/>
      <c r="D1208" s="1"/>
      <c r="E1208" s="14"/>
      <c r="F1208" s="15"/>
      <c r="G1208" s="16"/>
      <c r="H1208" s="11"/>
      <c r="I1208" s="7"/>
      <c r="J1208" s="7"/>
      <c r="K1208" s="17"/>
      <c r="L1208" s="17"/>
      <c r="M1208" s="1"/>
      <c r="N1208" s="1"/>
      <c r="O1208" s="1"/>
      <c r="P1208" s="11"/>
      <c r="Q1208" s="11"/>
      <c r="R1208" s="11"/>
      <c r="S1208" s="11"/>
      <c r="T1208" s="1"/>
      <c r="U1208" s="1"/>
      <c r="V1208" s="1"/>
      <c r="W1208" s="1"/>
      <c r="X1208" s="1"/>
      <c r="Y1208" s="1"/>
      <c r="Z1208" s="1"/>
    </row>
    <row r="1209" ht="18.0" customHeight="1" outlineLevel="2">
      <c r="A1209" s="26">
        <v>6.0</v>
      </c>
      <c r="B1209" s="1"/>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7.0</v>
      </c>
      <c r="B1210" s="26" t="s">
        <v>1209</v>
      </c>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8.0</v>
      </c>
      <c r="B1211" s="1"/>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9.0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10.0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1">
      <c r="A1214" s="1"/>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26" t="s">
        <v>1573</v>
      </c>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2">
      <c r="A1217" s="26">
        <v>1.0</v>
      </c>
      <c r="B1217" s="26" t="s">
        <v>35</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2.0</v>
      </c>
      <c r="B1218" s="26" t="s">
        <v>37</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3.0</v>
      </c>
      <c r="B1219" s="26" t="s">
        <v>1574</v>
      </c>
      <c r="C1219" s="1"/>
      <c r="D1219" s="1"/>
      <c r="E1219" s="29" t="s">
        <v>55</v>
      </c>
      <c r="F1219" s="15"/>
      <c r="G1219" s="16"/>
      <c r="H1219" s="22" t="s">
        <v>1575</v>
      </c>
      <c r="I1219" s="7"/>
      <c r="J1219" s="32" t="s">
        <v>1576</v>
      </c>
      <c r="K1219" s="17"/>
      <c r="L1219" s="17"/>
      <c r="M1219" s="1"/>
      <c r="N1219" s="1"/>
      <c r="O1219" s="1"/>
      <c r="P1219" s="11"/>
      <c r="Q1219" s="11"/>
      <c r="R1219" s="11"/>
      <c r="S1219" s="11"/>
      <c r="T1219" s="1"/>
      <c r="U1219" s="1"/>
      <c r="V1219" s="1"/>
      <c r="W1219" s="1"/>
      <c r="X1219" s="1"/>
      <c r="Y1219" s="1"/>
      <c r="Z1219" s="1"/>
    </row>
    <row r="1220" ht="18.0" customHeight="1" outlineLevel="2">
      <c r="A1220" s="26">
        <v>4.0</v>
      </c>
      <c r="B1220" s="26" t="s">
        <v>1577</v>
      </c>
      <c r="C1220" s="1"/>
      <c r="D1220" s="1"/>
      <c r="E1220" s="29" t="s">
        <v>55</v>
      </c>
      <c r="F1220" s="15"/>
      <c r="G1220" s="30"/>
      <c r="H1220" s="22" t="s">
        <v>1578</v>
      </c>
      <c r="I1220" s="7"/>
      <c r="J1220" s="32" t="s">
        <v>1579</v>
      </c>
      <c r="K1220" s="17"/>
      <c r="L1220" s="17"/>
      <c r="M1220" s="1"/>
      <c r="N1220" s="1"/>
      <c r="O1220" s="1"/>
      <c r="P1220" s="11"/>
      <c r="Q1220" s="11"/>
      <c r="R1220" s="11"/>
      <c r="S1220" s="11"/>
      <c r="T1220" s="1"/>
      <c r="U1220" s="1"/>
      <c r="V1220" s="1"/>
      <c r="W1220" s="1"/>
      <c r="X1220" s="1"/>
      <c r="Y1220" s="1"/>
      <c r="Z1220" s="1"/>
    </row>
    <row r="1221" ht="18.0" customHeight="1" outlineLevel="2">
      <c r="A1221" s="26">
        <v>5.0</v>
      </c>
      <c r="B1221" s="26" t="s">
        <v>1500</v>
      </c>
      <c r="C1221" s="1"/>
      <c r="D1221" s="1"/>
      <c r="E1221" s="14"/>
      <c r="F1221" s="15"/>
      <c r="G1221" s="16"/>
      <c r="H1221" s="11"/>
      <c r="I1221" s="7"/>
      <c r="J1221" s="7"/>
      <c r="K1221" s="17"/>
      <c r="L1221" s="17"/>
      <c r="M1221" s="1"/>
      <c r="N1221" s="1"/>
      <c r="O1221" s="1"/>
      <c r="P1221" s="11"/>
      <c r="Q1221" s="11"/>
      <c r="R1221" s="11"/>
      <c r="S1221" s="11"/>
      <c r="T1221" s="1"/>
      <c r="U1221" s="1"/>
      <c r="V1221" s="1"/>
      <c r="W1221" s="1"/>
      <c r="X1221" s="1"/>
      <c r="Y1221" s="1"/>
      <c r="Z1221" s="1"/>
    </row>
    <row r="1222" ht="18.0" customHeight="1" outlineLevel="2">
      <c r="A1222" s="26">
        <v>6.0</v>
      </c>
      <c r="B1222" s="1"/>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7.0</v>
      </c>
      <c r="B1223" s="26" t="s">
        <v>1209</v>
      </c>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8.0</v>
      </c>
      <c r="B1224" s="1"/>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9.0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10.0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1">
      <c r="A1227" s="1"/>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26" t="s">
        <v>1580</v>
      </c>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2">
      <c r="A1230" s="26">
        <v>1.0</v>
      </c>
      <c r="B1230" s="26" t="s">
        <v>35</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2.0</v>
      </c>
      <c r="B1231" s="26" t="s">
        <v>1581</v>
      </c>
      <c r="C1231" s="1"/>
      <c r="D1231" s="1"/>
      <c r="E1231" s="29" t="s">
        <v>33</v>
      </c>
      <c r="F1231" s="15"/>
      <c r="G1231" s="30">
        <v>50.0</v>
      </c>
      <c r="H1231" s="22" t="s">
        <v>1582</v>
      </c>
      <c r="I1231" s="7"/>
      <c r="J1231" s="32" t="s">
        <v>1583</v>
      </c>
      <c r="K1231" s="17"/>
      <c r="L1231" s="17"/>
      <c r="M1231" s="1"/>
      <c r="N1231" s="1"/>
      <c r="O1231" s="1"/>
      <c r="P1231" s="11"/>
      <c r="Q1231" s="11"/>
      <c r="R1231" s="11"/>
      <c r="S1231" s="11"/>
      <c r="T1231" s="1"/>
      <c r="U1231" s="1"/>
      <c r="V1231" s="1"/>
      <c r="W1231" s="1"/>
      <c r="X1231" s="1"/>
      <c r="Y1231" s="1"/>
      <c r="Z1231" s="1"/>
    </row>
    <row r="1232" ht="18.0" customHeight="1" outlineLevel="2">
      <c r="A1232" s="26">
        <v>3.0</v>
      </c>
      <c r="B1232" s="26" t="s">
        <v>1584</v>
      </c>
      <c r="C1232" s="1"/>
      <c r="D1232" s="1"/>
      <c r="E1232" s="29" t="s">
        <v>55</v>
      </c>
      <c r="F1232" s="15"/>
      <c r="G1232" s="16"/>
      <c r="H1232" s="22" t="s">
        <v>1585</v>
      </c>
      <c r="I1232" s="7"/>
      <c r="J1232" s="32" t="s">
        <v>1586</v>
      </c>
      <c r="K1232" s="17"/>
      <c r="L1232" s="17"/>
      <c r="M1232" s="1"/>
      <c r="N1232" s="1"/>
      <c r="O1232" s="1"/>
      <c r="P1232" s="11"/>
      <c r="Q1232" s="11"/>
      <c r="R1232" s="11"/>
      <c r="S1232" s="11"/>
      <c r="T1232" s="1"/>
      <c r="U1232" s="1"/>
      <c r="V1232" s="1"/>
      <c r="W1232" s="1"/>
      <c r="X1232" s="1"/>
      <c r="Y1232" s="1"/>
      <c r="Z1232" s="1"/>
    </row>
    <row r="1233" ht="18.0" customHeight="1" outlineLevel="2">
      <c r="A1233" s="26">
        <v>4.0</v>
      </c>
      <c r="B1233" s="26" t="s">
        <v>1587</v>
      </c>
      <c r="C1233" s="1"/>
      <c r="D1233" s="1"/>
      <c r="E1233" s="29" t="s">
        <v>33</v>
      </c>
      <c r="F1233" s="15"/>
      <c r="G1233" s="30">
        <v>40.0</v>
      </c>
      <c r="H1233" s="22" t="s">
        <v>1588</v>
      </c>
      <c r="I1233" s="7"/>
      <c r="J1233" s="32" t="s">
        <v>1589</v>
      </c>
      <c r="K1233" s="17"/>
      <c r="L1233" s="17"/>
      <c r="M1233" s="1"/>
      <c r="N1233" s="1"/>
      <c r="O1233" s="1"/>
      <c r="P1233" s="11"/>
      <c r="Q1233" s="11"/>
      <c r="R1233" s="11"/>
      <c r="S1233" s="11"/>
      <c r="T1233" s="1"/>
      <c r="U1233" s="1"/>
      <c r="V1233" s="1"/>
      <c r="W1233" s="1"/>
      <c r="X1233" s="1"/>
      <c r="Y1233" s="1"/>
      <c r="Z1233" s="1"/>
    </row>
    <row r="1234" ht="18.0" customHeight="1" outlineLevel="2">
      <c r="A1234" s="26">
        <v>5.0</v>
      </c>
      <c r="B1234" s="26" t="s">
        <v>1500</v>
      </c>
      <c r="C1234" s="1"/>
      <c r="D1234" s="1"/>
      <c r="E1234" s="14"/>
      <c r="F1234" s="15"/>
      <c r="G1234" s="16"/>
      <c r="H1234" s="11"/>
      <c r="I1234" s="7"/>
      <c r="J1234" s="7"/>
      <c r="K1234" s="17"/>
      <c r="L1234" s="17"/>
      <c r="M1234" s="1"/>
      <c r="N1234" s="1"/>
      <c r="O1234" s="1"/>
      <c r="P1234" s="11"/>
      <c r="Q1234" s="11"/>
      <c r="R1234" s="11"/>
      <c r="S1234" s="11"/>
      <c r="T1234" s="1"/>
      <c r="U1234" s="1"/>
      <c r="V1234" s="1"/>
      <c r="W1234" s="1"/>
      <c r="X1234" s="1"/>
      <c r="Y1234" s="1"/>
      <c r="Z1234" s="1"/>
    </row>
    <row r="1235" ht="18.0" customHeight="1" outlineLevel="2">
      <c r="A1235" s="26">
        <v>6.0</v>
      </c>
      <c r="B1235" s="1"/>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7.0</v>
      </c>
      <c r="B1236" s="26" t="s">
        <v>1209</v>
      </c>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8.0</v>
      </c>
      <c r="B1237" s="1"/>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9.0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10.0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1">
      <c r="A1240" s="1"/>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26" t="s">
        <v>1590</v>
      </c>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2">
      <c r="A1243" s="26">
        <v>1.0</v>
      </c>
      <c r="B1243" s="26" t="s">
        <v>32</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2.0</v>
      </c>
      <c r="B1244" s="26" t="s">
        <v>1591</v>
      </c>
      <c r="C1244" s="1"/>
      <c r="D1244" s="1"/>
      <c r="E1244" s="29" t="s">
        <v>33</v>
      </c>
      <c r="F1244" s="15"/>
      <c r="G1244" s="30">
        <v>60.0</v>
      </c>
      <c r="H1244" s="22" t="s">
        <v>1592</v>
      </c>
      <c r="I1244" s="7"/>
      <c r="J1244" s="32" t="s">
        <v>1593</v>
      </c>
      <c r="K1244" s="17"/>
      <c r="L1244" s="17"/>
      <c r="M1244" s="1"/>
      <c r="N1244" s="1"/>
      <c r="O1244" s="1"/>
      <c r="P1244" s="11"/>
      <c r="Q1244" s="11"/>
      <c r="R1244" s="11"/>
      <c r="S1244" s="11"/>
      <c r="T1244" s="1"/>
      <c r="U1244" s="1"/>
      <c r="V1244" s="1"/>
      <c r="W1244" s="1"/>
      <c r="X1244" s="1"/>
      <c r="Y1244" s="1"/>
      <c r="Z1244" s="1"/>
    </row>
    <row r="1245" ht="18.0" customHeight="1" outlineLevel="2">
      <c r="A1245" s="26">
        <v>3.0</v>
      </c>
      <c r="B1245" s="26" t="s">
        <v>1522</v>
      </c>
      <c r="C1245" s="1"/>
      <c r="D1245" s="1"/>
      <c r="E1245" s="29"/>
      <c r="F1245" s="15"/>
      <c r="G1245" s="16"/>
      <c r="H1245" s="22"/>
      <c r="I1245" s="7"/>
      <c r="J1245" s="7"/>
      <c r="K1245" s="17"/>
      <c r="L1245" s="17"/>
      <c r="M1245" s="1"/>
      <c r="N1245" s="1"/>
      <c r="O1245" s="1"/>
      <c r="P1245" s="11"/>
      <c r="Q1245" s="11"/>
      <c r="R1245" s="11"/>
      <c r="S1245" s="11"/>
      <c r="T1245" s="1"/>
      <c r="U1245" s="1"/>
      <c r="V1245" s="1"/>
      <c r="W1245" s="1"/>
      <c r="X1245" s="1"/>
      <c r="Y1245" s="1"/>
      <c r="Z1245" s="1"/>
    </row>
    <row r="1246" ht="18.0" customHeight="1" outlineLevel="2">
      <c r="A1246" s="26">
        <v>4.0</v>
      </c>
      <c r="B1246" s="26" t="s">
        <v>1594</v>
      </c>
      <c r="C1246" s="1"/>
      <c r="D1246" s="1"/>
      <c r="E1246" s="29" t="s">
        <v>55</v>
      </c>
      <c r="F1246" s="15"/>
      <c r="G1246" s="30"/>
      <c r="H1246" s="22" t="s">
        <v>1595</v>
      </c>
      <c r="I1246" s="7"/>
      <c r="J1246" s="32" t="s">
        <v>1596</v>
      </c>
      <c r="K1246" s="17"/>
      <c r="L1246" s="17"/>
      <c r="M1246" s="1"/>
      <c r="N1246" s="1"/>
      <c r="O1246" s="1"/>
      <c r="P1246" s="11"/>
      <c r="Q1246" s="11"/>
      <c r="R1246" s="11"/>
      <c r="S1246" s="11"/>
      <c r="T1246" s="1"/>
      <c r="U1246" s="1"/>
      <c r="V1246" s="1"/>
      <c r="W1246" s="1"/>
      <c r="X1246" s="1"/>
      <c r="Y1246" s="1"/>
      <c r="Z1246" s="1"/>
    </row>
    <row r="1247" ht="18.0" customHeight="1" outlineLevel="2">
      <c r="A1247" s="26">
        <v>5.0</v>
      </c>
      <c r="B1247" s="26" t="s">
        <v>1500</v>
      </c>
      <c r="C1247" s="1"/>
      <c r="D1247" s="1"/>
      <c r="E1247" s="14"/>
      <c r="F1247" s="15"/>
      <c r="G1247" s="16"/>
      <c r="H1247" s="11"/>
      <c r="I1247" s="7"/>
      <c r="J1247" s="7"/>
      <c r="K1247" s="17"/>
      <c r="L1247" s="17"/>
      <c r="M1247" s="1"/>
      <c r="N1247" s="1"/>
      <c r="O1247" s="1"/>
      <c r="P1247" s="11"/>
      <c r="Q1247" s="11"/>
      <c r="R1247" s="11"/>
      <c r="S1247" s="11"/>
      <c r="T1247" s="1"/>
      <c r="U1247" s="1"/>
      <c r="V1247" s="1"/>
      <c r="W1247" s="1"/>
      <c r="X1247" s="1"/>
      <c r="Y1247" s="1"/>
      <c r="Z1247" s="1"/>
    </row>
    <row r="1248" ht="18.0" customHeight="1" outlineLevel="2">
      <c r="A1248" s="26">
        <v>6.0</v>
      </c>
      <c r="B1248" s="1"/>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7.0</v>
      </c>
      <c r="B1249" s="26" t="s">
        <v>1209</v>
      </c>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8.0</v>
      </c>
      <c r="B1250" s="1"/>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9.0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10.0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1">
      <c r="A1253" s="1"/>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c r="A1255" s="1"/>
      <c r="B1255" s="1"/>
      <c r="C1255" s="26" t="s">
        <v>1597</v>
      </c>
      <c r="D1255" s="1"/>
      <c r="E1255" s="14"/>
      <c r="F1255" s="15"/>
      <c r="G1255" s="16"/>
      <c r="H1255" s="11"/>
      <c r="I1255" s="7"/>
      <c r="J1255" s="7" t="str">
        <f>IFERROR(LET(_xlpm.v,
VLOOKUP($I1255,'用語辞書'!$A:$B,COLUMN('用語辞書'!B$1),FALSE),
IF(_xlpm.v=0,"",_xlpm.v)
),"")</f>
        <v/>
      </c>
      <c r="K1255" s="17"/>
      <c r="L1255" s="17" t="str">
        <f>IF(OR(COUNTIF('クラス'!$A$1:$A$1262,$B1255)&gt;0,$B1255="",$M1255=""),"",True)</f>
        <v/>
      </c>
      <c r="M1255" s="1" t="str">
        <f>IF(COUNTIF($B$1:$C1150, $B1255), "", "存在しない")</f>
        <v>存在しない</v>
      </c>
      <c r="N1255" s="1" t="s">
        <v>29</v>
      </c>
      <c r="O1255" s="1"/>
      <c r="P1255" s="11"/>
      <c r="Q1255" s="11"/>
      <c r="R1255" s="11"/>
      <c r="S1255" s="11"/>
      <c r="T1255" s="1"/>
      <c r="U1255" s="1"/>
      <c r="V1255" s="1"/>
      <c r="W1255" s="1"/>
      <c r="X1255" s="1"/>
      <c r="Y1255" s="1"/>
      <c r="Z1255" s="1"/>
    </row>
    <row r="1256" ht="18.0" hidden="1" customHeight="1" outlineLevel="1">
      <c r="A1256" s="1"/>
      <c r="B1256" s="26" t="s">
        <v>1598</v>
      </c>
      <c r="C1256" s="1"/>
      <c r="D1256" s="1"/>
      <c r="E1256" s="14"/>
      <c r="F1256" s="15"/>
      <c r="G1256" s="16"/>
      <c r="H1256" s="11"/>
      <c r="I1256" s="7"/>
      <c r="J1256" s="7" t="str">
        <f>IFERROR(LET(_xlpm.v,
VLOOKUP($I1256,'用語辞書'!$A:$B,COLUMN('用語辞書'!B$1),FALSE),
IF(_xlpm.v=0,"",_xlpm.v)
),"")</f>
        <v/>
      </c>
      <c r="K1256" s="17"/>
      <c r="L1256" s="17" t="str">
        <f>IF(OR(COUNTIF('クラス'!$A$1:$A$1262,$B1256)&gt;0,$B1256="",$M1256=""),"",True)</f>
        <v/>
      </c>
      <c r="M1256" s="1" t="str">
        <f t="shared" ref="M1256:M1359" si="24">IF(COUNTIF($B$1:$C1255, $B1256), "", "存在しない")</f>
        <v>存在しない</v>
      </c>
      <c r="N1256" s="1" t="s">
        <v>29</v>
      </c>
      <c r="O1256" s="1"/>
      <c r="P1256" s="11"/>
      <c r="Q1256" s="11"/>
      <c r="R1256" s="11"/>
      <c r="S1256" s="11"/>
      <c r="T1256" s="1"/>
      <c r="U1256" s="1"/>
      <c r="V1256" s="1"/>
      <c r="W1256" s="1"/>
      <c r="X1256" s="1"/>
      <c r="Y1256" s="1"/>
      <c r="Z1256" s="1"/>
    </row>
    <row r="1257" ht="18.0" hidden="1" customHeight="1" outlineLevel="2">
      <c r="A1257" s="1">
        <v>1.0</v>
      </c>
      <c r="B1257" s="26" t="s">
        <v>1599</v>
      </c>
      <c r="C1257" s="1"/>
      <c r="D1257" s="1"/>
      <c r="E1257" s="14" t="s">
        <v>33</v>
      </c>
      <c r="F1257" s="15"/>
      <c r="G1257" s="16">
        <v>40.0</v>
      </c>
      <c r="H1257" s="11" t="s">
        <v>1600</v>
      </c>
      <c r="I1257" s="7"/>
      <c r="J1257" s="7" t="str">
        <f>IFERROR(LET(_xlpm.v,
VLOOKUP($I1257,'用語辞書'!$A:$B,COLUMN('用語辞書'!B$1),FALSE),
IF(_xlpm.v=0,"",_xlpm.v)
),"")</f>
        <v/>
      </c>
      <c r="K1257" s="17"/>
      <c r="L1257" s="17" t="b">
        <f>IF(OR(COUNTIF('クラス'!$A$1:$A$1262,$B1257)&gt;0,$B1257="",$M1257=""),"",True)</f>
        <v>1</v>
      </c>
      <c r="M1257" s="1" t="str">
        <f t="shared" si="24"/>
        <v>存在しない</v>
      </c>
      <c r="N1257" s="1" t="s">
        <v>29</v>
      </c>
      <c r="O1257" s="1"/>
      <c r="P1257" s="11"/>
      <c r="Q1257" s="11"/>
      <c r="R1257" s="11"/>
      <c r="S1257" s="11"/>
      <c r="T1257" s="1"/>
      <c r="U1257" s="1"/>
      <c r="V1257" s="1"/>
      <c r="W1257" s="1"/>
      <c r="X1257" s="1"/>
      <c r="Y1257" s="1"/>
      <c r="Z1257" s="1"/>
    </row>
    <row r="1258" ht="18.0" hidden="1" customHeight="1" outlineLevel="2">
      <c r="A1258" s="1">
        <v>2.0</v>
      </c>
      <c r="B1258" s="26" t="s">
        <v>1601</v>
      </c>
      <c r="C1258" s="1"/>
      <c r="D1258" s="1"/>
      <c r="E1258" s="29" t="s">
        <v>55</v>
      </c>
      <c r="F1258" s="15"/>
      <c r="G1258" s="30"/>
      <c r="H1258" s="22" t="s">
        <v>1602</v>
      </c>
      <c r="I1258" s="7"/>
      <c r="J1258" s="7" t="str">
        <f>IFERROR(LET(_xlpm.v,
VLOOKUP($I1258,'用語辞書'!$A:$B,COLUMN('用語辞書'!B$1),FALSE),
IF(_xlpm.v=0,"",_xlpm.v)
),"")</f>
        <v/>
      </c>
      <c r="K1258" s="17"/>
      <c r="L1258" s="17" t="b">
        <f>IF(OR(COUNTIF('クラス'!$A$1:$A$1262,$B1258)&gt;0,$B1258="",$M1258=""),"",True)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3.0</v>
      </c>
      <c r="B1259" s="26" t="s">
        <v>1603</v>
      </c>
      <c r="C1259" s="1"/>
      <c r="D1259" s="1"/>
      <c r="E1259" s="29" t="s">
        <v>55</v>
      </c>
      <c r="F1259" s="15"/>
      <c r="G1259" s="16"/>
      <c r="H1259" s="22" t="s">
        <v>1604</v>
      </c>
      <c r="I1259" s="7"/>
      <c r="J1259" s="7" t="str">
        <f>IFERROR(LET(_xlpm.v,
VLOOKUP($I1259,'用語辞書'!$A:$B,COLUMN('用語辞書'!B$1),FALSE),
IF(_xlpm.v=0,"",_xlpm.v)
),"")</f>
        <v/>
      </c>
      <c r="K1259" s="17"/>
      <c r="L1259" s="17" t="b">
        <f>IF(OR(COUNTIF('クラス'!$A$1:$A$1262,$B1259)&gt;0,$B1259="",$M1259=""),"",True)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4.0</v>
      </c>
      <c r="B1260" s="26" t="s">
        <v>1605</v>
      </c>
      <c r="C1260" s="1"/>
      <c r="D1260" s="1"/>
      <c r="E1260" s="14" t="s">
        <v>33</v>
      </c>
      <c r="F1260" s="15"/>
      <c r="G1260" s="16">
        <v>60.0</v>
      </c>
      <c r="H1260" s="11" t="s">
        <v>1539</v>
      </c>
      <c r="I1260" s="7"/>
      <c r="J1260" s="7" t="str">
        <f>IFERROR(LET(_xlpm.v,
VLOOKUP($I1260,'用語辞書'!$A:$B,COLUMN('用語辞書'!B$1),FALSE),
IF(_xlpm.v=0,"",_xlpm.v)
),"")</f>
        <v/>
      </c>
      <c r="K1260" s="17"/>
      <c r="L1260" s="17" t="b">
        <f>IF(OR(COUNTIF('クラス'!$A$1:$A$1262,$B1260)&gt;0,$B1260="",$M1260=""),"",True)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5.0</v>
      </c>
      <c r="B1261" s="26" t="s">
        <v>1606</v>
      </c>
      <c r="C1261" s="1"/>
      <c r="D1261" s="1"/>
      <c r="E1261" s="14" t="s">
        <v>33</v>
      </c>
      <c r="F1261" s="15"/>
      <c r="G1261" s="16">
        <v>40.0</v>
      </c>
      <c r="H1261" s="11" t="s">
        <v>1563</v>
      </c>
      <c r="I1261" s="7"/>
      <c r="J1261" s="7" t="str">
        <f>IFERROR(LET(_xlpm.v,
VLOOKUP($I1261,'用語辞書'!$A:$B,COLUMN('用語辞書'!B$1),FALSE),
IF(_xlpm.v=0,"",_xlpm.v)
),"")</f>
        <v/>
      </c>
      <c r="K1261" s="17"/>
      <c r="L1261" s="17" t="b">
        <f>IF(OR(COUNTIF('クラス'!$A$1:$A$1262,$B1261)&gt;0,$B1261="",$M1261=""),"",True)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6.0</v>
      </c>
      <c r="B1262" s="1"/>
      <c r="C1262" s="1"/>
      <c r="D1262" s="1"/>
      <c r="E1262" s="14"/>
      <c r="F1262" s="15"/>
      <c r="G1262" s="16"/>
      <c r="H1262" s="11"/>
      <c r="I1262" s="7"/>
      <c r="J1262" s="7" t="str">
        <f>IFERROR(LET(_xlpm.v,
VLOOKUP($I1262,'用語辞書'!$A:$B,COLUMN('用語辞書'!B$1),FALSE),
IF(_xlpm.v=0,"",_xlpm.v)
),"")</f>
        <v/>
      </c>
      <c r="K1262" s="17"/>
      <c r="L1262" s="17" t="str">
        <f>IF(OR(COUNTIF('クラス'!$A$1:$A$1262,$B1262)&gt;0,$B1262="",$M1262=""),"",True)</f>
        <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7.0</v>
      </c>
      <c r="B1263" s="26" t="s">
        <v>1607</v>
      </c>
      <c r="C1263" s="1"/>
      <c r="D1263" s="1"/>
      <c r="E1263" s="14" t="s">
        <v>55</v>
      </c>
      <c r="F1263" s="15"/>
      <c r="G1263" s="16"/>
      <c r="H1263" s="11" t="s">
        <v>1608</v>
      </c>
      <c r="I1263" s="7"/>
      <c r="J1263" s="7" t="str">
        <f>IFERROR(LET(_xlpm.v,
VLOOKUP($I1263,'用語辞書'!$A:$B,COLUMN('用語辞書'!B$1),FALSE),
IF(_xlpm.v=0,"",_xlpm.v)
),"")</f>
        <v/>
      </c>
      <c r="K1263" s="17"/>
      <c r="L1263" s="17" t="b">
        <f>IF(OR(COUNTIF('クラス'!$A$1:$A$1262,$B1263)&gt;0,$B1263="",$M1263=""),"",True)</f>
        <v>1</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8.0</v>
      </c>
      <c r="B1264" s="1"/>
      <c r="C1264" s="1"/>
      <c r="D1264" s="1"/>
      <c r="E1264" s="14"/>
      <c r="F1264" s="15"/>
      <c r="G1264" s="16"/>
      <c r="H1264" s="11"/>
      <c r="I1264" s="7"/>
      <c r="J1264" s="7" t="str">
        <f>IFERROR(LET(_xlpm.v,
VLOOKUP($I1264,'用語辞書'!$A:$B,COLUMN('用語辞書'!B$1),FALSE),
IF(_xlpm.v=0,"",_xlpm.v)
),"")</f>
        <v/>
      </c>
      <c r="K1264" s="17"/>
      <c r="L1264" s="17" t="str">
        <f>IF(OR(COUNTIF('クラス'!$A$1:$A$1262,$B1264)&gt;0,$B1264="",$M1264=""),"",True)</f>
        <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9.0</v>
      </c>
      <c r="B1265" s="1"/>
      <c r="C1265" s="1"/>
      <c r="D1265" s="1"/>
      <c r="E1265" s="14"/>
      <c r="F1265" s="15"/>
      <c r="G1265" s="16"/>
      <c r="H1265" s="11"/>
      <c r="I1265" s="7"/>
      <c r="J1265" s="7" t="str">
        <f>IFERROR(LET(_xlpm.v,
VLOOKUP($I1265,'用語辞書'!$A:$B,COLUMN('用語辞書'!B$1),FALSE),
IF(_xlpm.v=0,"",_xlpm.v)
),"")</f>
        <v/>
      </c>
      <c r="K1265" s="17"/>
      <c r="L1265" s="17" t="str">
        <f>IF(OR(COUNTIF('クラス'!$A$1:$A$1262,$B1265)&gt;0,$B1265="",$M1265=""),"",True)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10.0</v>
      </c>
      <c r="B1266" s="1"/>
      <c r="C1266" s="1"/>
      <c r="D1266" s="1"/>
      <c r="E1266" s="14"/>
      <c r="F1266" s="15"/>
      <c r="G1266" s="16"/>
      <c r="H1266" s="11"/>
      <c r="I1266" s="7"/>
      <c r="J1266" s="7" t="str">
        <f>IFERROR(LET(_xlpm.v,
VLOOKUP($I1266,'用語辞書'!$A:$B,COLUMN('用語辞書'!B$1),FALSE),
IF(_xlpm.v=0,"",_xlpm.v)
),"")</f>
        <v/>
      </c>
      <c r="K1266" s="17"/>
      <c r="L1266" s="17" t="str">
        <f>IF(OR(COUNTIF('クラス'!$A$1:$A$1262,$B1266)&gt;0,$B1266="",$M1266=""),"",True)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1" collapsed="1">
      <c r="A1267" s="1"/>
      <c r="B1267" s="1"/>
      <c r="C1267" s="1"/>
      <c r="D1267" s="1"/>
      <c r="E1267" s="14"/>
      <c r="F1267" s="15"/>
      <c r="G1267" s="16"/>
      <c r="H1267" s="11"/>
      <c r="I1267" s="7"/>
      <c r="J1267" s="7" t="str">
        <f>IFERROR(LET(_xlpm.v,
VLOOKUP($I1267,'用語辞書'!$A:$B,COLUMN('用語辞書'!B$1),FALSE),
IF(_xlpm.v=0,"",_xlpm.v)
),"")</f>
        <v/>
      </c>
      <c r="K1267" s="17"/>
      <c r="L1267" s="17" t="str">
        <f>IF(OR(COUNTIF('クラス'!$A$1:$A$1262,$B1267)&gt;0,$B1267="",$M1267=""),"",True)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 r="A1268" s="1"/>
      <c r="B1268" s="1"/>
      <c r="C1268" s="1"/>
      <c r="D1268" s="1"/>
      <c r="E1268" s="14"/>
      <c r="F1268" s="15"/>
      <c r="G1268" s="16"/>
      <c r="H1268" s="11"/>
      <c r="I1268" s="7"/>
      <c r="J1268" s="7" t="str">
        <f>IFERROR(LET(_xlpm.v,
VLOOKUP($I1268,'用語辞書'!$A:$B,COLUMN('用語辞書'!B$1),FALSE),
IF(_xlpm.v=0,"",_xlpm.v)
),"")</f>
        <v/>
      </c>
      <c r="K1268" s="17"/>
      <c r="L1268" s="17" t="str">
        <f>IF(OR(COUNTIF('クラス'!$A$1:$A$1262,$B1268)&gt;0,$B1268="",$M1268=""),"",True)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26" t="s">
        <v>1609</v>
      </c>
      <c r="C1269" s="1"/>
      <c r="D1269" s="1"/>
      <c r="E1269" s="14"/>
      <c r="F1269" s="15"/>
      <c r="G1269" s="16"/>
      <c r="H1269" s="11"/>
      <c r="I1269" s="7"/>
      <c r="J1269" s="7" t="str">
        <f>IFERROR(LET(_xlpm.v,
VLOOKUP($I1269,'用語辞書'!$A:$B,COLUMN('用語辞書'!B$1),FALSE),
IF(_xlpm.v=0,"",_xlpm.v)
),"")</f>
        <v/>
      </c>
      <c r="K1269" s="17"/>
      <c r="L1269" s="17" t="str">
        <f>IF(OR(COUNTIF('クラス'!$A$1:$A$1262,$B1269)&gt;0,$B1269="",$M1269=""),"",True)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2">
      <c r="A1270" s="1">
        <v>1.0</v>
      </c>
      <c r="B1270" s="26" t="s">
        <v>1610</v>
      </c>
      <c r="C1270" s="1"/>
      <c r="D1270" s="1"/>
      <c r="E1270" s="14" t="s">
        <v>33</v>
      </c>
      <c r="F1270" s="15"/>
      <c r="G1270" s="16">
        <v>40.0</v>
      </c>
      <c r="H1270" s="11" t="s">
        <v>1611</v>
      </c>
      <c r="I1270" s="7"/>
      <c r="J1270" s="7" t="str">
        <f>IFERROR(LET(_xlpm.v,
VLOOKUP($I1270,'用語辞書'!$A:$B,COLUMN('用語辞書'!B$1),FALSE),
IF(_xlpm.v=0,"",_xlpm.v)
),"")</f>
        <v/>
      </c>
      <c r="K1270" s="17"/>
      <c r="L1270" s="17" t="b">
        <f>IF(OR(COUNTIF('クラス'!$A$1:$A$1262,$B1270)&gt;0,$B1270="",$M1270=""),"",True)</f>
        <v>1</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2.0</v>
      </c>
      <c r="B1271" s="26" t="s">
        <v>1612</v>
      </c>
      <c r="C1271" s="1"/>
      <c r="D1271" s="1"/>
      <c r="E1271" s="29" t="s">
        <v>33</v>
      </c>
      <c r="F1271" s="15"/>
      <c r="G1271" s="30">
        <v>50.0</v>
      </c>
      <c r="H1271" s="22" t="s">
        <v>1613</v>
      </c>
      <c r="I1271" s="7"/>
      <c r="J1271" s="7" t="str">
        <f>IFERROR(LET(_xlpm.v,
VLOOKUP($I1271,'用語辞書'!$A:$B,COLUMN('用語辞書'!B$1),FALSE),
IF(_xlpm.v=0,"",_xlpm.v)
),"")</f>
        <v/>
      </c>
      <c r="K1271" s="17"/>
      <c r="L1271" s="17" t="b">
        <f>IF(OR(COUNTIF('クラス'!$A$1:$A$1262,$B1271)&gt;0,$B1271="",$M1271=""),"",True)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3.0</v>
      </c>
      <c r="B1272" s="26" t="s">
        <v>1614</v>
      </c>
      <c r="C1272" s="1"/>
      <c r="D1272" s="1"/>
      <c r="E1272" s="29" t="s">
        <v>55</v>
      </c>
      <c r="F1272" s="15"/>
      <c r="G1272" s="16"/>
      <c r="H1272" s="22" t="s">
        <v>1602</v>
      </c>
      <c r="I1272" s="7"/>
      <c r="J1272" s="7" t="str">
        <f>IFERROR(LET(_xlpm.v,
VLOOKUP($I1272,'用語辞書'!$A:$B,COLUMN('用語辞書'!B$1),FALSE),
IF(_xlpm.v=0,"",_xlpm.v)
),"")</f>
        <v/>
      </c>
      <c r="K1272" s="17"/>
      <c r="L1272" s="17" t="b">
        <f>IF(OR(COUNTIF('クラス'!$A$1:$A$1262,$B1272)&gt;0,$B1272="",$M1272=""),"",True)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4.0</v>
      </c>
      <c r="B1273" s="26" t="s">
        <v>1615</v>
      </c>
      <c r="C1273" s="1"/>
      <c r="D1273" s="1"/>
      <c r="E1273" s="14" t="s">
        <v>55</v>
      </c>
      <c r="F1273" s="15"/>
      <c r="G1273" s="16"/>
      <c r="H1273" s="11" t="s">
        <v>1616</v>
      </c>
      <c r="I1273" s="7"/>
      <c r="J1273" s="7" t="str">
        <f>IFERROR(LET(_xlpm.v,
VLOOKUP($I1273,'用語辞書'!$A:$B,COLUMN('用語辞書'!B$1),FALSE),
IF(_xlpm.v=0,"",_xlpm.v)
),"")</f>
        <v/>
      </c>
      <c r="K1273" s="17"/>
      <c r="L1273" s="17" t="b">
        <f>IF(OR(COUNTIF('クラス'!$A$1:$A$1262,$B1273)&gt;0,$B1273="",$M1273=""),"",True)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5.0</v>
      </c>
      <c r="B1274" s="26" t="s">
        <v>1606</v>
      </c>
      <c r="C1274" s="1"/>
      <c r="D1274" s="1"/>
      <c r="E1274" s="14"/>
      <c r="F1274" s="15"/>
      <c r="G1274" s="16"/>
      <c r="H1274" s="11"/>
      <c r="I1274" s="7"/>
      <c r="J1274" s="7" t="str">
        <f>IFERROR(LET(_xlpm.v,
VLOOKUP($I1274,'用語辞書'!$A:$B,COLUMN('用語辞書'!B$1),FALSE),
IF(_xlpm.v=0,"",_xlpm.v)
),"")</f>
        <v/>
      </c>
      <c r="K1274" s="17"/>
      <c r="L1274" s="17" t="str">
        <f>IF(OR(COUNTIF('クラス'!$A$1:$A$1262,$B1274)&gt;0,$B1274="",$M1274=""),"",True)</f>
        <v/>
      </c>
      <c r="M1274" s="1" t="str">
        <f t="shared" si="24"/>
        <v/>
      </c>
      <c r="N1274" s="1" t="s">
        <v>29</v>
      </c>
      <c r="O1274" s="1"/>
      <c r="P1274" s="11"/>
      <c r="Q1274" s="11"/>
      <c r="R1274" s="11"/>
      <c r="S1274" s="11"/>
      <c r="T1274" s="1"/>
      <c r="U1274" s="1"/>
      <c r="V1274" s="1"/>
      <c r="W1274" s="1"/>
      <c r="X1274" s="1"/>
      <c r="Y1274" s="1"/>
      <c r="Z1274" s="1"/>
    </row>
    <row r="1275" ht="18.0" hidden="1" customHeight="1" outlineLevel="2">
      <c r="A1275" s="1">
        <v>6.0</v>
      </c>
      <c r="B1275" s="1"/>
      <c r="C1275" s="1"/>
      <c r="D1275" s="1"/>
      <c r="E1275" s="14"/>
      <c r="F1275" s="15"/>
      <c r="G1275" s="16"/>
      <c r="H1275" s="11"/>
      <c r="I1275" s="7"/>
      <c r="J1275" s="7" t="str">
        <f>IFERROR(LET(_xlpm.v,
VLOOKUP($I1275,'用語辞書'!$A:$B,COLUMN('用語辞書'!B$1),FALSE),
IF(_xlpm.v=0,"",_xlpm.v)
),"")</f>
        <v/>
      </c>
      <c r="K1275" s="17"/>
      <c r="L1275" s="17" t="str">
        <f>IF(OR(COUNTIF('クラス'!$A$1:$A$1262,$B1275)&gt;0,$B1275="",$M1275=""),"",True)</f>
        <v/>
      </c>
      <c r="M1275" s="1" t="str">
        <f t="shared" si="24"/>
        <v>存在しない</v>
      </c>
      <c r="N1275" s="1" t="s">
        <v>29</v>
      </c>
      <c r="O1275" s="1"/>
      <c r="P1275" s="11"/>
      <c r="Q1275" s="11"/>
      <c r="R1275" s="11"/>
      <c r="S1275" s="11"/>
      <c r="T1275" s="1"/>
      <c r="U1275" s="1"/>
      <c r="V1275" s="1"/>
      <c r="W1275" s="1"/>
      <c r="X1275" s="1"/>
      <c r="Y1275" s="1"/>
      <c r="Z1275" s="1"/>
    </row>
    <row r="1276" ht="18.0" hidden="1" customHeight="1" outlineLevel="2">
      <c r="A1276" s="1">
        <v>7.0</v>
      </c>
      <c r="B1276" s="26" t="s">
        <v>1607</v>
      </c>
      <c r="C1276" s="1"/>
      <c r="D1276" s="1"/>
      <c r="E1276" s="14"/>
      <c r="F1276" s="15"/>
      <c r="G1276" s="16"/>
      <c r="H1276" s="11"/>
      <c r="I1276" s="7"/>
      <c r="J1276" s="7" t="str">
        <f>IFERROR(LET(_xlpm.v,
VLOOKUP($I1276,'用語辞書'!$A:$B,COLUMN('用語辞書'!B$1),FALSE),
IF(_xlpm.v=0,"",_xlpm.v)
),"")</f>
        <v/>
      </c>
      <c r="K1276" s="17"/>
      <c r="L1276" s="17" t="str">
        <f>IF(OR(COUNTIF('クラス'!$A$1:$A$1262,$B1276)&gt;0,$B1276="",$M1276=""),"",True)</f>
        <v/>
      </c>
      <c r="M1276" s="1" t="str">
        <f t="shared" si="24"/>
        <v/>
      </c>
      <c r="N1276" s="1" t="s">
        <v>29</v>
      </c>
      <c r="O1276" s="1"/>
      <c r="P1276" s="11"/>
      <c r="Q1276" s="11"/>
      <c r="R1276" s="11"/>
      <c r="S1276" s="11"/>
      <c r="T1276" s="1"/>
      <c r="U1276" s="1"/>
      <c r="V1276" s="1"/>
      <c r="W1276" s="1"/>
      <c r="X1276" s="1"/>
      <c r="Y1276" s="1"/>
      <c r="Z1276" s="1"/>
    </row>
    <row r="1277" ht="18.0" hidden="1" customHeight="1" outlineLevel="2">
      <c r="A1277" s="1">
        <v>8.0</v>
      </c>
      <c r="B1277" s="1"/>
      <c r="C1277" s="1"/>
      <c r="D1277" s="1"/>
      <c r="E1277" s="14"/>
      <c r="F1277" s="15"/>
      <c r="G1277" s="16"/>
      <c r="H1277" s="11"/>
      <c r="I1277" s="7"/>
      <c r="J1277" s="7" t="str">
        <f>IFERROR(LET(_xlpm.v,
VLOOKUP($I1277,'用語辞書'!$A:$B,COLUMN('用語辞書'!B$1),FALSE),
IF(_xlpm.v=0,"",_xlpm.v)
),"")</f>
        <v/>
      </c>
      <c r="K1277" s="17"/>
      <c r="L1277" s="17" t="str">
        <f>IF(OR(COUNTIF('クラス'!$A$1:$A$1262,$B1277)&gt;0,$B1277="",$M1277=""),"",True)</f>
        <v/>
      </c>
      <c r="M1277" s="1" t="str">
        <f t="shared" si="24"/>
        <v>存在しない</v>
      </c>
      <c r="N1277" s="1" t="s">
        <v>29</v>
      </c>
      <c r="O1277" s="1"/>
      <c r="P1277" s="11"/>
      <c r="Q1277" s="11"/>
      <c r="R1277" s="11"/>
      <c r="S1277" s="11"/>
      <c r="T1277" s="1"/>
      <c r="U1277" s="1"/>
      <c r="V1277" s="1"/>
      <c r="W1277" s="1"/>
      <c r="X1277" s="1"/>
      <c r="Y1277" s="1"/>
      <c r="Z1277" s="1"/>
    </row>
    <row r="1278" ht="18.0" hidden="1" customHeight="1" outlineLevel="2">
      <c r="A1278" s="1">
        <v>9.0</v>
      </c>
      <c r="B1278" s="1"/>
      <c r="C1278" s="1"/>
      <c r="D1278" s="1"/>
      <c r="E1278" s="14"/>
      <c r="F1278" s="15"/>
      <c r="G1278" s="16"/>
      <c r="H1278" s="11"/>
      <c r="I1278" s="7"/>
      <c r="J1278" s="7" t="str">
        <f>IFERROR(LET(_xlpm.v,
VLOOKUP($I1278,'用語辞書'!$A:$B,COLUMN('用語辞書'!B$1),FALSE),
IF(_xlpm.v=0,"",_xlpm.v)
),"")</f>
        <v/>
      </c>
      <c r="K1278" s="17"/>
      <c r="L1278" s="17" t="str">
        <f>IF(OR(COUNTIF('クラス'!$A$1:$A$1262,$B1278)&gt;0,$B1278="",$M1278=""),"",True)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10.0</v>
      </c>
      <c r="B1279" s="1"/>
      <c r="C1279" s="1"/>
      <c r="D1279" s="1"/>
      <c r="E1279" s="14"/>
      <c r="F1279" s="15"/>
      <c r="G1279" s="16"/>
      <c r="H1279" s="11"/>
      <c r="I1279" s="7"/>
      <c r="J1279" s="7" t="str">
        <f>IFERROR(LET(_xlpm.v,
VLOOKUP($I1279,'用語辞書'!$A:$B,COLUMN('用語辞書'!B$1),FALSE),
IF(_xlpm.v=0,"",_xlpm.v)
),"")</f>
        <v/>
      </c>
      <c r="K1279" s="17"/>
      <c r="L1279" s="17" t="str">
        <f>IF(OR(COUNTIF('クラス'!$A$1:$A$1262,$B1279)&gt;0,$B1279="",$M1279=""),"",True)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1" collapsed="1">
      <c r="A1280" s="1"/>
      <c r="B1280" s="1"/>
      <c r="C1280" s="1"/>
      <c r="D1280" s="1"/>
      <c r="E1280" s="14"/>
      <c r="F1280" s="15"/>
      <c r="G1280" s="16"/>
      <c r="H1280" s="11"/>
      <c r="I1280" s="7"/>
      <c r="J1280" s="7" t="str">
        <f>IFERROR(LET(_xlpm.v,
VLOOKUP($I1280,'用語辞書'!$A:$B,COLUMN('用語辞書'!B$1),FALSE),
IF(_xlpm.v=0,"",_xlpm.v)
),"")</f>
        <v/>
      </c>
      <c r="K1280" s="17"/>
      <c r="L1280" s="17" t="str">
        <f>IF(OR(COUNTIF('クラス'!$A$1:$A$1262,$B1280)&gt;0,$B1280="",$M1280=""),"",True)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 r="A1281" s="1"/>
      <c r="B1281" s="1"/>
      <c r="C1281" s="1"/>
      <c r="D1281" s="1"/>
      <c r="E1281" s="14"/>
      <c r="F1281" s="15"/>
      <c r="G1281" s="16"/>
      <c r="H1281" s="11"/>
      <c r="I1281" s="7"/>
      <c r="J1281" s="7" t="str">
        <f>IFERROR(LET(_xlpm.v,
VLOOKUP($I1281,'用語辞書'!$A:$B,COLUMN('用語辞書'!B$1),FALSE),
IF(_xlpm.v=0,"",_xlpm.v)
),"")</f>
        <v/>
      </c>
      <c r="K1281" s="17"/>
      <c r="L1281" s="17" t="str">
        <f>IF(OR(COUNTIF('クラス'!$A$1:$A$1262,$B1281)&gt;0,$B1281="",$M1281=""),"",True)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26" t="s">
        <v>1617</v>
      </c>
      <c r="C1282" s="1"/>
      <c r="D1282" s="1"/>
      <c r="E1282" s="14"/>
      <c r="F1282" s="15"/>
      <c r="G1282" s="16"/>
      <c r="H1282" s="11"/>
      <c r="I1282" s="7"/>
      <c r="J1282" s="7" t="str">
        <f>IFERROR(LET(_xlpm.v,
VLOOKUP($I1282,'用語辞書'!$A:$B,COLUMN('用語辞書'!B$1),FALSE),
IF(_xlpm.v=0,"",_xlpm.v)
),"")</f>
        <v/>
      </c>
      <c r="K1282" s="17"/>
      <c r="L1282" s="17" t="str">
        <f>IF(OR(COUNTIF('クラス'!$A$1:$A$1262,$B1282)&gt;0,$B1282="",$M1282=""),"",True)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2">
      <c r="A1283" s="1">
        <v>1.0</v>
      </c>
      <c r="B1283" s="26" t="s">
        <v>1618</v>
      </c>
      <c r="C1283" s="1"/>
      <c r="D1283" s="1"/>
      <c r="E1283" s="14" t="s">
        <v>33</v>
      </c>
      <c r="F1283" s="15"/>
      <c r="G1283" s="16">
        <v>40.0</v>
      </c>
      <c r="H1283" s="11" t="s">
        <v>1619</v>
      </c>
      <c r="I1283" s="7"/>
      <c r="J1283" s="7" t="str">
        <f>IFERROR(LET(_xlpm.v,
VLOOKUP($I1283,'用語辞書'!$A:$B,COLUMN('用語辞書'!B$1),FALSE),
IF(_xlpm.v=0,"",_xlpm.v)
),"")</f>
        <v/>
      </c>
      <c r="K1283" s="17"/>
      <c r="L1283" s="17" t="b">
        <f>IF(OR(COUNTIF('クラス'!$A$1:$A$1262,$B1283)&gt;0,$B1283="",$M1283=""),"",True)</f>
        <v>1</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2.0</v>
      </c>
      <c r="B1284" s="26" t="s">
        <v>1620</v>
      </c>
      <c r="C1284" s="1"/>
      <c r="D1284" s="1"/>
      <c r="E1284" s="29" t="s">
        <v>33</v>
      </c>
      <c r="F1284" s="15"/>
      <c r="G1284" s="30">
        <v>50.0</v>
      </c>
      <c r="H1284" s="22" t="s">
        <v>1621</v>
      </c>
      <c r="I1284" s="7"/>
      <c r="J1284" s="7" t="str">
        <f>IFERROR(LET(_xlpm.v,
VLOOKUP($I1284,'用語辞書'!$A:$B,COLUMN('用語辞書'!B$1),FALSE),
IF(_xlpm.v=0,"",_xlpm.v)
),"")</f>
        <v/>
      </c>
      <c r="K1284" s="17"/>
      <c r="L1284" s="17" t="b">
        <f>IF(OR(COUNTIF('クラス'!$A$1:$A$1262,$B1284)&gt;0,$B1284="",$M1284=""),"",True)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3.0</v>
      </c>
      <c r="B1285" s="26" t="s">
        <v>1622</v>
      </c>
      <c r="C1285" s="1"/>
      <c r="D1285" s="1"/>
      <c r="E1285" s="29" t="s">
        <v>55</v>
      </c>
      <c r="F1285" s="15"/>
      <c r="G1285" s="16"/>
      <c r="H1285" s="22" t="s">
        <v>1602</v>
      </c>
      <c r="I1285" s="7"/>
      <c r="J1285" s="7" t="str">
        <f>IFERROR(LET(_xlpm.v,
VLOOKUP($I1285,'用語辞書'!$A:$B,COLUMN('用語辞書'!B$1),FALSE),
IF(_xlpm.v=0,"",_xlpm.v)
),"")</f>
        <v/>
      </c>
      <c r="K1285" s="17"/>
      <c r="L1285" s="17" t="b">
        <f>IF(OR(COUNTIF('クラス'!$A$1:$A$1262,$B1285)&gt;0,$B1285="",$M1285=""),"",True)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4.0</v>
      </c>
      <c r="B1286" s="26" t="s">
        <v>1623</v>
      </c>
      <c r="C1286" s="1"/>
      <c r="D1286" s="1"/>
      <c r="E1286" s="14" t="s">
        <v>55</v>
      </c>
      <c r="F1286" s="15"/>
      <c r="G1286" s="16"/>
      <c r="H1286" s="11" t="s">
        <v>1624</v>
      </c>
      <c r="I1286" s="7"/>
      <c r="J1286" s="7" t="str">
        <f>IFERROR(LET(_xlpm.v,
VLOOKUP($I1286,'用語辞書'!$A:$B,COLUMN('用語辞書'!B$1),FALSE),
IF(_xlpm.v=0,"",_xlpm.v)
),"")</f>
        <v/>
      </c>
      <c r="K1286" s="17"/>
      <c r="L1286" s="17" t="b">
        <f>IF(OR(COUNTIF('クラス'!$A$1:$A$1262,$B1286)&gt;0,$B1286="",$M1286=""),"",True)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5.0</v>
      </c>
      <c r="B1287" s="26" t="s">
        <v>1606</v>
      </c>
      <c r="C1287" s="1"/>
      <c r="D1287" s="1"/>
      <c r="E1287" s="14"/>
      <c r="F1287" s="15"/>
      <c r="G1287" s="16"/>
      <c r="H1287" s="11"/>
      <c r="I1287" s="7"/>
      <c r="J1287" s="7" t="str">
        <f>IFERROR(LET(_xlpm.v,
VLOOKUP($I1287,'用語辞書'!$A:$B,COLUMN('用語辞書'!B$1),FALSE),
IF(_xlpm.v=0,"",_xlpm.v)
),"")</f>
        <v/>
      </c>
      <c r="K1287" s="17"/>
      <c r="L1287" s="17" t="str">
        <f>IF(OR(COUNTIF('クラス'!$A$1:$A$1262,$B1287)&gt;0,$B1287="",$M1287=""),"",True)</f>
        <v/>
      </c>
      <c r="M1287" s="1" t="str">
        <f t="shared" si="24"/>
        <v/>
      </c>
      <c r="N1287" s="1" t="s">
        <v>29</v>
      </c>
      <c r="O1287" s="1"/>
      <c r="P1287" s="11"/>
      <c r="Q1287" s="11"/>
      <c r="R1287" s="11"/>
      <c r="S1287" s="11"/>
      <c r="T1287" s="1"/>
      <c r="U1287" s="1"/>
      <c r="V1287" s="1"/>
      <c r="W1287" s="1"/>
      <c r="X1287" s="1"/>
      <c r="Y1287" s="1"/>
      <c r="Z1287" s="1"/>
    </row>
    <row r="1288" ht="18.0" hidden="1" customHeight="1" outlineLevel="2">
      <c r="A1288" s="1">
        <v>6.0</v>
      </c>
      <c r="B1288" s="1"/>
      <c r="C1288" s="1"/>
      <c r="D1288" s="1"/>
      <c r="E1288" s="14"/>
      <c r="F1288" s="15"/>
      <c r="G1288" s="16"/>
      <c r="H1288" s="11"/>
      <c r="I1288" s="7"/>
      <c r="J1288" s="7" t="str">
        <f>IFERROR(LET(_xlpm.v,
VLOOKUP($I1288,'用語辞書'!$A:$B,COLUMN('用語辞書'!B$1),FALSE),
IF(_xlpm.v=0,"",_xlpm.v)
),"")</f>
        <v/>
      </c>
      <c r="K1288" s="17"/>
      <c r="L1288" s="17" t="str">
        <f>IF(OR(COUNTIF('クラス'!$A$1:$A$1262,$B1288)&gt;0,$B1288="",$M1288=""),"",True)</f>
        <v/>
      </c>
      <c r="M1288" s="1" t="str">
        <f t="shared" si="24"/>
        <v>存在しない</v>
      </c>
      <c r="N1288" s="1" t="s">
        <v>29</v>
      </c>
      <c r="O1288" s="1"/>
      <c r="P1288" s="11"/>
      <c r="Q1288" s="11"/>
      <c r="R1288" s="11"/>
      <c r="S1288" s="11"/>
      <c r="T1288" s="1"/>
      <c r="U1288" s="1"/>
      <c r="V1288" s="1"/>
      <c r="W1288" s="1"/>
      <c r="X1288" s="1"/>
      <c r="Y1288" s="1"/>
      <c r="Z1288" s="1"/>
    </row>
    <row r="1289" ht="18.0" hidden="1" customHeight="1" outlineLevel="2">
      <c r="A1289" s="1">
        <v>7.0</v>
      </c>
      <c r="B1289" s="26" t="s">
        <v>1607</v>
      </c>
      <c r="C1289" s="1"/>
      <c r="D1289" s="1"/>
      <c r="E1289" s="14"/>
      <c r="F1289" s="15"/>
      <c r="G1289" s="16"/>
      <c r="H1289" s="11"/>
      <c r="I1289" s="7"/>
      <c r="J1289" s="7" t="str">
        <f>IFERROR(LET(_xlpm.v,
VLOOKUP($I1289,'用語辞書'!$A:$B,COLUMN('用語辞書'!B$1),FALSE),
IF(_xlpm.v=0,"",_xlpm.v)
),"")</f>
        <v/>
      </c>
      <c r="K1289" s="17"/>
      <c r="L1289" s="17" t="str">
        <f>IF(OR(COUNTIF('クラス'!$A$1:$A$1262,$B1289)&gt;0,$B1289="",$M1289=""),"",True)</f>
        <v/>
      </c>
      <c r="M1289" s="1" t="str">
        <f t="shared" si="24"/>
        <v/>
      </c>
      <c r="N1289" s="1" t="s">
        <v>29</v>
      </c>
      <c r="O1289" s="1"/>
      <c r="P1289" s="11"/>
      <c r="Q1289" s="11"/>
      <c r="R1289" s="11"/>
      <c r="S1289" s="11"/>
      <c r="T1289" s="1"/>
      <c r="U1289" s="1"/>
      <c r="V1289" s="1"/>
      <c r="W1289" s="1"/>
      <c r="X1289" s="1"/>
      <c r="Y1289" s="1"/>
      <c r="Z1289" s="1"/>
    </row>
    <row r="1290" ht="18.0" hidden="1" customHeight="1" outlineLevel="2">
      <c r="A1290" s="1">
        <v>8.0</v>
      </c>
      <c r="B1290" s="1"/>
      <c r="C1290" s="1"/>
      <c r="D1290" s="1"/>
      <c r="E1290" s="14"/>
      <c r="F1290" s="15"/>
      <c r="G1290" s="16"/>
      <c r="H1290" s="11"/>
      <c r="I1290" s="7"/>
      <c r="J1290" s="7" t="str">
        <f>IFERROR(LET(_xlpm.v,
VLOOKUP($I1290,'用語辞書'!$A:$B,COLUMN('用語辞書'!B$1),FALSE),
IF(_xlpm.v=0,"",_xlpm.v)
),"")</f>
        <v/>
      </c>
      <c r="K1290" s="17"/>
      <c r="L1290" s="17" t="str">
        <f>IF(OR(COUNTIF('クラス'!$A$1:$A$1262,$B1290)&gt;0,$B1290="",$M1290=""),"",True)</f>
        <v/>
      </c>
      <c r="M1290" s="1" t="str">
        <f t="shared" si="24"/>
        <v>存在しない</v>
      </c>
      <c r="N1290" s="1" t="s">
        <v>29</v>
      </c>
      <c r="O1290" s="1"/>
      <c r="P1290" s="11"/>
      <c r="Q1290" s="11"/>
      <c r="R1290" s="11"/>
      <c r="S1290" s="11"/>
      <c r="T1290" s="1"/>
      <c r="U1290" s="1"/>
      <c r="V1290" s="1"/>
      <c r="W1290" s="1"/>
      <c r="X1290" s="1"/>
      <c r="Y1290" s="1"/>
      <c r="Z1290" s="1"/>
    </row>
    <row r="1291" ht="18.0" hidden="1" customHeight="1" outlineLevel="2">
      <c r="A1291" s="1">
        <v>9.0</v>
      </c>
      <c r="B1291" s="1"/>
      <c r="C1291" s="1"/>
      <c r="D1291" s="1"/>
      <c r="E1291" s="14"/>
      <c r="F1291" s="15"/>
      <c r="G1291" s="16"/>
      <c r="H1291" s="11"/>
      <c r="I1291" s="7"/>
      <c r="J1291" s="7" t="str">
        <f>IFERROR(LET(_xlpm.v,
VLOOKUP($I1291,'用語辞書'!$A:$B,COLUMN('用語辞書'!B$1),FALSE),
IF(_xlpm.v=0,"",_xlpm.v)
),"")</f>
        <v/>
      </c>
      <c r="K1291" s="17"/>
      <c r="L1291" s="17" t="str">
        <f>IF(OR(COUNTIF('クラス'!$A$1:$A$1262,$B1291)&gt;0,$B1291="",$M1291=""),"",True)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10.0</v>
      </c>
      <c r="B1292" s="1"/>
      <c r="C1292" s="1"/>
      <c r="D1292" s="1"/>
      <c r="E1292" s="14"/>
      <c r="F1292" s="15"/>
      <c r="G1292" s="16"/>
      <c r="H1292" s="11"/>
      <c r="I1292" s="7"/>
      <c r="J1292" s="7" t="str">
        <f>IFERROR(LET(_xlpm.v,
VLOOKUP($I1292,'用語辞書'!$A:$B,COLUMN('用語辞書'!B$1),FALSE),
IF(_xlpm.v=0,"",_xlpm.v)
),"")</f>
        <v/>
      </c>
      <c r="K1292" s="17"/>
      <c r="L1292" s="17" t="str">
        <f>IF(OR(COUNTIF('クラス'!$A$1:$A$1262,$B1292)&gt;0,$B1292="",$M1292=""),"",True)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1" collapsed="1">
      <c r="A1293" s="1"/>
      <c r="B1293" s="1"/>
      <c r="C1293" s="1"/>
      <c r="D1293" s="1"/>
      <c r="E1293" s="14"/>
      <c r="F1293" s="15"/>
      <c r="G1293" s="16"/>
      <c r="H1293" s="11"/>
      <c r="I1293" s="7"/>
      <c r="J1293" s="7" t="str">
        <f>IFERROR(LET(_xlpm.v,
VLOOKUP($I1293,'用語辞書'!$A:$B,COLUMN('用語辞書'!B$1),FALSE),
IF(_xlpm.v=0,"",_xlpm.v)
),"")</f>
        <v/>
      </c>
      <c r="K1293" s="17"/>
      <c r="L1293" s="17" t="str">
        <f>IF(OR(COUNTIF('クラス'!$A$1:$A$1262,$B1293)&gt;0,$B1293="",$M1293=""),"",True)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 r="A1294" s="1"/>
      <c r="B1294" s="1"/>
      <c r="C1294" s="1"/>
      <c r="D1294" s="1"/>
      <c r="E1294" s="14"/>
      <c r="F1294" s="15"/>
      <c r="G1294" s="16"/>
      <c r="H1294" s="11"/>
      <c r="I1294" s="7"/>
      <c r="J1294" s="7" t="str">
        <f>IFERROR(LET(_xlpm.v,
VLOOKUP($I1294,'用語辞書'!$A:$B,COLUMN('用語辞書'!B$1),FALSE),
IF(_xlpm.v=0,"",_xlpm.v)
),"")</f>
        <v/>
      </c>
      <c r="K1294" s="17"/>
      <c r="L1294" s="17" t="str">
        <f>IF(OR(COUNTIF('クラス'!$A$1:$A$1262,$B1294)&gt;0,$B1294="",$M1294=""),"",True)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26" t="s">
        <v>1625</v>
      </c>
      <c r="C1295" s="1"/>
      <c r="D1295" s="1"/>
      <c r="E1295" s="14"/>
      <c r="F1295" s="15"/>
      <c r="G1295" s="16"/>
      <c r="H1295" s="11"/>
      <c r="I1295" s="7"/>
      <c r="J1295" s="7" t="str">
        <f>IFERROR(LET(_xlpm.v,
VLOOKUP($I1295,'用語辞書'!$A:$B,COLUMN('用語辞書'!B$1),FALSE),
IF(_xlpm.v=0,"",_xlpm.v)
),"")</f>
        <v/>
      </c>
      <c r="K1295" s="17"/>
      <c r="L1295" s="17" t="str">
        <f>IF(OR(COUNTIF('クラス'!$A$1:$A$1262,$B1295)&gt;0,$B1295="",$M1295=""),"",True)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2">
      <c r="A1296" s="1">
        <v>1.0</v>
      </c>
      <c r="B1296" s="26" t="s">
        <v>1626</v>
      </c>
      <c r="C1296" s="1"/>
      <c r="D1296" s="1"/>
      <c r="E1296" s="14" t="s">
        <v>33</v>
      </c>
      <c r="F1296" s="15"/>
      <c r="G1296" s="16">
        <v>40.0</v>
      </c>
      <c r="H1296" s="11" t="s">
        <v>1627</v>
      </c>
      <c r="I1296" s="7"/>
      <c r="J1296" s="7" t="str">
        <f>IFERROR(LET(_xlpm.v,
VLOOKUP($I1296,'用語辞書'!$A:$B,COLUMN('用語辞書'!B$1),FALSE),
IF(_xlpm.v=0,"",_xlpm.v)
),"")</f>
        <v/>
      </c>
      <c r="K1296" s="17"/>
      <c r="L1296" s="17" t="b">
        <f>IF(OR(COUNTIF('クラス'!$A$1:$A$1262,$B1296)&gt;0,$B1296="",$M1296=""),"",True)</f>
        <v>1</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2.0</v>
      </c>
      <c r="B1297" s="26" t="s">
        <v>1628</v>
      </c>
      <c r="C1297" s="1"/>
      <c r="D1297" s="1"/>
      <c r="E1297" s="29" t="s">
        <v>55</v>
      </c>
      <c r="F1297" s="15"/>
      <c r="G1297" s="30"/>
      <c r="H1297" s="22" t="s">
        <v>1602</v>
      </c>
      <c r="I1297" s="7"/>
      <c r="J1297" s="7" t="str">
        <f>IFERROR(LET(_xlpm.v,
VLOOKUP($I1297,'用語辞書'!$A:$B,COLUMN('用語辞書'!B$1),FALSE),
IF(_xlpm.v=0,"",_xlpm.v)
),"")</f>
        <v/>
      </c>
      <c r="K1297" s="17"/>
      <c r="L1297" s="17" t="b">
        <f>IF(OR(COUNTIF('クラス'!$A$1:$A$1262,$B1297)&gt;0,$B1297="",$M1297=""),"",True)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3.0</v>
      </c>
      <c r="B1298" s="26" t="s">
        <v>1629</v>
      </c>
      <c r="C1298" s="1"/>
      <c r="D1298" s="1"/>
      <c r="E1298" s="29" t="s">
        <v>55</v>
      </c>
      <c r="F1298" s="15"/>
      <c r="G1298" s="16"/>
      <c r="H1298" s="22" t="s">
        <v>1630</v>
      </c>
      <c r="I1298" s="7"/>
      <c r="J1298" s="7" t="str">
        <f>IFERROR(LET(_xlpm.v,
VLOOKUP($I1298,'用語辞書'!$A:$B,COLUMN('用語辞書'!B$1),FALSE),
IF(_xlpm.v=0,"",_xlpm.v)
),"")</f>
        <v/>
      </c>
      <c r="K1298" s="17"/>
      <c r="L1298" s="17" t="b">
        <f>IF(OR(COUNTIF('クラス'!$A$1:$A$1262,$B1298)&gt;0,$B1298="",$M1298=""),"",True)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4.0</v>
      </c>
      <c r="B1299" s="26" t="s">
        <v>1631</v>
      </c>
      <c r="C1299" s="1"/>
      <c r="D1299" s="1"/>
      <c r="E1299" s="14" t="s">
        <v>33</v>
      </c>
      <c r="F1299" s="15"/>
      <c r="G1299" s="16">
        <v>60.0</v>
      </c>
      <c r="H1299" s="11" t="s">
        <v>1632</v>
      </c>
      <c r="I1299" s="7"/>
      <c r="J1299" s="7" t="str">
        <f>IFERROR(LET(_xlpm.v,
VLOOKUP($I1299,'用語辞書'!$A:$B,COLUMN('用語辞書'!B$1),FALSE),
IF(_xlpm.v=0,"",_xlpm.v)
),"")</f>
        <v/>
      </c>
      <c r="K1299" s="17"/>
      <c r="L1299" s="17" t="b">
        <f>IF(OR(COUNTIF('クラス'!$A$1:$A$1262,$B1299)&gt;0,$B1299="",$M1299=""),"",True)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5.0</v>
      </c>
      <c r="B1300" s="26" t="s">
        <v>1606</v>
      </c>
      <c r="C1300" s="1"/>
      <c r="D1300" s="1"/>
      <c r="E1300" s="14"/>
      <c r="F1300" s="15"/>
      <c r="G1300" s="16"/>
      <c r="H1300" s="11"/>
      <c r="I1300" s="7"/>
      <c r="J1300" s="7" t="str">
        <f>IFERROR(LET(_xlpm.v,
VLOOKUP($I1300,'用語辞書'!$A:$B,COLUMN('用語辞書'!B$1),FALSE),
IF(_xlpm.v=0,"",_xlpm.v)
),"")</f>
        <v/>
      </c>
      <c r="K1300" s="17"/>
      <c r="L1300" s="17" t="str">
        <f>IF(OR(COUNTIF('クラス'!$A$1:$A$1262,$B1300)&gt;0,$B1300="",$M1300=""),"",True)</f>
        <v/>
      </c>
      <c r="M1300" s="1" t="str">
        <f t="shared" si="24"/>
        <v/>
      </c>
      <c r="N1300" s="1" t="s">
        <v>29</v>
      </c>
      <c r="O1300" s="1"/>
      <c r="P1300" s="11"/>
      <c r="Q1300" s="11"/>
      <c r="R1300" s="11"/>
      <c r="S1300" s="11"/>
      <c r="T1300" s="1"/>
      <c r="U1300" s="1"/>
      <c r="V1300" s="1"/>
      <c r="W1300" s="1"/>
      <c r="X1300" s="1"/>
      <c r="Y1300" s="1"/>
      <c r="Z1300" s="1"/>
    </row>
    <row r="1301" ht="18.0" hidden="1" customHeight="1" outlineLevel="2">
      <c r="A1301" s="1">
        <v>6.0</v>
      </c>
      <c r="B1301" s="1"/>
      <c r="C1301" s="1"/>
      <c r="D1301" s="1"/>
      <c r="E1301" s="14"/>
      <c r="F1301" s="15"/>
      <c r="G1301" s="16"/>
      <c r="H1301" s="11"/>
      <c r="I1301" s="7"/>
      <c r="J1301" s="7" t="str">
        <f>IFERROR(LET(_xlpm.v,
VLOOKUP($I1301,'用語辞書'!$A:$B,COLUMN('用語辞書'!B$1),FALSE),
IF(_xlpm.v=0,"",_xlpm.v)
),"")</f>
        <v/>
      </c>
      <c r="K1301" s="17"/>
      <c r="L1301" s="17" t="str">
        <f>IF(OR(COUNTIF('クラス'!$A$1:$A$1262,$B1301)&gt;0,$B1301="",$M1301=""),"",True)</f>
        <v/>
      </c>
      <c r="M1301" s="1" t="str">
        <f t="shared" si="24"/>
        <v>存在しない</v>
      </c>
      <c r="N1301" s="1" t="s">
        <v>29</v>
      </c>
      <c r="O1301" s="1"/>
      <c r="P1301" s="11"/>
      <c r="Q1301" s="11"/>
      <c r="R1301" s="11"/>
      <c r="S1301" s="11"/>
      <c r="T1301" s="1"/>
      <c r="U1301" s="1"/>
      <c r="V1301" s="1"/>
      <c r="W1301" s="1"/>
      <c r="X1301" s="1"/>
      <c r="Y1301" s="1"/>
      <c r="Z1301" s="1"/>
    </row>
    <row r="1302" ht="18.0" hidden="1" customHeight="1" outlineLevel="2">
      <c r="A1302" s="1">
        <v>7.0</v>
      </c>
      <c r="B1302" s="26" t="s">
        <v>1607</v>
      </c>
      <c r="C1302" s="1"/>
      <c r="D1302" s="1"/>
      <c r="E1302" s="14"/>
      <c r="F1302" s="15"/>
      <c r="G1302" s="16"/>
      <c r="H1302" s="11"/>
      <c r="I1302" s="7"/>
      <c r="J1302" s="7" t="str">
        <f>IFERROR(LET(_xlpm.v,
VLOOKUP($I1302,'用語辞書'!$A:$B,COLUMN('用語辞書'!B$1),FALSE),
IF(_xlpm.v=0,"",_xlpm.v)
),"")</f>
        <v/>
      </c>
      <c r="K1302" s="17"/>
      <c r="L1302" s="17" t="str">
        <f>IF(OR(COUNTIF('クラス'!$A$1:$A$1262,$B1302)&gt;0,$B1302="",$M1302=""),"",True)</f>
        <v/>
      </c>
      <c r="M1302" s="1" t="str">
        <f t="shared" si="24"/>
        <v/>
      </c>
      <c r="N1302" s="1" t="s">
        <v>29</v>
      </c>
      <c r="O1302" s="1"/>
      <c r="P1302" s="11"/>
      <c r="Q1302" s="11"/>
      <c r="R1302" s="11"/>
      <c r="S1302" s="11"/>
      <c r="T1302" s="1"/>
      <c r="U1302" s="1"/>
      <c r="V1302" s="1"/>
      <c r="W1302" s="1"/>
      <c r="X1302" s="1"/>
      <c r="Y1302" s="1"/>
      <c r="Z1302" s="1"/>
    </row>
    <row r="1303" ht="18.0" hidden="1" customHeight="1" outlineLevel="2">
      <c r="A1303" s="1">
        <v>8.0</v>
      </c>
      <c r="B1303" s="1"/>
      <c r="C1303" s="1"/>
      <c r="D1303" s="1"/>
      <c r="E1303" s="14"/>
      <c r="F1303" s="15"/>
      <c r="G1303" s="16"/>
      <c r="H1303" s="11"/>
      <c r="I1303" s="7"/>
      <c r="J1303" s="7" t="str">
        <f>IFERROR(LET(_xlpm.v,
VLOOKUP($I1303,'用語辞書'!$A:$B,COLUMN('用語辞書'!B$1),FALSE),
IF(_xlpm.v=0,"",_xlpm.v)
),"")</f>
        <v/>
      </c>
      <c r="K1303" s="17"/>
      <c r="L1303" s="17" t="str">
        <f>IF(OR(COUNTIF('クラス'!$A$1:$A$1262,$B1303)&gt;0,$B1303="",$M1303=""),"",True)</f>
        <v/>
      </c>
      <c r="M1303" s="1" t="str">
        <f t="shared" si="24"/>
        <v>存在しない</v>
      </c>
      <c r="N1303" s="1" t="s">
        <v>29</v>
      </c>
      <c r="O1303" s="1"/>
      <c r="P1303" s="11"/>
      <c r="Q1303" s="11"/>
      <c r="R1303" s="11"/>
      <c r="S1303" s="11"/>
      <c r="T1303" s="1"/>
      <c r="U1303" s="1"/>
      <c r="V1303" s="1"/>
      <c r="W1303" s="1"/>
      <c r="X1303" s="1"/>
      <c r="Y1303" s="1"/>
      <c r="Z1303" s="1"/>
    </row>
    <row r="1304" ht="18.0" hidden="1" customHeight="1" outlineLevel="2">
      <c r="A1304" s="1">
        <v>9.0</v>
      </c>
      <c r="B1304" s="1"/>
      <c r="C1304" s="1"/>
      <c r="D1304" s="1"/>
      <c r="E1304" s="14"/>
      <c r="F1304" s="15"/>
      <c r="G1304" s="16"/>
      <c r="H1304" s="11"/>
      <c r="I1304" s="7"/>
      <c r="J1304" s="7" t="str">
        <f>IFERROR(LET(_xlpm.v,
VLOOKUP($I1304,'用語辞書'!$A:$B,COLUMN('用語辞書'!B$1),FALSE),
IF(_xlpm.v=0,"",_xlpm.v)
),"")</f>
        <v/>
      </c>
      <c r="K1304" s="17"/>
      <c r="L1304" s="17" t="str">
        <f>IF(OR(COUNTIF('クラス'!$A$1:$A$1262,$B1304)&gt;0,$B1304="",$M1304=""),"",True)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10.0</v>
      </c>
      <c r="B1305" s="1"/>
      <c r="C1305" s="1"/>
      <c r="D1305" s="1"/>
      <c r="E1305" s="14"/>
      <c r="F1305" s="15"/>
      <c r="G1305" s="16"/>
      <c r="H1305" s="11"/>
      <c r="I1305" s="7"/>
      <c r="J1305" s="7" t="str">
        <f>IFERROR(LET(_xlpm.v,
VLOOKUP($I1305,'用語辞書'!$A:$B,COLUMN('用語辞書'!B$1),FALSE),
IF(_xlpm.v=0,"",_xlpm.v)
),"")</f>
        <v/>
      </c>
      <c r="K1305" s="17"/>
      <c r="L1305" s="17" t="str">
        <f>IF(OR(COUNTIF('クラス'!$A$1:$A$1262,$B1305)&gt;0,$B1305="",$M1305=""),"",True)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1" collapsed="1">
      <c r="A1306" s="1"/>
      <c r="B1306" s="1"/>
      <c r="C1306" s="1"/>
      <c r="D1306" s="1"/>
      <c r="E1306" s="14"/>
      <c r="F1306" s="15"/>
      <c r="G1306" s="16"/>
      <c r="H1306" s="11"/>
      <c r="I1306" s="7"/>
      <c r="J1306" s="7" t="str">
        <f>IFERROR(LET(_xlpm.v,
VLOOKUP($I1306,'用語辞書'!$A:$B,COLUMN('用語辞書'!B$1),FALSE),
IF(_xlpm.v=0,"",_xlpm.v)
),"")</f>
        <v/>
      </c>
      <c r="K1306" s="17"/>
      <c r="L1306" s="17" t="str">
        <f>IF(OR(COUNTIF('クラス'!$A$1:$A$1262,$B1306)&gt;0,$B1306="",$M1306=""),"",True)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 r="A1307" s="1"/>
      <c r="B1307" s="1"/>
      <c r="C1307" s="1"/>
      <c r="D1307" s="1"/>
      <c r="E1307" s="14"/>
      <c r="F1307" s="15"/>
      <c r="G1307" s="16"/>
      <c r="H1307" s="11"/>
      <c r="I1307" s="7"/>
      <c r="J1307" s="7" t="str">
        <f>IFERROR(LET(_xlpm.v,
VLOOKUP($I1307,'用語辞書'!$A:$B,COLUMN('用語辞書'!B$1),FALSE),
IF(_xlpm.v=0,"",_xlpm.v)
),"")</f>
        <v/>
      </c>
      <c r="K1307" s="17"/>
      <c r="L1307" s="17" t="str">
        <f>IF(OR(COUNTIF('クラス'!$A$1:$A$1262,$B1307)&gt;0,$B1307="",$M1307=""),"",True)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26" t="s">
        <v>1633</v>
      </c>
      <c r="C1308" s="1"/>
      <c r="D1308" s="1"/>
      <c r="E1308" s="14"/>
      <c r="F1308" s="15"/>
      <c r="G1308" s="16"/>
      <c r="H1308" s="11"/>
      <c r="I1308" s="7"/>
      <c r="J1308" s="7" t="str">
        <f>IFERROR(LET(_xlpm.v,
VLOOKUP($I1308,'用語辞書'!$A:$B,COLUMN('用語辞書'!B$1),FALSE),
IF(_xlpm.v=0,"",_xlpm.v)
),"")</f>
        <v/>
      </c>
      <c r="K1308" s="17"/>
      <c r="L1308" s="17" t="str">
        <f>IF(OR(COUNTIF('クラス'!$A$1:$A$1262,$B1308)&gt;0,$B1308="",$M1308=""),"",True)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2">
      <c r="A1309" s="1">
        <v>1.0</v>
      </c>
      <c r="B1309" s="26" t="s">
        <v>1634</v>
      </c>
      <c r="C1309" s="1"/>
      <c r="D1309" s="1"/>
      <c r="E1309" s="14" t="s">
        <v>33</v>
      </c>
      <c r="F1309" s="15"/>
      <c r="G1309" s="16">
        <v>40.0</v>
      </c>
      <c r="H1309" s="11" t="s">
        <v>1611</v>
      </c>
      <c r="I1309" s="7"/>
      <c r="J1309" s="7" t="str">
        <f>IFERROR(LET(_xlpm.v,
VLOOKUP($I1309,'用語辞書'!$A:$B,COLUMN('用語辞書'!B$1),FALSE),
IF(_xlpm.v=0,"",_xlpm.v)
),"")</f>
        <v/>
      </c>
      <c r="K1309" s="17"/>
      <c r="L1309" s="17" t="b">
        <f>IF(OR(COUNTIF('クラス'!$A$1:$A$1262,$B1309)&gt;0,$B1309="",$M1309=""),"",True)</f>
        <v>1</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2.0</v>
      </c>
      <c r="B1310" s="26" t="s">
        <v>1635</v>
      </c>
      <c r="C1310" s="1"/>
      <c r="D1310" s="1"/>
      <c r="E1310" s="29" t="s">
        <v>55</v>
      </c>
      <c r="F1310" s="15"/>
      <c r="G1310" s="30"/>
      <c r="H1310" s="22" t="s">
        <v>1636</v>
      </c>
      <c r="I1310" s="7"/>
      <c r="J1310" s="7" t="str">
        <f>IFERROR(LET(_xlpm.v,
VLOOKUP($I1310,'用語辞書'!$A:$B,COLUMN('用語辞書'!B$1),FALSE),
IF(_xlpm.v=0,"",_xlpm.v)
),"")</f>
        <v/>
      </c>
      <c r="K1310" s="17"/>
      <c r="L1310" s="17" t="b">
        <f>IF(OR(COUNTIF('クラス'!$A$1:$A$1262,$B1310)&gt;0,$B1310="",$M1310=""),"",True)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3.0</v>
      </c>
      <c r="B1311" s="26" t="s">
        <v>1637</v>
      </c>
      <c r="C1311" s="1"/>
      <c r="D1311" s="1"/>
      <c r="E1311" s="29" t="s">
        <v>55</v>
      </c>
      <c r="F1311" s="15"/>
      <c r="G1311" s="16"/>
      <c r="H1311" s="22" t="s">
        <v>1604</v>
      </c>
      <c r="I1311" s="7"/>
      <c r="J1311" s="7" t="str">
        <f>IFERROR(LET(_xlpm.v,
VLOOKUP($I1311,'用語辞書'!$A:$B,COLUMN('用語辞書'!B$1),FALSE),
IF(_xlpm.v=0,"",_xlpm.v)
),"")</f>
        <v/>
      </c>
      <c r="K1311" s="17"/>
      <c r="L1311" s="17" t="b">
        <f>IF(OR(COUNTIF('クラス'!$A$1:$A$1262,$B1311)&gt;0,$B1311="",$M1311=""),"",True)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4.0</v>
      </c>
      <c r="B1312" s="26" t="s">
        <v>1638</v>
      </c>
      <c r="C1312" s="1"/>
      <c r="D1312" s="1"/>
      <c r="E1312" s="14" t="s">
        <v>55</v>
      </c>
      <c r="F1312" s="15"/>
      <c r="G1312" s="16"/>
      <c r="H1312" s="11" t="s">
        <v>1639</v>
      </c>
      <c r="I1312" s="7"/>
      <c r="J1312" s="7" t="str">
        <f>IFERROR(LET(_xlpm.v,
VLOOKUP($I1312,'用語辞書'!$A:$B,COLUMN('用語辞書'!B$1),FALSE),
IF(_xlpm.v=0,"",_xlpm.v)
),"")</f>
        <v/>
      </c>
      <c r="K1312" s="17"/>
      <c r="L1312" s="17" t="b">
        <f>IF(OR(COUNTIF('クラス'!$A$1:$A$1262,$B1312)&gt;0,$B1312="",$M1312=""),"",True)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5.0</v>
      </c>
      <c r="B1313" s="26" t="s">
        <v>1606</v>
      </c>
      <c r="C1313" s="1"/>
      <c r="D1313" s="1"/>
      <c r="E1313" s="14"/>
      <c r="F1313" s="15"/>
      <c r="G1313" s="16"/>
      <c r="H1313" s="11"/>
      <c r="I1313" s="7"/>
      <c r="J1313" s="7" t="str">
        <f>IFERROR(LET(_xlpm.v,
VLOOKUP($I1313,'用語辞書'!$A:$B,COLUMN('用語辞書'!B$1),FALSE),
IF(_xlpm.v=0,"",_xlpm.v)
),"")</f>
        <v/>
      </c>
      <c r="K1313" s="17"/>
      <c r="L1313" s="17" t="str">
        <f>IF(OR(COUNTIF('クラス'!$A$1:$A$1262,$B1313)&gt;0,$B1313="",$M1313=""),"",True)</f>
        <v/>
      </c>
      <c r="M1313" s="1" t="str">
        <f t="shared" si="24"/>
        <v/>
      </c>
      <c r="N1313" s="1" t="s">
        <v>29</v>
      </c>
      <c r="O1313" s="1"/>
      <c r="P1313" s="11"/>
      <c r="Q1313" s="11"/>
      <c r="R1313" s="11"/>
      <c r="S1313" s="11"/>
      <c r="T1313" s="1"/>
      <c r="U1313" s="1"/>
      <c r="V1313" s="1"/>
      <c r="W1313" s="1"/>
      <c r="X1313" s="1"/>
      <c r="Y1313" s="1"/>
      <c r="Z1313" s="1"/>
    </row>
    <row r="1314" ht="18.0" hidden="1" customHeight="1" outlineLevel="2">
      <c r="A1314" s="1">
        <v>6.0</v>
      </c>
      <c r="B1314" s="1"/>
      <c r="C1314" s="1"/>
      <c r="D1314" s="1"/>
      <c r="E1314" s="14"/>
      <c r="F1314" s="15"/>
      <c r="G1314" s="16"/>
      <c r="H1314" s="11"/>
      <c r="I1314" s="7"/>
      <c r="J1314" s="7" t="str">
        <f>IFERROR(LET(_xlpm.v,
VLOOKUP($I1314,'用語辞書'!$A:$B,COLUMN('用語辞書'!B$1),FALSE),
IF(_xlpm.v=0,"",_xlpm.v)
),"")</f>
        <v/>
      </c>
      <c r="K1314" s="17"/>
      <c r="L1314" s="17" t="str">
        <f>IF(OR(COUNTIF('クラス'!$A$1:$A$1262,$B1314)&gt;0,$B1314="",$M1314=""),"",True)</f>
        <v/>
      </c>
      <c r="M1314" s="1" t="str">
        <f t="shared" si="24"/>
        <v>存在しない</v>
      </c>
      <c r="N1314" s="1" t="s">
        <v>29</v>
      </c>
      <c r="O1314" s="1"/>
      <c r="P1314" s="11"/>
      <c r="Q1314" s="11"/>
      <c r="R1314" s="11"/>
      <c r="S1314" s="11"/>
      <c r="T1314" s="1"/>
      <c r="U1314" s="1"/>
      <c r="V1314" s="1"/>
      <c r="W1314" s="1"/>
      <c r="X1314" s="1"/>
      <c r="Y1314" s="1"/>
      <c r="Z1314" s="1"/>
    </row>
    <row r="1315" ht="18.0" hidden="1" customHeight="1" outlineLevel="2">
      <c r="A1315" s="1">
        <v>7.0</v>
      </c>
      <c r="B1315" s="26" t="s">
        <v>1612</v>
      </c>
      <c r="C1315" s="1"/>
      <c r="D1315" s="1"/>
      <c r="E1315" s="14"/>
      <c r="F1315" s="15"/>
      <c r="G1315" s="16"/>
      <c r="H1315" s="11"/>
      <c r="I1315" s="7"/>
      <c r="J1315" s="7" t="str">
        <f>IFERROR(LET(_xlpm.v,
VLOOKUP($I1315,'用語辞書'!$A:$B,COLUMN('用語辞書'!B$1),FALSE),
IF(_xlpm.v=0,"",_xlpm.v)
),"")</f>
        <v/>
      </c>
      <c r="K1315" s="17"/>
      <c r="L1315" s="17" t="str">
        <f>IF(OR(COUNTIF('クラス'!$A$1:$A$1262,$B1315)&gt;0,$B1315="",$M1315=""),"",True)</f>
        <v/>
      </c>
      <c r="M1315" s="1" t="str">
        <f t="shared" si="24"/>
        <v/>
      </c>
      <c r="N1315" s="1" t="s">
        <v>29</v>
      </c>
      <c r="O1315" s="1"/>
      <c r="P1315" s="11"/>
      <c r="Q1315" s="11"/>
      <c r="R1315" s="11"/>
      <c r="S1315" s="11"/>
      <c r="T1315" s="1"/>
      <c r="U1315" s="1"/>
      <c r="V1315" s="1"/>
      <c r="W1315" s="1"/>
      <c r="X1315" s="1"/>
      <c r="Y1315" s="1"/>
      <c r="Z1315" s="1"/>
    </row>
    <row r="1316" ht="18.0" hidden="1" customHeight="1" outlineLevel="2">
      <c r="A1316" s="1">
        <v>8.0</v>
      </c>
      <c r="B1316" s="1"/>
      <c r="C1316" s="1"/>
      <c r="D1316" s="1"/>
      <c r="E1316" s="14"/>
      <c r="F1316" s="15"/>
      <c r="G1316" s="16"/>
      <c r="H1316" s="11"/>
      <c r="I1316" s="7"/>
      <c r="J1316" s="7" t="str">
        <f>IFERROR(LET(_xlpm.v,
VLOOKUP($I1316,'用語辞書'!$A:$B,COLUMN('用語辞書'!B$1),FALSE),
IF(_xlpm.v=0,"",_xlpm.v)
),"")</f>
        <v/>
      </c>
      <c r="K1316" s="17"/>
      <c r="L1316" s="17" t="str">
        <f>IF(OR(COUNTIF('クラス'!$A$1:$A$1262,$B1316)&gt;0,$B1316="",$M1316=""),"",True)</f>
        <v/>
      </c>
      <c r="M1316" s="1" t="str">
        <f t="shared" si="24"/>
        <v>存在しない</v>
      </c>
      <c r="N1316" s="1" t="s">
        <v>29</v>
      </c>
      <c r="O1316" s="1"/>
      <c r="P1316" s="11"/>
      <c r="Q1316" s="11"/>
      <c r="R1316" s="11"/>
      <c r="S1316" s="11"/>
      <c r="T1316" s="1"/>
      <c r="U1316" s="1"/>
      <c r="V1316" s="1"/>
      <c r="W1316" s="1"/>
      <c r="X1316" s="1"/>
      <c r="Y1316" s="1"/>
      <c r="Z1316" s="1"/>
    </row>
    <row r="1317" ht="18.0" hidden="1" customHeight="1" outlineLevel="2">
      <c r="A1317" s="1">
        <v>9.0</v>
      </c>
      <c r="B1317" s="1"/>
      <c r="C1317" s="1"/>
      <c r="D1317" s="1"/>
      <c r="E1317" s="14"/>
      <c r="F1317" s="15"/>
      <c r="G1317" s="16"/>
      <c r="H1317" s="11"/>
      <c r="I1317" s="7"/>
      <c r="J1317" s="7" t="str">
        <f>IFERROR(LET(_xlpm.v,
VLOOKUP($I1317,'用語辞書'!$A:$B,COLUMN('用語辞書'!B$1),FALSE),
IF(_xlpm.v=0,"",_xlpm.v)
),"")</f>
        <v/>
      </c>
      <c r="K1317" s="17"/>
      <c r="L1317" s="17" t="str">
        <f>IF(OR(COUNTIF('クラス'!$A$1:$A$1262,$B1317)&gt;0,$B1317="",$M1317=""),"",True)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10.0</v>
      </c>
      <c r="B1318" s="1"/>
      <c r="C1318" s="1"/>
      <c r="D1318" s="1"/>
      <c r="E1318" s="14"/>
      <c r="F1318" s="15"/>
      <c r="G1318" s="16"/>
      <c r="H1318" s="11"/>
      <c r="I1318" s="7"/>
      <c r="J1318" s="7" t="str">
        <f>IFERROR(LET(_xlpm.v,
VLOOKUP($I1318,'用語辞書'!$A:$B,COLUMN('用語辞書'!B$1),FALSE),
IF(_xlpm.v=0,"",_xlpm.v)
),"")</f>
        <v/>
      </c>
      <c r="K1318" s="17"/>
      <c r="L1318" s="17" t="str">
        <f>IF(OR(COUNTIF('クラス'!$A$1:$A$1262,$B1318)&gt;0,$B1318="",$M1318=""),"",True)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1" collapsed="1">
      <c r="A1319" s="1"/>
      <c r="B1319" s="1"/>
      <c r="C1319" s="1"/>
      <c r="D1319" s="1"/>
      <c r="E1319" s="14"/>
      <c r="F1319" s="15"/>
      <c r="G1319" s="16"/>
      <c r="H1319" s="11"/>
      <c r="I1319" s="7"/>
      <c r="J1319" s="7" t="str">
        <f>IFERROR(LET(_xlpm.v,
VLOOKUP($I1319,'用語辞書'!$A:$B,COLUMN('用語辞書'!B$1),FALSE),
IF(_xlpm.v=0,"",_xlpm.v)
),"")</f>
        <v/>
      </c>
      <c r="K1319" s="17"/>
      <c r="L1319" s="17" t="str">
        <f>IF(OR(COUNTIF('クラス'!$A$1:$A$1262,$B1319)&gt;0,$B1319="",$M1319=""),"",True)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 r="A1320" s="1"/>
      <c r="B1320" s="1"/>
      <c r="C1320" s="1"/>
      <c r="D1320" s="1"/>
      <c r="E1320" s="14"/>
      <c r="F1320" s="15"/>
      <c r="G1320" s="16"/>
      <c r="H1320" s="11"/>
      <c r="I1320" s="7"/>
      <c r="J1320" s="7" t="str">
        <f>IFERROR(LET(_xlpm.v,
VLOOKUP($I1320,'用語辞書'!$A:$B,COLUMN('用語辞書'!B$1),FALSE),
IF(_xlpm.v=0,"",_xlpm.v)
),"")</f>
        <v/>
      </c>
      <c r="K1320" s="17"/>
      <c r="L1320" s="17" t="str">
        <f>IF(OR(COUNTIF('クラス'!$A$1:$A$1262,$B1320)&gt;0,$B1320="",$M1320=""),"",True)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26" t="s">
        <v>1640</v>
      </c>
      <c r="C1321" s="1"/>
      <c r="D1321" s="1"/>
      <c r="E1321" s="14"/>
      <c r="F1321" s="15"/>
      <c r="G1321" s="16"/>
      <c r="H1321" s="11"/>
      <c r="I1321" s="7"/>
      <c r="J1321" s="7" t="str">
        <f>IFERROR(LET(_xlpm.v,
VLOOKUP($I1321,'用語辞書'!$A:$B,COLUMN('用語辞書'!B$1),FALSE),
IF(_xlpm.v=0,"",_xlpm.v)
),"")</f>
        <v/>
      </c>
      <c r="K1321" s="17"/>
      <c r="L1321" s="17" t="str">
        <f>IF(OR(COUNTIF('クラス'!$A$1:$A$1262,$B1321)&gt;0,$B1321="",$M1321=""),"",True)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v>1.0</v>
      </c>
      <c r="B1322" s="26" t="s">
        <v>1641</v>
      </c>
      <c r="C1322" s="1"/>
      <c r="D1322" s="1"/>
      <c r="E1322" s="14" t="s">
        <v>33</v>
      </c>
      <c r="F1322" s="15"/>
      <c r="G1322" s="16">
        <v>40.0</v>
      </c>
      <c r="H1322" s="11" t="s">
        <v>1642</v>
      </c>
      <c r="I1322" s="7"/>
      <c r="J1322" s="7" t="str">
        <f>IFERROR(LET(_xlpm.v,
VLOOKUP($I1322,'用語辞書'!$A:$B,COLUMN('用語辞書'!B$1),FALSE),
IF(_xlpm.v=0,"",_xlpm.v)
),"")</f>
        <v/>
      </c>
      <c r="K1322" s="17"/>
      <c r="L1322" s="17" t="b">
        <f>IF(OR(COUNTIF('クラス'!$A$1:$A$1262,$B1322)&gt;0,$B1322="",$M1322=""),"",True)</f>
        <v>1</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2">
      <c r="A1323" s="1">
        <v>2.0</v>
      </c>
      <c r="B1323" s="26" t="s">
        <v>1643</v>
      </c>
      <c r="C1323" s="1"/>
      <c r="D1323" s="1"/>
      <c r="E1323" s="14" t="s">
        <v>33</v>
      </c>
      <c r="F1323" s="15"/>
      <c r="G1323" s="16">
        <v>50.0</v>
      </c>
      <c r="H1323" s="11" t="s">
        <v>1644</v>
      </c>
      <c r="I1323" s="7"/>
      <c r="J1323" s="7" t="str">
        <f>IFERROR(LET(_xlpm.v,
VLOOKUP($I1323,'用語辞書'!$A:$B,COLUMN('用語辞書'!B$1),FALSE),
IF(_xlpm.v=0,"",_xlpm.v)
),"")</f>
        <v/>
      </c>
      <c r="K1323" s="17"/>
      <c r="L1323" s="17" t="b">
        <f>IF(OR(COUNTIF('クラス'!$A$1:$A$1262,$B1323)&gt;0,$B1323="",$M1323=""),"",True)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3.0</v>
      </c>
      <c r="B1324" s="26" t="s">
        <v>1645</v>
      </c>
      <c r="C1324" s="1"/>
      <c r="D1324" s="1"/>
      <c r="E1324" s="29" t="s">
        <v>55</v>
      </c>
      <c r="F1324" s="15"/>
      <c r="G1324" s="30"/>
      <c r="H1324" s="22" t="s">
        <v>1602</v>
      </c>
      <c r="I1324" s="7"/>
      <c r="J1324" s="7" t="str">
        <f>IFERROR(LET(_xlpm.v,
VLOOKUP($I1324,'用語辞書'!$A:$B,COLUMN('用語辞書'!B$1),FALSE),
IF(_xlpm.v=0,"",_xlpm.v)
),"")</f>
        <v/>
      </c>
      <c r="K1324" s="17"/>
      <c r="L1324" s="17" t="b">
        <f>IF(OR(COUNTIF('クラス'!$A$1:$A$1262,$B1324)&gt;0,$B1324="",$M1324=""),"",True)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4.0</v>
      </c>
      <c r="B1325" s="26" t="s">
        <v>1646</v>
      </c>
      <c r="C1325" s="1"/>
      <c r="D1325" s="1"/>
      <c r="E1325" s="29" t="s">
        <v>55</v>
      </c>
      <c r="F1325" s="15"/>
      <c r="G1325" s="16"/>
      <c r="H1325" s="22" t="s">
        <v>1595</v>
      </c>
      <c r="I1325" s="7"/>
      <c r="J1325" s="7" t="str">
        <f>IFERROR(LET(_xlpm.v,
VLOOKUP($I1325,'用語辞書'!$A:$B,COLUMN('用語辞書'!B$1),FALSE),
IF(_xlpm.v=0,"",_xlpm.v)
),"")</f>
        <v/>
      </c>
      <c r="K1325" s="17"/>
      <c r="L1325" s="17" t="b">
        <f>IF(OR(COUNTIF('クラス'!$A$1:$A$1262,$B1325)&gt;0,$B1325="",$M1325=""),"",True)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5.0</v>
      </c>
      <c r="B1326" s="26" t="s">
        <v>1606</v>
      </c>
      <c r="C1326" s="1"/>
      <c r="D1326" s="1"/>
      <c r="E1326" s="14"/>
      <c r="F1326" s="15"/>
      <c r="G1326" s="16"/>
      <c r="H1326" s="11"/>
      <c r="I1326" s="7"/>
      <c r="J1326" s="7" t="str">
        <f>IFERROR(LET(_xlpm.v,
VLOOKUP($I1326,'用語辞書'!$A:$B,COLUMN('用語辞書'!B$1),FALSE),
IF(_xlpm.v=0,"",_xlpm.v)
),"")</f>
        <v/>
      </c>
      <c r="K1326" s="17"/>
      <c r="L1326" s="17" t="str">
        <f>IF(OR(COUNTIF('クラス'!$A$1:$A$1262,$B1326)&gt;0,$B1326="",$M1326=""),"",True)</f>
        <v/>
      </c>
      <c r="M1326" s="1" t="str">
        <f t="shared" si="24"/>
        <v/>
      </c>
      <c r="N1326" s="1" t="s">
        <v>29</v>
      </c>
      <c r="O1326" s="1"/>
      <c r="P1326" s="11"/>
      <c r="Q1326" s="11"/>
      <c r="R1326" s="11"/>
      <c r="S1326" s="11"/>
      <c r="T1326" s="1"/>
      <c r="U1326" s="1"/>
      <c r="V1326" s="1"/>
      <c r="W1326" s="1"/>
      <c r="X1326" s="1"/>
      <c r="Y1326" s="1"/>
      <c r="Z1326" s="1"/>
    </row>
    <row r="1327" ht="18.0" hidden="1" customHeight="1" outlineLevel="2">
      <c r="A1327" s="1">
        <v>6.0</v>
      </c>
      <c r="B1327" s="26"/>
      <c r="C1327" s="1"/>
      <c r="D1327" s="1"/>
      <c r="E1327" s="14"/>
      <c r="F1327" s="15"/>
      <c r="G1327" s="16"/>
      <c r="H1327" s="11"/>
      <c r="I1327" s="7"/>
      <c r="J1327" s="7" t="str">
        <f>IFERROR(LET(_xlpm.v,
VLOOKUP($I1327,'用語辞書'!$A:$B,COLUMN('用語辞書'!B$1),FALSE),
IF(_xlpm.v=0,"",_xlpm.v)
),"")</f>
        <v/>
      </c>
      <c r="K1327" s="17"/>
      <c r="L1327" s="17" t="str">
        <f>IF(OR(COUNTIF('クラス'!$A$1:$A$1262,$B1327)&gt;0,$B1327="",$M1327=""),"",True)</f>
        <v/>
      </c>
      <c r="M1327" s="1" t="str">
        <f t="shared" si="24"/>
        <v>存在しない</v>
      </c>
      <c r="N1327" s="1" t="s">
        <v>29</v>
      </c>
      <c r="O1327" s="1"/>
      <c r="P1327" s="11"/>
      <c r="Q1327" s="11"/>
      <c r="R1327" s="11"/>
      <c r="S1327" s="11"/>
      <c r="T1327" s="1"/>
      <c r="U1327" s="1"/>
      <c r="V1327" s="1"/>
      <c r="W1327" s="1"/>
      <c r="X1327" s="1"/>
      <c r="Y1327" s="1"/>
      <c r="Z1327" s="1"/>
    </row>
    <row r="1328" ht="18.0" hidden="1" customHeight="1" outlineLevel="2">
      <c r="A1328" s="1">
        <v>7.0</v>
      </c>
      <c r="B1328" s="1" t="s">
        <v>1607</v>
      </c>
      <c r="C1328" s="1"/>
      <c r="D1328" s="1"/>
      <c r="E1328" s="14"/>
      <c r="F1328" s="15"/>
      <c r="G1328" s="16"/>
      <c r="H1328" s="11"/>
      <c r="I1328" s="7"/>
      <c r="J1328" s="7" t="str">
        <f>IFERROR(LET(_xlpm.v,
VLOOKUP($I1328,'用語辞書'!$A:$B,COLUMN('用語辞書'!B$1),FALSE),
IF(_xlpm.v=0,"",_xlpm.v)
),"")</f>
        <v/>
      </c>
      <c r="K1328" s="17"/>
      <c r="L1328" s="17" t="str">
        <f>IF(OR(COUNTIF('クラス'!$A$1:$A$1262,$B1328)&gt;0,$B1328="",$M1328=""),"",True)</f>
        <v/>
      </c>
      <c r="M1328" s="1" t="str">
        <f t="shared" si="24"/>
        <v/>
      </c>
      <c r="N1328" s="1" t="s">
        <v>29</v>
      </c>
      <c r="O1328" s="1"/>
      <c r="P1328" s="11"/>
      <c r="Q1328" s="11"/>
      <c r="R1328" s="11"/>
      <c r="S1328" s="11"/>
      <c r="T1328" s="1"/>
      <c r="U1328" s="1"/>
      <c r="V1328" s="1"/>
      <c r="W1328" s="1"/>
      <c r="X1328" s="1"/>
      <c r="Y1328" s="1"/>
      <c r="Z1328" s="1"/>
    </row>
    <row r="1329" ht="18.0" hidden="1" customHeight="1" outlineLevel="2">
      <c r="A1329" s="1">
        <v>8.0</v>
      </c>
      <c r="B1329" s="26"/>
      <c r="C1329" s="1"/>
      <c r="D1329" s="1"/>
      <c r="E1329" s="14"/>
      <c r="F1329" s="15"/>
      <c r="G1329" s="16"/>
      <c r="H1329" s="11"/>
      <c r="I1329" s="7"/>
      <c r="J1329" s="7" t="str">
        <f>IFERROR(LET(_xlpm.v,
VLOOKUP($I1329,'用語辞書'!$A:$B,COLUMN('用語辞書'!B$1),FALSE),
IF(_xlpm.v=0,"",_xlpm.v)
),"")</f>
        <v/>
      </c>
      <c r="K1329" s="17"/>
      <c r="L1329" s="17" t="str">
        <f>IF(OR(COUNTIF('クラス'!$A$1:$A$1262,$B1329)&gt;0,$B1329="",$M1329=""),"",True)</f>
        <v/>
      </c>
      <c r="M1329" s="1" t="str">
        <f t="shared" si="24"/>
        <v>存在しない</v>
      </c>
      <c r="N1329" s="1" t="s">
        <v>29</v>
      </c>
      <c r="O1329" s="1"/>
      <c r="P1329" s="11"/>
      <c r="Q1329" s="11"/>
      <c r="R1329" s="11"/>
      <c r="S1329" s="11"/>
      <c r="T1329" s="1"/>
      <c r="U1329" s="1"/>
      <c r="V1329" s="1"/>
      <c r="W1329" s="1"/>
      <c r="X1329" s="1"/>
      <c r="Y1329" s="1"/>
      <c r="Z1329" s="1"/>
    </row>
    <row r="1330" ht="18.0" hidden="1" customHeight="1" outlineLevel="2">
      <c r="A1330" s="1">
        <v>9.0</v>
      </c>
      <c r="B1330" s="1"/>
      <c r="C1330" s="1"/>
      <c r="D1330" s="1"/>
      <c r="E1330" s="14"/>
      <c r="F1330" s="15"/>
      <c r="G1330" s="16"/>
      <c r="H1330" s="11"/>
      <c r="I1330" s="7"/>
      <c r="J1330" s="7" t="str">
        <f>IFERROR(LET(_xlpm.v,
VLOOKUP($I1330,'用語辞書'!$A:$B,COLUMN('用語辞書'!B$1),FALSE),
IF(_xlpm.v=0,"",_xlpm.v)
),"")</f>
        <v/>
      </c>
      <c r="K1330" s="17"/>
      <c r="L1330" s="17" t="str">
        <f>IF(OR(COUNTIF('クラス'!$A$1:$A$1262,$B1330)&gt;0,$B1330="",$M1330=""),"",True)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10.0</v>
      </c>
      <c r="B1331" s="1"/>
      <c r="C1331" s="1"/>
      <c r="D1331" s="1"/>
      <c r="E1331" s="14"/>
      <c r="F1331" s="15"/>
      <c r="G1331" s="16"/>
      <c r="H1331" s="11"/>
      <c r="I1331" s="7"/>
      <c r="J1331" s="7" t="str">
        <f>IFERROR(LET(_xlpm.v,
VLOOKUP($I1331,'用語辞書'!$A:$B,COLUMN('用語辞書'!B$1),FALSE),
IF(_xlpm.v=0,"",_xlpm.v)
),"")</f>
        <v/>
      </c>
      <c r="K1331" s="17"/>
      <c r="L1331" s="17" t="str">
        <f>IF(OR(COUNTIF('クラス'!$A$1:$A$1262,$B1331)&gt;0,$B1331="",$M1331=""),"",True)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c r="B1332" s="1"/>
      <c r="C1332" s="1"/>
      <c r="D1332" s="1"/>
      <c r="E1332" s="14"/>
      <c r="F1332" s="15"/>
      <c r="G1332" s="16"/>
      <c r="H1332" s="11"/>
      <c r="I1332" s="7"/>
      <c r="J1332" s="7" t="str">
        <f>IFERROR(LET(_xlpm.v,
VLOOKUP($I1332,'用語辞書'!$A:$B,COLUMN('用語辞書'!B$1),FALSE),
IF(_xlpm.v=0,"",_xlpm.v)
),"")</f>
        <v/>
      </c>
      <c r="K1332" s="17"/>
      <c r="L1332" s="17" t="str">
        <f>IF(OR(COUNTIF('クラス'!$A$1:$A$1262,$B1332)&gt;0,$B1332="",$M1332=""),"",True)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1" collapsed="1">
      <c r="A1333" s="1"/>
      <c r="B1333" s="1"/>
      <c r="C1333" s="1"/>
      <c r="D1333" s="1"/>
      <c r="E1333" s="14"/>
      <c r="F1333" s="15"/>
      <c r="G1333" s="16"/>
      <c r="H1333" s="11"/>
      <c r="I1333" s="7"/>
      <c r="J1333" s="7" t="str">
        <f>IFERROR(LET(_xlpm.v,
VLOOKUP($I1333,'用語辞書'!$A:$B,COLUMN('用語辞書'!B$1),FALSE),
IF(_xlpm.v=0,"",_xlpm.v)
),"")</f>
        <v/>
      </c>
      <c r="K1333" s="17"/>
      <c r="L1333" s="17" t="str">
        <f>IF(OR(COUNTIF('クラス'!$A$1:$A$1262,$B1333)&gt;0,$B1333="",$M1333=""),"",True)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 r="A1334" s="1"/>
      <c r="B1334" s="1" t="s">
        <v>1647</v>
      </c>
      <c r="C1334" s="1"/>
      <c r="D1334" s="1"/>
      <c r="E1334" s="14"/>
      <c r="F1334" s="15"/>
      <c r="G1334" s="16"/>
      <c r="H1334" s="11"/>
      <c r="I1334" s="7"/>
      <c r="J1334" s="7" t="str">
        <f>IFERROR(LET(_xlpm.v,
VLOOKUP($I1334,'用語辞書'!$A:$B,COLUMN('用語辞書'!B$1),FALSE),
IF(_xlpm.v=0,"",_xlpm.v)
),"")</f>
        <v/>
      </c>
      <c r="K1334" s="17"/>
      <c r="L1334" s="17" t="str">
        <f>IF(OR(COUNTIF('クラス'!$A$1:$A$1262,$B1334)&gt;0,$B1334="",$M1334=""),"",True)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v>1.0</v>
      </c>
      <c r="B1335" s="26" t="s">
        <v>1648</v>
      </c>
      <c r="C1335" s="1"/>
      <c r="D1335" s="1"/>
      <c r="E1335" s="14" t="s">
        <v>33</v>
      </c>
      <c r="F1335" s="15"/>
      <c r="G1335" s="16">
        <v>40.0</v>
      </c>
      <c r="H1335" s="11" t="s">
        <v>1649</v>
      </c>
      <c r="I1335" s="7"/>
      <c r="J1335" s="7" t="str">
        <f>IFERROR(LET(_xlpm.v,
VLOOKUP($I1335,'用語辞書'!$A:$B,COLUMN('用語辞書'!B$1),FALSE),
IF(_xlpm.v=0,"",_xlpm.v)
),"")</f>
        <v/>
      </c>
      <c r="K1335" s="17"/>
      <c r="L1335" s="17" t="b">
        <f>IF(OR(COUNTIF('クラス'!$A$1:$A$1262,$B1335)&gt;0,$B1335="",$M1335=""),"",True)</f>
        <v>1</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2">
      <c r="A1336" s="1">
        <v>2.0</v>
      </c>
      <c r="B1336" s="26" t="s">
        <v>1650</v>
      </c>
      <c r="C1336" s="1"/>
      <c r="D1336" s="1"/>
      <c r="E1336" s="14" t="s">
        <v>33</v>
      </c>
      <c r="F1336" s="15"/>
      <c r="G1336" s="16">
        <v>60.0</v>
      </c>
      <c r="H1336" s="11" t="s">
        <v>1651</v>
      </c>
      <c r="I1336" s="7"/>
      <c r="J1336" s="7" t="str">
        <f>IFERROR(LET(_xlpm.v,
VLOOKUP($I1336,'用語辞書'!$A:$B,COLUMN('用語辞書'!B$1),FALSE),
IF(_xlpm.v=0,"",_xlpm.v)
),"")</f>
        <v/>
      </c>
      <c r="K1336" s="17"/>
      <c r="L1336" s="17" t="b">
        <f>IF(OR(COUNTIF('クラス'!$A$1:$A$1262,$B1336)&gt;0,$B1336="",$M1336=""),"",True)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3.0</v>
      </c>
      <c r="B1337" s="26" t="s">
        <v>1652</v>
      </c>
      <c r="C1337" s="1"/>
      <c r="D1337" s="1"/>
      <c r="E1337" s="29" t="s">
        <v>55</v>
      </c>
      <c r="F1337" s="15"/>
      <c r="G1337" s="30"/>
      <c r="H1337" s="22" t="s">
        <v>1653</v>
      </c>
      <c r="I1337" s="7"/>
      <c r="J1337" s="7" t="str">
        <f>IFERROR(LET(_xlpm.v,
VLOOKUP($I1337,'用語辞書'!$A:$B,COLUMN('用語辞書'!B$1),FALSE),
IF(_xlpm.v=0,"",_xlpm.v)
),"")</f>
        <v/>
      </c>
      <c r="K1337" s="17"/>
      <c r="L1337" s="17" t="b">
        <f>IF(OR(COUNTIF('クラス'!$A$1:$A$1262,$B1337)&gt;0,$B1337="",$M1337=""),"",True)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4.0</v>
      </c>
      <c r="B1338" s="26" t="s">
        <v>1654</v>
      </c>
      <c r="C1338" s="1"/>
      <c r="D1338" s="1"/>
      <c r="E1338" s="29" t="s">
        <v>55</v>
      </c>
      <c r="F1338" s="15"/>
      <c r="G1338" s="16"/>
      <c r="H1338" s="22" t="s">
        <v>1655</v>
      </c>
      <c r="I1338" s="7"/>
      <c r="J1338" s="7" t="str">
        <f>IFERROR(LET(_xlpm.v,
VLOOKUP($I1338,'用語辞書'!$A:$B,COLUMN('用語辞書'!B$1),FALSE),
IF(_xlpm.v=0,"",_xlpm.v)
),"")</f>
        <v/>
      </c>
      <c r="K1338" s="17"/>
      <c r="L1338" s="17" t="b">
        <f>IF(OR(COUNTIF('クラス'!$A$1:$A$1262,$B1338)&gt;0,$B1338="",$M1338=""),"",True)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5.0</v>
      </c>
      <c r="B1339" s="26" t="s">
        <v>1606</v>
      </c>
      <c r="C1339" s="1"/>
      <c r="D1339" s="1"/>
      <c r="E1339" s="14"/>
      <c r="F1339" s="15"/>
      <c r="G1339" s="16"/>
      <c r="H1339" s="11"/>
      <c r="I1339" s="7"/>
      <c r="J1339" s="7" t="str">
        <f>IFERROR(LET(_xlpm.v,
VLOOKUP($I1339,'用語辞書'!$A:$B,COLUMN('用語辞書'!B$1),FALSE),
IF(_xlpm.v=0,"",_xlpm.v)
),"")</f>
        <v/>
      </c>
      <c r="K1339" s="17"/>
      <c r="L1339" s="17" t="str">
        <f>IF(OR(COUNTIF('クラス'!$A$1:$A$1262,$B1339)&gt;0,$B1339="",$M1339=""),"",True)</f>
        <v/>
      </c>
      <c r="M1339" s="1" t="str">
        <f t="shared" si="24"/>
        <v/>
      </c>
      <c r="N1339" s="1" t="s">
        <v>29</v>
      </c>
      <c r="O1339" s="1"/>
      <c r="P1339" s="11"/>
      <c r="Q1339" s="11"/>
      <c r="R1339" s="11"/>
      <c r="S1339" s="11"/>
      <c r="T1339" s="1"/>
      <c r="U1339" s="1"/>
      <c r="V1339" s="1"/>
      <c r="W1339" s="1"/>
      <c r="X1339" s="1"/>
      <c r="Y1339" s="1"/>
      <c r="Z1339" s="1"/>
    </row>
    <row r="1340" ht="18.0" hidden="1" customHeight="1" outlineLevel="2">
      <c r="A1340" s="1">
        <v>6.0</v>
      </c>
      <c r="B1340" s="26"/>
      <c r="C1340" s="1"/>
      <c r="D1340" s="1"/>
      <c r="E1340" s="14"/>
      <c r="F1340" s="15"/>
      <c r="G1340" s="16"/>
      <c r="H1340" s="11"/>
      <c r="I1340" s="7"/>
      <c r="J1340" s="7" t="str">
        <f>IFERROR(LET(_xlpm.v,
VLOOKUP($I1340,'用語辞書'!$A:$B,COLUMN('用語辞書'!B$1),FALSE),
IF(_xlpm.v=0,"",_xlpm.v)
),"")</f>
        <v/>
      </c>
      <c r="K1340" s="17"/>
      <c r="L1340" s="17" t="str">
        <f>IF(OR(COUNTIF('クラス'!$A$1:$A$1262,$B1340)&gt;0,$B1340="",$M1340=""),"",True)</f>
        <v/>
      </c>
      <c r="M1340" s="1" t="str">
        <f t="shared" si="24"/>
        <v>存在しない</v>
      </c>
      <c r="N1340" s="1" t="s">
        <v>29</v>
      </c>
      <c r="O1340" s="1"/>
      <c r="P1340" s="11"/>
      <c r="Q1340" s="11"/>
      <c r="R1340" s="11"/>
      <c r="S1340" s="11"/>
      <c r="T1340" s="1"/>
      <c r="U1340" s="1"/>
      <c r="V1340" s="1"/>
      <c r="W1340" s="1"/>
      <c r="X1340" s="1"/>
      <c r="Y1340" s="1"/>
      <c r="Z1340" s="1"/>
    </row>
    <row r="1341" ht="18.0" hidden="1" customHeight="1" outlineLevel="2">
      <c r="A1341" s="1">
        <v>7.0</v>
      </c>
      <c r="B1341" s="1" t="s">
        <v>1607</v>
      </c>
      <c r="C1341" s="1"/>
      <c r="D1341" s="1"/>
      <c r="E1341" s="14"/>
      <c r="F1341" s="15"/>
      <c r="G1341" s="16"/>
      <c r="H1341" s="11"/>
      <c r="I1341" s="7"/>
      <c r="J1341" s="7" t="str">
        <f>IFERROR(LET(_xlpm.v,
VLOOKUP($I1341,'用語辞書'!$A:$B,COLUMN('用語辞書'!B$1),FALSE),
IF(_xlpm.v=0,"",_xlpm.v)
),"")</f>
        <v/>
      </c>
      <c r="K1341" s="17"/>
      <c r="L1341" s="17" t="str">
        <f>IF(OR(COUNTIF('クラス'!$A$1:$A$1262,$B1341)&gt;0,$B1341="",$M1341=""),"",True)</f>
        <v/>
      </c>
      <c r="M1341" s="1" t="str">
        <f t="shared" si="24"/>
        <v/>
      </c>
      <c r="N1341" s="1" t="s">
        <v>29</v>
      </c>
      <c r="O1341" s="1"/>
      <c r="P1341" s="11"/>
      <c r="Q1341" s="11"/>
      <c r="R1341" s="11"/>
      <c r="S1341" s="11"/>
      <c r="T1341" s="1"/>
      <c r="U1341" s="1"/>
      <c r="V1341" s="1"/>
      <c r="W1341" s="1"/>
      <c r="X1341" s="1"/>
      <c r="Y1341" s="1"/>
      <c r="Z1341" s="1"/>
    </row>
    <row r="1342" ht="18.0" hidden="1" customHeight="1" outlineLevel="2">
      <c r="A1342" s="1">
        <v>8.0</v>
      </c>
      <c r="B1342" s="26"/>
      <c r="C1342" s="1"/>
      <c r="D1342" s="1"/>
      <c r="E1342" s="14"/>
      <c r="F1342" s="15"/>
      <c r="G1342" s="16"/>
      <c r="H1342" s="11"/>
      <c r="I1342" s="7"/>
      <c r="J1342" s="7" t="str">
        <f>IFERROR(LET(_xlpm.v,
VLOOKUP($I1342,'用語辞書'!$A:$B,COLUMN('用語辞書'!B$1),FALSE),
IF(_xlpm.v=0,"",_xlpm.v)
),"")</f>
        <v/>
      </c>
      <c r="K1342" s="17"/>
      <c r="L1342" s="17" t="str">
        <f>IF(OR(COUNTIF('クラス'!$A$1:$A$1262,$B1342)&gt;0,$B1342="",$M1342=""),"",True)</f>
        <v/>
      </c>
      <c r="M1342" s="1" t="str">
        <f t="shared" si="24"/>
        <v>存在しない</v>
      </c>
      <c r="N1342" s="1" t="s">
        <v>29</v>
      </c>
      <c r="O1342" s="1"/>
      <c r="P1342" s="11"/>
      <c r="Q1342" s="11"/>
      <c r="R1342" s="11"/>
      <c r="S1342" s="11"/>
      <c r="T1342" s="1"/>
      <c r="U1342" s="1"/>
      <c r="V1342" s="1"/>
      <c r="W1342" s="1"/>
      <c r="X1342" s="1"/>
      <c r="Y1342" s="1"/>
      <c r="Z1342" s="1"/>
    </row>
    <row r="1343" ht="18.0" hidden="1" customHeight="1" outlineLevel="2">
      <c r="A1343" s="1">
        <v>9.0</v>
      </c>
      <c r="B1343" s="1"/>
      <c r="C1343" s="1"/>
      <c r="D1343" s="1"/>
      <c r="E1343" s="14"/>
      <c r="F1343" s="15"/>
      <c r="G1343" s="16"/>
      <c r="H1343" s="11"/>
      <c r="I1343" s="7"/>
      <c r="J1343" s="7" t="str">
        <f>IFERROR(LET(_xlpm.v,
VLOOKUP($I1343,'用語辞書'!$A:$B,COLUMN('用語辞書'!B$1),FALSE),
IF(_xlpm.v=0,"",_xlpm.v)
),"")</f>
        <v/>
      </c>
      <c r="K1343" s="17"/>
      <c r="L1343" s="17" t="str">
        <f>IF(OR(COUNTIF('クラス'!$A$1:$A$1262,$B1343)&gt;0,$B1343="",$M1343=""),"",True)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10.0</v>
      </c>
      <c r="B1344" s="1"/>
      <c r="C1344" s="1"/>
      <c r="D1344" s="1"/>
      <c r="E1344" s="14"/>
      <c r="F1344" s="15"/>
      <c r="G1344" s="16"/>
      <c r="H1344" s="11"/>
      <c r="I1344" s="7"/>
      <c r="J1344" s="7" t="str">
        <f>IFERROR(LET(_xlpm.v,
VLOOKUP($I1344,'用語辞書'!$A:$B,COLUMN('用語辞書'!B$1),FALSE),
IF(_xlpm.v=0,"",_xlpm.v)
),"")</f>
        <v/>
      </c>
      <c r="K1344" s="17"/>
      <c r="L1344" s="17" t="str">
        <f>IF(OR(COUNTIF('クラス'!$A$1:$A$1262,$B1344)&gt;0,$B1344="",$M1344=""),"",True)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c r="B1345" s="1"/>
      <c r="C1345" s="1"/>
      <c r="D1345" s="1"/>
      <c r="E1345" s="14"/>
      <c r="F1345" s="15"/>
      <c r="G1345" s="16"/>
      <c r="H1345" s="11"/>
      <c r="I1345" s="7"/>
      <c r="J1345" s="7" t="str">
        <f>IFERROR(LET(_xlpm.v,
VLOOKUP($I1345,'用語辞書'!$A:$B,COLUMN('用語辞書'!B$1),FALSE),
IF(_xlpm.v=0,"",_xlpm.v)
),"")</f>
        <v/>
      </c>
      <c r="K1345" s="17"/>
      <c r="L1345" s="17" t="str">
        <f>IF(OR(COUNTIF('クラス'!$A$1:$A$1262,$B1345)&gt;0,$B1345="",$M1345=""),"",True)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1" collapsed="1">
      <c r="A1346" s="1"/>
      <c r="B1346" s="1"/>
      <c r="C1346" s="1"/>
      <c r="D1346" s="1"/>
      <c r="E1346" s="14"/>
      <c r="F1346" s="15"/>
      <c r="G1346" s="16"/>
      <c r="H1346" s="11"/>
      <c r="I1346" s="7"/>
      <c r="J1346" s="7" t="str">
        <f>IFERROR(LET(_xlpm.v,
VLOOKUP($I1346,'用語辞書'!$A:$B,COLUMN('用語辞書'!B$1),FALSE),
IF(_xlpm.v=0,"",_xlpm.v)
),"")</f>
        <v/>
      </c>
      <c r="K1346" s="17"/>
      <c r="L1346" s="17" t="str">
        <f>IF(OR(COUNTIF('クラス'!$A$1:$A$1262,$B1346)&gt;0,$B1346="",$M1346=""),"",True)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 r="A1347" s="1"/>
      <c r="B1347" s="26" t="s">
        <v>1656</v>
      </c>
      <c r="C1347" s="1"/>
      <c r="D1347" s="1"/>
      <c r="E1347" s="14"/>
      <c r="F1347" s="15"/>
      <c r="G1347" s="16"/>
      <c r="H1347" s="11"/>
      <c r="I1347" s="7"/>
      <c r="J1347" s="7" t="str">
        <f>IFERROR(LET(_xlpm.v,
VLOOKUP($I1347,'用語辞書'!$A:$B,COLUMN('用語辞書'!B$1),FALSE),
IF(_xlpm.v=0,"",_xlpm.v)
),"")</f>
        <v/>
      </c>
      <c r="K1347" s="17"/>
      <c r="L1347" s="17" t="str">
        <f>IF(OR(COUNTIF('クラス'!$A$1:$A$1262,$B1347)&gt;0,$B1347="",$M1347=""),"",True)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v>1.0</v>
      </c>
      <c r="B1348" s="26" t="s">
        <v>1657</v>
      </c>
      <c r="C1348" s="1"/>
      <c r="D1348" s="1"/>
      <c r="E1348" s="14" t="s">
        <v>33</v>
      </c>
      <c r="F1348" s="15"/>
      <c r="G1348" s="16">
        <v>50.0</v>
      </c>
      <c r="H1348" s="11" t="s">
        <v>1658</v>
      </c>
      <c r="I1348" s="7"/>
      <c r="J1348" s="7" t="str">
        <f>IFERROR(LET(_xlpm.v,
VLOOKUP($I1348,'用語辞書'!$A:$B,COLUMN('用語辞書'!B$1),FALSE),
IF(_xlpm.v=0,"",_xlpm.v)
),"")</f>
        <v/>
      </c>
      <c r="K1348" s="17"/>
      <c r="L1348" s="17" t="b">
        <f>IF(OR(COUNTIF('クラス'!$A$1:$A$1262,$B1348)&gt;0,$B1348="",$M1348=""),"",True)</f>
        <v>1</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2">
      <c r="A1349" s="1">
        <v>2.0</v>
      </c>
      <c r="B1349" s="26" t="s">
        <v>1659</v>
      </c>
      <c r="C1349" s="1"/>
      <c r="D1349" s="1"/>
      <c r="E1349" s="14" t="s">
        <v>33</v>
      </c>
      <c r="F1349" s="15"/>
      <c r="G1349" s="16">
        <v>50.0</v>
      </c>
      <c r="H1349" s="11" t="s">
        <v>1660</v>
      </c>
      <c r="I1349" s="7"/>
      <c r="J1349" s="7" t="str">
        <f>IFERROR(LET(_xlpm.v,
VLOOKUP($I1349,'用語辞書'!$A:$B,COLUMN('用語辞書'!B$1),FALSE),
IF(_xlpm.v=0,"",_xlpm.v)
),"")</f>
        <v/>
      </c>
      <c r="K1349" s="17"/>
      <c r="L1349" s="17" t="b">
        <f>IF(OR(COUNTIF('クラス'!$A$1:$A$1262,$B1349)&gt;0,$B1349="",$M1349=""),"",True)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3.0</v>
      </c>
      <c r="B1350" s="26" t="s">
        <v>1661</v>
      </c>
      <c r="C1350" s="1"/>
      <c r="D1350" s="1"/>
      <c r="E1350" s="29" t="s">
        <v>55</v>
      </c>
      <c r="F1350" s="15"/>
      <c r="G1350" s="30"/>
      <c r="H1350" s="22" t="s">
        <v>1602</v>
      </c>
      <c r="I1350" s="7"/>
      <c r="J1350" s="7" t="str">
        <f>IFERROR(LET(_xlpm.v,
VLOOKUP($I1350,'用語辞書'!$A:$B,COLUMN('用語辞書'!B$1),FALSE),
IF(_xlpm.v=0,"",_xlpm.v)
),"")</f>
        <v/>
      </c>
      <c r="K1350" s="17"/>
      <c r="L1350" s="17" t="b">
        <f>IF(OR(COUNTIF('クラス'!$A$1:$A$1262,$B1350)&gt;0,$B1350="",$M1350=""),"",True)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4.0</v>
      </c>
      <c r="B1351" s="26" t="s">
        <v>1662</v>
      </c>
      <c r="C1351" s="1"/>
      <c r="D1351" s="1"/>
      <c r="E1351" s="29" t="s">
        <v>55</v>
      </c>
      <c r="F1351" s="15"/>
      <c r="G1351" s="16"/>
      <c r="H1351" s="22" t="s">
        <v>1604</v>
      </c>
      <c r="I1351" s="7"/>
      <c r="J1351" s="7" t="str">
        <f>IFERROR(LET(_xlpm.v,
VLOOKUP($I1351,'用語辞書'!$A:$B,COLUMN('用語辞書'!B$1),FALSE),
IF(_xlpm.v=0,"",_xlpm.v)
),"")</f>
        <v/>
      </c>
      <c r="K1351" s="17"/>
      <c r="L1351" s="17" t="b">
        <f>IF(OR(COUNTIF('クラス'!$A$1:$A$1262,$B1351)&gt;0,$B1351="",$M1351=""),"",True)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5.0</v>
      </c>
      <c r="B1352" s="26" t="s">
        <v>1606</v>
      </c>
      <c r="C1352" s="1"/>
      <c r="D1352" s="1"/>
      <c r="E1352" s="14"/>
      <c r="F1352" s="15"/>
      <c r="G1352" s="16"/>
      <c r="H1352" s="11"/>
      <c r="I1352" s="7"/>
      <c r="J1352" s="7" t="str">
        <f>IFERROR(LET(_xlpm.v,
VLOOKUP($I1352,'用語辞書'!$A:$B,COLUMN('用語辞書'!B$1),FALSE),
IF(_xlpm.v=0,"",_xlpm.v)
),"")</f>
        <v/>
      </c>
      <c r="K1352" s="17"/>
      <c r="L1352" s="17" t="str">
        <f>IF(OR(COUNTIF('クラス'!$A$1:$A$1262,$B1352)&gt;0,$B1352="",$M1352=""),"",True)</f>
        <v/>
      </c>
      <c r="M1352" s="1" t="str">
        <f t="shared" si="24"/>
        <v/>
      </c>
      <c r="N1352" s="1" t="s">
        <v>29</v>
      </c>
      <c r="O1352" s="1"/>
      <c r="P1352" s="11"/>
      <c r="Q1352" s="11"/>
      <c r="R1352" s="11"/>
      <c r="S1352" s="11"/>
      <c r="T1352" s="1"/>
      <c r="U1352" s="1"/>
      <c r="V1352" s="1"/>
      <c r="W1352" s="1"/>
      <c r="X1352" s="1"/>
      <c r="Y1352" s="1"/>
      <c r="Z1352" s="1"/>
    </row>
    <row r="1353" ht="18.0" hidden="1" customHeight="1" outlineLevel="2">
      <c r="A1353" s="1">
        <v>6.0</v>
      </c>
      <c r="B1353" s="26"/>
      <c r="C1353" s="1"/>
      <c r="D1353" s="1"/>
      <c r="E1353" s="14"/>
      <c r="F1353" s="15"/>
      <c r="G1353" s="16"/>
      <c r="H1353" s="11"/>
      <c r="I1353" s="7"/>
      <c r="J1353" s="7" t="str">
        <f>IFERROR(LET(_xlpm.v,
VLOOKUP($I1353,'用語辞書'!$A:$B,COLUMN('用語辞書'!B$1),FALSE),
IF(_xlpm.v=0,"",_xlpm.v)
),"")</f>
        <v/>
      </c>
      <c r="K1353" s="17"/>
      <c r="L1353" s="17" t="str">
        <f>IF(OR(COUNTIF('クラス'!$A$1:$A$1262,$B1353)&gt;0,$B1353="",$M1353=""),"",True)</f>
        <v/>
      </c>
      <c r="M1353" s="1" t="str">
        <f t="shared" si="24"/>
        <v>存在しない</v>
      </c>
      <c r="N1353" s="1" t="s">
        <v>29</v>
      </c>
      <c r="O1353" s="1"/>
      <c r="P1353" s="11"/>
      <c r="Q1353" s="11"/>
      <c r="R1353" s="11"/>
      <c r="S1353" s="11"/>
      <c r="T1353" s="1"/>
      <c r="U1353" s="1"/>
      <c r="V1353" s="1"/>
      <c r="W1353" s="1"/>
      <c r="X1353" s="1"/>
      <c r="Y1353" s="1"/>
      <c r="Z1353" s="1"/>
    </row>
    <row r="1354" ht="18.0" hidden="1" customHeight="1" outlineLevel="2">
      <c r="A1354" s="1">
        <v>7.0</v>
      </c>
      <c r="B1354" s="1" t="s">
        <v>1607</v>
      </c>
      <c r="C1354" s="1"/>
      <c r="D1354" s="1"/>
      <c r="E1354" s="14"/>
      <c r="F1354" s="15"/>
      <c r="G1354" s="16"/>
      <c r="H1354" s="11"/>
      <c r="I1354" s="7"/>
      <c r="J1354" s="7" t="str">
        <f>IFERROR(LET(_xlpm.v,
VLOOKUP($I1354,'用語辞書'!$A:$B,COLUMN('用語辞書'!B$1),FALSE),
IF(_xlpm.v=0,"",_xlpm.v)
),"")</f>
        <v/>
      </c>
      <c r="K1354" s="17"/>
      <c r="L1354" s="17" t="str">
        <f>IF(OR(COUNTIF('クラス'!$A$1:$A$1262,$B1354)&gt;0,$B1354="",$M1354=""),"",True)</f>
        <v/>
      </c>
      <c r="M1354" s="1" t="str">
        <f t="shared" si="24"/>
        <v/>
      </c>
      <c r="N1354" s="1" t="s">
        <v>29</v>
      </c>
      <c r="O1354" s="1"/>
      <c r="P1354" s="11"/>
      <c r="Q1354" s="11"/>
      <c r="R1354" s="11"/>
      <c r="S1354" s="11"/>
      <c r="T1354" s="1"/>
      <c r="U1354" s="1"/>
      <c r="V1354" s="1"/>
      <c r="W1354" s="1"/>
      <c r="X1354" s="1"/>
      <c r="Y1354" s="1"/>
      <c r="Z1354" s="1"/>
    </row>
    <row r="1355" ht="18.0" hidden="1" customHeight="1" outlineLevel="2">
      <c r="A1355" s="1">
        <v>8.0</v>
      </c>
      <c r="B1355" s="26"/>
      <c r="C1355" s="1"/>
      <c r="D1355" s="1"/>
      <c r="E1355" s="14"/>
      <c r="F1355" s="15"/>
      <c r="G1355" s="16"/>
      <c r="H1355" s="11"/>
      <c r="I1355" s="7"/>
      <c r="J1355" s="7" t="str">
        <f>IFERROR(LET(_xlpm.v,
VLOOKUP($I1355,'用語辞書'!$A:$B,COLUMN('用語辞書'!B$1),FALSE),
IF(_xlpm.v=0,"",_xlpm.v)
),"")</f>
        <v/>
      </c>
      <c r="K1355" s="17"/>
      <c r="L1355" s="17" t="str">
        <f>IF(OR(COUNTIF('クラス'!$A$1:$A$1262,$B1355)&gt;0,$B1355="",$M1355=""),"",True)</f>
        <v/>
      </c>
      <c r="M1355" s="1" t="str">
        <f t="shared" si="24"/>
        <v>存在しない</v>
      </c>
      <c r="N1355" s="1" t="s">
        <v>29</v>
      </c>
      <c r="O1355" s="1"/>
      <c r="P1355" s="11"/>
      <c r="Q1355" s="11"/>
      <c r="R1355" s="11"/>
      <c r="S1355" s="11"/>
      <c r="T1355" s="1"/>
      <c r="U1355" s="1"/>
      <c r="V1355" s="1"/>
      <c r="W1355" s="1"/>
      <c r="X1355" s="1"/>
      <c r="Y1355" s="1"/>
      <c r="Z1355" s="1"/>
    </row>
    <row r="1356" ht="18.0" hidden="1" customHeight="1" outlineLevel="2">
      <c r="A1356" s="1">
        <v>9.0</v>
      </c>
      <c r="B1356" s="1"/>
      <c r="C1356" s="1"/>
      <c r="D1356" s="1"/>
      <c r="E1356" s="14"/>
      <c r="F1356" s="15"/>
      <c r="G1356" s="16"/>
      <c r="H1356" s="11"/>
      <c r="I1356" s="7"/>
      <c r="J1356" s="7" t="str">
        <f>IFERROR(LET(_xlpm.v,
VLOOKUP($I1356,'用語辞書'!$A:$B,COLUMN('用語辞書'!B$1),FALSE),
IF(_xlpm.v=0,"",_xlpm.v)
),"")</f>
        <v/>
      </c>
      <c r="K1356" s="17"/>
      <c r="L1356" s="17" t="str">
        <f>IF(OR(COUNTIF('クラス'!$A$1:$A$1262,$B1356)&gt;0,$B1356="",$M1356=""),"",True)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10.0</v>
      </c>
      <c r="B1357" s="1"/>
      <c r="C1357" s="1"/>
      <c r="D1357" s="1"/>
      <c r="E1357" s="14"/>
      <c r="F1357" s="15"/>
      <c r="G1357" s="16"/>
      <c r="H1357" s="11"/>
      <c r="I1357" s="7"/>
      <c r="J1357" s="7" t="str">
        <f>IFERROR(LET(_xlpm.v,
VLOOKUP($I1357,'用語辞書'!$A:$B,COLUMN('用語辞書'!B$1),FALSE),
IF(_xlpm.v=0,"",_xlpm.v)
),"")</f>
        <v/>
      </c>
      <c r="K1357" s="17"/>
      <c r="L1357" s="17" t="str">
        <f>IF(OR(COUNTIF('クラス'!$A$1:$A$1262,$B1357)&gt;0,$B1357="",$M1357=""),"",True)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c r="B1358" s="1"/>
      <c r="C1358" s="1"/>
      <c r="D1358" s="1"/>
      <c r="E1358" s="14"/>
      <c r="F1358" s="15"/>
      <c r="G1358" s="16"/>
      <c r="H1358" s="11"/>
      <c r="I1358" s="7"/>
      <c r="J1358" s="7" t="str">
        <f>IFERROR(LET(_xlpm.v,
VLOOKUP($I1358,'用語辞書'!$A:$B,COLUMN('用語辞書'!B$1),FALSE),
IF(_xlpm.v=0,"",_xlpm.v)
),"")</f>
        <v/>
      </c>
      <c r="K1358" s="17"/>
      <c r="L1358" s="17" t="str">
        <f>IF(OR(COUNTIF('クラス'!$A$1:$A$1262,$B1358)&gt;0,$B1358="",$M1358=""),"",True)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1" collapsed="1">
      <c r="A1359" s="1"/>
      <c r="B1359" s="1"/>
      <c r="C1359" s="1"/>
      <c r="D1359" s="1"/>
      <c r="E1359" s="14"/>
      <c r="F1359" s="15"/>
      <c r="G1359" s="16"/>
      <c r="H1359" s="11"/>
      <c r="I1359" s="7"/>
      <c r="J1359" s="7" t="str">
        <f>IFERROR(LET(_xlpm.v,
VLOOKUP($I1359,'用語辞書'!$A:$B,COLUMN('用語辞書'!B$1),FALSE),
IF(_xlpm.v=0,"",_xlpm.v)
),"")</f>
        <v/>
      </c>
      <c r="K1359" s="17"/>
      <c r="L1359" s="17" t="str">
        <f>IF(OR(COUNTIF('クラス'!$A$1:$A$1262,$B1359)&gt;0,$B1359="",$M1359=""),"",True)</f>
        <v/>
      </c>
      <c r="M1359" s="1" t="str">
        <f t="shared" si="24"/>
        <v>存在しない</v>
      </c>
      <c r="N1359" s="1" t="s">
        <v>29</v>
      </c>
      <c r="O1359" s="1"/>
      <c r="P1359" s="11"/>
      <c r="Q1359" s="11"/>
      <c r="R1359" s="11"/>
      <c r="S1359" s="11"/>
      <c r="T1359" s="1"/>
      <c r="U1359" s="1"/>
      <c r="V1359" s="1"/>
      <c r="W1359" s="1"/>
      <c r="X1359" s="1"/>
      <c r="Y1359" s="1"/>
      <c r="Z1359" s="1"/>
    </row>
    <row r="1360" ht="18.0" customHeight="1" collapsed="1">
      <c r="A1360" s="1"/>
      <c r="B1360" s="1"/>
      <c r="C1360" s="1" t="s">
        <v>1663</v>
      </c>
      <c r="D1360" s="1"/>
      <c r="E1360" s="14"/>
      <c r="F1360" s="15"/>
      <c r="G1360" s="16"/>
      <c r="H1360" s="11"/>
      <c r="I1360" s="7"/>
      <c r="J1360" s="7" t="str">
        <f>IFERROR(LET(_xlpm.v,
VLOOKUP($I1360,'用語辞書'!$A:$B,COLUMN('用語辞書'!B$1),FALSE),
IF(_xlpm.v=0,"",_xlpm.v)
),"")</f>
        <v/>
      </c>
      <c r="K1360" s="17"/>
      <c r="L1360" s="17" t="str">
        <f>IF(OR(COUNTIF('クラス'!$A$1:$A$1262,$B1360)&gt;0,$B1360="",$M1360=""),"",True)</f>
        <v/>
      </c>
      <c r="M1360" s="1" t="str">
        <f>IF(COUNTIF($B$1:$C1150, $B1360), "", "存在しない")</f>
        <v>存在しない</v>
      </c>
      <c r="N1360" s="1" t="s">
        <v>29</v>
      </c>
      <c r="O1360" s="1"/>
      <c r="P1360" s="11"/>
      <c r="Q1360" s="11"/>
      <c r="R1360" s="11"/>
      <c r="S1360" s="11"/>
      <c r="T1360" s="1"/>
      <c r="U1360" s="1"/>
      <c r="V1360" s="1"/>
      <c r="W1360" s="1"/>
      <c r="X1360" s="1"/>
      <c r="Y1360" s="1"/>
      <c r="Z1360" s="1"/>
    </row>
    <row r="1361" ht="18.0" hidden="1" customHeight="1" outlineLevel="1">
      <c r="A1361" s="1"/>
      <c r="B1361" s="26" t="s">
        <v>1664</v>
      </c>
      <c r="C1361" s="1"/>
      <c r="D1361" s="1"/>
      <c r="E1361" s="14"/>
      <c r="F1361" s="15"/>
      <c r="G1361" s="16"/>
      <c r="H1361" s="11"/>
      <c r="I1361" s="7"/>
      <c r="J1361" s="7" t="str">
        <f>IFERROR(LET(_xlpm.v,
VLOOKUP($I1361,'用語辞書'!$A:$B,COLUMN('用語辞書'!B$1),FALSE),
IF(_xlpm.v=0,"",_xlpm.v)
),"")</f>
        <v/>
      </c>
      <c r="K1361" s="17"/>
      <c r="L1361" s="17" t="str">
        <f>IF(OR(COUNTIF('クラス'!$A$1:$A$1262,$B1361)&gt;0,$B1361="",$M1361=""),"",True)</f>
        <v/>
      </c>
      <c r="M1361" s="1" t="str">
        <f t="shared" ref="M1361:M1451" si="25">IF(COUNTIF($B$1:$C1360, $B1361), "", "存在しない")</f>
        <v>存在しない</v>
      </c>
      <c r="N1361" s="1" t="s">
        <v>29</v>
      </c>
      <c r="O1361" s="1"/>
      <c r="P1361" s="11"/>
      <c r="Q1361" s="11"/>
      <c r="R1361" s="11"/>
      <c r="S1361" s="11"/>
      <c r="T1361" s="1"/>
      <c r="U1361" s="1"/>
      <c r="V1361" s="1"/>
      <c r="W1361" s="1"/>
      <c r="X1361" s="1"/>
      <c r="Y1361" s="1"/>
      <c r="Z1361" s="1"/>
    </row>
    <row r="1362" ht="18.0" hidden="1" customHeight="1" outlineLevel="2">
      <c r="A1362" s="1">
        <v>1.0</v>
      </c>
      <c r="B1362" s="26" t="s">
        <v>1665</v>
      </c>
      <c r="C1362" s="1"/>
      <c r="D1362" s="1"/>
      <c r="E1362" s="14" t="s">
        <v>33</v>
      </c>
      <c r="F1362" s="15"/>
      <c r="G1362" s="16"/>
      <c r="H1362" s="11" t="s">
        <v>1666</v>
      </c>
      <c r="I1362" s="7"/>
      <c r="J1362" s="7" t="str">
        <f>IFERROR(LET(_xlpm.v,
VLOOKUP($I1362,'用語辞書'!$A:$B,COLUMN('用語辞書'!B$1),FALSE),
IF(_xlpm.v=0,"",_xlpm.v)
),"")</f>
        <v/>
      </c>
      <c r="K1362" s="17"/>
      <c r="L1362" s="17" t="b">
        <f>IF(OR(COUNTIF('クラス'!$A$1:$A$1262,$B1362)&gt;0,$B1362="",$M1362=""),"",True)</f>
        <v>1</v>
      </c>
      <c r="M1362" s="1" t="str">
        <f t="shared" si="25"/>
        <v>存在しない</v>
      </c>
      <c r="N1362" s="1" t="s">
        <v>29</v>
      </c>
      <c r="O1362" s="1"/>
      <c r="P1362" s="11"/>
      <c r="Q1362" s="11"/>
      <c r="R1362" s="11"/>
      <c r="S1362" s="11"/>
      <c r="T1362" s="1"/>
      <c r="U1362" s="1"/>
      <c r="V1362" s="1"/>
      <c r="W1362" s="1"/>
      <c r="X1362" s="1"/>
      <c r="Y1362" s="1"/>
      <c r="Z1362" s="1"/>
    </row>
    <row r="1363" ht="18.0" hidden="1" customHeight="1" outlineLevel="2">
      <c r="A1363" s="1">
        <v>2.0</v>
      </c>
      <c r="B1363" s="26"/>
      <c r="C1363" s="1"/>
      <c r="D1363" s="1"/>
      <c r="E1363" s="29"/>
      <c r="F1363" s="15"/>
      <c r="G1363" s="30"/>
      <c r="H1363" s="22"/>
      <c r="I1363" s="7"/>
      <c r="J1363" s="7" t="str">
        <f>IFERROR(LET(_xlpm.v,
VLOOKUP($I1363,'用語辞書'!$A:$B,COLUMN('用語辞書'!B$1),FALSE),
IF(_xlpm.v=0,"",_xlpm.v)
),"")</f>
        <v/>
      </c>
      <c r="K1363" s="17"/>
      <c r="L1363" s="17" t="str">
        <f>IF(OR(COUNTIF('クラス'!$A$1:$A$1262,$B1363)&gt;0,$B1363="",$M1363=""),"",True)</f>
        <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3.0</v>
      </c>
      <c r="B1364" s="26" t="s">
        <v>1667</v>
      </c>
      <c r="C1364" s="1"/>
      <c r="D1364" s="1"/>
      <c r="E1364" s="29" t="s">
        <v>33</v>
      </c>
      <c r="F1364" s="15"/>
      <c r="G1364" s="16"/>
      <c r="H1364" s="22" t="s">
        <v>1668</v>
      </c>
      <c r="I1364" s="7"/>
      <c r="J1364" s="7" t="str">
        <f>IFERROR(LET(_xlpm.v,
VLOOKUP($I1364,'用語辞書'!$A:$B,COLUMN('用語辞書'!B$1),FALSE),
IF(_xlpm.v=0,"",_xlpm.v)
),"")</f>
        <v/>
      </c>
      <c r="K1364" s="17"/>
      <c r="L1364" s="17" t="b">
        <f>IF(OR(COUNTIF('クラス'!$A$1:$A$1262,$B1364)&gt;0,$B1364="",$M1364=""),"",True)</f>
        <v>1</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4.0</v>
      </c>
      <c r="B1365" s="26"/>
      <c r="C1365" s="1"/>
      <c r="D1365" s="1"/>
      <c r="E1365" s="14"/>
      <c r="F1365" s="15"/>
      <c r="G1365" s="16"/>
      <c r="H1365" s="11"/>
      <c r="I1365" s="7"/>
      <c r="J1365" s="7" t="str">
        <f>IFERROR(LET(_xlpm.v,
VLOOKUP($I1365,'用語辞書'!$A:$B,COLUMN('用語辞書'!B$1),FALSE),
IF(_xlpm.v=0,"",_xlpm.v)
),"")</f>
        <v/>
      </c>
      <c r="K1365" s="17"/>
      <c r="L1365" s="17" t="str">
        <f>IF(OR(COUNTIF('クラス'!$A$1:$A$1262,$B1365)&gt;0,$B1365="",$M1365=""),"",True)</f>
        <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5.0</v>
      </c>
      <c r="B1366" s="26" t="s">
        <v>1669</v>
      </c>
      <c r="C1366" s="1"/>
      <c r="D1366" s="1"/>
      <c r="E1366" s="14" t="s">
        <v>55</v>
      </c>
      <c r="F1366" s="15"/>
      <c r="G1366" s="16"/>
      <c r="H1366" s="11" t="s">
        <v>1670</v>
      </c>
      <c r="I1366" s="7"/>
      <c r="J1366" s="7" t="str">
        <f>IFERROR(LET(_xlpm.v,
VLOOKUP($I1366,'用語辞書'!$A:$B,COLUMN('用語辞書'!B$1),FALSE),
IF(_xlpm.v=0,"",_xlpm.v)
),"")</f>
        <v/>
      </c>
      <c r="K1366" s="17"/>
      <c r="L1366" s="17" t="b">
        <f>IF(OR(COUNTIF('クラス'!$A$1:$A$1262,$B1366)&gt;0,$B1366="",$M1366=""),"",True)</f>
        <v>1</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6.0</v>
      </c>
      <c r="B1367" s="1" t="s">
        <v>35</v>
      </c>
      <c r="C1367" s="1"/>
      <c r="D1367" s="1"/>
      <c r="E1367" s="14"/>
      <c r="F1367" s="15"/>
      <c r="G1367" s="16"/>
      <c r="H1367" s="11"/>
      <c r="I1367" s="7"/>
      <c r="J1367" s="7" t="str">
        <f>IFERROR(LET(_xlpm.v,
VLOOKUP($I1367,'用語辞書'!$A:$B,COLUMN('用語辞書'!B$1),FALSE),
IF(_xlpm.v=0,"",_xlpm.v)
),"")</f>
        <v/>
      </c>
      <c r="K1367" s="17"/>
      <c r="L1367" s="17" t="str">
        <f>IF(OR(COUNTIF('クラス'!$A$1:$A$1262,$B1367)&gt;0,$B1367="",$M1367=""),"",True)</f>
        <v/>
      </c>
      <c r="M1367" s="1" t="str">
        <f t="shared" si="25"/>
        <v/>
      </c>
      <c r="N1367" s="1" t="s">
        <v>29</v>
      </c>
      <c r="O1367" s="1"/>
      <c r="P1367" s="11"/>
      <c r="Q1367" s="11"/>
      <c r="R1367" s="11"/>
      <c r="S1367" s="11"/>
      <c r="T1367" s="1"/>
      <c r="U1367" s="1"/>
      <c r="V1367" s="1"/>
      <c r="W1367" s="1"/>
      <c r="X1367" s="1"/>
      <c r="Y1367" s="1"/>
      <c r="Z1367" s="1"/>
    </row>
    <row r="1368" ht="18.0" hidden="1" customHeight="1" outlineLevel="2">
      <c r="A1368" s="1">
        <v>7.0</v>
      </c>
      <c r="B1368" s="26" t="s">
        <v>1671</v>
      </c>
      <c r="C1368" s="1"/>
      <c r="D1368" s="1"/>
      <c r="E1368" s="14" t="s">
        <v>55</v>
      </c>
      <c r="F1368" s="15"/>
      <c r="G1368" s="16"/>
      <c r="H1368" s="11" t="s">
        <v>1672</v>
      </c>
      <c r="I1368" s="7"/>
      <c r="J1368" s="7" t="str">
        <f>IFERROR(LET(_xlpm.v,
VLOOKUP($I1368,'用語辞書'!$A:$B,COLUMN('用語辞書'!B$1),FALSE),
IF(_xlpm.v=0,"",_xlpm.v)
),"")</f>
        <v/>
      </c>
      <c r="K1368" s="17"/>
      <c r="L1368" s="17" t="b">
        <f>IF(OR(COUNTIF('クラス'!$A$1:$A$1262,$B1368)&gt;0,$B1368="",$M1368=""),"",True)</f>
        <v>1</v>
      </c>
      <c r="M1368" s="1" t="str">
        <f t="shared" si="25"/>
        <v>存在しない</v>
      </c>
      <c r="N1368" s="1" t="s">
        <v>29</v>
      </c>
      <c r="O1368" s="1"/>
      <c r="P1368" s="11"/>
      <c r="Q1368" s="11"/>
      <c r="R1368" s="11"/>
      <c r="S1368" s="11"/>
      <c r="T1368" s="1"/>
      <c r="U1368" s="1"/>
      <c r="V1368" s="1"/>
      <c r="W1368" s="1"/>
      <c r="X1368" s="1"/>
      <c r="Y1368" s="1"/>
      <c r="Z1368" s="1"/>
    </row>
    <row r="1369" ht="18.0" hidden="1" customHeight="1" outlineLevel="2">
      <c r="A1369" s="1">
        <v>8.0</v>
      </c>
      <c r="B1369" s="1"/>
      <c r="C1369" s="1"/>
      <c r="D1369" s="1"/>
      <c r="E1369" s="14"/>
      <c r="F1369" s="15"/>
      <c r="G1369" s="16"/>
      <c r="H1369" s="11"/>
      <c r="I1369" s="7"/>
      <c r="J1369" s="7" t="str">
        <f>IFERROR(LET(_xlpm.v,
VLOOKUP($I1369,'用語辞書'!$A:$B,COLUMN('用語辞書'!B$1),FALSE),
IF(_xlpm.v=0,"",_xlpm.v)
),"")</f>
        <v/>
      </c>
      <c r="K1369" s="17"/>
      <c r="L1369" s="17" t="str">
        <f>IF(OR(COUNTIF('クラス'!$A$1:$A$1262,$B1369)&gt;0,$B1369="",$M1369=""),"",True)</f>
        <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9.0</v>
      </c>
      <c r="B1370" s="1" t="s">
        <v>1673</v>
      </c>
      <c r="C1370" s="1"/>
      <c r="D1370" s="1"/>
      <c r="E1370" s="14" t="s">
        <v>55</v>
      </c>
      <c r="F1370" s="15"/>
      <c r="G1370" s="16"/>
      <c r="H1370" s="11" t="s">
        <v>1674</v>
      </c>
      <c r="I1370" s="7"/>
      <c r="J1370" s="7" t="str">
        <f>IFERROR(LET(_xlpm.v,
VLOOKUP($I1370,'用語辞書'!$A:$B,COLUMN('用語辞書'!B$1),FALSE),
IF(_xlpm.v=0,"",_xlpm.v)
),"")</f>
        <v/>
      </c>
      <c r="K1370" s="17"/>
      <c r="L1370" s="17" t="b">
        <f>IF(OR(COUNTIF('クラス'!$A$1:$A$1262,$B1370)&gt;0,$B1370="",$M1370=""),"",True)</f>
        <v>1</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10.0</v>
      </c>
      <c r="B1371" s="1"/>
      <c r="C1371" s="1"/>
      <c r="D1371" s="1"/>
      <c r="E1371" s="14"/>
      <c r="F1371" s="15"/>
      <c r="G1371" s="16"/>
      <c r="H1371" s="11"/>
      <c r="I1371" s="7"/>
      <c r="J1371" s="7" t="str">
        <f>IFERROR(LET(_xlpm.v,
VLOOKUP($I1371,'用語辞書'!$A:$B,COLUMN('用語辞書'!B$1),FALSE),
IF(_xlpm.v=0,"",_xlpm.v)
),"")</f>
        <v/>
      </c>
      <c r="K1371" s="17"/>
      <c r="L1371" s="17" t="str">
        <f>IF(OR(COUNTIF('クラス'!$A$1:$A$1262,$B1371)&gt;0,$B1371="",$M1371=""),"",True)</f>
        <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1" collapsed="1">
      <c r="A1372" s="1"/>
      <c r="B1372" s="1"/>
      <c r="C1372" s="1"/>
      <c r="D1372" s="1"/>
      <c r="E1372" s="14"/>
      <c r="F1372" s="15"/>
      <c r="G1372" s="16"/>
      <c r="H1372" s="11"/>
      <c r="I1372" s="7"/>
      <c r="J1372" s="7" t="str">
        <f>IFERROR(LET(_xlpm.v,
VLOOKUP($I1372,'用語辞書'!$A:$B,COLUMN('用語辞書'!B$1),FALSE),
IF(_xlpm.v=0,"",_xlpm.v)
),"")</f>
        <v/>
      </c>
      <c r="K1372" s="17"/>
      <c r="L1372" s="17" t="str">
        <f>IF(OR(COUNTIF('クラス'!$A$1:$A$1262,$B1372)&gt;0,$B1372="",$M1372=""),"",True)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 r="A1373" s="1"/>
      <c r="B1373" s="1"/>
      <c r="C1373" s="1"/>
      <c r="D1373" s="1"/>
      <c r="E1373" s="14"/>
      <c r="F1373" s="15"/>
      <c r="G1373" s="16"/>
      <c r="H1373" s="11"/>
      <c r="I1373" s="7"/>
      <c r="J1373" s="7" t="str">
        <f>IFERROR(LET(_xlpm.v,
VLOOKUP($I1373,'用語辞書'!$A:$B,COLUMN('用語辞書'!B$1),FALSE),
IF(_xlpm.v=0,"",_xlpm.v)
),"")</f>
        <v/>
      </c>
      <c r="K1373" s="17"/>
      <c r="L1373" s="17" t="str">
        <f>IF(OR(COUNTIF('クラス'!$A$1:$A$1262,$B1373)&gt;0,$B1373="",$M1373=""),"",True)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26" t="s">
        <v>1675</v>
      </c>
      <c r="C1374" s="1"/>
      <c r="D1374" s="1"/>
      <c r="E1374" s="14"/>
      <c r="F1374" s="15"/>
      <c r="G1374" s="16"/>
      <c r="H1374" s="11"/>
      <c r="I1374" s="7"/>
      <c r="J1374" s="7" t="str">
        <f>IFERROR(LET(_xlpm.v,
VLOOKUP($I1374,'用語辞書'!$A:$B,COLUMN('用語辞書'!B$1),FALSE),
IF(_xlpm.v=0,"",_xlpm.v)
),"")</f>
        <v/>
      </c>
      <c r="K1374" s="17"/>
      <c r="L1374" s="17" t="str">
        <f>IF(OR(COUNTIF('クラス'!$A$1:$A$1262,$B1374)&gt;0,$B1374="",$M1374=""),"",True)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2">
      <c r="A1375" s="1">
        <v>1.0</v>
      </c>
      <c r="B1375" s="26" t="s">
        <v>1676</v>
      </c>
      <c r="C1375" s="1"/>
      <c r="D1375" s="1"/>
      <c r="E1375" s="14" t="s">
        <v>33</v>
      </c>
      <c r="F1375" s="15"/>
      <c r="G1375" s="16"/>
      <c r="H1375" s="11" t="s">
        <v>1677</v>
      </c>
      <c r="I1375" s="7"/>
      <c r="J1375" s="7" t="str">
        <f>IFERROR(LET(_xlpm.v,
VLOOKUP($I1375,'用語辞書'!$A:$B,COLUMN('用語辞書'!B$1),FALSE),
IF(_xlpm.v=0,"",_xlpm.v)
),"")</f>
        <v/>
      </c>
      <c r="K1375" s="17"/>
      <c r="L1375" s="17" t="b">
        <f>IF(OR(COUNTIF('クラス'!$A$1:$A$1262,$B1375)&gt;0,$B1375="",$M1375=""),"",True)</f>
        <v>1</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2.0</v>
      </c>
      <c r="B1376" s="26"/>
      <c r="C1376" s="1"/>
      <c r="D1376" s="1"/>
      <c r="E1376" s="29"/>
      <c r="F1376" s="15"/>
      <c r="G1376" s="30"/>
      <c r="H1376" s="22"/>
      <c r="I1376" s="7"/>
      <c r="J1376" s="7" t="str">
        <f>IFERROR(LET(_xlpm.v,
VLOOKUP($I1376,'用語辞書'!$A:$B,COLUMN('用語辞書'!B$1),FALSE),
IF(_xlpm.v=0,"",_xlpm.v)
),"")</f>
        <v/>
      </c>
      <c r="K1376" s="17"/>
      <c r="L1376" s="17" t="str">
        <f>IF(OR(COUNTIF('クラス'!$A$1:$A$1262,$B1376)&gt;0,$B1376="",$M1376=""),"",True)</f>
        <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3.0</v>
      </c>
      <c r="B1377" s="26" t="s">
        <v>1678</v>
      </c>
      <c r="C1377" s="1"/>
      <c r="D1377" s="1"/>
      <c r="E1377" s="29" t="s">
        <v>33</v>
      </c>
      <c r="F1377" s="15"/>
      <c r="G1377" s="16"/>
      <c r="H1377" s="22" t="s">
        <v>1679</v>
      </c>
      <c r="I1377" s="7"/>
      <c r="J1377" s="7" t="str">
        <f>IFERROR(LET(_xlpm.v,
VLOOKUP($I1377,'用語辞書'!$A:$B,COLUMN('用語辞書'!B$1),FALSE),
IF(_xlpm.v=0,"",_xlpm.v)
),"")</f>
        <v/>
      </c>
      <c r="K1377" s="17"/>
      <c r="L1377" s="17" t="b">
        <f>IF(OR(COUNTIF('クラス'!$A$1:$A$1262,$B1377)&gt;0,$B1377="",$M1377=""),"",True)</f>
        <v>1</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4.0</v>
      </c>
      <c r="B1378" s="26"/>
      <c r="C1378" s="1"/>
      <c r="D1378" s="1"/>
      <c r="E1378" s="14"/>
      <c r="F1378" s="15"/>
      <c r="G1378" s="16"/>
      <c r="H1378" s="11"/>
      <c r="I1378" s="7"/>
      <c r="J1378" s="7" t="str">
        <f>IFERROR(LET(_xlpm.v,
VLOOKUP($I1378,'用語辞書'!$A:$B,COLUMN('用語辞書'!B$1),FALSE),
IF(_xlpm.v=0,"",_xlpm.v)
),"")</f>
        <v/>
      </c>
      <c r="K1378" s="17"/>
      <c r="L1378" s="17" t="str">
        <f>IF(OR(COUNTIF('クラス'!$A$1:$A$1262,$B1378)&gt;0,$B1378="",$M1378=""),"",True)</f>
        <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5.0</v>
      </c>
      <c r="B1379" s="26" t="s">
        <v>1680</v>
      </c>
      <c r="C1379" s="1"/>
      <c r="D1379" s="1"/>
      <c r="E1379" s="14" t="s">
        <v>55</v>
      </c>
      <c r="F1379" s="15"/>
      <c r="G1379" s="16"/>
      <c r="H1379" s="11" t="s">
        <v>1681</v>
      </c>
      <c r="I1379" s="7"/>
      <c r="J1379" s="7" t="str">
        <f>IFERROR(LET(_xlpm.v,
VLOOKUP($I1379,'用語辞書'!$A:$B,COLUMN('用語辞書'!B$1),FALSE),
IF(_xlpm.v=0,"",_xlpm.v)
),"")</f>
        <v/>
      </c>
      <c r="K1379" s="17"/>
      <c r="L1379" s="17" t="b">
        <f>IF(OR(COUNTIF('クラス'!$A$1:$A$1262,$B1379)&gt;0,$B1379="",$M1379=""),"",True)</f>
        <v>1</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6.0</v>
      </c>
      <c r="B1380" s="1" t="s">
        <v>37</v>
      </c>
      <c r="C1380" s="1"/>
      <c r="D1380" s="1"/>
      <c r="E1380" s="14"/>
      <c r="F1380" s="15"/>
      <c r="G1380" s="16"/>
      <c r="H1380" s="11"/>
      <c r="I1380" s="7"/>
      <c r="J1380" s="7" t="str">
        <f>IFERROR(LET(_xlpm.v,
VLOOKUP($I1380,'用語辞書'!$A:$B,COLUMN('用語辞書'!B$1),FALSE),
IF(_xlpm.v=0,"",_xlpm.v)
),"")</f>
        <v/>
      </c>
      <c r="K1380" s="17"/>
      <c r="L1380" s="17" t="str">
        <f>IF(OR(COUNTIF('クラス'!$A$1:$A$1262,$B1380)&gt;0,$B1380="",$M1380=""),"",True)</f>
        <v/>
      </c>
      <c r="M1380" s="1" t="str">
        <f t="shared" si="25"/>
        <v/>
      </c>
      <c r="N1380" s="1" t="s">
        <v>29</v>
      </c>
      <c r="O1380" s="1"/>
      <c r="P1380" s="11"/>
      <c r="Q1380" s="11"/>
      <c r="R1380" s="11"/>
      <c r="S1380" s="11"/>
      <c r="T1380" s="1"/>
      <c r="U1380" s="1"/>
      <c r="V1380" s="1"/>
      <c r="W1380" s="1"/>
      <c r="X1380" s="1"/>
      <c r="Y1380" s="1"/>
      <c r="Z1380" s="1"/>
    </row>
    <row r="1381" ht="18.0" hidden="1" customHeight="1" outlineLevel="2">
      <c r="A1381" s="1">
        <v>7.0</v>
      </c>
      <c r="B1381" s="26" t="s">
        <v>1682</v>
      </c>
      <c r="C1381" s="1"/>
      <c r="D1381" s="1"/>
      <c r="E1381" s="14" t="s">
        <v>55</v>
      </c>
      <c r="F1381" s="15"/>
      <c r="G1381" s="16"/>
      <c r="H1381" s="11" t="s">
        <v>1683</v>
      </c>
      <c r="I1381" s="7"/>
      <c r="J1381" s="7" t="str">
        <f>IFERROR(LET(_xlpm.v,
VLOOKUP($I1381,'用語辞書'!$A:$B,COLUMN('用語辞書'!B$1),FALSE),
IF(_xlpm.v=0,"",_xlpm.v)
),"")</f>
        <v/>
      </c>
      <c r="K1381" s="17"/>
      <c r="L1381" s="17" t="b">
        <f>IF(OR(COUNTIF('クラス'!$A$1:$A$1262,$B1381)&gt;0,$B1381="",$M1381=""),"",True)</f>
        <v>1</v>
      </c>
      <c r="M1381" s="1" t="str">
        <f t="shared" si="25"/>
        <v>存在しない</v>
      </c>
      <c r="N1381" s="1" t="s">
        <v>29</v>
      </c>
      <c r="O1381" s="1"/>
      <c r="P1381" s="11"/>
      <c r="Q1381" s="11"/>
      <c r="R1381" s="11"/>
      <c r="S1381" s="11"/>
      <c r="T1381" s="1"/>
      <c r="U1381" s="1"/>
      <c r="V1381" s="1"/>
      <c r="W1381" s="1"/>
      <c r="X1381" s="1"/>
      <c r="Y1381" s="1"/>
      <c r="Z1381" s="1"/>
    </row>
    <row r="1382" ht="18.0" hidden="1" customHeight="1" outlineLevel="2">
      <c r="A1382" s="1">
        <v>8.0</v>
      </c>
      <c r="B1382" s="1"/>
      <c r="C1382" s="1"/>
      <c r="D1382" s="1"/>
      <c r="E1382" s="14"/>
      <c r="F1382" s="15"/>
      <c r="G1382" s="16"/>
      <c r="H1382" s="11"/>
      <c r="I1382" s="7"/>
      <c r="J1382" s="7" t="str">
        <f>IFERROR(LET(_xlpm.v,
VLOOKUP($I1382,'用語辞書'!$A:$B,COLUMN('用語辞書'!B$1),FALSE),
IF(_xlpm.v=0,"",_xlpm.v)
),"")</f>
        <v/>
      </c>
      <c r="K1382" s="17"/>
      <c r="L1382" s="17" t="str">
        <f>IF(OR(COUNTIF('クラス'!$A$1:$A$1262,$B1382)&gt;0,$B1382="",$M1382=""),"",True)</f>
        <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9.0</v>
      </c>
      <c r="B1383" s="1" t="s">
        <v>1684</v>
      </c>
      <c r="C1383" s="1"/>
      <c r="D1383" s="1"/>
      <c r="E1383" s="14" t="s">
        <v>55</v>
      </c>
      <c r="F1383" s="15"/>
      <c r="G1383" s="16"/>
      <c r="H1383" s="11" t="s">
        <v>1685</v>
      </c>
      <c r="I1383" s="7"/>
      <c r="J1383" s="7" t="str">
        <f>IFERROR(LET(_xlpm.v,
VLOOKUP($I1383,'用語辞書'!$A:$B,COLUMN('用語辞書'!B$1),FALSE),
IF(_xlpm.v=0,"",_xlpm.v)
),"")</f>
        <v/>
      </c>
      <c r="K1383" s="17"/>
      <c r="L1383" s="17" t="b">
        <f>IF(OR(COUNTIF('クラス'!$A$1:$A$1262,$B1383)&gt;0,$B1383="",$M1383=""),"",True)</f>
        <v>1</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10.0</v>
      </c>
      <c r="B1384" s="1"/>
      <c r="C1384" s="1"/>
      <c r="D1384" s="1"/>
      <c r="E1384" s="14"/>
      <c r="F1384" s="15"/>
      <c r="G1384" s="16"/>
      <c r="H1384" s="11"/>
      <c r="I1384" s="7"/>
      <c r="J1384" s="7" t="str">
        <f>IFERROR(LET(_xlpm.v,
VLOOKUP($I1384,'用語辞書'!$A:$B,COLUMN('用語辞書'!B$1),FALSE),
IF(_xlpm.v=0,"",_xlpm.v)
),"")</f>
        <v/>
      </c>
      <c r="K1384" s="17"/>
      <c r="L1384" s="17" t="str">
        <f>IF(OR(COUNTIF('クラス'!$A$1:$A$1262,$B1384)&gt;0,$B1384="",$M1384=""),"",True)</f>
        <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1" collapsed="1">
      <c r="A1385" s="1"/>
      <c r="B1385" s="1"/>
      <c r="C1385" s="1"/>
      <c r="D1385" s="1"/>
      <c r="E1385" s="14"/>
      <c r="F1385" s="15"/>
      <c r="G1385" s="16"/>
      <c r="H1385" s="11"/>
      <c r="I1385" s="7"/>
      <c r="J1385" s="7" t="str">
        <f>IFERROR(LET(_xlpm.v,
VLOOKUP($I1385,'用語辞書'!$A:$B,COLUMN('用語辞書'!B$1),FALSE),
IF(_xlpm.v=0,"",_xlpm.v)
),"")</f>
        <v/>
      </c>
      <c r="K1385" s="17"/>
      <c r="L1385" s="17" t="str">
        <f>IF(OR(COUNTIF('クラス'!$A$1:$A$1262,$B1385)&gt;0,$B1385="",$M1385=""),"",True)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 r="A1386" s="1"/>
      <c r="B1386" s="1"/>
      <c r="C1386" s="1"/>
      <c r="D1386" s="1"/>
      <c r="E1386" s="14"/>
      <c r="F1386" s="15"/>
      <c r="G1386" s="16"/>
      <c r="H1386" s="11"/>
      <c r="I1386" s="7"/>
      <c r="J1386" s="7" t="str">
        <f>IFERROR(LET(_xlpm.v,
VLOOKUP($I1386,'用語辞書'!$A:$B,COLUMN('用語辞書'!B$1),FALSE),
IF(_xlpm.v=0,"",_xlpm.v)
),"")</f>
        <v/>
      </c>
      <c r="K1386" s="17"/>
      <c r="L1386" s="17" t="str">
        <f>IF(OR(COUNTIF('クラス'!$A$1:$A$1262,$B1386)&gt;0,$B1386="",$M1386=""),"",True)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26" t="s">
        <v>1686</v>
      </c>
      <c r="C1387" s="1"/>
      <c r="D1387" s="1"/>
      <c r="E1387" s="14"/>
      <c r="F1387" s="15"/>
      <c r="G1387" s="16"/>
      <c r="H1387" s="11"/>
      <c r="I1387" s="7"/>
      <c r="J1387" s="7" t="str">
        <f>IFERROR(LET(_xlpm.v,
VLOOKUP($I1387,'用語辞書'!$A:$B,COLUMN('用語辞書'!B$1),FALSE),
IF(_xlpm.v=0,"",_xlpm.v)
),"")</f>
        <v/>
      </c>
      <c r="K1387" s="17"/>
      <c r="L1387" s="17" t="str">
        <f>IF(OR(COUNTIF('クラス'!$A$1:$A$1262,$B1387)&gt;0,$B1387="",$M1387=""),"",True)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2">
      <c r="A1388" s="1">
        <v>1.0</v>
      </c>
      <c r="B1388" s="26" t="s">
        <v>1687</v>
      </c>
      <c r="C1388" s="1"/>
      <c r="D1388" s="1"/>
      <c r="E1388" s="14" t="s">
        <v>33</v>
      </c>
      <c r="F1388" s="15"/>
      <c r="G1388" s="16"/>
      <c r="H1388" s="11" t="s">
        <v>1688</v>
      </c>
      <c r="I1388" s="7"/>
      <c r="J1388" s="7" t="str">
        <f>IFERROR(LET(_xlpm.v,
VLOOKUP($I1388,'用語辞書'!$A:$B,COLUMN('用語辞書'!B$1),FALSE),
IF(_xlpm.v=0,"",_xlpm.v)
),"")</f>
        <v/>
      </c>
      <c r="K1388" s="17"/>
      <c r="L1388" s="17" t="b">
        <f>IF(OR(COUNTIF('クラス'!$A$1:$A$1262,$B1388)&gt;0,$B1388="",$M1388=""),"",True)</f>
        <v>1</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2.0</v>
      </c>
      <c r="B1389" s="26"/>
      <c r="C1389" s="1"/>
      <c r="D1389" s="1"/>
      <c r="E1389" s="29"/>
      <c r="F1389" s="15"/>
      <c r="G1389" s="30"/>
      <c r="H1389" s="22"/>
      <c r="I1389" s="7"/>
      <c r="J1389" s="7" t="str">
        <f>IFERROR(LET(_xlpm.v,
VLOOKUP($I1389,'用語辞書'!$A:$B,COLUMN('用語辞書'!B$1),FALSE),
IF(_xlpm.v=0,"",_xlpm.v)
),"")</f>
        <v/>
      </c>
      <c r="K1389" s="17"/>
      <c r="L1389" s="17" t="str">
        <f>IF(OR(COUNTIF('クラス'!$A$1:$A$1262,$B1389)&gt;0,$B1389="",$M1389=""),"",True)</f>
        <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3.0</v>
      </c>
      <c r="B1390" s="26" t="s">
        <v>1689</v>
      </c>
      <c r="C1390" s="1"/>
      <c r="D1390" s="1"/>
      <c r="E1390" s="29" t="s">
        <v>33</v>
      </c>
      <c r="F1390" s="15"/>
      <c r="G1390" s="16"/>
      <c r="H1390" s="22" t="s">
        <v>1690</v>
      </c>
      <c r="I1390" s="7"/>
      <c r="J1390" s="7" t="str">
        <f>IFERROR(LET(_xlpm.v,
VLOOKUP($I1390,'用語辞書'!$A:$B,COLUMN('用語辞書'!B$1),FALSE),
IF(_xlpm.v=0,"",_xlpm.v)
),"")</f>
        <v/>
      </c>
      <c r="K1390" s="17"/>
      <c r="L1390" s="17" t="b">
        <f>IF(OR(COUNTIF('クラス'!$A$1:$A$1262,$B1390)&gt;0,$B1390="",$M1390=""),"",True)</f>
        <v>1</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4.0</v>
      </c>
      <c r="B1391" s="26"/>
      <c r="C1391" s="1"/>
      <c r="D1391" s="1"/>
      <c r="E1391" s="14"/>
      <c r="F1391" s="15"/>
      <c r="G1391" s="16"/>
      <c r="H1391" s="11"/>
      <c r="I1391" s="7"/>
      <c r="J1391" s="7" t="str">
        <f>IFERROR(LET(_xlpm.v,
VLOOKUP($I1391,'用語辞書'!$A:$B,COLUMN('用語辞書'!B$1),FALSE),
IF(_xlpm.v=0,"",_xlpm.v)
),"")</f>
        <v/>
      </c>
      <c r="K1391" s="17"/>
      <c r="L1391" s="17" t="str">
        <f>IF(OR(COUNTIF('クラス'!$A$1:$A$1262,$B1391)&gt;0,$B1391="",$M1391=""),"",True)</f>
        <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5.0</v>
      </c>
      <c r="B1392" s="26" t="s">
        <v>1691</v>
      </c>
      <c r="C1392" s="1"/>
      <c r="D1392" s="1"/>
      <c r="E1392" s="14" t="s">
        <v>55</v>
      </c>
      <c r="F1392" s="15"/>
      <c r="G1392" s="16"/>
      <c r="H1392" s="11" t="s">
        <v>1692</v>
      </c>
      <c r="I1392" s="7"/>
      <c r="J1392" s="7" t="str">
        <f>IFERROR(LET(_xlpm.v,
VLOOKUP($I1392,'用語辞書'!$A:$B,COLUMN('用語辞書'!B$1),FALSE),
IF(_xlpm.v=0,"",_xlpm.v)
),"")</f>
        <v/>
      </c>
      <c r="K1392" s="17"/>
      <c r="L1392" s="17" t="b">
        <f>IF(OR(COUNTIF('クラス'!$A$1:$A$1262,$B1392)&gt;0,$B1392="",$M1392=""),"",True)</f>
        <v>1</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6.0</v>
      </c>
      <c r="B1393" s="1" t="s">
        <v>32</v>
      </c>
      <c r="C1393" s="1"/>
      <c r="D1393" s="1"/>
      <c r="E1393" s="14"/>
      <c r="F1393" s="15"/>
      <c r="G1393" s="16"/>
      <c r="H1393" s="11"/>
      <c r="I1393" s="7"/>
      <c r="J1393" s="7" t="str">
        <f>IFERROR(LET(_xlpm.v,
VLOOKUP($I1393,'用語辞書'!$A:$B,COLUMN('用語辞書'!B$1),FALSE),
IF(_xlpm.v=0,"",_xlpm.v)
),"")</f>
        <v/>
      </c>
      <c r="K1393" s="17"/>
      <c r="L1393" s="17" t="str">
        <f>IF(OR(COUNTIF('クラス'!$A$1:$A$1262,$B1393)&gt;0,$B1393="",$M1393=""),"",True)</f>
        <v/>
      </c>
      <c r="M1393" s="1" t="str">
        <f t="shared" si="25"/>
        <v/>
      </c>
      <c r="N1393" s="1" t="s">
        <v>29</v>
      </c>
      <c r="O1393" s="1"/>
      <c r="P1393" s="11"/>
      <c r="Q1393" s="11"/>
      <c r="R1393" s="11"/>
      <c r="S1393" s="11"/>
      <c r="T1393" s="1"/>
      <c r="U1393" s="1"/>
      <c r="V1393" s="1"/>
      <c r="W1393" s="1"/>
      <c r="X1393" s="1"/>
      <c r="Y1393" s="1"/>
      <c r="Z1393" s="1"/>
    </row>
    <row r="1394" ht="18.0" hidden="1" customHeight="1" outlineLevel="2">
      <c r="A1394" s="1">
        <v>7.0</v>
      </c>
      <c r="B1394" s="26" t="s">
        <v>1693</v>
      </c>
      <c r="C1394" s="1"/>
      <c r="D1394" s="1"/>
      <c r="E1394" s="14" t="s">
        <v>55</v>
      </c>
      <c r="F1394" s="15"/>
      <c r="G1394" s="16"/>
      <c r="H1394" s="11" t="s">
        <v>1694</v>
      </c>
      <c r="I1394" s="7"/>
      <c r="J1394" s="7" t="str">
        <f>IFERROR(LET(_xlpm.v,
VLOOKUP($I1394,'用語辞書'!$A:$B,COLUMN('用語辞書'!B$1),FALSE),
IF(_xlpm.v=0,"",_xlpm.v)
),"")</f>
        <v/>
      </c>
      <c r="K1394" s="17"/>
      <c r="L1394" s="17" t="b">
        <f>IF(OR(COUNTIF('クラス'!$A$1:$A$1262,$B1394)&gt;0,$B1394="",$M1394=""),"",True)</f>
        <v>1</v>
      </c>
      <c r="M1394" s="1" t="str">
        <f t="shared" si="25"/>
        <v>存在しない</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1"/>
      <c r="E1395" s="14"/>
      <c r="F1395" s="15"/>
      <c r="G1395" s="16"/>
      <c r="H1395" s="11"/>
      <c r="I1395" s="7"/>
      <c r="J1395" s="7" t="str">
        <f>IFERROR(LET(_xlpm.v,
VLOOKUP($I1395,'用語辞書'!$A:$B,COLUMN('用語辞書'!B$1),FALSE),
IF(_xlpm.v=0,"",_xlpm.v)
),"")</f>
        <v/>
      </c>
      <c r="K1395" s="17"/>
      <c r="L1395" s="17" t="str">
        <f>IF(OR(COUNTIF('クラス'!$A$1:$A$1262,$B1395)&gt;0,$B1395="",$M1395=""),"",True)</f>
        <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1695</v>
      </c>
      <c r="C1396" s="1"/>
      <c r="D1396" s="1"/>
      <c r="E1396" s="14" t="s">
        <v>55</v>
      </c>
      <c r="F1396" s="15"/>
      <c r="G1396" s="16"/>
      <c r="H1396" s="11" t="s">
        <v>1696</v>
      </c>
      <c r="I1396" s="7"/>
      <c r="J1396" s="7" t="str">
        <f>IFERROR(LET(_xlpm.v,
VLOOKUP($I1396,'用語辞書'!$A:$B,COLUMN('用語辞書'!B$1),FALSE),
IF(_xlpm.v=0,"",_xlpm.v)
),"")</f>
        <v/>
      </c>
      <c r="K1396" s="17"/>
      <c r="L1396" s="17" t="b">
        <f>IF(OR(COUNTIF('クラス'!$A$1:$A$1262,$B1396)&gt;0,$B1396="",$M1396=""),"",True)</f>
        <v>1</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10.0</v>
      </c>
      <c r="B1397" s="1"/>
      <c r="C1397" s="1"/>
      <c r="D1397" s="1"/>
      <c r="E1397" s="14"/>
      <c r="F1397" s="15"/>
      <c r="G1397" s="16"/>
      <c r="H1397" s="11"/>
      <c r="I1397" s="7"/>
      <c r="J1397" s="7" t="str">
        <f>IFERROR(LET(_xlpm.v,
VLOOKUP($I1397,'用語辞書'!$A:$B,COLUMN('用語辞書'!B$1),FALSE),
IF(_xlpm.v=0,"",_xlpm.v)
),"")</f>
        <v/>
      </c>
      <c r="K1397" s="17"/>
      <c r="L1397" s="17" t="str">
        <f>IF(OR(COUNTIF('クラス'!$A$1:$A$1262,$B1397)&gt;0,$B1397="",$M1397=""),"",True)</f>
        <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1" collapsed="1">
      <c r="A1398" s="1"/>
      <c r="B1398" s="1"/>
      <c r="C1398" s="1"/>
      <c r="D1398" s="1"/>
      <c r="E1398" s="14"/>
      <c r="F1398" s="15"/>
      <c r="G1398" s="16"/>
      <c r="H1398" s="11"/>
      <c r="I1398" s="7"/>
      <c r="J1398" s="7" t="str">
        <f>IFERROR(LET(_xlpm.v,
VLOOKUP($I1398,'用語辞書'!$A:$B,COLUMN('用語辞書'!B$1),FALSE),
IF(_xlpm.v=0,"",_xlpm.v)
),"")</f>
        <v/>
      </c>
      <c r="K1398" s="17"/>
      <c r="L1398" s="17" t="str">
        <f>IF(OR(COUNTIF('クラス'!$A$1:$A$1262,$B1398)&gt;0,$B1398="",$M1398=""),"",True)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 r="A1399" s="1"/>
      <c r="B1399" s="1"/>
      <c r="C1399" s="1"/>
      <c r="D1399" s="1"/>
      <c r="E1399" s="14"/>
      <c r="F1399" s="15"/>
      <c r="G1399" s="16"/>
      <c r="H1399" s="11"/>
      <c r="I1399" s="7"/>
      <c r="J1399" s="7" t="str">
        <f>IFERROR(LET(_xlpm.v,
VLOOKUP($I1399,'用語辞書'!$A:$B,COLUMN('用語辞書'!B$1),FALSE),
IF(_xlpm.v=0,"",_xlpm.v)
),"")</f>
        <v/>
      </c>
      <c r="K1399" s="17"/>
      <c r="L1399" s="17" t="str">
        <f>IF(OR(COUNTIF('クラス'!$A$1:$A$1262,$B1399)&gt;0,$B1399="",$M1399=""),"",True)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26" t="s">
        <v>1697</v>
      </c>
      <c r="C1400" s="1"/>
      <c r="D1400" s="1"/>
      <c r="E1400" s="14"/>
      <c r="F1400" s="15"/>
      <c r="G1400" s="16"/>
      <c r="H1400" s="11"/>
      <c r="I1400" s="7"/>
      <c r="J1400" s="7" t="str">
        <f>IFERROR(LET(_xlpm.v,
VLOOKUP($I1400,'用語辞書'!$A:$B,COLUMN('用語辞書'!B$1),FALSE),
IF(_xlpm.v=0,"",_xlpm.v)
),"")</f>
        <v/>
      </c>
      <c r="K1400" s="17"/>
      <c r="L1400" s="17" t="str">
        <f>IF(OR(COUNTIF('クラス'!$A$1:$A$1262,$B1400)&gt;0,$B1400="",$M1400=""),"",True)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2">
      <c r="A1401" s="1">
        <v>1.0</v>
      </c>
      <c r="B1401" s="26" t="s">
        <v>1698</v>
      </c>
      <c r="C1401" s="1"/>
      <c r="D1401" s="1"/>
      <c r="E1401" s="14" t="s">
        <v>33</v>
      </c>
      <c r="F1401" s="15"/>
      <c r="G1401" s="16"/>
      <c r="H1401" s="11" t="s">
        <v>1699</v>
      </c>
      <c r="I1401" s="7"/>
      <c r="J1401" s="7" t="str">
        <f>IFERROR(LET(_xlpm.v,
VLOOKUP($I1401,'用語辞書'!$A:$B,COLUMN('用語辞書'!B$1),FALSE),
IF(_xlpm.v=0,"",_xlpm.v)
),"")</f>
        <v/>
      </c>
      <c r="K1401" s="17"/>
      <c r="L1401" s="17" t="b">
        <f>IF(OR(COUNTIF('クラス'!$A$1:$A$1262,$B1401)&gt;0,$B1401="",$M1401=""),"",True)</f>
        <v>1</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2.0</v>
      </c>
      <c r="B1402" s="26"/>
      <c r="C1402" s="1"/>
      <c r="D1402" s="1"/>
      <c r="E1402" s="29"/>
      <c r="F1402" s="15"/>
      <c r="G1402" s="30"/>
      <c r="H1402" s="22"/>
      <c r="I1402" s="7"/>
      <c r="J1402" s="7" t="str">
        <f>IFERROR(LET(_xlpm.v,
VLOOKUP($I1402,'用語辞書'!$A:$B,COLUMN('用語辞書'!B$1),FALSE),
IF(_xlpm.v=0,"",_xlpm.v)
),"")</f>
        <v/>
      </c>
      <c r="K1402" s="17"/>
      <c r="L1402" s="17" t="str">
        <f>IF(OR(COUNTIF('クラス'!$A$1:$A$1262,$B1402)&gt;0,$B1402="",$M1402=""),"",True)</f>
        <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3.0</v>
      </c>
      <c r="B1403" s="26" t="s">
        <v>1700</v>
      </c>
      <c r="C1403" s="1"/>
      <c r="D1403" s="1"/>
      <c r="E1403" s="29" t="s">
        <v>33</v>
      </c>
      <c r="F1403" s="15"/>
      <c r="G1403" s="16"/>
      <c r="H1403" s="22" t="s">
        <v>1701</v>
      </c>
      <c r="I1403" s="7"/>
      <c r="J1403" s="7" t="str">
        <f>IFERROR(LET(_xlpm.v,
VLOOKUP($I1403,'用語辞書'!$A:$B,COLUMN('用語辞書'!B$1),FALSE),
IF(_xlpm.v=0,"",_xlpm.v)
),"")</f>
        <v/>
      </c>
      <c r="K1403" s="17"/>
      <c r="L1403" s="17" t="b">
        <f>IF(OR(COUNTIF('クラス'!$A$1:$A$1262,$B1403)&gt;0,$B1403="",$M1403=""),"",True)</f>
        <v>1</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4.0</v>
      </c>
      <c r="B1404" s="26"/>
      <c r="C1404" s="1"/>
      <c r="D1404" s="1"/>
      <c r="E1404" s="14"/>
      <c r="F1404" s="15"/>
      <c r="G1404" s="16"/>
      <c r="H1404" s="11"/>
      <c r="I1404" s="7"/>
      <c r="J1404" s="7" t="str">
        <f>IFERROR(LET(_xlpm.v,
VLOOKUP($I1404,'用語辞書'!$A:$B,COLUMN('用語辞書'!B$1),FALSE),
IF(_xlpm.v=0,"",_xlpm.v)
),"")</f>
        <v/>
      </c>
      <c r="K1404" s="17"/>
      <c r="L1404" s="17" t="str">
        <f>IF(OR(COUNTIF('クラス'!$A$1:$A$1262,$B1404)&gt;0,$B1404="",$M1404=""),"",True)</f>
        <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5.0</v>
      </c>
      <c r="B1405" s="26" t="s">
        <v>1702</v>
      </c>
      <c r="C1405" s="1"/>
      <c r="D1405" s="1"/>
      <c r="E1405" s="14" t="s">
        <v>55</v>
      </c>
      <c r="F1405" s="15"/>
      <c r="G1405" s="16"/>
      <c r="H1405" s="11" t="s">
        <v>1703</v>
      </c>
      <c r="I1405" s="7"/>
      <c r="J1405" s="7" t="str">
        <f>IFERROR(LET(_xlpm.v,
VLOOKUP($I1405,'用語辞書'!$A:$B,COLUMN('用語辞書'!B$1),FALSE),
IF(_xlpm.v=0,"",_xlpm.v)
),"")</f>
        <v/>
      </c>
      <c r="K1405" s="17"/>
      <c r="L1405" s="17" t="b">
        <f>IF(OR(COUNTIF('クラス'!$A$1:$A$1262,$B1405)&gt;0,$B1405="",$M1405=""),"",True)</f>
        <v>1</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6.0</v>
      </c>
      <c r="B1406" s="1" t="s">
        <v>1243</v>
      </c>
      <c r="C1406" s="1"/>
      <c r="D1406" s="1"/>
      <c r="E1406" s="14"/>
      <c r="F1406" s="15"/>
      <c r="G1406" s="16"/>
      <c r="H1406" s="11"/>
      <c r="I1406" s="7"/>
      <c r="J1406" s="7" t="str">
        <f>IFERROR(LET(_xlpm.v,
VLOOKUP($I1406,'用語辞書'!$A:$B,COLUMN('用語辞書'!B$1),FALSE),
IF(_xlpm.v=0,"",_xlpm.v)
),"")</f>
        <v/>
      </c>
      <c r="K1406" s="17"/>
      <c r="L1406" s="17" t="str">
        <f>IF(OR(COUNTIF('クラス'!$A$1:$A$1262,$B1406)&gt;0,$B1406="",$M1406=""),"",True)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7.0</v>
      </c>
      <c r="B1407" s="26" t="s">
        <v>1704</v>
      </c>
      <c r="C1407" s="1"/>
      <c r="D1407" s="1"/>
      <c r="E1407" s="14" t="s">
        <v>55</v>
      </c>
      <c r="F1407" s="15"/>
      <c r="G1407" s="16"/>
      <c r="H1407" s="11" t="s">
        <v>1705</v>
      </c>
      <c r="I1407" s="7"/>
      <c r="J1407" s="7" t="str">
        <f>IFERROR(LET(_xlpm.v,
VLOOKUP($I1407,'用語辞書'!$A:$B,COLUMN('用語辞書'!B$1),FALSE),
IF(_xlpm.v=0,"",_xlpm.v)
),"")</f>
        <v/>
      </c>
      <c r="K1407" s="17"/>
      <c r="L1407" s="17" t="b">
        <f>IF(OR(COUNTIF('クラス'!$A$1:$A$1262,$B1407)&gt;0,$B1407="",$M1407=""),"",True)</f>
        <v>1</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8.0</v>
      </c>
      <c r="B1408" s="1"/>
      <c r="C1408" s="1"/>
      <c r="D1408" s="1"/>
      <c r="E1408" s="14"/>
      <c r="F1408" s="15"/>
      <c r="G1408" s="16"/>
      <c r="H1408" s="11"/>
      <c r="I1408" s="7"/>
      <c r="J1408" s="7" t="str">
        <f>IFERROR(LET(_xlpm.v,
VLOOKUP($I1408,'用語辞書'!$A:$B,COLUMN('用語辞書'!B$1),FALSE),
IF(_xlpm.v=0,"",_xlpm.v)
),"")</f>
        <v/>
      </c>
      <c r="K1408" s="17"/>
      <c r="L1408" s="17" t="str">
        <f>IF(OR(COUNTIF('クラス'!$A$1:$A$1262,$B1408)&gt;0,$B1408="",$M1408=""),"",True)</f>
        <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9.0</v>
      </c>
      <c r="B1409" s="1" t="s">
        <v>1706</v>
      </c>
      <c r="C1409" s="1"/>
      <c r="D1409" s="1"/>
      <c r="E1409" s="14" t="s">
        <v>55</v>
      </c>
      <c r="F1409" s="15"/>
      <c r="G1409" s="16"/>
      <c r="H1409" s="11" t="s">
        <v>1707</v>
      </c>
      <c r="I1409" s="7"/>
      <c r="J1409" s="7" t="str">
        <f>IFERROR(LET(_xlpm.v,
VLOOKUP($I1409,'用語辞書'!$A:$B,COLUMN('用語辞書'!B$1),FALSE),
IF(_xlpm.v=0,"",_xlpm.v)
),"")</f>
        <v/>
      </c>
      <c r="K1409" s="17"/>
      <c r="L1409" s="17" t="b">
        <f>IF(OR(COUNTIF('クラス'!$A$1:$A$1262,$B1409)&gt;0,$B1409="",$M1409=""),"",True)</f>
        <v>1</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10.0</v>
      </c>
      <c r="B1410" s="1"/>
      <c r="C1410" s="1"/>
      <c r="D1410" s="1"/>
      <c r="E1410" s="14"/>
      <c r="F1410" s="15"/>
      <c r="G1410" s="16"/>
      <c r="H1410" s="11"/>
      <c r="I1410" s="7"/>
      <c r="J1410" s="7" t="str">
        <f>IFERROR(LET(_xlpm.v,
VLOOKUP($I1410,'用語辞書'!$A:$B,COLUMN('用語辞書'!B$1),FALSE),
IF(_xlpm.v=0,"",_xlpm.v)
),"")</f>
        <v/>
      </c>
      <c r="K1410" s="17"/>
      <c r="L1410" s="17" t="str">
        <f>IF(OR(COUNTIF('クラス'!$A$1:$A$1262,$B1410)&gt;0,$B1410="",$M1410=""),"",True)</f>
        <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1" collapsed="1">
      <c r="A1411" s="1"/>
      <c r="B1411" s="1"/>
      <c r="C1411" s="1"/>
      <c r="D1411" s="1"/>
      <c r="E1411" s="14"/>
      <c r="F1411" s="15"/>
      <c r="G1411" s="16"/>
      <c r="H1411" s="11"/>
      <c r="I1411" s="7"/>
      <c r="J1411" s="7" t="str">
        <f>IFERROR(LET(_xlpm.v,
VLOOKUP($I1411,'用語辞書'!$A:$B,COLUMN('用語辞書'!B$1),FALSE),
IF(_xlpm.v=0,"",_xlpm.v)
),"")</f>
        <v/>
      </c>
      <c r="K1411" s="17"/>
      <c r="L1411" s="17" t="str">
        <f>IF(OR(COUNTIF('クラス'!$A$1:$A$1262,$B1411)&gt;0,$B1411="",$M1411=""),"",True)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 r="A1412" s="1"/>
      <c r="B1412" s="1"/>
      <c r="C1412" s="1"/>
      <c r="D1412" s="1"/>
      <c r="E1412" s="14"/>
      <c r="F1412" s="15"/>
      <c r="G1412" s="16"/>
      <c r="H1412" s="11"/>
      <c r="I1412" s="7"/>
      <c r="J1412" s="7" t="str">
        <f>IFERROR(LET(_xlpm.v,
VLOOKUP($I1412,'用語辞書'!$A:$B,COLUMN('用語辞書'!B$1),FALSE),
IF(_xlpm.v=0,"",_xlpm.v)
),"")</f>
        <v/>
      </c>
      <c r="K1412" s="17"/>
      <c r="L1412" s="17" t="str">
        <f>IF(OR(COUNTIF('クラス'!$A$1:$A$1262,$B1412)&gt;0,$B1412="",$M1412=""),"",True)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26" t="s">
        <v>1708</v>
      </c>
      <c r="C1413" s="1"/>
      <c r="D1413" s="1"/>
      <c r="E1413" s="14"/>
      <c r="F1413" s="15"/>
      <c r="G1413" s="16"/>
      <c r="H1413" s="11"/>
      <c r="I1413" s="7"/>
      <c r="J1413" s="7" t="str">
        <f>IFERROR(LET(_xlpm.v,
VLOOKUP($I1413,'用語辞書'!$A:$B,COLUMN('用語辞書'!B$1),FALSE),
IF(_xlpm.v=0,"",_xlpm.v)
),"")</f>
        <v/>
      </c>
      <c r="K1413" s="17"/>
      <c r="L1413" s="17" t="str">
        <f>IF(OR(COUNTIF('クラス'!$A$1:$A$1262,$B1413)&gt;0,$B1413="",$M1413=""),"",True)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2">
      <c r="A1414" s="1">
        <v>1.0</v>
      </c>
      <c r="B1414" s="26" t="s">
        <v>1709</v>
      </c>
      <c r="C1414" s="1"/>
      <c r="D1414" s="1"/>
      <c r="E1414" s="14" t="s">
        <v>33</v>
      </c>
      <c r="F1414" s="15"/>
      <c r="G1414" s="16"/>
      <c r="H1414" s="11" t="s">
        <v>1710</v>
      </c>
      <c r="I1414" s="7"/>
      <c r="J1414" s="7" t="str">
        <f>IFERROR(LET(_xlpm.v,
VLOOKUP($I1414,'用語辞書'!$A:$B,COLUMN('用語辞書'!B$1),FALSE),
IF(_xlpm.v=0,"",_xlpm.v)
),"")</f>
        <v/>
      </c>
      <c r="K1414" s="17"/>
      <c r="L1414" s="17" t="b">
        <f>IF(OR(COUNTIF('クラス'!$A$1:$A$1262,$B1414)&gt;0,$B1414="",$M1414=""),"",True)</f>
        <v>1</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2.0</v>
      </c>
      <c r="B1415" s="26"/>
      <c r="C1415" s="1"/>
      <c r="D1415" s="1"/>
      <c r="E1415" s="29"/>
      <c r="F1415" s="15"/>
      <c r="G1415" s="30"/>
      <c r="H1415" s="22"/>
      <c r="I1415" s="7"/>
      <c r="J1415" s="7" t="str">
        <f>IFERROR(LET(_xlpm.v,
VLOOKUP($I1415,'用語辞書'!$A:$B,COLUMN('用語辞書'!B$1),FALSE),
IF(_xlpm.v=0,"",_xlpm.v)
),"")</f>
        <v/>
      </c>
      <c r="K1415" s="17"/>
      <c r="L1415" s="17" t="str">
        <f>IF(OR(COUNTIF('クラス'!$A$1:$A$1262,$B1415)&gt;0,$B1415="",$M1415=""),"",True)</f>
        <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3.0</v>
      </c>
      <c r="B1416" s="26" t="s">
        <v>1711</v>
      </c>
      <c r="C1416" s="1"/>
      <c r="D1416" s="1"/>
      <c r="E1416" s="29" t="s">
        <v>33</v>
      </c>
      <c r="F1416" s="15"/>
      <c r="G1416" s="16"/>
      <c r="H1416" s="22" t="s">
        <v>1712</v>
      </c>
      <c r="I1416" s="7"/>
      <c r="J1416" s="7" t="str">
        <f>IFERROR(LET(_xlpm.v,
VLOOKUP($I1416,'用語辞書'!$A:$B,COLUMN('用語辞書'!B$1),FALSE),
IF(_xlpm.v=0,"",_xlpm.v)
),"")</f>
        <v/>
      </c>
      <c r="K1416" s="17"/>
      <c r="L1416" s="17" t="b">
        <f>IF(OR(COUNTIF('クラス'!$A$1:$A$1262,$B1416)&gt;0,$B1416="",$M1416=""),"",True)</f>
        <v>1</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4.0</v>
      </c>
      <c r="B1417" s="26"/>
      <c r="C1417" s="1"/>
      <c r="D1417" s="1"/>
      <c r="E1417" s="14"/>
      <c r="F1417" s="15"/>
      <c r="G1417" s="16"/>
      <c r="H1417" s="11"/>
      <c r="I1417" s="7"/>
      <c r="J1417" s="7" t="str">
        <f>IFERROR(LET(_xlpm.v,
VLOOKUP($I1417,'用語辞書'!$A:$B,COLUMN('用語辞書'!B$1),FALSE),
IF(_xlpm.v=0,"",_xlpm.v)
),"")</f>
        <v/>
      </c>
      <c r="K1417" s="17"/>
      <c r="L1417" s="17" t="str">
        <f>IF(OR(COUNTIF('クラス'!$A$1:$A$1262,$B1417)&gt;0,$B1417="",$M1417=""),"",True)</f>
        <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5.0</v>
      </c>
      <c r="B1418" s="26" t="s">
        <v>1713</v>
      </c>
      <c r="C1418" s="1"/>
      <c r="D1418" s="1"/>
      <c r="E1418" s="14" t="s">
        <v>55</v>
      </c>
      <c r="F1418" s="15"/>
      <c r="G1418" s="16"/>
      <c r="H1418" s="11" t="s">
        <v>1714</v>
      </c>
      <c r="I1418" s="7"/>
      <c r="J1418" s="7" t="str">
        <f>IFERROR(LET(_xlpm.v,
VLOOKUP($I1418,'用語辞書'!$A:$B,COLUMN('用語辞書'!B$1),FALSE),
IF(_xlpm.v=0,"",_xlpm.v)
),"")</f>
        <v/>
      </c>
      <c r="K1418" s="17"/>
      <c r="L1418" s="17" t="b">
        <f>IF(OR(COUNTIF('クラス'!$A$1:$A$1262,$B1418)&gt;0,$B1418="",$M1418=""),"",True)</f>
        <v>1</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6.0</v>
      </c>
      <c r="B1419" s="1" t="s">
        <v>45</v>
      </c>
      <c r="C1419" s="1"/>
      <c r="D1419" s="1"/>
      <c r="E1419" s="14"/>
      <c r="F1419" s="15"/>
      <c r="G1419" s="16"/>
      <c r="H1419" s="11"/>
      <c r="I1419" s="7"/>
      <c r="J1419" s="7" t="str">
        <f>IFERROR(LET(_xlpm.v,
VLOOKUP($I1419,'用語辞書'!$A:$B,COLUMN('用語辞書'!B$1),FALSE),
IF(_xlpm.v=0,"",_xlpm.v)
),"")</f>
        <v/>
      </c>
      <c r="K1419" s="17"/>
      <c r="L1419" s="17" t="str">
        <f>IF(OR(COUNTIF('クラス'!$A$1:$A$1262,$B1419)&gt;0,$B1419="",$M1419=""),"",True)</f>
        <v/>
      </c>
      <c r="M1419" s="1" t="str">
        <f t="shared" si="25"/>
        <v/>
      </c>
      <c r="N1419" s="1" t="s">
        <v>29</v>
      </c>
      <c r="O1419" s="1"/>
      <c r="P1419" s="11"/>
      <c r="Q1419" s="11"/>
      <c r="R1419" s="11"/>
      <c r="S1419" s="11"/>
      <c r="T1419" s="1"/>
      <c r="U1419" s="1"/>
      <c r="V1419" s="1"/>
      <c r="W1419" s="1"/>
      <c r="X1419" s="1"/>
      <c r="Y1419" s="1"/>
      <c r="Z1419" s="1"/>
    </row>
    <row r="1420" ht="18.0" hidden="1" customHeight="1" outlineLevel="2">
      <c r="A1420" s="1">
        <v>7.0</v>
      </c>
      <c r="B1420" s="26" t="s">
        <v>1715</v>
      </c>
      <c r="C1420" s="1"/>
      <c r="D1420" s="1"/>
      <c r="E1420" s="14" t="s">
        <v>55</v>
      </c>
      <c r="F1420" s="15"/>
      <c r="G1420" s="16"/>
      <c r="H1420" s="11" t="s">
        <v>1716</v>
      </c>
      <c r="I1420" s="7"/>
      <c r="J1420" s="7" t="str">
        <f>IFERROR(LET(_xlpm.v,
VLOOKUP($I1420,'用語辞書'!$A:$B,COLUMN('用語辞書'!B$1),FALSE),
IF(_xlpm.v=0,"",_xlpm.v)
),"")</f>
        <v/>
      </c>
      <c r="K1420" s="17"/>
      <c r="L1420" s="17" t="b">
        <f>IF(OR(COUNTIF('クラス'!$A$1:$A$1262,$B1420)&gt;0,$B1420="",$M1420=""),"",True)</f>
        <v>1</v>
      </c>
      <c r="M1420" s="1" t="str">
        <f t="shared" si="25"/>
        <v>存在しない</v>
      </c>
      <c r="N1420" s="1" t="s">
        <v>29</v>
      </c>
      <c r="O1420" s="1"/>
      <c r="P1420" s="11"/>
      <c r="Q1420" s="11"/>
      <c r="R1420" s="11"/>
      <c r="S1420" s="11"/>
      <c r="T1420" s="1"/>
      <c r="U1420" s="1"/>
      <c r="V1420" s="1"/>
      <c r="W1420" s="1"/>
      <c r="X1420" s="1"/>
      <c r="Y1420" s="1"/>
      <c r="Z1420" s="1"/>
    </row>
    <row r="1421" ht="18.0" hidden="1" customHeight="1" outlineLevel="2">
      <c r="A1421" s="1">
        <v>8.0</v>
      </c>
      <c r="B1421" s="1"/>
      <c r="C1421" s="1"/>
      <c r="D1421" s="1"/>
      <c r="E1421" s="14"/>
      <c r="F1421" s="15"/>
      <c r="G1421" s="16"/>
      <c r="H1421" s="11"/>
      <c r="I1421" s="7"/>
      <c r="J1421" s="7" t="str">
        <f>IFERROR(LET(_xlpm.v,
VLOOKUP($I1421,'用語辞書'!$A:$B,COLUMN('用語辞書'!B$1),FALSE),
IF(_xlpm.v=0,"",_xlpm.v)
),"")</f>
        <v/>
      </c>
      <c r="K1421" s="17"/>
      <c r="L1421" s="17" t="str">
        <f>IF(OR(COUNTIF('クラス'!$A$1:$A$1262,$B1421)&gt;0,$B1421="",$M1421=""),"",True)</f>
        <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9.0</v>
      </c>
      <c r="B1422" s="1" t="s">
        <v>1717</v>
      </c>
      <c r="C1422" s="1"/>
      <c r="D1422" s="1"/>
      <c r="E1422" s="14" t="s">
        <v>55</v>
      </c>
      <c r="F1422" s="15"/>
      <c r="G1422" s="16"/>
      <c r="H1422" s="11" t="s">
        <v>1718</v>
      </c>
      <c r="I1422" s="7"/>
      <c r="J1422" s="7" t="str">
        <f>IFERROR(LET(_xlpm.v,
VLOOKUP($I1422,'用語辞書'!$A:$B,COLUMN('用語辞書'!B$1),FALSE),
IF(_xlpm.v=0,"",_xlpm.v)
),"")</f>
        <v/>
      </c>
      <c r="K1422" s="17"/>
      <c r="L1422" s="17" t="b">
        <f>IF(OR(COUNTIF('クラス'!$A$1:$A$1262,$B1422)&gt;0,$B1422="",$M1422=""),"",True)</f>
        <v>1</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10.0</v>
      </c>
      <c r="B1423" s="1"/>
      <c r="C1423" s="1"/>
      <c r="D1423" s="1"/>
      <c r="E1423" s="14"/>
      <c r="F1423" s="15"/>
      <c r="G1423" s="16"/>
      <c r="H1423" s="11"/>
      <c r="I1423" s="7"/>
      <c r="J1423" s="7" t="str">
        <f>IFERROR(LET(_xlpm.v,
VLOOKUP($I1423,'用語辞書'!$A:$B,COLUMN('用語辞書'!B$1),FALSE),
IF(_xlpm.v=0,"",_xlpm.v)
),"")</f>
        <v/>
      </c>
      <c r="K1423" s="17"/>
      <c r="L1423" s="17" t="str">
        <f>IF(OR(COUNTIF('クラス'!$A$1:$A$1262,$B1423)&gt;0,$B1423="",$M1423=""),"",True)</f>
        <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1" collapsed="1">
      <c r="A1424" s="1"/>
      <c r="B1424" s="1"/>
      <c r="C1424" s="1"/>
      <c r="D1424" s="1"/>
      <c r="E1424" s="14"/>
      <c r="F1424" s="15"/>
      <c r="G1424" s="16"/>
      <c r="H1424" s="11"/>
      <c r="I1424" s="7"/>
      <c r="J1424" s="7" t="str">
        <f>IFERROR(LET(_xlpm.v,
VLOOKUP($I1424,'用語辞書'!$A:$B,COLUMN('用語辞書'!B$1),FALSE),
IF(_xlpm.v=0,"",_xlpm.v)
),"")</f>
        <v/>
      </c>
      <c r="K1424" s="17"/>
      <c r="L1424" s="17" t="str">
        <f>IF(OR(COUNTIF('クラス'!$A$1:$A$1262,$B1424)&gt;0,$B1424="",$M1424=""),"",True)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 r="A1425" s="1"/>
      <c r="B1425" s="1"/>
      <c r="C1425" s="1"/>
      <c r="D1425" s="1"/>
      <c r="E1425" s="14"/>
      <c r="F1425" s="15"/>
      <c r="G1425" s="16"/>
      <c r="H1425" s="11"/>
      <c r="I1425" s="7"/>
      <c r="J1425" s="7" t="str">
        <f>IFERROR(LET(_xlpm.v,
VLOOKUP($I1425,'用語辞書'!$A:$B,COLUMN('用語辞書'!B$1),FALSE),
IF(_xlpm.v=0,"",_xlpm.v)
),"")</f>
        <v/>
      </c>
      <c r="K1425" s="17"/>
      <c r="L1425" s="17" t="str">
        <f>IF(OR(COUNTIF('クラス'!$A$1:$A$1262,$B1425)&gt;0,$B1425="",$M1425=""),"",True)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26" t="s">
        <v>1719</v>
      </c>
      <c r="C1426" s="1"/>
      <c r="D1426" s="1"/>
      <c r="E1426" s="14"/>
      <c r="F1426" s="15"/>
      <c r="G1426" s="16"/>
      <c r="H1426" s="11"/>
      <c r="I1426" s="7"/>
      <c r="J1426" s="7" t="str">
        <f>IFERROR(LET(_xlpm.v,
VLOOKUP($I1426,'用語辞書'!$A:$B,COLUMN('用語辞書'!B$1),FALSE),
IF(_xlpm.v=0,"",_xlpm.v)
),"")</f>
        <v/>
      </c>
      <c r="K1426" s="17"/>
      <c r="L1426" s="17" t="str">
        <f>IF(OR(COUNTIF('クラス'!$A$1:$A$1262,$B1426)&gt;0,$B1426="",$M1426=""),"",True)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2">
      <c r="A1427" s="26">
        <v>1.0</v>
      </c>
      <c r="B1427" s="26" t="s">
        <v>1720</v>
      </c>
      <c r="C1427" s="1"/>
      <c r="D1427" s="1"/>
      <c r="E1427" s="29" t="s">
        <v>33</v>
      </c>
      <c r="F1427" s="15"/>
      <c r="G1427" s="16"/>
      <c r="H1427" s="22" t="s">
        <v>1721</v>
      </c>
      <c r="I1427" s="7"/>
      <c r="J1427" s="7" t="str">
        <f>IFERROR(LET(_xlpm.v,
VLOOKUP($I1427,'用語辞書'!$A:$B,COLUMN('用語辞書'!B$1),FALSE),
IF(_xlpm.v=0,"",_xlpm.v)
),"")</f>
        <v/>
      </c>
      <c r="K1427" s="17"/>
      <c r="L1427" s="17" t="b">
        <f>IF(OR(COUNTIF('クラス'!$A$1:$A$1262,$B1427)&gt;0,$B1427="",$M1427=""),"",True)</f>
        <v>1</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2.0</v>
      </c>
      <c r="B1428" s="1"/>
      <c r="C1428" s="1"/>
      <c r="D1428" s="1"/>
      <c r="E1428" s="14"/>
      <c r="F1428" s="15"/>
      <c r="G1428" s="16"/>
      <c r="H1428" s="11"/>
      <c r="I1428" s="7"/>
      <c r="J1428" s="7" t="str">
        <f>IFERROR(LET(_xlpm.v,
VLOOKUP($I1428,'用語辞書'!$A:$B,COLUMN('用語辞書'!B$1),FALSE),
IF(_xlpm.v=0,"",_xlpm.v)
),"")</f>
        <v/>
      </c>
      <c r="K1428" s="17"/>
      <c r="L1428" s="17" t="str">
        <f>IF(OR(COUNTIF('クラス'!$A$1:$A$1262,$B1428)&gt;0,$B1428="",$M1428=""),"",True)</f>
        <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3.0</v>
      </c>
      <c r="B1429" s="26" t="s">
        <v>1722</v>
      </c>
      <c r="C1429" s="1"/>
      <c r="D1429" s="1"/>
      <c r="E1429" s="29" t="s">
        <v>33</v>
      </c>
      <c r="F1429" s="15"/>
      <c r="G1429" s="16"/>
      <c r="H1429" s="22" t="s">
        <v>1723</v>
      </c>
      <c r="I1429" s="7"/>
      <c r="J1429" s="7" t="str">
        <f>IFERROR(LET(_xlpm.v,
VLOOKUP($I1429,'用語辞書'!$A:$B,COLUMN('用語辞書'!B$1),FALSE),
IF(_xlpm.v=0,"",_xlpm.v)
),"")</f>
        <v/>
      </c>
      <c r="K1429" s="17"/>
      <c r="L1429" s="17" t="b">
        <f>IF(OR(COUNTIF('クラス'!$A$1:$A$1262,$B1429)&gt;0,$B1429="",$M1429=""),"",True)</f>
        <v>1</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4.0</v>
      </c>
      <c r="B1430" s="26"/>
      <c r="C1430" s="1"/>
      <c r="D1430" s="1"/>
      <c r="E1430" s="29"/>
      <c r="F1430" s="15"/>
      <c r="G1430" s="30"/>
      <c r="H1430" s="22"/>
      <c r="I1430" s="7"/>
      <c r="J1430" s="7" t="str">
        <f>IFERROR(LET(_xlpm.v,
VLOOKUP($I1430,'用語辞書'!$A:$B,COLUMN('用語辞書'!B$1),FALSE),
IF(_xlpm.v=0,"",_xlpm.v)
),"")</f>
        <v/>
      </c>
      <c r="K1430" s="17"/>
      <c r="L1430" s="17" t="str">
        <f>IF(OR(COUNTIF('クラス'!$A$1:$A$1262,$B1430)&gt;0,$B1430="",$M1430=""),"",True)</f>
        <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5.0</v>
      </c>
      <c r="B1431" s="26" t="s">
        <v>1724</v>
      </c>
      <c r="C1431" s="1"/>
      <c r="D1431" s="1"/>
      <c r="E1431" s="29" t="s">
        <v>55</v>
      </c>
      <c r="F1431" s="15"/>
      <c r="G1431" s="16"/>
      <c r="H1431" s="22" t="s">
        <v>1725</v>
      </c>
      <c r="I1431" s="7"/>
      <c r="J1431" s="7" t="str">
        <f>IFERROR(LET(_xlpm.v,
VLOOKUP($I1431,'用語辞書'!$A:$B,COLUMN('用語辞書'!B$1),FALSE),
IF(_xlpm.v=0,"",_xlpm.v)
),"")</f>
        <v/>
      </c>
      <c r="K1431" s="17"/>
      <c r="L1431" s="17" t="b">
        <f>IF(OR(COUNTIF('クラス'!$A$1:$A$1262,$B1431)&gt;0,$B1431="",$M1431=""),"",True)</f>
        <v>1</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6.0</v>
      </c>
      <c r="B1432" s="26" t="s">
        <v>39</v>
      </c>
      <c r="C1432" s="1"/>
      <c r="D1432" s="1"/>
      <c r="E1432" s="14"/>
      <c r="F1432" s="15"/>
      <c r="G1432" s="16"/>
      <c r="H1432" s="11"/>
      <c r="I1432" s="7"/>
      <c r="J1432" s="7" t="str">
        <f>IFERROR(LET(_xlpm.v,
VLOOKUP($I1432,'用語辞書'!$A:$B,COLUMN('用語辞書'!B$1),FALSE),
IF(_xlpm.v=0,"",_xlpm.v)
),"")</f>
        <v/>
      </c>
      <c r="K1432" s="17"/>
      <c r="L1432" s="17" t="str">
        <f>IF(OR(COUNTIF('クラス'!$A$1:$A$1262,$B1432)&gt;0,$B1432="",$M1432=""),"",True)</f>
        <v/>
      </c>
      <c r="M1432" s="1" t="str">
        <f t="shared" si="25"/>
        <v/>
      </c>
      <c r="N1432" s="1" t="s">
        <v>29</v>
      </c>
      <c r="O1432" s="1"/>
      <c r="P1432" s="11"/>
      <c r="Q1432" s="11"/>
      <c r="R1432" s="11"/>
      <c r="S1432" s="11"/>
      <c r="T1432" s="1"/>
      <c r="U1432" s="1"/>
      <c r="V1432" s="1"/>
      <c r="W1432" s="1"/>
      <c r="X1432" s="1"/>
      <c r="Y1432" s="1"/>
      <c r="Z1432" s="1"/>
    </row>
    <row r="1433" ht="18.0" hidden="1" customHeight="1" outlineLevel="2">
      <c r="A1433" s="26">
        <v>7.0</v>
      </c>
      <c r="B1433" s="26" t="s">
        <v>1726</v>
      </c>
      <c r="C1433" s="1"/>
      <c r="D1433" s="1"/>
      <c r="E1433" s="29" t="s">
        <v>55</v>
      </c>
      <c r="F1433" s="15"/>
      <c r="G1433" s="16"/>
      <c r="H1433" s="22" t="s">
        <v>1727</v>
      </c>
      <c r="I1433" s="7"/>
      <c r="J1433" s="7" t="str">
        <f>IFERROR(LET(_xlpm.v,
VLOOKUP($I1433,'用語辞書'!$A:$B,COLUMN('用語辞書'!B$1),FALSE),
IF(_xlpm.v=0,"",_xlpm.v)
),"")</f>
        <v/>
      </c>
      <c r="K1433" s="17"/>
      <c r="L1433" s="17" t="b">
        <f>IF(OR(COUNTIF('クラス'!$A$1:$A$1262,$B1433)&gt;0,$B1433="",$M1433=""),"",True)</f>
        <v>1</v>
      </c>
      <c r="M1433" s="1" t="str">
        <f t="shared" si="25"/>
        <v>存在しない</v>
      </c>
      <c r="N1433" s="1" t="s">
        <v>29</v>
      </c>
      <c r="O1433" s="1"/>
      <c r="P1433" s="11"/>
      <c r="Q1433" s="11"/>
      <c r="R1433" s="11"/>
      <c r="S1433" s="11"/>
      <c r="T1433" s="1"/>
      <c r="U1433" s="1"/>
      <c r="V1433" s="1"/>
      <c r="W1433" s="1"/>
      <c r="X1433" s="1"/>
      <c r="Y1433" s="1"/>
      <c r="Z1433" s="1"/>
    </row>
    <row r="1434" ht="18.0" hidden="1" customHeight="1" outlineLevel="2">
      <c r="A1434" s="26">
        <v>8.0</v>
      </c>
      <c r="B1434" s="1"/>
      <c r="C1434" s="1"/>
      <c r="D1434" s="1"/>
      <c r="E1434" s="14"/>
      <c r="F1434" s="15"/>
      <c r="G1434" s="16"/>
      <c r="H1434" s="11"/>
      <c r="I1434" s="7"/>
      <c r="J1434" s="7" t="str">
        <f>IFERROR(LET(_xlpm.v,
VLOOKUP($I1434,'用語辞書'!$A:$B,COLUMN('用語辞書'!B$1),FALSE),
IF(_xlpm.v=0,"",_xlpm.v)
),"")</f>
        <v/>
      </c>
      <c r="K1434" s="17"/>
      <c r="L1434" s="17" t="str">
        <f>IF(OR(COUNTIF('クラス'!$A$1:$A$1262,$B1434)&gt;0,$B1434="",$M1434=""),"",True)</f>
        <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9.0</v>
      </c>
      <c r="B1435" s="26" t="s">
        <v>1728</v>
      </c>
      <c r="C1435" s="1"/>
      <c r="D1435" s="1"/>
      <c r="E1435" s="29" t="s">
        <v>55</v>
      </c>
      <c r="F1435" s="15"/>
      <c r="G1435" s="16"/>
      <c r="H1435" s="22" t="s">
        <v>1729</v>
      </c>
      <c r="I1435" s="7"/>
      <c r="J1435" s="7" t="str">
        <f>IFERROR(LET(_xlpm.v,
VLOOKUP($I1435,'用語辞書'!$A:$B,COLUMN('用語辞書'!B$1),FALSE),
IF(_xlpm.v=0,"",_xlpm.v)
),"")</f>
        <v/>
      </c>
      <c r="K1435" s="17"/>
      <c r="L1435" s="17" t="b">
        <f>IF(OR(COUNTIF('クラス'!$A$1:$A$1262,$B1435)&gt;0,$B1435="",$M1435=""),"",True)</f>
        <v>1</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10.0</v>
      </c>
      <c r="B1436" s="1"/>
      <c r="C1436" s="1"/>
      <c r="D1436" s="1"/>
      <c r="E1436" s="14"/>
      <c r="F1436" s="15"/>
      <c r="G1436" s="16"/>
      <c r="H1436" s="11"/>
      <c r="I1436" s="7"/>
      <c r="J1436" s="7" t="str">
        <f>IFERROR(LET(_xlpm.v,
VLOOKUP($I1436,'用語辞書'!$A:$B,COLUMN('用語辞書'!B$1),FALSE),
IF(_xlpm.v=0,"",_xlpm.v)
),"")</f>
        <v/>
      </c>
      <c r="K1436" s="17"/>
      <c r="L1436" s="17" t="str">
        <f>IF(OR(COUNTIF('クラス'!$A$1:$A$1262,$B1436)&gt;0,$B1436="",$M1436=""),"",True)</f>
        <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1"/>
      <c r="B1437" s="1"/>
      <c r="C1437" s="1"/>
      <c r="D1437" s="1"/>
      <c r="E1437" s="14"/>
      <c r="F1437" s="15"/>
      <c r="G1437" s="16"/>
      <c r="H1437" s="11"/>
      <c r="I1437" s="7"/>
      <c r="J1437" s="7" t="str">
        <f>IFERROR(LET(_xlpm.v,
VLOOKUP($I1437,'用語辞書'!$A:$B,COLUMN('用語辞書'!B$1),FALSE),
IF(_xlpm.v=0,"",_xlpm.v)
),"")</f>
        <v/>
      </c>
      <c r="K1437" s="17"/>
      <c r="L1437" s="17" t="str">
        <f>IF(OR(COUNTIF('クラス'!$A$1:$A$1262,$B1437)&gt;0,$B1437="",$M1437=""),"",True)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1" collapsed="1">
      <c r="A1438" s="1"/>
      <c r="B1438" s="1"/>
      <c r="C1438" s="1"/>
      <c r="D1438" s="1"/>
      <c r="E1438" s="14"/>
      <c r="F1438" s="15"/>
      <c r="G1438" s="16"/>
      <c r="H1438" s="11"/>
      <c r="I1438" s="7"/>
      <c r="J1438" s="7" t="str">
        <f>IFERROR(LET(_xlpm.v,
VLOOKUP($I1438,'用語辞書'!$A:$B,COLUMN('用語辞書'!B$1),FALSE),
IF(_xlpm.v=0,"",_xlpm.v)
),"")</f>
        <v/>
      </c>
      <c r="K1438" s="17"/>
      <c r="L1438" s="17" t="str">
        <f>IF(OR(COUNTIF('クラス'!$A$1:$A$1262,$B1438)&gt;0,$B1438="",$M1438=""),"",True)</f>
        <v/>
      </c>
      <c r="M1438" s="1" t="str">
        <f t="shared" si="25"/>
        <v>存在しない</v>
      </c>
      <c r="N1438" s="1" t="s">
        <v>29</v>
      </c>
      <c r="O1438" s="1"/>
      <c r="P1438" s="11"/>
      <c r="Q1438" s="11"/>
      <c r="R1438" s="11"/>
      <c r="S1438" s="11"/>
      <c r="T1438" s="1"/>
      <c r="U1438" s="1"/>
      <c r="V1438" s="1"/>
      <c r="W1438" s="1"/>
      <c r="X1438" s="1"/>
      <c r="Y1438" s="1"/>
      <c r="Z1438" s="1"/>
    </row>
    <row r="1439" ht="18.0" customHeight="1" outlineLevel="1">
      <c r="A1439" s="1"/>
      <c r="B1439" s="26" t="s">
        <v>1730</v>
      </c>
      <c r="C1439" s="1"/>
      <c r="D1439" s="1"/>
      <c r="E1439" s="14"/>
      <c r="F1439" s="15"/>
      <c r="G1439" s="16"/>
      <c r="H1439" s="11"/>
      <c r="I1439" s="7"/>
      <c r="J1439" s="7" t="str">
        <f>IFERROR(LET(_xlpm.v,
VLOOKUP($I1439,'用語辞書'!$A:$B,COLUMN('用語辞書'!B$1),FALSE),
IF(_xlpm.v=0,"",_xlpm.v)
),"")</f>
        <v/>
      </c>
      <c r="K1439" s="17"/>
      <c r="L1439" s="17" t="str">
        <f>IF(OR(COUNTIF('クラス'!$A$1:$A$1262,$B1439)&gt;0,$B1439="",$M1439=""),"",True)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2">
      <c r="A1440" s="27" t="s">
        <v>1731</v>
      </c>
      <c r="B1440" s="26" t="s">
        <v>1732</v>
      </c>
      <c r="C1440" s="1"/>
      <c r="D1440" s="1"/>
      <c r="E1440" s="29" t="s">
        <v>33</v>
      </c>
      <c r="F1440" s="15"/>
      <c r="G1440" s="30">
        <v>40.0</v>
      </c>
      <c r="H1440" s="22" t="s">
        <v>1733</v>
      </c>
      <c r="I1440" s="7"/>
      <c r="J1440" s="32" t="s">
        <v>1734</v>
      </c>
      <c r="K1440" s="17"/>
      <c r="L1440" s="17" t="b">
        <f>IF(OR(COUNTIF('クラス'!$A$1:$A$1262,$B1440)&gt;0,$B1440="",$M1440=""),"",True)</f>
        <v>1</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1735</v>
      </c>
      <c r="B1441" s="1"/>
      <c r="C1441" s="1"/>
      <c r="D1441" s="1"/>
      <c r="E1441" s="14"/>
      <c r="F1441" s="15"/>
      <c r="G1441" s="16"/>
      <c r="H1441" s="11"/>
      <c r="I1441" s="7"/>
      <c r="J1441" s="7" t="str">
        <f>IFERROR(LET(_xlpm.v,
VLOOKUP($I1441,'用語辞書'!$A:$B,COLUMN('用語辞書'!B$1),FALSE),
IF(_xlpm.v=0,"",_xlpm.v)
),"")</f>
        <v/>
      </c>
      <c r="K1441" s="17"/>
      <c r="L1441" s="17" t="str">
        <f>IF(OR(COUNTIF('クラス'!$A$1:$A$1262,$B1441)&gt;0,$B1441="",$M1441=""),"",True)</f>
        <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1736</v>
      </c>
      <c r="B1442" s="26" t="s">
        <v>1737</v>
      </c>
      <c r="C1442" s="1"/>
      <c r="D1442" s="1"/>
      <c r="E1442" s="29" t="s">
        <v>55</v>
      </c>
      <c r="F1442" s="15"/>
      <c r="G1442" s="16"/>
      <c r="H1442" s="22" t="s">
        <v>1738</v>
      </c>
      <c r="I1442" s="7"/>
      <c r="J1442" s="32" t="s">
        <v>1739</v>
      </c>
      <c r="K1442" s="17"/>
      <c r="L1442" s="17" t="b">
        <f>IF(OR(COUNTIF('クラス'!$A$1:$A$1262,$B1442)&gt;0,$B1442="",$M1442=""),"",True)</f>
        <v>1</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1740</v>
      </c>
      <c r="B1443" s="26"/>
      <c r="C1443" s="1"/>
      <c r="D1443" s="1"/>
      <c r="E1443" s="29"/>
      <c r="F1443" s="15"/>
      <c r="G1443" s="30"/>
      <c r="H1443" s="22"/>
      <c r="I1443" s="7"/>
      <c r="J1443" s="7" t="str">
        <f>IFERROR(LET(_xlpm.v,
VLOOKUP($I1443,'用語辞書'!$A:$B,COLUMN('用語辞書'!B$1),FALSE),
IF(_xlpm.v=0,"",_xlpm.v)
),"")</f>
        <v/>
      </c>
      <c r="K1443" s="17"/>
      <c r="L1443" s="17" t="str">
        <f>IF(OR(COUNTIF('クラス'!$A$1:$A$1262,$B1443)&gt;0,$B1443="",$M1443=""),"",True)</f>
        <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1741</v>
      </c>
      <c r="B1444" s="26" t="s">
        <v>1742</v>
      </c>
      <c r="C1444" s="1"/>
      <c r="D1444" s="1"/>
      <c r="E1444" s="29" t="s">
        <v>33</v>
      </c>
      <c r="F1444" s="15"/>
      <c r="G1444" s="30">
        <v>60.0</v>
      </c>
      <c r="H1444" s="22" t="s">
        <v>1743</v>
      </c>
      <c r="I1444" s="7"/>
      <c r="J1444" s="32" t="s">
        <v>1744</v>
      </c>
      <c r="K1444" s="17"/>
      <c r="L1444" s="17" t="b">
        <f>IF(OR(COUNTIF('クラス'!$A$1:$A$1262,$B1444)&gt;0,$B1444="",$M1444=""),"",True)</f>
        <v>1</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1745</v>
      </c>
      <c r="B1445" s="26"/>
      <c r="C1445" s="1"/>
      <c r="D1445" s="1"/>
      <c r="E1445" s="14"/>
      <c r="F1445" s="15"/>
      <c r="G1445" s="16"/>
      <c r="H1445" s="11"/>
      <c r="I1445" s="7"/>
      <c r="J1445" s="7" t="str">
        <f>IFERROR(LET(_xlpm.v,
VLOOKUP($I1445,'用語辞書'!$A:$B,COLUMN('用語辞書'!B$1),FALSE),
IF(_xlpm.v=0,"",_xlpm.v)
),"")</f>
        <v/>
      </c>
      <c r="K1445" s="17"/>
      <c r="L1445" s="17" t="str">
        <f>IF(OR(COUNTIF('クラス'!$A$1:$A$1262,$B1445)&gt;0,$B1445="",$M1445=""),"",True)</f>
        <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1746</v>
      </c>
      <c r="B1446" s="26" t="s">
        <v>1747</v>
      </c>
      <c r="C1446" s="1"/>
      <c r="D1446" s="1"/>
      <c r="E1446" s="29" t="s">
        <v>55</v>
      </c>
      <c r="F1446" s="15"/>
      <c r="G1446" s="16"/>
      <c r="H1446" s="22" t="s">
        <v>1748</v>
      </c>
      <c r="I1446" s="7"/>
      <c r="J1446" s="32" t="s">
        <v>1749</v>
      </c>
      <c r="K1446" s="17"/>
      <c r="L1446" s="17" t="b">
        <f>IF(OR(COUNTIF('クラス'!$A$1:$A$1262,$B1446)&gt;0,$B1446="",$M1446=""),"",True)</f>
        <v>1</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1750</v>
      </c>
      <c r="B1447" s="1"/>
      <c r="C1447" s="1"/>
      <c r="D1447" s="1"/>
      <c r="E1447" s="14"/>
      <c r="F1447" s="15"/>
      <c r="G1447" s="16"/>
      <c r="H1447" s="11"/>
      <c r="I1447" s="7"/>
      <c r="J1447" s="7" t="str">
        <f>IFERROR(LET(_xlpm.v,
VLOOKUP($I1447,'用語辞書'!$A:$B,COLUMN('用語辞書'!B$1),FALSE),
IF(_xlpm.v=0,"",_xlpm.v)
),"")</f>
        <v/>
      </c>
      <c r="K1447" s="17"/>
      <c r="L1447" s="17" t="str">
        <f>IF(OR(COUNTIF('クラス'!$A$1:$A$1262,$B1447)&gt;0,$B1447="",$M1447=""),"",True)</f>
        <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1751</v>
      </c>
      <c r="B1448" s="26" t="s">
        <v>1752</v>
      </c>
      <c r="C1448" s="1"/>
      <c r="D1448" s="1"/>
      <c r="E1448" s="29" t="s">
        <v>33</v>
      </c>
      <c r="F1448" s="15"/>
      <c r="G1448" s="30">
        <v>60.0</v>
      </c>
      <c r="H1448" s="22" t="s">
        <v>1753</v>
      </c>
      <c r="I1448" s="7"/>
      <c r="J1448" s="32" t="s">
        <v>1754</v>
      </c>
      <c r="K1448" s="17"/>
      <c r="L1448" s="17" t="b">
        <f>IF(OR(COUNTIF('クラス'!$A$1:$A$1262,$B1448)&gt;0,$B1448="",$M1448=""),"",True)</f>
        <v>1</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1755</v>
      </c>
      <c r="B1449" s="26" t="s">
        <v>1756</v>
      </c>
      <c r="C1449" s="1"/>
      <c r="D1449" s="1"/>
      <c r="E1449" s="29" t="s">
        <v>55</v>
      </c>
      <c r="F1449" s="15"/>
      <c r="G1449" s="30"/>
      <c r="H1449" s="22" t="s">
        <v>1757</v>
      </c>
      <c r="I1449" s="7"/>
      <c r="J1449" s="32" t="s">
        <v>1758</v>
      </c>
      <c r="K1449" s="17"/>
      <c r="L1449" s="17" t="b">
        <f>IF(OR(COUNTIF('クラス'!$A$1:$A$1262,$B1449)&gt;0,$B1449="",$M1449=""),"",True)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1" collapsed="1">
      <c r="A1450" s="1"/>
      <c r="B1450" s="1"/>
      <c r="C1450" s="1"/>
      <c r="D1450" s="1"/>
      <c r="E1450" s="14"/>
      <c r="F1450" s="15"/>
      <c r="G1450" s="16"/>
      <c r="H1450" s="11"/>
      <c r="I1450" s="7"/>
      <c r="J1450" s="7" t="str">
        <f>IFERROR(LET(_xlpm.v,
VLOOKUP($I1450,'用語辞書'!$A:$B,COLUMN('用語辞書'!B$1),FALSE),
IF(_xlpm.v=0,"",_xlpm.v)
),"")</f>
        <v/>
      </c>
      <c r="K1450" s="17"/>
      <c r="L1450" s="17" t="str">
        <f>IF(OR(COUNTIF('クラス'!$A$1:$A$1262,$B1450)&gt;0,$B1450="",$M1450=""),"",True)</f>
        <v/>
      </c>
      <c r="M1450" s="1" t="str">
        <f t="shared" si="25"/>
        <v>存在しない</v>
      </c>
      <c r="N1450" s="1" t="s">
        <v>29</v>
      </c>
      <c r="O1450" s="1"/>
      <c r="P1450" s="11"/>
      <c r="Q1450" s="11"/>
      <c r="R1450" s="11"/>
      <c r="S1450" s="11"/>
      <c r="T1450" s="1"/>
      <c r="U1450" s="1"/>
      <c r="V1450" s="1"/>
      <c r="W1450" s="1"/>
      <c r="X1450" s="1"/>
      <c r="Y1450" s="1"/>
      <c r="Z1450" s="1"/>
    </row>
    <row r="1451" ht="18.0" customHeight="1" outlineLevel="1">
      <c r="A1451" s="1"/>
      <c r="B1451" s="1"/>
      <c r="C1451" s="1"/>
      <c r="D1451" s="1"/>
      <c r="E1451" s="14"/>
      <c r="F1451" s="15"/>
      <c r="G1451" s="16"/>
      <c r="H1451" s="11"/>
      <c r="I1451" s="7"/>
      <c r="J1451" s="7" t="str">
        <f>IFERROR(LET(_xlpm.v,
VLOOKUP($I1451,'用語辞書'!$A:$B,COLUMN('用語辞書'!B$1),FALSE),
IF(_xlpm.v=0,"",_xlpm.v)
),"")</f>
        <v/>
      </c>
      <c r="K1451" s="17"/>
      <c r="L1451" s="17" t="str">
        <f>IF(OR(COUNTIF('クラス'!$A$1:$A$1262,$B1451)&gt;0,$B1451="",$M1451=""),"",True)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collapsed="1">
      <c r="A1452" s="1"/>
      <c r="B1452" s="1"/>
      <c r="C1452" s="26" t="s">
        <v>1759</v>
      </c>
      <c r="D1452" s="1"/>
      <c r="E1452" s="14"/>
      <c r="F1452" s="15"/>
      <c r="G1452" s="16"/>
      <c r="H1452" s="11"/>
      <c r="I1452" s="7"/>
      <c r="J1452" s="7" t="str">
        <f>IFERROR(LET(_xlpm.v,
VLOOKUP($I1452,'用語辞書'!$A:$B,COLUMN('用語辞書'!B$1),FALSE),
IF(_xlpm.v=0,"",_xlpm.v)
),"")</f>
        <v/>
      </c>
      <c r="K1452" s="17"/>
      <c r="L1452" s="17" t="str">
        <f>IF(OR(COUNTIF('クラス'!$A$1:$A$1262,$B1452)&gt;0,$B1452="",$M1452=""),"",True)</f>
        <v/>
      </c>
      <c r="M1452" s="1" t="str">
        <f>IF(COUNTIF($B$1:$C1150, $B1452), "", "存在しない")</f>
        <v>存在しない</v>
      </c>
      <c r="N1452" s="1" t="s">
        <v>29</v>
      </c>
      <c r="O1452" s="1"/>
      <c r="P1452" s="11"/>
      <c r="Q1452" s="11"/>
      <c r="R1452" s="11"/>
      <c r="S1452" s="11"/>
      <c r="T1452" s="1"/>
      <c r="U1452" s="1"/>
      <c r="V1452" s="1"/>
      <c r="W1452" s="1"/>
      <c r="X1452" s="1"/>
      <c r="Y1452" s="1"/>
      <c r="Z1452" s="1"/>
    </row>
    <row r="1453" ht="18.0" customHeight="1" outlineLevel="1">
      <c r="A1453" s="1"/>
      <c r="B1453" s="37" t="s">
        <v>1760</v>
      </c>
      <c r="C1453" s="1"/>
      <c r="D1453" s="38" t="s">
        <v>284</v>
      </c>
      <c r="E1453" s="14" t="s">
        <v>282</v>
      </c>
      <c r="F1453" s="15"/>
      <c r="G1453" s="16"/>
      <c r="H1453" s="11"/>
      <c r="I1453" s="7"/>
      <c r="J1453" s="7" t="str">
        <f>IFERROR(LET(_xlpm.v,
VLOOKUP($I1453,'用語辞書'!$A:$B,COLUMN('用語辞書'!B$1),FALSE),
IF(_xlpm.v=0,"",_xlpm.v)
),"")</f>
        <v/>
      </c>
      <c r="K1453" s="17"/>
      <c r="L1453" s="17" t="str">
        <f>IF(OR(COUNTIF('クラス'!$A$1:$A$1262,$B1453)&gt;0,$B1453="",$M1453=""),"",True)</f>
        <v/>
      </c>
      <c r="M1453" s="1" t="str">
        <f t="shared" ref="M1453:M1530" si="26">IF(COUNTIF($B$1:$C1452,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tr">
        <f>D1453&amp;"の適用"</f>
        <v>炎の適用</v>
      </c>
      <c r="C1454" s="1"/>
      <c r="D1454" s="38"/>
      <c r="E1454" s="14" t="s">
        <v>55</v>
      </c>
      <c r="F1454" s="15"/>
      <c r="G1454" s="16"/>
      <c r="H1454" s="11" t="str">
        <f>D1453&amp;"耐性+30"</f>
        <v>炎耐性+30</v>
      </c>
      <c r="I1454" s="7"/>
      <c r="J1454" s="7" t="str">
        <f>IFERROR(LET(_xlpm.v,
VLOOKUP($I1454,'用語辞書'!$A:$B,COLUMN('用語辞書'!B$1),FALSE),
IF(_xlpm.v=0,"",_xlpm.v)
),"")</f>
        <v/>
      </c>
      <c r="K1454" s="17"/>
      <c r="L1454" s="17" t="b">
        <f>IF(OR(COUNTIF('クラス'!$A$1:$A$1262,$B1454)&gt;0,$B1454="",$M1454=""),"",True)</f>
        <v>1</v>
      </c>
      <c r="M1454" s="1" t="str">
        <f t="shared" si="26"/>
        <v>存在しない</v>
      </c>
      <c r="N1454" s="1" t="e">
        <v>#VALUE!</v>
      </c>
      <c r="O1454" s="1"/>
      <c r="P1454" s="11"/>
      <c r="Q1454" s="11"/>
      <c r="R1454" s="11"/>
      <c r="S1454" s="11"/>
      <c r="T1454" s="1"/>
      <c r="U1454" s="1"/>
      <c r="V1454" s="1"/>
      <c r="W1454" s="1"/>
      <c r="X1454" s="1"/>
      <c r="Y1454" s="1"/>
      <c r="Z1454" s="1"/>
    </row>
    <row r="1455" ht="18.0" hidden="1" customHeight="1" outlineLevel="2">
      <c r="A1455" s="1">
        <v>2.0</v>
      </c>
      <c r="B1455" s="26" t="s">
        <v>282</v>
      </c>
      <c r="C1455" s="1"/>
      <c r="D1455" s="38"/>
      <c r="E1455" s="14"/>
      <c r="F1455" s="15"/>
      <c r="G1455" s="16"/>
      <c r="H1455" s="11"/>
      <c r="I1455" s="7"/>
      <c r="J1455" s="7" t="str">
        <f>IFERROR(LET(_xlpm.v,
VLOOKUP($I1455,'用語辞書'!$A:$B,COLUMN('用語辞書'!B$1),FALSE),
IF(_xlpm.v=0,"",_xlpm.v)
),"")</f>
        <v/>
      </c>
      <c r="K1455" s="17"/>
      <c r="L1455" s="17" t="str">
        <f>IF(OR(COUNTIF('クラス'!$A$1:$A$1262,$B1455)&gt;0,$B1455="",$M1455=""),"",True)</f>
        <v/>
      </c>
      <c r="M1455" s="1" t="str">
        <f t="shared" si="26"/>
        <v/>
      </c>
      <c r="N1455" s="1" t="s">
        <v>29</v>
      </c>
      <c r="O1455" s="1"/>
      <c r="P1455" s="11"/>
      <c r="Q1455" s="11"/>
      <c r="R1455" s="11"/>
      <c r="S1455" s="11"/>
      <c r="T1455" s="1"/>
      <c r="U1455" s="1"/>
      <c r="V1455" s="1"/>
      <c r="W1455" s="1"/>
      <c r="X1455" s="1"/>
      <c r="Y1455" s="1"/>
      <c r="Z1455" s="1"/>
    </row>
    <row r="1456" ht="18.0" hidden="1" customHeight="1" outlineLevel="2">
      <c r="A1456" s="1">
        <v>3.0</v>
      </c>
      <c r="B1456" s="1" t="str">
        <f>D1453&amp;"の体"</f>
        <v>炎の体</v>
      </c>
      <c r="C1456" s="1"/>
      <c r="D1456" s="38"/>
      <c r="E1456" s="14" t="s">
        <v>33</v>
      </c>
      <c r="F1456" s="15">
        <v>5.0</v>
      </c>
      <c r="G1456" s="16">
        <v>20.0</v>
      </c>
      <c r="H1456" s="11" t="str">
        <f>"効果時間6t 攻撃手段:肉体 "&amp;D1453&amp;"+15 判定:攻撃"</f>
        <v>効果時間6t 攻撃手段:肉体 炎+15 判定:攻撃</v>
      </c>
      <c r="I1456" s="7"/>
      <c r="J1456" s="7" t="str">
        <f>IFERROR(LET(_xlpm.v,
VLOOKUP($I1456,'用語辞書'!$A:$B,COLUMN('用語辞書'!B$1),FALSE),
IF(_xlpm.v=0,"",_xlpm.v)
),"")</f>
        <v/>
      </c>
      <c r="K1456" s="17"/>
      <c r="L1456" s="17" t="b">
        <f>IF(OR(COUNTIF('クラス'!$A$1:$A$1262,$B1456)&gt;0,$B1456="",$M1456=""),"",True)</f>
        <v>1</v>
      </c>
      <c r="M1456" s="1" t="str">
        <f t="shared" si="26"/>
        <v>存在しない</v>
      </c>
      <c r="N1456" s="1" t="e">
        <v>#VALUE!</v>
      </c>
      <c r="O1456" s="1"/>
      <c r="P1456" s="11"/>
      <c r="Q1456" s="11"/>
      <c r="R1456" s="11"/>
      <c r="S1456" s="11"/>
      <c r="T1456" s="1"/>
      <c r="U1456" s="1"/>
      <c r="V1456" s="1"/>
      <c r="W1456" s="1"/>
      <c r="X1456" s="1"/>
      <c r="Y1456" s="1"/>
      <c r="Z1456" s="1"/>
    </row>
    <row r="1457" ht="18.0" hidden="1" customHeight="1" outlineLevel="2">
      <c r="A1457" s="1">
        <v>4.0</v>
      </c>
      <c r="B1457" s="1"/>
      <c r="C1457" s="1"/>
      <c r="D1457" s="38"/>
      <c r="E1457" s="14"/>
      <c r="F1457" s="15"/>
      <c r="G1457" s="16"/>
      <c r="H1457" s="11"/>
      <c r="I1457" s="7"/>
      <c r="J1457" s="7" t="str">
        <f>IFERROR(LET(_xlpm.v,
VLOOKUP($I1457,'用語辞書'!$A:$B,COLUMN('用語辞書'!B$1),FALSE),
IF(_xlpm.v=0,"",_xlpm.v)
),"")</f>
        <v/>
      </c>
      <c r="K1457" s="17"/>
      <c r="L1457" s="17" t="str">
        <f>IF(OR(COUNTIF('クラス'!$A$1:$A$1262,$B1457)&gt;0,$B1457="",$M1457=""),"",True)</f>
        <v/>
      </c>
      <c r="M1457" s="1" t="str">
        <f t="shared" si="26"/>
        <v>存在しない</v>
      </c>
      <c r="N1457" s="1" t="s">
        <v>29</v>
      </c>
      <c r="O1457" s="1"/>
      <c r="P1457" s="11"/>
      <c r="Q1457" s="11"/>
      <c r="R1457" s="11"/>
      <c r="S1457" s="11"/>
      <c r="T1457" s="1"/>
      <c r="U1457" s="1"/>
      <c r="V1457" s="1"/>
      <c r="W1457" s="1"/>
      <c r="X1457" s="1"/>
      <c r="Y1457" s="1"/>
      <c r="Z1457" s="1"/>
    </row>
    <row r="1458" ht="18.0" hidden="1" customHeight="1" outlineLevel="2">
      <c r="A1458" s="1">
        <v>5.0</v>
      </c>
      <c r="B1458" s="26" t="s">
        <v>1500</v>
      </c>
      <c r="C1458" s="1"/>
      <c r="D1458" s="38"/>
      <c r="E1458" s="29" t="s">
        <v>55</v>
      </c>
      <c r="F1458" s="15"/>
      <c r="G1458" s="16"/>
      <c r="H1458" s="22" t="s">
        <v>1761</v>
      </c>
      <c r="I1458" s="32"/>
      <c r="J1458" s="7" t="str">
        <f>IFERROR(LET(_xlpm.v,
VLOOKUP($I1458,'用語辞書'!$A:$B,COLUMN('用語辞書'!B$1),FALSE),
IF(_xlpm.v=0,"",_xlpm.v)
),"")</f>
        <v/>
      </c>
      <c r="K1458" s="17"/>
      <c r="L1458" s="17" t="str">
        <f>IF(OR(COUNTIF('クラス'!$A$1:$A$1262,$B1458)&gt;0,$B1458="",$M1458=""),"",True)</f>
        <v/>
      </c>
      <c r="M1458" s="1" t="str">
        <f t="shared" si="26"/>
        <v/>
      </c>
      <c r="N1458" s="1" t="s">
        <v>29</v>
      </c>
      <c r="O1458" s="1"/>
      <c r="P1458" s="11"/>
      <c r="Q1458" s="11"/>
      <c r="R1458" s="11"/>
      <c r="S1458" s="11"/>
      <c r="T1458" s="1"/>
      <c r="U1458" s="1"/>
      <c r="V1458" s="1"/>
      <c r="W1458" s="1"/>
      <c r="X1458" s="1"/>
      <c r="Y1458" s="1"/>
      <c r="Z1458" s="1"/>
    </row>
    <row r="1459" ht="18.0" hidden="1" customHeight="1" outlineLevel="2">
      <c r="A1459" s="1">
        <v>6.0</v>
      </c>
      <c r="B1459" s="1"/>
      <c r="C1459" s="1"/>
      <c r="D1459" s="38"/>
      <c r="E1459" s="14"/>
      <c r="F1459" s="15"/>
      <c r="G1459" s="16"/>
      <c r="H1459" s="11"/>
      <c r="I1459" s="7"/>
      <c r="J1459" s="7" t="str">
        <f>IFERROR(LET(_xlpm.v,
VLOOKUP($I1459,'用語辞書'!$A:$B,COLUMN('用語辞書'!B$1),FALSE),
IF(_xlpm.v=0,"",_xlpm.v)
),"")</f>
        <v/>
      </c>
      <c r="K1459" s="17"/>
      <c r="L1459" s="17" t="str">
        <f>IF(OR(COUNTIF('クラス'!$A$1:$A$1262,$B1459)&gt;0,$B1459="",$M1459=""),"",True)</f>
        <v/>
      </c>
      <c r="M1459" s="1" t="str">
        <f t="shared" si="26"/>
        <v>存在しない</v>
      </c>
      <c r="N1459" s="1" t="e">
        <v>#VALUE!</v>
      </c>
      <c r="O1459" s="1"/>
      <c r="P1459" s="11"/>
      <c r="Q1459" s="11"/>
      <c r="R1459" s="11"/>
      <c r="S1459" s="11"/>
      <c r="T1459" s="1"/>
      <c r="U1459" s="1"/>
      <c r="V1459" s="1"/>
      <c r="W1459" s="1"/>
      <c r="X1459" s="1"/>
      <c r="Y1459" s="1"/>
      <c r="Z1459" s="1"/>
    </row>
    <row r="1460" ht="18.0" hidden="1" customHeight="1" outlineLevel="2">
      <c r="A1460" s="1">
        <v>7.0</v>
      </c>
      <c r="B1460" s="26" t="s">
        <v>297</v>
      </c>
      <c r="C1460" s="1"/>
      <c r="D1460" s="38"/>
      <c r="E1460" s="14"/>
      <c r="F1460" s="15"/>
      <c r="G1460" s="16"/>
      <c r="H1460" s="11"/>
      <c r="I1460" s="7"/>
      <c r="J1460" s="7" t="str">
        <f>IFERROR(LET(_xlpm.v,
VLOOKUP($I1460,'用語辞書'!$A:$B,COLUMN('用語辞書'!B$1),FALSE),
IF(_xlpm.v=0,"",_xlpm.v)
),"")</f>
        <v/>
      </c>
      <c r="K1460" s="17"/>
      <c r="L1460" s="17" t="str">
        <f>IF(OR(COUNTIF('クラス'!$A$1:$A$1262,$B1460)&gt;0,$B1460="",$M1460=""),"",True)</f>
        <v/>
      </c>
      <c r="M1460" s="1" t="str">
        <f t="shared" si="26"/>
        <v/>
      </c>
      <c r="N1460" s="1" t="s">
        <v>29</v>
      </c>
      <c r="O1460" s="1"/>
      <c r="P1460" s="11"/>
      <c r="Q1460" s="11"/>
      <c r="R1460" s="11"/>
      <c r="S1460" s="11"/>
      <c r="T1460" s="1"/>
      <c r="U1460" s="1"/>
      <c r="V1460" s="1"/>
      <c r="W1460" s="1"/>
      <c r="X1460" s="1"/>
      <c r="Y1460" s="1"/>
      <c r="Z1460" s="1"/>
    </row>
    <row r="1461" ht="18.0" hidden="1" customHeight="1" outlineLevel="2">
      <c r="A1461" s="1">
        <v>8.0</v>
      </c>
      <c r="B1461" s="1"/>
      <c r="C1461" s="1"/>
      <c r="D1461" s="38"/>
      <c r="E1461" s="14"/>
      <c r="F1461" s="15"/>
      <c r="G1461" s="16"/>
      <c r="H1461" s="11"/>
      <c r="I1461" s="7"/>
      <c r="J1461" s="7" t="str">
        <f>IFERROR(LET(_xlpm.v,
VLOOKUP($I1461,'用語辞書'!$A:$B,COLUMN('用語辞書'!B$1),FALSE),
IF(_xlpm.v=0,"",_xlpm.v)
),"")</f>
        <v/>
      </c>
      <c r="K1461" s="17"/>
      <c r="L1461" s="17" t="str">
        <f>IF(OR(COUNTIF('クラス'!$A$1:$A$1262,$B1461)&gt;0,$B1461="",$M1461=""),"",True)</f>
        <v/>
      </c>
      <c r="M1461" s="1" t="str">
        <f t="shared" si="26"/>
        <v>存在しない</v>
      </c>
      <c r="N1461" s="1" t="s">
        <v>29</v>
      </c>
      <c r="O1461" s="1"/>
      <c r="P1461" s="11"/>
      <c r="Q1461" s="11"/>
      <c r="R1461" s="11"/>
      <c r="S1461" s="11"/>
      <c r="T1461" s="1"/>
      <c r="U1461" s="1"/>
      <c r="V1461" s="1"/>
      <c r="W1461" s="1"/>
      <c r="X1461" s="1"/>
      <c r="Y1461" s="1"/>
      <c r="Z1461" s="1"/>
    </row>
    <row r="1462" ht="18.0" hidden="1" customHeight="1" outlineLevel="2">
      <c r="A1462" s="1">
        <v>9.0</v>
      </c>
      <c r="B1462" s="1" t="str">
        <f>D1453&amp;"強化"</f>
        <v>炎強化</v>
      </c>
      <c r="C1462" s="1"/>
      <c r="D1462" s="38"/>
      <c r="E1462" s="14" t="s">
        <v>55</v>
      </c>
      <c r="F1462" s="15"/>
      <c r="G1462" s="16"/>
      <c r="H1462" s="11" t="str">
        <f>"条件系統:"&amp;D1453&amp;" 全威力+10"</f>
        <v>条件系統:炎 全威力+10</v>
      </c>
      <c r="I1462" s="7"/>
      <c r="J1462" s="7" t="str">
        <f>IFERROR(LET(_xlpm.v,
VLOOKUP($I1462,'用語辞書'!$A:$B,COLUMN('用語辞書'!B$1),FALSE),
IF(_xlpm.v=0,"",_xlpm.v)
),"")</f>
        <v/>
      </c>
      <c r="K1462" s="17"/>
      <c r="L1462" s="17" t="b">
        <f>IF(OR(COUNTIF('クラス'!$A$1:$A$1262,$B1462)&gt;0,$B1462="",$M1462=""),"",True)</f>
        <v>1</v>
      </c>
      <c r="M1462" s="1" t="str">
        <f t="shared" si="26"/>
        <v>存在しない</v>
      </c>
      <c r="N1462" s="1" t="e">
        <v>#VALUE!</v>
      </c>
      <c r="O1462" s="1"/>
      <c r="P1462" s="11"/>
      <c r="Q1462" s="11"/>
      <c r="R1462" s="11"/>
      <c r="S1462" s="11"/>
      <c r="T1462" s="1"/>
      <c r="U1462" s="1"/>
      <c r="V1462" s="1"/>
      <c r="W1462" s="1"/>
      <c r="X1462" s="1"/>
      <c r="Y1462" s="1"/>
      <c r="Z1462" s="1"/>
    </row>
    <row r="1463" ht="18.0" hidden="1" customHeight="1" outlineLevel="2">
      <c r="A1463" s="1">
        <v>10.0</v>
      </c>
      <c r="B1463" s="1" t="str">
        <f>D1453&amp;"の唾"</f>
        <v>炎の唾</v>
      </c>
      <c r="C1463" s="1"/>
      <c r="D1463" s="38" t="str">
        <f>D1453</f>
        <v>炎</v>
      </c>
      <c r="E1463" s="14" t="s">
        <v>33</v>
      </c>
      <c r="F1463" s="15"/>
      <c r="G1463" s="30">
        <v>30.0</v>
      </c>
      <c r="H1463" s="22" t="s">
        <v>1762</v>
      </c>
      <c r="I1463" s="7"/>
      <c r="J1463" s="7" t="str">
        <f>IFERROR(LET(_xlpm.v,
VLOOKUP($I1463,'用語辞書'!$A:$B,COLUMN('用語辞書'!B$1),FALSE),
IF(_xlpm.v=0,"",_xlpm.v)
),"")</f>
        <v/>
      </c>
      <c r="K1463" s="17"/>
      <c r="L1463" s="17" t="b">
        <f>IF(OR(COUNTIF('クラス'!$A$1:$A$1262,$B1463)&gt;0,$B1463="",$M1463=""),"",True)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c r="B1464" s="1"/>
      <c r="C1464" s="1"/>
      <c r="D1464" s="1"/>
      <c r="E1464" s="14"/>
      <c r="F1464" s="15"/>
      <c r="G1464" s="16"/>
      <c r="H1464" s="11"/>
      <c r="I1464" s="7"/>
      <c r="J1464" s="7" t="str">
        <f>IFERROR(LET(_xlpm.v,
VLOOKUP($I1464,'用語辞書'!$A:$B,COLUMN('用語辞書'!B$1),FALSE),
IF(_xlpm.v=0,"",_xlpm.v)
),"")</f>
        <v/>
      </c>
      <c r="K1464" s="17"/>
      <c r="L1464" s="17" t="str">
        <f>IF(OR(COUNTIF('クラス'!$A$1:$A$1262,$B1464)&gt;0,$B1464="",$M1464=""),"",True)</f>
        <v/>
      </c>
      <c r="M1464" s="1" t="str">
        <f t="shared" si="26"/>
        <v>存在しない</v>
      </c>
      <c r="N1464" s="1" t="s">
        <v>29</v>
      </c>
      <c r="O1464" s="1"/>
      <c r="P1464" s="11"/>
      <c r="Q1464" s="11"/>
      <c r="R1464" s="11"/>
      <c r="S1464" s="11"/>
      <c r="T1464" s="1"/>
      <c r="U1464" s="1"/>
      <c r="V1464" s="1"/>
      <c r="W1464" s="1"/>
      <c r="X1464" s="1"/>
      <c r="Y1464" s="1"/>
      <c r="Z1464" s="1"/>
    </row>
    <row r="1465" ht="18.0" customHeight="1" outlineLevel="1" collapsed="1">
      <c r="A1465" s="1"/>
      <c r="B1465" s="1"/>
      <c r="C1465" s="1"/>
      <c r="D1465" s="1"/>
      <c r="E1465" s="14"/>
      <c r="F1465" s="15"/>
      <c r="G1465" s="16"/>
      <c r="H1465" s="11"/>
      <c r="I1465" s="7"/>
      <c r="J1465" s="7" t="str">
        <f>IFERROR(LET(_xlpm.v,
VLOOKUP($I1465,'用語辞書'!$A:$B,COLUMN('用語辞書'!B$1),FALSE),
IF(_xlpm.v=0,"",_xlpm.v)
),"")</f>
        <v/>
      </c>
      <c r="K1465" s="17"/>
      <c r="L1465" s="17" t="str">
        <f>IF(OR(COUNTIF('クラス'!$A$1:$A$1262,$B1465)&gt;0,$B1465="",$M1465=""),"",True)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 r="A1466" s="1"/>
      <c r="B1466" s="37" t="s">
        <v>1763</v>
      </c>
      <c r="C1466" s="1"/>
      <c r="D1466" s="1" t="s">
        <v>370</v>
      </c>
      <c r="E1466" s="14" t="s">
        <v>1764</v>
      </c>
      <c r="F1466" s="15"/>
      <c r="G1466" s="16"/>
      <c r="H1466" s="11"/>
      <c r="I1466" s="7"/>
      <c r="J1466" s="7" t="str">
        <f>IFERROR(LET(_xlpm.v,
VLOOKUP($I1466,'用語辞書'!$A:$B,COLUMN('用語辞書'!B$1),FALSE),
IF(_xlpm.v=0,"",_xlpm.v)
),"")</f>
        <v/>
      </c>
      <c r="K1466" s="17"/>
      <c r="L1466" s="17" t="str">
        <f>IF(OR(COUNTIF('クラス'!$A$1:$A$1262,$B1466)&gt;0,$B1466="",$M1466=""),"",True)</f>
        <v/>
      </c>
      <c r="M1466" s="1" t="str">
        <f t="shared" si="26"/>
        <v>存在しない</v>
      </c>
      <c r="N1466" s="1" t="s">
        <v>29</v>
      </c>
      <c r="O1466" s="1"/>
      <c r="P1466" s="11"/>
      <c r="Q1466" s="11"/>
      <c r="R1466" s="11"/>
      <c r="S1466" s="11"/>
      <c r="T1466" s="1"/>
      <c r="U1466" s="1"/>
      <c r="V1466" s="1"/>
      <c r="W1466" s="1"/>
      <c r="X1466" s="1"/>
      <c r="Y1466" s="1"/>
      <c r="Z1466" s="1"/>
    </row>
    <row r="1467" ht="18.0" hidden="1" customHeight="1" outlineLevel="2">
      <c r="A1467" s="1">
        <v>1.0</v>
      </c>
      <c r="B1467" s="1" t="str">
        <f>D1466&amp;"の適用"</f>
        <v>氷の適用</v>
      </c>
      <c r="C1467" s="1"/>
      <c r="D1467" s="38"/>
      <c r="E1467" s="14" t="s">
        <v>55</v>
      </c>
      <c r="F1467" s="15"/>
      <c r="G1467" s="16"/>
      <c r="H1467" s="11" t="str">
        <f>D1466&amp;"耐性+30"</f>
        <v>氷耐性+30</v>
      </c>
      <c r="I1467" s="7"/>
      <c r="J1467" s="7" t="str">
        <f>IFERROR(LET(_xlpm.v,
VLOOKUP($I1467,'用語辞書'!$A:$B,COLUMN('用語辞書'!B$1),FALSE),
IF(_xlpm.v=0,"",_xlpm.v)
),"")</f>
        <v/>
      </c>
      <c r="K1467" s="17"/>
      <c r="L1467" s="17" t="b">
        <f>IF(OR(COUNTIF('クラス'!$A$1:$A$1262,$B1467)&gt;0,$B1467="",$M1467=""),"",True)</f>
        <v>1</v>
      </c>
      <c r="M1467" s="1" t="str">
        <f t="shared" si="26"/>
        <v>存在しない</v>
      </c>
      <c r="N1467" s="1" t="e">
        <v>#VALUE!</v>
      </c>
      <c r="O1467" s="1"/>
      <c r="P1467" s="11"/>
      <c r="Q1467" s="11"/>
      <c r="R1467" s="11"/>
      <c r="S1467" s="11"/>
      <c r="T1467" s="1"/>
      <c r="U1467" s="1"/>
      <c r="V1467" s="1"/>
      <c r="W1467" s="1"/>
      <c r="X1467" s="1"/>
      <c r="Y1467" s="1"/>
      <c r="Z1467" s="1"/>
    </row>
    <row r="1468" ht="18.0" hidden="1" customHeight="1" outlineLevel="2">
      <c r="A1468" s="1">
        <v>2.0</v>
      </c>
      <c r="B1468" s="26" t="s">
        <v>372</v>
      </c>
      <c r="C1468" s="1"/>
      <c r="D1468" s="38"/>
      <c r="E1468" s="14"/>
      <c r="F1468" s="15"/>
      <c r="G1468" s="16"/>
      <c r="H1468" s="11"/>
      <c r="I1468" s="7"/>
      <c r="J1468" s="7" t="str">
        <f>IFERROR(LET(_xlpm.v,
VLOOKUP($I1468,'用語辞書'!$A:$B,COLUMN('用語辞書'!B$1),FALSE),
IF(_xlpm.v=0,"",_xlpm.v)
),"")</f>
        <v/>
      </c>
      <c r="K1468" s="17"/>
      <c r="L1468" s="17" t="str">
        <f>IF(OR(COUNTIF('クラス'!$A$1:$A$1262,$B1468)&gt;0,$B1468="",$M1468=""),"",True)</f>
        <v/>
      </c>
      <c r="M1468" s="1" t="str">
        <f t="shared" si="26"/>
        <v/>
      </c>
      <c r="N1468" s="1" t="s">
        <v>29</v>
      </c>
      <c r="O1468" s="1"/>
      <c r="P1468" s="11"/>
      <c r="Q1468" s="11"/>
      <c r="R1468" s="11"/>
      <c r="S1468" s="11"/>
      <c r="T1468" s="1"/>
      <c r="U1468" s="1"/>
      <c r="V1468" s="1"/>
      <c r="W1468" s="1"/>
      <c r="X1468" s="1"/>
      <c r="Y1468" s="1"/>
      <c r="Z1468" s="1"/>
    </row>
    <row r="1469" ht="18.0" hidden="1" customHeight="1" outlineLevel="2">
      <c r="A1469" s="1">
        <v>3.0</v>
      </c>
      <c r="B1469" s="1" t="str">
        <f>D1466&amp;"の体"</f>
        <v>氷の体</v>
      </c>
      <c r="C1469" s="1"/>
      <c r="D1469" s="38"/>
      <c r="E1469" s="14" t="s">
        <v>33</v>
      </c>
      <c r="F1469" s="15">
        <v>5.0</v>
      </c>
      <c r="G1469" s="16">
        <v>20.0</v>
      </c>
      <c r="H1469" s="11" t="str">
        <f>"効果時間6t 攻撃手段:肉体 "&amp;D1466&amp;"+15 判定:攻撃"</f>
        <v>効果時間6t 攻撃手段:肉体 氷+15 判定:攻撃</v>
      </c>
      <c r="I1469" s="7"/>
      <c r="J1469" s="7" t="str">
        <f>IFERROR(LET(_xlpm.v,
VLOOKUP($I1469,'用語辞書'!$A:$B,COLUMN('用語辞書'!B$1),FALSE),
IF(_xlpm.v=0,"",_xlpm.v)
),"")</f>
        <v/>
      </c>
      <c r="K1469" s="17"/>
      <c r="L1469" s="17" t="b">
        <f>IF(OR(COUNTIF('クラス'!$A$1:$A$1262,$B1469)&gt;0,$B1469="",$M1469=""),"",True)</f>
        <v>1</v>
      </c>
      <c r="M1469" s="1" t="str">
        <f t="shared" si="26"/>
        <v>存在しない</v>
      </c>
      <c r="N1469" s="1" t="e">
        <v>#VALUE!</v>
      </c>
      <c r="O1469" s="1"/>
      <c r="P1469" s="11"/>
      <c r="Q1469" s="11"/>
      <c r="R1469" s="11"/>
      <c r="S1469" s="11"/>
      <c r="T1469" s="1"/>
      <c r="U1469" s="1"/>
      <c r="V1469" s="1"/>
      <c r="W1469" s="1"/>
      <c r="X1469" s="1"/>
      <c r="Y1469" s="1"/>
      <c r="Z1469" s="1"/>
    </row>
    <row r="1470" ht="18.0" hidden="1" customHeight="1" outlineLevel="2">
      <c r="A1470" s="1">
        <v>4.0</v>
      </c>
      <c r="B1470" s="1"/>
      <c r="C1470" s="1"/>
      <c r="D1470" s="38"/>
      <c r="E1470" s="14"/>
      <c r="F1470" s="15"/>
      <c r="G1470" s="16"/>
      <c r="H1470" s="11"/>
      <c r="I1470" s="7"/>
      <c r="J1470" s="7" t="str">
        <f>IFERROR(LET(_xlpm.v,
VLOOKUP($I1470,'用語辞書'!$A:$B,COLUMN('用語辞書'!B$1),FALSE),
IF(_xlpm.v=0,"",_xlpm.v)
),"")</f>
        <v/>
      </c>
      <c r="K1470" s="17"/>
      <c r="L1470" s="17" t="str">
        <f>IF(OR(COUNTIF('クラス'!$A$1:$A$1262,$B1470)&gt;0,$B1470="",$M1470=""),"",True)</f>
        <v/>
      </c>
      <c r="M1470" s="1" t="str">
        <f t="shared" si="26"/>
        <v>存在しない</v>
      </c>
      <c r="N1470" s="1" t="s">
        <v>29</v>
      </c>
      <c r="O1470" s="1"/>
      <c r="P1470" s="11"/>
      <c r="Q1470" s="11"/>
      <c r="R1470" s="11"/>
      <c r="S1470" s="11"/>
      <c r="T1470" s="1"/>
      <c r="U1470" s="1"/>
      <c r="V1470" s="1"/>
      <c r="W1470" s="1"/>
      <c r="X1470" s="1"/>
      <c r="Y1470" s="1"/>
      <c r="Z1470" s="1"/>
    </row>
    <row r="1471" ht="18.0" hidden="1" customHeight="1" outlineLevel="2">
      <c r="A1471" s="1">
        <v>5.0</v>
      </c>
      <c r="B1471" s="26" t="s">
        <v>1500</v>
      </c>
      <c r="C1471" s="1"/>
      <c r="D1471" s="38"/>
      <c r="E1471" s="29" t="s">
        <v>55</v>
      </c>
      <c r="F1471" s="15"/>
      <c r="G1471" s="16"/>
      <c r="H1471" s="22" t="s">
        <v>1761</v>
      </c>
      <c r="I1471" s="7"/>
      <c r="J1471" s="7" t="str">
        <f>IFERROR(LET(_xlpm.v,
VLOOKUP($I1471,'用語辞書'!$A:$B,COLUMN('用語辞書'!B$1),FALSE),
IF(_xlpm.v=0,"",_xlpm.v)
),"")</f>
        <v/>
      </c>
      <c r="K1471" s="17"/>
      <c r="L1471" s="17" t="str">
        <f>IF(OR(COUNTIF('クラス'!$A$1:$A$1262,$B1471)&gt;0,$B1471="",$M1471=""),"",True)</f>
        <v/>
      </c>
      <c r="M1471" s="1" t="str">
        <f t="shared" si="26"/>
        <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38"/>
      <c r="E1472" s="14"/>
      <c r="F1472" s="15"/>
      <c r="G1472" s="16"/>
      <c r="H1472" s="11"/>
      <c r="I1472" s="7"/>
      <c r="J1472" s="7" t="str">
        <f>IFERROR(LET(_xlpm.v,
VLOOKUP($I1472,'用語辞書'!$A:$B,COLUMN('用語辞書'!B$1),FALSE),
IF(_xlpm.v=0,"",_xlpm.v)
),"")</f>
        <v/>
      </c>
      <c r="K1472" s="17"/>
      <c r="L1472" s="17" t="str">
        <f>IF(OR(COUNTIF('クラス'!$A$1:$A$1262,$B1472)&gt;0,$B1472="",$M1472=""),"",True)</f>
        <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7.0</v>
      </c>
      <c r="B1473" s="26" t="s">
        <v>388</v>
      </c>
      <c r="C1473" s="1"/>
      <c r="D1473" s="38"/>
      <c r="E1473" s="14"/>
      <c r="F1473" s="15"/>
      <c r="G1473" s="16"/>
      <c r="H1473" s="11"/>
      <c r="I1473" s="7"/>
      <c r="J1473" s="7" t="str">
        <f>IFERROR(LET(_xlpm.v,
VLOOKUP($I1473,'用語辞書'!$A:$B,COLUMN('用語辞書'!B$1),FALSE),
IF(_xlpm.v=0,"",_xlpm.v)
),"")</f>
        <v/>
      </c>
      <c r="K1473" s="17"/>
      <c r="L1473" s="17" t="str">
        <f>IF(OR(COUNTIF('クラス'!$A$1:$A$1262,$B1473)&gt;0,$B1473="",$M1473=""),"",True)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38"/>
      <c r="E1474" s="14"/>
      <c r="F1474" s="15"/>
      <c r="G1474" s="16"/>
      <c r="H1474" s="11"/>
      <c r="I1474" s="7"/>
      <c r="J1474" s="7" t="str">
        <f>IFERROR(LET(_xlpm.v,
VLOOKUP($I1474,'用語辞書'!$A:$B,COLUMN('用語辞書'!B$1),FALSE),
IF(_xlpm.v=0,"",_xlpm.v)
),"")</f>
        <v/>
      </c>
      <c r="K1474" s="17"/>
      <c r="L1474" s="17" t="str">
        <f>IF(OR(COUNTIF('クラス'!$A$1:$A$1262,$B1474)&gt;0,$B1474="",$M1474=""),"",True)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9.0</v>
      </c>
      <c r="B1475" s="1" t="str">
        <f>D1466&amp;"強化"</f>
        <v>氷強化</v>
      </c>
      <c r="C1475" s="1"/>
      <c r="D1475" s="38"/>
      <c r="E1475" s="14" t="s">
        <v>55</v>
      </c>
      <c r="F1475" s="15"/>
      <c r="G1475" s="16"/>
      <c r="H1475" s="11" t="str">
        <f>"条件系統:"&amp;D1466&amp;" 全威力+10"</f>
        <v>条件系統:氷 全威力+10</v>
      </c>
      <c r="I1475" s="7"/>
      <c r="J1475" s="7" t="str">
        <f>IFERROR(LET(_xlpm.v,
VLOOKUP($I1475,'用語辞書'!$A:$B,COLUMN('用語辞書'!B$1),FALSE),
IF(_xlpm.v=0,"",_xlpm.v)
),"")</f>
        <v/>
      </c>
      <c r="K1475" s="17"/>
      <c r="L1475" s="17" t="b">
        <f>IF(OR(COUNTIF('クラス'!$A$1:$A$1262,$B1475)&gt;0,$B1475="",$M1475=""),"",True)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10.0</v>
      </c>
      <c r="B1476" s="1" t="str">
        <f>D1466&amp;"の唾"</f>
        <v>氷の唾</v>
      </c>
      <c r="C1476" s="1"/>
      <c r="D1476" s="38" t="str">
        <f>D1466</f>
        <v>氷</v>
      </c>
      <c r="E1476" s="14" t="s">
        <v>33</v>
      </c>
      <c r="F1476" s="15"/>
      <c r="G1476" s="30">
        <v>30.0</v>
      </c>
      <c r="H1476" s="22" t="s">
        <v>1765</v>
      </c>
      <c r="I1476" s="7"/>
      <c r="J1476" s="7" t="str">
        <f>IFERROR(LET(_xlpm.v,
VLOOKUP($I1476,'用語辞書'!$A:$B,COLUMN('用語辞書'!B$1),FALSE),
IF(_xlpm.v=0,"",_xlpm.v)
),"")</f>
        <v/>
      </c>
      <c r="K1476" s="17"/>
      <c r="L1476" s="17" t="b">
        <f>IF(OR(COUNTIF('クラス'!$A$1:$A$1262,$B1476)&gt;0,$B1476="",$M1476=""),"",True)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c r="B1477" s="1"/>
      <c r="C1477" s="1"/>
      <c r="D1477" s="1"/>
      <c r="E1477" s="14"/>
      <c r="F1477" s="15"/>
      <c r="G1477" s="16"/>
      <c r="H1477" s="11"/>
      <c r="I1477" s="7"/>
      <c r="J1477" s="7" t="str">
        <f>IFERROR(LET(_xlpm.v,
VLOOKUP($I1477,'用語辞書'!$A:$B,COLUMN('用語辞書'!B$1),FALSE),
IF(_xlpm.v=0,"",_xlpm.v)
),"")</f>
        <v/>
      </c>
      <c r="K1477" s="17"/>
      <c r="L1477" s="17" t="str">
        <f>IF(OR(COUNTIF('クラス'!$A$1:$A$1262,$B1477)&gt;0,$B1477="",$M1477=""),"",True)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VLOOKUP($I1478,'用語辞書'!$A:$B,COLUMN('用語辞書'!B$1),FALSE),
IF(_xlpm.v=0,"",_xlpm.v)
),"")</f>
        <v/>
      </c>
      <c r="K1478" s="17"/>
      <c r="L1478" s="17" t="str">
        <f>IF(OR(COUNTIF('クラス'!$A$1:$A$1262,$B1478)&gt;0,$B1478="",$M1478=""),"",True)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 r="A1479" s="1"/>
      <c r="B1479" s="37" t="s">
        <v>1766</v>
      </c>
      <c r="C1479" s="1"/>
      <c r="D1479" s="1" t="s">
        <v>1490</v>
      </c>
      <c r="E1479" s="14" t="s">
        <v>1767</v>
      </c>
      <c r="F1479" s="15"/>
      <c r="G1479" s="16"/>
      <c r="H1479" s="11"/>
      <c r="I1479" s="7"/>
      <c r="J1479" s="7" t="str">
        <f>IFERROR(LET(_xlpm.v,
VLOOKUP($I1479,'用語辞書'!$A:$B,COLUMN('用語辞書'!B$1),FALSE),
IF(_xlpm.v=0,"",_xlpm.v)
),"")</f>
        <v/>
      </c>
      <c r="K1479" s="17"/>
      <c r="L1479" s="17" t="str">
        <f>IF(OR(COUNTIF('クラス'!$A$1:$A$1262,$B1479)&gt;0,$B1479="",$M1479=""),"",True)</f>
        <v/>
      </c>
      <c r="M1479" s="1" t="str">
        <f t="shared" si="26"/>
        <v>存在しない</v>
      </c>
      <c r="N1479" s="1" t="s">
        <v>29</v>
      </c>
      <c r="O1479" s="1"/>
      <c r="P1479" s="11"/>
      <c r="Q1479" s="11"/>
      <c r="R1479" s="11"/>
      <c r="S1479" s="11"/>
      <c r="T1479" s="1"/>
      <c r="U1479" s="1"/>
      <c r="V1479" s="1"/>
      <c r="W1479" s="1"/>
      <c r="X1479" s="1"/>
      <c r="Y1479" s="1"/>
      <c r="Z1479" s="1"/>
    </row>
    <row r="1480" ht="18.0" hidden="1" customHeight="1" outlineLevel="2">
      <c r="A1480" s="1">
        <v>1.0</v>
      </c>
      <c r="B1480" s="1" t="s">
        <v>1768</v>
      </c>
      <c r="C1480" s="1"/>
      <c r="D1480" s="38"/>
      <c r="E1480" s="14" t="s">
        <v>55</v>
      </c>
      <c r="F1480" s="15"/>
      <c r="G1480" s="16"/>
      <c r="H1480" s="11" t="s">
        <v>1769</v>
      </c>
      <c r="I1480" s="7"/>
      <c r="J1480" s="7" t="str">
        <f>IFERROR(LET(_xlpm.v,
VLOOKUP($I1480,'用語辞書'!$A:$B,COLUMN('用語辞書'!B$1),FALSE),
IF(_xlpm.v=0,"",_xlpm.v)
),"")</f>
        <v/>
      </c>
      <c r="K1480" s="17"/>
      <c r="L1480" s="17" t="b">
        <f>IF(OR(COUNTIF('クラス'!$A$1:$A$1262,$B1480)&gt;0,$B1480="",$M1480=""),"",True)</f>
        <v>1</v>
      </c>
      <c r="M1480" s="1" t="str">
        <f t="shared" si="26"/>
        <v>存在しない</v>
      </c>
      <c r="N1480" s="1" t="e">
        <v>#VALUE!</v>
      </c>
      <c r="O1480" s="1"/>
      <c r="P1480" s="11"/>
      <c r="Q1480" s="11"/>
      <c r="R1480" s="11"/>
      <c r="S1480" s="11"/>
      <c r="T1480" s="1"/>
      <c r="U1480" s="1"/>
      <c r="V1480" s="1"/>
      <c r="W1480" s="1"/>
      <c r="X1480" s="1"/>
      <c r="Y1480" s="1"/>
      <c r="Z1480" s="1"/>
    </row>
    <row r="1481" ht="18.0" hidden="1" customHeight="1" outlineLevel="2">
      <c r="A1481" s="1">
        <v>2.0</v>
      </c>
      <c r="B1481" s="26" t="s">
        <v>898</v>
      </c>
      <c r="C1481" s="1"/>
      <c r="D1481" s="38"/>
      <c r="E1481" s="14"/>
      <c r="F1481" s="15"/>
      <c r="G1481" s="16"/>
      <c r="H1481" s="11"/>
      <c r="I1481" s="7"/>
      <c r="J1481" s="7" t="str">
        <f>IFERROR(LET(_xlpm.v,
VLOOKUP($I1481,'用語辞書'!$A:$B,COLUMN('用語辞書'!B$1),FALSE),
IF(_xlpm.v=0,"",_xlpm.v)
),"")</f>
        <v/>
      </c>
      <c r="K1481" s="17"/>
      <c r="L1481" s="17" t="str">
        <f>IF(OR(COUNTIF('クラス'!$A$1:$A$1262,$B1481)&gt;0,$B1481="",$M1481=""),"",True)</f>
        <v/>
      </c>
      <c r="M1481" s="1" t="str">
        <f t="shared" si="26"/>
        <v/>
      </c>
      <c r="N1481" s="1" t="s">
        <v>29</v>
      </c>
      <c r="O1481" s="1"/>
      <c r="P1481" s="11"/>
      <c r="Q1481" s="11"/>
      <c r="R1481" s="11"/>
      <c r="S1481" s="11"/>
      <c r="T1481" s="1"/>
      <c r="U1481" s="1"/>
      <c r="V1481" s="1"/>
      <c r="W1481" s="1"/>
      <c r="X1481" s="1"/>
      <c r="Y1481" s="1"/>
      <c r="Z1481" s="1"/>
    </row>
    <row r="1482" ht="18.0" hidden="1" customHeight="1" outlineLevel="2">
      <c r="A1482" s="1">
        <v>3.0</v>
      </c>
      <c r="B1482" s="1" t="s">
        <v>1770</v>
      </c>
      <c r="C1482" s="1"/>
      <c r="D1482" s="38"/>
      <c r="E1482" s="14" t="s">
        <v>33</v>
      </c>
      <c r="F1482" s="15">
        <v>5.0</v>
      </c>
      <c r="G1482" s="16">
        <v>20.0</v>
      </c>
      <c r="H1482" s="11" t="s">
        <v>1771</v>
      </c>
      <c r="I1482" s="7" t="s">
        <v>1296</v>
      </c>
      <c r="J1482" s="7" t="str">
        <f>IFERROR(LET(_xlpm.v,
VLOOKUP($I1482,'用語辞書'!$A:$B,COLUMN('用語辞書'!B$1),FALSE),
IF(_xlpm.v=0,"",_xlpm.v)
),"")</f>
        <v>地形効果を無視する</v>
      </c>
      <c r="K1482" s="17"/>
      <c r="L1482" s="17" t="b">
        <f>IF(OR(COUNTIF('クラス'!$A$1:$A$1262,$B1482)&gt;0,$B1482="",$M1482=""),"",True)</f>
        <v>1</v>
      </c>
      <c r="M1482" s="1" t="str">
        <f t="shared" si="26"/>
        <v>存在しない</v>
      </c>
      <c r="N1482" s="1" t="e">
        <v>#VALUE!</v>
      </c>
      <c r="O1482" s="1"/>
      <c r="P1482" s="11"/>
      <c r="Q1482" s="11"/>
      <c r="R1482" s="11"/>
      <c r="S1482" s="11"/>
      <c r="T1482" s="1"/>
      <c r="U1482" s="1"/>
      <c r="V1482" s="1"/>
      <c r="W1482" s="1"/>
      <c r="X1482" s="1"/>
      <c r="Y1482" s="1"/>
      <c r="Z1482" s="1"/>
    </row>
    <row r="1483" ht="18.0" hidden="1" customHeight="1" outlineLevel="2">
      <c r="A1483" s="1">
        <v>4.0</v>
      </c>
      <c r="B1483" s="1"/>
      <c r="C1483" s="1"/>
      <c r="D1483" s="38"/>
      <c r="E1483" s="14"/>
      <c r="F1483" s="15"/>
      <c r="G1483" s="16"/>
      <c r="H1483" s="11"/>
      <c r="I1483" s="7"/>
      <c r="J1483" s="7" t="str">
        <f>IFERROR(LET(_xlpm.v,
VLOOKUP($I1483,'用語辞書'!$A:$B,COLUMN('用語辞書'!B$1),FALSE),
IF(_xlpm.v=0,"",_xlpm.v)
),"")</f>
        <v/>
      </c>
      <c r="K1483" s="17"/>
      <c r="L1483" s="17" t="str">
        <f>IF(OR(COUNTIF('クラス'!$A$1:$A$1262,$B1483)&gt;0,$B1483="",$M1483=""),"",True)</f>
        <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5.0</v>
      </c>
      <c r="B1484" s="26" t="s">
        <v>1500</v>
      </c>
      <c r="C1484" s="1"/>
      <c r="D1484" s="38"/>
      <c r="E1484" s="29" t="s">
        <v>55</v>
      </c>
      <c r="F1484" s="15"/>
      <c r="G1484" s="16"/>
      <c r="H1484" s="22" t="s">
        <v>1761</v>
      </c>
      <c r="I1484" s="7"/>
      <c r="J1484" s="7" t="str">
        <f>IFERROR(LET(_xlpm.v,
VLOOKUP($I1484,'用語辞書'!$A:$B,COLUMN('用語辞書'!B$1),FALSE),
IF(_xlpm.v=0,"",_xlpm.v)
),"")</f>
        <v/>
      </c>
      <c r="K1484" s="17"/>
      <c r="L1484" s="17" t="str">
        <f>IF(OR(COUNTIF('クラス'!$A$1:$A$1262,$B1484)&gt;0,$B1484="",$M1484=""),"",True)</f>
        <v/>
      </c>
      <c r="M1484" s="1" t="str">
        <f t="shared" si="26"/>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38"/>
      <c r="E1485" s="14"/>
      <c r="F1485" s="15"/>
      <c r="G1485" s="16"/>
      <c r="H1485" s="11"/>
      <c r="I1485" s="7"/>
      <c r="J1485" s="7" t="str">
        <f>IFERROR(LET(_xlpm.v,
VLOOKUP($I1485,'用語辞書'!$A:$B,COLUMN('用語辞書'!B$1),FALSE),
IF(_xlpm.v=0,"",_xlpm.v)
),"")</f>
        <v/>
      </c>
      <c r="K1485" s="17"/>
      <c r="L1485" s="17" t="str">
        <f>IF(OR(COUNTIF('クラス'!$A$1:$A$1262,$B1485)&gt;0,$B1485="",$M1485=""),"",True)</f>
        <v/>
      </c>
      <c r="M1485" s="1" t="str">
        <f t="shared" si="26"/>
        <v>存在しない</v>
      </c>
      <c r="N1485" s="1" t="e">
        <v>#VALUE!</v>
      </c>
      <c r="O1485" s="1"/>
      <c r="P1485" s="11"/>
      <c r="Q1485" s="11"/>
      <c r="R1485" s="11"/>
      <c r="S1485" s="11"/>
      <c r="T1485" s="1"/>
      <c r="U1485" s="1"/>
      <c r="V1485" s="1"/>
      <c r="W1485" s="1"/>
      <c r="X1485" s="1"/>
      <c r="Y1485" s="1"/>
      <c r="Z1485" s="1"/>
    </row>
    <row r="1486" ht="18.0" hidden="1" customHeight="1" outlineLevel="2">
      <c r="A1486" s="1">
        <v>7.0</v>
      </c>
      <c r="B1486" s="26" t="s">
        <v>902</v>
      </c>
      <c r="C1486" s="1"/>
      <c r="D1486" s="38"/>
      <c r="E1486" s="14"/>
      <c r="F1486" s="15"/>
      <c r="G1486" s="16"/>
      <c r="H1486" s="11"/>
      <c r="I1486" s="7"/>
      <c r="J1486" s="7" t="str">
        <f>IFERROR(LET(_xlpm.v,
VLOOKUP($I1486,'用語辞書'!$A:$B,COLUMN('用語辞書'!B$1),FALSE),
IF(_xlpm.v=0,"",_xlpm.v)
),"")</f>
        <v/>
      </c>
      <c r="K1486" s="17"/>
      <c r="L1486" s="17" t="str">
        <f>IF(OR(COUNTIF('クラス'!$A$1:$A$1262,$B1486)&gt;0,$B1486="",$M1486=""),"",True)</f>
        <v/>
      </c>
      <c r="M1486" s="1" t="str">
        <f t="shared" si="26"/>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38"/>
      <c r="E1487" s="14"/>
      <c r="F1487" s="15"/>
      <c r="G1487" s="16"/>
      <c r="H1487" s="11"/>
      <c r="I1487" s="7"/>
      <c r="J1487" s="7" t="str">
        <f>IFERROR(LET(_xlpm.v,
VLOOKUP($I1487,'用語辞書'!$A:$B,COLUMN('用語辞書'!B$1),FALSE),
IF(_xlpm.v=0,"",_xlpm.v)
),"")</f>
        <v/>
      </c>
      <c r="K1487" s="17"/>
      <c r="L1487" s="17" t="str">
        <f>IF(OR(COUNTIF('クラス'!$A$1:$A$1262,$B1487)&gt;0,$B1487="",$M1487=""),"",True)</f>
        <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9.0</v>
      </c>
      <c r="B1488" s="1" t="s">
        <v>1772</v>
      </c>
      <c r="C1488" s="1"/>
      <c r="D1488" s="38"/>
      <c r="E1488" s="14" t="s">
        <v>55</v>
      </c>
      <c r="F1488" s="15"/>
      <c r="G1488" s="16"/>
      <c r="H1488" s="11" t="str">
        <f>"条件系統:"&amp;"風"&amp;" 全威力+10"</f>
        <v>条件系統:風 全威力+10</v>
      </c>
      <c r="I1488" s="7"/>
      <c r="J1488" s="7" t="str">
        <f>IFERROR(LET(_xlpm.v,
VLOOKUP($I1488,'用語辞書'!$A:$B,COLUMN('用語辞書'!B$1),FALSE),
IF(_xlpm.v=0,"",_xlpm.v)
),"")</f>
        <v/>
      </c>
      <c r="K1488" s="17"/>
      <c r="L1488" s="17" t="b">
        <f>IF(OR(COUNTIF('クラス'!$A$1:$A$1262,$B1488)&gt;0,$B1488="",$M1488=""),"",True)</f>
        <v>1</v>
      </c>
      <c r="M1488" s="1" t="str">
        <f t="shared" si="26"/>
        <v>存在しない</v>
      </c>
      <c r="N1488" s="1" t="e">
        <v>#VALUE!</v>
      </c>
      <c r="O1488" s="1"/>
      <c r="P1488" s="11"/>
      <c r="Q1488" s="11"/>
      <c r="R1488" s="11"/>
      <c r="S1488" s="11"/>
      <c r="T1488" s="1"/>
      <c r="U1488" s="1"/>
      <c r="V1488" s="1"/>
      <c r="W1488" s="1"/>
      <c r="X1488" s="1"/>
      <c r="Y1488" s="1"/>
      <c r="Z1488" s="1"/>
    </row>
    <row r="1489" ht="18.0" hidden="1" customHeight="1" outlineLevel="2">
      <c r="A1489" s="1">
        <v>10.0</v>
      </c>
      <c r="B1489" s="1" t="s">
        <v>1773</v>
      </c>
      <c r="C1489" s="1"/>
      <c r="D1489" s="38" t="s">
        <v>908</v>
      </c>
      <c r="E1489" s="14" t="s">
        <v>33</v>
      </c>
      <c r="F1489" s="15"/>
      <c r="G1489" s="30">
        <v>30.0</v>
      </c>
      <c r="H1489" s="22" t="s">
        <v>1774</v>
      </c>
      <c r="I1489" s="7" t="s">
        <v>1249</v>
      </c>
      <c r="J1489" s="7" t="str">
        <f>IFERROR(LET(_xlpm.v,
VLOOKUP($I1489,'用語辞書'!$A:$B,COLUMN('用語辞書'!B$1),FALSE),
IF(_xlpm.v=0,"",_xlpm.v)
),"")</f>
        <v>対象を後方へ移動させる</v>
      </c>
      <c r="K1489" s="17"/>
      <c r="L1489" s="17" t="b">
        <f>IF(OR(COUNTIF('クラス'!$A$1:$A$1262,$B1489)&gt;0,$B1489="",$M1489=""),"",True)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c r="B1490" s="1"/>
      <c r="C1490" s="1"/>
      <c r="D1490" s="1"/>
      <c r="E1490" s="14"/>
      <c r="F1490" s="15"/>
      <c r="G1490" s="16"/>
      <c r="H1490" s="11"/>
      <c r="I1490" s="7"/>
      <c r="J1490" s="7" t="str">
        <f>IFERROR(LET(_xlpm.v,
VLOOKUP($I1490,'用語辞書'!$A:$B,COLUMN('用語辞書'!B$1),FALSE),
IF(_xlpm.v=0,"",_xlpm.v)
),"")</f>
        <v/>
      </c>
      <c r="K1490" s="17"/>
      <c r="L1490" s="17" t="str">
        <f>IF(OR(COUNTIF('クラス'!$A$1:$A$1262,$B1490)&gt;0,$B1490="",$M1490=""),"",True)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VLOOKUP($I1491,'用語辞書'!$A:$B,COLUMN('用語辞書'!B$1),FALSE),
IF(_xlpm.v=0,"",_xlpm.v)
),"")</f>
        <v/>
      </c>
      <c r="K1491" s="17"/>
      <c r="L1491" s="17" t="str">
        <f>IF(OR(COUNTIF('クラス'!$A$1:$A$1262,$B1491)&gt;0,$B1491="",$M1491=""),"",True)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37" t="s">
        <v>1775</v>
      </c>
      <c r="C1492" s="1"/>
      <c r="D1492" s="1" t="s">
        <v>518</v>
      </c>
      <c r="E1492" s="14" t="s">
        <v>1776</v>
      </c>
      <c r="F1492" s="15"/>
      <c r="G1492" s="16"/>
      <c r="H1492" s="11"/>
      <c r="I1492" s="7"/>
      <c r="J1492" s="7" t="str">
        <f>IFERROR(LET(_xlpm.v,
VLOOKUP($I1492,'用語辞書'!$A:$B,COLUMN('用語辞書'!B$1),FALSE),
IF(_xlpm.v=0,"",_xlpm.v)
),"")</f>
        <v/>
      </c>
      <c r="K1492" s="17"/>
      <c r="L1492" s="17" t="str">
        <f>IF(OR(COUNTIF('クラス'!$A$1:$A$1262,$B1492)&gt;0,$B1492="",$M1492=""),"",True)</f>
        <v/>
      </c>
      <c r="M1492" s="1" t="str">
        <f t="shared" si="26"/>
        <v>存在しない</v>
      </c>
      <c r="N1492" s="1" t="s">
        <v>29</v>
      </c>
      <c r="O1492" s="1"/>
      <c r="P1492" s="11"/>
      <c r="Q1492" s="11"/>
      <c r="R1492" s="11"/>
      <c r="S1492" s="11"/>
      <c r="T1492" s="1"/>
      <c r="U1492" s="1"/>
      <c r="V1492" s="1"/>
      <c r="W1492" s="1"/>
      <c r="X1492" s="1"/>
      <c r="Y1492" s="1"/>
      <c r="Z1492" s="1"/>
    </row>
    <row r="1493" ht="18.0" hidden="1" customHeight="1" outlineLevel="2">
      <c r="A1493" s="1">
        <v>1.0</v>
      </c>
      <c r="B1493" s="1" t="str">
        <f>D1492&amp;"の適用"</f>
        <v>雷の適用</v>
      </c>
      <c r="C1493" s="1"/>
      <c r="D1493" s="38"/>
      <c r="E1493" s="14" t="s">
        <v>55</v>
      </c>
      <c r="F1493" s="15"/>
      <c r="G1493" s="16"/>
      <c r="H1493" s="11" t="str">
        <f>D1492&amp;"耐性+30"</f>
        <v>雷耐性+30</v>
      </c>
      <c r="I1493" s="7"/>
      <c r="J1493" s="7" t="str">
        <f>IFERROR(LET(_xlpm.v,
VLOOKUP($I1493,'用語辞書'!$A:$B,COLUMN('用語辞書'!B$1),FALSE),
IF(_xlpm.v=0,"",_xlpm.v)
),"")</f>
        <v/>
      </c>
      <c r="K1493" s="17"/>
      <c r="L1493" s="17" t="b">
        <f>IF(OR(COUNTIF('クラス'!$A$1:$A$1262,$B1493)&gt;0,$B1493="",$M1493=""),"",True)</f>
        <v>1</v>
      </c>
      <c r="M1493" s="1" t="str">
        <f t="shared" si="26"/>
        <v>存在しない</v>
      </c>
      <c r="N1493" s="1" t="e">
        <v>#VALUE!</v>
      </c>
      <c r="O1493" s="1"/>
      <c r="P1493" s="11"/>
      <c r="Q1493" s="11"/>
      <c r="R1493" s="11"/>
      <c r="S1493" s="11"/>
      <c r="T1493" s="1"/>
      <c r="U1493" s="1"/>
      <c r="V1493" s="1"/>
      <c r="W1493" s="1"/>
      <c r="X1493" s="1"/>
      <c r="Y1493" s="1"/>
      <c r="Z1493" s="1"/>
    </row>
    <row r="1494" ht="18.0" hidden="1" customHeight="1" outlineLevel="2">
      <c r="A1494" s="1">
        <v>2.0</v>
      </c>
      <c r="B1494" s="26" t="s">
        <v>516</v>
      </c>
      <c r="C1494" s="1"/>
      <c r="D1494" s="38"/>
      <c r="E1494" s="14"/>
      <c r="F1494" s="15"/>
      <c r="G1494" s="16"/>
      <c r="H1494" s="11"/>
      <c r="I1494" s="7"/>
      <c r="J1494" s="7" t="str">
        <f>IFERROR(LET(_xlpm.v,
VLOOKUP($I1494,'用語辞書'!$A:$B,COLUMN('用語辞書'!B$1),FALSE),
IF(_xlpm.v=0,"",_xlpm.v)
),"")</f>
        <v/>
      </c>
      <c r="K1494" s="17"/>
      <c r="L1494" s="17" t="str">
        <f>IF(OR(COUNTIF('クラス'!$A$1:$A$1262,$B1494)&gt;0,$B1494="",$M1494=""),"",True)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3.0</v>
      </c>
      <c r="B1495" s="1" t="str">
        <f>D1492&amp;"の体"</f>
        <v>雷の体</v>
      </c>
      <c r="C1495" s="1"/>
      <c r="D1495" s="38"/>
      <c r="E1495" s="14" t="s">
        <v>33</v>
      </c>
      <c r="F1495" s="15">
        <v>5.0</v>
      </c>
      <c r="G1495" s="16">
        <v>20.0</v>
      </c>
      <c r="H1495" s="11" t="str">
        <f>"効果時間6t 攻撃手段:肉体 "&amp;D1492&amp;"+15 判定:攻撃"</f>
        <v>効果時間6t 攻撃手段:肉体 雷+15 判定:攻撃</v>
      </c>
      <c r="I1495" s="7"/>
      <c r="J1495" s="7" t="str">
        <f>IFERROR(LET(_xlpm.v,
VLOOKUP($I1495,'用語辞書'!$A:$B,COLUMN('用語辞書'!B$1),FALSE),
IF(_xlpm.v=0,"",_xlpm.v)
),"")</f>
        <v/>
      </c>
      <c r="K1495" s="17"/>
      <c r="L1495" s="17" t="b">
        <f>IF(OR(COUNTIF('クラス'!$A$1:$A$1262,$B1495)&gt;0,$B1495="",$M1495=""),"",True)</f>
        <v>1</v>
      </c>
      <c r="M1495" s="1" t="str">
        <f t="shared" si="26"/>
        <v>存在しない</v>
      </c>
      <c r="N1495" s="1" t="e">
        <v>#VALUE!</v>
      </c>
      <c r="O1495" s="1"/>
      <c r="P1495" s="11"/>
      <c r="Q1495" s="11"/>
      <c r="R1495" s="11"/>
      <c r="S1495" s="11"/>
      <c r="T1495" s="1"/>
      <c r="U1495" s="1"/>
      <c r="V1495" s="1"/>
      <c r="W1495" s="1"/>
      <c r="X1495" s="1"/>
      <c r="Y1495" s="1"/>
      <c r="Z1495" s="1"/>
    </row>
    <row r="1496" ht="18.0" hidden="1" customHeight="1" outlineLevel="2">
      <c r="A1496" s="1">
        <v>4.0</v>
      </c>
      <c r="B1496" s="1"/>
      <c r="C1496" s="1"/>
      <c r="D1496" s="38"/>
      <c r="E1496" s="14"/>
      <c r="F1496" s="15"/>
      <c r="G1496" s="16"/>
      <c r="H1496" s="11"/>
      <c r="I1496" s="7"/>
      <c r="J1496" s="7" t="str">
        <f>IFERROR(LET(_xlpm.v,
VLOOKUP($I1496,'用語辞書'!$A:$B,COLUMN('用語辞書'!B$1),FALSE),
IF(_xlpm.v=0,"",_xlpm.v)
),"")</f>
        <v/>
      </c>
      <c r="K1496" s="17"/>
      <c r="L1496" s="17" t="str">
        <f>IF(OR(COUNTIF('クラス'!$A$1:$A$1262,$B1496)&gt;0,$B1496="",$M1496=""),"",True)</f>
        <v/>
      </c>
      <c r="M1496" s="1" t="str">
        <f t="shared" si="26"/>
        <v>存在しない</v>
      </c>
      <c r="N1496" s="1" t="s">
        <v>29</v>
      </c>
      <c r="O1496" s="1"/>
      <c r="P1496" s="11"/>
      <c r="Q1496" s="11"/>
      <c r="R1496" s="11"/>
      <c r="S1496" s="11"/>
      <c r="T1496" s="1"/>
      <c r="U1496" s="1"/>
      <c r="V1496" s="1"/>
      <c r="W1496" s="1"/>
      <c r="X1496" s="1"/>
      <c r="Y1496" s="1"/>
      <c r="Z1496" s="1"/>
    </row>
    <row r="1497" ht="18.0" hidden="1" customHeight="1" outlineLevel="2">
      <c r="A1497" s="1">
        <v>5.0</v>
      </c>
      <c r="B1497" s="26" t="s">
        <v>1500</v>
      </c>
      <c r="C1497" s="1"/>
      <c r="D1497" s="38"/>
      <c r="E1497" s="29" t="s">
        <v>55</v>
      </c>
      <c r="F1497" s="15"/>
      <c r="G1497" s="16"/>
      <c r="H1497" s="22" t="s">
        <v>1761</v>
      </c>
      <c r="I1497" s="7"/>
      <c r="J1497" s="7" t="str">
        <f>IFERROR(LET(_xlpm.v,
VLOOKUP($I1497,'用語辞書'!$A:$B,COLUMN('用語辞書'!B$1),FALSE),
IF(_xlpm.v=0,"",_xlpm.v)
),"")</f>
        <v/>
      </c>
      <c r="K1497" s="17"/>
      <c r="L1497" s="17" t="str">
        <f>IF(OR(COUNTIF('クラス'!$A$1:$A$1262,$B1497)&gt;0,$B1497="",$M1497=""),"",True)</f>
        <v/>
      </c>
      <c r="M1497" s="1" t="str">
        <f t="shared" si="26"/>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38"/>
      <c r="E1498" s="14"/>
      <c r="F1498" s="15"/>
      <c r="G1498" s="16"/>
      <c r="H1498" s="11"/>
      <c r="I1498" s="7"/>
      <c r="J1498" s="7" t="str">
        <f>IFERROR(LET(_xlpm.v,
VLOOKUP($I1498,'用語辞書'!$A:$B,COLUMN('用語辞書'!B$1),FALSE),
IF(_xlpm.v=0,"",_xlpm.v)
),"")</f>
        <v/>
      </c>
      <c r="K1498" s="17"/>
      <c r="L1498" s="17" t="str">
        <f>IF(OR(COUNTIF('クラス'!$A$1:$A$1262,$B1498)&gt;0,$B1498="",$M1498=""),"",True)</f>
        <v/>
      </c>
      <c r="M1498" s="1" t="str">
        <f t="shared" si="26"/>
        <v>存在しない</v>
      </c>
      <c r="N1498" s="1" t="e">
        <v>#VALUE!</v>
      </c>
      <c r="O1498" s="1"/>
      <c r="P1498" s="11"/>
      <c r="Q1498" s="11"/>
      <c r="R1498" s="11"/>
      <c r="S1498" s="11"/>
      <c r="T1498" s="1"/>
      <c r="U1498" s="1"/>
      <c r="V1498" s="1"/>
      <c r="W1498" s="1"/>
      <c r="X1498" s="1"/>
      <c r="Y1498" s="1"/>
      <c r="Z1498" s="1"/>
    </row>
    <row r="1499" ht="18.0" hidden="1" customHeight="1" outlineLevel="2">
      <c r="A1499" s="1">
        <v>7.0</v>
      </c>
      <c r="B1499" s="26" t="s">
        <v>526</v>
      </c>
      <c r="C1499" s="1"/>
      <c r="D1499" s="38"/>
      <c r="E1499" s="14"/>
      <c r="F1499" s="15"/>
      <c r="G1499" s="16"/>
      <c r="H1499" s="11"/>
      <c r="I1499" s="7"/>
      <c r="J1499" s="7" t="str">
        <f>IFERROR(LET(_xlpm.v,
VLOOKUP($I1499,'用語辞書'!$A:$B,COLUMN('用語辞書'!B$1),FALSE),
IF(_xlpm.v=0,"",_xlpm.v)
),"")</f>
        <v/>
      </c>
      <c r="K1499" s="17"/>
      <c r="L1499" s="17" t="str">
        <f>IF(OR(COUNTIF('クラス'!$A$1:$A$1262,$B1499)&gt;0,$B1499="",$M1499=""),"",True)</f>
        <v/>
      </c>
      <c r="M1499" s="1" t="str">
        <f t="shared" si="26"/>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38"/>
      <c r="E1500" s="14"/>
      <c r="F1500" s="15"/>
      <c r="G1500" s="16"/>
      <c r="H1500" s="11"/>
      <c r="I1500" s="7"/>
      <c r="J1500" s="7" t="str">
        <f>IFERROR(LET(_xlpm.v,
VLOOKUP($I1500,'用語辞書'!$A:$B,COLUMN('用語辞書'!B$1),FALSE),
IF(_xlpm.v=0,"",_xlpm.v)
),"")</f>
        <v/>
      </c>
      <c r="K1500" s="17"/>
      <c r="L1500" s="17" t="str">
        <f>IF(OR(COUNTIF('クラス'!$A$1:$A$1262,$B1500)&gt;0,$B1500="",$M1500=""),"",True)</f>
        <v/>
      </c>
      <c r="M1500" s="1" t="str">
        <f t="shared" si="26"/>
        <v>存在しない</v>
      </c>
      <c r="N1500" s="1" t="s">
        <v>29</v>
      </c>
      <c r="O1500" s="1"/>
      <c r="P1500" s="11"/>
      <c r="Q1500" s="11"/>
      <c r="R1500" s="11"/>
      <c r="S1500" s="11"/>
      <c r="T1500" s="1"/>
      <c r="U1500" s="1"/>
      <c r="V1500" s="1"/>
      <c r="W1500" s="1"/>
      <c r="X1500" s="1"/>
      <c r="Y1500" s="1"/>
      <c r="Z1500" s="1"/>
    </row>
    <row r="1501" ht="18.0" hidden="1" customHeight="1" outlineLevel="2">
      <c r="A1501" s="1">
        <v>9.0</v>
      </c>
      <c r="B1501" s="1" t="str">
        <f>D1492&amp;"強化"</f>
        <v>雷強化</v>
      </c>
      <c r="C1501" s="1"/>
      <c r="D1501" s="38"/>
      <c r="E1501" s="14" t="s">
        <v>55</v>
      </c>
      <c r="F1501" s="15"/>
      <c r="G1501" s="16"/>
      <c r="H1501" s="11" t="str">
        <f>"条件系統:"&amp;D1492&amp;" 全威力+10"</f>
        <v>条件系統:雷 全威力+10</v>
      </c>
      <c r="I1501" s="7"/>
      <c r="J1501" s="7" t="str">
        <f>IFERROR(LET(_xlpm.v,
VLOOKUP($I1501,'用語辞書'!$A:$B,COLUMN('用語辞書'!B$1),FALSE),
IF(_xlpm.v=0,"",_xlpm.v)
),"")</f>
        <v/>
      </c>
      <c r="K1501" s="17"/>
      <c r="L1501" s="17" t="b">
        <f>IF(OR(COUNTIF('クラス'!$A$1:$A$1262,$B1501)&gt;0,$B1501="",$M1501=""),"",True)</f>
        <v>1</v>
      </c>
      <c r="M1501" s="1" t="str">
        <f t="shared" si="26"/>
        <v>存在しない</v>
      </c>
      <c r="N1501" s="1" t="e">
        <v>#VALUE!</v>
      </c>
      <c r="O1501" s="1"/>
      <c r="P1501" s="11"/>
      <c r="Q1501" s="11"/>
      <c r="R1501" s="11"/>
      <c r="S1501" s="11"/>
      <c r="T1501" s="1"/>
      <c r="U1501" s="1"/>
      <c r="V1501" s="1"/>
      <c r="W1501" s="1"/>
      <c r="X1501" s="1"/>
      <c r="Y1501" s="1"/>
      <c r="Z1501" s="1"/>
    </row>
    <row r="1502" ht="18.0" hidden="1" customHeight="1" outlineLevel="2">
      <c r="A1502" s="1">
        <v>10.0</v>
      </c>
      <c r="B1502" s="1" t="str">
        <f>D1492&amp;"の唾"</f>
        <v>雷の唾</v>
      </c>
      <c r="C1502" s="1"/>
      <c r="D1502" s="38" t="str">
        <f>D1492</f>
        <v>雷</v>
      </c>
      <c r="E1502" s="14" t="s">
        <v>33</v>
      </c>
      <c r="F1502" s="15"/>
      <c r="G1502" s="30">
        <v>30.0</v>
      </c>
      <c r="H1502" s="22" t="s">
        <v>1777</v>
      </c>
      <c r="I1502" s="7"/>
      <c r="J1502" s="7" t="str">
        <f>IFERROR(LET(_xlpm.v,
VLOOKUP($I1502,'用語辞書'!$A:$B,COLUMN('用語辞書'!B$1),FALSE),
IF(_xlpm.v=0,"",_xlpm.v)
),"")</f>
        <v/>
      </c>
      <c r="K1502" s="17"/>
      <c r="L1502" s="17" t="b">
        <f>IF(OR(COUNTIF('クラス'!$A$1:$A$1262,$B1502)&gt;0,$B1502="",$M1502=""),"",True)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c r="B1503" s="1"/>
      <c r="C1503" s="1"/>
      <c r="D1503" s="1"/>
      <c r="E1503" s="14"/>
      <c r="F1503" s="15"/>
      <c r="G1503" s="16"/>
      <c r="H1503" s="11"/>
      <c r="I1503" s="7"/>
      <c r="J1503" s="7" t="str">
        <f>IFERROR(LET(_xlpm.v,
VLOOKUP($I1503,'用語辞書'!$A:$B,COLUMN('用語辞書'!B$1),FALSE),
IF(_xlpm.v=0,"",_xlpm.v)
),"")</f>
        <v/>
      </c>
      <c r="K1503" s="17"/>
      <c r="L1503" s="17" t="str">
        <f>IF(OR(COUNTIF('クラス'!$A$1:$A$1262,$B1503)&gt;0,$B1503="",$M1503=""),"",True)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VLOOKUP($I1504,'用語辞書'!$A:$B,COLUMN('用語辞書'!B$1),FALSE),
IF(_xlpm.v=0,"",_xlpm.v)
),"")</f>
        <v/>
      </c>
      <c r="K1504" s="17"/>
      <c r="L1504" s="17" t="str">
        <f>IF(OR(COUNTIF('クラス'!$A$1:$A$1262,$B1504)&gt;0,$B1504="",$M1504=""),"",True)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37" t="s">
        <v>1778</v>
      </c>
      <c r="C1505" s="1"/>
      <c r="D1505" s="1" t="s">
        <v>644</v>
      </c>
      <c r="E1505" s="14" t="s">
        <v>1779</v>
      </c>
      <c r="F1505" s="15"/>
      <c r="G1505" s="16"/>
      <c r="H1505" s="11"/>
      <c r="I1505" s="7"/>
      <c r="J1505" s="7" t="str">
        <f>IFERROR(LET(_xlpm.v,
VLOOKUP($I1505,'用語辞書'!$A:$B,COLUMN('用語辞書'!B$1),FALSE),
IF(_xlpm.v=0,"",_xlpm.v)
),"")</f>
        <v/>
      </c>
      <c r="K1505" s="17"/>
      <c r="L1505" s="17" t="str">
        <f>IF(OR(COUNTIF('クラス'!$A$1:$A$1262,$B1505)&gt;0,$B1505="",$M1505=""),"",True)</f>
        <v/>
      </c>
      <c r="M1505" s="1" t="str">
        <f t="shared" si="26"/>
        <v>存在しない</v>
      </c>
      <c r="N1505" s="1" t="s">
        <v>29</v>
      </c>
      <c r="O1505" s="1"/>
      <c r="P1505" s="11"/>
      <c r="Q1505" s="11"/>
      <c r="R1505" s="11"/>
      <c r="S1505" s="11"/>
      <c r="T1505" s="1"/>
      <c r="U1505" s="1"/>
      <c r="V1505" s="1"/>
      <c r="W1505" s="1"/>
      <c r="X1505" s="1"/>
      <c r="Y1505" s="1"/>
      <c r="Z1505" s="1"/>
    </row>
    <row r="1506" ht="18.0" hidden="1" customHeight="1" outlineLevel="2">
      <c r="A1506" s="1">
        <v>1.0</v>
      </c>
      <c r="B1506" s="1" t="str">
        <f>D1505&amp;"の適用"</f>
        <v>毒の適用</v>
      </c>
      <c r="C1506" s="1"/>
      <c r="D1506" s="38"/>
      <c r="E1506" s="14" t="s">
        <v>55</v>
      </c>
      <c r="F1506" s="15"/>
      <c r="G1506" s="16"/>
      <c r="H1506" s="11" t="str">
        <f>D1505&amp;"耐性+30"</f>
        <v>毒耐性+30</v>
      </c>
      <c r="I1506" s="7"/>
      <c r="J1506" s="7" t="str">
        <f>IFERROR(LET(_xlpm.v,
VLOOKUP($I1506,'用語辞書'!$A:$B,COLUMN('用語辞書'!B$1),FALSE),
IF(_xlpm.v=0,"",_xlpm.v)
),"")</f>
        <v/>
      </c>
      <c r="K1506" s="17"/>
      <c r="L1506" s="17" t="b">
        <f>IF(OR(COUNTIF('クラス'!$A$1:$A$1262,$B1506)&gt;0,$B1506="",$M1506=""),"",True)</f>
        <v>1</v>
      </c>
      <c r="M1506" s="1" t="str">
        <f t="shared" si="26"/>
        <v>存在しない</v>
      </c>
      <c r="N1506" s="1" t="e">
        <v>#VALUE!</v>
      </c>
      <c r="O1506" s="1"/>
      <c r="P1506" s="11"/>
      <c r="Q1506" s="11"/>
      <c r="R1506" s="11"/>
      <c r="S1506" s="11"/>
      <c r="T1506" s="1"/>
      <c r="U1506" s="1"/>
      <c r="V1506" s="1"/>
      <c r="W1506" s="1"/>
      <c r="X1506" s="1"/>
      <c r="Y1506" s="1"/>
      <c r="Z1506" s="1"/>
    </row>
    <row r="1507" ht="18.0" hidden="1" customHeight="1" outlineLevel="2">
      <c r="A1507" s="1">
        <v>2.0</v>
      </c>
      <c r="B1507" s="26" t="s">
        <v>646</v>
      </c>
      <c r="C1507" s="1"/>
      <c r="D1507" s="38"/>
      <c r="E1507" s="14"/>
      <c r="F1507" s="15"/>
      <c r="G1507" s="16"/>
      <c r="H1507" s="11"/>
      <c r="I1507" s="7"/>
      <c r="J1507" s="7" t="str">
        <f>IFERROR(LET(_xlpm.v,
VLOOKUP($I1507,'用語辞書'!$A:$B,COLUMN('用語辞書'!B$1),FALSE),
IF(_xlpm.v=0,"",_xlpm.v)
),"")</f>
        <v/>
      </c>
      <c r="K1507" s="17"/>
      <c r="L1507" s="17" t="str">
        <f>IF(OR(COUNTIF('クラス'!$A$1:$A$1262,$B1507)&gt;0,$B1507="",$M1507=""),"",True)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3.0</v>
      </c>
      <c r="B1508" s="1" t="str">
        <f>D1505&amp;"の体"</f>
        <v>毒の体</v>
      </c>
      <c r="C1508" s="1"/>
      <c r="D1508" s="38"/>
      <c r="E1508" s="14" t="s">
        <v>33</v>
      </c>
      <c r="F1508" s="15">
        <v>5.0</v>
      </c>
      <c r="G1508" s="16">
        <v>20.0</v>
      </c>
      <c r="H1508" s="11" t="str">
        <f>"効果時間6t 攻撃手段:肉体 "&amp;D1505&amp;"+15 判定:攻撃"</f>
        <v>効果時間6t 攻撃手段:肉体 毒+15 判定:攻撃</v>
      </c>
      <c r="I1508" s="7"/>
      <c r="J1508" s="7" t="str">
        <f>IFERROR(LET(_xlpm.v,
VLOOKUP($I1508,'用語辞書'!$A:$B,COLUMN('用語辞書'!B$1),FALSE),
IF(_xlpm.v=0,"",_xlpm.v)
),"")</f>
        <v/>
      </c>
      <c r="K1508" s="17"/>
      <c r="L1508" s="17" t="b">
        <f>IF(OR(COUNTIF('クラス'!$A$1:$A$1262,$B1508)&gt;0,$B1508="",$M1508=""),"",True)</f>
        <v>1</v>
      </c>
      <c r="M1508" s="1" t="str">
        <f t="shared" si="26"/>
        <v>存在しない</v>
      </c>
      <c r="N1508" s="1" t="e">
        <v>#VALUE!</v>
      </c>
      <c r="O1508" s="1"/>
      <c r="P1508" s="11"/>
      <c r="Q1508" s="11"/>
      <c r="R1508" s="11"/>
      <c r="S1508" s="11"/>
      <c r="T1508" s="1"/>
      <c r="U1508" s="1"/>
      <c r="V1508" s="1"/>
      <c r="W1508" s="1"/>
      <c r="X1508" s="1"/>
      <c r="Y1508" s="1"/>
      <c r="Z1508" s="1"/>
    </row>
    <row r="1509" ht="18.0" hidden="1" customHeight="1" outlineLevel="2">
      <c r="A1509" s="1">
        <v>4.0</v>
      </c>
      <c r="B1509" s="1"/>
      <c r="C1509" s="1"/>
      <c r="D1509" s="38"/>
      <c r="E1509" s="14"/>
      <c r="F1509" s="15"/>
      <c r="G1509" s="16"/>
      <c r="H1509" s="11"/>
      <c r="I1509" s="7"/>
      <c r="J1509" s="7" t="str">
        <f>IFERROR(LET(_xlpm.v,
VLOOKUP($I1509,'用語辞書'!$A:$B,COLUMN('用語辞書'!B$1),FALSE),
IF(_xlpm.v=0,"",_xlpm.v)
),"")</f>
        <v/>
      </c>
      <c r="K1509" s="17"/>
      <c r="L1509" s="17" t="str">
        <f>IF(OR(COUNTIF('クラス'!$A$1:$A$1262,$B1509)&gt;0,$B1509="",$M1509=""),"",True)</f>
        <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5.0</v>
      </c>
      <c r="B1510" s="26" t="s">
        <v>1500</v>
      </c>
      <c r="C1510" s="1"/>
      <c r="D1510" s="38"/>
      <c r="E1510" s="29" t="s">
        <v>55</v>
      </c>
      <c r="F1510" s="15"/>
      <c r="G1510" s="16"/>
      <c r="H1510" s="22" t="s">
        <v>1761</v>
      </c>
      <c r="I1510" s="7"/>
      <c r="J1510" s="7" t="str">
        <f>IFERROR(LET(_xlpm.v,
VLOOKUP($I1510,'用語辞書'!$A:$B,COLUMN('用語辞書'!B$1),FALSE),
IF(_xlpm.v=0,"",_xlpm.v)
),"")</f>
        <v/>
      </c>
      <c r="K1510" s="17"/>
      <c r="L1510" s="17" t="str">
        <f>IF(OR(COUNTIF('クラス'!$A$1:$A$1262,$B1510)&gt;0,$B1510="",$M1510=""),"",True)</f>
        <v/>
      </c>
      <c r="M1510" s="1" t="str">
        <f t="shared" si="26"/>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38"/>
      <c r="E1511" s="14"/>
      <c r="F1511" s="15"/>
      <c r="G1511" s="16"/>
      <c r="H1511" s="11"/>
      <c r="I1511" s="7"/>
      <c r="J1511" s="7" t="str">
        <f>IFERROR(LET(_xlpm.v,
VLOOKUP($I1511,'用語辞書'!$A:$B,COLUMN('用語辞書'!B$1),FALSE),
IF(_xlpm.v=0,"",_xlpm.v)
),"")</f>
        <v/>
      </c>
      <c r="K1511" s="17"/>
      <c r="L1511" s="17" t="str">
        <f>IF(OR(COUNTIF('クラス'!$A$1:$A$1262,$B1511)&gt;0,$B1511="",$M1511=""),"",True)</f>
        <v/>
      </c>
      <c r="M1511" s="1" t="str">
        <f t="shared" si="26"/>
        <v>存在しない</v>
      </c>
      <c r="N1511" s="1" t="e">
        <v>#VALUE!</v>
      </c>
      <c r="O1511" s="1"/>
      <c r="P1511" s="11"/>
      <c r="Q1511" s="11"/>
      <c r="R1511" s="11"/>
      <c r="S1511" s="11"/>
      <c r="T1511" s="1"/>
      <c r="U1511" s="1"/>
      <c r="V1511" s="1"/>
      <c r="W1511" s="1"/>
      <c r="X1511" s="1"/>
      <c r="Y1511" s="1"/>
      <c r="Z1511" s="1"/>
    </row>
    <row r="1512" ht="18.0" hidden="1" customHeight="1" outlineLevel="2">
      <c r="A1512" s="1">
        <v>7.0</v>
      </c>
      <c r="B1512" s="26" t="s">
        <v>649</v>
      </c>
      <c r="C1512" s="1"/>
      <c r="D1512" s="38"/>
      <c r="E1512" s="14"/>
      <c r="F1512" s="15"/>
      <c r="G1512" s="16"/>
      <c r="H1512" s="11"/>
      <c r="I1512" s="7"/>
      <c r="J1512" s="7" t="str">
        <f>IFERROR(LET(_xlpm.v,
VLOOKUP($I1512,'用語辞書'!$A:$B,COLUMN('用語辞書'!B$1),FALSE),
IF(_xlpm.v=0,"",_xlpm.v)
),"")</f>
        <v/>
      </c>
      <c r="K1512" s="17"/>
      <c r="L1512" s="17" t="str">
        <f>IF(OR(COUNTIF('クラス'!$A$1:$A$1262,$B1512)&gt;0,$B1512="",$M1512=""),"",True)</f>
        <v/>
      </c>
      <c r="M1512" s="1" t="str">
        <f t="shared" si="26"/>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38"/>
      <c r="E1513" s="14"/>
      <c r="F1513" s="15"/>
      <c r="G1513" s="16"/>
      <c r="H1513" s="11"/>
      <c r="I1513" s="7"/>
      <c r="J1513" s="7" t="str">
        <f>IFERROR(LET(_xlpm.v,
VLOOKUP($I1513,'用語辞書'!$A:$B,COLUMN('用語辞書'!B$1),FALSE),
IF(_xlpm.v=0,"",_xlpm.v)
),"")</f>
        <v/>
      </c>
      <c r="K1513" s="17"/>
      <c r="L1513" s="17" t="str">
        <f>IF(OR(COUNTIF('クラス'!$A$1:$A$1262,$B1513)&gt;0,$B1513="",$M1513=""),"",True)</f>
        <v/>
      </c>
      <c r="M1513" s="1" t="str">
        <f t="shared" si="26"/>
        <v>存在しない</v>
      </c>
      <c r="N1513" s="1" t="s">
        <v>29</v>
      </c>
      <c r="O1513" s="1"/>
      <c r="P1513" s="11"/>
      <c r="Q1513" s="11"/>
      <c r="R1513" s="11"/>
      <c r="S1513" s="11"/>
      <c r="T1513" s="1"/>
      <c r="U1513" s="1"/>
      <c r="V1513" s="1"/>
      <c r="W1513" s="1"/>
      <c r="X1513" s="1"/>
      <c r="Y1513" s="1"/>
      <c r="Z1513" s="1"/>
    </row>
    <row r="1514" ht="18.0" hidden="1" customHeight="1" outlineLevel="2">
      <c r="A1514" s="1">
        <v>9.0</v>
      </c>
      <c r="B1514" s="1" t="str">
        <f>D1505&amp;"強化"</f>
        <v>毒強化</v>
      </c>
      <c r="C1514" s="1"/>
      <c r="D1514" s="38"/>
      <c r="E1514" s="14" t="s">
        <v>55</v>
      </c>
      <c r="F1514" s="15"/>
      <c r="G1514" s="16"/>
      <c r="H1514" s="11" t="str">
        <f>"条件系統:"&amp;D1505&amp;" 全威力+10"</f>
        <v>条件系統:毒 全威力+10</v>
      </c>
      <c r="I1514" s="7"/>
      <c r="J1514" s="7" t="str">
        <f>IFERROR(LET(_xlpm.v,
VLOOKUP($I1514,'用語辞書'!$A:$B,COLUMN('用語辞書'!B$1),FALSE),
IF(_xlpm.v=0,"",_xlpm.v)
),"")</f>
        <v/>
      </c>
      <c r="K1514" s="17"/>
      <c r="L1514" s="17" t="b">
        <f>IF(OR(COUNTIF('クラス'!$A$1:$A$1262,$B1514)&gt;0,$B1514="",$M1514=""),"",True)</f>
        <v>1</v>
      </c>
      <c r="M1514" s="1" t="str">
        <f t="shared" si="26"/>
        <v>存在しない</v>
      </c>
      <c r="N1514" s="1" t="e">
        <v>#VALUE!</v>
      </c>
      <c r="O1514" s="1"/>
      <c r="P1514" s="11"/>
      <c r="Q1514" s="11"/>
      <c r="R1514" s="11"/>
      <c r="S1514" s="11"/>
      <c r="T1514" s="1"/>
      <c r="U1514" s="1"/>
      <c r="V1514" s="1"/>
      <c r="W1514" s="1"/>
      <c r="X1514" s="1"/>
      <c r="Y1514" s="1"/>
      <c r="Z1514" s="1"/>
    </row>
    <row r="1515" ht="18.0" hidden="1" customHeight="1" outlineLevel="2">
      <c r="A1515" s="1">
        <v>10.0</v>
      </c>
      <c r="B1515" s="1" t="str">
        <f>D1505&amp;"の唾"</f>
        <v>毒の唾</v>
      </c>
      <c r="C1515" s="1"/>
      <c r="D1515" s="38" t="str">
        <f>D1505</f>
        <v>毒</v>
      </c>
      <c r="E1515" s="14" t="s">
        <v>33</v>
      </c>
      <c r="F1515" s="15"/>
      <c r="G1515" s="30">
        <v>30.0</v>
      </c>
      <c r="H1515" s="22" t="s">
        <v>1780</v>
      </c>
      <c r="I1515" s="7"/>
      <c r="J1515" s="7" t="str">
        <f>IFERROR(LET(_xlpm.v,
VLOOKUP($I1515,'用語辞書'!$A:$B,COLUMN('用語辞書'!B$1),FALSE),
IF(_xlpm.v=0,"",_xlpm.v)
),"")</f>
        <v/>
      </c>
      <c r="K1515" s="17"/>
      <c r="L1515" s="17" t="b">
        <f>IF(OR(COUNTIF('クラス'!$A$1:$A$1262,$B1515)&gt;0,$B1515="",$M1515=""),"",True)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c r="B1516" s="1"/>
      <c r="C1516" s="1"/>
      <c r="D1516" s="1"/>
      <c r="E1516" s="14"/>
      <c r="F1516" s="15"/>
      <c r="G1516" s="16"/>
      <c r="H1516" s="11"/>
      <c r="I1516" s="7"/>
      <c r="J1516" s="7" t="str">
        <f>IFERROR(LET(_xlpm.v,
VLOOKUP($I1516,'用語辞書'!$A:$B,COLUMN('用語辞書'!B$1),FALSE),
IF(_xlpm.v=0,"",_xlpm.v)
),"")</f>
        <v/>
      </c>
      <c r="K1516" s="17"/>
      <c r="L1516" s="17" t="str">
        <f>IF(OR(COUNTIF('クラス'!$A$1:$A$1262,$B1516)&gt;0,$B1516="",$M1516=""),"",True)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VLOOKUP($I1517,'用語辞書'!$A:$B,COLUMN('用語辞書'!B$1),FALSE),
IF(_xlpm.v=0,"",_xlpm.v)
),"")</f>
        <v/>
      </c>
      <c r="K1517" s="17"/>
      <c r="L1517" s="17" t="str">
        <f>IF(OR(COUNTIF('クラス'!$A$1:$A$1262,$B1517)&gt;0,$B1517="",$M1517=""),"",True)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37" t="s">
        <v>1781</v>
      </c>
      <c r="C1518" s="1"/>
      <c r="D1518" s="1" t="s">
        <v>1782</v>
      </c>
      <c r="E1518" s="14"/>
      <c r="F1518" s="15"/>
      <c r="G1518" s="16"/>
      <c r="H1518" s="11"/>
      <c r="I1518" s="7"/>
      <c r="J1518" s="7" t="str">
        <f>IFERROR(LET(_xlpm.v,
VLOOKUP($I1518,'用語辞書'!$A:$B,COLUMN('用語辞書'!B$1),FALSE),
IF(_xlpm.v=0,"",_xlpm.v)
),"")</f>
        <v/>
      </c>
      <c r="K1518" s="17"/>
      <c r="L1518" s="17" t="str">
        <f>IF(OR(COUNTIF('クラス'!$A$1:$A$1262,$B1518)&gt;0,$B1518="",$M1518=""),"",True)</f>
        <v/>
      </c>
      <c r="M1518" s="1" t="str">
        <f t="shared" si="26"/>
        <v>存在しない</v>
      </c>
      <c r="N1518" s="1" t="s">
        <v>29</v>
      </c>
      <c r="O1518" s="1"/>
      <c r="P1518" s="11"/>
      <c r="Q1518" s="11"/>
      <c r="R1518" s="11"/>
      <c r="S1518" s="11"/>
      <c r="T1518" s="1"/>
      <c r="U1518" s="1"/>
      <c r="V1518" s="1"/>
      <c r="W1518" s="1"/>
      <c r="X1518" s="1"/>
      <c r="Y1518" s="1"/>
      <c r="Z1518" s="1"/>
    </row>
    <row r="1519" ht="18.0" hidden="1" customHeight="1" outlineLevel="2">
      <c r="A1519" s="1">
        <v>1.0</v>
      </c>
      <c r="B1519" s="1" t="s">
        <v>1783</v>
      </c>
      <c r="C1519" s="1"/>
      <c r="D1519" s="38"/>
      <c r="E1519" s="14" t="s">
        <v>55</v>
      </c>
      <c r="F1519" s="15"/>
      <c r="G1519" s="16"/>
      <c r="H1519" s="11" t="str">
        <f>D1518&amp;"耐性+30"</f>
        <v>打撃耐性+30</v>
      </c>
      <c r="I1519" s="7"/>
      <c r="J1519" s="7" t="str">
        <f>IFERROR(LET(_xlpm.v,
VLOOKUP($I1519,'用語辞書'!$A:$B,COLUMN('用語辞書'!B$1),FALSE),
IF(_xlpm.v=0,"",_xlpm.v)
),"")</f>
        <v/>
      </c>
      <c r="K1519" s="17"/>
      <c r="L1519" s="17" t="b">
        <f>IF(OR(COUNTIF('クラス'!$A$1:$A$1262,$B1519)&gt;0,$B1519="",$M1519=""),"",True)</f>
        <v>1</v>
      </c>
      <c r="M1519" s="1" t="str">
        <f t="shared" si="26"/>
        <v>存在しない</v>
      </c>
      <c r="N1519" s="1" t="e">
        <v>#VALUE!</v>
      </c>
      <c r="O1519" s="1"/>
      <c r="P1519" s="11"/>
      <c r="Q1519" s="11"/>
      <c r="R1519" s="11"/>
      <c r="S1519" s="11"/>
      <c r="T1519" s="1"/>
      <c r="U1519" s="1"/>
      <c r="V1519" s="1"/>
      <c r="W1519" s="1"/>
      <c r="X1519" s="1"/>
      <c r="Y1519" s="1"/>
      <c r="Z1519" s="1"/>
    </row>
    <row r="1520" ht="18.0" hidden="1" customHeight="1" outlineLevel="2">
      <c r="A1520" s="1">
        <v>2.0</v>
      </c>
      <c r="B1520" s="26" t="s">
        <v>458</v>
      </c>
      <c r="C1520" s="1"/>
      <c r="D1520" s="38"/>
      <c r="E1520" s="14"/>
      <c r="F1520" s="15"/>
      <c r="G1520" s="16"/>
      <c r="H1520" s="11"/>
      <c r="I1520" s="7"/>
      <c r="J1520" s="7" t="str">
        <f>IFERROR(LET(_xlpm.v,
VLOOKUP($I1520,'用語辞書'!$A:$B,COLUMN('用語辞書'!B$1),FALSE),
IF(_xlpm.v=0,"",_xlpm.v)
),"")</f>
        <v/>
      </c>
      <c r="K1520" s="17"/>
      <c r="L1520" s="17" t="str">
        <f>IF(OR(COUNTIF('クラス'!$A$1:$A$1262,$B1520)&gt;0,$B1520="",$M1520=""),"",True)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3.0</v>
      </c>
      <c r="B1521" s="1" t="s">
        <v>1784</v>
      </c>
      <c r="C1521" s="1"/>
      <c r="D1521" s="38"/>
      <c r="E1521" s="14" t="s">
        <v>33</v>
      </c>
      <c r="F1521" s="15">
        <v>5.0</v>
      </c>
      <c r="G1521" s="16">
        <v>20.0</v>
      </c>
      <c r="H1521" s="11" t="str">
        <f>"効果時間6t 攻撃手段:肉体 "&amp;D1518&amp;"+15 判定:攻撃"</f>
        <v>効果時間6t 攻撃手段:肉体 打撃+15 判定:攻撃</v>
      </c>
      <c r="I1521" s="7"/>
      <c r="J1521" s="7" t="str">
        <f>IFERROR(LET(_xlpm.v,
VLOOKUP($I1521,'用語辞書'!$A:$B,COLUMN('用語辞書'!B$1),FALSE),
IF(_xlpm.v=0,"",_xlpm.v)
),"")</f>
        <v/>
      </c>
      <c r="K1521" s="17"/>
      <c r="L1521" s="17" t="b">
        <f>IF(OR(COUNTIF('クラス'!$A$1:$A$1262,$B1521)&gt;0,$B1521="",$M1521=""),"",True)</f>
        <v>1</v>
      </c>
      <c r="M1521" s="1" t="str">
        <f t="shared" si="26"/>
        <v>存在しない</v>
      </c>
      <c r="N1521" s="1" t="e">
        <v>#VALUE!</v>
      </c>
      <c r="O1521" s="1"/>
      <c r="P1521" s="11"/>
      <c r="Q1521" s="11"/>
      <c r="R1521" s="11"/>
      <c r="S1521" s="11"/>
      <c r="T1521" s="1"/>
      <c r="U1521" s="1"/>
      <c r="V1521" s="1"/>
      <c r="W1521" s="1"/>
      <c r="X1521" s="1"/>
      <c r="Y1521" s="1"/>
      <c r="Z1521" s="1"/>
    </row>
    <row r="1522" ht="18.0" hidden="1" customHeight="1" outlineLevel="2">
      <c r="A1522" s="1">
        <v>4.0</v>
      </c>
      <c r="B1522" s="1"/>
      <c r="C1522" s="1"/>
      <c r="D1522" s="38"/>
      <c r="E1522" s="14"/>
      <c r="F1522" s="15"/>
      <c r="G1522" s="16"/>
      <c r="H1522" s="11"/>
      <c r="I1522" s="7"/>
      <c r="J1522" s="7" t="str">
        <f>IFERROR(LET(_xlpm.v,
VLOOKUP($I1522,'用語辞書'!$A:$B,COLUMN('用語辞書'!B$1),FALSE),
IF(_xlpm.v=0,"",_xlpm.v)
),"")</f>
        <v/>
      </c>
      <c r="K1522" s="17"/>
      <c r="L1522" s="17" t="str">
        <f>IF(OR(COUNTIF('クラス'!$A$1:$A$1262,$B1522)&gt;0,$B1522="",$M1522=""),"",True)</f>
        <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5.0</v>
      </c>
      <c r="B1523" s="26" t="s">
        <v>1500</v>
      </c>
      <c r="C1523" s="1"/>
      <c r="D1523" s="38"/>
      <c r="E1523" s="29" t="s">
        <v>55</v>
      </c>
      <c r="F1523" s="15"/>
      <c r="G1523" s="16"/>
      <c r="H1523" s="22" t="s">
        <v>1761</v>
      </c>
      <c r="I1523" s="7"/>
      <c r="J1523" s="7" t="str">
        <f>IFERROR(LET(_xlpm.v,
VLOOKUP($I1523,'用語辞書'!$A:$B,COLUMN('用語辞書'!B$1),FALSE),
IF(_xlpm.v=0,"",_xlpm.v)
),"")</f>
        <v/>
      </c>
      <c r="K1523" s="17"/>
      <c r="L1523" s="17" t="str">
        <f>IF(OR(COUNTIF('クラス'!$A$1:$A$1262,$B1523)&gt;0,$B1523="",$M1523=""),"",True)</f>
        <v/>
      </c>
      <c r="M1523" s="1" t="str">
        <f t="shared" si="26"/>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38"/>
      <c r="E1524" s="14"/>
      <c r="F1524" s="15"/>
      <c r="G1524" s="16"/>
      <c r="H1524" s="11"/>
      <c r="I1524" s="7"/>
      <c r="J1524" s="7" t="str">
        <f>IFERROR(LET(_xlpm.v,
VLOOKUP($I1524,'用語辞書'!$A:$B,COLUMN('用語辞書'!B$1),FALSE),
IF(_xlpm.v=0,"",_xlpm.v)
),"")</f>
        <v/>
      </c>
      <c r="K1524" s="17"/>
      <c r="L1524" s="17" t="str">
        <f>IF(OR(COUNTIF('クラス'!$A$1:$A$1262,$B1524)&gt;0,$B1524="",$M1524=""),"",True)</f>
        <v/>
      </c>
      <c r="M1524" s="1" t="str">
        <f t="shared" si="26"/>
        <v>存在しない</v>
      </c>
      <c r="N1524" s="1" t="s">
        <v>29</v>
      </c>
      <c r="O1524" s="1"/>
      <c r="P1524" s="11"/>
      <c r="Q1524" s="11"/>
      <c r="R1524" s="11"/>
      <c r="S1524" s="11"/>
      <c r="T1524" s="1"/>
      <c r="U1524" s="1"/>
      <c r="V1524" s="1"/>
      <c r="W1524" s="1"/>
      <c r="X1524" s="1"/>
      <c r="Y1524" s="1"/>
      <c r="Z1524" s="1"/>
    </row>
    <row r="1525" ht="18.0" hidden="1" customHeight="1" outlineLevel="2">
      <c r="A1525" s="1">
        <v>7.0</v>
      </c>
      <c r="B1525" s="26" t="s">
        <v>465</v>
      </c>
      <c r="C1525" s="1"/>
      <c r="D1525" s="38"/>
      <c r="E1525" s="14"/>
      <c r="F1525" s="15"/>
      <c r="G1525" s="16"/>
      <c r="H1525" s="11"/>
      <c r="I1525" s="7"/>
      <c r="J1525" s="7" t="str">
        <f>IFERROR(LET(_xlpm.v,
VLOOKUP($I1525,'用語辞書'!$A:$B,COLUMN('用語辞書'!B$1),FALSE),
IF(_xlpm.v=0,"",_xlpm.v)
),"")</f>
        <v/>
      </c>
      <c r="K1525" s="17"/>
      <c r="L1525" s="17" t="str">
        <f>IF(OR(COUNTIF('クラス'!$A$1:$A$1262,$B1525)&gt;0,$B1525="",$M1525=""),"",True)</f>
        <v/>
      </c>
      <c r="M1525" s="1" t="str">
        <f t="shared" si="26"/>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38"/>
      <c r="E1526" s="14"/>
      <c r="F1526" s="15"/>
      <c r="G1526" s="16"/>
      <c r="H1526" s="11"/>
      <c r="I1526" s="7"/>
      <c r="J1526" s="7" t="str">
        <f>IFERROR(LET(_xlpm.v,
VLOOKUP($I1526,'用語辞書'!$A:$B,COLUMN('用語辞書'!B$1),FALSE),
IF(_xlpm.v=0,"",_xlpm.v)
),"")</f>
        <v/>
      </c>
      <c r="K1526" s="17"/>
      <c r="L1526" s="17" t="str">
        <f>IF(OR(COUNTIF('クラス'!$A$1:$A$1262,$B1526)&gt;0,$B1526="",$M1526=""),"",True)</f>
        <v/>
      </c>
      <c r="M1526" s="1" t="str">
        <f t="shared" si="26"/>
        <v>存在しない</v>
      </c>
      <c r="N1526" s="1" t="s">
        <v>29</v>
      </c>
      <c r="O1526" s="1"/>
      <c r="P1526" s="11"/>
      <c r="Q1526" s="11"/>
      <c r="R1526" s="11"/>
      <c r="S1526" s="11"/>
      <c r="T1526" s="1"/>
      <c r="U1526" s="1"/>
      <c r="V1526" s="1"/>
      <c r="W1526" s="1"/>
      <c r="X1526" s="1"/>
      <c r="Y1526" s="1"/>
      <c r="Z1526" s="1"/>
    </row>
    <row r="1527" ht="18.0" hidden="1" customHeight="1" outlineLevel="2">
      <c r="A1527" s="1">
        <v>9.0</v>
      </c>
      <c r="B1527" s="1" t="s">
        <v>1785</v>
      </c>
      <c r="C1527" s="1"/>
      <c r="D1527" s="38"/>
      <c r="E1527" s="14" t="s">
        <v>55</v>
      </c>
      <c r="F1527" s="15"/>
      <c r="G1527" s="16"/>
      <c r="H1527" s="11" t="str">
        <f>"条件系統:"&amp;D1518&amp;" 全威力+10"</f>
        <v>条件系統:打撃 全威力+10</v>
      </c>
      <c r="I1527" s="7"/>
      <c r="J1527" s="7" t="str">
        <f>IFERROR(LET(_xlpm.v,
VLOOKUP($I1527,'用語辞書'!$A:$B,COLUMN('用語辞書'!B$1),FALSE),
IF(_xlpm.v=0,"",_xlpm.v)
),"")</f>
        <v/>
      </c>
      <c r="K1527" s="17"/>
      <c r="L1527" s="17" t="b">
        <f>IF(OR(COUNTIF('クラス'!$A$1:$A$1262,$B1527)&gt;0,$B1527="",$M1527=""),"",True)</f>
        <v>1</v>
      </c>
      <c r="M1527" s="1" t="str">
        <f t="shared" si="26"/>
        <v>存在しない</v>
      </c>
      <c r="N1527" s="1" t="e">
        <v>#VALUE!</v>
      </c>
      <c r="O1527" s="1"/>
      <c r="P1527" s="11"/>
      <c r="Q1527" s="11"/>
      <c r="R1527" s="11"/>
      <c r="S1527" s="11"/>
      <c r="T1527" s="1"/>
      <c r="U1527" s="1"/>
      <c r="V1527" s="1"/>
      <c r="W1527" s="1"/>
      <c r="X1527" s="1"/>
      <c r="Y1527" s="1"/>
      <c r="Z1527" s="1"/>
    </row>
    <row r="1528" ht="18.0" hidden="1" customHeight="1" outlineLevel="2">
      <c r="A1528" s="1">
        <v>10.0</v>
      </c>
      <c r="B1528" s="1" t="s">
        <v>1786</v>
      </c>
      <c r="C1528" s="1"/>
      <c r="D1528" s="38" t="s">
        <v>453</v>
      </c>
      <c r="E1528" s="14" t="s">
        <v>33</v>
      </c>
      <c r="F1528" s="15"/>
      <c r="G1528" s="30">
        <v>30.0</v>
      </c>
      <c r="H1528" s="22" t="s">
        <v>1787</v>
      </c>
      <c r="I1528" s="7" t="s">
        <v>1249</v>
      </c>
      <c r="J1528" s="7" t="str">
        <f>IFERROR(LET(_xlpm.v,
VLOOKUP($I1528,'用語辞書'!$A:$B,COLUMN('用語辞書'!B$1),FALSE),
IF(_xlpm.v=0,"",_xlpm.v)
),"")</f>
        <v>対象を後方へ移動させる</v>
      </c>
      <c r="K1528" s="17"/>
      <c r="L1528" s="17" t="b">
        <f>IF(OR(COUNTIF('クラス'!$A$1:$A$1262,$B1528)&gt;0,$B1528="",$M1528=""),"",True)</f>
        <v>1</v>
      </c>
      <c r="M1528" s="1" t="str">
        <f t="shared" si="26"/>
        <v>存在しない</v>
      </c>
      <c r="N1528" s="1" t="e">
        <v>#VALUE!</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VLOOKUP($I1529,'用語辞書'!$A:$B,COLUMN('用語辞書'!B$1),FALSE),
IF(_xlpm.v=0,"",_xlpm.v)
),"")</f>
        <v/>
      </c>
      <c r="K1529" s="17"/>
      <c r="L1529" s="17" t="str">
        <f>IF(OR(COUNTIF('クラス'!$A$1:$A$1262,$B1529)&gt;0,$B1529="",$M1529=""),"",True)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VLOOKUP($I1530,'用語辞書'!$A:$B,COLUMN('用語辞書'!B$1),FALSE),
IF(_xlpm.v=0,"",_xlpm.v)
),"")</f>
        <v/>
      </c>
      <c r="K1530" s="17"/>
      <c r="L1530" s="17" t="str">
        <f>IF(OR(COUNTIF('クラス'!$A$1:$A$1262,$B1530)&gt;0,$B1530="",$M1530=""),"",True)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37" t="s">
        <v>1788</v>
      </c>
      <c r="C1531" s="1"/>
      <c r="D1531" s="1"/>
      <c r="E1531" s="14"/>
      <c r="F1531" s="15"/>
      <c r="G1531" s="16"/>
      <c r="H1531" s="11"/>
      <c r="I1531" s="7"/>
      <c r="J1531" s="7"/>
      <c r="K1531" s="17"/>
      <c r="L1531" s="17"/>
      <c r="M1531" s="1"/>
      <c r="N1531" s="1"/>
      <c r="O1531" s="1"/>
      <c r="P1531" s="11"/>
      <c r="Q1531" s="11"/>
      <c r="R1531" s="11"/>
      <c r="S1531" s="11"/>
      <c r="T1531" s="1"/>
      <c r="U1531" s="1"/>
      <c r="V1531" s="1"/>
      <c r="W1531" s="1"/>
      <c r="X1531" s="1"/>
      <c r="Y1531" s="1"/>
      <c r="Z1531" s="1"/>
    </row>
    <row r="1532" ht="18.0" hidden="1" customHeight="1" outlineLevel="2">
      <c r="A1532" s="1">
        <v>1.0</v>
      </c>
      <c r="B1532" s="1" t="s">
        <v>1789</v>
      </c>
      <c r="C1532" s="1"/>
      <c r="D1532" s="38" t="s">
        <v>965</v>
      </c>
      <c r="E1532" s="14" t="s">
        <v>55</v>
      </c>
      <c r="F1532" s="15"/>
      <c r="G1532" s="16"/>
      <c r="H1532" s="11" t="s">
        <v>1790</v>
      </c>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2.0</v>
      </c>
      <c r="B1533" s="26" t="s">
        <v>966</v>
      </c>
      <c r="C1533" s="1"/>
      <c r="D1533" s="38"/>
      <c r="E1533" s="14"/>
      <c r="F1533" s="15"/>
      <c r="G1533" s="16"/>
      <c r="H1533" s="11"/>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3.0</v>
      </c>
      <c r="B1534" s="1" t="s">
        <v>1791</v>
      </c>
      <c r="C1534" s="1"/>
      <c r="D1534" s="38" t="s">
        <v>965</v>
      </c>
      <c r="E1534" s="14" t="s">
        <v>33</v>
      </c>
      <c r="F1534" s="15">
        <v>5.0</v>
      </c>
      <c r="G1534" s="16">
        <v>20.0</v>
      </c>
      <c r="H1534" s="11" t="s">
        <v>1792</v>
      </c>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4.0</v>
      </c>
      <c r="B1535" s="1"/>
      <c r="C1535" s="1"/>
      <c r="D1535" s="38"/>
      <c r="E1535" s="14"/>
      <c r="F1535" s="15"/>
      <c r="G1535" s="16"/>
      <c r="H1535" s="11"/>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5.0</v>
      </c>
      <c r="B1536" s="26" t="s">
        <v>1500</v>
      </c>
      <c r="C1536" s="1"/>
      <c r="D1536" s="38"/>
      <c r="E1536" s="29" t="s">
        <v>55</v>
      </c>
      <c r="F1536" s="15"/>
      <c r="G1536" s="16"/>
      <c r="H1536" s="22" t="s">
        <v>1761</v>
      </c>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6.0</v>
      </c>
      <c r="B1537" s="1"/>
      <c r="C1537" s="1"/>
      <c r="D1537" s="38"/>
      <c r="E1537" s="14"/>
      <c r="F1537" s="15"/>
      <c r="G1537" s="16"/>
      <c r="H1537" s="11"/>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7.0</v>
      </c>
      <c r="B1538" s="26" t="s">
        <v>978</v>
      </c>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8.0</v>
      </c>
      <c r="B1539" s="1"/>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9.0</v>
      </c>
      <c r="B1540" s="1" t="s">
        <v>1793</v>
      </c>
      <c r="C1540" s="1"/>
      <c r="D1540" s="38"/>
      <c r="E1540" s="14" t="s">
        <v>55</v>
      </c>
      <c r="F1540" s="15"/>
      <c r="G1540" s="16"/>
      <c r="H1540" s="11" t="s">
        <v>1794</v>
      </c>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10.0</v>
      </c>
      <c r="B1541" s="1" t="s">
        <v>1795</v>
      </c>
      <c r="C1541" s="1"/>
      <c r="D1541" s="38" t="s">
        <v>965</v>
      </c>
      <c r="E1541" s="14" t="s">
        <v>33</v>
      </c>
      <c r="F1541" s="15"/>
      <c r="G1541" s="30">
        <v>60.0</v>
      </c>
      <c r="H1541" s="22" t="s">
        <v>1796</v>
      </c>
      <c r="I1541" s="7"/>
      <c r="J1541" s="7"/>
      <c r="K1541" s="17"/>
      <c r="L1541" s="17"/>
      <c r="M1541" s="1"/>
      <c r="N1541" s="1"/>
      <c r="O1541" s="1"/>
      <c r="P1541" s="11"/>
      <c r="Q1541" s="11"/>
      <c r="R1541" s="11"/>
      <c r="S1541" s="11"/>
      <c r="T1541" s="1"/>
      <c r="U1541" s="1"/>
      <c r="V1541" s="1"/>
      <c r="W1541" s="1"/>
      <c r="X1541" s="1"/>
      <c r="Y1541" s="1"/>
      <c r="Z1541" s="1"/>
    </row>
    <row r="1542" ht="18.0" customHeight="1" outlineLevel="1" collapsed="1">
      <c r="A1542" s="1"/>
      <c r="B1542" s="1"/>
      <c r="C1542" s="1"/>
      <c r="D1542" s="1"/>
      <c r="E1542" s="14"/>
      <c r="F1542" s="15"/>
      <c r="G1542" s="16"/>
      <c r="H1542" s="11"/>
      <c r="I1542" s="7"/>
      <c r="J1542" s="7"/>
      <c r="K1542" s="17"/>
      <c r="L1542" s="17"/>
      <c r="M1542" s="1"/>
      <c r="N1542" s="1"/>
      <c r="O1542" s="1"/>
      <c r="P1542" s="11"/>
      <c r="Q1542" s="11"/>
      <c r="R1542" s="11"/>
      <c r="S1542" s="11"/>
      <c r="T1542" s="1"/>
      <c r="U1542" s="1"/>
      <c r="V1542" s="1"/>
      <c r="W1542" s="1"/>
      <c r="X1542" s="1"/>
      <c r="Y1542" s="1"/>
      <c r="Z1542" s="1"/>
    </row>
    <row r="1543" ht="18.0" customHeight="1" outlineLevel="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39" t="s">
        <v>1797</v>
      </c>
      <c r="C1544" s="1"/>
      <c r="D1544" s="1" t="s">
        <v>1782</v>
      </c>
      <c r="E1544" s="14"/>
      <c r="F1544" s="15"/>
      <c r="G1544" s="16"/>
      <c r="H1544" s="11"/>
      <c r="I1544" s="7"/>
      <c r="J1544" s="7" t="s">
        <v>29</v>
      </c>
      <c r="K1544" s="17"/>
      <c r="L1544" s="17" t="s">
        <v>29</v>
      </c>
      <c r="M1544" s="1" t="s">
        <v>1798</v>
      </c>
      <c r="N1544" s="1" t="s">
        <v>29</v>
      </c>
      <c r="O1544" s="1"/>
      <c r="P1544" s="11"/>
      <c r="Q1544" s="11"/>
      <c r="R1544" s="11"/>
      <c r="S1544" s="11"/>
      <c r="T1544" s="1"/>
      <c r="U1544" s="1"/>
      <c r="V1544" s="1"/>
      <c r="W1544" s="1"/>
      <c r="X1544" s="1"/>
      <c r="Y1544" s="1"/>
      <c r="Z1544" s="1"/>
    </row>
    <row r="1545" ht="18.0" hidden="1" customHeight="1" outlineLevel="2">
      <c r="A1545" s="26">
        <v>1.0</v>
      </c>
      <c r="B1545" s="26" t="s">
        <v>1799</v>
      </c>
      <c r="C1545" s="1"/>
      <c r="D1545" s="38"/>
      <c r="E1545" s="29" t="s">
        <v>55</v>
      </c>
      <c r="F1545" s="15"/>
      <c r="G1545" s="16"/>
      <c r="H1545" s="22" t="s">
        <v>1800</v>
      </c>
      <c r="I1545" s="7"/>
      <c r="J1545" s="32" t="s">
        <v>1801</v>
      </c>
      <c r="K1545" s="17"/>
      <c r="L1545" s="17" t="b">
        <v>1</v>
      </c>
      <c r="M1545" s="1" t="s">
        <v>1798</v>
      </c>
      <c r="N1545" s="1" t="e">
        <v>#VALUE!</v>
      </c>
      <c r="O1545" s="1"/>
      <c r="P1545" s="11"/>
      <c r="Q1545" s="11"/>
      <c r="R1545" s="11"/>
      <c r="S1545" s="11"/>
      <c r="T1545" s="1"/>
      <c r="U1545" s="1"/>
      <c r="V1545" s="1"/>
      <c r="W1545" s="1"/>
      <c r="X1545" s="1"/>
      <c r="Y1545" s="1"/>
      <c r="Z1545" s="1"/>
    </row>
    <row r="1546" ht="18.0" hidden="1" customHeight="1" outlineLevel="2">
      <c r="A1546" s="26">
        <v>2.0</v>
      </c>
      <c r="B1546" s="26" t="s">
        <v>788</v>
      </c>
      <c r="C1546" s="1"/>
      <c r="D1546" s="38"/>
      <c r="E1546" s="14"/>
      <c r="F1546" s="15"/>
      <c r="G1546" s="16"/>
      <c r="H1546" s="11"/>
      <c r="I1546" s="7"/>
      <c r="J1546" s="7" t="s">
        <v>29</v>
      </c>
      <c r="K1546" s="17"/>
      <c r="L1546" s="17" t="s">
        <v>29</v>
      </c>
      <c r="M1546" s="1" t="s">
        <v>29</v>
      </c>
      <c r="N1546" s="1" t="s">
        <v>29</v>
      </c>
      <c r="O1546" s="1"/>
      <c r="P1546" s="11"/>
      <c r="Q1546" s="11"/>
      <c r="R1546" s="11"/>
      <c r="S1546" s="11"/>
      <c r="T1546" s="1"/>
      <c r="U1546" s="1"/>
      <c r="V1546" s="1"/>
      <c r="W1546" s="1"/>
      <c r="X1546" s="1"/>
      <c r="Y1546" s="1"/>
      <c r="Z1546" s="1"/>
    </row>
    <row r="1547" ht="18.0" hidden="1" customHeight="1" outlineLevel="2">
      <c r="A1547" s="26">
        <v>3.0</v>
      </c>
      <c r="B1547" s="26" t="s">
        <v>1802</v>
      </c>
      <c r="C1547" s="1"/>
      <c r="D1547" s="40" t="s">
        <v>1803</v>
      </c>
      <c r="E1547" s="29" t="s">
        <v>33</v>
      </c>
      <c r="F1547" s="34">
        <v>5.0</v>
      </c>
      <c r="G1547" s="30">
        <v>20.0</v>
      </c>
      <c r="H1547" s="22" t="s">
        <v>1804</v>
      </c>
      <c r="I1547" s="7"/>
      <c r="J1547" s="32" t="s">
        <v>1805</v>
      </c>
      <c r="K1547" s="17"/>
      <c r="L1547" s="17" t="b">
        <v>1</v>
      </c>
      <c r="M1547" s="1" t="s">
        <v>1798</v>
      </c>
      <c r="N1547" s="1" t="e">
        <v>#VALUE!</v>
      </c>
      <c r="O1547" s="1"/>
      <c r="P1547" s="11"/>
      <c r="Q1547" s="11"/>
      <c r="R1547" s="11"/>
      <c r="S1547" s="11"/>
      <c r="T1547" s="1"/>
      <c r="U1547" s="1"/>
      <c r="V1547" s="1"/>
      <c r="W1547" s="1"/>
      <c r="X1547" s="1"/>
      <c r="Y1547" s="1"/>
      <c r="Z1547" s="1"/>
    </row>
    <row r="1548" ht="18.0" hidden="1" customHeight="1" outlineLevel="2">
      <c r="A1548" s="26">
        <v>4.0</v>
      </c>
      <c r="B1548" s="1"/>
      <c r="C1548" s="1"/>
      <c r="D1548" s="38"/>
      <c r="E1548" s="14"/>
      <c r="F1548" s="15"/>
      <c r="G1548" s="16"/>
      <c r="H1548" s="11"/>
      <c r="I1548" s="7"/>
      <c r="J1548" s="7" t="s">
        <v>29</v>
      </c>
      <c r="K1548" s="17"/>
      <c r="L1548" s="17" t="s">
        <v>29</v>
      </c>
      <c r="M1548" s="1" t="s">
        <v>1798</v>
      </c>
      <c r="N1548" s="1" t="s">
        <v>29</v>
      </c>
      <c r="O1548" s="1"/>
      <c r="P1548" s="11"/>
      <c r="Q1548" s="11"/>
      <c r="R1548" s="11"/>
      <c r="S1548" s="11"/>
      <c r="T1548" s="1"/>
      <c r="U1548" s="1"/>
      <c r="V1548" s="1"/>
      <c r="W1548" s="1"/>
      <c r="X1548" s="1"/>
      <c r="Y1548" s="1"/>
      <c r="Z1548" s="1"/>
    </row>
    <row r="1549" ht="18.0" hidden="1" customHeight="1" outlineLevel="2">
      <c r="A1549" s="26">
        <v>5.0</v>
      </c>
      <c r="B1549" s="26" t="s">
        <v>1500</v>
      </c>
      <c r="C1549" s="1"/>
      <c r="D1549" s="38"/>
      <c r="E1549" s="29" t="s">
        <v>55</v>
      </c>
      <c r="F1549" s="15"/>
      <c r="G1549" s="16"/>
      <c r="H1549" s="22" t="s">
        <v>1761</v>
      </c>
      <c r="I1549" s="7"/>
      <c r="J1549" s="7" t="s">
        <v>29</v>
      </c>
      <c r="K1549" s="17"/>
      <c r="L1549" s="17" t="s">
        <v>29</v>
      </c>
      <c r="M1549" s="1" t="s">
        <v>29</v>
      </c>
      <c r="N1549" s="1" t="s">
        <v>29</v>
      </c>
      <c r="O1549" s="1"/>
      <c r="P1549" s="11"/>
      <c r="Q1549" s="11"/>
      <c r="R1549" s="11"/>
      <c r="S1549" s="11"/>
      <c r="T1549" s="1"/>
      <c r="U1549" s="1"/>
      <c r="V1549" s="1"/>
      <c r="W1549" s="1"/>
      <c r="X1549" s="1"/>
      <c r="Y1549" s="1"/>
      <c r="Z1549" s="1"/>
    </row>
    <row r="1550" ht="18.0" hidden="1" customHeight="1" outlineLevel="2">
      <c r="A1550" s="26">
        <v>6.0</v>
      </c>
      <c r="B1550" s="1"/>
      <c r="C1550" s="1"/>
      <c r="D1550" s="38"/>
      <c r="E1550" s="14"/>
      <c r="F1550" s="15"/>
      <c r="G1550" s="16"/>
      <c r="H1550" s="11"/>
      <c r="I1550" s="7"/>
      <c r="J1550" s="7" t="s">
        <v>29</v>
      </c>
      <c r="K1550" s="17"/>
      <c r="L1550" s="17" t="s">
        <v>29</v>
      </c>
      <c r="M1550" s="1" t="s">
        <v>1798</v>
      </c>
      <c r="N1550" s="1" t="s">
        <v>29</v>
      </c>
      <c r="O1550" s="1"/>
      <c r="P1550" s="11"/>
      <c r="Q1550" s="11"/>
      <c r="R1550" s="11"/>
      <c r="S1550" s="11"/>
      <c r="T1550" s="1"/>
      <c r="U1550" s="1"/>
      <c r="V1550" s="1"/>
      <c r="W1550" s="1"/>
      <c r="X1550" s="1"/>
      <c r="Y1550" s="1"/>
      <c r="Z1550" s="1"/>
    </row>
    <row r="1551" ht="18.0" hidden="1" customHeight="1" outlineLevel="2">
      <c r="A1551" s="26">
        <v>7.0</v>
      </c>
      <c r="B1551" s="26" t="s">
        <v>297</v>
      </c>
      <c r="C1551" s="1"/>
      <c r="D1551" s="38"/>
      <c r="E1551" s="14"/>
      <c r="F1551" s="15"/>
      <c r="G1551" s="16"/>
      <c r="H1551" s="11"/>
      <c r="I1551" s="7"/>
      <c r="J1551" s="7" t="s">
        <v>29</v>
      </c>
      <c r="K1551" s="17"/>
      <c r="L1551" s="17" t="s">
        <v>29</v>
      </c>
      <c r="M1551" s="1" t="s">
        <v>29</v>
      </c>
      <c r="N1551" s="1" t="s">
        <v>29</v>
      </c>
      <c r="O1551" s="1"/>
      <c r="P1551" s="11"/>
      <c r="Q1551" s="11"/>
      <c r="R1551" s="11"/>
      <c r="S1551" s="11"/>
      <c r="T1551" s="1"/>
      <c r="U1551" s="1"/>
      <c r="V1551" s="1"/>
      <c r="W1551" s="1"/>
      <c r="X1551" s="1"/>
      <c r="Y1551" s="1"/>
      <c r="Z1551" s="1"/>
    </row>
    <row r="1552" ht="18.0" hidden="1" customHeight="1" outlineLevel="2">
      <c r="A1552" s="26">
        <v>8.0</v>
      </c>
      <c r="B1552" s="1"/>
      <c r="C1552" s="1"/>
      <c r="D1552" s="38"/>
      <c r="E1552" s="14"/>
      <c r="F1552" s="15"/>
      <c r="G1552" s="16"/>
      <c r="H1552" s="11"/>
      <c r="I1552" s="7"/>
      <c r="J1552" s="7" t="s">
        <v>29</v>
      </c>
      <c r="K1552" s="17"/>
      <c r="L1552" s="17" t="s">
        <v>29</v>
      </c>
      <c r="M1552" s="1" t="s">
        <v>1798</v>
      </c>
      <c r="N1552" s="1" t="s">
        <v>29</v>
      </c>
      <c r="O1552" s="1"/>
      <c r="P1552" s="11"/>
      <c r="Q1552" s="11"/>
      <c r="R1552" s="11"/>
      <c r="S1552" s="11"/>
      <c r="T1552" s="1"/>
      <c r="U1552" s="1"/>
      <c r="V1552" s="1"/>
      <c r="W1552" s="1"/>
      <c r="X1552" s="1"/>
      <c r="Y1552" s="1"/>
      <c r="Z1552" s="1"/>
    </row>
    <row r="1553" ht="18.0" hidden="1" customHeight="1" outlineLevel="2">
      <c r="A1553" s="26">
        <v>9.0</v>
      </c>
      <c r="B1553" s="26" t="s">
        <v>1806</v>
      </c>
      <c r="C1553" s="1"/>
      <c r="D1553" s="38"/>
      <c r="E1553" s="29" t="s">
        <v>55</v>
      </c>
      <c r="F1553" s="15"/>
      <c r="G1553" s="16"/>
      <c r="H1553" s="22" t="s">
        <v>1807</v>
      </c>
      <c r="I1553" s="7"/>
      <c r="J1553" s="32" t="s">
        <v>1808</v>
      </c>
      <c r="K1553" s="17"/>
      <c r="L1553" s="17" t="b">
        <v>1</v>
      </c>
      <c r="M1553" s="1" t="s">
        <v>1798</v>
      </c>
      <c r="N1553" s="1" t="e">
        <v>#VALUE!</v>
      </c>
      <c r="O1553" s="1"/>
      <c r="P1553" s="11"/>
      <c r="Q1553" s="11"/>
      <c r="R1553" s="11"/>
      <c r="S1553" s="11"/>
      <c r="T1553" s="1"/>
      <c r="U1553" s="1"/>
      <c r="V1553" s="1"/>
      <c r="W1553" s="1"/>
      <c r="X1553" s="1"/>
      <c r="Y1553" s="1"/>
      <c r="Z1553" s="1"/>
    </row>
    <row r="1554" ht="18.0" hidden="1" customHeight="1" outlineLevel="2">
      <c r="A1554" s="26">
        <v>10.0</v>
      </c>
      <c r="B1554" s="26" t="s">
        <v>1809</v>
      </c>
      <c r="C1554" s="1"/>
      <c r="D1554" s="40" t="s">
        <v>1803</v>
      </c>
      <c r="E1554" s="29" t="s">
        <v>33</v>
      </c>
      <c r="F1554" s="15"/>
      <c r="G1554" s="30">
        <v>60.0</v>
      </c>
      <c r="H1554" s="22" t="s">
        <v>1810</v>
      </c>
      <c r="I1554" s="7"/>
      <c r="J1554" s="32" t="s">
        <v>1811</v>
      </c>
      <c r="K1554" s="17"/>
      <c r="L1554" s="17" t="b">
        <v>1</v>
      </c>
      <c r="M1554" s="1" t="s">
        <v>1798</v>
      </c>
      <c r="N1554" s="1" t="e">
        <v>#VALUE!</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
        <v>29</v>
      </c>
      <c r="K1555" s="17"/>
      <c r="L1555" s="17" t="s">
        <v>29</v>
      </c>
      <c r="M1555" s="1" t="s">
        <v>1798</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c r="K1556" s="17"/>
      <c r="L1556" s="17"/>
      <c r="M1556" s="1"/>
      <c r="N1556" s="1"/>
      <c r="O1556" s="1"/>
      <c r="P1556" s="11"/>
      <c r="Q1556" s="11"/>
      <c r="R1556" s="11"/>
      <c r="S1556" s="11"/>
      <c r="T1556" s="1"/>
      <c r="U1556" s="1"/>
      <c r="V1556" s="1"/>
      <c r="W1556" s="1"/>
      <c r="X1556" s="1"/>
      <c r="Y1556" s="1"/>
      <c r="Z1556" s="1"/>
    </row>
    <row r="1557" ht="18.0" customHeight="1" outlineLevel="1">
      <c r="A1557" s="1"/>
      <c r="B1557" s="37" t="s">
        <v>1812</v>
      </c>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hidden="1" customHeight="1" outlineLevel="2">
      <c r="A1558" s="1">
        <v>1.0</v>
      </c>
      <c r="B1558" s="1" t="s">
        <v>1813</v>
      </c>
      <c r="C1558" s="1"/>
      <c r="D1558" s="38" t="s">
        <v>370</v>
      </c>
      <c r="E1558" s="14" t="s">
        <v>55</v>
      </c>
      <c r="F1558" s="15"/>
      <c r="G1558" s="16"/>
      <c r="H1558" s="11" t="s">
        <v>1814</v>
      </c>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2.0</v>
      </c>
      <c r="B1559" s="26" t="s">
        <v>372</v>
      </c>
      <c r="C1559" s="1"/>
      <c r="D1559" s="38"/>
      <c r="E1559" s="14"/>
      <c r="F1559" s="15"/>
      <c r="G1559" s="16"/>
      <c r="H1559" s="11"/>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3.0</v>
      </c>
      <c r="B1560" s="1" t="s">
        <v>1815</v>
      </c>
      <c r="C1560" s="1"/>
      <c r="D1560" s="38" t="s">
        <v>370</v>
      </c>
      <c r="E1560" s="14" t="s">
        <v>33</v>
      </c>
      <c r="F1560" s="15">
        <v>5.0</v>
      </c>
      <c r="G1560" s="16">
        <v>20.0</v>
      </c>
      <c r="H1560" s="11" t="s">
        <v>1816</v>
      </c>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4.0</v>
      </c>
      <c r="B1561" s="1"/>
      <c r="C1561" s="1"/>
      <c r="D1561" s="38"/>
      <c r="E1561" s="14"/>
      <c r="F1561" s="15"/>
      <c r="G1561" s="16"/>
      <c r="H1561" s="11"/>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5.0</v>
      </c>
      <c r="B1562" s="26" t="s">
        <v>1500</v>
      </c>
      <c r="C1562" s="1"/>
      <c r="D1562" s="38"/>
      <c r="E1562" s="29" t="s">
        <v>55</v>
      </c>
      <c r="F1562" s="15"/>
      <c r="G1562" s="16"/>
      <c r="H1562" s="22" t="s">
        <v>1761</v>
      </c>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6.0</v>
      </c>
      <c r="B1563" s="1"/>
      <c r="C1563" s="1"/>
      <c r="D1563" s="38"/>
      <c r="E1563" s="14"/>
      <c r="F1563" s="15"/>
      <c r="G1563" s="16"/>
      <c r="H1563" s="11"/>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7.0</v>
      </c>
      <c r="B1564" s="26" t="s">
        <v>788</v>
      </c>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8.0</v>
      </c>
      <c r="B1565" s="1"/>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9.0</v>
      </c>
      <c r="B1566" s="1" t="s">
        <v>1817</v>
      </c>
      <c r="C1566" s="1"/>
      <c r="D1566" s="38"/>
      <c r="E1566" s="14" t="s">
        <v>55</v>
      </c>
      <c r="F1566" s="15"/>
      <c r="G1566" s="16"/>
      <c r="H1566" s="11" t="s">
        <v>1807</v>
      </c>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10.0</v>
      </c>
      <c r="B1567" s="1" t="s">
        <v>1818</v>
      </c>
      <c r="C1567" s="1"/>
      <c r="D1567" s="38" t="s">
        <v>370</v>
      </c>
      <c r="E1567" s="14" t="s">
        <v>33</v>
      </c>
      <c r="F1567" s="15"/>
      <c r="G1567" s="30">
        <v>60.0</v>
      </c>
      <c r="H1567" s="22" t="s">
        <v>1819</v>
      </c>
      <c r="I1567" s="7"/>
      <c r="J1567" s="7"/>
      <c r="K1567" s="17"/>
      <c r="L1567" s="17"/>
      <c r="M1567" s="1"/>
      <c r="N1567" s="1"/>
      <c r="O1567" s="1"/>
      <c r="P1567" s="11"/>
      <c r="Q1567" s="11"/>
      <c r="R1567" s="11"/>
      <c r="S1567" s="11"/>
      <c r="T1567" s="1"/>
      <c r="U1567" s="1"/>
      <c r="V1567" s="1"/>
      <c r="W1567" s="1"/>
      <c r="X1567" s="1"/>
      <c r="Y1567" s="1"/>
      <c r="Z1567" s="1"/>
    </row>
    <row r="1568" ht="18.0" customHeight="1" outlineLevel="1">
      <c r="A1568" s="1"/>
      <c r="B1568" s="1"/>
      <c r="C1568" s="1"/>
      <c r="D1568" s="1"/>
      <c r="E1568" s="14"/>
      <c r="F1568" s="15"/>
      <c r="G1568" s="16"/>
      <c r="H1568" s="11"/>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outlineLevel="1">
      <c r="A1570" s="1"/>
      <c r="B1570" s="39" t="s">
        <v>1820</v>
      </c>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2">
      <c r="A1571" s="26">
        <v>1.0</v>
      </c>
      <c r="B1571" s="26" t="s">
        <v>1821</v>
      </c>
      <c r="C1571" s="1"/>
      <c r="D1571" s="40"/>
      <c r="E1571" s="29" t="s">
        <v>55</v>
      </c>
      <c r="F1571" s="15"/>
      <c r="G1571" s="16"/>
      <c r="H1571" s="22" t="s">
        <v>1822</v>
      </c>
      <c r="I1571" s="7"/>
      <c r="J1571" s="32" t="s">
        <v>1823</v>
      </c>
      <c r="K1571" s="17"/>
      <c r="L1571" s="17"/>
      <c r="M1571" s="1"/>
      <c r="N1571" s="1"/>
      <c r="O1571" s="1"/>
      <c r="P1571" s="11"/>
      <c r="Q1571" s="11"/>
      <c r="R1571" s="11"/>
      <c r="S1571" s="11"/>
      <c r="T1571" s="1"/>
      <c r="U1571" s="1"/>
      <c r="V1571" s="1"/>
      <c r="W1571" s="1"/>
      <c r="X1571" s="1"/>
      <c r="Y1571" s="1"/>
      <c r="Z1571" s="1"/>
    </row>
    <row r="1572" outlineLevel="2">
      <c r="A1572" s="26">
        <v>2.0</v>
      </c>
      <c r="B1572" s="26"/>
      <c r="C1572" s="1"/>
      <c r="D1572" s="38"/>
      <c r="E1572" s="14"/>
      <c r="F1572" s="15"/>
      <c r="G1572" s="16"/>
      <c r="H1572" s="11"/>
      <c r="I1572" s="7"/>
      <c r="J1572" s="7"/>
      <c r="K1572" s="17"/>
      <c r="L1572" s="17"/>
      <c r="M1572" s="1"/>
      <c r="N1572" s="1"/>
      <c r="O1572" s="1"/>
      <c r="P1572" s="11"/>
      <c r="Q1572" s="11"/>
      <c r="R1572" s="11"/>
      <c r="S1572" s="11"/>
      <c r="T1572" s="1"/>
      <c r="U1572" s="1"/>
      <c r="V1572" s="1"/>
      <c r="W1572" s="1"/>
      <c r="X1572" s="1"/>
      <c r="Y1572" s="1"/>
      <c r="Z1572" s="1"/>
    </row>
    <row r="1573" outlineLevel="2">
      <c r="A1573" s="26">
        <v>3.0</v>
      </c>
      <c r="B1573" s="26" t="s">
        <v>1824</v>
      </c>
      <c r="C1573" s="1"/>
      <c r="D1573" s="40"/>
      <c r="E1573" s="29" t="s">
        <v>55</v>
      </c>
      <c r="F1573" s="34"/>
      <c r="G1573" s="30"/>
      <c r="H1573" s="22" t="s">
        <v>1825</v>
      </c>
      <c r="I1573" s="7"/>
      <c r="J1573" s="32" t="s">
        <v>1826</v>
      </c>
      <c r="K1573" s="17"/>
      <c r="L1573" s="17"/>
      <c r="M1573" s="1"/>
      <c r="N1573" s="1"/>
      <c r="O1573" s="1"/>
      <c r="P1573" s="11"/>
      <c r="Q1573" s="11"/>
      <c r="R1573" s="11"/>
      <c r="S1573" s="11"/>
      <c r="T1573" s="1"/>
      <c r="U1573" s="1"/>
      <c r="V1573" s="1"/>
      <c r="W1573" s="1"/>
      <c r="X1573" s="1"/>
      <c r="Y1573" s="1"/>
      <c r="Z1573" s="1"/>
    </row>
    <row r="1574" outlineLevel="2">
      <c r="A1574" s="26">
        <v>4.0</v>
      </c>
      <c r="B1574" s="1"/>
      <c r="C1574" s="1"/>
      <c r="D1574" s="38"/>
      <c r="E1574" s="14"/>
      <c r="F1574" s="15"/>
      <c r="G1574" s="16"/>
      <c r="H1574" s="11"/>
      <c r="I1574" s="7"/>
      <c r="J1574" s="7"/>
      <c r="K1574" s="17"/>
      <c r="L1574" s="17"/>
      <c r="M1574" s="1"/>
      <c r="N1574" s="1"/>
      <c r="O1574" s="1"/>
      <c r="P1574" s="11"/>
      <c r="Q1574" s="11"/>
      <c r="R1574" s="11"/>
      <c r="S1574" s="11"/>
      <c r="T1574" s="1"/>
      <c r="U1574" s="1"/>
      <c r="V1574" s="1"/>
      <c r="W1574" s="1"/>
      <c r="X1574" s="1"/>
      <c r="Y1574" s="1"/>
      <c r="Z1574" s="1"/>
    </row>
    <row r="1575" outlineLevel="2">
      <c r="A1575" s="26">
        <v>5.0</v>
      </c>
      <c r="B1575" s="26" t="s">
        <v>1827</v>
      </c>
      <c r="C1575" s="1"/>
      <c r="D1575" s="38"/>
      <c r="E1575" s="29" t="s">
        <v>55</v>
      </c>
      <c r="F1575" s="15"/>
      <c r="G1575" s="16"/>
      <c r="H1575" s="22" t="s">
        <v>1552</v>
      </c>
      <c r="I1575" s="7"/>
      <c r="J1575" s="32" t="s">
        <v>1828</v>
      </c>
      <c r="K1575" s="17"/>
      <c r="L1575" s="17"/>
      <c r="M1575" s="1"/>
      <c r="N1575" s="1"/>
      <c r="O1575" s="1"/>
      <c r="P1575" s="11"/>
      <c r="Q1575" s="11"/>
      <c r="R1575" s="11"/>
      <c r="S1575" s="11"/>
      <c r="T1575" s="1"/>
      <c r="U1575" s="1"/>
      <c r="V1575" s="1"/>
      <c r="W1575" s="1"/>
      <c r="X1575" s="1"/>
      <c r="Y1575" s="1"/>
      <c r="Z1575" s="1"/>
    </row>
    <row r="1576" outlineLevel="2">
      <c r="A1576" s="26">
        <v>6.0</v>
      </c>
      <c r="B1576" s="26"/>
      <c r="C1576" s="1"/>
      <c r="D1576" s="40"/>
      <c r="E1576" s="29"/>
      <c r="F1576" s="34"/>
      <c r="G1576" s="30"/>
      <c r="H1576" s="22"/>
      <c r="I1576" s="7"/>
      <c r="J1576" s="7"/>
      <c r="K1576" s="17"/>
      <c r="L1576" s="17"/>
      <c r="M1576" s="1"/>
      <c r="N1576" s="1"/>
      <c r="O1576" s="1"/>
      <c r="P1576" s="11"/>
      <c r="Q1576" s="11"/>
      <c r="R1576" s="11"/>
      <c r="S1576" s="11"/>
      <c r="T1576" s="1"/>
      <c r="U1576" s="1"/>
      <c r="V1576" s="1"/>
      <c r="W1576" s="1"/>
      <c r="X1576" s="1"/>
      <c r="Y1576" s="1"/>
      <c r="Z1576" s="1"/>
    </row>
    <row r="1577" outlineLevel="2">
      <c r="A1577" s="26">
        <v>7.0</v>
      </c>
      <c r="B1577" s="26" t="s">
        <v>1829</v>
      </c>
      <c r="C1577" s="1"/>
      <c r="D1577" s="38"/>
      <c r="E1577" s="29" t="s">
        <v>55</v>
      </c>
      <c r="F1577" s="15"/>
      <c r="G1577" s="16"/>
      <c r="H1577" s="22" t="s">
        <v>1830</v>
      </c>
      <c r="I1577" s="7"/>
      <c r="J1577" s="32" t="s">
        <v>1831</v>
      </c>
      <c r="K1577" s="17"/>
      <c r="L1577" s="17"/>
      <c r="M1577" s="1"/>
      <c r="N1577" s="1"/>
      <c r="O1577" s="1"/>
      <c r="P1577" s="11"/>
      <c r="Q1577" s="11"/>
      <c r="R1577" s="11"/>
      <c r="S1577" s="11"/>
      <c r="T1577" s="1"/>
      <c r="U1577" s="1"/>
      <c r="V1577" s="1"/>
      <c r="W1577" s="1"/>
      <c r="X1577" s="1"/>
      <c r="Y1577" s="1"/>
      <c r="Z1577" s="1"/>
    </row>
    <row r="1578" outlineLevel="2">
      <c r="A1578" s="26">
        <v>8.0</v>
      </c>
      <c r="B1578" s="1"/>
      <c r="C1578" s="1"/>
      <c r="D1578" s="38"/>
      <c r="E1578" s="14"/>
      <c r="F1578" s="15"/>
      <c r="G1578" s="16"/>
      <c r="H1578" s="11"/>
      <c r="I1578" s="7"/>
      <c r="J1578" s="7"/>
      <c r="K1578" s="17"/>
      <c r="L1578" s="17"/>
      <c r="M1578" s="1"/>
      <c r="N1578" s="1"/>
      <c r="O1578" s="1"/>
      <c r="P1578" s="11"/>
      <c r="Q1578" s="11"/>
      <c r="R1578" s="11"/>
      <c r="S1578" s="11"/>
      <c r="T1578" s="1"/>
      <c r="U1578" s="1"/>
      <c r="V1578" s="1"/>
      <c r="W1578" s="1"/>
      <c r="X1578" s="1"/>
      <c r="Y1578" s="1"/>
      <c r="Z1578" s="1"/>
    </row>
    <row r="1579" outlineLevel="2">
      <c r="A1579" s="26">
        <v>9.0</v>
      </c>
      <c r="B1579" s="26" t="s">
        <v>1832</v>
      </c>
      <c r="C1579" s="1"/>
      <c r="D1579" s="38"/>
      <c r="E1579" s="29" t="s">
        <v>55</v>
      </c>
      <c r="F1579" s="15"/>
      <c r="G1579" s="16"/>
      <c r="H1579" s="22" t="s">
        <v>1833</v>
      </c>
      <c r="I1579" s="7"/>
      <c r="J1579" s="32" t="s">
        <v>1834</v>
      </c>
      <c r="K1579" s="17"/>
      <c r="L1579" s="17"/>
      <c r="M1579" s="1"/>
      <c r="N1579" s="1"/>
      <c r="O1579" s="1"/>
      <c r="P1579" s="11"/>
      <c r="Q1579" s="11"/>
      <c r="R1579" s="11"/>
      <c r="S1579" s="11"/>
      <c r="T1579" s="1"/>
      <c r="U1579" s="1"/>
      <c r="V1579" s="1"/>
      <c r="W1579" s="1"/>
      <c r="X1579" s="1"/>
      <c r="Y1579" s="1"/>
      <c r="Z1579" s="1"/>
    </row>
    <row r="1580" outlineLevel="2">
      <c r="A1580" s="26">
        <v>10.0</v>
      </c>
      <c r="B1580" s="26" t="s">
        <v>1835</v>
      </c>
      <c r="C1580" s="1"/>
      <c r="D1580" s="40"/>
      <c r="E1580" s="29" t="s">
        <v>33</v>
      </c>
      <c r="F1580" s="15"/>
      <c r="G1580" s="30"/>
      <c r="H1580" s="22" t="s">
        <v>1836</v>
      </c>
      <c r="I1580" s="7"/>
      <c r="J1580" s="32" t="s">
        <v>1837</v>
      </c>
      <c r="K1580" s="17"/>
      <c r="L1580" s="17"/>
      <c r="M1580" s="1"/>
      <c r="N1580" s="1"/>
      <c r="O1580" s="1"/>
      <c r="P1580" s="11"/>
      <c r="Q1580" s="11"/>
      <c r="R1580" s="11"/>
      <c r="S1580" s="11"/>
      <c r="T1580" s="1"/>
      <c r="U1580" s="1"/>
      <c r="V1580" s="1"/>
      <c r="W1580" s="1"/>
      <c r="X1580" s="1"/>
      <c r="Y1580" s="1"/>
      <c r="Z1580" s="1"/>
    </row>
    <row r="1581" outlineLevel="2">
      <c r="A1581" s="1"/>
      <c r="B1581" s="1"/>
      <c r="C1581" s="1"/>
      <c r="D1581" s="1"/>
      <c r="E1581" s="14"/>
      <c r="F1581" s="15"/>
      <c r="G1581" s="16"/>
      <c r="H1581" s="11"/>
      <c r="I1581" s="7"/>
      <c r="J1581" s="7"/>
      <c r="K1581" s="17"/>
      <c r="L1581" s="17"/>
      <c r="M1581" s="1"/>
      <c r="N1581" s="1"/>
      <c r="O1581" s="1"/>
      <c r="P1581" s="11"/>
      <c r="Q1581" s="11"/>
      <c r="R1581" s="11"/>
      <c r="S1581" s="11"/>
      <c r="T1581" s="1"/>
      <c r="U1581" s="1"/>
      <c r="V1581" s="1"/>
      <c r="W1581" s="1"/>
      <c r="X1581" s="1"/>
      <c r="Y1581" s="1"/>
      <c r="Z1581" s="1"/>
    </row>
    <row r="1582" outlineLevel="1">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39" t="s">
        <v>1838</v>
      </c>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2">
      <c r="A1584" s="26">
        <v>1.0</v>
      </c>
      <c r="B1584" s="26" t="s">
        <v>1839</v>
      </c>
      <c r="C1584" s="1"/>
      <c r="D1584" s="40"/>
      <c r="E1584" s="29" t="s">
        <v>33</v>
      </c>
      <c r="F1584" s="15"/>
      <c r="G1584" s="16"/>
      <c r="H1584" s="22" t="s">
        <v>1840</v>
      </c>
      <c r="I1584" s="7"/>
      <c r="J1584" s="32" t="s">
        <v>1841</v>
      </c>
      <c r="K1584" s="17"/>
      <c r="L1584" s="17"/>
      <c r="M1584" s="1"/>
      <c r="N1584" s="1"/>
      <c r="O1584" s="1"/>
      <c r="P1584" s="11"/>
      <c r="Q1584" s="11"/>
      <c r="R1584" s="11"/>
      <c r="S1584" s="11"/>
      <c r="T1584" s="1"/>
      <c r="U1584" s="1"/>
      <c r="V1584" s="1"/>
      <c r="W1584" s="1"/>
      <c r="X1584" s="1"/>
      <c r="Y1584" s="1"/>
      <c r="Z1584" s="1"/>
    </row>
    <row r="1585" outlineLevel="2">
      <c r="A1585" s="26">
        <v>2.0</v>
      </c>
      <c r="B1585" s="26"/>
      <c r="C1585" s="1"/>
      <c r="D1585" s="38"/>
      <c r="E1585" s="14"/>
      <c r="F1585" s="15"/>
      <c r="G1585" s="16"/>
      <c r="H1585" s="11"/>
      <c r="I1585" s="7"/>
      <c r="J1585" s="7"/>
      <c r="K1585" s="17"/>
      <c r="L1585" s="17"/>
      <c r="M1585" s="1"/>
      <c r="N1585" s="1"/>
      <c r="O1585" s="1"/>
      <c r="P1585" s="11"/>
      <c r="Q1585" s="11"/>
      <c r="R1585" s="11"/>
      <c r="S1585" s="11"/>
      <c r="T1585" s="1"/>
      <c r="U1585" s="1"/>
      <c r="V1585" s="1"/>
      <c r="W1585" s="1"/>
      <c r="X1585" s="1"/>
      <c r="Y1585" s="1"/>
      <c r="Z1585" s="1"/>
    </row>
    <row r="1586" outlineLevel="2">
      <c r="A1586" s="26">
        <v>3.0</v>
      </c>
      <c r="B1586" s="26" t="s">
        <v>1842</v>
      </c>
      <c r="C1586" s="1"/>
      <c r="D1586" s="40"/>
      <c r="E1586" s="29" t="s">
        <v>55</v>
      </c>
      <c r="F1586" s="34"/>
      <c r="G1586" s="30"/>
      <c r="H1586" s="22" t="s">
        <v>1843</v>
      </c>
      <c r="I1586" s="7"/>
      <c r="J1586" s="32" t="s">
        <v>1844</v>
      </c>
      <c r="K1586" s="17"/>
      <c r="L1586" s="17"/>
      <c r="M1586" s="1"/>
      <c r="N1586" s="1"/>
      <c r="O1586" s="1"/>
      <c r="P1586" s="11"/>
      <c r="Q1586" s="11"/>
      <c r="R1586" s="11"/>
      <c r="S1586" s="11"/>
      <c r="T1586" s="1"/>
      <c r="U1586" s="1"/>
      <c r="V1586" s="1"/>
      <c r="W1586" s="1"/>
      <c r="X1586" s="1"/>
      <c r="Y1586" s="1"/>
      <c r="Z1586" s="1"/>
    </row>
    <row r="1587" outlineLevel="2">
      <c r="A1587" s="26">
        <v>4.0</v>
      </c>
      <c r="B1587" s="1"/>
      <c r="C1587" s="1"/>
      <c r="D1587" s="38"/>
      <c r="E1587" s="14"/>
      <c r="F1587" s="15"/>
      <c r="G1587" s="16"/>
      <c r="H1587" s="11"/>
      <c r="I1587" s="7"/>
      <c r="J1587" s="7"/>
      <c r="K1587" s="17"/>
      <c r="L1587" s="17"/>
      <c r="M1587" s="1"/>
      <c r="N1587" s="1"/>
      <c r="O1587" s="1"/>
      <c r="P1587" s="11"/>
      <c r="Q1587" s="11"/>
      <c r="R1587" s="11"/>
      <c r="S1587" s="11"/>
      <c r="T1587" s="1"/>
      <c r="U1587" s="1"/>
      <c r="V1587" s="1"/>
      <c r="W1587" s="1"/>
      <c r="X1587" s="1"/>
      <c r="Y1587" s="1"/>
      <c r="Z1587" s="1"/>
    </row>
    <row r="1588" outlineLevel="2">
      <c r="A1588" s="26">
        <v>5.0</v>
      </c>
      <c r="B1588" s="26" t="s">
        <v>1845</v>
      </c>
      <c r="C1588" s="1"/>
      <c r="D1588" s="38"/>
      <c r="E1588" s="29" t="s">
        <v>33</v>
      </c>
      <c r="F1588" s="15"/>
      <c r="G1588" s="16"/>
      <c r="H1588" s="22" t="s">
        <v>1846</v>
      </c>
      <c r="I1588" s="7"/>
      <c r="J1588" s="32" t="s">
        <v>1847</v>
      </c>
      <c r="K1588" s="17"/>
      <c r="L1588" s="17"/>
      <c r="M1588" s="1"/>
      <c r="N1588" s="1"/>
      <c r="O1588" s="1"/>
      <c r="P1588" s="11"/>
      <c r="Q1588" s="11"/>
      <c r="R1588" s="11"/>
      <c r="S1588" s="11"/>
      <c r="T1588" s="1"/>
      <c r="U1588" s="1"/>
      <c r="V1588" s="1"/>
      <c r="W1588" s="1"/>
      <c r="X1588" s="1"/>
      <c r="Y1588" s="1"/>
      <c r="Z1588" s="1"/>
    </row>
    <row r="1589" outlineLevel="2">
      <c r="A1589" s="26">
        <v>6.0</v>
      </c>
      <c r="B1589" s="26"/>
      <c r="C1589" s="1"/>
      <c r="D1589" s="40"/>
      <c r="E1589" s="29"/>
      <c r="F1589" s="34"/>
      <c r="G1589" s="30"/>
      <c r="H1589" s="22"/>
      <c r="I1589" s="7"/>
      <c r="J1589" s="7"/>
      <c r="K1589" s="17"/>
      <c r="L1589" s="17"/>
      <c r="M1589" s="1"/>
      <c r="N1589" s="1"/>
      <c r="O1589" s="1"/>
      <c r="P1589" s="11"/>
      <c r="Q1589" s="11"/>
      <c r="R1589" s="11"/>
      <c r="S1589" s="11"/>
      <c r="T1589" s="1"/>
      <c r="U1589" s="1"/>
      <c r="V1589" s="1"/>
      <c r="W1589" s="1"/>
      <c r="X1589" s="1"/>
      <c r="Y1589" s="1"/>
      <c r="Z1589" s="1"/>
    </row>
    <row r="1590" outlineLevel="2">
      <c r="A1590" s="26">
        <v>7.0</v>
      </c>
      <c r="B1590" s="26" t="s">
        <v>1848</v>
      </c>
      <c r="C1590" s="1"/>
      <c r="D1590" s="38"/>
      <c r="E1590" s="29" t="s">
        <v>55</v>
      </c>
      <c r="F1590" s="15"/>
      <c r="G1590" s="16"/>
      <c r="H1590" s="22" t="s">
        <v>1849</v>
      </c>
      <c r="I1590" s="7"/>
      <c r="J1590" s="32" t="s">
        <v>1850</v>
      </c>
      <c r="K1590" s="17"/>
      <c r="L1590" s="17"/>
      <c r="M1590" s="1"/>
      <c r="N1590" s="1"/>
      <c r="O1590" s="1"/>
      <c r="P1590" s="11"/>
      <c r="Q1590" s="11"/>
      <c r="R1590" s="11"/>
      <c r="S1590" s="11"/>
      <c r="T1590" s="1"/>
      <c r="U1590" s="1"/>
      <c r="V1590" s="1"/>
      <c r="W1590" s="1"/>
      <c r="X1590" s="1"/>
      <c r="Y1590" s="1"/>
      <c r="Z1590" s="1"/>
    </row>
    <row r="1591" outlineLevel="2">
      <c r="A1591" s="26">
        <v>8.0</v>
      </c>
      <c r="B1591" s="1"/>
      <c r="C1591" s="1"/>
      <c r="D1591" s="38"/>
      <c r="E1591" s="14"/>
      <c r="F1591" s="15"/>
      <c r="G1591" s="16"/>
      <c r="H1591" s="11"/>
      <c r="I1591" s="7"/>
      <c r="J1591" s="7"/>
      <c r="K1591" s="17"/>
      <c r="L1591" s="17"/>
      <c r="M1591" s="1"/>
      <c r="N1591" s="1"/>
      <c r="O1591" s="1"/>
      <c r="P1591" s="11"/>
      <c r="Q1591" s="11"/>
      <c r="R1591" s="11"/>
      <c r="S1591" s="11"/>
      <c r="T1591" s="1"/>
      <c r="U1591" s="1"/>
      <c r="V1591" s="1"/>
      <c r="W1591" s="1"/>
      <c r="X1591" s="1"/>
      <c r="Y1591" s="1"/>
      <c r="Z1591" s="1"/>
    </row>
    <row r="1592" outlineLevel="2">
      <c r="A1592" s="26">
        <v>9.0</v>
      </c>
      <c r="B1592" s="26" t="s">
        <v>1851</v>
      </c>
      <c r="C1592" s="1"/>
      <c r="D1592" s="38"/>
      <c r="E1592" s="29" t="s">
        <v>55</v>
      </c>
      <c r="F1592" s="15"/>
      <c r="G1592" s="16"/>
      <c r="H1592" s="22" t="s">
        <v>1852</v>
      </c>
      <c r="I1592" s="7"/>
      <c r="J1592" s="32" t="s">
        <v>1853</v>
      </c>
      <c r="K1592" s="17"/>
      <c r="L1592" s="17"/>
      <c r="M1592" s="1"/>
      <c r="N1592" s="1"/>
      <c r="O1592" s="1"/>
      <c r="P1592" s="11"/>
      <c r="Q1592" s="11"/>
      <c r="R1592" s="11"/>
      <c r="S1592" s="11"/>
      <c r="T1592" s="1"/>
      <c r="U1592" s="1"/>
      <c r="V1592" s="1"/>
      <c r="W1592" s="1"/>
      <c r="X1592" s="1"/>
      <c r="Y1592" s="1"/>
      <c r="Z1592" s="1"/>
    </row>
    <row r="1593" outlineLevel="2">
      <c r="A1593" s="26">
        <v>10.0</v>
      </c>
      <c r="B1593" s="26" t="s">
        <v>1854</v>
      </c>
      <c r="C1593" s="1"/>
      <c r="D1593" s="40"/>
      <c r="E1593" s="29" t="s">
        <v>55</v>
      </c>
      <c r="F1593" s="15"/>
      <c r="G1593" s="30"/>
      <c r="H1593" s="22" t="s">
        <v>1855</v>
      </c>
      <c r="I1593" s="7"/>
      <c r="J1593" s="32" t="s">
        <v>1856</v>
      </c>
      <c r="K1593" s="17"/>
      <c r="L1593" s="17"/>
      <c r="M1593" s="1"/>
      <c r="N1593" s="1"/>
      <c r="O1593" s="1"/>
      <c r="P1593" s="11"/>
      <c r="Q1593" s="11"/>
      <c r="R1593" s="11"/>
      <c r="S1593" s="11"/>
      <c r="T1593" s="1"/>
      <c r="U1593" s="1"/>
      <c r="V1593" s="1"/>
      <c r="W1593" s="1"/>
      <c r="X1593" s="1"/>
      <c r="Y1593" s="1"/>
      <c r="Z1593" s="1"/>
    </row>
    <row r="1594" outlineLevel="1">
      <c r="A1594" s="1"/>
      <c r="B1594" s="1"/>
      <c r="C1594" s="1"/>
      <c r="D1594" s="1"/>
      <c r="E1594" s="14"/>
      <c r="F1594" s="15"/>
      <c r="G1594" s="16"/>
      <c r="H1594" s="11"/>
      <c r="I1594" s="7"/>
      <c r="J1594" s="7"/>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39" t="s">
        <v>1857</v>
      </c>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2">
      <c r="A1597" s="26">
        <v>1.0</v>
      </c>
      <c r="B1597" s="26" t="s">
        <v>1858</v>
      </c>
      <c r="C1597" s="1"/>
      <c r="D1597" s="40"/>
      <c r="E1597" s="29" t="s">
        <v>55</v>
      </c>
      <c r="F1597" s="15"/>
      <c r="G1597" s="16"/>
      <c r="H1597" s="22" t="s">
        <v>1859</v>
      </c>
      <c r="I1597" s="7"/>
      <c r="J1597" s="32" t="s">
        <v>1860</v>
      </c>
      <c r="K1597" s="17"/>
      <c r="L1597" s="17"/>
      <c r="M1597" s="1"/>
      <c r="N1597" s="1"/>
      <c r="O1597" s="1"/>
      <c r="P1597" s="11"/>
      <c r="Q1597" s="11"/>
      <c r="R1597" s="11"/>
      <c r="S1597" s="11"/>
      <c r="T1597" s="1"/>
      <c r="U1597" s="1"/>
      <c r="V1597" s="1"/>
      <c r="W1597" s="1"/>
      <c r="X1597" s="1"/>
      <c r="Y1597" s="1"/>
      <c r="Z1597" s="1"/>
    </row>
    <row r="1598" outlineLevel="2">
      <c r="A1598" s="26">
        <v>2.0</v>
      </c>
      <c r="B1598" s="26"/>
      <c r="C1598" s="1"/>
      <c r="D1598" s="38"/>
      <c r="E1598" s="14"/>
      <c r="F1598" s="15"/>
      <c r="G1598" s="16"/>
      <c r="H1598" s="11"/>
      <c r="I1598" s="7"/>
      <c r="J1598" s="7"/>
      <c r="K1598" s="17"/>
      <c r="L1598" s="17"/>
      <c r="M1598" s="1"/>
      <c r="N1598" s="1"/>
      <c r="O1598" s="1"/>
      <c r="P1598" s="11"/>
      <c r="Q1598" s="11"/>
      <c r="R1598" s="11"/>
      <c r="S1598" s="11"/>
      <c r="T1598" s="1"/>
      <c r="U1598" s="1"/>
      <c r="V1598" s="1"/>
      <c r="W1598" s="1"/>
      <c r="X1598" s="1"/>
      <c r="Y1598" s="1"/>
      <c r="Z1598" s="1"/>
    </row>
    <row r="1599" outlineLevel="2">
      <c r="A1599" s="26">
        <v>3.0</v>
      </c>
      <c r="B1599" s="26" t="s">
        <v>1861</v>
      </c>
      <c r="C1599" s="1"/>
      <c r="D1599" s="40"/>
      <c r="E1599" s="29" t="s">
        <v>33</v>
      </c>
      <c r="F1599" s="34"/>
      <c r="G1599" s="30"/>
      <c r="H1599" s="22" t="s">
        <v>1862</v>
      </c>
      <c r="I1599" s="7"/>
      <c r="J1599" s="32" t="s">
        <v>1863</v>
      </c>
      <c r="K1599" s="17"/>
      <c r="L1599" s="17"/>
      <c r="M1599" s="1"/>
      <c r="N1599" s="1"/>
      <c r="O1599" s="1"/>
      <c r="P1599" s="11"/>
      <c r="Q1599" s="11"/>
      <c r="R1599" s="11"/>
      <c r="S1599" s="11"/>
      <c r="T1599" s="1"/>
      <c r="U1599" s="1"/>
      <c r="V1599" s="1"/>
      <c r="W1599" s="1"/>
      <c r="X1599" s="1"/>
      <c r="Y1599" s="1"/>
      <c r="Z1599" s="1"/>
    </row>
    <row r="1600" outlineLevel="2">
      <c r="A1600" s="26">
        <v>4.0</v>
      </c>
      <c r="B1600" s="1"/>
      <c r="C1600" s="1"/>
      <c r="D1600" s="38"/>
      <c r="E1600" s="14"/>
      <c r="F1600" s="15"/>
      <c r="G1600" s="16"/>
      <c r="H1600" s="11"/>
      <c r="I1600" s="7"/>
      <c r="J1600" s="7"/>
      <c r="K1600" s="17"/>
      <c r="L1600" s="17"/>
      <c r="M1600" s="1"/>
      <c r="N1600" s="1"/>
      <c r="O1600" s="1"/>
      <c r="P1600" s="11"/>
      <c r="Q1600" s="11"/>
      <c r="R1600" s="11"/>
      <c r="S1600" s="11"/>
      <c r="T1600" s="1"/>
      <c r="U1600" s="1"/>
      <c r="V1600" s="1"/>
      <c r="W1600" s="1"/>
      <c r="X1600" s="1"/>
      <c r="Y1600" s="1"/>
      <c r="Z1600" s="1"/>
    </row>
    <row r="1601" outlineLevel="2">
      <c r="A1601" s="26">
        <v>5.0</v>
      </c>
      <c r="B1601" s="26" t="s">
        <v>1864</v>
      </c>
      <c r="C1601" s="1"/>
      <c r="D1601" s="38"/>
      <c r="E1601" s="29" t="s">
        <v>55</v>
      </c>
      <c r="F1601" s="15"/>
      <c r="G1601" s="16"/>
      <c r="H1601" s="22" t="s">
        <v>1865</v>
      </c>
      <c r="I1601" s="7"/>
      <c r="J1601" s="32" t="s">
        <v>1866</v>
      </c>
      <c r="K1601" s="17"/>
      <c r="L1601" s="17"/>
      <c r="M1601" s="1"/>
      <c r="N1601" s="1"/>
      <c r="O1601" s="1"/>
      <c r="P1601" s="11"/>
      <c r="Q1601" s="11"/>
      <c r="R1601" s="11"/>
      <c r="S1601" s="11"/>
      <c r="T1601" s="1"/>
      <c r="U1601" s="1"/>
      <c r="V1601" s="1"/>
      <c r="W1601" s="1"/>
      <c r="X1601" s="1"/>
      <c r="Y1601" s="1"/>
      <c r="Z1601" s="1"/>
    </row>
    <row r="1602" outlineLevel="2">
      <c r="A1602" s="26">
        <v>6.0</v>
      </c>
      <c r="B1602" s="26"/>
      <c r="C1602" s="1"/>
      <c r="D1602" s="40"/>
      <c r="E1602" s="29"/>
      <c r="F1602" s="34"/>
      <c r="G1602" s="30"/>
      <c r="H1602" s="22"/>
      <c r="I1602" s="7"/>
      <c r="J1602" s="7"/>
      <c r="K1602" s="17"/>
      <c r="L1602" s="17"/>
      <c r="M1602" s="1"/>
      <c r="N1602" s="1"/>
      <c r="O1602" s="1"/>
      <c r="P1602" s="11"/>
      <c r="Q1602" s="11"/>
      <c r="R1602" s="11"/>
      <c r="S1602" s="11"/>
      <c r="T1602" s="1"/>
      <c r="U1602" s="1"/>
      <c r="V1602" s="1"/>
      <c r="W1602" s="1"/>
      <c r="X1602" s="1"/>
      <c r="Y1602" s="1"/>
      <c r="Z1602" s="1"/>
    </row>
    <row r="1603" outlineLevel="2">
      <c r="A1603" s="26">
        <v>7.0</v>
      </c>
      <c r="B1603" s="26" t="s">
        <v>1867</v>
      </c>
      <c r="C1603" s="1"/>
      <c r="D1603" s="38"/>
      <c r="E1603" s="29" t="s">
        <v>55</v>
      </c>
      <c r="F1603" s="15"/>
      <c r="G1603" s="16"/>
      <c r="H1603" s="22" t="s">
        <v>1868</v>
      </c>
      <c r="I1603" s="7"/>
      <c r="J1603" s="32" t="s">
        <v>1869</v>
      </c>
      <c r="K1603" s="17"/>
      <c r="L1603" s="17"/>
      <c r="M1603" s="1"/>
      <c r="N1603" s="1"/>
      <c r="O1603" s="1"/>
      <c r="P1603" s="11"/>
      <c r="Q1603" s="11"/>
      <c r="R1603" s="11"/>
      <c r="S1603" s="11"/>
      <c r="T1603" s="1"/>
      <c r="U1603" s="1"/>
      <c r="V1603" s="1"/>
      <c r="W1603" s="1"/>
      <c r="X1603" s="1"/>
      <c r="Y1603" s="1"/>
      <c r="Z1603" s="1"/>
    </row>
    <row r="1604" outlineLevel="2">
      <c r="A1604" s="26">
        <v>8.0</v>
      </c>
      <c r="B1604" s="1"/>
      <c r="C1604" s="1"/>
      <c r="D1604" s="38"/>
      <c r="E1604" s="14"/>
      <c r="F1604" s="15"/>
      <c r="G1604" s="16"/>
      <c r="H1604" s="11"/>
      <c r="I1604" s="7"/>
      <c r="J1604" s="7"/>
      <c r="K1604" s="17"/>
      <c r="L1604" s="17"/>
      <c r="M1604" s="1"/>
      <c r="N1604" s="1"/>
      <c r="O1604" s="1"/>
      <c r="P1604" s="11"/>
      <c r="Q1604" s="11"/>
      <c r="R1604" s="11"/>
      <c r="S1604" s="11"/>
      <c r="T1604" s="1"/>
      <c r="U1604" s="1"/>
      <c r="V1604" s="1"/>
      <c r="W1604" s="1"/>
      <c r="X1604" s="1"/>
      <c r="Y1604" s="1"/>
      <c r="Z1604" s="1"/>
    </row>
    <row r="1605" outlineLevel="2">
      <c r="A1605" s="26">
        <v>9.0</v>
      </c>
      <c r="B1605" s="26" t="s">
        <v>1870</v>
      </c>
      <c r="C1605" s="1"/>
      <c r="D1605" s="38"/>
      <c r="E1605" s="29" t="s">
        <v>55</v>
      </c>
      <c r="F1605" s="15"/>
      <c r="G1605" s="16"/>
      <c r="H1605" s="22" t="s">
        <v>1871</v>
      </c>
      <c r="I1605" s="7"/>
      <c r="J1605" s="32" t="s">
        <v>1872</v>
      </c>
      <c r="K1605" s="17"/>
      <c r="L1605" s="17"/>
      <c r="M1605" s="1"/>
      <c r="N1605" s="1"/>
      <c r="O1605" s="1"/>
      <c r="P1605" s="11"/>
      <c r="Q1605" s="11"/>
      <c r="R1605" s="11"/>
      <c r="S1605" s="11"/>
      <c r="T1605" s="1"/>
      <c r="U1605" s="1"/>
      <c r="V1605" s="1"/>
      <c r="W1605" s="1"/>
      <c r="X1605" s="1"/>
      <c r="Y1605" s="1"/>
      <c r="Z1605" s="1"/>
    </row>
    <row r="1606" outlineLevel="2">
      <c r="A1606" s="26">
        <v>10.0</v>
      </c>
      <c r="B1606" s="26" t="s">
        <v>1873</v>
      </c>
      <c r="C1606" s="1"/>
      <c r="D1606" s="40"/>
      <c r="E1606" s="29" t="s">
        <v>55</v>
      </c>
      <c r="F1606" s="15"/>
      <c r="G1606" s="30"/>
      <c r="H1606" s="22" t="s">
        <v>1874</v>
      </c>
      <c r="I1606" s="7"/>
      <c r="J1606" s="32" t="s">
        <v>1875</v>
      </c>
      <c r="K1606" s="17"/>
      <c r="L1606" s="17"/>
      <c r="M1606" s="1"/>
      <c r="N1606" s="1"/>
      <c r="O1606" s="1"/>
      <c r="P1606" s="11"/>
      <c r="Q1606" s="11"/>
      <c r="R1606" s="11"/>
      <c r="S1606" s="11"/>
      <c r="T1606" s="1"/>
      <c r="U1606" s="1"/>
      <c r="V1606" s="1"/>
      <c r="W1606" s="1"/>
      <c r="X1606" s="1"/>
      <c r="Y1606" s="1"/>
      <c r="Z1606" s="1"/>
    </row>
    <row r="1607" outlineLevel="1">
      <c r="A1607" s="1"/>
      <c r="B1607" s="1"/>
      <c r="C1607" s="1"/>
      <c r="D1607" s="1"/>
      <c r="E1607" s="14"/>
      <c r="F1607" s="15"/>
      <c r="G1607" s="16"/>
      <c r="H1607" s="11"/>
      <c r="I1607" s="7"/>
      <c r="J1607" s="7"/>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41" t="s">
        <v>1876</v>
      </c>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2">
      <c r="A1610" s="26">
        <v>1.0</v>
      </c>
      <c r="B1610" s="26" t="s">
        <v>1877</v>
      </c>
      <c r="C1610" s="1"/>
      <c r="D1610" s="40"/>
      <c r="E1610" s="29" t="s">
        <v>55</v>
      </c>
      <c r="F1610" s="15"/>
      <c r="G1610" s="16"/>
      <c r="H1610" s="22" t="s">
        <v>1878</v>
      </c>
      <c r="I1610" s="7"/>
      <c r="J1610" s="32" t="s">
        <v>1879</v>
      </c>
      <c r="K1610" s="17"/>
      <c r="L1610" s="17"/>
      <c r="M1610" s="1"/>
      <c r="N1610" s="1"/>
      <c r="O1610" s="1"/>
      <c r="P1610" s="11"/>
      <c r="Q1610" s="11"/>
      <c r="R1610" s="11"/>
      <c r="S1610" s="11"/>
      <c r="T1610" s="1"/>
      <c r="U1610" s="1"/>
      <c r="V1610" s="1"/>
      <c r="W1610" s="1"/>
      <c r="X1610" s="1"/>
      <c r="Y1610" s="1"/>
      <c r="Z1610" s="1"/>
    </row>
    <row r="1611" outlineLevel="2">
      <c r="A1611" s="26">
        <v>2.0</v>
      </c>
      <c r="B1611" s="26"/>
      <c r="C1611" s="1"/>
      <c r="D1611" s="38"/>
      <c r="E1611" s="14"/>
      <c r="F1611" s="15"/>
      <c r="G1611" s="16"/>
      <c r="H1611" s="11"/>
      <c r="I1611" s="7"/>
      <c r="J1611" s="7"/>
      <c r="K1611" s="17"/>
      <c r="L1611" s="17"/>
      <c r="M1611" s="1"/>
      <c r="N1611" s="1"/>
      <c r="O1611" s="1"/>
      <c r="P1611" s="11"/>
      <c r="Q1611" s="11"/>
      <c r="R1611" s="11"/>
      <c r="S1611" s="11"/>
      <c r="T1611" s="1"/>
      <c r="U1611" s="1"/>
      <c r="V1611" s="1"/>
      <c r="W1611" s="1"/>
      <c r="X1611" s="1"/>
      <c r="Y1611" s="1"/>
      <c r="Z1611" s="1"/>
    </row>
    <row r="1612" outlineLevel="2">
      <c r="A1612" s="26">
        <v>3.0</v>
      </c>
      <c r="B1612" s="26" t="s">
        <v>1880</v>
      </c>
      <c r="C1612" s="1"/>
      <c r="D1612" s="40"/>
      <c r="E1612" s="29" t="s">
        <v>33</v>
      </c>
      <c r="F1612" s="34"/>
      <c r="G1612" s="30"/>
      <c r="H1612" s="22" t="s">
        <v>1881</v>
      </c>
      <c r="I1612" s="7"/>
      <c r="J1612" s="32" t="s">
        <v>1882</v>
      </c>
      <c r="K1612" s="17"/>
      <c r="L1612" s="17"/>
      <c r="M1612" s="1"/>
      <c r="N1612" s="1"/>
      <c r="O1612" s="1"/>
      <c r="P1612" s="11"/>
      <c r="Q1612" s="11"/>
      <c r="R1612" s="11"/>
      <c r="S1612" s="11"/>
      <c r="T1612" s="1"/>
      <c r="U1612" s="1"/>
      <c r="V1612" s="1"/>
      <c r="W1612" s="1"/>
      <c r="X1612" s="1"/>
      <c r="Y1612" s="1"/>
      <c r="Z1612" s="1"/>
    </row>
    <row r="1613" outlineLevel="2">
      <c r="A1613" s="26">
        <v>4.0</v>
      </c>
      <c r="B1613" s="1"/>
      <c r="C1613" s="1"/>
      <c r="D1613" s="38"/>
      <c r="E1613" s="14"/>
      <c r="F1613" s="15"/>
      <c r="G1613" s="16"/>
      <c r="H1613" s="11"/>
      <c r="I1613" s="7"/>
      <c r="J1613" s="7"/>
      <c r="K1613" s="17"/>
      <c r="L1613" s="17"/>
      <c r="M1613" s="1"/>
      <c r="N1613" s="1"/>
      <c r="O1613" s="1"/>
      <c r="P1613" s="11"/>
      <c r="Q1613" s="11"/>
      <c r="R1613" s="11"/>
      <c r="S1613" s="11"/>
      <c r="T1613" s="1"/>
      <c r="U1613" s="1"/>
      <c r="V1613" s="1"/>
      <c r="W1613" s="1"/>
      <c r="X1613" s="1"/>
      <c r="Y1613" s="1"/>
      <c r="Z1613" s="1"/>
    </row>
    <row r="1614" outlineLevel="2">
      <c r="A1614" s="26">
        <v>5.0</v>
      </c>
      <c r="B1614" s="26" t="s">
        <v>1883</v>
      </c>
      <c r="C1614" s="1"/>
      <c r="D1614" s="38"/>
      <c r="E1614" s="29" t="s">
        <v>55</v>
      </c>
      <c r="F1614" s="15"/>
      <c r="G1614" s="16"/>
      <c r="H1614" s="22" t="s">
        <v>1884</v>
      </c>
      <c r="I1614" s="7"/>
      <c r="J1614" s="32" t="s">
        <v>1885</v>
      </c>
      <c r="K1614" s="17"/>
      <c r="L1614" s="17"/>
      <c r="M1614" s="1"/>
      <c r="N1614" s="1"/>
      <c r="O1614" s="1"/>
      <c r="P1614" s="11"/>
      <c r="Q1614" s="11"/>
      <c r="R1614" s="11"/>
      <c r="S1614" s="11"/>
      <c r="T1614" s="1"/>
      <c r="U1614" s="1"/>
      <c r="V1614" s="1"/>
      <c r="W1614" s="1"/>
      <c r="X1614" s="1"/>
      <c r="Y1614" s="1"/>
      <c r="Z1614" s="1"/>
    </row>
    <row r="1615" outlineLevel="2">
      <c r="A1615" s="26">
        <v>6.0</v>
      </c>
      <c r="B1615" s="26"/>
      <c r="C1615" s="1"/>
      <c r="D1615" s="40"/>
      <c r="E1615" s="29"/>
      <c r="F1615" s="34"/>
      <c r="G1615" s="30"/>
      <c r="H1615" s="22"/>
      <c r="I1615" s="7"/>
      <c r="J1615" s="7"/>
      <c r="K1615" s="17"/>
      <c r="L1615" s="17"/>
      <c r="M1615" s="1"/>
      <c r="N1615" s="1"/>
      <c r="O1615" s="1"/>
      <c r="P1615" s="11"/>
      <c r="Q1615" s="11"/>
      <c r="R1615" s="11"/>
      <c r="S1615" s="11"/>
      <c r="T1615" s="1"/>
      <c r="U1615" s="1"/>
      <c r="V1615" s="1"/>
      <c r="W1615" s="1"/>
      <c r="X1615" s="1"/>
      <c r="Y1615" s="1"/>
      <c r="Z1615" s="1"/>
    </row>
    <row r="1616" outlineLevel="2">
      <c r="A1616" s="26">
        <v>7.0</v>
      </c>
      <c r="B1616" s="26" t="s">
        <v>1886</v>
      </c>
      <c r="C1616" s="1"/>
      <c r="D1616" s="38"/>
      <c r="E1616" s="29" t="s">
        <v>33</v>
      </c>
      <c r="F1616" s="15"/>
      <c r="G1616" s="16"/>
      <c r="H1616" s="22" t="s">
        <v>1887</v>
      </c>
      <c r="I1616" s="7"/>
      <c r="J1616" s="32" t="s">
        <v>1888</v>
      </c>
      <c r="K1616" s="17"/>
      <c r="L1616" s="17"/>
      <c r="M1616" s="1"/>
      <c r="N1616" s="1"/>
      <c r="O1616" s="1"/>
      <c r="P1616" s="11"/>
      <c r="Q1616" s="11"/>
      <c r="R1616" s="11"/>
      <c r="S1616" s="11"/>
      <c r="T1616" s="1"/>
      <c r="U1616" s="1"/>
      <c r="V1616" s="1"/>
      <c r="W1616" s="1"/>
      <c r="X1616" s="1"/>
      <c r="Y1616" s="1"/>
      <c r="Z1616" s="1"/>
    </row>
    <row r="1617" outlineLevel="2">
      <c r="A1617" s="26">
        <v>8.0</v>
      </c>
      <c r="B1617" s="1"/>
      <c r="C1617" s="1"/>
      <c r="D1617" s="38"/>
      <c r="E1617" s="14"/>
      <c r="F1617" s="15"/>
      <c r="G1617" s="16"/>
      <c r="H1617" s="11"/>
      <c r="I1617" s="7"/>
      <c r="J1617" s="7"/>
      <c r="K1617" s="17"/>
      <c r="L1617" s="17"/>
      <c r="M1617" s="1"/>
      <c r="N1617" s="1"/>
      <c r="O1617" s="1"/>
      <c r="P1617" s="11"/>
      <c r="Q1617" s="11"/>
      <c r="R1617" s="11"/>
      <c r="S1617" s="11"/>
      <c r="T1617" s="1"/>
      <c r="U1617" s="1"/>
      <c r="V1617" s="1"/>
      <c r="W1617" s="1"/>
      <c r="X1617" s="1"/>
      <c r="Y1617" s="1"/>
      <c r="Z1617" s="1"/>
    </row>
    <row r="1618" outlineLevel="2">
      <c r="A1618" s="26">
        <v>9.0</v>
      </c>
      <c r="B1618" s="26" t="s">
        <v>1889</v>
      </c>
      <c r="C1618" s="1"/>
      <c r="D1618" s="38"/>
      <c r="E1618" s="29" t="s">
        <v>33</v>
      </c>
      <c r="F1618" s="15"/>
      <c r="G1618" s="16"/>
      <c r="H1618" s="22" t="s">
        <v>1890</v>
      </c>
      <c r="I1618" s="7"/>
      <c r="J1618" s="32" t="s">
        <v>1891</v>
      </c>
      <c r="K1618" s="17"/>
      <c r="L1618" s="17"/>
      <c r="M1618" s="1"/>
      <c r="N1618" s="1"/>
      <c r="O1618" s="1"/>
      <c r="P1618" s="11"/>
      <c r="Q1618" s="11"/>
      <c r="R1618" s="11"/>
      <c r="S1618" s="11"/>
      <c r="T1618" s="1"/>
      <c r="U1618" s="1"/>
      <c r="V1618" s="1"/>
      <c r="W1618" s="1"/>
      <c r="X1618" s="1"/>
      <c r="Y1618" s="1"/>
      <c r="Z1618" s="1"/>
    </row>
    <row r="1619" outlineLevel="2">
      <c r="A1619" s="26">
        <v>10.0</v>
      </c>
      <c r="B1619" s="26" t="s">
        <v>1892</v>
      </c>
      <c r="C1619" s="1"/>
      <c r="D1619" s="40"/>
      <c r="E1619" s="29" t="s">
        <v>55</v>
      </c>
      <c r="F1619" s="15"/>
      <c r="G1619" s="30"/>
      <c r="H1619" s="22" t="s">
        <v>1545</v>
      </c>
      <c r="I1619" s="7"/>
      <c r="J1619" s="32" t="s">
        <v>1893</v>
      </c>
      <c r="K1619" s="17"/>
      <c r="L1619" s="17"/>
      <c r="M1619" s="1"/>
      <c r="N1619" s="1"/>
      <c r="O1619" s="1"/>
      <c r="P1619" s="11"/>
      <c r="Q1619" s="11"/>
      <c r="R1619" s="11"/>
      <c r="S1619" s="11"/>
      <c r="T1619" s="1"/>
      <c r="U1619" s="1"/>
      <c r="V1619" s="1"/>
      <c r="W1619" s="1"/>
      <c r="X1619" s="1"/>
      <c r="Y1619" s="1"/>
      <c r="Z1619" s="1"/>
    </row>
    <row r="1620" outlineLevel="1">
      <c r="A1620" s="1"/>
      <c r="B1620" s="1"/>
      <c r="C1620" s="1"/>
      <c r="D1620" s="1"/>
      <c r="E1620" s="14"/>
      <c r="F1620" s="15"/>
      <c r="G1620" s="16"/>
      <c r="H1620" s="11"/>
      <c r="I1620" s="7"/>
      <c r="J1620" s="7"/>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39" t="s">
        <v>1894</v>
      </c>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2">
      <c r="A1623" s="26">
        <v>1.0</v>
      </c>
      <c r="B1623" s="26" t="s">
        <v>1895</v>
      </c>
      <c r="C1623" s="1"/>
      <c r="D1623" s="40"/>
      <c r="E1623" s="29" t="s">
        <v>55</v>
      </c>
      <c r="F1623" s="15"/>
      <c r="G1623" s="16"/>
      <c r="H1623" s="22" t="s">
        <v>1896</v>
      </c>
      <c r="I1623" s="7"/>
      <c r="J1623" s="32" t="s">
        <v>1897</v>
      </c>
      <c r="K1623" s="17"/>
      <c r="L1623" s="17"/>
      <c r="M1623" s="1"/>
      <c r="N1623" s="1"/>
      <c r="O1623" s="1"/>
      <c r="P1623" s="11"/>
      <c r="Q1623" s="11"/>
      <c r="R1623" s="11"/>
      <c r="S1623" s="11"/>
      <c r="T1623" s="1"/>
      <c r="U1623" s="1"/>
      <c r="V1623" s="1"/>
      <c r="W1623" s="1"/>
      <c r="X1623" s="1"/>
      <c r="Y1623" s="1"/>
      <c r="Z1623" s="1"/>
    </row>
    <row r="1624" outlineLevel="2">
      <c r="A1624" s="26">
        <v>2.0</v>
      </c>
      <c r="B1624" s="26"/>
      <c r="C1624" s="1"/>
      <c r="D1624" s="38"/>
      <c r="E1624" s="14"/>
      <c r="F1624" s="15"/>
      <c r="G1624" s="16"/>
      <c r="H1624" s="11"/>
      <c r="I1624" s="7"/>
      <c r="J1624" s="7"/>
      <c r="K1624" s="17"/>
      <c r="L1624" s="17"/>
      <c r="M1624" s="1"/>
      <c r="N1624" s="1"/>
      <c r="O1624" s="1"/>
      <c r="P1624" s="11"/>
      <c r="Q1624" s="11"/>
      <c r="R1624" s="11"/>
      <c r="S1624" s="11"/>
      <c r="T1624" s="1"/>
      <c r="U1624" s="1"/>
      <c r="V1624" s="1"/>
      <c r="W1624" s="1"/>
      <c r="X1624" s="1"/>
      <c r="Y1624" s="1"/>
      <c r="Z1624" s="1"/>
    </row>
    <row r="1625" outlineLevel="2">
      <c r="A1625" s="26">
        <v>3.0</v>
      </c>
      <c r="B1625" s="26" t="s">
        <v>1898</v>
      </c>
      <c r="C1625" s="1"/>
      <c r="D1625" s="40"/>
      <c r="E1625" s="29" t="s">
        <v>55</v>
      </c>
      <c r="F1625" s="34"/>
      <c r="G1625" s="30"/>
      <c r="H1625" s="22" t="s">
        <v>1899</v>
      </c>
      <c r="I1625" s="7"/>
      <c r="J1625" s="32" t="s">
        <v>1900</v>
      </c>
      <c r="K1625" s="17"/>
      <c r="L1625" s="17"/>
      <c r="M1625" s="1"/>
      <c r="N1625" s="1"/>
      <c r="O1625" s="1"/>
      <c r="P1625" s="11"/>
      <c r="Q1625" s="11"/>
      <c r="R1625" s="11"/>
      <c r="S1625" s="11"/>
      <c r="T1625" s="1"/>
      <c r="U1625" s="1"/>
      <c r="V1625" s="1"/>
      <c r="W1625" s="1"/>
      <c r="X1625" s="1"/>
      <c r="Y1625" s="1"/>
      <c r="Z1625" s="1"/>
    </row>
    <row r="1626" outlineLevel="2">
      <c r="A1626" s="26">
        <v>4.0</v>
      </c>
      <c r="B1626" s="1"/>
      <c r="C1626" s="1"/>
      <c r="D1626" s="38"/>
      <c r="E1626" s="14"/>
      <c r="F1626" s="15"/>
      <c r="G1626" s="16"/>
      <c r="H1626" s="11"/>
      <c r="I1626" s="7"/>
      <c r="J1626" s="7"/>
      <c r="K1626" s="17"/>
      <c r="L1626" s="17"/>
      <c r="M1626" s="1"/>
      <c r="N1626" s="1"/>
      <c r="O1626" s="1"/>
      <c r="P1626" s="11"/>
      <c r="Q1626" s="11"/>
      <c r="R1626" s="11"/>
      <c r="S1626" s="11"/>
      <c r="T1626" s="1"/>
      <c r="U1626" s="1"/>
      <c r="V1626" s="1"/>
      <c r="W1626" s="1"/>
      <c r="X1626" s="1"/>
      <c r="Y1626" s="1"/>
      <c r="Z1626" s="1"/>
    </row>
    <row r="1627" outlineLevel="2">
      <c r="A1627" s="26">
        <v>5.0</v>
      </c>
      <c r="B1627" s="26" t="s">
        <v>1901</v>
      </c>
      <c r="C1627" s="1"/>
      <c r="D1627" s="38"/>
      <c r="E1627" s="29" t="s">
        <v>55</v>
      </c>
      <c r="F1627" s="15"/>
      <c r="G1627" s="16"/>
      <c r="H1627" s="22" t="s">
        <v>1902</v>
      </c>
      <c r="I1627" s="7"/>
      <c r="J1627" s="32" t="s">
        <v>1903</v>
      </c>
      <c r="K1627" s="17"/>
      <c r="L1627" s="17"/>
      <c r="M1627" s="1"/>
      <c r="N1627" s="1"/>
      <c r="O1627" s="1"/>
      <c r="P1627" s="11"/>
      <c r="Q1627" s="11"/>
      <c r="R1627" s="11"/>
      <c r="S1627" s="11"/>
      <c r="T1627" s="1"/>
      <c r="U1627" s="1"/>
      <c r="V1627" s="1"/>
      <c r="W1627" s="1"/>
      <c r="X1627" s="1"/>
      <c r="Y1627" s="1"/>
      <c r="Z1627" s="1"/>
    </row>
    <row r="1628" outlineLevel="2">
      <c r="A1628" s="26">
        <v>6.0</v>
      </c>
      <c r="B1628" s="26"/>
      <c r="C1628" s="1"/>
      <c r="D1628" s="40"/>
      <c r="E1628" s="29"/>
      <c r="F1628" s="34"/>
      <c r="G1628" s="30"/>
      <c r="H1628" s="22"/>
      <c r="I1628" s="7"/>
      <c r="J1628" s="7"/>
      <c r="K1628" s="17"/>
      <c r="L1628" s="17"/>
      <c r="M1628" s="1"/>
      <c r="N1628" s="1"/>
      <c r="O1628" s="1"/>
      <c r="P1628" s="11"/>
      <c r="Q1628" s="11"/>
      <c r="R1628" s="11"/>
      <c r="S1628" s="11"/>
      <c r="T1628" s="1"/>
      <c r="U1628" s="1"/>
      <c r="V1628" s="1"/>
      <c r="W1628" s="1"/>
      <c r="X1628" s="1"/>
      <c r="Y1628" s="1"/>
      <c r="Z1628" s="1"/>
    </row>
    <row r="1629" outlineLevel="2">
      <c r="A1629" s="26">
        <v>7.0</v>
      </c>
      <c r="B1629" s="26" t="s">
        <v>1904</v>
      </c>
      <c r="C1629" s="1"/>
      <c r="D1629" s="38"/>
      <c r="E1629" s="29" t="s">
        <v>55</v>
      </c>
      <c r="F1629" s="15"/>
      <c r="G1629" s="16"/>
      <c r="H1629" s="22" t="s">
        <v>1905</v>
      </c>
      <c r="I1629" s="7"/>
      <c r="J1629" s="32" t="s">
        <v>1906</v>
      </c>
      <c r="K1629" s="17"/>
      <c r="L1629" s="17"/>
      <c r="M1629" s="1"/>
      <c r="N1629" s="1"/>
      <c r="O1629" s="1"/>
      <c r="P1629" s="11"/>
      <c r="Q1629" s="11"/>
      <c r="R1629" s="11"/>
      <c r="S1629" s="11"/>
      <c r="T1629" s="1"/>
      <c r="U1629" s="1"/>
      <c r="V1629" s="1"/>
      <c r="W1629" s="1"/>
      <c r="X1629" s="1"/>
      <c r="Y1629" s="1"/>
      <c r="Z1629" s="1"/>
    </row>
    <row r="1630" outlineLevel="2">
      <c r="A1630" s="26">
        <v>8.0</v>
      </c>
      <c r="B1630" s="1"/>
      <c r="C1630" s="1"/>
      <c r="D1630" s="38"/>
      <c r="E1630" s="14"/>
      <c r="F1630" s="15"/>
      <c r="G1630" s="16"/>
      <c r="H1630" s="11"/>
      <c r="I1630" s="7"/>
      <c r="J1630" s="7"/>
      <c r="K1630" s="17"/>
      <c r="L1630" s="17"/>
      <c r="M1630" s="1"/>
      <c r="N1630" s="1"/>
      <c r="O1630" s="1"/>
      <c r="P1630" s="11"/>
      <c r="Q1630" s="11"/>
      <c r="R1630" s="11"/>
      <c r="S1630" s="11"/>
      <c r="T1630" s="1"/>
      <c r="U1630" s="1"/>
      <c r="V1630" s="1"/>
      <c r="W1630" s="1"/>
      <c r="X1630" s="1"/>
      <c r="Y1630" s="1"/>
      <c r="Z1630" s="1"/>
    </row>
    <row r="1631" outlineLevel="2">
      <c r="A1631" s="26">
        <v>9.0</v>
      </c>
      <c r="B1631" s="26" t="s">
        <v>1907</v>
      </c>
      <c r="C1631" s="1"/>
      <c r="D1631" s="38"/>
      <c r="E1631" s="29" t="s">
        <v>55</v>
      </c>
      <c r="F1631" s="15"/>
      <c r="G1631" s="16"/>
      <c r="H1631" s="22" t="s">
        <v>1908</v>
      </c>
      <c r="I1631" s="7"/>
      <c r="J1631" s="32" t="s">
        <v>1909</v>
      </c>
      <c r="K1631" s="17"/>
      <c r="L1631" s="17"/>
      <c r="M1631" s="1"/>
      <c r="N1631" s="1"/>
      <c r="O1631" s="1"/>
      <c r="P1631" s="11"/>
      <c r="Q1631" s="11"/>
      <c r="R1631" s="11"/>
      <c r="S1631" s="11"/>
      <c r="T1631" s="1"/>
      <c r="U1631" s="1"/>
      <c r="V1631" s="1"/>
      <c r="W1631" s="1"/>
      <c r="X1631" s="1"/>
      <c r="Y1631" s="1"/>
      <c r="Z1631" s="1"/>
    </row>
    <row r="1632" outlineLevel="2">
      <c r="A1632" s="26">
        <v>10.0</v>
      </c>
      <c r="B1632" s="26" t="s">
        <v>1910</v>
      </c>
      <c r="C1632" s="1"/>
      <c r="D1632" s="40"/>
      <c r="E1632" s="29" t="s">
        <v>55</v>
      </c>
      <c r="F1632" s="15"/>
      <c r="G1632" s="30"/>
      <c r="H1632" s="22" t="s">
        <v>1911</v>
      </c>
      <c r="I1632" s="7"/>
      <c r="J1632" s="32" t="s">
        <v>1912</v>
      </c>
      <c r="K1632" s="17"/>
      <c r="L1632" s="17"/>
      <c r="M1632" s="1"/>
      <c r="N1632" s="1"/>
      <c r="O1632" s="1"/>
      <c r="P1632" s="11"/>
      <c r="Q1632" s="11"/>
      <c r="R1632" s="11"/>
      <c r="S1632" s="11"/>
      <c r="T1632" s="1"/>
      <c r="U1632" s="1"/>
      <c r="V1632" s="1"/>
      <c r="W1632" s="1"/>
      <c r="X1632" s="1"/>
      <c r="Y1632" s="1"/>
      <c r="Z1632" s="1"/>
    </row>
    <row r="1633" outlineLevel="2">
      <c r="A1633" s="1"/>
      <c r="B1633" s="1"/>
      <c r="C1633" s="1"/>
      <c r="D1633" s="1"/>
      <c r="E1633" s="14"/>
      <c r="F1633" s="15"/>
      <c r="G1633" s="16"/>
      <c r="H1633" s="11"/>
      <c r="I1633" s="7"/>
      <c r="J1633" s="7"/>
      <c r="K1633" s="17"/>
      <c r="L1633" s="17"/>
      <c r="M1633" s="1"/>
      <c r="N1633" s="1"/>
      <c r="O1633" s="1"/>
      <c r="P1633" s="11"/>
      <c r="Q1633" s="11"/>
      <c r="R1633" s="11"/>
      <c r="S1633" s="11"/>
      <c r="T1633" s="1"/>
      <c r="U1633" s="1"/>
      <c r="V1633" s="1"/>
      <c r="W1633" s="1"/>
      <c r="X1633" s="1"/>
      <c r="Y1633" s="1"/>
      <c r="Z1633" s="1"/>
    </row>
    <row r="1634" outlineLevel="1">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ht="18.0" customHeight="1">
      <c r="A1635" s="1"/>
      <c r="B1635" s="1"/>
      <c r="C1635" s="26" t="s">
        <v>1913</v>
      </c>
      <c r="D1635" s="1"/>
      <c r="E1635" s="14"/>
      <c r="F1635" s="15"/>
      <c r="G1635" s="16"/>
      <c r="H1635" s="11"/>
      <c r="I1635" s="7"/>
      <c r="J1635" s="7" t="str">
        <f>IFERROR(LET(_xlpm.v,
VLOOKUP($I1635,'用語辞書'!$A:$B,COLUMN('用語辞書'!B$1),FALSE),
IF(_xlpm.v=0,"",_xlpm.v)
),"")</f>
        <v/>
      </c>
      <c r="K1635" s="17"/>
      <c r="L1635" s="17" t="str">
        <f>IF(OR(COUNTIF('クラス'!$A$1:$A$1262,$B1635)&gt;0,$B1635="",$M1635=""),"",True)</f>
        <v/>
      </c>
      <c r="M1635" s="1" t="str">
        <f>IF(COUNTIF($B$1:$C1530, $B1635), "", "存在しない")</f>
        <v>存在しない</v>
      </c>
      <c r="N1635" s="1" t="s">
        <v>29</v>
      </c>
      <c r="O1635" s="1"/>
      <c r="P1635" s="11"/>
      <c r="Q1635" s="11"/>
      <c r="R1635" s="11"/>
      <c r="S1635" s="11"/>
      <c r="T1635" s="1"/>
      <c r="U1635" s="1"/>
      <c r="V1635" s="1"/>
      <c r="W1635" s="1"/>
      <c r="X1635" s="1"/>
      <c r="Y1635" s="1"/>
      <c r="Z1635" s="1"/>
    </row>
    <row r="1636" ht="18.0" customHeight="1" outlineLevel="1">
      <c r="A1636" s="1"/>
      <c r="B1636" s="39" t="s">
        <v>1914</v>
      </c>
      <c r="C1636" s="1"/>
      <c r="D1636" s="1"/>
      <c r="E1636" s="14"/>
      <c r="F1636" s="15"/>
      <c r="G1636" s="16"/>
      <c r="H1636" s="11"/>
      <c r="I1636" s="7"/>
      <c r="J1636" s="7"/>
      <c r="K1636" s="17"/>
      <c r="L1636" s="17"/>
      <c r="M1636" s="1"/>
      <c r="N1636" s="1"/>
      <c r="O1636" s="1"/>
      <c r="P1636" s="11"/>
      <c r="Q1636" s="11"/>
      <c r="R1636" s="11"/>
      <c r="S1636" s="11"/>
      <c r="T1636" s="1"/>
      <c r="U1636" s="1"/>
      <c r="V1636" s="1"/>
      <c r="W1636" s="1"/>
      <c r="X1636" s="1"/>
      <c r="Y1636" s="1"/>
      <c r="Z1636" s="1"/>
    </row>
    <row r="1637" ht="18.0" hidden="1" customHeight="1" outlineLevel="2">
      <c r="A1637" s="26">
        <v>1.0</v>
      </c>
      <c r="B1637" s="26" t="s">
        <v>1915</v>
      </c>
      <c r="C1637" s="1"/>
      <c r="D1637" s="40" t="s">
        <v>644</v>
      </c>
      <c r="E1637" s="29" t="s">
        <v>33</v>
      </c>
      <c r="F1637" s="15"/>
      <c r="G1637" s="30">
        <v>30.0</v>
      </c>
      <c r="H1637" s="22" t="s">
        <v>1916</v>
      </c>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2.0</v>
      </c>
      <c r="B1638" s="26" t="s">
        <v>37</v>
      </c>
      <c r="C1638" s="1"/>
      <c r="D1638" s="38"/>
      <c r="E1638" s="14"/>
      <c r="F1638" s="15"/>
      <c r="G1638" s="16"/>
      <c r="H1638" s="11"/>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3.0</v>
      </c>
      <c r="B1639" s="26" t="s">
        <v>1917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4.0</v>
      </c>
      <c r="B1640" s="1"/>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5.0</v>
      </c>
      <c r="B1641" s="26" t="s">
        <v>1918</v>
      </c>
      <c r="C1641" s="1"/>
      <c r="D1641" s="40" t="s">
        <v>965</v>
      </c>
      <c r="E1641" s="29" t="s">
        <v>55</v>
      </c>
      <c r="F1641" s="15"/>
      <c r="G1641" s="16"/>
      <c r="H1641" s="22" t="s">
        <v>1919</v>
      </c>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6.0</v>
      </c>
      <c r="B1642" s="1"/>
      <c r="C1642" s="1"/>
      <c r="D1642" s="38"/>
      <c r="E1642" s="14"/>
      <c r="F1642" s="15"/>
      <c r="G1642" s="16"/>
      <c r="H1642" s="11"/>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7.0</v>
      </c>
      <c r="B1643" s="26" t="s">
        <v>1243</v>
      </c>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8.0</v>
      </c>
      <c r="B1644" s="1"/>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9.0</v>
      </c>
      <c r="B1645" s="26" t="s">
        <v>39</v>
      </c>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10.0</v>
      </c>
      <c r="B1646" s="1"/>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1"/>
      <c r="B1647" s="1"/>
      <c r="C1647" s="1"/>
      <c r="D1647" s="1"/>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customHeight="1" outlineLevel="1" collapsed="1">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 r="A1649" s="1"/>
      <c r="B1649" s="1" t="s">
        <v>1920</v>
      </c>
      <c r="C1649" s="1"/>
      <c r="D1649" s="1"/>
      <c r="E1649" s="14"/>
      <c r="F1649" s="15"/>
      <c r="G1649" s="16"/>
      <c r="H1649" s="11"/>
      <c r="I1649" s="7"/>
      <c r="J1649" s="7" t="str">
        <f>IFERROR(LET(_xlpm.v,
VLOOKUP($I1649,'用語辞書'!$A:$B,COLUMN('用語辞書'!B$1),FALSE),
IF(_xlpm.v=0,"",_xlpm.v)
),"")</f>
        <v/>
      </c>
      <c r="K1649" s="17"/>
      <c r="L1649" s="17" t="str">
        <f>IF(OR(COUNTIF('クラス'!$A$1:$A$1262,$B1649)&gt;0,$B1649="",$M1649=""),"",True)</f>
        <v/>
      </c>
      <c r="M1649" s="1" t="str">
        <f>IF(COUNTIF($B$1:$C1635, $B1649), "", "存在しない")</f>
        <v>存在しない</v>
      </c>
      <c r="N1649" s="1" t="s">
        <v>29</v>
      </c>
      <c r="O1649" s="1"/>
      <c r="P1649" s="11"/>
      <c r="Q1649" s="11"/>
      <c r="R1649" s="11"/>
      <c r="S1649" s="11"/>
      <c r="T1649" s="1"/>
      <c r="U1649" s="1"/>
      <c r="V1649" s="1"/>
      <c r="W1649" s="1"/>
      <c r="X1649" s="1"/>
      <c r="Y1649" s="1"/>
      <c r="Z1649" s="1"/>
    </row>
    <row r="1650" ht="18.0" hidden="1" customHeight="1" outlineLevel="2">
      <c r="A1650" s="1">
        <v>1.0</v>
      </c>
      <c r="B1650" s="1" t="s">
        <v>37</v>
      </c>
      <c r="C1650" s="1"/>
      <c r="D1650" s="1"/>
      <c r="E1650" s="14" t="s">
        <v>33</v>
      </c>
      <c r="F1650" s="15"/>
      <c r="G1650" s="16"/>
      <c r="H1650" s="11"/>
      <c r="I1650" s="7"/>
      <c r="J1650" s="7" t="str">
        <f>IFERROR(LET(_xlpm.v,
VLOOKUP($I1650,'用語辞書'!$A:$B,COLUMN('用語辞書'!B$1),FALSE),
IF(_xlpm.v=0,"",_xlpm.v)
),"")</f>
        <v/>
      </c>
      <c r="K1650" s="17"/>
      <c r="L1650" s="17" t="str">
        <f>IF(OR(COUNTIF('クラス'!$A$1:$A$1262,$B1650)&gt;0,$B1650="",$M1650=""),"",True)</f>
        <v/>
      </c>
      <c r="M1650" s="1" t="str">
        <f t="shared" ref="M1650:M2303" si="27">IF(COUNTIF($B$1:$C1649, $B1650), "", "存在しない")</f>
        <v/>
      </c>
      <c r="N1650" s="1" t="s">
        <v>29</v>
      </c>
      <c r="O1650" s="1"/>
      <c r="P1650" s="11"/>
      <c r="Q1650" s="11"/>
      <c r="R1650" s="11"/>
      <c r="S1650" s="11"/>
      <c r="T1650" s="1"/>
      <c r="U1650" s="1"/>
      <c r="V1650" s="1"/>
      <c r="W1650" s="1"/>
      <c r="X1650" s="1"/>
      <c r="Y1650" s="1"/>
      <c r="Z1650" s="1"/>
    </row>
    <row r="1651" ht="18.0" hidden="1" customHeight="1" outlineLevel="2">
      <c r="A1651" s="1">
        <v>2.0</v>
      </c>
      <c r="B1651" s="1"/>
      <c r="C1651" s="1"/>
      <c r="D1651" s="1"/>
      <c r="E1651" s="14"/>
      <c r="F1651" s="15"/>
      <c r="G1651" s="16"/>
      <c r="H1651" s="11"/>
      <c r="I1651" s="7"/>
      <c r="J1651" s="7" t="str">
        <f>IFERROR(LET(_xlpm.v,
VLOOKUP($I1651,'用語辞書'!$A:$B,COLUMN('用語辞書'!B$1),FALSE),
IF(_xlpm.v=0,"",_xlpm.v)
),"")</f>
        <v/>
      </c>
      <c r="K1651" s="17"/>
      <c r="L1651" s="17" t="str">
        <f>IF(OR(COUNTIF('クラス'!$A$1:$A$1262,$B1651)&gt;0,$B1651="",$M1651=""),"",True)</f>
        <v/>
      </c>
      <c r="M1651" s="1" t="str">
        <f t="shared" si="27"/>
        <v>存在しない</v>
      </c>
      <c r="N1651" s="1" t="s">
        <v>29</v>
      </c>
      <c r="O1651" s="1"/>
      <c r="P1651" s="11"/>
      <c r="Q1651" s="11"/>
      <c r="R1651" s="11"/>
      <c r="S1651" s="11"/>
      <c r="T1651" s="1"/>
      <c r="U1651" s="1"/>
      <c r="V1651" s="1"/>
      <c r="W1651" s="1"/>
      <c r="X1651" s="1"/>
      <c r="Y1651" s="1"/>
      <c r="Z1651" s="1"/>
    </row>
    <row r="1652" ht="18.0" hidden="1" customHeight="1" outlineLevel="2">
      <c r="A1652" s="1">
        <v>3.0</v>
      </c>
      <c r="B1652" s="1" t="s">
        <v>45</v>
      </c>
      <c r="C1652" s="1"/>
      <c r="D1652" s="1"/>
      <c r="E1652" s="14" t="s">
        <v>33</v>
      </c>
      <c r="F1652" s="15"/>
      <c r="G1652" s="16"/>
      <c r="H1652" s="11"/>
      <c r="I1652" s="7"/>
      <c r="J1652" s="7" t="str">
        <f>IFERROR(LET(_xlpm.v,
VLOOKUP($I1652,'用語辞書'!$A:$B,COLUMN('用語辞書'!B$1),FALSE),
IF(_xlpm.v=0,"",_xlpm.v)
),"")</f>
        <v/>
      </c>
      <c r="K1652" s="17"/>
      <c r="L1652" s="17" t="str">
        <f>IF(OR(COUNTIF('クラス'!$A$1:$A$1262,$B1652)&gt;0,$B1652="",$M1652=""),"",True)</f>
        <v/>
      </c>
      <c r="M1652" s="1" t="str">
        <f t="shared" si="27"/>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VLOOKUP($I1653,'用語辞書'!$A:$B,COLUMN('用語辞書'!B$1),FALSE),
IF(_xlpm.v=0,"",_xlpm.v)
),"")</f>
        <v/>
      </c>
      <c r="K1653" s="17"/>
      <c r="L1653" s="17" t="str">
        <f>IF(OR(COUNTIF('クラス'!$A$1:$A$1262,$B1653)&gt;0,$B1653="",$M1653=""),"",True)</f>
        <v/>
      </c>
      <c r="M1653" s="1" t="str">
        <f t="shared" si="27"/>
        <v>存在しない</v>
      </c>
      <c r="N1653" s="1" t="s">
        <v>29</v>
      </c>
      <c r="O1653" s="1"/>
      <c r="P1653" s="11"/>
      <c r="Q1653" s="11"/>
      <c r="R1653" s="11"/>
      <c r="S1653" s="11"/>
      <c r="T1653" s="1"/>
      <c r="U1653" s="1"/>
      <c r="V1653" s="1"/>
      <c r="W1653" s="1"/>
      <c r="X1653" s="1"/>
      <c r="Y1653" s="1"/>
      <c r="Z1653" s="1"/>
    </row>
    <row r="1654" ht="18.0" hidden="1" customHeight="1" outlineLevel="2">
      <c r="A1654" s="1">
        <v>5.0</v>
      </c>
      <c r="B1654" s="1" t="s">
        <v>1921</v>
      </c>
      <c r="C1654" s="1"/>
      <c r="D1654" s="1"/>
      <c r="E1654" s="14" t="s">
        <v>55</v>
      </c>
      <c r="F1654" s="15"/>
      <c r="G1654" s="16"/>
      <c r="H1654" s="11" t="s">
        <v>1922</v>
      </c>
      <c r="I1654" s="7"/>
      <c r="J1654" s="7" t="str">
        <f>IFERROR(LET(_xlpm.v,
VLOOKUP($I1654,'用語辞書'!$A:$B,COLUMN('用語辞書'!B$1),FALSE),
IF(_xlpm.v=0,"",_xlpm.v)
),"")</f>
        <v/>
      </c>
      <c r="K1654" s="17"/>
      <c r="L1654" s="17" t="b">
        <f>IF(OR(COUNTIF('クラス'!$A$1:$A$1262,$B1654)&gt;0,$B1654="",$M1654=""),"",True)</f>
        <v>1</v>
      </c>
      <c r="M1654" s="1" t="str">
        <f t="shared" si="27"/>
        <v>存在しない</v>
      </c>
      <c r="N1654" s="1" t="e">
        <v>#VALUE!</v>
      </c>
      <c r="O1654" s="1"/>
      <c r="P1654" s="11"/>
      <c r="Q1654" s="11"/>
      <c r="R1654" s="11"/>
      <c r="S1654" s="11"/>
      <c r="T1654" s="1"/>
      <c r="U1654" s="1"/>
      <c r="V1654" s="1"/>
      <c r="W1654" s="1"/>
      <c r="X1654" s="1"/>
      <c r="Y1654" s="1"/>
      <c r="Z1654" s="1"/>
    </row>
    <row r="1655" ht="18.0" hidden="1" customHeight="1" outlineLevel="2">
      <c r="A1655" s="1">
        <v>6.0</v>
      </c>
      <c r="B1655" s="1" t="s">
        <v>1915</v>
      </c>
      <c r="C1655" s="1"/>
      <c r="D1655" s="1"/>
      <c r="E1655" s="14" t="s">
        <v>33</v>
      </c>
      <c r="F1655" s="15"/>
      <c r="G1655" s="16">
        <v>20.0</v>
      </c>
      <c r="H1655" s="11" t="s">
        <v>1923</v>
      </c>
      <c r="I1655" s="7"/>
      <c r="J1655" s="7" t="str">
        <f>IFERROR(LET(_xlpm.v,
VLOOKUP($I1655,'用語辞書'!$A:$B,COLUMN('用語辞書'!B$1),FALSE),
IF(_xlpm.v=0,"",_xlpm.v)
),"")</f>
        <v/>
      </c>
      <c r="K1655" s="17"/>
      <c r="L1655" s="17" t="str">
        <f>IF(OR(COUNTIF('クラス'!$A$1:$A$1262,$B1655)&gt;0,$B1655="",$M1655=""),"",True)</f>
        <v/>
      </c>
      <c r="M1655" s="1" t="str">
        <f t="shared" si="27"/>
        <v/>
      </c>
      <c r="N1655" s="1" t="s">
        <v>29</v>
      </c>
      <c r="O1655" s="1"/>
      <c r="P1655" s="11"/>
      <c r="Q1655" s="11"/>
      <c r="R1655" s="11"/>
      <c r="S1655" s="11"/>
      <c r="T1655" s="1"/>
      <c r="U1655" s="1"/>
      <c r="V1655" s="1"/>
      <c r="W1655" s="1"/>
      <c r="X1655" s="1"/>
      <c r="Y1655" s="1"/>
      <c r="Z1655" s="1"/>
    </row>
    <row r="1656" ht="18.0" hidden="1" customHeight="1" outlineLevel="2">
      <c r="A1656" s="1">
        <v>7.0</v>
      </c>
      <c r="B1656" s="1"/>
      <c r="C1656" s="1"/>
      <c r="D1656" s="1"/>
      <c r="E1656" s="14"/>
      <c r="F1656" s="15"/>
      <c r="G1656" s="16"/>
      <c r="H1656" s="11"/>
      <c r="I1656" s="7"/>
      <c r="J1656" s="7" t="str">
        <f>IFERROR(LET(_xlpm.v,
VLOOKUP($I1656,'用語辞書'!$A:$B,COLUMN('用語辞書'!B$1),FALSE),
IF(_xlpm.v=0,"",_xlpm.v)
),"")</f>
        <v/>
      </c>
      <c r="K1656" s="17"/>
      <c r="L1656" s="17" t="str">
        <f>IF(OR(COUNTIF('クラス'!$A$1:$A$1262,$B1656)&gt;0,$B1656="",$M1656=""),"",True)</f>
        <v/>
      </c>
      <c r="M1656" s="1" t="str">
        <f t="shared" si="27"/>
        <v>存在しない</v>
      </c>
      <c r="N1656" s="1" t="s">
        <v>29</v>
      </c>
      <c r="O1656" s="1"/>
      <c r="P1656" s="11"/>
      <c r="Q1656" s="11"/>
      <c r="R1656" s="11"/>
      <c r="S1656" s="11"/>
      <c r="T1656" s="1"/>
      <c r="U1656" s="1"/>
      <c r="V1656" s="1"/>
      <c r="W1656" s="1"/>
      <c r="X1656" s="1"/>
      <c r="Y1656" s="1"/>
      <c r="Z1656" s="1"/>
    </row>
    <row r="1657" ht="18.0" hidden="1" customHeight="1" outlineLevel="2">
      <c r="A1657" s="1">
        <v>8.0</v>
      </c>
      <c r="B1657" s="1" t="s">
        <v>1924</v>
      </c>
      <c r="C1657" s="1"/>
      <c r="D1657" s="1"/>
      <c r="E1657" s="14" t="s">
        <v>33</v>
      </c>
      <c r="F1657" s="15"/>
      <c r="G1657" s="16"/>
      <c r="H1657" s="11" t="s">
        <v>1925</v>
      </c>
      <c r="I1657" s="7"/>
      <c r="J1657" s="7" t="str">
        <f>IFERROR(LET(_xlpm.v,
VLOOKUP($I1657,'用語辞書'!$A:$B,COLUMN('用語辞書'!B$1),FALSE),
IF(_xlpm.v=0,"",_xlpm.v)
),"")</f>
        <v/>
      </c>
      <c r="K1657" s="17"/>
      <c r="L1657" s="17" t="b">
        <f>IF(OR(COUNTIF('クラス'!$A$1:$A$1262,$B1657)&gt;0,$B1657="",$M1657=""),"",True)</f>
        <v>1</v>
      </c>
      <c r="M1657" s="1" t="str">
        <f t="shared" si="27"/>
        <v>存在しない</v>
      </c>
      <c r="N1657" s="1" t="e">
        <v>#VALUE!</v>
      </c>
      <c r="O1657" s="1"/>
      <c r="P1657" s="11"/>
      <c r="Q1657" s="11"/>
      <c r="R1657" s="11"/>
      <c r="S1657" s="11"/>
      <c r="T1657" s="1"/>
      <c r="U1657" s="1"/>
      <c r="V1657" s="1"/>
      <c r="W1657" s="1"/>
      <c r="X1657" s="1"/>
      <c r="Y1657" s="1"/>
      <c r="Z1657" s="1"/>
    </row>
    <row r="1658" ht="18.0" hidden="1" customHeight="1" outlineLevel="2">
      <c r="A1658" s="1">
        <v>9.0</v>
      </c>
      <c r="B1658" s="1" t="s">
        <v>1917</v>
      </c>
      <c r="C1658" s="1"/>
      <c r="D1658" s="1"/>
      <c r="E1658" s="14" t="s">
        <v>55</v>
      </c>
      <c r="F1658" s="15"/>
      <c r="G1658" s="16"/>
      <c r="H1658" s="11" t="s">
        <v>1926</v>
      </c>
      <c r="I1658" s="7"/>
      <c r="J1658" s="7" t="str">
        <f>IFERROR(LET(_xlpm.v,
VLOOKUP($I1658,'用語辞書'!$A:$B,COLUMN('用語辞書'!B$1),FALSE),
IF(_xlpm.v=0,"",_xlpm.v)
),"")</f>
        <v/>
      </c>
      <c r="K1658" s="17"/>
      <c r="L1658" s="17" t="str">
        <f>IF(OR(COUNTIF('クラス'!$A$1:$A$1262,$B1658)&gt;0,$B1658="",$M1658=""),"",True)</f>
        <v/>
      </c>
      <c r="M1658" s="1" t="str">
        <f t="shared" si="27"/>
        <v/>
      </c>
      <c r="N1658" s="1" t="e">
        <v>#VALUE!</v>
      </c>
      <c r="O1658" s="1"/>
      <c r="P1658" s="11"/>
      <c r="Q1658" s="11"/>
      <c r="R1658" s="11"/>
      <c r="S1658" s="11"/>
      <c r="T1658" s="1"/>
      <c r="U1658" s="1"/>
      <c r="V1658" s="1"/>
      <c r="W1658" s="1"/>
      <c r="X1658" s="1"/>
      <c r="Y1658" s="1"/>
      <c r="Z1658" s="1"/>
    </row>
    <row r="1659" ht="18.0" hidden="1" customHeight="1" outlineLevel="2">
      <c r="A1659" s="1">
        <v>10.0</v>
      </c>
      <c r="B1659" s="1"/>
      <c r="C1659" s="1"/>
      <c r="D1659" s="1"/>
      <c r="E1659" s="14" t="s">
        <v>33</v>
      </c>
      <c r="F1659" s="15"/>
      <c r="G1659" s="16">
        <v>20.0</v>
      </c>
      <c r="H1659" s="11"/>
      <c r="I1659" s="7"/>
      <c r="J1659" s="7" t="str">
        <f>IFERROR(LET(_xlpm.v,
VLOOKUP($I1659,'用語辞書'!$A:$B,COLUMN('用語辞書'!B$1),FALSE),
IF(_xlpm.v=0,"",_xlpm.v)
),"")</f>
        <v/>
      </c>
      <c r="K1659" s="17"/>
      <c r="L1659" s="17" t="str">
        <f>IF(OR(COUNTIF('クラス'!$A$1:$A$1262,$B1659)&gt;0,$B1659="",$M1659=""),"",True)</f>
        <v/>
      </c>
      <c r="M1659" s="1" t="str">
        <f t="shared" si="27"/>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VLOOKUP($I1660,'用語辞書'!$A:$B,COLUMN('用語辞書'!B$1),FALSE),
IF(_xlpm.v=0,"",_xlpm.v)
),"")</f>
        <v/>
      </c>
      <c r="K1660" s="17"/>
      <c r="L1660" s="17" t="str">
        <f>IF(OR(COUNTIF('クラス'!$A$1:$A$1262,$B1660)&gt;0,$B1660="",$M1660=""),"",True)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collapsed="1">
      <c r="A1661" s="1"/>
      <c r="B1661" s="1"/>
      <c r="C1661" s="26" t="s">
        <v>1927</v>
      </c>
      <c r="D1661" s="1"/>
      <c r="E1661" s="14"/>
      <c r="F1661" s="15"/>
      <c r="G1661" s="16"/>
      <c r="H1661" s="11"/>
      <c r="I1661" s="7"/>
      <c r="J1661" s="7" t="str">
        <f>IFERROR(LET(_xlpm.v,
VLOOKUP($I1661,'用語辞書'!$A:$B,COLUMN('用語辞書'!B$1),FALSE),
IF(_xlpm.v=0,"",_xlpm.v)
),"")</f>
        <v/>
      </c>
      <c r="K1661" s="17"/>
      <c r="L1661" s="17" t="str">
        <f>IF(OR(COUNTIF('クラス'!$A$1:$A$1262,$B1661)&gt;0,$B1661="",$M1661=""),"",True)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outlineLevel="1">
      <c r="A1662" s="1"/>
      <c r="B1662" s="26" t="s">
        <v>1928</v>
      </c>
      <c r="C1662" s="1"/>
      <c r="D1662" s="1"/>
      <c r="E1662" s="14"/>
      <c r="F1662" s="15"/>
      <c r="G1662" s="16"/>
      <c r="H1662" s="11"/>
      <c r="I1662" s="7"/>
      <c r="J1662" s="7" t="str">
        <f>IFERROR(LET(_xlpm.v,
VLOOKUP($I1662,'用語辞書'!$A:$B,COLUMN('用語辞書'!B$1),FALSE),
IF(_xlpm.v=0,"",_xlpm.v)
),"")</f>
        <v/>
      </c>
      <c r="K1662" s="17"/>
      <c r="L1662" s="17" t="str">
        <f>IF(OR(COUNTIF('クラス'!$A$1:$A$1262,$B1662)&gt;0,$B1662="",$M1662=""),"",True)</f>
        <v/>
      </c>
      <c r="M1662" s="1" t="str">
        <f t="shared" si="27"/>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1929</v>
      </c>
      <c r="C1663" s="1"/>
      <c r="D1663" s="1"/>
      <c r="E1663" s="29" t="s">
        <v>33</v>
      </c>
      <c r="F1663" s="15"/>
      <c r="G1663" s="30">
        <v>40.0</v>
      </c>
      <c r="H1663" s="22" t="s">
        <v>1523</v>
      </c>
      <c r="I1663" s="7"/>
      <c r="J1663" s="7" t="str">
        <f>IFERROR(LET(_xlpm.v,
VLOOKUP($I1663,'用語辞書'!$A:$B,COLUMN('用語辞書'!B$1),FALSE),
IF(_xlpm.v=0,"",_xlpm.v)
),"")</f>
        <v/>
      </c>
      <c r="K1663" s="17"/>
      <c r="L1663" s="17" t="b">
        <f>IF(OR(COUNTIF('クラス'!$A$1:$A$1262,$B1663)&gt;0,$B1663="",$M1663=""),"",True)</f>
        <v>1</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2.0</v>
      </c>
      <c r="B1664" s="26" t="s">
        <v>1930</v>
      </c>
      <c r="C1664" s="1"/>
      <c r="D1664" s="1"/>
      <c r="E1664" s="29" t="s">
        <v>33</v>
      </c>
      <c r="F1664" s="15"/>
      <c r="G1664" s="30">
        <v>50.0</v>
      </c>
      <c r="H1664" s="22" t="s">
        <v>1931</v>
      </c>
      <c r="I1664" s="7"/>
      <c r="J1664" s="7" t="str">
        <f>IFERROR(LET(_xlpm.v,
VLOOKUP($I1664,'用語辞書'!$A:$B,COLUMN('用語辞書'!B$1),FALSE),
IF(_xlpm.v=0,"",_xlpm.v)
),"")</f>
        <v/>
      </c>
      <c r="K1664" s="17"/>
      <c r="L1664" s="17" t="b">
        <f>IF(OR(COUNTIF('クラス'!$A$1:$A$1262,$B1664)&gt;0,$B1664="",$M1664=""),"",True)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3.0</v>
      </c>
      <c r="B1665" s="26" t="s">
        <v>1932</v>
      </c>
      <c r="C1665" s="1"/>
      <c r="D1665" s="1"/>
      <c r="E1665" s="29" t="s">
        <v>55</v>
      </c>
      <c r="F1665" s="15"/>
      <c r="G1665" s="16"/>
      <c r="H1665" s="22" t="s">
        <v>1346</v>
      </c>
      <c r="I1665" s="7"/>
      <c r="J1665" s="7" t="str">
        <f>IFERROR(LET(_xlpm.v,
VLOOKUP($I1665,'用語辞書'!$A:$B,COLUMN('用語辞書'!B$1),FALSE),
IF(_xlpm.v=0,"",_xlpm.v)
),"")</f>
        <v/>
      </c>
      <c r="K1665" s="17"/>
      <c r="L1665" s="17" t="b">
        <f>IF(OR(COUNTIF('クラス'!$A$1:$A$1262,$B1665)&gt;0,$B1665="",$M1665=""),"",True)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VLOOKUP($I1666,'用語辞書'!$A:$B,COLUMN('用語辞書'!B$1),FALSE),
IF(_xlpm.v=0,"",_xlpm.v)
),"")</f>
        <v/>
      </c>
      <c r="K1666" s="17"/>
      <c r="L1666" s="17" t="str">
        <f>IF(OR(COUNTIF('クラス'!$A$1:$A$1262,$B1666)&gt;0,$B1666="",$M1666=""),"",True)</f>
        <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1933</v>
      </c>
      <c r="C1667" s="1"/>
      <c r="D1667" s="1"/>
      <c r="E1667" s="29" t="s">
        <v>33</v>
      </c>
      <c r="F1667" s="15"/>
      <c r="G1667" s="30">
        <v>50.0</v>
      </c>
      <c r="H1667" s="22" t="s">
        <v>1934</v>
      </c>
      <c r="I1667" s="7"/>
      <c r="J1667" s="7" t="str">
        <f>IFERROR(LET(_xlpm.v,
VLOOKUP($I1667,'用語辞書'!$A:$B,COLUMN('用語辞書'!B$1),FALSE),
IF(_xlpm.v=0,"",_xlpm.v)
),"")</f>
        <v/>
      </c>
      <c r="K1667" s="17"/>
      <c r="L1667" s="17" t="b">
        <f>IF(OR(COUNTIF('クラス'!$A$1:$A$1262,$B1667)&gt;0,$B1667="",$M1667=""),"",True)</f>
        <v>1</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VLOOKUP($I1668,'用語辞書'!$A:$B,COLUMN('用語辞書'!B$1),FALSE),
IF(_xlpm.v=0,"",_xlpm.v)
),"")</f>
        <v/>
      </c>
      <c r="K1668" s="17"/>
      <c r="L1668" s="17" t="str">
        <f>IF(OR(COUNTIF('クラス'!$A$1:$A$1262,$B1668)&gt;0,$B1668="",$M1668=""),"",True)</f>
        <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1935</v>
      </c>
      <c r="C1669" s="1"/>
      <c r="D1669" s="1"/>
      <c r="E1669" s="29" t="s">
        <v>33</v>
      </c>
      <c r="F1669" s="15"/>
      <c r="G1669" s="30">
        <v>30.0</v>
      </c>
      <c r="H1669" s="22" t="s">
        <v>1936</v>
      </c>
      <c r="I1669" s="7"/>
      <c r="J1669" s="7" t="str">
        <f>IFERROR(LET(_xlpm.v,
VLOOKUP($I1669,'用語辞書'!$A:$B,COLUMN('用語辞書'!B$1),FALSE),
IF(_xlpm.v=0,"",_xlpm.v)
),"")</f>
        <v/>
      </c>
      <c r="K1669" s="17"/>
      <c r="L1669" s="17" t="b">
        <f>IF(OR(COUNTIF('クラス'!$A$1:$A$1262,$B1669)&gt;0,$B1669="",$M1669=""),"",True)</f>
        <v>1</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VLOOKUP($I1670,'用語辞書'!$A:$B,COLUMN('用語辞書'!B$1),FALSE),
IF(_xlpm.v=0,"",_xlpm.v)
),"")</f>
        <v/>
      </c>
      <c r="K1670" s="17"/>
      <c r="L1670" s="17" t="str">
        <f>IF(OR(COUNTIF('クラス'!$A$1:$A$1262,$B1670)&gt;0,$B1670="",$M1670=""),"",True)</f>
        <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1937</v>
      </c>
      <c r="C1671" s="1"/>
      <c r="D1671" s="1"/>
      <c r="E1671" s="29" t="s">
        <v>55</v>
      </c>
      <c r="F1671" s="15"/>
      <c r="G1671" s="16"/>
      <c r="H1671" s="22" t="s">
        <v>1938</v>
      </c>
      <c r="I1671" s="7"/>
      <c r="J1671" s="7" t="str">
        <f>IFERROR(LET(_xlpm.v,
VLOOKUP($I1671,'用語辞書'!$A:$B,COLUMN('用語辞書'!B$1),FALSE),
IF(_xlpm.v=0,"",_xlpm.v)
),"")</f>
        <v/>
      </c>
      <c r="K1671" s="17"/>
      <c r="L1671" s="17" t="b">
        <f>IF(OR(COUNTIF('クラス'!$A$1:$A$1262,$B1671)&gt;0,$B1671="",$M1671=""),"",True)</f>
        <v>1</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VLOOKUP($I1672,'用語辞書'!$A:$B,COLUMN('用語辞書'!B$1),FALSE),
IF(_xlpm.v=0,"",_xlpm.v)
),"")</f>
        <v/>
      </c>
      <c r="K1672" s="17"/>
      <c r="L1672" s="17" t="str">
        <f>IF(OR(COUNTIF('クラス'!$A$1:$A$1262,$B1672)&gt;0,$B1672="",$M1672=""),"",True)</f>
        <v/>
      </c>
      <c r="M1672" s="1" t="str">
        <f t="shared" si="27"/>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VLOOKUP($I1673,'用語辞書'!$A:$B,COLUMN('用語辞書'!B$1),FALSE),
IF(_xlpm.v=0,"",_xlpm.v)
),"")</f>
        <v/>
      </c>
      <c r="K1673" s="17"/>
      <c r="L1673" s="17" t="str">
        <f>IF(OR(COUNTIF('クラス'!$A$1:$A$1262,$B1673)&gt;0,$B1673="",$M1673=""),"",True)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VLOOKUP($I1674,'用語辞書'!$A:$B,COLUMN('用語辞書'!B$1),FALSE),
IF(_xlpm.v=0,"",_xlpm.v)
),"")</f>
        <v/>
      </c>
      <c r="K1674" s="17"/>
      <c r="L1674" s="17" t="str">
        <f>IF(OR(COUNTIF('クラス'!$A$1:$A$1262,$B1674)&gt;0,$B1674="",$M1674=""),"",True)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26" t="s">
        <v>1939</v>
      </c>
      <c r="C1675" s="1"/>
      <c r="D1675" s="1"/>
      <c r="E1675" s="14"/>
      <c r="F1675" s="15"/>
      <c r="G1675" s="16"/>
      <c r="H1675" s="11"/>
      <c r="I1675" s="7"/>
      <c r="J1675" s="7" t="str">
        <f>IFERROR(LET(_xlpm.v,
VLOOKUP($I1675,'用語辞書'!$A:$B,COLUMN('用語辞書'!B$1),FALSE),
IF(_xlpm.v=0,"",_xlpm.v)
),"")</f>
        <v/>
      </c>
      <c r="K1675" s="17"/>
      <c r="L1675" s="17" t="str">
        <f>IF(OR(COUNTIF('クラス'!$A$1:$A$1262,$B1675)&gt;0,$B1675="",$M1675=""),"",True)</f>
        <v/>
      </c>
      <c r="M1675" s="1" t="str">
        <f t="shared" si="27"/>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1929</v>
      </c>
      <c r="C1676" s="1"/>
      <c r="D1676" s="1"/>
      <c r="E1676" s="14"/>
      <c r="F1676" s="15"/>
      <c r="G1676" s="16"/>
      <c r="H1676" s="11"/>
      <c r="I1676" s="7"/>
      <c r="J1676" s="7" t="str">
        <f>IFERROR(LET(_xlpm.v,
VLOOKUP($I1676,'用語辞書'!$A:$B,COLUMN('用語辞書'!B$1),FALSE),
IF(_xlpm.v=0,"",_xlpm.v)
),"")</f>
        <v/>
      </c>
      <c r="K1676" s="17"/>
      <c r="L1676" s="17" t="str">
        <f>IF(OR(COUNTIF('クラス'!$A$1:$A$1262,$B1676)&gt;0,$B1676="",$M1676=""),"",True)</f>
        <v/>
      </c>
      <c r="M1676" s="1" t="str">
        <f t="shared" si="27"/>
        <v/>
      </c>
      <c r="N1676" s="1" t="s">
        <v>29</v>
      </c>
      <c r="O1676" s="1"/>
      <c r="P1676" s="11"/>
      <c r="Q1676" s="11"/>
      <c r="R1676" s="11"/>
      <c r="S1676" s="11"/>
      <c r="T1676" s="1"/>
      <c r="U1676" s="1"/>
      <c r="V1676" s="1"/>
      <c r="W1676" s="1"/>
      <c r="X1676" s="1"/>
      <c r="Y1676" s="1"/>
      <c r="Z1676" s="1"/>
    </row>
    <row r="1677" ht="18.0" hidden="1" customHeight="1" outlineLevel="2">
      <c r="A1677" s="1">
        <v>2.0</v>
      </c>
      <c r="B1677" s="26" t="s">
        <v>1940</v>
      </c>
      <c r="C1677" s="1"/>
      <c r="D1677" s="1"/>
      <c r="E1677" s="29" t="s">
        <v>55</v>
      </c>
      <c r="F1677" s="15"/>
      <c r="G1677" s="16"/>
      <c r="H1677" s="22" t="s">
        <v>1941</v>
      </c>
      <c r="I1677" s="7"/>
      <c r="J1677" s="7" t="str">
        <f>IFERROR(LET(_xlpm.v,
VLOOKUP($I1677,'用語辞書'!$A:$B,COLUMN('用語辞書'!B$1),FALSE),
IF(_xlpm.v=0,"",_xlpm.v)
),"")</f>
        <v/>
      </c>
      <c r="K1677" s="17"/>
      <c r="L1677" s="17" t="b">
        <f>IF(OR(COUNTIF('クラス'!$A$1:$A$1262,$B1677)&gt;0,$B1677="",$M1677=""),"",True)</f>
        <v>1</v>
      </c>
      <c r="M1677" s="1" t="str">
        <f t="shared" si="27"/>
        <v>存在しない</v>
      </c>
      <c r="N1677" s="1" t="s">
        <v>29</v>
      </c>
      <c r="O1677" s="1"/>
      <c r="P1677" s="11"/>
      <c r="Q1677" s="11"/>
      <c r="R1677" s="11"/>
      <c r="S1677" s="11"/>
      <c r="T1677" s="1"/>
      <c r="U1677" s="1"/>
      <c r="V1677" s="1"/>
      <c r="W1677" s="1"/>
      <c r="X1677" s="1"/>
      <c r="Y1677" s="1"/>
      <c r="Z1677" s="1"/>
    </row>
    <row r="1678" ht="18.0" hidden="1" customHeight="1" outlineLevel="2">
      <c r="A1678" s="1">
        <v>3.0</v>
      </c>
      <c r="B1678" s="26" t="s">
        <v>1930</v>
      </c>
      <c r="C1678" s="1"/>
      <c r="D1678" s="1"/>
      <c r="E1678" s="14"/>
      <c r="F1678" s="15"/>
      <c r="G1678" s="16"/>
      <c r="H1678" s="11"/>
      <c r="I1678" s="7"/>
      <c r="J1678" s="7" t="str">
        <f>IFERROR(LET(_xlpm.v,
VLOOKUP($I1678,'用語辞書'!$A:$B,COLUMN('用語辞書'!B$1),FALSE),
IF(_xlpm.v=0,"",_xlpm.v)
),"")</f>
        <v/>
      </c>
      <c r="K1678" s="17"/>
      <c r="L1678" s="17" t="str">
        <f>IF(OR(COUNTIF('クラス'!$A$1:$A$1262,$B1678)&gt;0,$B1678="",$M1678=""),"",True)</f>
        <v/>
      </c>
      <c r="M1678" s="1" t="str">
        <f t="shared" si="27"/>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VLOOKUP($I1679,'用語辞書'!$A:$B,COLUMN('用語辞書'!B$1),FALSE),
IF(_xlpm.v=0,"",_xlpm.v)
),"")</f>
        <v/>
      </c>
      <c r="K1679" s="17"/>
      <c r="L1679" s="17" t="str">
        <f>IF(OR(COUNTIF('クラス'!$A$1:$A$1262,$B1679)&gt;0,$B1679="",$M1679=""),"",True)</f>
        <v/>
      </c>
      <c r="M1679" s="1" t="str">
        <f t="shared" si="27"/>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1933</v>
      </c>
      <c r="C1680" s="1"/>
      <c r="D1680" s="1"/>
      <c r="E1680" s="14"/>
      <c r="F1680" s="15"/>
      <c r="G1680" s="16"/>
      <c r="H1680" s="11"/>
      <c r="I1680" s="7"/>
      <c r="J1680" s="7" t="str">
        <f>IFERROR(LET(_xlpm.v,
VLOOKUP($I1680,'用語辞書'!$A:$B,COLUMN('用語辞書'!B$1),FALSE),
IF(_xlpm.v=0,"",_xlpm.v)
),"")</f>
        <v/>
      </c>
      <c r="K1680" s="17"/>
      <c r="L1680" s="17" t="str">
        <f>IF(OR(COUNTIF('クラス'!$A$1:$A$1262,$B1680)&gt;0,$B1680="",$M1680=""),"",True)</f>
        <v/>
      </c>
      <c r="M1680" s="1" t="str">
        <f t="shared" si="27"/>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VLOOKUP($I1681,'用語辞書'!$A:$B,COLUMN('用語辞書'!B$1),FALSE),
IF(_xlpm.v=0,"",_xlpm.v)
),"")</f>
        <v/>
      </c>
      <c r="K1681" s="17"/>
      <c r="L1681" s="17" t="str">
        <f>IF(OR(COUNTIF('クラス'!$A$1:$A$1262,$B1681)&gt;0,$B1681="",$M1681=""),"",True)</f>
        <v/>
      </c>
      <c r="M1681" s="1" t="str">
        <f t="shared" si="27"/>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1935</v>
      </c>
      <c r="C1682" s="1"/>
      <c r="D1682" s="1"/>
      <c r="E1682" s="14"/>
      <c r="F1682" s="15"/>
      <c r="G1682" s="16"/>
      <c r="H1682" s="11"/>
      <c r="I1682" s="7"/>
      <c r="J1682" s="7" t="str">
        <f>IFERROR(LET(_xlpm.v,
VLOOKUP($I1682,'用語辞書'!$A:$B,COLUMN('用語辞書'!B$1),FALSE),
IF(_xlpm.v=0,"",_xlpm.v)
),"")</f>
        <v/>
      </c>
      <c r="K1682" s="17"/>
      <c r="L1682" s="17" t="str">
        <f>IF(OR(COUNTIF('クラス'!$A$1:$A$1262,$B1682)&gt;0,$B1682="",$M1682=""),"",True)</f>
        <v/>
      </c>
      <c r="M1682" s="1" t="str">
        <f t="shared" si="27"/>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VLOOKUP($I1683,'用語辞書'!$A:$B,COLUMN('用語辞書'!B$1),FALSE),
IF(_xlpm.v=0,"",_xlpm.v)
),"")</f>
        <v/>
      </c>
      <c r="K1683" s="17"/>
      <c r="L1683" s="17" t="str">
        <f>IF(OR(COUNTIF('クラス'!$A$1:$A$1262,$B1683)&gt;0,$B1683="",$M1683=""),"",True)</f>
        <v/>
      </c>
      <c r="M1683" s="1" t="str">
        <f t="shared" si="27"/>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1932</v>
      </c>
      <c r="C1684" s="1"/>
      <c r="D1684" s="1"/>
      <c r="E1684" s="14"/>
      <c r="F1684" s="15"/>
      <c r="G1684" s="16"/>
      <c r="H1684" s="11"/>
      <c r="I1684" s="7"/>
      <c r="J1684" s="7" t="str">
        <f>IFERROR(LET(_xlpm.v,
VLOOKUP($I1684,'用語辞書'!$A:$B,COLUMN('用語辞書'!B$1),FALSE),
IF(_xlpm.v=0,"",_xlpm.v)
),"")</f>
        <v/>
      </c>
      <c r="K1684" s="17"/>
      <c r="L1684" s="17" t="str">
        <f>IF(OR(COUNTIF('クラス'!$A$1:$A$1262,$B1684)&gt;0,$B1684="",$M1684=""),"",True)</f>
        <v/>
      </c>
      <c r="M1684" s="1" t="str">
        <f t="shared" si="27"/>
        <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VLOOKUP($I1685,'用語辞書'!$A:$B,COLUMN('用語辞書'!B$1),FALSE),
IF(_xlpm.v=0,"",_xlpm.v)
),"")</f>
        <v/>
      </c>
      <c r="K1685" s="17"/>
      <c r="L1685" s="17" t="str">
        <f>IF(OR(COUNTIF('クラス'!$A$1:$A$1262,$B1685)&gt;0,$B1685="",$M1685=""),"",True)</f>
        <v/>
      </c>
      <c r="M1685" s="1" t="str">
        <f t="shared" si="27"/>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VLOOKUP($I1686,'用語辞書'!$A:$B,COLUMN('用語辞書'!B$1),FALSE),
IF(_xlpm.v=0,"",_xlpm.v)
),"")</f>
        <v/>
      </c>
      <c r="K1686" s="17"/>
      <c r="L1686" s="17" t="str">
        <f>IF(OR(COUNTIF('クラス'!$A$1:$A$1262,$B1686)&gt;0,$B1686="",$M1686=""),"",True)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VLOOKUP($I1687,'用語辞書'!$A:$B,COLUMN('用語辞書'!B$1),FALSE),
IF(_xlpm.v=0,"",_xlpm.v)
),"")</f>
        <v/>
      </c>
      <c r="K1687" s="17"/>
      <c r="L1687" s="17" t="str">
        <f>IF(OR(COUNTIF('クラス'!$A$1:$A$1262,$B1687)&gt;0,$B1687="",$M1687=""),"",True)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26" t="s">
        <v>1942</v>
      </c>
      <c r="C1688" s="1"/>
      <c r="D1688" s="1"/>
      <c r="E1688" s="14"/>
      <c r="F1688" s="15"/>
      <c r="G1688" s="16"/>
      <c r="H1688" s="11"/>
      <c r="I1688" s="7"/>
      <c r="J1688" s="7" t="str">
        <f>IFERROR(LET(_xlpm.v,
VLOOKUP($I1688,'用語辞書'!$A:$B,COLUMN('用語辞書'!B$1),FALSE),
IF(_xlpm.v=0,"",_xlpm.v)
),"")</f>
        <v/>
      </c>
      <c r="K1688" s="17"/>
      <c r="L1688" s="17" t="str">
        <f>IF(OR(COUNTIF('クラス'!$A$1:$A$1262,$B1688)&gt;0,$B1688="",$M1688=""),"",True)</f>
        <v/>
      </c>
      <c r="M1688" s="1" t="str">
        <f t="shared" si="27"/>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1929</v>
      </c>
      <c r="C1689" s="1"/>
      <c r="D1689" s="1"/>
      <c r="E1689" s="14"/>
      <c r="F1689" s="15"/>
      <c r="G1689" s="16"/>
      <c r="H1689" s="11"/>
      <c r="I1689" s="7"/>
      <c r="J1689" s="7" t="str">
        <f>IFERROR(LET(_xlpm.v,
VLOOKUP($I1689,'用語辞書'!$A:$B,COLUMN('用語辞書'!B$1),FALSE),
IF(_xlpm.v=0,"",_xlpm.v)
),"")</f>
        <v/>
      </c>
      <c r="K1689" s="17"/>
      <c r="L1689" s="17" t="str">
        <f>IF(OR(COUNTIF('クラス'!$A$1:$A$1262,$B1689)&gt;0,$B1689="",$M1689=""),"",True)</f>
        <v/>
      </c>
      <c r="M1689" s="1" t="str">
        <f t="shared" si="27"/>
        <v/>
      </c>
      <c r="N1689" s="1" t="s">
        <v>29</v>
      </c>
      <c r="O1689" s="1"/>
      <c r="P1689" s="11"/>
      <c r="Q1689" s="11"/>
      <c r="R1689" s="11"/>
      <c r="S1689" s="11"/>
      <c r="T1689" s="1"/>
      <c r="U1689" s="1"/>
      <c r="V1689" s="1"/>
      <c r="W1689" s="1"/>
      <c r="X1689" s="1"/>
      <c r="Y1689" s="1"/>
      <c r="Z1689" s="1"/>
    </row>
    <row r="1690" ht="18.0" hidden="1" customHeight="1" outlineLevel="2">
      <c r="A1690" s="1">
        <v>2.0</v>
      </c>
      <c r="B1690" s="26" t="s">
        <v>1943</v>
      </c>
      <c r="C1690" s="1"/>
      <c r="D1690" s="1"/>
      <c r="E1690" s="29" t="s">
        <v>55</v>
      </c>
      <c r="F1690" s="15"/>
      <c r="G1690" s="16"/>
      <c r="H1690" s="22" t="s">
        <v>1944</v>
      </c>
      <c r="I1690" s="7"/>
      <c r="J1690" s="7" t="str">
        <f>IFERROR(LET(_xlpm.v,
VLOOKUP($I1690,'用語辞書'!$A:$B,COLUMN('用語辞書'!B$1),FALSE),
IF(_xlpm.v=0,"",_xlpm.v)
),"")</f>
        <v/>
      </c>
      <c r="K1690" s="17"/>
      <c r="L1690" s="17" t="b">
        <f>IF(OR(COUNTIF('クラス'!$A$1:$A$1262,$B1690)&gt;0,$B1690="",$M1690=""),"",True)</f>
        <v>1</v>
      </c>
      <c r="M1690" s="1" t="str">
        <f t="shared" si="27"/>
        <v>存在しない</v>
      </c>
      <c r="N1690" s="1" t="s">
        <v>29</v>
      </c>
      <c r="O1690" s="1"/>
      <c r="P1690" s="11"/>
      <c r="Q1690" s="11"/>
      <c r="R1690" s="11"/>
      <c r="S1690" s="11"/>
      <c r="T1690" s="1"/>
      <c r="U1690" s="1"/>
      <c r="V1690" s="1"/>
      <c r="W1690" s="1"/>
      <c r="X1690" s="1"/>
      <c r="Y1690" s="1"/>
      <c r="Z1690" s="1"/>
    </row>
    <row r="1691" ht="18.0" hidden="1" customHeight="1" outlineLevel="2">
      <c r="A1691" s="1">
        <v>3.0</v>
      </c>
      <c r="B1691" s="26" t="s">
        <v>1945</v>
      </c>
      <c r="C1691" s="1"/>
      <c r="D1691" s="1"/>
      <c r="E1691" s="29" t="s">
        <v>33</v>
      </c>
      <c r="F1691" s="15"/>
      <c r="G1691" s="30">
        <v>50.0</v>
      </c>
      <c r="H1691" s="22" t="s">
        <v>1946</v>
      </c>
      <c r="I1691" s="7"/>
      <c r="J1691" s="7" t="str">
        <f>IFERROR(LET(_xlpm.v,
VLOOKUP($I1691,'用語辞書'!$A:$B,COLUMN('用語辞書'!B$1),FALSE),
IF(_xlpm.v=0,"",_xlpm.v)
),"")</f>
        <v/>
      </c>
      <c r="K1691" s="17"/>
      <c r="L1691" s="17" t="b">
        <f>IF(OR(COUNTIF('クラス'!$A$1:$A$1262,$B1691)&gt;0,$B1691="",$M1691=""),"",True)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VLOOKUP($I1692,'用語辞書'!$A:$B,COLUMN('用語辞書'!B$1),FALSE),
IF(_xlpm.v=0,"",_xlpm.v)
),"")</f>
        <v/>
      </c>
      <c r="K1692" s="17"/>
      <c r="L1692" s="17" t="str">
        <f>IF(OR(COUNTIF('クラス'!$A$1:$A$1262,$B1692)&gt;0,$B1692="",$M1692=""),"",True)</f>
        <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1930</v>
      </c>
      <c r="C1693" s="1"/>
      <c r="D1693" s="1"/>
      <c r="E1693" s="14"/>
      <c r="F1693" s="15"/>
      <c r="G1693" s="16"/>
      <c r="H1693" s="11"/>
      <c r="I1693" s="7"/>
      <c r="J1693" s="7" t="str">
        <f>IFERROR(LET(_xlpm.v,
VLOOKUP($I1693,'用語辞書'!$A:$B,COLUMN('用語辞書'!B$1),FALSE),
IF(_xlpm.v=0,"",_xlpm.v)
),"")</f>
        <v/>
      </c>
      <c r="K1693" s="17"/>
      <c r="L1693" s="17" t="str">
        <f>IF(OR(COUNTIF('クラス'!$A$1:$A$1262,$B1693)&gt;0,$B1693="",$M1693=""),"",True)</f>
        <v/>
      </c>
      <c r="M1693" s="1" t="str">
        <f t="shared" si="27"/>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VLOOKUP($I1694,'用語辞書'!$A:$B,COLUMN('用語辞書'!B$1),FALSE),
IF(_xlpm.v=0,"",_xlpm.v)
),"")</f>
        <v/>
      </c>
      <c r="K1694" s="17"/>
      <c r="L1694" s="17" t="str">
        <f>IF(OR(COUNTIF('クラス'!$A$1:$A$1262,$B1694)&gt;0,$B1694="",$M1694=""),"",True)</f>
        <v/>
      </c>
      <c r="M1694" s="1" t="str">
        <f t="shared" si="27"/>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1932</v>
      </c>
      <c r="C1695" s="1"/>
      <c r="D1695" s="1"/>
      <c r="E1695" s="14"/>
      <c r="F1695" s="15"/>
      <c r="G1695" s="16"/>
      <c r="H1695" s="11"/>
      <c r="I1695" s="7"/>
      <c r="J1695" s="7" t="str">
        <f>IFERROR(LET(_xlpm.v,
VLOOKUP($I1695,'用語辞書'!$A:$B,COLUMN('用語辞書'!B$1),FALSE),
IF(_xlpm.v=0,"",_xlpm.v)
),"")</f>
        <v/>
      </c>
      <c r="K1695" s="17"/>
      <c r="L1695" s="17" t="str">
        <f>IF(OR(COUNTIF('クラス'!$A$1:$A$1262,$B1695)&gt;0,$B1695="",$M1695=""),"",True)</f>
        <v/>
      </c>
      <c r="M1695" s="1" t="str">
        <f t="shared" si="27"/>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VLOOKUP($I1696,'用語辞書'!$A:$B,COLUMN('用語辞書'!B$1),FALSE),
IF(_xlpm.v=0,"",_xlpm.v)
),"")</f>
        <v/>
      </c>
      <c r="K1696" s="17"/>
      <c r="L1696" s="17" t="str">
        <f>IF(OR(COUNTIF('クラス'!$A$1:$A$1262,$B1696)&gt;0,$B1696="",$M1696=""),"",True)</f>
        <v/>
      </c>
      <c r="M1696" s="1" t="str">
        <f t="shared" si="27"/>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1935</v>
      </c>
      <c r="C1697" s="1"/>
      <c r="D1697" s="1"/>
      <c r="E1697" s="14"/>
      <c r="F1697" s="15"/>
      <c r="G1697" s="16"/>
      <c r="H1697" s="11"/>
      <c r="I1697" s="7"/>
      <c r="J1697" s="7" t="str">
        <f>IFERROR(LET(_xlpm.v,
VLOOKUP($I1697,'用語辞書'!$A:$B,COLUMN('用語辞書'!B$1),FALSE),
IF(_xlpm.v=0,"",_xlpm.v)
),"")</f>
        <v/>
      </c>
      <c r="K1697" s="17"/>
      <c r="L1697" s="17" t="str">
        <f>IF(OR(COUNTIF('クラス'!$A$1:$A$1262,$B1697)&gt;0,$B1697="",$M1697=""),"",True)</f>
        <v/>
      </c>
      <c r="M1697" s="1" t="str">
        <f t="shared" si="27"/>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VLOOKUP($I1698,'用語辞書'!$A:$B,COLUMN('用語辞書'!B$1),FALSE),
IF(_xlpm.v=0,"",_xlpm.v)
),"")</f>
        <v/>
      </c>
      <c r="K1698" s="17"/>
      <c r="L1698" s="17" t="str">
        <f>IF(OR(COUNTIF('クラス'!$A$1:$A$1262,$B1698)&gt;0,$B1698="",$M1698=""),"",True)</f>
        <v/>
      </c>
      <c r="M1698" s="1" t="str">
        <f t="shared" si="27"/>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VLOOKUP($I1699,'用語辞書'!$A:$B,COLUMN('用語辞書'!B$1),FALSE),
IF(_xlpm.v=0,"",_xlpm.v)
),"")</f>
        <v/>
      </c>
      <c r="K1699" s="17"/>
      <c r="L1699" s="17" t="str">
        <f>IF(OR(COUNTIF('クラス'!$A$1:$A$1262,$B1699)&gt;0,$B1699="",$M1699=""),"",True)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VLOOKUP($I1700,'用語辞書'!$A:$B,COLUMN('用語辞書'!B$1),FALSE),
IF(_xlpm.v=0,"",_xlpm.v)
),"")</f>
        <v/>
      </c>
      <c r="K1700" s="17"/>
      <c r="L1700" s="17" t="str">
        <f>IF(OR(COUNTIF('クラス'!$A$1:$A$1262,$B1700)&gt;0,$B1700="",$M1700=""),"",True)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26" t="s">
        <v>1947</v>
      </c>
      <c r="C1701" s="1"/>
      <c r="D1701" s="1"/>
      <c r="E1701" s="14"/>
      <c r="F1701" s="15"/>
      <c r="G1701" s="16"/>
      <c r="H1701" s="11"/>
      <c r="I1701" s="7"/>
      <c r="J1701" s="7" t="str">
        <f>IFERROR(LET(_xlpm.v,
VLOOKUP($I1701,'用語辞書'!$A:$B,COLUMN('用語辞書'!B$1),FALSE),
IF(_xlpm.v=0,"",_xlpm.v)
),"")</f>
        <v/>
      </c>
      <c r="K1701" s="17"/>
      <c r="L1701" s="17" t="str">
        <f>IF(OR(COUNTIF('クラス'!$A$1:$A$1262,$B1701)&gt;0,$B1701="",$M1701=""),"",True)</f>
        <v/>
      </c>
      <c r="M1701" s="1" t="str">
        <f t="shared" si="27"/>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1929</v>
      </c>
      <c r="C1702" s="1"/>
      <c r="D1702" s="1"/>
      <c r="E1702" s="14"/>
      <c r="F1702" s="15"/>
      <c r="G1702" s="16"/>
      <c r="H1702" s="11"/>
      <c r="I1702" s="7"/>
      <c r="J1702" s="7" t="str">
        <f>IFERROR(LET(_xlpm.v,
VLOOKUP($I1702,'用語辞書'!$A:$B,COLUMN('用語辞書'!B$1),FALSE),
IF(_xlpm.v=0,"",_xlpm.v)
),"")</f>
        <v/>
      </c>
      <c r="K1702" s="17"/>
      <c r="L1702" s="17" t="str">
        <f>IF(OR(COUNTIF('クラス'!$A$1:$A$1262,$B1702)&gt;0,$B1702="",$M1702=""),"",True)</f>
        <v/>
      </c>
      <c r="M1702" s="1" t="str">
        <f t="shared" si="27"/>
        <v/>
      </c>
      <c r="N1702" s="1" t="s">
        <v>29</v>
      </c>
      <c r="O1702" s="1"/>
      <c r="P1702" s="11"/>
      <c r="Q1702" s="11"/>
      <c r="R1702" s="11"/>
      <c r="S1702" s="11"/>
      <c r="T1702" s="1"/>
      <c r="U1702" s="1"/>
      <c r="V1702" s="1"/>
      <c r="W1702" s="1"/>
      <c r="X1702" s="1"/>
      <c r="Y1702" s="1"/>
      <c r="Z1702" s="1"/>
    </row>
    <row r="1703" ht="18.0" hidden="1" customHeight="1" outlineLevel="2">
      <c r="A1703" s="1">
        <v>2.0</v>
      </c>
      <c r="B1703" s="26" t="s">
        <v>1948</v>
      </c>
      <c r="C1703" s="1"/>
      <c r="D1703" s="1"/>
      <c r="E1703" s="29" t="s">
        <v>33</v>
      </c>
      <c r="F1703" s="15"/>
      <c r="G1703" s="30">
        <v>50.0</v>
      </c>
      <c r="H1703" s="22" t="s">
        <v>1949</v>
      </c>
      <c r="I1703" s="7"/>
      <c r="J1703" s="7" t="str">
        <f>IFERROR(LET(_xlpm.v,
VLOOKUP($I1703,'用語辞書'!$A:$B,COLUMN('用語辞書'!B$1),FALSE),
IF(_xlpm.v=0,"",_xlpm.v)
),"")</f>
        <v/>
      </c>
      <c r="K1703" s="17"/>
      <c r="L1703" s="17" t="b">
        <f>IF(OR(COUNTIF('クラス'!$A$1:$A$1262,$B1703)&gt;0,$B1703="",$M1703=""),"",True)</f>
        <v>1</v>
      </c>
      <c r="M1703" s="1" t="str">
        <f t="shared" si="27"/>
        <v>存在しない</v>
      </c>
      <c r="N1703" s="1" t="s">
        <v>29</v>
      </c>
      <c r="O1703" s="1"/>
      <c r="P1703" s="11"/>
      <c r="Q1703" s="11"/>
      <c r="R1703" s="11"/>
      <c r="S1703" s="11"/>
      <c r="T1703" s="1"/>
      <c r="U1703" s="1"/>
      <c r="V1703" s="1"/>
      <c r="W1703" s="1"/>
      <c r="X1703" s="1"/>
      <c r="Y1703" s="1"/>
      <c r="Z1703" s="1"/>
    </row>
    <row r="1704" ht="18.0" hidden="1" customHeight="1" outlineLevel="2">
      <c r="A1704" s="1">
        <v>3.0</v>
      </c>
      <c r="B1704" s="26" t="s">
        <v>1950</v>
      </c>
      <c r="C1704" s="1"/>
      <c r="D1704" s="1"/>
      <c r="E1704" s="29" t="s">
        <v>55</v>
      </c>
      <c r="F1704" s="15"/>
      <c r="G1704" s="16"/>
      <c r="H1704" s="22" t="s">
        <v>1951</v>
      </c>
      <c r="I1704" s="7"/>
      <c r="J1704" s="7" t="str">
        <f>IFERROR(LET(_xlpm.v,
VLOOKUP($I1704,'用語辞書'!$A:$B,COLUMN('用語辞書'!B$1),FALSE),
IF(_xlpm.v=0,"",_xlpm.v)
),"")</f>
        <v/>
      </c>
      <c r="K1704" s="17"/>
      <c r="L1704" s="17" t="b">
        <f>IF(OR(COUNTIF('クラス'!$A$1:$A$1262,$B1704)&gt;0,$B1704="",$M1704=""),"",True)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VLOOKUP($I1705,'用語辞書'!$A:$B,COLUMN('用語辞書'!B$1),FALSE),
IF(_xlpm.v=0,"",_xlpm.v)
),"")</f>
        <v/>
      </c>
      <c r="K1705" s="17"/>
      <c r="L1705" s="17" t="str">
        <f>IF(OR(COUNTIF('クラス'!$A$1:$A$1262,$B1705)&gt;0,$B1705="",$M1705=""),"",True)</f>
        <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1930</v>
      </c>
      <c r="C1706" s="1"/>
      <c r="D1706" s="1"/>
      <c r="E1706" s="14"/>
      <c r="F1706" s="15"/>
      <c r="G1706" s="16"/>
      <c r="H1706" s="11"/>
      <c r="I1706" s="7"/>
      <c r="J1706" s="7" t="str">
        <f>IFERROR(LET(_xlpm.v,
VLOOKUP($I1706,'用語辞書'!$A:$B,COLUMN('用語辞書'!B$1),FALSE),
IF(_xlpm.v=0,"",_xlpm.v)
),"")</f>
        <v/>
      </c>
      <c r="K1706" s="17"/>
      <c r="L1706" s="17" t="str">
        <f>IF(OR(COUNTIF('クラス'!$A$1:$A$1262,$B1706)&gt;0,$B1706="",$M1706=""),"",True)</f>
        <v/>
      </c>
      <c r="M1706" s="1" t="str">
        <f t="shared" si="27"/>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VLOOKUP($I1707,'用語辞書'!$A:$B,COLUMN('用語辞書'!B$1),FALSE),
IF(_xlpm.v=0,"",_xlpm.v)
),"")</f>
        <v/>
      </c>
      <c r="K1707" s="17"/>
      <c r="L1707" s="17" t="str">
        <f>IF(OR(COUNTIF('クラス'!$A$1:$A$1262,$B1707)&gt;0,$B1707="",$M1707=""),"",True)</f>
        <v/>
      </c>
      <c r="M1707" s="1" t="str">
        <f t="shared" si="27"/>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1932</v>
      </c>
      <c r="C1708" s="1"/>
      <c r="D1708" s="1"/>
      <c r="E1708" s="14"/>
      <c r="F1708" s="15"/>
      <c r="G1708" s="16"/>
      <c r="H1708" s="11"/>
      <c r="I1708" s="7"/>
      <c r="J1708" s="7" t="str">
        <f>IFERROR(LET(_xlpm.v,
VLOOKUP($I1708,'用語辞書'!$A:$B,COLUMN('用語辞書'!B$1),FALSE),
IF(_xlpm.v=0,"",_xlpm.v)
),"")</f>
        <v/>
      </c>
      <c r="K1708" s="17"/>
      <c r="L1708" s="17" t="str">
        <f>IF(OR(COUNTIF('クラス'!$A$1:$A$1262,$B1708)&gt;0,$B1708="",$M1708=""),"",True)</f>
        <v/>
      </c>
      <c r="M1708" s="1" t="str">
        <f t="shared" si="27"/>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VLOOKUP($I1709,'用語辞書'!$A:$B,COLUMN('用語辞書'!B$1),FALSE),
IF(_xlpm.v=0,"",_xlpm.v)
),"")</f>
        <v/>
      </c>
      <c r="K1709" s="17"/>
      <c r="L1709" s="17" t="str">
        <f>IF(OR(COUNTIF('クラス'!$A$1:$A$1262,$B1709)&gt;0,$B1709="",$M1709=""),"",True)</f>
        <v/>
      </c>
      <c r="M1709" s="1" t="str">
        <f t="shared" si="27"/>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1935</v>
      </c>
      <c r="C1710" s="1"/>
      <c r="D1710" s="1"/>
      <c r="E1710" s="14"/>
      <c r="F1710" s="15"/>
      <c r="G1710" s="16"/>
      <c r="H1710" s="11"/>
      <c r="I1710" s="7"/>
      <c r="J1710" s="7" t="str">
        <f>IFERROR(LET(_xlpm.v,
VLOOKUP($I1710,'用語辞書'!$A:$B,COLUMN('用語辞書'!B$1),FALSE),
IF(_xlpm.v=0,"",_xlpm.v)
),"")</f>
        <v/>
      </c>
      <c r="K1710" s="17"/>
      <c r="L1710" s="17" t="str">
        <f>IF(OR(COUNTIF('クラス'!$A$1:$A$1262,$B1710)&gt;0,$B1710="",$M1710=""),"",True)</f>
        <v/>
      </c>
      <c r="M1710" s="1" t="str">
        <f t="shared" si="27"/>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VLOOKUP($I1711,'用語辞書'!$A:$B,COLUMN('用語辞書'!B$1),FALSE),
IF(_xlpm.v=0,"",_xlpm.v)
),"")</f>
        <v/>
      </c>
      <c r="K1711" s="17"/>
      <c r="L1711" s="17" t="str">
        <f>IF(OR(COUNTIF('クラス'!$A$1:$A$1262,$B1711)&gt;0,$B1711="",$M1711=""),"",True)</f>
        <v/>
      </c>
      <c r="M1711" s="1" t="str">
        <f t="shared" si="27"/>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VLOOKUP($I1712,'用語辞書'!$A:$B,COLUMN('用語辞書'!B$1),FALSE),
IF(_xlpm.v=0,"",_xlpm.v)
),"")</f>
        <v/>
      </c>
      <c r="K1712" s="17"/>
      <c r="L1712" s="17" t="str">
        <f>IF(OR(COUNTIF('クラス'!$A$1:$A$1262,$B1712)&gt;0,$B1712="",$M1712=""),"",True)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VLOOKUP($I1713,'用語辞書'!$A:$B,COLUMN('用語辞書'!B$1),FALSE),
IF(_xlpm.v=0,"",_xlpm.v)
),"")</f>
        <v/>
      </c>
      <c r="K1713" s="17"/>
      <c r="L1713" s="17" t="str">
        <f>IF(OR(COUNTIF('クラス'!$A$1:$A$1262,$B1713)&gt;0,$B1713="",$M1713=""),"",True)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26" t="s">
        <v>1952</v>
      </c>
      <c r="C1714" s="1"/>
      <c r="D1714" s="1"/>
      <c r="E1714" s="14"/>
      <c r="F1714" s="15"/>
      <c r="G1714" s="16"/>
      <c r="H1714" s="11"/>
      <c r="I1714" s="7"/>
      <c r="J1714" s="7" t="str">
        <f>IFERROR(LET(_xlpm.v,
VLOOKUP($I1714,'用語辞書'!$A:$B,COLUMN('用語辞書'!B$1),FALSE),
IF(_xlpm.v=0,"",_xlpm.v)
),"")</f>
        <v/>
      </c>
      <c r="K1714" s="17"/>
      <c r="L1714" s="17" t="str">
        <f>IF(OR(COUNTIF('クラス'!$A$1:$A$1262,$B1714)&gt;0,$B1714="",$M1714=""),"",True)</f>
        <v/>
      </c>
      <c r="M1714" s="1" t="str">
        <f t="shared" si="27"/>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1929</v>
      </c>
      <c r="C1715" s="1"/>
      <c r="D1715" s="1"/>
      <c r="E1715" s="14"/>
      <c r="F1715" s="15"/>
      <c r="G1715" s="16"/>
      <c r="H1715" s="11"/>
      <c r="I1715" s="7"/>
      <c r="J1715" s="7" t="str">
        <f>IFERROR(LET(_xlpm.v,
VLOOKUP($I1715,'用語辞書'!$A:$B,COLUMN('用語辞書'!B$1),FALSE),
IF(_xlpm.v=0,"",_xlpm.v)
),"")</f>
        <v/>
      </c>
      <c r="K1715" s="17"/>
      <c r="L1715" s="17" t="str">
        <f>IF(OR(COUNTIF('クラス'!$A$1:$A$1262,$B1715)&gt;0,$B1715="",$M1715=""),"",True)</f>
        <v/>
      </c>
      <c r="M1715" s="1" t="str">
        <f t="shared" si="27"/>
        <v/>
      </c>
      <c r="N1715" s="1" t="s">
        <v>29</v>
      </c>
      <c r="O1715" s="1"/>
      <c r="P1715" s="11"/>
      <c r="Q1715" s="11"/>
      <c r="R1715" s="11"/>
      <c r="S1715" s="11"/>
      <c r="T1715" s="1"/>
      <c r="U1715" s="1"/>
      <c r="V1715" s="1"/>
      <c r="W1715" s="1"/>
      <c r="X1715" s="1"/>
      <c r="Y1715" s="1"/>
      <c r="Z1715" s="1"/>
    </row>
    <row r="1716" ht="18.0" hidden="1" customHeight="1" outlineLevel="2">
      <c r="A1716" s="1">
        <v>2.0</v>
      </c>
      <c r="B1716" s="26" t="s">
        <v>1953</v>
      </c>
      <c r="C1716" s="1"/>
      <c r="D1716" s="1"/>
      <c r="E1716" s="29" t="s">
        <v>55</v>
      </c>
      <c r="F1716" s="15"/>
      <c r="G1716" s="16"/>
      <c r="H1716" s="22" t="s">
        <v>1954</v>
      </c>
      <c r="I1716" s="7"/>
      <c r="J1716" s="7" t="str">
        <f>IFERROR(LET(_xlpm.v,
VLOOKUP($I1716,'用語辞書'!$A:$B,COLUMN('用語辞書'!B$1),FALSE),
IF(_xlpm.v=0,"",_xlpm.v)
),"")</f>
        <v/>
      </c>
      <c r="K1716" s="17"/>
      <c r="L1716" s="17" t="b">
        <f>IF(OR(COUNTIF('クラス'!$A$1:$A$1262,$B1716)&gt;0,$B1716="",$M1716=""),"",True)</f>
        <v>1</v>
      </c>
      <c r="M1716" s="1" t="str">
        <f t="shared" si="27"/>
        <v>存在しない</v>
      </c>
      <c r="N1716" s="1" t="s">
        <v>29</v>
      </c>
      <c r="O1716" s="1"/>
      <c r="P1716" s="11"/>
      <c r="Q1716" s="11"/>
      <c r="R1716" s="11"/>
      <c r="S1716" s="11"/>
      <c r="T1716" s="1"/>
      <c r="U1716" s="1"/>
      <c r="V1716" s="1"/>
      <c r="W1716" s="1"/>
      <c r="X1716" s="1"/>
      <c r="Y1716" s="1"/>
      <c r="Z1716" s="1"/>
    </row>
    <row r="1717" ht="18.0" hidden="1" customHeight="1" outlineLevel="2">
      <c r="A1717" s="1">
        <v>3.0</v>
      </c>
      <c r="B1717" s="26" t="s">
        <v>1955</v>
      </c>
      <c r="C1717" s="1"/>
      <c r="D1717" s="1"/>
      <c r="E1717" s="29" t="s">
        <v>33</v>
      </c>
      <c r="F1717" s="15"/>
      <c r="G1717" s="30">
        <v>50.0</v>
      </c>
      <c r="H1717" s="22" t="s">
        <v>1956</v>
      </c>
      <c r="I1717" s="7"/>
      <c r="J1717" s="7" t="str">
        <f>IFERROR(LET(_xlpm.v,
VLOOKUP($I1717,'用語辞書'!$A:$B,COLUMN('用語辞書'!B$1),FALSE),
IF(_xlpm.v=0,"",_xlpm.v)
),"")</f>
        <v/>
      </c>
      <c r="K1717" s="17"/>
      <c r="L1717" s="17" t="b">
        <f>IF(OR(COUNTIF('クラス'!$A$1:$A$1262,$B1717)&gt;0,$B1717="",$M1717=""),"",True)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VLOOKUP($I1718,'用語辞書'!$A:$B,COLUMN('用語辞書'!B$1),FALSE),
IF(_xlpm.v=0,"",_xlpm.v)
),"")</f>
        <v/>
      </c>
      <c r="K1718" s="17"/>
      <c r="L1718" s="17" t="str">
        <f>IF(OR(COUNTIF('クラス'!$A$1:$A$1262,$B1718)&gt;0,$B1718="",$M1718=""),"",True)</f>
        <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1930</v>
      </c>
      <c r="C1719" s="1"/>
      <c r="D1719" s="1"/>
      <c r="E1719" s="14"/>
      <c r="F1719" s="15"/>
      <c r="G1719" s="16"/>
      <c r="H1719" s="11"/>
      <c r="I1719" s="7"/>
      <c r="J1719" s="7" t="str">
        <f>IFERROR(LET(_xlpm.v,
VLOOKUP($I1719,'用語辞書'!$A:$B,COLUMN('用語辞書'!B$1),FALSE),
IF(_xlpm.v=0,"",_xlpm.v)
),"")</f>
        <v/>
      </c>
      <c r="K1719" s="17"/>
      <c r="L1719" s="17" t="str">
        <f>IF(OR(COUNTIF('クラス'!$A$1:$A$1262,$B1719)&gt;0,$B1719="",$M1719=""),"",True)</f>
        <v/>
      </c>
      <c r="M1719" s="1" t="str">
        <f t="shared" si="27"/>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VLOOKUP($I1720,'用語辞書'!$A:$B,COLUMN('用語辞書'!B$1),FALSE),
IF(_xlpm.v=0,"",_xlpm.v)
),"")</f>
        <v/>
      </c>
      <c r="K1720" s="17"/>
      <c r="L1720" s="17" t="str">
        <f>IF(OR(COUNTIF('クラス'!$A$1:$A$1262,$B1720)&gt;0,$B1720="",$M1720=""),"",True)</f>
        <v/>
      </c>
      <c r="M1720" s="1" t="str">
        <f t="shared" si="27"/>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1932</v>
      </c>
      <c r="C1721" s="1"/>
      <c r="D1721" s="1"/>
      <c r="E1721" s="14"/>
      <c r="F1721" s="15"/>
      <c r="G1721" s="16"/>
      <c r="H1721" s="11"/>
      <c r="I1721" s="7"/>
      <c r="J1721" s="7" t="str">
        <f>IFERROR(LET(_xlpm.v,
VLOOKUP($I1721,'用語辞書'!$A:$B,COLUMN('用語辞書'!B$1),FALSE),
IF(_xlpm.v=0,"",_xlpm.v)
),"")</f>
        <v/>
      </c>
      <c r="K1721" s="17"/>
      <c r="L1721" s="17" t="str">
        <f>IF(OR(COUNTIF('クラス'!$A$1:$A$1262,$B1721)&gt;0,$B1721="",$M1721=""),"",True)</f>
        <v/>
      </c>
      <c r="M1721" s="1" t="str">
        <f t="shared" si="27"/>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VLOOKUP($I1722,'用語辞書'!$A:$B,COLUMN('用語辞書'!B$1),FALSE),
IF(_xlpm.v=0,"",_xlpm.v)
),"")</f>
        <v/>
      </c>
      <c r="K1722" s="17"/>
      <c r="L1722" s="17" t="str">
        <f>IF(OR(COUNTIF('クラス'!$A$1:$A$1262,$B1722)&gt;0,$B1722="",$M1722=""),"",True)</f>
        <v/>
      </c>
      <c r="M1722" s="1" t="str">
        <f t="shared" si="27"/>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1935</v>
      </c>
      <c r="C1723" s="1"/>
      <c r="D1723" s="1"/>
      <c r="E1723" s="14"/>
      <c r="F1723" s="15"/>
      <c r="G1723" s="16"/>
      <c r="H1723" s="11"/>
      <c r="I1723" s="7"/>
      <c r="J1723" s="7" t="str">
        <f>IFERROR(LET(_xlpm.v,
VLOOKUP($I1723,'用語辞書'!$A:$B,COLUMN('用語辞書'!B$1),FALSE),
IF(_xlpm.v=0,"",_xlpm.v)
),"")</f>
        <v/>
      </c>
      <c r="K1723" s="17"/>
      <c r="L1723" s="17" t="str">
        <f>IF(OR(COUNTIF('クラス'!$A$1:$A$1262,$B1723)&gt;0,$B1723="",$M1723=""),"",True)</f>
        <v/>
      </c>
      <c r="M1723" s="1" t="str">
        <f t="shared" si="27"/>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VLOOKUP($I1724,'用語辞書'!$A:$B,COLUMN('用語辞書'!B$1),FALSE),
IF(_xlpm.v=0,"",_xlpm.v)
),"")</f>
        <v/>
      </c>
      <c r="K1724" s="17"/>
      <c r="L1724" s="17" t="str">
        <f>IF(OR(COUNTIF('クラス'!$A$1:$A$1262,$B1724)&gt;0,$B1724="",$M1724=""),"",True)</f>
        <v/>
      </c>
      <c r="M1724" s="1" t="str">
        <f t="shared" si="27"/>
        <v>存在しない</v>
      </c>
      <c r="N1724" s="1" t="s">
        <v>29</v>
      </c>
      <c r="O1724" s="1"/>
      <c r="P1724" s="11"/>
      <c r="Q1724" s="11"/>
      <c r="R1724" s="11"/>
      <c r="S1724" s="11"/>
      <c r="T1724" s="1"/>
      <c r="U1724" s="1"/>
      <c r="V1724" s="1"/>
      <c r="W1724" s="1"/>
      <c r="X1724" s="1"/>
      <c r="Y1724" s="1"/>
      <c r="Z1724" s="1"/>
    </row>
    <row r="1725" ht="18.0" customHeight="1" outlineLevel="1" collapsed="1">
      <c r="A1725" s="1"/>
      <c r="B1725" s="1"/>
      <c r="C1725" s="1"/>
      <c r="D1725" s="1"/>
      <c r="E1725" s="14"/>
      <c r="F1725" s="15"/>
      <c r="G1725" s="16"/>
      <c r="H1725" s="11"/>
      <c r="I1725" s="7"/>
      <c r="J1725" s="7" t="str">
        <f>IFERROR(LET(_xlpm.v,
VLOOKUP($I1725,'用語辞書'!$A:$B,COLUMN('用語辞書'!B$1),FALSE),
IF(_xlpm.v=0,"",_xlpm.v)
),"")</f>
        <v/>
      </c>
      <c r="K1725" s="17"/>
      <c r="L1725" s="17" t="str">
        <f>IF(OR(COUNTIF('クラス'!$A$1:$A$1262,$B1725)&gt;0,$B1725="",$M1725=""),"",True)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 r="A1726" s="1"/>
      <c r="B1726" s="1"/>
      <c r="C1726" s="1"/>
      <c r="D1726" s="1"/>
      <c r="E1726" s="14"/>
      <c r="F1726" s="15"/>
      <c r="G1726" s="16"/>
      <c r="H1726" s="11"/>
      <c r="I1726" s="7"/>
      <c r="J1726" s="7" t="str">
        <f>IFERROR(LET(_xlpm.v,
VLOOKUP($I1726,'用語辞書'!$A:$B,COLUMN('用語辞書'!B$1),FALSE),
IF(_xlpm.v=0,"",_xlpm.v)
),"")</f>
        <v/>
      </c>
      <c r="K1726" s="17"/>
      <c r="L1726" s="17" t="str">
        <f>IF(OR(COUNTIF('クラス'!$A$1:$A$1262,$B1726)&gt;0,$B1726="",$M1726=""),"",True)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26" t="s">
        <v>1957</v>
      </c>
      <c r="C1727" s="1"/>
      <c r="D1727" s="1"/>
      <c r="E1727" s="14"/>
      <c r="F1727" s="15"/>
      <c r="G1727" s="16"/>
      <c r="H1727" s="11"/>
      <c r="I1727" s="7"/>
      <c r="J1727" s="7" t="str">
        <f>IFERROR(LET(_xlpm.v,
VLOOKUP($I1727,'用語辞書'!$A:$B,COLUMN('用語辞書'!B$1),FALSE),
IF(_xlpm.v=0,"",_xlpm.v)
),"")</f>
        <v/>
      </c>
      <c r="K1727" s="17"/>
      <c r="L1727" s="17" t="str">
        <f>IF(OR(COUNTIF('クラス'!$A$1:$A$1262,$B1727)&gt;0,$B1727="",$M1727=""),"",True)</f>
        <v/>
      </c>
      <c r="M1727" s="1" t="str">
        <f t="shared" si="27"/>
        <v>存在しない</v>
      </c>
      <c r="N1727" s="1" t="s">
        <v>29</v>
      </c>
      <c r="O1727" s="1"/>
      <c r="P1727" s="11"/>
      <c r="Q1727" s="11"/>
      <c r="R1727" s="11"/>
      <c r="S1727" s="11"/>
      <c r="T1727" s="1"/>
      <c r="U1727" s="1"/>
      <c r="V1727" s="1"/>
      <c r="W1727" s="1"/>
      <c r="X1727" s="1"/>
      <c r="Y1727" s="1"/>
      <c r="Z1727" s="1"/>
    </row>
    <row r="1728" ht="18.0" hidden="1" customHeight="1" outlineLevel="2">
      <c r="A1728" s="1">
        <v>1.0</v>
      </c>
      <c r="B1728" s="26" t="s">
        <v>1958</v>
      </c>
      <c r="C1728" s="1"/>
      <c r="D1728" s="1"/>
      <c r="E1728" s="29" t="s">
        <v>33</v>
      </c>
      <c r="F1728" s="15"/>
      <c r="G1728" s="30">
        <v>40.0</v>
      </c>
      <c r="H1728" s="22" t="s">
        <v>1959</v>
      </c>
      <c r="I1728" s="7"/>
      <c r="J1728" s="7" t="str">
        <f>IFERROR(LET(_xlpm.v,
VLOOKUP($I1728,'用語辞書'!$A:$B,COLUMN('用語辞書'!B$1),FALSE),
IF(_xlpm.v=0,"",_xlpm.v)
),"")</f>
        <v/>
      </c>
      <c r="K1728" s="17"/>
      <c r="L1728" s="17" t="b">
        <f>IF(OR(COUNTIF('クラス'!$A$1:$A$1262,$B1728)&gt;0,$B1728="",$M1728=""),"",True)</f>
        <v>1</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2.0</v>
      </c>
      <c r="B1729" s="26" t="s">
        <v>1960</v>
      </c>
      <c r="C1729" s="1"/>
      <c r="D1729" s="1"/>
      <c r="E1729" s="29" t="s">
        <v>33</v>
      </c>
      <c r="F1729" s="15"/>
      <c r="G1729" s="30">
        <v>70.0</v>
      </c>
      <c r="H1729" s="22" t="s">
        <v>1961</v>
      </c>
      <c r="I1729" s="7"/>
      <c r="J1729" s="7" t="str">
        <f>IFERROR(LET(_xlpm.v,
VLOOKUP($I1729,'用語辞書'!$A:$B,COLUMN('用語辞書'!B$1),FALSE),
IF(_xlpm.v=0,"",_xlpm.v)
),"")</f>
        <v/>
      </c>
      <c r="K1729" s="17"/>
      <c r="L1729" s="17" t="b">
        <f>IF(OR(COUNTIF('クラス'!$A$1:$A$1262,$B1729)&gt;0,$B1729="",$M1729=""),"",True)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3.0</v>
      </c>
      <c r="B1730" s="26" t="s">
        <v>1962</v>
      </c>
      <c r="C1730" s="1"/>
      <c r="D1730" s="1"/>
      <c r="E1730" s="29" t="s">
        <v>55</v>
      </c>
      <c r="F1730" s="15"/>
      <c r="G1730" s="16"/>
      <c r="H1730" s="22" t="s">
        <v>1963</v>
      </c>
      <c r="I1730" s="7"/>
      <c r="J1730" s="7" t="str">
        <f>IFERROR(LET(_xlpm.v,
VLOOKUP($I1730,'用語辞書'!$A:$B,COLUMN('用語辞書'!B$1),FALSE),
IF(_xlpm.v=0,"",_xlpm.v)
),"")</f>
        <v/>
      </c>
      <c r="K1730" s="17"/>
      <c r="L1730" s="17" t="b">
        <f>IF(OR(COUNTIF('クラス'!$A$1:$A$1262,$B1730)&gt;0,$B1730="",$M1730=""),"",True)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4.0</v>
      </c>
      <c r="B1731" s="26" t="s">
        <v>1932</v>
      </c>
      <c r="C1731" s="1"/>
      <c r="D1731" s="1"/>
      <c r="E1731" s="14"/>
      <c r="F1731" s="15"/>
      <c r="G1731" s="16"/>
      <c r="H1731" s="11"/>
      <c r="I1731" s="7"/>
      <c r="J1731" s="7" t="str">
        <f>IFERROR(LET(_xlpm.v,
VLOOKUP($I1731,'用語辞書'!$A:$B,COLUMN('用語辞書'!B$1),FALSE),
IF(_xlpm.v=0,"",_xlpm.v)
),"")</f>
        <v/>
      </c>
      <c r="K1731" s="17"/>
      <c r="L1731" s="17" t="str">
        <f>IF(OR(COUNTIF('クラス'!$A$1:$A$1262,$B1731)&gt;0,$B1731="",$M1731=""),"",True)</f>
        <v/>
      </c>
      <c r="M1731" s="1" t="str">
        <f t="shared" si="27"/>
        <v/>
      </c>
      <c r="N1731" s="1" t="s">
        <v>29</v>
      </c>
      <c r="O1731" s="1"/>
      <c r="P1731" s="11"/>
      <c r="Q1731" s="11"/>
      <c r="R1731" s="11"/>
      <c r="S1731" s="11"/>
      <c r="T1731" s="1"/>
      <c r="U1731" s="1"/>
      <c r="V1731" s="1"/>
      <c r="W1731" s="1"/>
      <c r="X1731" s="1"/>
      <c r="Y1731" s="1"/>
      <c r="Z1731" s="1"/>
    </row>
    <row r="1732" ht="18.0" hidden="1" customHeight="1" outlineLevel="2">
      <c r="A1732" s="1">
        <v>5.0</v>
      </c>
      <c r="B1732" s="1"/>
      <c r="C1732" s="1"/>
      <c r="D1732" s="1"/>
      <c r="E1732" s="14"/>
      <c r="F1732" s="15"/>
      <c r="G1732" s="16"/>
      <c r="H1732" s="11"/>
      <c r="I1732" s="7"/>
      <c r="J1732" s="7" t="str">
        <f>IFERROR(LET(_xlpm.v,
VLOOKUP($I1732,'用語辞書'!$A:$B,COLUMN('用語辞書'!B$1),FALSE),
IF(_xlpm.v=0,"",_xlpm.v)
),"")</f>
        <v/>
      </c>
      <c r="K1732" s="17"/>
      <c r="L1732" s="17" t="str">
        <f>IF(OR(COUNTIF('クラス'!$A$1:$A$1262,$B1732)&gt;0,$B1732="",$M1732=""),"",True)</f>
        <v/>
      </c>
      <c r="M1732" s="1" t="str">
        <f t="shared" si="27"/>
        <v>存在しない</v>
      </c>
      <c r="N1732" s="1" t="s">
        <v>29</v>
      </c>
      <c r="O1732" s="1"/>
      <c r="P1732" s="11"/>
      <c r="Q1732" s="11"/>
      <c r="R1732" s="11"/>
      <c r="S1732" s="11"/>
      <c r="T1732" s="1"/>
      <c r="U1732" s="1"/>
      <c r="V1732" s="1"/>
      <c r="W1732" s="1"/>
      <c r="X1732" s="1"/>
      <c r="Y1732" s="1"/>
      <c r="Z1732" s="1"/>
    </row>
    <row r="1733" ht="18.0" hidden="1" customHeight="1" outlineLevel="2">
      <c r="A1733" s="1">
        <v>6.0</v>
      </c>
      <c r="B1733" s="26" t="s">
        <v>1933</v>
      </c>
      <c r="C1733" s="1"/>
      <c r="D1733" s="1"/>
      <c r="E1733" s="14"/>
      <c r="F1733" s="15"/>
      <c r="G1733" s="16"/>
      <c r="H1733" s="11"/>
      <c r="I1733" s="7"/>
      <c r="J1733" s="7" t="str">
        <f>IFERROR(LET(_xlpm.v,
VLOOKUP($I1733,'用語辞書'!$A:$B,COLUMN('用語辞書'!B$1),FALSE),
IF(_xlpm.v=0,"",_xlpm.v)
),"")</f>
        <v/>
      </c>
      <c r="K1733" s="17"/>
      <c r="L1733" s="17" t="str">
        <f>IF(OR(COUNTIF('クラス'!$A$1:$A$1262,$B1733)&gt;0,$B1733="",$M1733=""),"",True)</f>
        <v/>
      </c>
      <c r="M1733" s="1" t="str">
        <f t="shared" si="27"/>
        <v/>
      </c>
      <c r="N1733" s="1" t="s">
        <v>29</v>
      </c>
      <c r="O1733" s="1"/>
      <c r="P1733" s="11"/>
      <c r="Q1733" s="11"/>
      <c r="R1733" s="11"/>
      <c r="S1733" s="11"/>
      <c r="T1733" s="1"/>
      <c r="U1733" s="1"/>
      <c r="V1733" s="1"/>
      <c r="W1733" s="1"/>
      <c r="X1733" s="1"/>
      <c r="Y1733" s="1"/>
      <c r="Z1733" s="1"/>
    </row>
    <row r="1734" ht="18.0" hidden="1" customHeight="1" outlineLevel="2">
      <c r="A1734" s="1">
        <v>7.0</v>
      </c>
      <c r="B1734" s="1"/>
      <c r="C1734" s="1"/>
      <c r="D1734" s="1"/>
      <c r="E1734" s="14"/>
      <c r="F1734" s="15"/>
      <c r="G1734" s="16"/>
      <c r="H1734" s="11"/>
      <c r="I1734" s="7"/>
      <c r="J1734" s="7" t="str">
        <f>IFERROR(LET(_xlpm.v,
VLOOKUP($I1734,'用語辞書'!$A:$B,COLUMN('用語辞書'!B$1),FALSE),
IF(_xlpm.v=0,"",_xlpm.v)
),"")</f>
        <v/>
      </c>
      <c r="K1734" s="17"/>
      <c r="L1734" s="17" t="str">
        <f>IF(OR(COUNTIF('クラス'!$A$1:$A$1262,$B1734)&gt;0,$B1734="",$M1734=""),"",True)</f>
        <v/>
      </c>
      <c r="M1734" s="1" t="str">
        <f t="shared" si="27"/>
        <v>存在しない</v>
      </c>
      <c r="N1734" s="1" t="s">
        <v>29</v>
      </c>
      <c r="O1734" s="1"/>
      <c r="P1734" s="11"/>
      <c r="Q1734" s="11"/>
      <c r="R1734" s="11"/>
      <c r="S1734" s="11"/>
      <c r="T1734" s="1"/>
      <c r="U1734" s="1"/>
      <c r="V1734" s="1"/>
      <c r="W1734" s="1"/>
      <c r="X1734" s="1"/>
      <c r="Y1734" s="1"/>
      <c r="Z1734" s="1"/>
    </row>
    <row r="1735" ht="18.0" hidden="1" customHeight="1" outlineLevel="2">
      <c r="A1735" s="1">
        <v>8.0</v>
      </c>
      <c r="B1735" s="26" t="s">
        <v>1935</v>
      </c>
      <c r="C1735" s="1"/>
      <c r="D1735" s="1"/>
      <c r="E1735" s="14"/>
      <c r="F1735" s="15"/>
      <c r="G1735" s="16"/>
      <c r="H1735" s="11"/>
      <c r="I1735" s="7"/>
      <c r="J1735" s="7" t="str">
        <f>IFERROR(LET(_xlpm.v,
VLOOKUP($I1735,'用語辞書'!$A:$B,COLUMN('用語辞書'!B$1),FALSE),
IF(_xlpm.v=0,"",_xlpm.v)
),"")</f>
        <v/>
      </c>
      <c r="K1735" s="17"/>
      <c r="L1735" s="17" t="str">
        <f>IF(OR(COUNTIF('クラス'!$A$1:$A$1262,$B1735)&gt;0,$B1735="",$M1735=""),"",True)</f>
        <v/>
      </c>
      <c r="M1735" s="1" t="str">
        <f t="shared" si="27"/>
        <v/>
      </c>
      <c r="N1735" s="1" t="s">
        <v>29</v>
      </c>
      <c r="O1735" s="1"/>
      <c r="P1735" s="11"/>
      <c r="Q1735" s="11"/>
      <c r="R1735" s="11"/>
      <c r="S1735" s="11"/>
      <c r="T1735" s="1"/>
      <c r="U1735" s="1"/>
      <c r="V1735" s="1"/>
      <c r="W1735" s="1"/>
      <c r="X1735" s="1"/>
      <c r="Y1735" s="1"/>
      <c r="Z1735" s="1"/>
    </row>
    <row r="1736" ht="18.0" hidden="1" customHeight="1" outlineLevel="2">
      <c r="A1736" s="1">
        <v>9.0</v>
      </c>
      <c r="B1736" s="1"/>
      <c r="C1736" s="1"/>
      <c r="D1736" s="1"/>
      <c r="E1736" s="14"/>
      <c r="F1736" s="15"/>
      <c r="G1736" s="16"/>
      <c r="H1736" s="11"/>
      <c r="I1736" s="7"/>
      <c r="J1736" s="7" t="str">
        <f>IFERROR(LET(_xlpm.v,
VLOOKUP($I1736,'用語辞書'!$A:$B,COLUMN('用語辞書'!B$1),FALSE),
IF(_xlpm.v=0,"",_xlpm.v)
),"")</f>
        <v/>
      </c>
      <c r="K1736" s="17"/>
      <c r="L1736" s="17" t="str">
        <f>IF(OR(COUNTIF('クラス'!$A$1:$A$1262,$B1736)&gt;0,$B1736="",$M1736=""),"",True)</f>
        <v/>
      </c>
      <c r="M1736" s="1" t="str">
        <f t="shared" si="27"/>
        <v>存在しない</v>
      </c>
      <c r="N1736" s="1" t="s">
        <v>29</v>
      </c>
      <c r="O1736" s="1"/>
      <c r="P1736" s="11"/>
      <c r="Q1736" s="11"/>
      <c r="R1736" s="11"/>
      <c r="S1736" s="11"/>
      <c r="T1736" s="1"/>
      <c r="U1736" s="1"/>
      <c r="V1736" s="1"/>
      <c r="W1736" s="1"/>
      <c r="X1736" s="1"/>
      <c r="Y1736" s="1"/>
      <c r="Z1736" s="1"/>
    </row>
    <row r="1737" ht="18.0" hidden="1" customHeight="1" outlineLevel="2">
      <c r="A1737" s="1">
        <v>10.0</v>
      </c>
      <c r="B1737" s="1"/>
      <c r="C1737" s="1"/>
      <c r="D1737" s="1"/>
      <c r="E1737" s="14"/>
      <c r="F1737" s="15"/>
      <c r="G1737" s="16"/>
      <c r="H1737" s="11"/>
      <c r="I1737" s="7"/>
      <c r="J1737" s="7" t="str">
        <f>IFERROR(LET(_xlpm.v,
VLOOKUP($I1737,'用語辞書'!$A:$B,COLUMN('用語辞書'!B$1),FALSE),
IF(_xlpm.v=0,"",_xlpm.v)
),"")</f>
        <v/>
      </c>
      <c r="K1737" s="17"/>
      <c r="L1737" s="17" t="str">
        <f>IF(OR(COUNTIF('クラス'!$A$1:$A$1262,$B1737)&gt;0,$B1737="",$M1737=""),"",True)</f>
        <v/>
      </c>
      <c r="M1737" s="1" t="str">
        <f t="shared" si="27"/>
        <v>存在しない</v>
      </c>
      <c r="N1737" s="1" t="s">
        <v>29</v>
      </c>
      <c r="O1737" s="1"/>
      <c r="P1737" s="11"/>
      <c r="Q1737" s="11"/>
      <c r="R1737" s="11"/>
      <c r="S1737" s="11"/>
      <c r="T1737" s="1"/>
      <c r="U1737" s="1"/>
      <c r="V1737" s="1"/>
      <c r="W1737" s="1"/>
      <c r="X1737" s="1"/>
      <c r="Y1737" s="1"/>
      <c r="Z1737" s="1"/>
    </row>
    <row r="1738" ht="18.0" customHeight="1" collapsed="1">
      <c r="A1738" s="1"/>
      <c r="B1738" s="1"/>
      <c r="C1738" s="1"/>
      <c r="D1738" s="1"/>
      <c r="E1738" s="14"/>
      <c r="F1738" s="15"/>
      <c r="G1738" s="16"/>
      <c r="H1738" s="11"/>
      <c r="I1738" s="7"/>
      <c r="J1738" s="7" t="str">
        <f>IFERROR(LET(_xlpm.v,
VLOOKUP($I1738,'用語辞書'!$A:$B,COLUMN('用語辞書'!B$1),FALSE),
IF(_xlpm.v=0,"",_xlpm.v)
),"")</f>
        <v/>
      </c>
      <c r="K1738" s="17"/>
      <c r="L1738" s="17" t="str">
        <f>IF(OR(COUNTIF('クラス'!$A$1:$A$1262,$B1738)&gt;0,$B1738="",$M1738=""),"",True)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 r="A1739" s="1"/>
      <c r="B1739" s="1"/>
      <c r="C1739" s="26" t="s">
        <v>1964</v>
      </c>
      <c r="D1739" s="1"/>
      <c r="E1739" s="14"/>
      <c r="F1739" s="15"/>
      <c r="G1739" s="16"/>
      <c r="H1739" s="11"/>
      <c r="I1739" s="7"/>
      <c r="J1739" s="7" t="str">
        <f>IFERROR(LET(_xlpm.v,
VLOOKUP($I1739,'用語辞書'!$A:$B,COLUMN('用語辞書'!B$1),FALSE),
IF(_xlpm.v=0,"",_xlpm.v)
),"")</f>
        <v/>
      </c>
      <c r="K1739" s="17"/>
      <c r="L1739" s="17" t="str">
        <f>IF(OR(COUNTIF('クラス'!$A$1:$A$1262,$B1739)&gt;0,$B1739="",$M1739=""),"",True)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outlineLevel="1">
      <c r="A1740" s="1"/>
      <c r="B1740" s="26" t="s">
        <v>1965</v>
      </c>
      <c r="C1740" s="1"/>
      <c r="D1740" s="1"/>
      <c r="E1740" s="14"/>
      <c r="F1740" s="15"/>
      <c r="G1740" s="16"/>
      <c r="H1740" s="11"/>
      <c r="I1740" s="7"/>
      <c r="J1740" s="7" t="str">
        <f>IFERROR(LET(_xlpm.v,
VLOOKUP($I1740,'用語辞書'!$A:$B,COLUMN('用語辞書'!B$1),FALSE),
IF(_xlpm.v=0,"",_xlpm.v)
),"")</f>
        <v/>
      </c>
      <c r="K1740" s="17"/>
      <c r="L1740" s="17" t="str">
        <f>IF(OR(COUNTIF('クラス'!$A$1:$A$1262,$B1740)&gt;0,$B1740="",$M1740=""),"",True)</f>
        <v/>
      </c>
      <c r="M1740" s="1" t="str">
        <f t="shared" si="27"/>
        <v>存在しない</v>
      </c>
      <c r="N1740" s="1" t="s">
        <v>29</v>
      </c>
      <c r="O1740" s="1"/>
      <c r="P1740" s="11"/>
      <c r="Q1740" s="11"/>
      <c r="R1740" s="11"/>
      <c r="S1740" s="11"/>
      <c r="T1740" s="1"/>
      <c r="U1740" s="1"/>
      <c r="V1740" s="1"/>
      <c r="W1740" s="1"/>
      <c r="X1740" s="1"/>
      <c r="Y1740" s="1"/>
      <c r="Z1740" s="1"/>
    </row>
    <row r="1741" ht="18.0" hidden="1" customHeight="1" outlineLevel="2">
      <c r="A1741" s="1">
        <v>1.0</v>
      </c>
      <c r="B1741" s="26" t="s">
        <v>1966</v>
      </c>
      <c r="C1741" s="1"/>
      <c r="D1741" s="1"/>
      <c r="E1741" s="29" t="s">
        <v>33</v>
      </c>
      <c r="F1741" s="15"/>
      <c r="G1741" s="30">
        <v>40.0</v>
      </c>
      <c r="H1741" s="22" t="s">
        <v>1967</v>
      </c>
      <c r="I1741" s="7"/>
      <c r="J1741" s="7" t="str">
        <f>IFERROR(LET(_xlpm.v,
VLOOKUP($I1741,'用語辞書'!$A:$B,COLUMN('用語辞書'!B$1),FALSE),
IF(_xlpm.v=0,"",_xlpm.v)
),"")</f>
        <v/>
      </c>
      <c r="K1741" s="17"/>
      <c r="L1741" s="17" t="b">
        <f>IF(OR(COUNTIF('クラス'!$A$1:$A$1262,$B1741)&gt;0,$B1741="",$M1741=""),"",True)</f>
        <v>1</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2.0</v>
      </c>
      <c r="B1742" s="26" t="s">
        <v>1968</v>
      </c>
      <c r="C1742" s="1"/>
      <c r="D1742" s="1"/>
      <c r="E1742" s="29" t="s">
        <v>33</v>
      </c>
      <c r="F1742" s="15"/>
      <c r="G1742" s="30">
        <v>50.0</v>
      </c>
      <c r="H1742" s="22" t="s">
        <v>1969</v>
      </c>
      <c r="I1742" s="7"/>
      <c r="J1742" s="7" t="str">
        <f>IFERROR(LET(_xlpm.v,
VLOOKUP($I1742,'用語辞書'!$A:$B,COLUMN('用語辞書'!B$1),FALSE),
IF(_xlpm.v=0,"",_xlpm.v)
),"")</f>
        <v/>
      </c>
      <c r="K1742" s="17"/>
      <c r="L1742" s="17" t="b">
        <f>IF(OR(COUNTIF('クラス'!$A$1:$A$1262,$B1742)&gt;0,$B1742="",$M1742=""),"",True)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3.0</v>
      </c>
      <c r="B1743" s="26" t="s">
        <v>1970</v>
      </c>
      <c r="C1743" s="1"/>
      <c r="D1743" s="1"/>
      <c r="E1743" s="29" t="s">
        <v>55</v>
      </c>
      <c r="F1743" s="15"/>
      <c r="G1743" s="16"/>
      <c r="H1743" s="22" t="s">
        <v>1971</v>
      </c>
      <c r="I1743" s="7"/>
      <c r="J1743" s="7" t="str">
        <f>IFERROR(LET(_xlpm.v,
VLOOKUP($I1743,'用語辞書'!$A:$B,COLUMN('用語辞書'!B$1),FALSE),
IF(_xlpm.v=0,"",_xlpm.v)
),"")</f>
        <v/>
      </c>
      <c r="K1743" s="17"/>
      <c r="L1743" s="17" t="b">
        <f>IF(OR(COUNTIF('クラス'!$A$1:$A$1262,$B1743)&gt;0,$B1743="",$M1743=""),"",True)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4.0</v>
      </c>
      <c r="B1744" s="1"/>
      <c r="C1744" s="1"/>
      <c r="D1744" s="1"/>
      <c r="E1744" s="14"/>
      <c r="F1744" s="15"/>
      <c r="G1744" s="16"/>
      <c r="H1744" s="11"/>
      <c r="I1744" s="7"/>
      <c r="J1744" s="7" t="str">
        <f>IFERROR(LET(_xlpm.v,
VLOOKUP($I1744,'用語辞書'!$A:$B,COLUMN('用語辞書'!B$1),FALSE),
IF(_xlpm.v=0,"",_xlpm.v)
),"")</f>
        <v/>
      </c>
      <c r="K1744" s="17"/>
      <c r="L1744" s="17" t="str">
        <f>IF(OR(COUNTIF('クラス'!$A$1:$A$1262,$B1744)&gt;0,$B1744="",$M1744=""),"",True)</f>
        <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5.0</v>
      </c>
      <c r="B1745" s="26" t="s">
        <v>1243</v>
      </c>
      <c r="C1745" s="1"/>
      <c r="D1745" s="1"/>
      <c r="E1745" s="14"/>
      <c r="F1745" s="15"/>
      <c r="G1745" s="16"/>
      <c r="H1745" s="11"/>
      <c r="I1745" s="7"/>
      <c r="J1745" s="7" t="str">
        <f>IFERROR(LET(_xlpm.v,
VLOOKUP($I1745,'用語辞書'!$A:$B,COLUMN('用語辞書'!B$1),FALSE),
IF(_xlpm.v=0,"",_xlpm.v)
),"")</f>
        <v/>
      </c>
      <c r="K1745" s="17"/>
      <c r="L1745" s="17" t="str">
        <f>IF(OR(COUNTIF('クラス'!$A$1:$A$1262,$B1745)&gt;0,$B1745="",$M1745=""),"",True)</f>
        <v/>
      </c>
      <c r="M1745" s="1" t="str">
        <f t="shared" si="27"/>
        <v/>
      </c>
      <c r="N1745" s="1" t="s">
        <v>29</v>
      </c>
      <c r="O1745" s="1"/>
      <c r="P1745" s="11"/>
      <c r="Q1745" s="11"/>
      <c r="R1745" s="11"/>
      <c r="S1745" s="11"/>
      <c r="T1745" s="1"/>
      <c r="U1745" s="1"/>
      <c r="V1745" s="1"/>
      <c r="W1745" s="1"/>
      <c r="X1745" s="1"/>
      <c r="Y1745" s="1"/>
      <c r="Z1745" s="1"/>
    </row>
    <row r="1746" ht="18.0" hidden="1" customHeight="1" outlineLevel="2">
      <c r="A1746" s="1">
        <v>6.0</v>
      </c>
      <c r="B1746" s="1"/>
      <c r="C1746" s="1"/>
      <c r="D1746" s="1"/>
      <c r="E1746" s="14"/>
      <c r="F1746" s="15"/>
      <c r="G1746" s="16"/>
      <c r="H1746" s="11"/>
      <c r="I1746" s="7"/>
      <c r="J1746" s="7" t="str">
        <f>IFERROR(LET(_xlpm.v,
VLOOKUP($I1746,'用語辞書'!$A:$B,COLUMN('用語辞書'!B$1),FALSE),
IF(_xlpm.v=0,"",_xlpm.v)
),"")</f>
        <v/>
      </c>
      <c r="K1746" s="17"/>
      <c r="L1746" s="17" t="str">
        <f>IF(OR(COUNTIF('クラス'!$A$1:$A$1262,$B1746)&gt;0,$B1746="",$M1746=""),"",True)</f>
        <v/>
      </c>
      <c r="M1746" s="1" t="str">
        <f t="shared" si="27"/>
        <v>存在しない</v>
      </c>
      <c r="N1746" s="1" t="s">
        <v>29</v>
      </c>
      <c r="O1746" s="1"/>
      <c r="P1746" s="11"/>
      <c r="Q1746" s="11"/>
      <c r="R1746" s="11"/>
      <c r="S1746" s="11"/>
      <c r="T1746" s="1"/>
      <c r="U1746" s="1"/>
      <c r="V1746" s="1"/>
      <c r="W1746" s="1"/>
      <c r="X1746" s="1"/>
      <c r="Y1746" s="1"/>
      <c r="Z1746" s="1"/>
    </row>
    <row r="1747" ht="18.0" hidden="1" customHeight="1" outlineLevel="2">
      <c r="A1747" s="1">
        <v>7.0</v>
      </c>
      <c r="B1747" s="26" t="s">
        <v>1972</v>
      </c>
      <c r="C1747" s="1"/>
      <c r="D1747" s="1"/>
      <c r="E1747" s="29" t="s">
        <v>55</v>
      </c>
      <c r="F1747" s="15"/>
      <c r="G1747" s="16"/>
      <c r="H1747" s="22" t="s">
        <v>1973</v>
      </c>
      <c r="I1747" s="7"/>
      <c r="J1747" s="7" t="str">
        <f>IFERROR(LET(_xlpm.v,
VLOOKUP($I1747,'用語辞書'!$A:$B,COLUMN('用語辞書'!B$1),FALSE),
IF(_xlpm.v=0,"",_xlpm.v)
),"")</f>
        <v/>
      </c>
      <c r="K1747" s="17"/>
      <c r="L1747" s="17" t="b">
        <f>IF(OR(COUNTIF('クラス'!$A$1:$A$1262,$B1747)&gt;0,$B1747="",$M1747=""),"",True)</f>
        <v>1</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8.0</v>
      </c>
      <c r="B1748" s="1"/>
      <c r="C1748" s="1"/>
      <c r="D1748" s="1"/>
      <c r="E1748" s="14"/>
      <c r="F1748" s="15"/>
      <c r="G1748" s="16"/>
      <c r="H1748" s="11"/>
      <c r="I1748" s="7"/>
      <c r="J1748" s="7" t="str">
        <f>IFERROR(LET(_xlpm.v,
VLOOKUP($I1748,'用語辞書'!$A:$B,COLUMN('用語辞書'!B$1),FALSE),
IF(_xlpm.v=0,"",_xlpm.v)
),"")</f>
        <v/>
      </c>
      <c r="K1748" s="17"/>
      <c r="L1748" s="17" t="str">
        <f>IF(OR(COUNTIF('クラス'!$A$1:$A$1262,$B1748)&gt;0,$B1748="",$M1748=""),"",True)</f>
        <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9.0</v>
      </c>
      <c r="B1749" s="26" t="s">
        <v>1266</v>
      </c>
      <c r="C1749" s="1"/>
      <c r="D1749" s="1"/>
      <c r="E1749" s="14"/>
      <c r="F1749" s="15"/>
      <c r="G1749" s="16"/>
      <c r="H1749" s="11"/>
      <c r="I1749" s="7"/>
      <c r="J1749" s="7" t="str">
        <f>IFERROR(LET(_xlpm.v,
VLOOKUP($I1749,'用語辞書'!$A:$B,COLUMN('用語辞書'!B$1),FALSE),
IF(_xlpm.v=0,"",_xlpm.v)
),"")</f>
        <v/>
      </c>
      <c r="K1749" s="17"/>
      <c r="L1749" s="17" t="str">
        <f>IF(OR(COUNTIF('クラス'!$A$1:$A$1262,$B1749)&gt;0,$B1749="",$M1749=""),"",True)</f>
        <v/>
      </c>
      <c r="M1749" s="1" t="str">
        <f t="shared" si="27"/>
        <v/>
      </c>
      <c r="N1749" s="1" t="s">
        <v>29</v>
      </c>
      <c r="O1749" s="1"/>
      <c r="P1749" s="11"/>
      <c r="Q1749" s="11"/>
      <c r="R1749" s="11"/>
      <c r="S1749" s="11"/>
      <c r="T1749" s="1"/>
      <c r="U1749" s="1"/>
      <c r="V1749" s="1"/>
      <c r="W1749" s="1"/>
      <c r="X1749" s="1"/>
      <c r="Y1749" s="1"/>
      <c r="Z1749" s="1"/>
    </row>
    <row r="1750" ht="18.0" hidden="1" customHeight="1" outlineLevel="2">
      <c r="A1750" s="1">
        <v>10.0</v>
      </c>
      <c r="B1750" s="1"/>
      <c r="C1750" s="1"/>
      <c r="D1750" s="1"/>
      <c r="E1750" s="14"/>
      <c r="F1750" s="15"/>
      <c r="G1750" s="16"/>
      <c r="H1750" s="11"/>
      <c r="I1750" s="7"/>
      <c r="J1750" s="7" t="str">
        <f>IFERROR(LET(_xlpm.v,
VLOOKUP($I1750,'用語辞書'!$A:$B,COLUMN('用語辞書'!B$1),FALSE),
IF(_xlpm.v=0,"",_xlpm.v)
),"")</f>
        <v/>
      </c>
      <c r="K1750" s="17"/>
      <c r="L1750" s="17" t="str">
        <f>IF(OR(COUNTIF('クラス'!$A$1:$A$1262,$B1750)&gt;0,$B1750="",$M1750=""),"",True)</f>
        <v/>
      </c>
      <c r="M1750" s="1" t="str">
        <f t="shared" si="27"/>
        <v>存在しない</v>
      </c>
      <c r="N1750" s="1" t="s">
        <v>29</v>
      </c>
      <c r="O1750" s="1"/>
      <c r="P1750" s="11"/>
      <c r="Q1750" s="11"/>
      <c r="R1750" s="11"/>
      <c r="S1750" s="11"/>
      <c r="T1750" s="1"/>
      <c r="U1750" s="1"/>
      <c r="V1750" s="1"/>
      <c r="W1750" s="1"/>
      <c r="X1750" s="1"/>
      <c r="Y1750" s="1"/>
      <c r="Z1750" s="1"/>
    </row>
    <row r="1751" ht="18.0" customHeight="1" outlineLevel="1" collapsed="1">
      <c r="A1751" s="1"/>
      <c r="B1751" s="1"/>
      <c r="C1751" s="1"/>
      <c r="D1751" s="1"/>
      <c r="E1751" s="14"/>
      <c r="F1751" s="15"/>
      <c r="G1751" s="16"/>
      <c r="H1751" s="11"/>
      <c r="I1751" s="7"/>
      <c r="J1751" s="7" t="str">
        <f>IFERROR(LET(_xlpm.v,
VLOOKUP($I1751,'用語辞書'!$A:$B,COLUMN('用語辞書'!B$1),FALSE),
IF(_xlpm.v=0,"",_xlpm.v)
),"")</f>
        <v/>
      </c>
      <c r="K1751" s="17"/>
      <c r="L1751" s="17" t="str">
        <f>IF(OR(COUNTIF('クラス'!$A$1:$A$1262,$B1751)&gt;0,$B1751="",$M1751=""),"",True)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 r="A1752" s="1"/>
      <c r="B1752" s="1"/>
      <c r="C1752" s="1"/>
      <c r="D1752" s="1"/>
      <c r="E1752" s="14"/>
      <c r="F1752" s="15"/>
      <c r="G1752" s="16"/>
      <c r="H1752" s="11"/>
      <c r="I1752" s="7"/>
      <c r="J1752" s="7" t="str">
        <f>IFERROR(LET(_xlpm.v,
VLOOKUP($I1752,'用語辞書'!$A:$B,COLUMN('用語辞書'!B$1),FALSE),
IF(_xlpm.v=0,"",_xlpm.v)
),"")</f>
        <v/>
      </c>
      <c r="K1752" s="17"/>
      <c r="L1752" s="17" t="str">
        <f>IF(OR(COUNTIF('クラス'!$A$1:$A$1262,$B1752)&gt;0,$B1752="",$M1752=""),"",True)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26" t="s">
        <v>1974</v>
      </c>
      <c r="C1753" s="1"/>
      <c r="D1753" s="1"/>
      <c r="E1753" s="14"/>
      <c r="F1753" s="15"/>
      <c r="G1753" s="16"/>
      <c r="H1753" s="11"/>
      <c r="I1753" s="7"/>
      <c r="J1753" s="7" t="str">
        <f>IFERROR(LET(_xlpm.v,
VLOOKUP($I1753,'用語辞書'!$A:$B,COLUMN('用語辞書'!B$1),FALSE),
IF(_xlpm.v=0,"",_xlpm.v)
),"")</f>
        <v/>
      </c>
      <c r="K1753" s="17"/>
      <c r="L1753" s="17" t="str">
        <f>IF(OR(COUNTIF('クラス'!$A$1:$A$1262,$B1753)&gt;0,$B1753="",$M1753=""),"",True)</f>
        <v/>
      </c>
      <c r="M1753" s="1" t="str">
        <f t="shared" si="27"/>
        <v>存在しない</v>
      </c>
      <c r="N1753" s="1" t="s">
        <v>29</v>
      </c>
      <c r="O1753" s="1"/>
      <c r="P1753" s="11"/>
      <c r="Q1753" s="11"/>
      <c r="R1753" s="11"/>
      <c r="S1753" s="11"/>
      <c r="T1753" s="1"/>
      <c r="U1753" s="1"/>
      <c r="V1753" s="1"/>
      <c r="W1753" s="1"/>
      <c r="X1753" s="1"/>
      <c r="Y1753" s="1"/>
      <c r="Z1753" s="1"/>
    </row>
    <row r="1754" ht="18.0" hidden="1" customHeight="1" outlineLevel="2">
      <c r="A1754" s="1">
        <v>1.0</v>
      </c>
      <c r="B1754" s="26" t="s">
        <v>1966</v>
      </c>
      <c r="C1754" s="1"/>
      <c r="D1754" s="1"/>
      <c r="E1754" s="14"/>
      <c r="F1754" s="15"/>
      <c r="G1754" s="16"/>
      <c r="H1754" s="11"/>
      <c r="I1754" s="7"/>
      <c r="J1754" s="7" t="str">
        <f>IFERROR(LET(_xlpm.v,
VLOOKUP($I1754,'用語辞書'!$A:$B,COLUMN('用語辞書'!B$1),FALSE),
IF(_xlpm.v=0,"",_xlpm.v)
),"")</f>
        <v/>
      </c>
      <c r="K1754" s="17"/>
      <c r="L1754" s="17" t="str">
        <f>IF(OR(COUNTIF('クラス'!$A$1:$A$1262,$B1754)&gt;0,$B1754="",$M1754=""),"",True)</f>
        <v/>
      </c>
      <c r="M1754" s="1" t="str">
        <f t="shared" si="27"/>
        <v/>
      </c>
      <c r="N1754" s="1" t="s">
        <v>29</v>
      </c>
      <c r="O1754" s="1"/>
      <c r="P1754" s="11"/>
      <c r="Q1754" s="11"/>
      <c r="R1754" s="11"/>
      <c r="S1754" s="11"/>
      <c r="T1754" s="1"/>
      <c r="U1754" s="1"/>
      <c r="V1754" s="1"/>
      <c r="W1754" s="1"/>
      <c r="X1754" s="1"/>
      <c r="Y1754" s="1"/>
      <c r="Z1754" s="1"/>
    </row>
    <row r="1755" ht="18.0" hidden="1" customHeight="1" outlineLevel="2">
      <c r="A1755" s="1">
        <v>2.0</v>
      </c>
      <c r="B1755" s="26" t="s">
        <v>1968</v>
      </c>
      <c r="C1755" s="1"/>
      <c r="D1755" s="1"/>
      <c r="E1755" s="14"/>
      <c r="F1755" s="15"/>
      <c r="G1755" s="16"/>
      <c r="H1755" s="11"/>
      <c r="I1755" s="7"/>
      <c r="J1755" s="7" t="str">
        <f>IFERROR(LET(_xlpm.v,
VLOOKUP($I1755,'用語辞書'!$A:$B,COLUMN('用語辞書'!B$1),FALSE),
IF(_xlpm.v=0,"",_xlpm.v)
),"")</f>
        <v/>
      </c>
      <c r="K1755" s="17"/>
      <c r="L1755" s="17" t="str">
        <f>IF(OR(COUNTIF('クラス'!$A$1:$A$1262,$B1755)&gt;0,$B1755="",$M1755=""),"",True)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3.0</v>
      </c>
      <c r="B1756" s="26" t="s">
        <v>1970</v>
      </c>
      <c r="C1756" s="1"/>
      <c r="D1756" s="1"/>
      <c r="E1756" s="14"/>
      <c r="F1756" s="15"/>
      <c r="G1756" s="16"/>
      <c r="H1756" s="11"/>
      <c r="I1756" s="7"/>
      <c r="J1756" s="7" t="str">
        <f>IFERROR(LET(_xlpm.v,
VLOOKUP($I1756,'用語辞書'!$A:$B,COLUMN('用語辞書'!B$1),FALSE),
IF(_xlpm.v=0,"",_xlpm.v)
),"")</f>
        <v/>
      </c>
      <c r="K1756" s="17"/>
      <c r="L1756" s="17" t="str">
        <f>IF(OR(COUNTIF('クラス'!$A$1:$A$1262,$B1756)&gt;0,$B1756="",$M1756=""),"",True)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4.0</v>
      </c>
      <c r="B1757" s="1"/>
      <c r="C1757" s="1"/>
      <c r="D1757" s="1"/>
      <c r="E1757" s="14"/>
      <c r="F1757" s="15"/>
      <c r="G1757" s="16"/>
      <c r="H1757" s="11"/>
      <c r="I1757" s="7"/>
      <c r="J1757" s="7" t="str">
        <f>IFERROR(LET(_xlpm.v,
VLOOKUP($I1757,'用語辞書'!$A:$B,COLUMN('用語辞書'!B$1),FALSE),
IF(_xlpm.v=0,"",_xlpm.v)
),"")</f>
        <v/>
      </c>
      <c r="K1757" s="17"/>
      <c r="L1757" s="17" t="str">
        <f>IF(OR(COUNTIF('クラス'!$A$1:$A$1262,$B1757)&gt;0,$B1757="",$M1757=""),"",True)</f>
        <v/>
      </c>
      <c r="M1757" s="1" t="str">
        <f t="shared" si="27"/>
        <v>存在しない</v>
      </c>
      <c r="N1757" s="1" t="s">
        <v>29</v>
      </c>
      <c r="O1757" s="1"/>
      <c r="P1757" s="11"/>
      <c r="Q1757" s="11"/>
      <c r="R1757" s="11"/>
      <c r="S1757" s="11"/>
      <c r="T1757" s="1"/>
      <c r="U1757" s="1"/>
      <c r="V1757" s="1"/>
      <c r="W1757" s="1"/>
      <c r="X1757" s="1"/>
      <c r="Y1757" s="1"/>
      <c r="Z1757" s="1"/>
    </row>
    <row r="1758" ht="18.0" hidden="1" customHeight="1" outlineLevel="2">
      <c r="A1758" s="1">
        <v>5.0</v>
      </c>
      <c r="B1758" s="26" t="s">
        <v>1243</v>
      </c>
      <c r="C1758" s="1"/>
      <c r="D1758" s="1"/>
      <c r="E1758" s="14"/>
      <c r="F1758" s="15"/>
      <c r="G1758" s="16"/>
      <c r="H1758" s="11"/>
      <c r="I1758" s="7"/>
      <c r="J1758" s="7" t="str">
        <f>IFERROR(LET(_xlpm.v,
VLOOKUP($I1758,'用語辞書'!$A:$B,COLUMN('用語辞書'!B$1),FALSE),
IF(_xlpm.v=0,"",_xlpm.v)
),"")</f>
        <v/>
      </c>
      <c r="K1758" s="17"/>
      <c r="L1758" s="17" t="str">
        <f>IF(OR(COUNTIF('クラス'!$A$1:$A$1262,$B1758)&gt;0,$B1758="",$M1758=""),"",True)</f>
        <v/>
      </c>
      <c r="M1758" s="1" t="str">
        <f t="shared" si="27"/>
        <v/>
      </c>
      <c r="N1758" s="1" t="s">
        <v>29</v>
      </c>
      <c r="O1758" s="1"/>
      <c r="P1758" s="11"/>
      <c r="Q1758" s="11"/>
      <c r="R1758" s="11"/>
      <c r="S1758" s="11"/>
      <c r="T1758" s="1"/>
      <c r="U1758" s="1"/>
      <c r="V1758" s="1"/>
      <c r="W1758" s="1"/>
      <c r="X1758" s="1"/>
      <c r="Y1758" s="1"/>
      <c r="Z1758" s="1"/>
    </row>
    <row r="1759" ht="18.0" hidden="1" customHeight="1" outlineLevel="2">
      <c r="A1759" s="1">
        <v>6.0</v>
      </c>
      <c r="B1759" s="1"/>
      <c r="C1759" s="1"/>
      <c r="D1759" s="1"/>
      <c r="E1759" s="14"/>
      <c r="F1759" s="15"/>
      <c r="G1759" s="16"/>
      <c r="H1759" s="11"/>
      <c r="I1759" s="7"/>
      <c r="J1759" s="7" t="str">
        <f>IFERROR(LET(_xlpm.v,
VLOOKUP($I1759,'用語辞書'!$A:$B,COLUMN('用語辞書'!B$1),FALSE),
IF(_xlpm.v=0,"",_xlpm.v)
),"")</f>
        <v/>
      </c>
      <c r="K1759" s="17"/>
      <c r="L1759" s="17" t="str">
        <f>IF(OR(COUNTIF('クラス'!$A$1:$A$1262,$B1759)&gt;0,$B1759="",$M1759=""),"",True)</f>
        <v/>
      </c>
      <c r="M1759" s="1" t="str">
        <f t="shared" si="27"/>
        <v>存在しない</v>
      </c>
      <c r="N1759" s="1" t="s">
        <v>29</v>
      </c>
      <c r="O1759" s="1"/>
      <c r="P1759" s="11"/>
      <c r="Q1759" s="11"/>
      <c r="R1759" s="11"/>
      <c r="S1759" s="11"/>
      <c r="T1759" s="1"/>
      <c r="U1759" s="1"/>
      <c r="V1759" s="1"/>
      <c r="W1759" s="1"/>
      <c r="X1759" s="1"/>
      <c r="Y1759" s="1"/>
      <c r="Z1759" s="1"/>
    </row>
    <row r="1760" ht="18.0" hidden="1" customHeight="1" outlineLevel="2">
      <c r="A1760" s="1">
        <v>7.0</v>
      </c>
      <c r="B1760" s="26" t="s">
        <v>1972</v>
      </c>
      <c r="C1760" s="1"/>
      <c r="D1760" s="1"/>
      <c r="E1760" s="14"/>
      <c r="F1760" s="15"/>
      <c r="G1760" s="16"/>
      <c r="H1760" s="11"/>
      <c r="I1760" s="7"/>
      <c r="J1760" s="7" t="str">
        <f>IFERROR(LET(_xlpm.v,
VLOOKUP($I1760,'用語辞書'!$A:$B,COLUMN('用語辞書'!B$1),FALSE),
IF(_xlpm.v=0,"",_xlpm.v)
),"")</f>
        <v/>
      </c>
      <c r="K1760" s="17"/>
      <c r="L1760" s="17" t="str">
        <f>IF(OR(COUNTIF('クラス'!$A$1:$A$1262,$B1760)&gt;0,$B1760="",$M1760=""),"",True)</f>
        <v/>
      </c>
      <c r="M1760" s="1" t="str">
        <f t="shared" si="27"/>
        <v/>
      </c>
      <c r="N1760" s="1" t="s">
        <v>29</v>
      </c>
      <c r="O1760" s="1"/>
      <c r="P1760" s="11"/>
      <c r="Q1760" s="11"/>
      <c r="R1760" s="11"/>
      <c r="S1760" s="11"/>
      <c r="T1760" s="1"/>
      <c r="U1760" s="1"/>
      <c r="V1760" s="1"/>
      <c r="W1760" s="1"/>
      <c r="X1760" s="1"/>
      <c r="Y1760" s="1"/>
      <c r="Z1760" s="1"/>
    </row>
    <row r="1761" ht="18.0" hidden="1" customHeight="1" outlineLevel="2">
      <c r="A1761" s="1">
        <v>8.0</v>
      </c>
      <c r="B1761" s="1"/>
      <c r="C1761" s="1"/>
      <c r="D1761" s="1"/>
      <c r="E1761" s="14"/>
      <c r="F1761" s="15"/>
      <c r="G1761" s="16"/>
      <c r="H1761" s="11"/>
      <c r="I1761" s="7"/>
      <c r="J1761" s="7" t="str">
        <f>IFERROR(LET(_xlpm.v,
VLOOKUP($I1761,'用語辞書'!$A:$B,COLUMN('用語辞書'!B$1),FALSE),
IF(_xlpm.v=0,"",_xlpm.v)
),"")</f>
        <v/>
      </c>
      <c r="K1761" s="17"/>
      <c r="L1761" s="17" t="str">
        <f>IF(OR(COUNTIF('クラス'!$A$1:$A$1262,$B1761)&gt;0,$B1761="",$M1761=""),"",True)</f>
        <v/>
      </c>
      <c r="M1761" s="1" t="str">
        <f t="shared" si="27"/>
        <v>存在しない</v>
      </c>
      <c r="N1761" s="1" t="s">
        <v>29</v>
      </c>
      <c r="O1761" s="1"/>
      <c r="P1761" s="11"/>
      <c r="Q1761" s="11"/>
      <c r="R1761" s="11"/>
      <c r="S1761" s="11"/>
      <c r="T1761" s="1"/>
      <c r="U1761" s="1"/>
      <c r="V1761" s="1"/>
      <c r="W1761" s="1"/>
      <c r="X1761" s="1"/>
      <c r="Y1761" s="1"/>
      <c r="Z1761" s="1"/>
    </row>
    <row r="1762" ht="18.0" hidden="1" customHeight="1" outlineLevel="2">
      <c r="A1762" s="1">
        <v>9.0</v>
      </c>
      <c r="B1762" s="26" t="s">
        <v>1932</v>
      </c>
      <c r="C1762" s="1"/>
      <c r="D1762" s="1"/>
      <c r="E1762" s="14"/>
      <c r="F1762" s="15"/>
      <c r="G1762" s="16"/>
      <c r="H1762" s="11"/>
      <c r="I1762" s="7"/>
      <c r="J1762" s="7" t="str">
        <f>IFERROR(LET(_xlpm.v,
VLOOKUP($I1762,'用語辞書'!$A:$B,COLUMN('用語辞書'!B$1),FALSE),
IF(_xlpm.v=0,"",_xlpm.v)
),"")</f>
        <v/>
      </c>
      <c r="K1762" s="17"/>
      <c r="L1762" s="17" t="str">
        <f>IF(OR(COUNTIF('クラス'!$A$1:$A$1262,$B1762)&gt;0,$B1762="",$M1762=""),"",True)</f>
        <v/>
      </c>
      <c r="M1762" s="1" t="str">
        <f t="shared" si="27"/>
        <v/>
      </c>
      <c r="N1762" s="1" t="s">
        <v>29</v>
      </c>
      <c r="O1762" s="1"/>
      <c r="P1762" s="11"/>
      <c r="Q1762" s="11"/>
      <c r="R1762" s="11"/>
      <c r="S1762" s="11"/>
      <c r="T1762" s="1"/>
      <c r="U1762" s="1"/>
      <c r="V1762" s="1"/>
      <c r="W1762" s="1"/>
      <c r="X1762" s="1"/>
      <c r="Y1762" s="1"/>
      <c r="Z1762" s="1"/>
    </row>
    <row r="1763" ht="18.0" hidden="1" customHeight="1" outlineLevel="2">
      <c r="A1763" s="1">
        <v>10.0</v>
      </c>
      <c r="B1763" s="1"/>
      <c r="C1763" s="1"/>
      <c r="D1763" s="1"/>
      <c r="E1763" s="14"/>
      <c r="F1763" s="15"/>
      <c r="G1763" s="16"/>
      <c r="H1763" s="11"/>
      <c r="I1763" s="7"/>
      <c r="J1763" s="7" t="str">
        <f>IFERROR(LET(_xlpm.v,
VLOOKUP($I1763,'用語辞書'!$A:$B,COLUMN('用語辞書'!B$1),FALSE),
IF(_xlpm.v=0,"",_xlpm.v)
),"")</f>
        <v/>
      </c>
      <c r="K1763" s="17"/>
      <c r="L1763" s="17" t="str">
        <f>IF(OR(COUNTIF('クラス'!$A$1:$A$1262,$B1763)&gt;0,$B1763="",$M1763=""),"",True)</f>
        <v/>
      </c>
      <c r="M1763" s="1" t="str">
        <f t="shared" si="27"/>
        <v>存在しない</v>
      </c>
      <c r="N1763" s="1" t="s">
        <v>29</v>
      </c>
      <c r="O1763" s="1"/>
      <c r="P1763" s="11"/>
      <c r="Q1763" s="11"/>
      <c r="R1763" s="11"/>
      <c r="S1763" s="11"/>
      <c r="T1763" s="1"/>
      <c r="U1763" s="1"/>
      <c r="V1763" s="1"/>
      <c r="W1763" s="1"/>
      <c r="X1763" s="1"/>
      <c r="Y1763" s="1"/>
      <c r="Z1763" s="1"/>
    </row>
    <row r="1764" ht="18.0" customHeight="1" outlineLevel="1" collapsed="1">
      <c r="A1764" s="1"/>
      <c r="B1764" s="1"/>
      <c r="C1764" s="1"/>
      <c r="D1764" s="1"/>
      <c r="E1764" s="14"/>
      <c r="F1764" s="15"/>
      <c r="G1764" s="16"/>
      <c r="H1764" s="11"/>
      <c r="I1764" s="7"/>
      <c r="J1764" s="7" t="str">
        <f>IFERROR(LET(_xlpm.v,
VLOOKUP($I1764,'用語辞書'!$A:$B,COLUMN('用語辞書'!B$1),FALSE),
IF(_xlpm.v=0,"",_xlpm.v)
),"")</f>
        <v/>
      </c>
      <c r="K1764" s="17"/>
      <c r="L1764" s="17" t="str">
        <f>IF(OR(COUNTIF('クラス'!$A$1:$A$1262,$B1764)&gt;0,$B1764="",$M1764=""),"",True)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 r="A1765" s="1"/>
      <c r="B1765" s="1"/>
      <c r="C1765" s="1"/>
      <c r="D1765" s="1"/>
      <c r="E1765" s="14"/>
      <c r="F1765" s="15"/>
      <c r="G1765" s="16"/>
      <c r="H1765" s="11"/>
      <c r="I1765" s="7"/>
      <c r="J1765" s="7" t="str">
        <f>IFERROR(LET(_xlpm.v,
VLOOKUP($I1765,'用語辞書'!$A:$B,COLUMN('用語辞書'!B$1),FALSE),
IF(_xlpm.v=0,"",_xlpm.v)
),"")</f>
        <v/>
      </c>
      <c r="K1765" s="17"/>
      <c r="L1765" s="17" t="str">
        <f>IF(OR(COUNTIF('クラス'!$A$1:$A$1262,$B1765)&gt;0,$B1765="",$M1765=""),"",True)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26" t="s">
        <v>1975</v>
      </c>
      <c r="C1766" s="1"/>
      <c r="D1766" s="1"/>
      <c r="E1766" s="14"/>
      <c r="F1766" s="15"/>
      <c r="G1766" s="16"/>
      <c r="H1766" s="11"/>
      <c r="I1766" s="7"/>
      <c r="J1766" s="7" t="str">
        <f>IFERROR(LET(_xlpm.v,
VLOOKUP($I1766,'用語辞書'!$A:$B,COLUMN('用語辞書'!B$1),FALSE),
IF(_xlpm.v=0,"",_xlpm.v)
),"")</f>
        <v/>
      </c>
      <c r="K1766" s="17"/>
      <c r="L1766" s="17" t="str">
        <f>IF(OR(COUNTIF('クラス'!$A$1:$A$1262,$B1766)&gt;0,$B1766="",$M1766=""),"",True)</f>
        <v/>
      </c>
      <c r="M1766" s="1" t="str">
        <f t="shared" si="27"/>
        <v>存在しない</v>
      </c>
      <c r="N1766" s="1" t="s">
        <v>29</v>
      </c>
      <c r="O1766" s="1"/>
      <c r="P1766" s="11"/>
      <c r="Q1766" s="11"/>
      <c r="R1766" s="11"/>
      <c r="S1766" s="11"/>
      <c r="T1766" s="1"/>
      <c r="U1766" s="1"/>
      <c r="V1766" s="1"/>
      <c r="W1766" s="1"/>
      <c r="X1766" s="1"/>
      <c r="Y1766" s="1"/>
      <c r="Z1766" s="1"/>
    </row>
    <row r="1767" ht="18.0" hidden="1" customHeight="1" outlineLevel="2">
      <c r="A1767" s="1">
        <v>1.0</v>
      </c>
      <c r="B1767" s="26" t="s">
        <v>1966</v>
      </c>
      <c r="C1767" s="1"/>
      <c r="D1767" s="1"/>
      <c r="E1767" s="14"/>
      <c r="F1767" s="15"/>
      <c r="G1767" s="16"/>
      <c r="H1767" s="11"/>
      <c r="I1767" s="7"/>
      <c r="J1767" s="7" t="str">
        <f>IFERROR(LET(_xlpm.v,
VLOOKUP($I1767,'用語辞書'!$A:$B,COLUMN('用語辞書'!B$1),FALSE),
IF(_xlpm.v=0,"",_xlpm.v)
),"")</f>
        <v/>
      </c>
      <c r="K1767" s="17"/>
      <c r="L1767" s="17" t="str">
        <f>IF(OR(COUNTIF('クラス'!$A$1:$A$1262,$B1767)&gt;0,$B1767="",$M1767=""),"",True)</f>
        <v/>
      </c>
      <c r="M1767" s="1" t="str">
        <f t="shared" si="27"/>
        <v/>
      </c>
      <c r="N1767" s="1" t="s">
        <v>29</v>
      </c>
      <c r="O1767" s="1"/>
      <c r="P1767" s="11"/>
      <c r="Q1767" s="11"/>
      <c r="R1767" s="11"/>
      <c r="S1767" s="11"/>
      <c r="T1767" s="1"/>
      <c r="U1767" s="1"/>
      <c r="V1767" s="1"/>
      <c r="W1767" s="1"/>
      <c r="X1767" s="1"/>
      <c r="Y1767" s="1"/>
      <c r="Z1767" s="1"/>
    </row>
    <row r="1768" ht="18.0" hidden="1" customHeight="1" outlineLevel="2">
      <c r="A1768" s="1">
        <v>2.0</v>
      </c>
      <c r="B1768" s="26" t="s">
        <v>1968</v>
      </c>
      <c r="C1768" s="1"/>
      <c r="D1768" s="1"/>
      <c r="E1768" s="14"/>
      <c r="F1768" s="15"/>
      <c r="G1768" s="16"/>
      <c r="H1768" s="11"/>
      <c r="I1768" s="7"/>
      <c r="J1768" s="7" t="str">
        <f>IFERROR(LET(_xlpm.v,
VLOOKUP($I1768,'用語辞書'!$A:$B,COLUMN('用語辞書'!B$1),FALSE),
IF(_xlpm.v=0,"",_xlpm.v)
),"")</f>
        <v/>
      </c>
      <c r="K1768" s="17"/>
      <c r="L1768" s="17" t="str">
        <f>IF(OR(COUNTIF('クラス'!$A$1:$A$1262,$B1768)&gt;0,$B1768="",$M1768=""),"",True)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3.0</v>
      </c>
      <c r="B1769" s="26" t="s">
        <v>1970</v>
      </c>
      <c r="C1769" s="1"/>
      <c r="D1769" s="1"/>
      <c r="E1769" s="14"/>
      <c r="F1769" s="15"/>
      <c r="G1769" s="16"/>
      <c r="H1769" s="11"/>
      <c r="I1769" s="7"/>
      <c r="J1769" s="7" t="str">
        <f>IFERROR(LET(_xlpm.v,
VLOOKUP($I1769,'用語辞書'!$A:$B,COLUMN('用語辞書'!B$1),FALSE),
IF(_xlpm.v=0,"",_xlpm.v)
),"")</f>
        <v/>
      </c>
      <c r="K1769" s="17"/>
      <c r="L1769" s="17" t="str">
        <f>IF(OR(COUNTIF('クラス'!$A$1:$A$1262,$B1769)&gt;0,$B1769="",$M1769=""),"",True)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4.0</v>
      </c>
      <c r="B1770" s="1"/>
      <c r="C1770" s="1"/>
      <c r="D1770" s="1"/>
      <c r="E1770" s="14"/>
      <c r="F1770" s="15"/>
      <c r="G1770" s="16"/>
      <c r="H1770" s="11"/>
      <c r="I1770" s="7"/>
      <c r="J1770" s="7" t="str">
        <f>IFERROR(LET(_xlpm.v,
VLOOKUP($I1770,'用語辞書'!$A:$B,COLUMN('用語辞書'!B$1),FALSE),
IF(_xlpm.v=0,"",_xlpm.v)
),"")</f>
        <v/>
      </c>
      <c r="K1770" s="17"/>
      <c r="L1770" s="17" t="str">
        <f>IF(OR(COUNTIF('クラス'!$A$1:$A$1262,$B1770)&gt;0,$B1770="",$M1770=""),"",True)</f>
        <v/>
      </c>
      <c r="M1770" s="1" t="str">
        <f t="shared" si="27"/>
        <v>存在しない</v>
      </c>
      <c r="N1770" s="1" t="s">
        <v>29</v>
      </c>
      <c r="O1770" s="1"/>
      <c r="P1770" s="11"/>
      <c r="Q1770" s="11"/>
      <c r="R1770" s="11"/>
      <c r="S1770" s="11"/>
      <c r="T1770" s="1"/>
      <c r="U1770" s="1"/>
      <c r="V1770" s="1"/>
      <c r="W1770" s="1"/>
      <c r="X1770" s="1"/>
      <c r="Y1770" s="1"/>
      <c r="Z1770" s="1"/>
    </row>
    <row r="1771" ht="18.0" hidden="1" customHeight="1" outlineLevel="2">
      <c r="A1771" s="1">
        <v>5.0</v>
      </c>
      <c r="B1771" s="26" t="s">
        <v>1243</v>
      </c>
      <c r="C1771" s="1"/>
      <c r="D1771" s="1"/>
      <c r="E1771" s="14"/>
      <c r="F1771" s="15"/>
      <c r="G1771" s="16"/>
      <c r="H1771" s="11"/>
      <c r="I1771" s="7"/>
      <c r="J1771" s="7" t="str">
        <f>IFERROR(LET(_xlpm.v,
VLOOKUP($I1771,'用語辞書'!$A:$B,COLUMN('用語辞書'!B$1),FALSE),
IF(_xlpm.v=0,"",_xlpm.v)
),"")</f>
        <v/>
      </c>
      <c r="K1771" s="17"/>
      <c r="L1771" s="17" t="str">
        <f>IF(OR(COUNTIF('クラス'!$A$1:$A$1262,$B1771)&gt;0,$B1771="",$M1771=""),"",True)</f>
        <v/>
      </c>
      <c r="M1771" s="1" t="str">
        <f t="shared" si="27"/>
        <v/>
      </c>
      <c r="N1771" s="1" t="s">
        <v>29</v>
      </c>
      <c r="O1771" s="1"/>
      <c r="P1771" s="11"/>
      <c r="Q1771" s="11"/>
      <c r="R1771" s="11"/>
      <c r="S1771" s="11"/>
      <c r="T1771" s="1"/>
      <c r="U1771" s="1"/>
      <c r="V1771" s="1"/>
      <c r="W1771" s="1"/>
      <c r="X1771" s="1"/>
      <c r="Y1771" s="1"/>
      <c r="Z1771" s="1"/>
    </row>
    <row r="1772" ht="18.0" hidden="1" customHeight="1" outlineLevel="2">
      <c r="A1772" s="1">
        <v>6.0</v>
      </c>
      <c r="B1772" s="1"/>
      <c r="C1772" s="1"/>
      <c r="D1772" s="1"/>
      <c r="E1772" s="14"/>
      <c r="F1772" s="15"/>
      <c r="G1772" s="16"/>
      <c r="H1772" s="11"/>
      <c r="I1772" s="7"/>
      <c r="J1772" s="7" t="str">
        <f>IFERROR(LET(_xlpm.v,
VLOOKUP($I1772,'用語辞書'!$A:$B,COLUMN('用語辞書'!B$1),FALSE),
IF(_xlpm.v=0,"",_xlpm.v)
),"")</f>
        <v/>
      </c>
      <c r="K1772" s="17"/>
      <c r="L1772" s="17" t="str">
        <f>IF(OR(COUNTIF('クラス'!$A$1:$A$1262,$B1772)&gt;0,$B1772="",$M1772=""),"",True)</f>
        <v/>
      </c>
      <c r="M1772" s="1" t="str">
        <f t="shared" si="27"/>
        <v>存在しない</v>
      </c>
      <c r="N1772" s="1" t="s">
        <v>29</v>
      </c>
      <c r="O1772" s="1"/>
      <c r="P1772" s="11"/>
      <c r="Q1772" s="11"/>
      <c r="R1772" s="11"/>
      <c r="S1772" s="11"/>
      <c r="T1772" s="1"/>
      <c r="U1772" s="1"/>
      <c r="V1772" s="1"/>
      <c r="W1772" s="1"/>
      <c r="X1772" s="1"/>
      <c r="Y1772" s="1"/>
      <c r="Z1772" s="1"/>
    </row>
    <row r="1773" ht="18.0" hidden="1" customHeight="1" outlineLevel="2">
      <c r="A1773" s="1">
        <v>7.0</v>
      </c>
      <c r="B1773" s="26" t="s">
        <v>1972</v>
      </c>
      <c r="C1773" s="1"/>
      <c r="D1773" s="1"/>
      <c r="E1773" s="14"/>
      <c r="F1773" s="15"/>
      <c r="G1773" s="16"/>
      <c r="H1773" s="11"/>
      <c r="I1773" s="7"/>
      <c r="J1773" s="7" t="str">
        <f>IFERROR(LET(_xlpm.v,
VLOOKUP($I1773,'用語辞書'!$A:$B,COLUMN('用語辞書'!B$1),FALSE),
IF(_xlpm.v=0,"",_xlpm.v)
),"")</f>
        <v/>
      </c>
      <c r="K1773" s="17"/>
      <c r="L1773" s="17" t="str">
        <f>IF(OR(COUNTIF('クラス'!$A$1:$A$1262,$B1773)&gt;0,$B1773="",$M1773=""),"",True)</f>
        <v/>
      </c>
      <c r="M1773" s="1" t="str">
        <f t="shared" si="27"/>
        <v/>
      </c>
      <c r="N1773" s="1" t="s">
        <v>29</v>
      </c>
      <c r="O1773" s="1"/>
      <c r="P1773" s="11"/>
      <c r="Q1773" s="11"/>
      <c r="R1773" s="11"/>
      <c r="S1773" s="11"/>
      <c r="T1773" s="1"/>
      <c r="U1773" s="1"/>
      <c r="V1773" s="1"/>
      <c r="W1773" s="1"/>
      <c r="X1773" s="1"/>
      <c r="Y1773" s="1"/>
      <c r="Z1773" s="1"/>
    </row>
    <row r="1774" ht="18.0" hidden="1" customHeight="1" outlineLevel="2">
      <c r="A1774" s="1">
        <v>8.0</v>
      </c>
      <c r="B1774" s="1"/>
      <c r="C1774" s="1"/>
      <c r="D1774" s="1"/>
      <c r="E1774" s="14"/>
      <c r="F1774" s="15"/>
      <c r="G1774" s="16"/>
      <c r="H1774" s="11"/>
      <c r="I1774" s="7"/>
      <c r="J1774" s="7" t="str">
        <f>IFERROR(LET(_xlpm.v,
VLOOKUP($I1774,'用語辞書'!$A:$B,COLUMN('用語辞書'!B$1),FALSE),
IF(_xlpm.v=0,"",_xlpm.v)
),"")</f>
        <v/>
      </c>
      <c r="K1774" s="17"/>
      <c r="L1774" s="17" t="str">
        <f>IF(OR(COUNTIF('クラス'!$A$1:$A$1262,$B1774)&gt;0,$B1774="",$M1774=""),"",True)</f>
        <v/>
      </c>
      <c r="M1774" s="1" t="str">
        <f t="shared" si="27"/>
        <v>存在しない</v>
      </c>
      <c r="N1774" s="1" t="s">
        <v>29</v>
      </c>
      <c r="O1774" s="1"/>
      <c r="P1774" s="11"/>
      <c r="Q1774" s="11"/>
      <c r="R1774" s="11"/>
      <c r="S1774" s="11"/>
      <c r="T1774" s="1"/>
      <c r="U1774" s="1"/>
      <c r="V1774" s="1"/>
      <c r="W1774" s="1"/>
      <c r="X1774" s="1"/>
      <c r="Y1774" s="1"/>
      <c r="Z1774" s="1"/>
    </row>
    <row r="1775" ht="18.0" hidden="1" customHeight="1" outlineLevel="2">
      <c r="A1775" s="1">
        <v>9.0</v>
      </c>
      <c r="B1775" s="26" t="s">
        <v>1791</v>
      </c>
      <c r="C1775" s="1"/>
      <c r="D1775" s="1"/>
      <c r="E1775" s="14"/>
      <c r="F1775" s="15"/>
      <c r="G1775" s="16"/>
      <c r="H1775" s="11"/>
      <c r="I1775" s="7"/>
      <c r="J1775" s="7" t="str">
        <f>IFERROR(LET(_xlpm.v,
VLOOKUP($I1775,'用語辞書'!$A:$B,COLUMN('用語辞書'!B$1),FALSE),
IF(_xlpm.v=0,"",_xlpm.v)
),"")</f>
        <v/>
      </c>
      <c r="K1775" s="17"/>
      <c r="L1775" s="17" t="str">
        <f>IF(OR(COUNTIF('クラス'!$A$1:$A$1262,$B1775)&gt;0,$B1775="",$M1775=""),"",True)</f>
        <v/>
      </c>
      <c r="M1775" s="1" t="str">
        <f t="shared" si="27"/>
        <v/>
      </c>
      <c r="N1775" s="1" t="s">
        <v>29</v>
      </c>
      <c r="O1775" s="1"/>
      <c r="P1775" s="11"/>
      <c r="Q1775" s="11"/>
      <c r="R1775" s="11"/>
      <c r="S1775" s="11"/>
      <c r="T1775" s="1"/>
      <c r="U1775" s="1"/>
      <c r="V1775" s="1"/>
      <c r="W1775" s="1"/>
      <c r="X1775" s="1"/>
      <c r="Y1775" s="1"/>
      <c r="Z1775" s="1"/>
    </row>
    <row r="1776" ht="18.0" hidden="1" customHeight="1" outlineLevel="2">
      <c r="A1776" s="1">
        <v>10.0</v>
      </c>
      <c r="B1776" s="1"/>
      <c r="C1776" s="1"/>
      <c r="D1776" s="1"/>
      <c r="E1776" s="14"/>
      <c r="F1776" s="15"/>
      <c r="G1776" s="16"/>
      <c r="H1776" s="11"/>
      <c r="I1776" s="7"/>
      <c r="J1776" s="7" t="str">
        <f>IFERROR(LET(_xlpm.v,
VLOOKUP($I1776,'用語辞書'!$A:$B,COLUMN('用語辞書'!B$1),FALSE),
IF(_xlpm.v=0,"",_xlpm.v)
),"")</f>
        <v/>
      </c>
      <c r="K1776" s="17"/>
      <c r="L1776" s="17" t="str">
        <f>IF(OR(COUNTIF('クラス'!$A$1:$A$1262,$B1776)&gt;0,$B1776="",$M1776=""),"",True)</f>
        <v/>
      </c>
      <c r="M1776" s="1" t="str">
        <f t="shared" si="27"/>
        <v>存在しない</v>
      </c>
      <c r="N1776" s="1" t="s">
        <v>29</v>
      </c>
      <c r="O1776" s="1"/>
      <c r="P1776" s="11"/>
      <c r="Q1776" s="11"/>
      <c r="R1776" s="11"/>
      <c r="S1776" s="11"/>
      <c r="T1776" s="1"/>
      <c r="U1776" s="1"/>
      <c r="V1776" s="1"/>
      <c r="W1776" s="1"/>
      <c r="X1776" s="1"/>
      <c r="Y1776" s="1"/>
      <c r="Z1776" s="1"/>
    </row>
    <row r="1777" ht="18.0" customHeight="1" outlineLevel="1" collapsed="1">
      <c r="A1777" s="1"/>
      <c r="B1777" s="1"/>
      <c r="C1777" s="1"/>
      <c r="D1777" s="1"/>
      <c r="E1777" s="14"/>
      <c r="F1777" s="15"/>
      <c r="G1777" s="16"/>
      <c r="H1777" s="11"/>
      <c r="I1777" s="7"/>
      <c r="J1777" s="7" t="str">
        <f>IFERROR(LET(_xlpm.v,
VLOOKUP($I1777,'用語辞書'!$A:$B,COLUMN('用語辞書'!B$1),FALSE),
IF(_xlpm.v=0,"",_xlpm.v)
),"")</f>
        <v/>
      </c>
      <c r="K1777" s="17"/>
      <c r="L1777" s="17" t="str">
        <f>IF(OR(COUNTIF('クラス'!$A$1:$A$1262,$B1777)&gt;0,$B1777="",$M1777=""),"",True)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 r="A1778" s="1"/>
      <c r="B1778" s="1"/>
      <c r="C1778" s="1"/>
      <c r="D1778" s="1"/>
      <c r="E1778" s="14"/>
      <c r="F1778" s="15"/>
      <c r="G1778" s="16"/>
      <c r="H1778" s="11"/>
      <c r="I1778" s="7"/>
      <c r="J1778" s="7" t="str">
        <f>IFERROR(LET(_xlpm.v,
VLOOKUP($I1778,'用語辞書'!$A:$B,COLUMN('用語辞書'!B$1),FALSE),
IF(_xlpm.v=0,"",_xlpm.v)
),"")</f>
        <v/>
      </c>
      <c r="K1778" s="17"/>
      <c r="L1778" s="17" t="str">
        <f>IF(OR(COUNTIF('クラス'!$A$1:$A$1262,$B1778)&gt;0,$B1778="",$M1778=""),"",True)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26" t="s">
        <v>1976</v>
      </c>
      <c r="C1779" s="1"/>
      <c r="D1779" s="1"/>
      <c r="E1779" s="14"/>
      <c r="F1779" s="15"/>
      <c r="G1779" s="16"/>
      <c r="H1779" s="11"/>
      <c r="I1779" s="7"/>
      <c r="J1779" s="7" t="str">
        <f>IFERROR(LET(_xlpm.v,
VLOOKUP($I1779,'用語辞書'!$A:$B,COLUMN('用語辞書'!B$1),FALSE),
IF(_xlpm.v=0,"",_xlpm.v)
),"")</f>
        <v/>
      </c>
      <c r="K1779" s="17"/>
      <c r="L1779" s="17" t="str">
        <f>IF(OR(COUNTIF('クラス'!$A$1:$A$1262,$B1779)&gt;0,$B1779="",$M1779=""),"",True)</f>
        <v/>
      </c>
      <c r="M1779" s="1" t="str">
        <f t="shared" si="27"/>
        <v>存在しない</v>
      </c>
      <c r="N1779" s="1" t="s">
        <v>29</v>
      </c>
      <c r="O1779" s="1"/>
      <c r="P1779" s="11"/>
      <c r="Q1779" s="11"/>
      <c r="R1779" s="11"/>
      <c r="S1779" s="11"/>
      <c r="T1779" s="1"/>
      <c r="U1779" s="1"/>
      <c r="V1779" s="1"/>
      <c r="W1779" s="1"/>
      <c r="X1779" s="1"/>
      <c r="Y1779" s="1"/>
      <c r="Z1779" s="1"/>
    </row>
    <row r="1780" ht="18.0" hidden="1" customHeight="1" outlineLevel="2">
      <c r="A1780" s="1">
        <v>1.0</v>
      </c>
      <c r="B1780" s="26" t="s">
        <v>1966</v>
      </c>
      <c r="C1780" s="1"/>
      <c r="D1780" s="1"/>
      <c r="E1780" s="14"/>
      <c r="F1780" s="15"/>
      <c r="G1780" s="16"/>
      <c r="H1780" s="11"/>
      <c r="I1780" s="7"/>
      <c r="J1780" s="7" t="str">
        <f>IFERROR(LET(_xlpm.v,
VLOOKUP($I1780,'用語辞書'!$A:$B,COLUMN('用語辞書'!B$1),FALSE),
IF(_xlpm.v=0,"",_xlpm.v)
),"")</f>
        <v/>
      </c>
      <c r="K1780" s="17"/>
      <c r="L1780" s="17" t="str">
        <f>IF(OR(COUNTIF('クラス'!$A$1:$A$1262,$B1780)&gt;0,$B1780="",$M1780=""),"",True)</f>
        <v/>
      </c>
      <c r="M1780" s="1" t="str">
        <f t="shared" si="27"/>
        <v/>
      </c>
      <c r="N1780" s="1" t="s">
        <v>29</v>
      </c>
      <c r="O1780" s="1"/>
      <c r="P1780" s="11"/>
      <c r="Q1780" s="11"/>
      <c r="R1780" s="11"/>
      <c r="S1780" s="11"/>
      <c r="T1780" s="1"/>
      <c r="U1780" s="1"/>
      <c r="V1780" s="1"/>
      <c r="W1780" s="1"/>
      <c r="X1780" s="1"/>
      <c r="Y1780" s="1"/>
      <c r="Z1780" s="1"/>
    </row>
    <row r="1781" ht="18.0" hidden="1" customHeight="1" outlineLevel="2">
      <c r="A1781" s="1">
        <v>2.0</v>
      </c>
      <c r="B1781" s="26" t="s">
        <v>1968</v>
      </c>
      <c r="C1781" s="1"/>
      <c r="D1781" s="1"/>
      <c r="E1781" s="14"/>
      <c r="F1781" s="15"/>
      <c r="G1781" s="16"/>
      <c r="H1781" s="11"/>
      <c r="I1781" s="7"/>
      <c r="J1781" s="7" t="str">
        <f>IFERROR(LET(_xlpm.v,
VLOOKUP($I1781,'用語辞書'!$A:$B,COLUMN('用語辞書'!B$1),FALSE),
IF(_xlpm.v=0,"",_xlpm.v)
),"")</f>
        <v/>
      </c>
      <c r="K1781" s="17"/>
      <c r="L1781" s="17" t="str">
        <f>IF(OR(COUNTIF('クラス'!$A$1:$A$1262,$B1781)&gt;0,$B1781="",$M1781=""),"",True)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3.0</v>
      </c>
      <c r="B1782" s="26" t="s">
        <v>1970</v>
      </c>
      <c r="C1782" s="1"/>
      <c r="D1782" s="1"/>
      <c r="E1782" s="14"/>
      <c r="F1782" s="15"/>
      <c r="G1782" s="16"/>
      <c r="H1782" s="11"/>
      <c r="I1782" s="7"/>
      <c r="J1782" s="7" t="str">
        <f>IFERROR(LET(_xlpm.v,
VLOOKUP($I1782,'用語辞書'!$A:$B,COLUMN('用語辞書'!B$1),FALSE),
IF(_xlpm.v=0,"",_xlpm.v)
),"")</f>
        <v/>
      </c>
      <c r="K1782" s="17"/>
      <c r="L1782" s="17" t="str">
        <f>IF(OR(COUNTIF('クラス'!$A$1:$A$1262,$B1782)&gt;0,$B1782="",$M1782=""),"",True)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4.0</v>
      </c>
      <c r="B1783" s="1"/>
      <c r="C1783" s="1"/>
      <c r="D1783" s="1"/>
      <c r="E1783" s="14"/>
      <c r="F1783" s="15"/>
      <c r="G1783" s="16"/>
      <c r="H1783" s="11"/>
      <c r="I1783" s="7"/>
      <c r="J1783" s="7" t="str">
        <f>IFERROR(LET(_xlpm.v,
VLOOKUP($I1783,'用語辞書'!$A:$B,COLUMN('用語辞書'!B$1),FALSE),
IF(_xlpm.v=0,"",_xlpm.v)
),"")</f>
        <v/>
      </c>
      <c r="K1783" s="17"/>
      <c r="L1783" s="17" t="str">
        <f>IF(OR(COUNTIF('クラス'!$A$1:$A$1262,$B1783)&gt;0,$B1783="",$M1783=""),"",True)</f>
        <v/>
      </c>
      <c r="M1783" s="1" t="str">
        <f t="shared" si="27"/>
        <v>存在しない</v>
      </c>
      <c r="N1783" s="1" t="s">
        <v>29</v>
      </c>
      <c r="O1783" s="1"/>
      <c r="P1783" s="11"/>
      <c r="Q1783" s="11"/>
      <c r="R1783" s="11"/>
      <c r="S1783" s="11"/>
      <c r="T1783" s="1"/>
      <c r="U1783" s="1"/>
      <c r="V1783" s="1"/>
      <c r="W1783" s="1"/>
      <c r="X1783" s="1"/>
      <c r="Y1783" s="1"/>
      <c r="Z1783" s="1"/>
    </row>
    <row r="1784" ht="18.0" hidden="1" customHeight="1" outlineLevel="2">
      <c r="A1784" s="1">
        <v>5.0</v>
      </c>
      <c r="B1784" s="26" t="s">
        <v>1243</v>
      </c>
      <c r="C1784" s="1"/>
      <c r="D1784" s="1"/>
      <c r="E1784" s="14"/>
      <c r="F1784" s="15"/>
      <c r="G1784" s="16"/>
      <c r="H1784" s="11"/>
      <c r="I1784" s="7"/>
      <c r="J1784" s="7" t="str">
        <f>IFERROR(LET(_xlpm.v,
VLOOKUP($I1784,'用語辞書'!$A:$B,COLUMN('用語辞書'!B$1),FALSE),
IF(_xlpm.v=0,"",_xlpm.v)
),"")</f>
        <v/>
      </c>
      <c r="K1784" s="17"/>
      <c r="L1784" s="17" t="str">
        <f>IF(OR(COUNTIF('クラス'!$A$1:$A$1262,$B1784)&gt;0,$B1784="",$M1784=""),"",True)</f>
        <v/>
      </c>
      <c r="M1784" s="1" t="str">
        <f t="shared" si="27"/>
        <v/>
      </c>
      <c r="N1784" s="1" t="s">
        <v>29</v>
      </c>
      <c r="O1784" s="1"/>
      <c r="P1784" s="11"/>
      <c r="Q1784" s="11"/>
      <c r="R1784" s="11"/>
      <c r="S1784" s="11"/>
      <c r="T1784" s="1"/>
      <c r="U1784" s="1"/>
      <c r="V1784" s="1"/>
      <c r="W1784" s="1"/>
      <c r="X1784" s="1"/>
      <c r="Y1784" s="1"/>
      <c r="Z1784" s="1"/>
    </row>
    <row r="1785" ht="18.0" hidden="1" customHeight="1" outlineLevel="2">
      <c r="A1785" s="1">
        <v>6.0</v>
      </c>
      <c r="B1785" s="1"/>
      <c r="C1785" s="1"/>
      <c r="D1785" s="1"/>
      <c r="E1785" s="14"/>
      <c r="F1785" s="15"/>
      <c r="G1785" s="16"/>
      <c r="H1785" s="11"/>
      <c r="I1785" s="7"/>
      <c r="J1785" s="7" t="str">
        <f>IFERROR(LET(_xlpm.v,
VLOOKUP($I1785,'用語辞書'!$A:$B,COLUMN('用語辞書'!B$1),FALSE),
IF(_xlpm.v=0,"",_xlpm.v)
),"")</f>
        <v/>
      </c>
      <c r="K1785" s="17"/>
      <c r="L1785" s="17" t="str">
        <f>IF(OR(COUNTIF('クラス'!$A$1:$A$1262,$B1785)&gt;0,$B1785="",$M1785=""),"",True)</f>
        <v/>
      </c>
      <c r="M1785" s="1" t="str">
        <f t="shared" si="27"/>
        <v>存在しない</v>
      </c>
      <c r="N1785" s="1" t="s">
        <v>29</v>
      </c>
      <c r="O1785" s="1"/>
      <c r="P1785" s="11"/>
      <c r="Q1785" s="11"/>
      <c r="R1785" s="11"/>
      <c r="S1785" s="11"/>
      <c r="T1785" s="1"/>
      <c r="U1785" s="1"/>
      <c r="V1785" s="1"/>
      <c r="W1785" s="1"/>
      <c r="X1785" s="1"/>
      <c r="Y1785" s="1"/>
      <c r="Z1785" s="1"/>
    </row>
    <row r="1786" ht="18.0" hidden="1" customHeight="1" outlineLevel="2">
      <c r="A1786" s="1">
        <v>7.0</v>
      </c>
      <c r="B1786" s="26" t="s">
        <v>1972</v>
      </c>
      <c r="C1786" s="1"/>
      <c r="D1786" s="1"/>
      <c r="E1786" s="14"/>
      <c r="F1786" s="15"/>
      <c r="G1786" s="16"/>
      <c r="H1786" s="11"/>
      <c r="I1786" s="7"/>
      <c r="J1786" s="7" t="str">
        <f>IFERROR(LET(_xlpm.v,
VLOOKUP($I1786,'用語辞書'!$A:$B,COLUMN('用語辞書'!B$1),FALSE),
IF(_xlpm.v=0,"",_xlpm.v)
),"")</f>
        <v/>
      </c>
      <c r="K1786" s="17"/>
      <c r="L1786" s="17" t="str">
        <f>IF(OR(COUNTIF('クラス'!$A$1:$A$1262,$B1786)&gt;0,$B1786="",$M1786=""),"",True)</f>
        <v/>
      </c>
      <c r="M1786" s="1" t="str">
        <f t="shared" si="27"/>
        <v/>
      </c>
      <c r="N1786" s="1" t="s">
        <v>29</v>
      </c>
      <c r="O1786" s="1"/>
      <c r="P1786" s="11"/>
      <c r="Q1786" s="11"/>
      <c r="R1786" s="11"/>
      <c r="S1786" s="11"/>
      <c r="T1786" s="1"/>
      <c r="U1786" s="1"/>
      <c r="V1786" s="1"/>
      <c r="W1786" s="1"/>
      <c r="X1786" s="1"/>
      <c r="Y1786" s="1"/>
      <c r="Z1786" s="1"/>
    </row>
    <row r="1787" ht="18.0" hidden="1" customHeight="1" outlineLevel="2">
      <c r="A1787" s="1">
        <v>8.0</v>
      </c>
      <c r="B1787" s="1"/>
      <c r="C1787" s="1"/>
      <c r="D1787" s="1"/>
      <c r="E1787" s="14"/>
      <c r="F1787" s="15"/>
      <c r="G1787" s="16"/>
      <c r="H1787" s="11"/>
      <c r="I1787" s="7"/>
      <c r="J1787" s="7" t="str">
        <f>IFERROR(LET(_xlpm.v,
VLOOKUP($I1787,'用語辞書'!$A:$B,COLUMN('用語辞書'!B$1),FALSE),
IF(_xlpm.v=0,"",_xlpm.v)
),"")</f>
        <v/>
      </c>
      <c r="K1787" s="17"/>
      <c r="L1787" s="17" t="str">
        <f>IF(OR(COUNTIF('クラス'!$A$1:$A$1262,$B1787)&gt;0,$B1787="",$M1787=""),"",True)</f>
        <v/>
      </c>
      <c r="M1787" s="1" t="str">
        <f t="shared" si="27"/>
        <v>存在しない</v>
      </c>
      <c r="N1787" s="1" t="s">
        <v>29</v>
      </c>
      <c r="O1787" s="1"/>
      <c r="P1787" s="11"/>
      <c r="Q1787" s="11"/>
      <c r="R1787" s="11"/>
      <c r="S1787" s="11"/>
      <c r="T1787" s="1"/>
      <c r="U1787" s="1"/>
      <c r="V1787" s="1"/>
      <c r="W1787" s="1"/>
      <c r="X1787" s="1"/>
      <c r="Y1787" s="1"/>
      <c r="Z1787" s="1"/>
    </row>
    <row r="1788" ht="18.0" hidden="1" customHeight="1" outlineLevel="2">
      <c r="A1788" s="1">
        <v>9.0</v>
      </c>
      <c r="B1788" s="26" t="s">
        <v>1917</v>
      </c>
      <c r="C1788" s="1"/>
      <c r="D1788" s="1"/>
      <c r="E1788" s="14"/>
      <c r="F1788" s="15"/>
      <c r="G1788" s="16"/>
      <c r="H1788" s="11"/>
      <c r="I1788" s="7"/>
      <c r="J1788" s="7" t="str">
        <f>IFERROR(LET(_xlpm.v,
VLOOKUP($I1788,'用語辞書'!$A:$B,COLUMN('用語辞書'!B$1),FALSE),
IF(_xlpm.v=0,"",_xlpm.v)
),"")</f>
        <v/>
      </c>
      <c r="K1788" s="17"/>
      <c r="L1788" s="17" t="str">
        <f>IF(OR(COUNTIF('クラス'!$A$1:$A$1262,$B1788)&gt;0,$B1788="",$M1788=""),"",True)</f>
        <v/>
      </c>
      <c r="M1788" s="1" t="str">
        <f t="shared" si="27"/>
        <v/>
      </c>
      <c r="N1788" s="1" t="s">
        <v>29</v>
      </c>
      <c r="O1788" s="1"/>
      <c r="P1788" s="11"/>
      <c r="Q1788" s="11"/>
      <c r="R1788" s="11"/>
      <c r="S1788" s="11"/>
      <c r="T1788" s="1"/>
      <c r="U1788" s="1"/>
      <c r="V1788" s="1"/>
      <c r="W1788" s="1"/>
      <c r="X1788" s="1"/>
      <c r="Y1788" s="1"/>
      <c r="Z1788" s="1"/>
    </row>
    <row r="1789" ht="18.0" hidden="1" customHeight="1" outlineLevel="2">
      <c r="A1789" s="1">
        <v>10.0</v>
      </c>
      <c r="B1789" s="1"/>
      <c r="C1789" s="1"/>
      <c r="D1789" s="1"/>
      <c r="E1789" s="14"/>
      <c r="F1789" s="15"/>
      <c r="G1789" s="16"/>
      <c r="H1789" s="11"/>
      <c r="I1789" s="7"/>
      <c r="J1789" s="7" t="str">
        <f>IFERROR(LET(_xlpm.v,
VLOOKUP($I1789,'用語辞書'!$A:$B,COLUMN('用語辞書'!B$1),FALSE),
IF(_xlpm.v=0,"",_xlpm.v)
),"")</f>
        <v/>
      </c>
      <c r="K1789" s="17"/>
      <c r="L1789" s="17" t="str">
        <f>IF(OR(COUNTIF('クラス'!$A$1:$A$1262,$B1789)&gt;0,$B1789="",$M1789=""),"",True)</f>
        <v/>
      </c>
      <c r="M1789" s="1" t="str">
        <f t="shared" si="27"/>
        <v>存在しない</v>
      </c>
      <c r="N1789" s="1" t="s">
        <v>29</v>
      </c>
      <c r="O1789" s="1"/>
      <c r="P1789" s="11"/>
      <c r="Q1789" s="11"/>
      <c r="R1789" s="11"/>
      <c r="S1789" s="11"/>
      <c r="T1789" s="1"/>
      <c r="U1789" s="1"/>
      <c r="V1789" s="1"/>
      <c r="W1789" s="1"/>
      <c r="X1789" s="1"/>
      <c r="Y1789" s="1"/>
      <c r="Z1789" s="1"/>
    </row>
    <row r="1790" ht="18.0" customHeight="1" outlineLevel="1" collapsed="1">
      <c r="A1790" s="1"/>
      <c r="B1790" s="1"/>
      <c r="C1790" s="1"/>
      <c r="D1790" s="1"/>
      <c r="E1790" s="14"/>
      <c r="F1790" s="15"/>
      <c r="G1790" s="16"/>
      <c r="H1790" s="11"/>
      <c r="I1790" s="7"/>
      <c r="J1790" s="7" t="str">
        <f>IFERROR(LET(_xlpm.v,
VLOOKUP($I1790,'用語辞書'!$A:$B,COLUMN('用語辞書'!B$1),FALSE),
IF(_xlpm.v=0,"",_xlpm.v)
),"")</f>
        <v/>
      </c>
      <c r="K1790" s="17"/>
      <c r="L1790" s="17" t="str">
        <f>IF(OR(COUNTIF('クラス'!$A$1:$A$1262,$B1790)&gt;0,$B1790="",$M1790=""),"",True)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 r="A1791" s="1"/>
      <c r="B1791" s="1"/>
      <c r="C1791" s="1"/>
      <c r="D1791" s="1"/>
      <c r="E1791" s="14"/>
      <c r="F1791" s="15"/>
      <c r="G1791" s="16"/>
      <c r="H1791" s="11"/>
      <c r="I1791" s="7"/>
      <c r="J1791" s="7" t="str">
        <f>IFERROR(LET(_xlpm.v,
VLOOKUP($I1791,'用語辞書'!$A:$B,COLUMN('用語辞書'!B$1),FALSE),
IF(_xlpm.v=0,"",_xlpm.v)
),"")</f>
        <v/>
      </c>
      <c r="K1791" s="17"/>
      <c r="L1791" s="17" t="str">
        <f>IF(OR(COUNTIF('クラス'!$A$1:$A$1262,$B1791)&gt;0,$B1791="",$M1791=""),"",True)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26" t="s">
        <v>1977</v>
      </c>
      <c r="C1792" s="1"/>
      <c r="D1792" s="1"/>
      <c r="E1792" s="14"/>
      <c r="F1792" s="15"/>
      <c r="G1792" s="16"/>
      <c r="H1792" s="11"/>
      <c r="I1792" s="7"/>
      <c r="J1792" s="7" t="str">
        <f>IFERROR(LET(_xlpm.v,
VLOOKUP($I1792,'用語辞書'!$A:$B,COLUMN('用語辞書'!B$1),FALSE),
IF(_xlpm.v=0,"",_xlpm.v)
),"")</f>
        <v/>
      </c>
      <c r="K1792" s="17"/>
      <c r="L1792" s="17" t="str">
        <f>IF(OR(COUNTIF('クラス'!$A$1:$A$1262,$B1792)&gt;0,$B1792="",$M1792=""),"",True)</f>
        <v/>
      </c>
      <c r="M1792" s="1" t="str">
        <f t="shared" si="27"/>
        <v>存在しない</v>
      </c>
      <c r="N1792" s="1" t="s">
        <v>29</v>
      </c>
      <c r="O1792" s="1"/>
      <c r="P1792" s="11"/>
      <c r="Q1792" s="11"/>
      <c r="R1792" s="11"/>
      <c r="S1792" s="11"/>
      <c r="T1792" s="1"/>
      <c r="U1792" s="1"/>
      <c r="V1792" s="1"/>
      <c r="W1792" s="1"/>
      <c r="X1792" s="1"/>
      <c r="Y1792" s="1"/>
      <c r="Z1792" s="1"/>
    </row>
    <row r="1793" ht="18.0" hidden="1" customHeight="1" outlineLevel="2">
      <c r="A1793" s="1">
        <v>1.0</v>
      </c>
      <c r="B1793" s="26" t="s">
        <v>1966</v>
      </c>
      <c r="C1793" s="1"/>
      <c r="D1793" s="1"/>
      <c r="E1793" s="14"/>
      <c r="F1793" s="15"/>
      <c r="G1793" s="16"/>
      <c r="H1793" s="11"/>
      <c r="I1793" s="7"/>
      <c r="J1793" s="7" t="str">
        <f>IFERROR(LET(_xlpm.v,
VLOOKUP($I1793,'用語辞書'!$A:$B,COLUMN('用語辞書'!B$1),FALSE),
IF(_xlpm.v=0,"",_xlpm.v)
),"")</f>
        <v/>
      </c>
      <c r="K1793" s="17"/>
      <c r="L1793" s="17" t="str">
        <f>IF(OR(COUNTIF('クラス'!$A$1:$A$1262,$B1793)&gt;0,$B1793="",$M1793=""),"",True)</f>
        <v/>
      </c>
      <c r="M1793" s="1" t="str">
        <f t="shared" si="27"/>
        <v/>
      </c>
      <c r="N1793" s="1" t="s">
        <v>29</v>
      </c>
      <c r="O1793" s="1"/>
      <c r="P1793" s="11"/>
      <c r="Q1793" s="11"/>
      <c r="R1793" s="11"/>
      <c r="S1793" s="11"/>
      <c r="T1793" s="1"/>
      <c r="U1793" s="1"/>
      <c r="V1793" s="1"/>
      <c r="W1793" s="1"/>
      <c r="X1793" s="1"/>
      <c r="Y1793" s="1"/>
      <c r="Z1793" s="1"/>
    </row>
    <row r="1794" ht="18.0" hidden="1" customHeight="1" outlineLevel="2">
      <c r="A1794" s="1">
        <v>2.0</v>
      </c>
      <c r="B1794" s="26" t="s">
        <v>1968</v>
      </c>
      <c r="C1794" s="1"/>
      <c r="D1794" s="1"/>
      <c r="E1794" s="14"/>
      <c r="F1794" s="15"/>
      <c r="G1794" s="16"/>
      <c r="H1794" s="11"/>
      <c r="I1794" s="7"/>
      <c r="J1794" s="7" t="str">
        <f>IFERROR(LET(_xlpm.v,
VLOOKUP($I1794,'用語辞書'!$A:$B,COLUMN('用語辞書'!B$1),FALSE),
IF(_xlpm.v=0,"",_xlpm.v)
),"")</f>
        <v/>
      </c>
      <c r="K1794" s="17"/>
      <c r="L1794" s="17" t="str">
        <f>IF(OR(COUNTIF('クラス'!$A$1:$A$1262,$B1794)&gt;0,$B1794="",$M1794=""),"",True)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3.0</v>
      </c>
      <c r="B1795" s="26" t="s">
        <v>1970</v>
      </c>
      <c r="C1795" s="1"/>
      <c r="D1795" s="1"/>
      <c r="E1795" s="14"/>
      <c r="F1795" s="15"/>
      <c r="G1795" s="16"/>
      <c r="H1795" s="11"/>
      <c r="I1795" s="7"/>
      <c r="J1795" s="7" t="str">
        <f>IFERROR(LET(_xlpm.v,
VLOOKUP($I1795,'用語辞書'!$A:$B,COLUMN('用語辞書'!B$1),FALSE),
IF(_xlpm.v=0,"",_xlpm.v)
),"")</f>
        <v/>
      </c>
      <c r="K1795" s="17"/>
      <c r="L1795" s="17" t="str">
        <f>IF(OR(COUNTIF('クラス'!$A$1:$A$1262,$B1795)&gt;0,$B1795="",$M1795=""),"",True)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4.0</v>
      </c>
      <c r="B1796" s="1"/>
      <c r="C1796" s="1"/>
      <c r="D1796" s="1"/>
      <c r="E1796" s="14"/>
      <c r="F1796" s="15"/>
      <c r="G1796" s="16"/>
      <c r="H1796" s="11"/>
      <c r="I1796" s="7"/>
      <c r="J1796" s="7" t="str">
        <f>IFERROR(LET(_xlpm.v,
VLOOKUP($I1796,'用語辞書'!$A:$B,COLUMN('用語辞書'!B$1),FALSE),
IF(_xlpm.v=0,"",_xlpm.v)
),"")</f>
        <v/>
      </c>
      <c r="K1796" s="17"/>
      <c r="L1796" s="17" t="str">
        <f>IF(OR(COUNTIF('クラス'!$A$1:$A$1262,$B1796)&gt;0,$B1796="",$M1796=""),"",True)</f>
        <v/>
      </c>
      <c r="M1796" s="1" t="str">
        <f t="shared" si="27"/>
        <v>存在しない</v>
      </c>
      <c r="N1796" s="1" t="s">
        <v>29</v>
      </c>
      <c r="O1796" s="1"/>
      <c r="P1796" s="11"/>
      <c r="Q1796" s="11"/>
      <c r="R1796" s="11"/>
      <c r="S1796" s="11"/>
      <c r="T1796" s="1"/>
      <c r="U1796" s="1"/>
      <c r="V1796" s="1"/>
      <c r="W1796" s="1"/>
      <c r="X1796" s="1"/>
      <c r="Y1796" s="1"/>
      <c r="Z1796" s="1"/>
    </row>
    <row r="1797" ht="18.0" hidden="1" customHeight="1" outlineLevel="2">
      <c r="A1797" s="1">
        <v>5.0</v>
      </c>
      <c r="B1797" s="26" t="s">
        <v>1243</v>
      </c>
      <c r="C1797" s="1"/>
      <c r="D1797" s="1"/>
      <c r="E1797" s="14"/>
      <c r="F1797" s="15"/>
      <c r="G1797" s="16"/>
      <c r="H1797" s="11"/>
      <c r="I1797" s="7"/>
      <c r="J1797" s="7" t="str">
        <f>IFERROR(LET(_xlpm.v,
VLOOKUP($I1797,'用語辞書'!$A:$B,COLUMN('用語辞書'!B$1),FALSE),
IF(_xlpm.v=0,"",_xlpm.v)
),"")</f>
        <v/>
      </c>
      <c r="K1797" s="17"/>
      <c r="L1797" s="17" t="str">
        <f>IF(OR(COUNTIF('クラス'!$A$1:$A$1262,$B1797)&gt;0,$B1797="",$M1797=""),"",True)</f>
        <v/>
      </c>
      <c r="M1797" s="1" t="str">
        <f t="shared" si="27"/>
        <v/>
      </c>
      <c r="N1797" s="1" t="s">
        <v>29</v>
      </c>
      <c r="O1797" s="1"/>
      <c r="P1797" s="11"/>
      <c r="Q1797" s="11"/>
      <c r="R1797" s="11"/>
      <c r="S1797" s="11"/>
      <c r="T1797" s="1"/>
      <c r="U1797" s="1"/>
      <c r="V1797" s="1"/>
      <c r="W1797" s="1"/>
      <c r="X1797" s="1"/>
      <c r="Y1797" s="1"/>
      <c r="Z1797" s="1"/>
    </row>
    <row r="1798" ht="18.0" hidden="1" customHeight="1" outlineLevel="2">
      <c r="A1798" s="1">
        <v>6.0</v>
      </c>
      <c r="B1798" s="1"/>
      <c r="C1798" s="1"/>
      <c r="D1798" s="1"/>
      <c r="E1798" s="14"/>
      <c r="F1798" s="15"/>
      <c r="G1798" s="16"/>
      <c r="H1798" s="11"/>
      <c r="I1798" s="7"/>
      <c r="J1798" s="7" t="str">
        <f>IFERROR(LET(_xlpm.v,
VLOOKUP($I1798,'用語辞書'!$A:$B,COLUMN('用語辞書'!B$1),FALSE),
IF(_xlpm.v=0,"",_xlpm.v)
),"")</f>
        <v/>
      </c>
      <c r="K1798" s="17"/>
      <c r="L1798" s="17" t="str">
        <f>IF(OR(COUNTIF('クラス'!$A$1:$A$1262,$B1798)&gt;0,$B1798="",$M1798=""),"",True)</f>
        <v/>
      </c>
      <c r="M1798" s="1" t="str">
        <f t="shared" si="27"/>
        <v>存在しない</v>
      </c>
      <c r="N1798" s="1" t="s">
        <v>29</v>
      </c>
      <c r="O1798" s="1"/>
      <c r="P1798" s="11"/>
      <c r="Q1798" s="11"/>
      <c r="R1798" s="11"/>
      <c r="S1798" s="11"/>
      <c r="T1798" s="1"/>
      <c r="U1798" s="1"/>
      <c r="V1798" s="1"/>
      <c r="W1798" s="1"/>
      <c r="X1798" s="1"/>
      <c r="Y1798" s="1"/>
      <c r="Z1798" s="1"/>
    </row>
    <row r="1799" ht="18.0" hidden="1" customHeight="1" outlineLevel="2">
      <c r="A1799" s="1">
        <v>7.0</v>
      </c>
      <c r="B1799" s="26" t="s">
        <v>1972</v>
      </c>
      <c r="C1799" s="1"/>
      <c r="D1799" s="1"/>
      <c r="E1799" s="14"/>
      <c r="F1799" s="15"/>
      <c r="G1799" s="16"/>
      <c r="H1799" s="11"/>
      <c r="I1799" s="7"/>
      <c r="J1799" s="7" t="str">
        <f>IFERROR(LET(_xlpm.v,
VLOOKUP($I1799,'用語辞書'!$A:$B,COLUMN('用語辞書'!B$1),FALSE),
IF(_xlpm.v=0,"",_xlpm.v)
),"")</f>
        <v/>
      </c>
      <c r="K1799" s="17"/>
      <c r="L1799" s="17" t="str">
        <f>IF(OR(COUNTIF('クラス'!$A$1:$A$1262,$B1799)&gt;0,$B1799="",$M1799=""),"",True)</f>
        <v/>
      </c>
      <c r="M1799" s="1" t="str">
        <f t="shared" si="27"/>
        <v/>
      </c>
      <c r="N1799" s="1" t="s">
        <v>29</v>
      </c>
      <c r="O1799" s="1"/>
      <c r="P1799" s="11"/>
      <c r="Q1799" s="11"/>
      <c r="R1799" s="11"/>
      <c r="S1799" s="11"/>
      <c r="T1799" s="1"/>
      <c r="U1799" s="1"/>
      <c r="V1799" s="1"/>
      <c r="W1799" s="1"/>
      <c r="X1799" s="1"/>
      <c r="Y1799" s="1"/>
      <c r="Z1799" s="1"/>
    </row>
    <row r="1800" ht="18.0" hidden="1" customHeight="1" outlineLevel="2">
      <c r="A1800" s="1">
        <v>8.0</v>
      </c>
      <c r="B1800" s="1"/>
      <c r="C1800" s="1"/>
      <c r="D1800" s="1"/>
      <c r="E1800" s="14"/>
      <c r="F1800" s="15"/>
      <c r="G1800" s="16"/>
      <c r="H1800" s="11"/>
      <c r="I1800" s="7"/>
      <c r="J1800" s="7" t="str">
        <f>IFERROR(LET(_xlpm.v,
VLOOKUP($I1800,'用語辞書'!$A:$B,COLUMN('用語辞書'!B$1),FALSE),
IF(_xlpm.v=0,"",_xlpm.v)
),"")</f>
        <v/>
      </c>
      <c r="K1800" s="17"/>
      <c r="L1800" s="17" t="str">
        <f>IF(OR(COUNTIF('クラス'!$A$1:$A$1262,$B1800)&gt;0,$B1800="",$M1800=""),"",True)</f>
        <v/>
      </c>
      <c r="M1800" s="1" t="str">
        <f t="shared" si="27"/>
        <v>存在しない</v>
      </c>
      <c r="N1800" s="1" t="s">
        <v>29</v>
      </c>
      <c r="O1800" s="1"/>
      <c r="P1800" s="11"/>
      <c r="Q1800" s="11"/>
      <c r="R1800" s="11"/>
      <c r="S1800" s="11"/>
      <c r="T1800" s="1"/>
      <c r="U1800" s="1"/>
      <c r="V1800" s="1"/>
      <c r="W1800" s="1"/>
      <c r="X1800" s="1"/>
      <c r="Y1800" s="1"/>
      <c r="Z1800" s="1"/>
    </row>
    <row r="1801" ht="18.0" hidden="1" customHeight="1" outlineLevel="2">
      <c r="A1801" s="1">
        <v>9.0</v>
      </c>
      <c r="B1801" s="26" t="s">
        <v>1318</v>
      </c>
      <c r="C1801" s="1"/>
      <c r="D1801" s="1"/>
      <c r="E1801" s="14"/>
      <c r="F1801" s="15"/>
      <c r="G1801" s="16"/>
      <c r="H1801" s="11"/>
      <c r="I1801" s="7"/>
      <c r="J1801" s="7" t="str">
        <f>IFERROR(LET(_xlpm.v,
VLOOKUP($I1801,'用語辞書'!$A:$B,COLUMN('用語辞書'!B$1),FALSE),
IF(_xlpm.v=0,"",_xlpm.v)
),"")</f>
        <v/>
      </c>
      <c r="K1801" s="17"/>
      <c r="L1801" s="17" t="str">
        <f>IF(OR(COUNTIF('クラス'!$A$1:$A$1262,$B1801)&gt;0,$B1801="",$M1801=""),"",True)</f>
        <v/>
      </c>
      <c r="M1801" s="1" t="str">
        <f t="shared" si="27"/>
        <v/>
      </c>
      <c r="N1801" s="1" t="s">
        <v>29</v>
      </c>
      <c r="O1801" s="1"/>
      <c r="P1801" s="11"/>
      <c r="Q1801" s="11"/>
      <c r="R1801" s="11"/>
      <c r="S1801" s="11"/>
      <c r="T1801" s="1"/>
      <c r="U1801" s="1"/>
      <c r="V1801" s="1"/>
      <c r="W1801" s="1"/>
      <c r="X1801" s="1"/>
      <c r="Y1801" s="1"/>
      <c r="Z1801" s="1"/>
    </row>
    <row r="1802" ht="18.0" hidden="1" customHeight="1" outlineLevel="2">
      <c r="A1802" s="1">
        <v>10.0</v>
      </c>
      <c r="B1802" s="1"/>
      <c r="C1802" s="1"/>
      <c r="D1802" s="1"/>
      <c r="E1802" s="14"/>
      <c r="F1802" s="15"/>
      <c r="G1802" s="16"/>
      <c r="H1802" s="11"/>
      <c r="I1802" s="7"/>
      <c r="J1802" s="7" t="str">
        <f>IFERROR(LET(_xlpm.v,
VLOOKUP($I1802,'用語辞書'!$A:$B,COLUMN('用語辞書'!B$1),FALSE),
IF(_xlpm.v=0,"",_xlpm.v)
),"")</f>
        <v/>
      </c>
      <c r="K1802" s="17"/>
      <c r="L1802" s="17" t="str">
        <f>IF(OR(COUNTIF('クラス'!$A$1:$A$1262,$B1802)&gt;0,$B1802="",$M1802=""),"",True)</f>
        <v/>
      </c>
      <c r="M1802" s="1" t="str">
        <f t="shared" si="27"/>
        <v>存在しない</v>
      </c>
      <c r="N1802" s="1" t="s">
        <v>29</v>
      </c>
      <c r="O1802" s="1"/>
      <c r="P1802" s="11"/>
      <c r="Q1802" s="11"/>
      <c r="R1802" s="11"/>
      <c r="S1802" s="11"/>
      <c r="T1802" s="1"/>
      <c r="U1802" s="1"/>
      <c r="V1802" s="1"/>
      <c r="W1802" s="1"/>
      <c r="X1802" s="1"/>
      <c r="Y1802" s="1"/>
      <c r="Z1802" s="1"/>
    </row>
    <row r="1803" ht="18.0" customHeight="1" outlineLevel="1" collapsed="1">
      <c r="A1803" s="1"/>
      <c r="B1803" s="1"/>
      <c r="C1803" s="1"/>
      <c r="D1803" s="1"/>
      <c r="E1803" s="14"/>
      <c r="F1803" s="15"/>
      <c r="G1803" s="16"/>
      <c r="H1803" s="11"/>
      <c r="I1803" s="7"/>
      <c r="J1803" s="7" t="str">
        <f>IFERROR(LET(_xlpm.v,
VLOOKUP($I1803,'用語辞書'!$A:$B,COLUMN('用語辞書'!B$1),FALSE),
IF(_xlpm.v=0,"",_xlpm.v)
),"")</f>
        <v/>
      </c>
      <c r="K1803" s="17"/>
      <c r="L1803" s="17" t="str">
        <f>IF(OR(COUNTIF('クラス'!$A$1:$A$1262,$B1803)&gt;0,$B1803="",$M1803=""),"",True)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 r="A1804" s="1"/>
      <c r="B1804" s="1"/>
      <c r="C1804" s="1"/>
      <c r="D1804" s="1"/>
      <c r="E1804" s="14"/>
      <c r="F1804" s="15"/>
      <c r="G1804" s="16"/>
      <c r="H1804" s="11"/>
      <c r="I1804" s="7"/>
      <c r="J1804" s="7" t="str">
        <f>IFERROR(LET(_xlpm.v,
VLOOKUP($I1804,'用語辞書'!$A:$B,COLUMN('用語辞書'!B$1),FALSE),
IF(_xlpm.v=0,"",_xlpm.v)
),"")</f>
        <v/>
      </c>
      <c r="K1804" s="17"/>
      <c r="L1804" s="17" t="str">
        <f>IF(OR(COUNTIF('クラス'!$A$1:$A$1262,$B1804)&gt;0,$B1804="",$M1804=""),"",True)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26" t="s">
        <v>1978</v>
      </c>
      <c r="C1805" s="1"/>
      <c r="D1805" s="1"/>
      <c r="E1805" s="14"/>
      <c r="F1805" s="15"/>
      <c r="G1805" s="16"/>
      <c r="H1805" s="11"/>
      <c r="I1805" s="7"/>
      <c r="J1805" s="7" t="str">
        <f>IFERROR(LET(_xlpm.v,
VLOOKUP($I1805,'用語辞書'!$A:$B,COLUMN('用語辞書'!B$1),FALSE),
IF(_xlpm.v=0,"",_xlpm.v)
),"")</f>
        <v/>
      </c>
      <c r="K1805" s="17"/>
      <c r="L1805" s="17" t="str">
        <f>IF(OR(COUNTIF('クラス'!$A$1:$A$1262,$B1805)&gt;0,$B1805="",$M1805=""),"",True)</f>
        <v/>
      </c>
      <c r="M1805" s="1" t="str">
        <f t="shared" si="27"/>
        <v>存在しない</v>
      </c>
      <c r="N1805" s="1" t="s">
        <v>29</v>
      </c>
      <c r="O1805" s="1"/>
      <c r="P1805" s="11"/>
      <c r="Q1805" s="11"/>
      <c r="R1805" s="11"/>
      <c r="S1805" s="11"/>
      <c r="T1805" s="1"/>
      <c r="U1805" s="1"/>
      <c r="V1805" s="1"/>
      <c r="W1805" s="1"/>
      <c r="X1805" s="1"/>
      <c r="Y1805" s="1"/>
      <c r="Z1805" s="1"/>
    </row>
    <row r="1806" ht="18.0" hidden="1" customHeight="1" outlineLevel="2">
      <c r="A1806" s="1">
        <v>1.0</v>
      </c>
      <c r="B1806" s="26" t="s">
        <v>1966</v>
      </c>
      <c r="C1806" s="1"/>
      <c r="D1806" s="1"/>
      <c r="E1806" s="14"/>
      <c r="F1806" s="15"/>
      <c r="G1806" s="16"/>
      <c r="H1806" s="11"/>
      <c r="I1806" s="7"/>
      <c r="J1806" s="7" t="str">
        <f>IFERROR(LET(_xlpm.v,
VLOOKUP($I1806,'用語辞書'!$A:$B,COLUMN('用語辞書'!B$1),FALSE),
IF(_xlpm.v=0,"",_xlpm.v)
),"")</f>
        <v/>
      </c>
      <c r="K1806" s="17"/>
      <c r="L1806" s="17" t="str">
        <f>IF(OR(COUNTIF('クラス'!$A$1:$A$1262,$B1806)&gt;0,$B1806="",$M1806=""),"",True)</f>
        <v/>
      </c>
      <c r="M1806" s="1" t="str">
        <f t="shared" si="27"/>
        <v/>
      </c>
      <c r="N1806" s="1" t="s">
        <v>29</v>
      </c>
      <c r="O1806" s="1"/>
      <c r="P1806" s="11"/>
      <c r="Q1806" s="11"/>
      <c r="R1806" s="11"/>
      <c r="S1806" s="11"/>
      <c r="T1806" s="1"/>
      <c r="U1806" s="1"/>
      <c r="V1806" s="1"/>
      <c r="W1806" s="1"/>
      <c r="X1806" s="1"/>
      <c r="Y1806" s="1"/>
      <c r="Z1806" s="1"/>
    </row>
    <row r="1807" ht="18.0" hidden="1" customHeight="1" outlineLevel="2">
      <c r="A1807" s="1">
        <v>2.0</v>
      </c>
      <c r="B1807" s="26" t="s">
        <v>1968</v>
      </c>
      <c r="C1807" s="1"/>
      <c r="D1807" s="1"/>
      <c r="E1807" s="14"/>
      <c r="F1807" s="15"/>
      <c r="G1807" s="16"/>
      <c r="H1807" s="11"/>
      <c r="I1807" s="7"/>
      <c r="J1807" s="7" t="str">
        <f>IFERROR(LET(_xlpm.v,
VLOOKUP($I1807,'用語辞書'!$A:$B,COLUMN('用語辞書'!B$1),FALSE),
IF(_xlpm.v=0,"",_xlpm.v)
),"")</f>
        <v/>
      </c>
      <c r="K1807" s="17"/>
      <c r="L1807" s="17" t="str">
        <f>IF(OR(COUNTIF('クラス'!$A$1:$A$1262,$B1807)&gt;0,$B1807="",$M1807=""),"",True)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3.0</v>
      </c>
      <c r="B1808" s="26" t="s">
        <v>1970</v>
      </c>
      <c r="C1808" s="1"/>
      <c r="D1808" s="1"/>
      <c r="E1808" s="14"/>
      <c r="F1808" s="15"/>
      <c r="G1808" s="16"/>
      <c r="H1808" s="11"/>
      <c r="I1808" s="7"/>
      <c r="J1808" s="7" t="str">
        <f>IFERROR(LET(_xlpm.v,
VLOOKUP($I1808,'用語辞書'!$A:$B,COLUMN('用語辞書'!B$1),FALSE),
IF(_xlpm.v=0,"",_xlpm.v)
),"")</f>
        <v/>
      </c>
      <c r="K1808" s="17"/>
      <c r="L1808" s="17" t="str">
        <f>IF(OR(COUNTIF('クラス'!$A$1:$A$1262,$B1808)&gt;0,$B1808="",$M1808=""),"",True)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4.0</v>
      </c>
      <c r="B1809" s="1"/>
      <c r="C1809" s="1"/>
      <c r="D1809" s="1"/>
      <c r="E1809" s="14"/>
      <c r="F1809" s="15"/>
      <c r="G1809" s="16"/>
      <c r="H1809" s="11"/>
      <c r="I1809" s="7"/>
      <c r="J1809" s="7" t="str">
        <f>IFERROR(LET(_xlpm.v,
VLOOKUP($I1809,'用語辞書'!$A:$B,COLUMN('用語辞書'!B$1),FALSE),
IF(_xlpm.v=0,"",_xlpm.v)
),"")</f>
        <v/>
      </c>
      <c r="K1809" s="17"/>
      <c r="L1809" s="17" t="str">
        <f>IF(OR(COUNTIF('クラス'!$A$1:$A$1262,$B1809)&gt;0,$B1809="",$M1809=""),"",True)</f>
        <v/>
      </c>
      <c r="M1809" s="1" t="str">
        <f t="shared" si="27"/>
        <v>存在しない</v>
      </c>
      <c r="N1809" s="1" t="s">
        <v>29</v>
      </c>
      <c r="O1809" s="1"/>
      <c r="P1809" s="11"/>
      <c r="Q1809" s="11"/>
      <c r="R1809" s="11"/>
      <c r="S1809" s="11"/>
      <c r="T1809" s="1"/>
      <c r="U1809" s="1"/>
      <c r="V1809" s="1"/>
      <c r="W1809" s="1"/>
      <c r="X1809" s="1"/>
      <c r="Y1809" s="1"/>
      <c r="Z1809" s="1"/>
    </row>
    <row r="1810" ht="18.0" hidden="1" customHeight="1" outlineLevel="2">
      <c r="A1810" s="1">
        <v>5.0</v>
      </c>
      <c r="B1810" s="26" t="s">
        <v>1243</v>
      </c>
      <c r="C1810" s="1"/>
      <c r="D1810" s="1"/>
      <c r="E1810" s="14"/>
      <c r="F1810" s="15"/>
      <c r="G1810" s="16"/>
      <c r="H1810" s="11"/>
      <c r="I1810" s="7"/>
      <c r="J1810" s="7" t="str">
        <f>IFERROR(LET(_xlpm.v,
VLOOKUP($I1810,'用語辞書'!$A:$B,COLUMN('用語辞書'!B$1),FALSE),
IF(_xlpm.v=0,"",_xlpm.v)
),"")</f>
        <v/>
      </c>
      <c r="K1810" s="17"/>
      <c r="L1810" s="17" t="str">
        <f>IF(OR(COUNTIF('クラス'!$A$1:$A$1262,$B1810)&gt;0,$B1810="",$M1810=""),"",True)</f>
        <v/>
      </c>
      <c r="M1810" s="1" t="str">
        <f t="shared" si="27"/>
        <v/>
      </c>
      <c r="N1810" s="1" t="s">
        <v>29</v>
      </c>
      <c r="O1810" s="1"/>
      <c r="P1810" s="11"/>
      <c r="Q1810" s="11"/>
      <c r="R1810" s="11"/>
      <c r="S1810" s="11"/>
      <c r="T1810" s="1"/>
      <c r="U1810" s="1"/>
      <c r="V1810" s="1"/>
      <c r="W1810" s="1"/>
      <c r="X1810" s="1"/>
      <c r="Y1810" s="1"/>
      <c r="Z1810" s="1"/>
    </row>
    <row r="1811" ht="18.0" hidden="1" customHeight="1" outlineLevel="2">
      <c r="A1811" s="1">
        <v>6.0</v>
      </c>
      <c r="B1811" s="1"/>
      <c r="C1811" s="1"/>
      <c r="D1811" s="1"/>
      <c r="E1811" s="14"/>
      <c r="F1811" s="15"/>
      <c r="G1811" s="16"/>
      <c r="H1811" s="11"/>
      <c r="I1811" s="7"/>
      <c r="J1811" s="7" t="str">
        <f>IFERROR(LET(_xlpm.v,
VLOOKUP($I1811,'用語辞書'!$A:$B,COLUMN('用語辞書'!B$1),FALSE),
IF(_xlpm.v=0,"",_xlpm.v)
),"")</f>
        <v/>
      </c>
      <c r="K1811" s="17"/>
      <c r="L1811" s="17" t="str">
        <f>IF(OR(COUNTIF('クラス'!$A$1:$A$1262,$B1811)&gt;0,$B1811="",$M1811=""),"",True)</f>
        <v/>
      </c>
      <c r="M1811" s="1" t="str">
        <f t="shared" si="27"/>
        <v>存在しない</v>
      </c>
      <c r="N1811" s="1" t="s">
        <v>29</v>
      </c>
      <c r="O1811" s="1"/>
      <c r="P1811" s="11"/>
      <c r="Q1811" s="11"/>
      <c r="R1811" s="11"/>
      <c r="S1811" s="11"/>
      <c r="T1811" s="1"/>
      <c r="U1811" s="1"/>
      <c r="V1811" s="1"/>
      <c r="W1811" s="1"/>
      <c r="X1811" s="1"/>
      <c r="Y1811" s="1"/>
      <c r="Z1811" s="1"/>
    </row>
    <row r="1812" ht="18.0" hidden="1" customHeight="1" outlineLevel="2">
      <c r="A1812" s="1">
        <v>7.0</v>
      </c>
      <c r="B1812" s="26" t="s">
        <v>1972</v>
      </c>
      <c r="C1812" s="1"/>
      <c r="D1812" s="1"/>
      <c r="E1812" s="14"/>
      <c r="F1812" s="15"/>
      <c r="G1812" s="16"/>
      <c r="H1812" s="11"/>
      <c r="I1812" s="7"/>
      <c r="J1812" s="7" t="str">
        <f>IFERROR(LET(_xlpm.v,
VLOOKUP($I1812,'用語辞書'!$A:$B,COLUMN('用語辞書'!B$1),FALSE),
IF(_xlpm.v=0,"",_xlpm.v)
),"")</f>
        <v/>
      </c>
      <c r="K1812" s="17"/>
      <c r="L1812" s="17" t="str">
        <f>IF(OR(COUNTIF('クラス'!$A$1:$A$1262,$B1812)&gt;0,$B1812="",$M1812=""),"",True)</f>
        <v/>
      </c>
      <c r="M1812" s="1" t="str">
        <f t="shared" si="27"/>
        <v/>
      </c>
      <c r="N1812" s="1" t="s">
        <v>29</v>
      </c>
      <c r="O1812" s="1"/>
      <c r="P1812" s="11"/>
      <c r="Q1812" s="11"/>
      <c r="R1812" s="11"/>
      <c r="S1812" s="11"/>
      <c r="T1812" s="1"/>
      <c r="U1812" s="1"/>
      <c r="V1812" s="1"/>
      <c r="W1812" s="1"/>
      <c r="X1812" s="1"/>
      <c r="Y1812" s="1"/>
      <c r="Z1812" s="1"/>
    </row>
    <row r="1813" ht="18.0" hidden="1" customHeight="1" outlineLevel="2">
      <c r="A1813" s="1">
        <v>8.0</v>
      </c>
      <c r="B1813" s="1"/>
      <c r="C1813" s="1"/>
      <c r="D1813" s="1"/>
      <c r="E1813" s="14"/>
      <c r="F1813" s="15"/>
      <c r="G1813" s="16"/>
      <c r="H1813" s="11"/>
      <c r="I1813" s="7"/>
      <c r="J1813" s="7" t="str">
        <f>IFERROR(LET(_xlpm.v,
VLOOKUP($I1813,'用語辞書'!$A:$B,COLUMN('用語辞書'!B$1),FALSE),
IF(_xlpm.v=0,"",_xlpm.v)
),"")</f>
        <v/>
      </c>
      <c r="K1813" s="17"/>
      <c r="L1813" s="17" t="str">
        <f>IF(OR(COUNTIF('クラス'!$A$1:$A$1262,$B1813)&gt;0,$B1813="",$M1813=""),"",True)</f>
        <v/>
      </c>
      <c r="M1813" s="1" t="str">
        <f t="shared" si="27"/>
        <v>存在しない</v>
      </c>
      <c r="N1813" s="1" t="s">
        <v>29</v>
      </c>
      <c r="O1813" s="1"/>
      <c r="P1813" s="11"/>
      <c r="Q1813" s="11"/>
      <c r="R1813" s="11"/>
      <c r="S1813" s="11"/>
      <c r="T1813" s="1"/>
      <c r="U1813" s="1"/>
      <c r="V1813" s="1"/>
      <c r="W1813" s="1"/>
      <c r="X1813" s="1"/>
      <c r="Y1813" s="1"/>
      <c r="Z1813" s="1"/>
    </row>
    <row r="1814" ht="18.0" hidden="1" customHeight="1" outlineLevel="2">
      <c r="A1814" s="1">
        <v>9.0</v>
      </c>
      <c r="B1814" s="26" t="s">
        <v>1332</v>
      </c>
      <c r="C1814" s="1"/>
      <c r="D1814" s="1"/>
      <c r="E1814" s="14"/>
      <c r="F1814" s="15"/>
      <c r="G1814" s="16"/>
      <c r="H1814" s="11"/>
      <c r="I1814" s="7"/>
      <c r="J1814" s="7" t="str">
        <f>IFERROR(LET(_xlpm.v,
VLOOKUP($I1814,'用語辞書'!$A:$B,COLUMN('用語辞書'!B$1),FALSE),
IF(_xlpm.v=0,"",_xlpm.v)
),"")</f>
        <v/>
      </c>
      <c r="K1814" s="17"/>
      <c r="L1814" s="17" t="str">
        <f>IF(OR(COUNTIF('クラス'!$A$1:$A$1262,$B1814)&gt;0,$B1814="",$M1814=""),"",True)</f>
        <v/>
      </c>
      <c r="M1814" s="1" t="str">
        <f t="shared" si="27"/>
        <v/>
      </c>
      <c r="N1814" s="1" t="s">
        <v>29</v>
      </c>
      <c r="O1814" s="1"/>
      <c r="P1814" s="11"/>
      <c r="Q1814" s="11"/>
      <c r="R1814" s="11"/>
      <c r="S1814" s="11"/>
      <c r="T1814" s="1"/>
      <c r="U1814" s="1"/>
      <c r="V1814" s="1"/>
      <c r="W1814" s="1"/>
      <c r="X1814" s="1"/>
      <c r="Y1814" s="1"/>
      <c r="Z1814" s="1"/>
    </row>
    <row r="1815" ht="18.0" hidden="1" customHeight="1" outlineLevel="2">
      <c r="A1815" s="1">
        <v>10.0</v>
      </c>
      <c r="B1815" s="1"/>
      <c r="C1815" s="1"/>
      <c r="D1815" s="1"/>
      <c r="E1815" s="14"/>
      <c r="F1815" s="15"/>
      <c r="G1815" s="16"/>
      <c r="H1815" s="11"/>
      <c r="I1815" s="7"/>
      <c r="J1815" s="7" t="str">
        <f>IFERROR(LET(_xlpm.v,
VLOOKUP($I1815,'用語辞書'!$A:$B,COLUMN('用語辞書'!B$1),FALSE),
IF(_xlpm.v=0,"",_xlpm.v)
),"")</f>
        <v/>
      </c>
      <c r="K1815" s="17"/>
      <c r="L1815" s="17" t="str">
        <f>IF(OR(COUNTIF('クラス'!$A$1:$A$1262,$B1815)&gt;0,$B1815="",$M1815=""),"",True)</f>
        <v/>
      </c>
      <c r="M1815" s="1" t="str">
        <f t="shared" si="27"/>
        <v>存在しない</v>
      </c>
      <c r="N1815" s="1" t="s">
        <v>29</v>
      </c>
      <c r="O1815" s="1"/>
      <c r="P1815" s="11"/>
      <c r="Q1815" s="11"/>
      <c r="R1815" s="11"/>
      <c r="S1815" s="11"/>
      <c r="T1815" s="1"/>
      <c r="U1815" s="1"/>
      <c r="V1815" s="1"/>
      <c r="W1815" s="1"/>
      <c r="X1815" s="1"/>
      <c r="Y1815" s="1"/>
      <c r="Z1815" s="1"/>
    </row>
    <row r="1816" ht="18.0" customHeight="1" outlineLevel="1" collapsed="1">
      <c r="A1816" s="1"/>
      <c r="B1816" s="1"/>
      <c r="C1816" s="1"/>
      <c r="D1816" s="1"/>
      <c r="E1816" s="14"/>
      <c r="F1816" s="15"/>
      <c r="G1816" s="16"/>
      <c r="H1816" s="11"/>
      <c r="I1816" s="7"/>
      <c r="J1816" s="7" t="str">
        <f>IFERROR(LET(_xlpm.v,
VLOOKUP($I1816,'用語辞書'!$A:$B,COLUMN('用語辞書'!B$1),FALSE),
IF(_xlpm.v=0,"",_xlpm.v)
),"")</f>
        <v/>
      </c>
      <c r="K1816" s="17"/>
      <c r="L1816" s="17" t="str">
        <f>IF(OR(COUNTIF('クラス'!$A$1:$A$1262,$B1816)&gt;0,$B1816="",$M1816=""),"",True)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 r="A1817" s="1"/>
      <c r="B1817" s="1"/>
      <c r="C1817" s="1"/>
      <c r="D1817" s="1"/>
      <c r="E1817" s="14"/>
      <c r="F1817" s="15"/>
      <c r="G1817" s="16"/>
      <c r="H1817" s="11"/>
      <c r="I1817" s="7"/>
      <c r="J1817" s="7" t="str">
        <f>IFERROR(LET(_xlpm.v,
VLOOKUP($I1817,'用語辞書'!$A:$B,COLUMN('用語辞書'!B$1),FALSE),
IF(_xlpm.v=0,"",_xlpm.v)
),"")</f>
        <v/>
      </c>
      <c r="K1817" s="17"/>
      <c r="L1817" s="17" t="str">
        <f>IF(OR(COUNTIF('クラス'!$A$1:$A$1262,$B1817)&gt;0,$B1817="",$M1817=""),"",True)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26" t="s">
        <v>1979</v>
      </c>
      <c r="C1818" s="1"/>
      <c r="D1818" s="1"/>
      <c r="E1818" s="14"/>
      <c r="F1818" s="15"/>
      <c r="G1818" s="16"/>
      <c r="H1818" s="11"/>
      <c r="I1818" s="7"/>
      <c r="J1818" s="7" t="str">
        <f>IFERROR(LET(_xlpm.v,
VLOOKUP($I1818,'用語辞書'!$A:$B,COLUMN('用語辞書'!B$1),FALSE),
IF(_xlpm.v=0,"",_xlpm.v)
),"")</f>
        <v/>
      </c>
      <c r="K1818" s="17"/>
      <c r="L1818" s="17" t="str">
        <f>IF(OR(COUNTIF('クラス'!$A$1:$A$1262,$B1818)&gt;0,$B1818="",$M1818=""),"",True)</f>
        <v/>
      </c>
      <c r="M1818" s="1" t="str">
        <f t="shared" si="27"/>
        <v>存在しない</v>
      </c>
      <c r="N1818" s="1" t="s">
        <v>29</v>
      </c>
      <c r="O1818" s="1"/>
      <c r="P1818" s="11"/>
      <c r="Q1818" s="11"/>
      <c r="R1818" s="11"/>
      <c r="S1818" s="11"/>
      <c r="T1818" s="1"/>
      <c r="U1818" s="1"/>
      <c r="V1818" s="1"/>
      <c r="W1818" s="1"/>
      <c r="X1818" s="1"/>
      <c r="Y1818" s="1"/>
      <c r="Z1818" s="1"/>
    </row>
    <row r="1819" ht="18.0" hidden="1" customHeight="1" outlineLevel="2">
      <c r="A1819" s="1">
        <v>1.0</v>
      </c>
      <c r="B1819" s="26" t="s">
        <v>1966</v>
      </c>
      <c r="C1819" s="1"/>
      <c r="D1819" s="1"/>
      <c r="E1819" s="14"/>
      <c r="F1819" s="15"/>
      <c r="G1819" s="16"/>
      <c r="H1819" s="11"/>
      <c r="I1819" s="7"/>
      <c r="J1819" s="7" t="str">
        <f>IFERROR(LET(_xlpm.v,
VLOOKUP($I1819,'用語辞書'!$A:$B,COLUMN('用語辞書'!B$1),FALSE),
IF(_xlpm.v=0,"",_xlpm.v)
),"")</f>
        <v/>
      </c>
      <c r="K1819" s="17"/>
      <c r="L1819" s="17" t="str">
        <f>IF(OR(COUNTIF('クラス'!$A$1:$A$1262,$B1819)&gt;0,$B1819="",$M1819=""),"",True)</f>
        <v/>
      </c>
      <c r="M1819" s="1" t="str">
        <f t="shared" si="27"/>
        <v/>
      </c>
      <c r="N1819" s="1" t="s">
        <v>29</v>
      </c>
      <c r="O1819" s="1"/>
      <c r="P1819" s="11"/>
      <c r="Q1819" s="11"/>
      <c r="R1819" s="11"/>
      <c r="S1819" s="11"/>
      <c r="T1819" s="1"/>
      <c r="U1819" s="1"/>
      <c r="V1819" s="1"/>
      <c r="W1819" s="1"/>
      <c r="X1819" s="1"/>
      <c r="Y1819" s="1"/>
      <c r="Z1819" s="1"/>
    </row>
    <row r="1820" ht="18.0" hidden="1" customHeight="1" outlineLevel="2">
      <c r="A1820" s="1">
        <v>2.0</v>
      </c>
      <c r="B1820" s="26" t="s">
        <v>1968</v>
      </c>
      <c r="C1820" s="1"/>
      <c r="D1820" s="1"/>
      <c r="E1820" s="14"/>
      <c r="F1820" s="15"/>
      <c r="G1820" s="16"/>
      <c r="H1820" s="11"/>
      <c r="I1820" s="7"/>
      <c r="J1820" s="7" t="str">
        <f>IFERROR(LET(_xlpm.v,
VLOOKUP($I1820,'用語辞書'!$A:$B,COLUMN('用語辞書'!B$1),FALSE),
IF(_xlpm.v=0,"",_xlpm.v)
),"")</f>
        <v/>
      </c>
      <c r="K1820" s="17"/>
      <c r="L1820" s="17" t="str">
        <f>IF(OR(COUNTIF('クラス'!$A$1:$A$1262,$B1820)&gt;0,$B1820="",$M1820=""),"",True)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3.0</v>
      </c>
      <c r="B1821" s="26" t="s">
        <v>1970</v>
      </c>
      <c r="C1821" s="1"/>
      <c r="D1821" s="1"/>
      <c r="E1821" s="14"/>
      <c r="F1821" s="15"/>
      <c r="G1821" s="16"/>
      <c r="H1821" s="11"/>
      <c r="I1821" s="7"/>
      <c r="J1821" s="7" t="str">
        <f>IFERROR(LET(_xlpm.v,
VLOOKUP($I1821,'用語辞書'!$A:$B,COLUMN('用語辞書'!B$1),FALSE),
IF(_xlpm.v=0,"",_xlpm.v)
),"")</f>
        <v/>
      </c>
      <c r="K1821" s="17"/>
      <c r="L1821" s="17" t="str">
        <f>IF(OR(COUNTIF('クラス'!$A$1:$A$1262,$B1821)&gt;0,$B1821="",$M1821=""),"",True)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4.0</v>
      </c>
      <c r="B1822" s="1"/>
      <c r="C1822" s="1"/>
      <c r="D1822" s="1"/>
      <c r="E1822" s="14"/>
      <c r="F1822" s="15"/>
      <c r="G1822" s="16"/>
      <c r="H1822" s="11"/>
      <c r="I1822" s="7"/>
      <c r="J1822" s="7" t="str">
        <f>IFERROR(LET(_xlpm.v,
VLOOKUP($I1822,'用語辞書'!$A:$B,COLUMN('用語辞書'!B$1),FALSE),
IF(_xlpm.v=0,"",_xlpm.v)
),"")</f>
        <v/>
      </c>
      <c r="K1822" s="17"/>
      <c r="L1822" s="17" t="str">
        <f>IF(OR(COUNTIF('クラス'!$A$1:$A$1262,$B1822)&gt;0,$B1822="",$M1822=""),"",True)</f>
        <v/>
      </c>
      <c r="M1822" s="1" t="str">
        <f t="shared" si="27"/>
        <v>存在しない</v>
      </c>
      <c r="N1822" s="1" t="s">
        <v>29</v>
      </c>
      <c r="O1822" s="1"/>
      <c r="P1822" s="11"/>
      <c r="Q1822" s="11"/>
      <c r="R1822" s="11"/>
      <c r="S1822" s="11"/>
      <c r="T1822" s="1"/>
      <c r="U1822" s="1"/>
      <c r="V1822" s="1"/>
      <c r="W1822" s="1"/>
      <c r="X1822" s="1"/>
      <c r="Y1822" s="1"/>
      <c r="Z1822" s="1"/>
    </row>
    <row r="1823" ht="18.0" hidden="1" customHeight="1" outlineLevel="2">
      <c r="A1823" s="1">
        <v>5.0</v>
      </c>
      <c r="B1823" s="26" t="s">
        <v>1243</v>
      </c>
      <c r="C1823" s="1"/>
      <c r="D1823" s="1"/>
      <c r="E1823" s="14"/>
      <c r="F1823" s="15"/>
      <c r="G1823" s="16"/>
      <c r="H1823" s="11"/>
      <c r="I1823" s="7"/>
      <c r="J1823" s="7" t="str">
        <f>IFERROR(LET(_xlpm.v,
VLOOKUP($I1823,'用語辞書'!$A:$B,COLUMN('用語辞書'!B$1),FALSE),
IF(_xlpm.v=0,"",_xlpm.v)
),"")</f>
        <v/>
      </c>
      <c r="K1823" s="17"/>
      <c r="L1823" s="17" t="str">
        <f>IF(OR(COUNTIF('クラス'!$A$1:$A$1262,$B1823)&gt;0,$B1823="",$M1823=""),"",True)</f>
        <v/>
      </c>
      <c r="M1823" s="1" t="str">
        <f t="shared" si="27"/>
        <v/>
      </c>
      <c r="N1823" s="1" t="s">
        <v>29</v>
      </c>
      <c r="O1823" s="1"/>
      <c r="P1823" s="11"/>
      <c r="Q1823" s="11"/>
      <c r="R1823" s="11"/>
      <c r="S1823" s="11"/>
      <c r="T1823" s="1"/>
      <c r="U1823" s="1"/>
      <c r="V1823" s="1"/>
      <c r="W1823" s="1"/>
      <c r="X1823" s="1"/>
      <c r="Y1823" s="1"/>
      <c r="Z1823" s="1"/>
    </row>
    <row r="1824" ht="18.0" hidden="1" customHeight="1" outlineLevel="2">
      <c r="A1824" s="1">
        <v>6.0</v>
      </c>
      <c r="B1824" s="1"/>
      <c r="C1824" s="1"/>
      <c r="D1824" s="1"/>
      <c r="E1824" s="14"/>
      <c r="F1824" s="15"/>
      <c r="G1824" s="16"/>
      <c r="H1824" s="11"/>
      <c r="I1824" s="7"/>
      <c r="J1824" s="7" t="str">
        <f>IFERROR(LET(_xlpm.v,
VLOOKUP($I1824,'用語辞書'!$A:$B,COLUMN('用語辞書'!B$1),FALSE),
IF(_xlpm.v=0,"",_xlpm.v)
),"")</f>
        <v/>
      </c>
      <c r="K1824" s="17"/>
      <c r="L1824" s="17" t="str">
        <f>IF(OR(COUNTIF('クラス'!$A$1:$A$1262,$B1824)&gt;0,$B1824="",$M1824=""),"",True)</f>
        <v/>
      </c>
      <c r="M1824" s="1" t="str">
        <f t="shared" si="27"/>
        <v>存在しない</v>
      </c>
      <c r="N1824" s="1" t="s">
        <v>29</v>
      </c>
      <c r="O1824" s="1"/>
      <c r="P1824" s="11"/>
      <c r="Q1824" s="11"/>
      <c r="R1824" s="11"/>
      <c r="S1824" s="11"/>
      <c r="T1824" s="1"/>
      <c r="U1824" s="1"/>
      <c r="V1824" s="1"/>
      <c r="W1824" s="1"/>
      <c r="X1824" s="1"/>
      <c r="Y1824" s="1"/>
      <c r="Z1824" s="1"/>
    </row>
    <row r="1825" ht="18.0" hidden="1" customHeight="1" outlineLevel="2">
      <c r="A1825" s="1">
        <v>7.0</v>
      </c>
      <c r="B1825" s="26" t="s">
        <v>1972</v>
      </c>
      <c r="C1825" s="1"/>
      <c r="D1825" s="1"/>
      <c r="E1825" s="14"/>
      <c r="F1825" s="15"/>
      <c r="G1825" s="16"/>
      <c r="H1825" s="11"/>
      <c r="I1825" s="7"/>
      <c r="J1825" s="7" t="str">
        <f>IFERROR(LET(_xlpm.v,
VLOOKUP($I1825,'用語辞書'!$A:$B,COLUMN('用語辞書'!B$1),FALSE),
IF(_xlpm.v=0,"",_xlpm.v)
),"")</f>
        <v/>
      </c>
      <c r="K1825" s="17"/>
      <c r="L1825" s="17" t="str">
        <f>IF(OR(COUNTIF('クラス'!$A$1:$A$1262,$B1825)&gt;0,$B1825="",$M1825=""),"",True)</f>
        <v/>
      </c>
      <c r="M1825" s="1" t="str">
        <f t="shared" si="27"/>
        <v/>
      </c>
      <c r="N1825" s="1" t="s">
        <v>29</v>
      </c>
      <c r="O1825" s="1"/>
      <c r="P1825" s="11"/>
      <c r="Q1825" s="11"/>
      <c r="R1825" s="11"/>
      <c r="S1825" s="11"/>
      <c r="T1825" s="1"/>
      <c r="U1825" s="1"/>
      <c r="V1825" s="1"/>
      <c r="W1825" s="1"/>
      <c r="X1825" s="1"/>
      <c r="Y1825" s="1"/>
      <c r="Z1825" s="1"/>
    </row>
    <row r="1826" ht="18.0" hidden="1" customHeight="1" outlineLevel="2">
      <c r="A1826" s="1">
        <v>8.0</v>
      </c>
      <c r="B1826" s="1"/>
      <c r="C1826" s="1"/>
      <c r="D1826" s="1"/>
      <c r="E1826" s="14"/>
      <c r="F1826" s="15"/>
      <c r="G1826" s="16"/>
      <c r="H1826" s="11"/>
      <c r="I1826" s="7"/>
      <c r="J1826" s="7" t="str">
        <f>IFERROR(LET(_xlpm.v,
VLOOKUP($I1826,'用語辞書'!$A:$B,COLUMN('用語辞書'!B$1),FALSE),
IF(_xlpm.v=0,"",_xlpm.v)
),"")</f>
        <v/>
      </c>
      <c r="K1826" s="17"/>
      <c r="L1826" s="17" t="str">
        <f>IF(OR(COUNTIF('クラス'!$A$1:$A$1262,$B1826)&gt;0,$B1826="",$M1826=""),"",True)</f>
        <v/>
      </c>
      <c r="M1826" s="1" t="str">
        <f t="shared" si="27"/>
        <v>存在しない</v>
      </c>
      <c r="N1826" s="1" t="s">
        <v>29</v>
      </c>
      <c r="O1826" s="1"/>
      <c r="P1826" s="11"/>
      <c r="Q1826" s="11"/>
      <c r="R1826" s="11"/>
      <c r="S1826" s="11"/>
      <c r="T1826" s="1"/>
      <c r="U1826" s="1"/>
      <c r="V1826" s="1"/>
      <c r="W1826" s="1"/>
      <c r="X1826" s="1"/>
      <c r="Y1826" s="1"/>
      <c r="Z1826" s="1"/>
    </row>
    <row r="1827" ht="18.0" hidden="1" customHeight="1" outlineLevel="2">
      <c r="A1827" s="1">
        <v>9.0</v>
      </c>
      <c r="B1827" s="26" t="s">
        <v>1948</v>
      </c>
      <c r="C1827" s="1"/>
      <c r="D1827" s="1"/>
      <c r="E1827" s="14"/>
      <c r="F1827" s="15"/>
      <c r="G1827" s="16"/>
      <c r="H1827" s="11"/>
      <c r="I1827" s="7"/>
      <c r="J1827" s="7" t="str">
        <f>IFERROR(LET(_xlpm.v,
VLOOKUP($I1827,'用語辞書'!$A:$B,COLUMN('用語辞書'!B$1),FALSE),
IF(_xlpm.v=0,"",_xlpm.v)
),"")</f>
        <v/>
      </c>
      <c r="K1827" s="17"/>
      <c r="L1827" s="17" t="str">
        <f>IF(OR(COUNTIF('クラス'!$A$1:$A$1262,$B1827)&gt;0,$B1827="",$M1827=""),"",True)</f>
        <v/>
      </c>
      <c r="M1827" s="1" t="str">
        <f t="shared" si="27"/>
        <v/>
      </c>
      <c r="N1827" s="1" t="s">
        <v>29</v>
      </c>
      <c r="O1827" s="1"/>
      <c r="P1827" s="11"/>
      <c r="Q1827" s="11"/>
      <c r="R1827" s="11"/>
      <c r="S1827" s="11"/>
      <c r="T1827" s="1"/>
      <c r="U1827" s="1"/>
      <c r="V1827" s="1"/>
      <c r="W1827" s="1"/>
      <c r="X1827" s="1"/>
      <c r="Y1827" s="1"/>
      <c r="Z1827" s="1"/>
    </row>
    <row r="1828" ht="18.0" hidden="1" customHeight="1" outlineLevel="2">
      <c r="A1828" s="1">
        <v>10.0</v>
      </c>
      <c r="B1828" s="1"/>
      <c r="C1828" s="1"/>
      <c r="D1828" s="1"/>
      <c r="E1828" s="14"/>
      <c r="F1828" s="15"/>
      <c r="G1828" s="16"/>
      <c r="H1828" s="11"/>
      <c r="I1828" s="7"/>
      <c r="J1828" s="7" t="str">
        <f>IFERROR(LET(_xlpm.v,
VLOOKUP($I1828,'用語辞書'!$A:$B,COLUMN('用語辞書'!B$1),FALSE),
IF(_xlpm.v=0,"",_xlpm.v)
),"")</f>
        <v/>
      </c>
      <c r="K1828" s="17"/>
      <c r="L1828" s="17" t="str">
        <f>IF(OR(COUNTIF('クラス'!$A$1:$A$1262,$B1828)&gt;0,$B1828="",$M1828=""),"",True)</f>
        <v/>
      </c>
      <c r="M1828" s="1" t="str">
        <f t="shared" si="27"/>
        <v>存在しない</v>
      </c>
      <c r="N1828" s="1" t="s">
        <v>29</v>
      </c>
      <c r="O1828" s="1"/>
      <c r="P1828" s="11"/>
      <c r="Q1828" s="11"/>
      <c r="R1828" s="11"/>
      <c r="S1828" s="11"/>
      <c r="T1828" s="1"/>
      <c r="U1828" s="1"/>
      <c r="V1828" s="1"/>
      <c r="W1828" s="1"/>
      <c r="X1828" s="1"/>
      <c r="Y1828" s="1"/>
      <c r="Z1828" s="1"/>
    </row>
    <row r="1829" ht="18.0" customHeight="1" outlineLevel="1" collapsed="1">
      <c r="A1829" s="1"/>
      <c r="B1829" s="1"/>
      <c r="C1829" s="1"/>
      <c r="D1829" s="1"/>
      <c r="E1829" s="14"/>
      <c r="F1829" s="15"/>
      <c r="G1829" s="16"/>
      <c r="H1829" s="11"/>
      <c r="I1829" s="7"/>
      <c r="J1829" s="7" t="str">
        <f>IFERROR(LET(_xlpm.v,
VLOOKUP($I1829,'用語辞書'!$A:$B,COLUMN('用語辞書'!B$1),FALSE),
IF(_xlpm.v=0,"",_xlpm.v)
),"")</f>
        <v/>
      </c>
      <c r="K1829" s="17"/>
      <c r="L1829" s="17" t="str">
        <f>IF(OR(COUNTIF('クラス'!$A$1:$A$1262,$B1829)&gt;0,$B1829="",$M1829=""),"",True)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 r="A1830" s="1"/>
      <c r="B1830" s="1"/>
      <c r="C1830" s="1"/>
      <c r="D1830" s="1"/>
      <c r="E1830" s="14"/>
      <c r="F1830" s="15"/>
      <c r="G1830" s="16"/>
      <c r="H1830" s="11"/>
      <c r="I1830" s="7"/>
      <c r="J1830" s="7" t="str">
        <f>IFERROR(LET(_xlpm.v,
VLOOKUP($I1830,'用語辞書'!$A:$B,COLUMN('用語辞書'!B$1),FALSE),
IF(_xlpm.v=0,"",_xlpm.v)
),"")</f>
        <v/>
      </c>
      <c r="K1830" s="17"/>
      <c r="L1830" s="17" t="str">
        <f>IF(OR(COUNTIF('クラス'!$A$1:$A$1262,$B1830)&gt;0,$B1830="",$M1830=""),"",True)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26" t="s">
        <v>1980</v>
      </c>
      <c r="C1831" s="1"/>
      <c r="D1831" s="1"/>
      <c r="E1831" s="14"/>
      <c r="F1831" s="15"/>
      <c r="G1831" s="16"/>
      <c r="H1831" s="11"/>
      <c r="I1831" s="7"/>
      <c r="J1831" s="7" t="str">
        <f>IFERROR(LET(_xlpm.v,
VLOOKUP($I1831,'用語辞書'!$A:$B,COLUMN('用語辞書'!B$1),FALSE),
IF(_xlpm.v=0,"",_xlpm.v)
),"")</f>
        <v/>
      </c>
      <c r="K1831" s="17"/>
      <c r="L1831" s="17" t="str">
        <f>IF(OR(COUNTIF('クラス'!$A$1:$A$1262,$B1831)&gt;0,$B1831="",$M1831=""),"",True)</f>
        <v/>
      </c>
      <c r="M1831" s="1" t="str">
        <f t="shared" si="27"/>
        <v>存在しない</v>
      </c>
      <c r="N1831" s="1" t="s">
        <v>29</v>
      </c>
      <c r="O1831" s="1"/>
      <c r="P1831" s="11"/>
      <c r="Q1831" s="11"/>
      <c r="R1831" s="11"/>
      <c r="S1831" s="11"/>
      <c r="T1831" s="1"/>
      <c r="U1831" s="1"/>
      <c r="V1831" s="1"/>
      <c r="W1831" s="1"/>
      <c r="X1831" s="1"/>
      <c r="Y1831" s="1"/>
      <c r="Z1831" s="1"/>
    </row>
    <row r="1832" ht="18.0" hidden="1" customHeight="1" outlineLevel="2">
      <c r="A1832" s="1">
        <v>1.0</v>
      </c>
      <c r="B1832" s="26" t="s">
        <v>1966</v>
      </c>
      <c r="C1832" s="1"/>
      <c r="D1832" s="1"/>
      <c r="E1832" s="14"/>
      <c r="F1832" s="15"/>
      <c r="G1832" s="16"/>
      <c r="H1832" s="11"/>
      <c r="I1832" s="7"/>
      <c r="J1832" s="7" t="str">
        <f>IFERROR(LET(_xlpm.v,
VLOOKUP($I1832,'用語辞書'!$A:$B,COLUMN('用語辞書'!B$1),FALSE),
IF(_xlpm.v=0,"",_xlpm.v)
),"")</f>
        <v/>
      </c>
      <c r="K1832" s="17"/>
      <c r="L1832" s="17" t="str">
        <f>IF(OR(COUNTIF('クラス'!$A$1:$A$1262,$B1832)&gt;0,$B1832="",$M1832=""),"",True)</f>
        <v/>
      </c>
      <c r="M1832" s="1" t="str">
        <f t="shared" si="27"/>
        <v/>
      </c>
      <c r="N1832" s="1" t="s">
        <v>29</v>
      </c>
      <c r="O1832" s="1"/>
      <c r="P1832" s="11"/>
      <c r="Q1832" s="11"/>
      <c r="R1832" s="11"/>
      <c r="S1832" s="11"/>
      <c r="T1832" s="1"/>
      <c r="U1832" s="1"/>
      <c r="V1832" s="1"/>
      <c r="W1832" s="1"/>
      <c r="X1832" s="1"/>
      <c r="Y1832" s="1"/>
      <c r="Z1832" s="1"/>
    </row>
    <row r="1833" ht="18.0" hidden="1" customHeight="1" outlineLevel="2">
      <c r="A1833" s="1">
        <v>2.0</v>
      </c>
      <c r="B1833" s="26" t="s">
        <v>1968</v>
      </c>
      <c r="C1833" s="1"/>
      <c r="D1833" s="1"/>
      <c r="E1833" s="14"/>
      <c r="F1833" s="15"/>
      <c r="G1833" s="16"/>
      <c r="H1833" s="11"/>
      <c r="I1833" s="7"/>
      <c r="J1833" s="7" t="str">
        <f>IFERROR(LET(_xlpm.v,
VLOOKUP($I1833,'用語辞書'!$A:$B,COLUMN('用語辞書'!B$1),FALSE),
IF(_xlpm.v=0,"",_xlpm.v)
),"")</f>
        <v/>
      </c>
      <c r="K1833" s="17"/>
      <c r="L1833" s="17" t="str">
        <f>IF(OR(COUNTIF('クラス'!$A$1:$A$1262,$B1833)&gt;0,$B1833="",$M1833=""),"",True)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3.0</v>
      </c>
      <c r="B1834" s="26" t="s">
        <v>1970</v>
      </c>
      <c r="C1834" s="1"/>
      <c r="D1834" s="1"/>
      <c r="E1834" s="14"/>
      <c r="F1834" s="15"/>
      <c r="G1834" s="16"/>
      <c r="H1834" s="11"/>
      <c r="I1834" s="7"/>
      <c r="J1834" s="7" t="str">
        <f>IFERROR(LET(_xlpm.v,
VLOOKUP($I1834,'用語辞書'!$A:$B,COLUMN('用語辞書'!B$1),FALSE),
IF(_xlpm.v=0,"",_xlpm.v)
),"")</f>
        <v/>
      </c>
      <c r="K1834" s="17"/>
      <c r="L1834" s="17" t="str">
        <f>IF(OR(COUNTIF('クラス'!$A$1:$A$1262,$B1834)&gt;0,$B1834="",$M1834=""),"",True)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4.0</v>
      </c>
      <c r="B1835" s="1"/>
      <c r="C1835" s="1"/>
      <c r="D1835" s="1"/>
      <c r="E1835" s="14"/>
      <c r="F1835" s="15"/>
      <c r="G1835" s="16"/>
      <c r="H1835" s="11"/>
      <c r="I1835" s="7"/>
      <c r="J1835" s="7" t="str">
        <f>IFERROR(LET(_xlpm.v,
VLOOKUP($I1835,'用語辞書'!$A:$B,COLUMN('用語辞書'!B$1),FALSE),
IF(_xlpm.v=0,"",_xlpm.v)
),"")</f>
        <v/>
      </c>
      <c r="K1835" s="17"/>
      <c r="L1835" s="17" t="str">
        <f>IF(OR(COUNTIF('クラス'!$A$1:$A$1262,$B1835)&gt;0,$B1835="",$M1835=""),"",True)</f>
        <v/>
      </c>
      <c r="M1835" s="1" t="str">
        <f t="shared" si="27"/>
        <v>存在しない</v>
      </c>
      <c r="N1835" s="1" t="s">
        <v>29</v>
      </c>
      <c r="O1835" s="1"/>
      <c r="P1835" s="11"/>
      <c r="Q1835" s="11"/>
      <c r="R1835" s="11"/>
      <c r="S1835" s="11"/>
      <c r="T1835" s="1"/>
      <c r="U1835" s="1"/>
      <c r="V1835" s="1"/>
      <c r="W1835" s="1"/>
      <c r="X1835" s="1"/>
      <c r="Y1835" s="1"/>
      <c r="Z1835" s="1"/>
    </row>
    <row r="1836" ht="18.0" hidden="1" customHeight="1" outlineLevel="2">
      <c r="A1836" s="1">
        <v>5.0</v>
      </c>
      <c r="B1836" s="26" t="s">
        <v>1243</v>
      </c>
      <c r="C1836" s="1"/>
      <c r="D1836" s="1"/>
      <c r="E1836" s="14"/>
      <c r="F1836" s="15"/>
      <c r="G1836" s="16"/>
      <c r="H1836" s="11"/>
      <c r="I1836" s="7"/>
      <c r="J1836" s="7" t="str">
        <f>IFERROR(LET(_xlpm.v,
VLOOKUP($I1836,'用語辞書'!$A:$B,COLUMN('用語辞書'!B$1),FALSE),
IF(_xlpm.v=0,"",_xlpm.v)
),"")</f>
        <v/>
      </c>
      <c r="K1836" s="17"/>
      <c r="L1836" s="17" t="str">
        <f>IF(OR(COUNTIF('クラス'!$A$1:$A$1262,$B1836)&gt;0,$B1836="",$M1836=""),"",True)</f>
        <v/>
      </c>
      <c r="M1836" s="1" t="str">
        <f t="shared" si="27"/>
        <v/>
      </c>
      <c r="N1836" s="1" t="s">
        <v>29</v>
      </c>
      <c r="O1836" s="1"/>
      <c r="P1836" s="11"/>
      <c r="Q1836" s="11"/>
      <c r="R1836" s="11"/>
      <c r="S1836" s="11"/>
      <c r="T1836" s="1"/>
      <c r="U1836" s="1"/>
      <c r="V1836" s="1"/>
      <c r="W1836" s="1"/>
      <c r="X1836" s="1"/>
      <c r="Y1836" s="1"/>
      <c r="Z1836" s="1"/>
    </row>
    <row r="1837" ht="18.0" hidden="1" customHeight="1" outlineLevel="2">
      <c r="A1837" s="1">
        <v>6.0</v>
      </c>
      <c r="B1837" s="1"/>
      <c r="C1837" s="1"/>
      <c r="D1837" s="1"/>
      <c r="E1837" s="14"/>
      <c r="F1837" s="15"/>
      <c r="G1837" s="16"/>
      <c r="H1837" s="11"/>
      <c r="I1837" s="7"/>
      <c r="J1837" s="7" t="str">
        <f>IFERROR(LET(_xlpm.v,
VLOOKUP($I1837,'用語辞書'!$A:$B,COLUMN('用語辞書'!B$1),FALSE),
IF(_xlpm.v=0,"",_xlpm.v)
),"")</f>
        <v/>
      </c>
      <c r="K1837" s="17"/>
      <c r="L1837" s="17" t="str">
        <f>IF(OR(COUNTIF('クラス'!$A$1:$A$1262,$B1837)&gt;0,$B1837="",$M1837=""),"",True)</f>
        <v/>
      </c>
      <c r="M1837" s="1" t="str">
        <f t="shared" si="27"/>
        <v>存在しない</v>
      </c>
      <c r="N1837" s="1" t="s">
        <v>29</v>
      </c>
      <c r="O1837" s="1"/>
      <c r="P1837" s="11"/>
      <c r="Q1837" s="11"/>
      <c r="R1837" s="11"/>
      <c r="S1837" s="11"/>
      <c r="T1837" s="1"/>
      <c r="U1837" s="1"/>
      <c r="V1837" s="1"/>
      <c r="W1837" s="1"/>
      <c r="X1837" s="1"/>
      <c r="Y1837" s="1"/>
      <c r="Z1837" s="1"/>
    </row>
    <row r="1838" ht="18.0" hidden="1" customHeight="1" outlineLevel="2">
      <c r="A1838" s="1">
        <v>7.0</v>
      </c>
      <c r="B1838" s="26" t="s">
        <v>1972</v>
      </c>
      <c r="C1838" s="1"/>
      <c r="D1838" s="1"/>
      <c r="E1838" s="14"/>
      <c r="F1838" s="15"/>
      <c r="G1838" s="16"/>
      <c r="H1838" s="11"/>
      <c r="I1838" s="7"/>
      <c r="J1838" s="7" t="str">
        <f>IFERROR(LET(_xlpm.v,
VLOOKUP($I1838,'用語辞書'!$A:$B,COLUMN('用語辞書'!B$1),FALSE),
IF(_xlpm.v=0,"",_xlpm.v)
),"")</f>
        <v/>
      </c>
      <c r="K1838" s="17"/>
      <c r="L1838" s="17" t="str">
        <f>IF(OR(COUNTIF('クラス'!$A$1:$A$1262,$B1838)&gt;0,$B1838="",$M1838=""),"",True)</f>
        <v/>
      </c>
      <c r="M1838" s="1" t="str">
        <f t="shared" si="27"/>
        <v/>
      </c>
      <c r="N1838" s="1" t="s">
        <v>29</v>
      </c>
      <c r="O1838" s="1"/>
      <c r="P1838" s="11"/>
      <c r="Q1838" s="11"/>
      <c r="R1838" s="11"/>
      <c r="S1838" s="11"/>
      <c r="T1838" s="1"/>
      <c r="U1838" s="1"/>
      <c r="V1838" s="1"/>
      <c r="W1838" s="1"/>
      <c r="X1838" s="1"/>
      <c r="Y1838" s="1"/>
      <c r="Z1838" s="1"/>
    </row>
    <row r="1839" ht="18.0" hidden="1" customHeight="1" outlineLevel="2">
      <c r="A1839" s="1">
        <v>8.0</v>
      </c>
      <c r="B1839" s="1"/>
      <c r="C1839" s="1"/>
      <c r="D1839" s="1"/>
      <c r="E1839" s="14"/>
      <c r="F1839" s="15"/>
      <c r="G1839" s="16"/>
      <c r="H1839" s="11"/>
      <c r="I1839" s="7"/>
      <c r="J1839" s="7" t="str">
        <f>IFERROR(LET(_xlpm.v,
VLOOKUP($I1839,'用語辞書'!$A:$B,COLUMN('用語辞書'!B$1),FALSE),
IF(_xlpm.v=0,"",_xlpm.v)
),"")</f>
        <v/>
      </c>
      <c r="K1839" s="17"/>
      <c r="L1839" s="17" t="str">
        <f>IF(OR(COUNTIF('クラス'!$A$1:$A$1262,$B1839)&gt;0,$B1839="",$M1839=""),"",True)</f>
        <v/>
      </c>
      <c r="M1839" s="1" t="str">
        <f t="shared" si="27"/>
        <v>存在しない</v>
      </c>
      <c r="N1839" s="1" t="s">
        <v>29</v>
      </c>
      <c r="O1839" s="1"/>
      <c r="P1839" s="11"/>
      <c r="Q1839" s="11"/>
      <c r="R1839" s="11"/>
      <c r="S1839" s="11"/>
      <c r="T1839" s="1"/>
      <c r="U1839" s="1"/>
      <c r="V1839" s="1"/>
      <c r="W1839" s="1"/>
      <c r="X1839" s="1"/>
      <c r="Y1839" s="1"/>
      <c r="Z1839" s="1"/>
    </row>
    <row r="1840" ht="18.0" hidden="1" customHeight="1" outlineLevel="2">
      <c r="A1840" s="1">
        <v>9.0</v>
      </c>
      <c r="B1840" s="26" t="s">
        <v>1981</v>
      </c>
      <c r="C1840" s="1"/>
      <c r="D1840" s="1"/>
      <c r="E1840" s="14"/>
      <c r="F1840" s="15"/>
      <c r="G1840" s="16"/>
      <c r="H1840" s="11"/>
      <c r="I1840" s="7"/>
      <c r="J1840" s="7" t="str">
        <f>IFERROR(LET(_xlpm.v,
VLOOKUP($I1840,'用語辞書'!$A:$B,COLUMN('用語辞書'!B$1),FALSE),
IF(_xlpm.v=0,"",_xlpm.v)
),"")</f>
        <v/>
      </c>
      <c r="K1840" s="17"/>
      <c r="L1840" s="17" t="str">
        <f>IF(OR(COUNTIF('クラス'!$A$1:$A$1262,$B1840)&gt;0,$B1840="",$M1840=""),"",True)</f>
        <v/>
      </c>
      <c r="M1840" s="1" t="str">
        <f t="shared" si="27"/>
        <v/>
      </c>
      <c r="N1840" s="1" t="s">
        <v>29</v>
      </c>
      <c r="O1840" s="1"/>
      <c r="P1840" s="11"/>
      <c r="Q1840" s="11"/>
      <c r="R1840" s="11"/>
      <c r="S1840" s="11"/>
      <c r="T1840" s="1"/>
      <c r="U1840" s="1"/>
      <c r="V1840" s="1"/>
      <c r="W1840" s="1"/>
      <c r="X1840" s="1"/>
      <c r="Y1840" s="1"/>
      <c r="Z1840" s="1"/>
    </row>
    <row r="1841" ht="18.0" hidden="1" customHeight="1" outlineLevel="2">
      <c r="A1841" s="1">
        <v>10.0</v>
      </c>
      <c r="B1841" s="1"/>
      <c r="C1841" s="1"/>
      <c r="D1841" s="1"/>
      <c r="E1841" s="14"/>
      <c r="F1841" s="15"/>
      <c r="G1841" s="16"/>
      <c r="H1841" s="11"/>
      <c r="I1841" s="7"/>
      <c r="J1841" s="7" t="str">
        <f>IFERROR(LET(_xlpm.v,
VLOOKUP($I1841,'用語辞書'!$A:$B,COLUMN('用語辞書'!B$1),FALSE),
IF(_xlpm.v=0,"",_xlpm.v)
),"")</f>
        <v/>
      </c>
      <c r="K1841" s="17"/>
      <c r="L1841" s="17" t="str">
        <f>IF(OR(COUNTIF('クラス'!$A$1:$A$1262,$B1841)&gt;0,$B1841="",$M1841=""),"",True)</f>
        <v/>
      </c>
      <c r="M1841" s="1" t="str">
        <f t="shared" si="27"/>
        <v>存在しない</v>
      </c>
      <c r="N1841" s="1" t="s">
        <v>29</v>
      </c>
      <c r="O1841" s="1"/>
      <c r="P1841" s="11"/>
      <c r="Q1841" s="11"/>
      <c r="R1841" s="11"/>
      <c r="S1841" s="11"/>
      <c r="T1841" s="1"/>
      <c r="U1841" s="1"/>
      <c r="V1841" s="1"/>
      <c r="W1841" s="1"/>
      <c r="X1841" s="1"/>
      <c r="Y1841" s="1"/>
      <c r="Z1841" s="1"/>
    </row>
    <row r="1842" ht="18.0" customHeight="1" outlineLevel="1" collapsed="1">
      <c r="A1842" s="1"/>
      <c r="B1842" s="1"/>
      <c r="C1842" s="1"/>
      <c r="D1842" s="1"/>
      <c r="E1842" s="14"/>
      <c r="F1842" s="15"/>
      <c r="G1842" s="16"/>
      <c r="H1842" s="11"/>
      <c r="I1842" s="7"/>
      <c r="J1842" s="7" t="str">
        <f>IFERROR(LET(_xlpm.v,
VLOOKUP($I1842,'用語辞書'!$A:$B,COLUMN('用語辞書'!B$1),FALSE),
IF(_xlpm.v=0,"",_xlpm.v)
),"")</f>
        <v/>
      </c>
      <c r="K1842" s="17"/>
      <c r="L1842" s="17" t="str">
        <f>IF(OR(COUNTIF('クラス'!$A$1:$A$1262,$B1842)&gt;0,$B1842="",$M1842=""),"",True)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 r="A1843" s="1"/>
      <c r="B1843" s="1"/>
      <c r="C1843" s="1"/>
      <c r="D1843" s="1"/>
      <c r="E1843" s="14"/>
      <c r="F1843" s="15"/>
      <c r="G1843" s="16"/>
      <c r="H1843" s="11"/>
      <c r="I1843" s="7"/>
      <c r="J1843" s="7" t="str">
        <f>IFERROR(LET(_xlpm.v,
VLOOKUP($I1843,'用語辞書'!$A:$B,COLUMN('用語辞書'!B$1),FALSE),
IF(_xlpm.v=0,"",_xlpm.v)
),"")</f>
        <v/>
      </c>
      <c r="K1843" s="17"/>
      <c r="L1843" s="17" t="str">
        <f>IF(OR(COUNTIF('クラス'!$A$1:$A$1262,$B1843)&gt;0,$B1843="",$M1843=""),"",True)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26" t="s">
        <v>1982</v>
      </c>
      <c r="C1844" s="1"/>
      <c r="D1844" s="1"/>
      <c r="E1844" s="14"/>
      <c r="F1844" s="15"/>
      <c r="G1844" s="16"/>
      <c r="H1844" s="11"/>
      <c r="I1844" s="7"/>
      <c r="J1844" s="7" t="str">
        <f>IFERROR(LET(_xlpm.v,
VLOOKUP($I1844,'用語辞書'!$A:$B,COLUMN('用語辞書'!B$1),FALSE),
IF(_xlpm.v=0,"",_xlpm.v)
),"")</f>
        <v/>
      </c>
      <c r="K1844" s="17"/>
      <c r="L1844" s="17" t="str">
        <f>IF(OR(COUNTIF('クラス'!$A$1:$A$1262,$B1844)&gt;0,$B1844="",$M1844=""),"",True)</f>
        <v/>
      </c>
      <c r="M1844" s="1" t="str">
        <f t="shared" si="27"/>
        <v>存在しない</v>
      </c>
      <c r="N1844" s="1" t="s">
        <v>29</v>
      </c>
      <c r="O1844" s="1"/>
      <c r="P1844" s="11"/>
      <c r="Q1844" s="11"/>
      <c r="R1844" s="11"/>
      <c r="S1844" s="11"/>
      <c r="T1844" s="1"/>
      <c r="U1844" s="1"/>
      <c r="V1844" s="1"/>
      <c r="W1844" s="1"/>
      <c r="X1844" s="1"/>
      <c r="Y1844" s="1"/>
      <c r="Z1844" s="1"/>
    </row>
    <row r="1845" ht="18.0" hidden="1" customHeight="1" outlineLevel="2">
      <c r="A1845" s="1">
        <v>1.0</v>
      </c>
      <c r="B1845" s="26" t="s">
        <v>1966</v>
      </c>
      <c r="C1845" s="1"/>
      <c r="D1845" s="1"/>
      <c r="E1845" s="14"/>
      <c r="F1845" s="15"/>
      <c r="G1845" s="16"/>
      <c r="H1845" s="11"/>
      <c r="I1845" s="7"/>
      <c r="J1845" s="7" t="str">
        <f>IFERROR(LET(_xlpm.v,
VLOOKUP($I1845,'用語辞書'!$A:$B,COLUMN('用語辞書'!B$1),FALSE),
IF(_xlpm.v=0,"",_xlpm.v)
),"")</f>
        <v/>
      </c>
      <c r="K1845" s="17"/>
      <c r="L1845" s="17" t="str">
        <f>IF(OR(COUNTIF('クラス'!$A$1:$A$1262,$B1845)&gt;0,$B1845="",$M1845=""),"",True)</f>
        <v/>
      </c>
      <c r="M1845" s="1" t="str">
        <f t="shared" si="27"/>
        <v/>
      </c>
      <c r="N1845" s="1" t="s">
        <v>29</v>
      </c>
      <c r="O1845" s="1"/>
      <c r="P1845" s="11"/>
      <c r="Q1845" s="11"/>
      <c r="R1845" s="11"/>
      <c r="S1845" s="11"/>
      <c r="T1845" s="1"/>
      <c r="U1845" s="1"/>
      <c r="V1845" s="1"/>
      <c r="W1845" s="1"/>
      <c r="X1845" s="1"/>
      <c r="Y1845" s="1"/>
      <c r="Z1845" s="1"/>
    </row>
    <row r="1846" ht="18.0" hidden="1" customHeight="1" outlineLevel="2">
      <c r="A1846" s="1">
        <v>2.0</v>
      </c>
      <c r="B1846" s="26" t="s">
        <v>1968</v>
      </c>
      <c r="C1846" s="1"/>
      <c r="D1846" s="1"/>
      <c r="E1846" s="14"/>
      <c r="F1846" s="15"/>
      <c r="G1846" s="16"/>
      <c r="H1846" s="11"/>
      <c r="I1846" s="7"/>
      <c r="J1846" s="7" t="str">
        <f>IFERROR(LET(_xlpm.v,
VLOOKUP($I1846,'用語辞書'!$A:$B,COLUMN('用語辞書'!B$1),FALSE),
IF(_xlpm.v=0,"",_xlpm.v)
),"")</f>
        <v/>
      </c>
      <c r="K1846" s="17"/>
      <c r="L1846" s="17" t="str">
        <f>IF(OR(COUNTIF('クラス'!$A$1:$A$1262,$B1846)&gt;0,$B1846="",$M1846=""),"",True)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3.0</v>
      </c>
      <c r="B1847" s="26" t="s">
        <v>1970</v>
      </c>
      <c r="C1847" s="1"/>
      <c r="D1847" s="1"/>
      <c r="E1847" s="14"/>
      <c r="F1847" s="15"/>
      <c r="G1847" s="16"/>
      <c r="H1847" s="11"/>
      <c r="I1847" s="7"/>
      <c r="J1847" s="7" t="str">
        <f>IFERROR(LET(_xlpm.v,
VLOOKUP($I1847,'用語辞書'!$A:$B,COLUMN('用語辞書'!B$1),FALSE),
IF(_xlpm.v=0,"",_xlpm.v)
),"")</f>
        <v/>
      </c>
      <c r="K1847" s="17"/>
      <c r="L1847" s="17" t="str">
        <f>IF(OR(COUNTIF('クラス'!$A$1:$A$1262,$B1847)&gt;0,$B1847="",$M1847=""),"",True)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VLOOKUP($I1848,'用語辞書'!$A:$B,COLUMN('用語辞書'!B$1),FALSE),
IF(_xlpm.v=0,"",_xlpm.v)
),"")</f>
        <v/>
      </c>
      <c r="K1848" s="17"/>
      <c r="L1848" s="17" t="str">
        <f>IF(OR(COUNTIF('クラス'!$A$1:$A$1262,$B1848)&gt;0,$B1848="",$M1848=""),"",True)</f>
        <v/>
      </c>
      <c r="M1848" s="1" t="str">
        <f t="shared" si="27"/>
        <v>存在しない</v>
      </c>
      <c r="N1848" s="1" t="s">
        <v>29</v>
      </c>
      <c r="O1848" s="1"/>
      <c r="P1848" s="11"/>
      <c r="Q1848" s="11"/>
      <c r="R1848" s="11"/>
      <c r="S1848" s="11"/>
      <c r="T1848" s="1"/>
      <c r="U1848" s="1"/>
      <c r="V1848" s="1"/>
      <c r="W1848" s="1"/>
      <c r="X1848" s="1"/>
      <c r="Y1848" s="1"/>
      <c r="Z1848" s="1"/>
    </row>
    <row r="1849" ht="18.0" hidden="1" customHeight="1" outlineLevel="2">
      <c r="A1849" s="1">
        <v>5.0</v>
      </c>
      <c r="B1849" s="26" t="s">
        <v>1243</v>
      </c>
      <c r="C1849" s="1"/>
      <c r="D1849" s="1"/>
      <c r="E1849" s="14"/>
      <c r="F1849" s="15"/>
      <c r="G1849" s="16"/>
      <c r="H1849" s="11"/>
      <c r="I1849" s="7"/>
      <c r="J1849" s="7" t="str">
        <f>IFERROR(LET(_xlpm.v,
VLOOKUP($I1849,'用語辞書'!$A:$B,COLUMN('用語辞書'!B$1),FALSE),
IF(_xlpm.v=0,"",_xlpm.v)
),"")</f>
        <v/>
      </c>
      <c r="K1849" s="17"/>
      <c r="L1849" s="17" t="str">
        <f>IF(OR(COUNTIF('クラス'!$A$1:$A$1262,$B1849)&gt;0,$B1849="",$M1849=""),"",True)</f>
        <v/>
      </c>
      <c r="M1849" s="1" t="str">
        <f t="shared" si="27"/>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VLOOKUP($I1850,'用語辞書'!$A:$B,COLUMN('用語辞書'!B$1),FALSE),
IF(_xlpm.v=0,"",_xlpm.v)
),"")</f>
        <v/>
      </c>
      <c r="K1850" s="17"/>
      <c r="L1850" s="17" t="str">
        <f>IF(OR(COUNTIF('クラス'!$A$1:$A$1262,$B1850)&gt;0,$B1850="",$M1850=""),"",True)</f>
        <v/>
      </c>
      <c r="M1850" s="1" t="str">
        <f t="shared" si="27"/>
        <v>存在しない</v>
      </c>
      <c r="N1850" s="1" t="s">
        <v>29</v>
      </c>
      <c r="O1850" s="1"/>
      <c r="P1850" s="11"/>
      <c r="Q1850" s="11"/>
      <c r="R1850" s="11"/>
      <c r="S1850" s="11"/>
      <c r="T1850" s="1"/>
      <c r="U1850" s="1"/>
      <c r="V1850" s="1"/>
      <c r="W1850" s="1"/>
      <c r="X1850" s="1"/>
      <c r="Y1850" s="1"/>
      <c r="Z1850" s="1"/>
    </row>
    <row r="1851" ht="18.0" hidden="1" customHeight="1" outlineLevel="2">
      <c r="A1851" s="1">
        <v>7.0</v>
      </c>
      <c r="B1851" s="26" t="s">
        <v>1972</v>
      </c>
      <c r="C1851" s="1"/>
      <c r="D1851" s="1"/>
      <c r="E1851" s="14"/>
      <c r="F1851" s="15"/>
      <c r="G1851" s="16"/>
      <c r="H1851" s="11"/>
      <c r="I1851" s="7"/>
      <c r="J1851" s="7" t="str">
        <f>IFERROR(LET(_xlpm.v,
VLOOKUP($I1851,'用語辞書'!$A:$B,COLUMN('用語辞書'!B$1),FALSE),
IF(_xlpm.v=0,"",_xlpm.v)
),"")</f>
        <v/>
      </c>
      <c r="K1851" s="17"/>
      <c r="L1851" s="17" t="str">
        <f>IF(OR(COUNTIF('クラス'!$A$1:$A$1262,$B1851)&gt;0,$B1851="",$M1851=""),"",True)</f>
        <v/>
      </c>
      <c r="M1851" s="1" t="str">
        <f t="shared" si="27"/>
        <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VLOOKUP($I1852,'用語辞書'!$A:$B,COLUMN('用語辞書'!B$1),FALSE),
IF(_xlpm.v=0,"",_xlpm.v)
),"")</f>
        <v/>
      </c>
      <c r="K1852" s="17"/>
      <c r="L1852" s="17" t="str">
        <f>IF(OR(COUNTIF('クラス'!$A$1:$A$1262,$B1852)&gt;0,$B1852="",$M1852=""),"",True)</f>
        <v/>
      </c>
      <c r="M1852" s="1" t="str">
        <f t="shared" si="27"/>
        <v>存在しない</v>
      </c>
      <c r="N1852" s="1" t="s">
        <v>29</v>
      </c>
      <c r="O1852" s="1"/>
      <c r="P1852" s="11"/>
      <c r="Q1852" s="11"/>
      <c r="R1852" s="11"/>
      <c r="S1852" s="11"/>
      <c r="T1852" s="1"/>
      <c r="U1852" s="1"/>
      <c r="V1852" s="1"/>
      <c r="W1852" s="1"/>
      <c r="X1852" s="1"/>
      <c r="Y1852" s="1"/>
      <c r="Z1852" s="1"/>
    </row>
    <row r="1853" ht="18.0" hidden="1" customHeight="1" outlineLevel="2">
      <c r="A1853" s="1">
        <v>9.0</v>
      </c>
      <c r="B1853" s="26" t="s">
        <v>1983</v>
      </c>
      <c r="C1853" s="1"/>
      <c r="D1853" s="1"/>
      <c r="E1853" s="14"/>
      <c r="F1853" s="15"/>
      <c r="G1853" s="16"/>
      <c r="H1853" s="11"/>
      <c r="I1853" s="7"/>
      <c r="J1853" s="7" t="str">
        <f>IFERROR(LET(_xlpm.v,
VLOOKUP($I1853,'用語辞書'!$A:$B,COLUMN('用語辞書'!B$1),FALSE),
IF(_xlpm.v=0,"",_xlpm.v)
),"")</f>
        <v/>
      </c>
      <c r="K1853" s="17"/>
      <c r="L1853" s="17" t="str">
        <f>IF(OR(COUNTIF('クラス'!$A$1:$A$1262,$B1853)&gt;0,$B1853="",$M1853=""),"",True)</f>
        <v/>
      </c>
      <c r="M1853" s="1" t="str">
        <f t="shared" si="27"/>
        <v/>
      </c>
      <c r="N1853" s="1" t="s">
        <v>29</v>
      </c>
      <c r="O1853" s="1"/>
      <c r="P1853" s="11"/>
      <c r="Q1853" s="11"/>
      <c r="R1853" s="11"/>
      <c r="S1853" s="11"/>
      <c r="T1853" s="1"/>
      <c r="U1853" s="1"/>
      <c r="V1853" s="1"/>
      <c r="W1853" s="1"/>
      <c r="X1853" s="1"/>
      <c r="Y1853" s="1"/>
      <c r="Z1853" s="1"/>
    </row>
    <row r="1854" ht="18.0" hidden="1" customHeight="1" outlineLevel="2">
      <c r="A1854" s="1">
        <v>10.0</v>
      </c>
      <c r="B1854" s="1"/>
      <c r="C1854" s="1"/>
      <c r="D1854" s="1"/>
      <c r="E1854" s="14"/>
      <c r="F1854" s="15"/>
      <c r="G1854" s="16"/>
      <c r="H1854" s="11"/>
      <c r="I1854" s="7"/>
      <c r="J1854" s="7" t="str">
        <f>IFERROR(LET(_xlpm.v,
VLOOKUP($I1854,'用語辞書'!$A:$B,COLUMN('用語辞書'!B$1),FALSE),
IF(_xlpm.v=0,"",_xlpm.v)
),"")</f>
        <v/>
      </c>
      <c r="K1854" s="17"/>
      <c r="L1854" s="17" t="str">
        <f>IF(OR(COUNTIF('クラス'!$A$1:$A$1262,$B1854)&gt;0,$B1854="",$M1854=""),"",True)</f>
        <v/>
      </c>
      <c r="M1854" s="1" t="str">
        <f t="shared" si="27"/>
        <v>存在しない</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VLOOKUP($I1855,'用語辞書'!$A:$B,COLUMN('用語辞書'!B$1),FALSE),
IF(_xlpm.v=0,"",_xlpm.v)
),"")</f>
        <v/>
      </c>
      <c r="K1855" s="17"/>
      <c r="L1855" s="17" t="str">
        <f>IF(OR(COUNTIF('クラス'!$A$1:$A$1262,$B1855)&gt;0,$B1855="",$M1855=""),"",True)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 r="A1856" s="1"/>
      <c r="B1856" s="1"/>
      <c r="C1856" s="1"/>
      <c r="D1856" s="1"/>
      <c r="E1856" s="14"/>
      <c r="F1856" s="15"/>
      <c r="G1856" s="16"/>
      <c r="H1856" s="11"/>
      <c r="I1856" s="7"/>
      <c r="J1856" s="7" t="str">
        <f>IFERROR(LET(_xlpm.v,
VLOOKUP($I1856,'用語辞書'!$A:$B,COLUMN('用語辞書'!B$1),FALSE),
IF(_xlpm.v=0,"",_xlpm.v)
),"")</f>
        <v/>
      </c>
      <c r="K1856" s="17"/>
      <c r="L1856" s="17" t="str">
        <f>IF(OR(COUNTIF('クラス'!$A$1:$A$1262,$B1856)&gt;0,$B1856="",$M1856=""),"",True)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26" t="s">
        <v>1984</v>
      </c>
      <c r="C1857" s="1"/>
      <c r="D1857" s="1"/>
      <c r="E1857" s="14"/>
      <c r="F1857" s="15"/>
      <c r="G1857" s="16"/>
      <c r="H1857" s="11"/>
      <c r="I1857" s="7"/>
      <c r="J1857" s="7" t="str">
        <f>IFERROR(LET(_xlpm.v,
VLOOKUP($I1857,'用語辞書'!$A:$B,COLUMN('用語辞書'!B$1),FALSE),
IF(_xlpm.v=0,"",_xlpm.v)
),"")</f>
        <v/>
      </c>
      <c r="K1857" s="17"/>
      <c r="L1857" s="17" t="str">
        <f>IF(OR(COUNTIF('クラス'!$A$1:$A$1262,$B1857)&gt;0,$B1857="",$M1857=""),"",True)</f>
        <v/>
      </c>
      <c r="M1857" s="1" t="str">
        <f t="shared" si="27"/>
        <v>存在しない</v>
      </c>
      <c r="N1857" s="1" t="s">
        <v>29</v>
      </c>
      <c r="O1857" s="1"/>
      <c r="P1857" s="11"/>
      <c r="Q1857" s="11"/>
      <c r="R1857" s="11"/>
      <c r="S1857" s="11"/>
      <c r="T1857" s="1"/>
      <c r="U1857" s="1"/>
      <c r="V1857" s="1"/>
      <c r="W1857" s="1"/>
      <c r="X1857" s="1"/>
      <c r="Y1857" s="1"/>
      <c r="Z1857" s="1"/>
    </row>
    <row r="1858" ht="18.0" hidden="1" customHeight="1" outlineLevel="2">
      <c r="A1858" s="1">
        <v>1.0</v>
      </c>
      <c r="B1858" s="26" t="s">
        <v>1966</v>
      </c>
      <c r="C1858" s="1"/>
      <c r="D1858" s="1"/>
      <c r="E1858" s="14"/>
      <c r="F1858" s="15"/>
      <c r="G1858" s="16"/>
      <c r="H1858" s="11"/>
      <c r="I1858" s="7"/>
      <c r="J1858" s="7" t="str">
        <f>IFERROR(LET(_xlpm.v,
VLOOKUP($I1858,'用語辞書'!$A:$B,COLUMN('用語辞書'!B$1),FALSE),
IF(_xlpm.v=0,"",_xlpm.v)
),"")</f>
        <v/>
      </c>
      <c r="K1858" s="17"/>
      <c r="L1858" s="17" t="str">
        <f>IF(OR(COUNTIF('クラス'!$A$1:$A$1262,$B1858)&gt;0,$B1858="",$M1858=""),"",True)</f>
        <v/>
      </c>
      <c r="M1858" s="1" t="str">
        <f t="shared" si="27"/>
        <v/>
      </c>
      <c r="N1858" s="1" t="s">
        <v>29</v>
      </c>
      <c r="O1858" s="1"/>
      <c r="P1858" s="11"/>
      <c r="Q1858" s="11"/>
      <c r="R1858" s="11"/>
      <c r="S1858" s="11"/>
      <c r="T1858" s="1"/>
      <c r="U1858" s="1"/>
      <c r="V1858" s="1"/>
      <c r="W1858" s="1"/>
      <c r="X1858" s="1"/>
      <c r="Y1858" s="1"/>
      <c r="Z1858" s="1"/>
    </row>
    <row r="1859" ht="18.0" hidden="1" customHeight="1" outlineLevel="2">
      <c r="A1859" s="1">
        <v>2.0</v>
      </c>
      <c r="B1859" s="26" t="s">
        <v>1968</v>
      </c>
      <c r="C1859" s="1"/>
      <c r="D1859" s="1"/>
      <c r="E1859" s="14"/>
      <c r="F1859" s="15"/>
      <c r="G1859" s="16"/>
      <c r="H1859" s="11"/>
      <c r="I1859" s="7"/>
      <c r="J1859" s="7" t="str">
        <f>IFERROR(LET(_xlpm.v,
VLOOKUP($I1859,'用語辞書'!$A:$B,COLUMN('用語辞書'!B$1),FALSE),
IF(_xlpm.v=0,"",_xlpm.v)
),"")</f>
        <v/>
      </c>
      <c r="K1859" s="17"/>
      <c r="L1859" s="17" t="str">
        <f>IF(OR(COUNTIF('クラス'!$A$1:$A$1262,$B1859)&gt;0,$B1859="",$M1859=""),"",True)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3.0</v>
      </c>
      <c r="B1860" s="26" t="s">
        <v>1970</v>
      </c>
      <c r="C1860" s="1"/>
      <c r="D1860" s="1"/>
      <c r="E1860" s="14"/>
      <c r="F1860" s="15"/>
      <c r="G1860" s="16"/>
      <c r="H1860" s="11"/>
      <c r="I1860" s="7"/>
      <c r="J1860" s="7" t="str">
        <f>IFERROR(LET(_xlpm.v,
VLOOKUP($I1860,'用語辞書'!$A:$B,COLUMN('用語辞書'!B$1),FALSE),
IF(_xlpm.v=0,"",_xlpm.v)
),"")</f>
        <v/>
      </c>
      <c r="K1860" s="17"/>
      <c r="L1860" s="17" t="str">
        <f>IF(OR(COUNTIF('クラス'!$A$1:$A$1262,$B1860)&gt;0,$B1860="",$M1860=""),"",True)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4.0</v>
      </c>
      <c r="B1861" s="1"/>
      <c r="C1861" s="1"/>
      <c r="D1861" s="1"/>
      <c r="E1861" s="14"/>
      <c r="F1861" s="15"/>
      <c r="G1861" s="16"/>
      <c r="H1861" s="11"/>
      <c r="I1861" s="7"/>
      <c r="J1861" s="7" t="str">
        <f>IFERROR(LET(_xlpm.v,
VLOOKUP($I1861,'用語辞書'!$A:$B,COLUMN('用語辞書'!B$1),FALSE),
IF(_xlpm.v=0,"",_xlpm.v)
),"")</f>
        <v/>
      </c>
      <c r="K1861" s="17"/>
      <c r="L1861" s="17" t="str">
        <f>IF(OR(COUNTIF('クラス'!$A$1:$A$1262,$B1861)&gt;0,$B1861="",$M1861=""),"",True)</f>
        <v/>
      </c>
      <c r="M1861" s="1" t="str">
        <f t="shared" si="27"/>
        <v>存在しない</v>
      </c>
      <c r="N1861" s="1" t="s">
        <v>29</v>
      </c>
      <c r="O1861" s="1"/>
      <c r="P1861" s="11"/>
      <c r="Q1861" s="11"/>
      <c r="R1861" s="11"/>
      <c r="S1861" s="11"/>
      <c r="T1861" s="1"/>
      <c r="U1861" s="1"/>
      <c r="V1861" s="1"/>
      <c r="W1861" s="1"/>
      <c r="X1861" s="1"/>
      <c r="Y1861" s="1"/>
      <c r="Z1861" s="1"/>
    </row>
    <row r="1862" ht="18.0" hidden="1" customHeight="1" outlineLevel="2">
      <c r="A1862" s="1">
        <v>5.0</v>
      </c>
      <c r="B1862" s="26" t="s">
        <v>1243</v>
      </c>
      <c r="C1862" s="1"/>
      <c r="D1862" s="1"/>
      <c r="E1862" s="14"/>
      <c r="F1862" s="15"/>
      <c r="G1862" s="16"/>
      <c r="H1862" s="11"/>
      <c r="I1862" s="7"/>
      <c r="J1862" s="7" t="str">
        <f>IFERROR(LET(_xlpm.v,
VLOOKUP($I1862,'用語辞書'!$A:$B,COLUMN('用語辞書'!B$1),FALSE),
IF(_xlpm.v=0,"",_xlpm.v)
),"")</f>
        <v/>
      </c>
      <c r="K1862" s="17"/>
      <c r="L1862" s="17" t="str">
        <f>IF(OR(COUNTIF('クラス'!$A$1:$A$1262,$B1862)&gt;0,$B1862="",$M1862=""),"",True)</f>
        <v/>
      </c>
      <c r="M1862" s="1" t="str">
        <f t="shared" si="27"/>
        <v/>
      </c>
      <c r="N1862" s="1" t="s">
        <v>29</v>
      </c>
      <c r="O1862" s="1"/>
      <c r="P1862" s="11"/>
      <c r="Q1862" s="11"/>
      <c r="R1862" s="11"/>
      <c r="S1862" s="11"/>
      <c r="T1862" s="1"/>
      <c r="U1862" s="1"/>
      <c r="V1862" s="1"/>
      <c r="W1862" s="1"/>
      <c r="X1862" s="1"/>
      <c r="Y1862" s="1"/>
      <c r="Z1862" s="1"/>
    </row>
    <row r="1863" ht="18.0" hidden="1" customHeight="1" outlineLevel="2">
      <c r="A1863" s="1">
        <v>6.0</v>
      </c>
      <c r="B1863" s="1"/>
      <c r="C1863" s="1"/>
      <c r="D1863" s="1"/>
      <c r="E1863" s="14"/>
      <c r="F1863" s="15"/>
      <c r="G1863" s="16"/>
      <c r="H1863" s="11"/>
      <c r="I1863" s="7"/>
      <c r="J1863" s="7" t="str">
        <f>IFERROR(LET(_xlpm.v,
VLOOKUP($I1863,'用語辞書'!$A:$B,COLUMN('用語辞書'!B$1),FALSE),
IF(_xlpm.v=0,"",_xlpm.v)
),"")</f>
        <v/>
      </c>
      <c r="K1863" s="17"/>
      <c r="L1863" s="17" t="str">
        <f>IF(OR(COUNTIF('クラス'!$A$1:$A$1262,$B1863)&gt;0,$B1863="",$M1863=""),"",True)</f>
        <v/>
      </c>
      <c r="M1863" s="1" t="str">
        <f t="shared" si="27"/>
        <v>存在しない</v>
      </c>
      <c r="N1863" s="1" t="s">
        <v>29</v>
      </c>
      <c r="O1863" s="1"/>
      <c r="P1863" s="11"/>
      <c r="Q1863" s="11"/>
      <c r="R1863" s="11"/>
      <c r="S1863" s="11"/>
      <c r="T1863" s="1"/>
      <c r="U1863" s="1"/>
      <c r="V1863" s="1"/>
      <c r="W1863" s="1"/>
      <c r="X1863" s="1"/>
      <c r="Y1863" s="1"/>
      <c r="Z1863" s="1"/>
    </row>
    <row r="1864" ht="18.0" hidden="1" customHeight="1" outlineLevel="2">
      <c r="A1864" s="1">
        <v>7.0</v>
      </c>
      <c r="B1864" s="26" t="s">
        <v>1972</v>
      </c>
      <c r="C1864" s="1"/>
      <c r="D1864" s="1"/>
      <c r="E1864" s="14"/>
      <c r="F1864" s="15"/>
      <c r="G1864" s="16"/>
      <c r="H1864" s="11"/>
      <c r="I1864" s="7"/>
      <c r="J1864" s="7" t="str">
        <f>IFERROR(LET(_xlpm.v,
VLOOKUP($I1864,'用語辞書'!$A:$B,COLUMN('用語辞書'!B$1),FALSE),
IF(_xlpm.v=0,"",_xlpm.v)
),"")</f>
        <v/>
      </c>
      <c r="K1864" s="17"/>
      <c r="L1864" s="17" t="str">
        <f>IF(OR(COUNTIF('クラス'!$A$1:$A$1262,$B1864)&gt;0,$B1864="",$M1864=""),"",True)</f>
        <v/>
      </c>
      <c r="M1864" s="1" t="str">
        <f t="shared" si="27"/>
        <v/>
      </c>
      <c r="N1864" s="1" t="s">
        <v>29</v>
      </c>
      <c r="O1864" s="1"/>
      <c r="P1864" s="11"/>
      <c r="Q1864" s="11"/>
      <c r="R1864" s="11"/>
      <c r="S1864" s="11"/>
      <c r="T1864" s="1"/>
      <c r="U1864" s="1"/>
      <c r="V1864" s="1"/>
      <c r="W1864" s="1"/>
      <c r="X1864" s="1"/>
      <c r="Y1864" s="1"/>
      <c r="Z1864" s="1"/>
    </row>
    <row r="1865" ht="18.0" hidden="1" customHeight="1" outlineLevel="2">
      <c r="A1865" s="1">
        <v>8.0</v>
      </c>
      <c r="B1865" s="1"/>
      <c r="C1865" s="1"/>
      <c r="D1865" s="1"/>
      <c r="E1865" s="14"/>
      <c r="F1865" s="15"/>
      <c r="G1865" s="16"/>
      <c r="H1865" s="11"/>
      <c r="I1865" s="7"/>
      <c r="J1865" s="7" t="str">
        <f>IFERROR(LET(_xlpm.v,
VLOOKUP($I1865,'用語辞書'!$A:$B,COLUMN('用語辞書'!B$1),FALSE),
IF(_xlpm.v=0,"",_xlpm.v)
),"")</f>
        <v/>
      </c>
      <c r="K1865" s="17"/>
      <c r="L1865" s="17" t="str">
        <f>IF(OR(COUNTIF('クラス'!$A$1:$A$1262,$B1865)&gt;0,$B1865="",$M1865=""),"",True)</f>
        <v/>
      </c>
      <c r="M1865" s="1" t="str">
        <f t="shared" si="27"/>
        <v>存在しない</v>
      </c>
      <c r="N1865" s="1" t="s">
        <v>29</v>
      </c>
      <c r="O1865" s="1"/>
      <c r="P1865" s="11"/>
      <c r="Q1865" s="11"/>
      <c r="R1865" s="11"/>
      <c r="S1865" s="11"/>
      <c r="T1865" s="1"/>
      <c r="U1865" s="1"/>
      <c r="V1865" s="1"/>
      <c r="W1865" s="1"/>
      <c r="X1865" s="1"/>
      <c r="Y1865" s="1"/>
      <c r="Z1865" s="1"/>
    </row>
    <row r="1866" ht="18.0" hidden="1" customHeight="1" outlineLevel="2">
      <c r="A1866" s="1">
        <v>9.0</v>
      </c>
      <c r="B1866" s="26" t="s">
        <v>1985</v>
      </c>
      <c r="C1866" s="1"/>
      <c r="D1866" s="1"/>
      <c r="E1866" s="14"/>
      <c r="F1866" s="15"/>
      <c r="G1866" s="16"/>
      <c r="H1866" s="11"/>
      <c r="I1866" s="7"/>
      <c r="J1866" s="7" t="str">
        <f>IFERROR(LET(_xlpm.v,
VLOOKUP($I1866,'用語辞書'!$A:$B,COLUMN('用語辞書'!B$1),FALSE),
IF(_xlpm.v=0,"",_xlpm.v)
),"")</f>
        <v/>
      </c>
      <c r="K1866" s="17"/>
      <c r="L1866" s="17" t="b">
        <f>IF(OR(COUNTIF('クラス'!$A$1:$A$1262,$B1866)&gt;0,$B1866="",$M1866=""),"",True)</f>
        <v>1</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10.0</v>
      </c>
      <c r="B1867" s="1"/>
      <c r="C1867" s="1"/>
      <c r="D1867" s="1"/>
      <c r="E1867" s="14"/>
      <c r="F1867" s="15"/>
      <c r="G1867" s="16"/>
      <c r="H1867" s="11"/>
      <c r="I1867" s="7"/>
      <c r="J1867" s="7" t="str">
        <f>IFERROR(LET(_xlpm.v,
VLOOKUP($I1867,'用語辞書'!$A:$B,COLUMN('用語辞書'!B$1),FALSE),
IF(_xlpm.v=0,"",_xlpm.v)
),"")</f>
        <v/>
      </c>
      <c r="K1867" s="17"/>
      <c r="L1867" s="17" t="str">
        <f>IF(OR(COUNTIF('クラス'!$A$1:$A$1262,$B1867)&gt;0,$B1867="",$M1867=""),"",True)</f>
        <v/>
      </c>
      <c r="M1867" s="1" t="str">
        <f t="shared" si="27"/>
        <v>存在しない</v>
      </c>
      <c r="N1867" s="1" t="s">
        <v>29</v>
      </c>
      <c r="O1867" s="1"/>
      <c r="P1867" s="11"/>
      <c r="Q1867" s="11"/>
      <c r="R1867" s="11"/>
      <c r="S1867" s="11"/>
      <c r="T1867" s="1"/>
      <c r="U1867" s="1"/>
      <c r="V1867" s="1"/>
      <c r="W1867" s="1"/>
      <c r="X1867" s="1"/>
      <c r="Y1867" s="1"/>
      <c r="Z1867" s="1"/>
    </row>
    <row r="1868" ht="18.0" customHeight="1" outlineLevel="1" collapsed="1">
      <c r="A1868" s="1"/>
      <c r="B1868" s="1"/>
      <c r="C1868" s="1"/>
      <c r="D1868" s="1"/>
      <c r="E1868" s="14"/>
      <c r="F1868" s="15"/>
      <c r="G1868" s="16"/>
      <c r="H1868" s="11"/>
      <c r="I1868" s="7"/>
      <c r="J1868" s="7" t="str">
        <f>IFERROR(LET(_xlpm.v,
VLOOKUP($I1868,'用語辞書'!$A:$B,COLUMN('用語辞書'!B$1),FALSE),
IF(_xlpm.v=0,"",_xlpm.v)
),"")</f>
        <v/>
      </c>
      <c r="K1868" s="17"/>
      <c r="L1868" s="17" t="str">
        <f>IF(OR(COUNTIF('クラス'!$A$1:$A$1262,$B1868)&gt;0,$B1868="",$M1868=""),"",True)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 r="A1869" s="1"/>
      <c r="B1869" s="1"/>
      <c r="C1869" s="1"/>
      <c r="D1869" s="1"/>
      <c r="E1869" s="14"/>
      <c r="F1869" s="15"/>
      <c r="G1869" s="16"/>
      <c r="H1869" s="11"/>
      <c r="I1869" s="7"/>
      <c r="J1869" s="7" t="str">
        <f>IFERROR(LET(_xlpm.v,
VLOOKUP($I1869,'用語辞書'!$A:$B,COLUMN('用語辞書'!B$1),FALSE),
IF(_xlpm.v=0,"",_xlpm.v)
),"")</f>
        <v/>
      </c>
      <c r="K1869" s="17"/>
      <c r="L1869" s="17" t="str">
        <f>IF(OR(COUNTIF('クラス'!$A$1:$A$1262,$B1869)&gt;0,$B1869="",$M1869=""),"",True)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26" t="s">
        <v>1986</v>
      </c>
      <c r="C1870" s="1"/>
      <c r="D1870" s="1"/>
      <c r="E1870" s="14"/>
      <c r="F1870" s="15"/>
      <c r="G1870" s="16"/>
      <c r="H1870" s="11"/>
      <c r="I1870" s="7"/>
      <c r="J1870" s="7" t="str">
        <f>IFERROR(LET(_xlpm.v,
VLOOKUP($I1870,'用語辞書'!$A:$B,COLUMN('用語辞書'!B$1),FALSE),
IF(_xlpm.v=0,"",_xlpm.v)
),"")</f>
        <v/>
      </c>
      <c r="K1870" s="17"/>
      <c r="L1870" s="17" t="str">
        <f>IF(OR(COUNTIF('クラス'!$A$1:$A$1262,$B1870)&gt;0,$B1870="",$M1870=""),"",True)</f>
        <v/>
      </c>
      <c r="M1870" s="1" t="str">
        <f t="shared" si="27"/>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1966</v>
      </c>
      <c r="C1871" s="1"/>
      <c r="D1871" s="1"/>
      <c r="E1871" s="14"/>
      <c r="F1871" s="15"/>
      <c r="G1871" s="16"/>
      <c r="H1871" s="11"/>
      <c r="I1871" s="7"/>
      <c r="J1871" s="7" t="str">
        <f>IFERROR(LET(_xlpm.v,
VLOOKUP($I1871,'用語辞書'!$A:$B,COLUMN('用語辞書'!B$1),FALSE),
IF(_xlpm.v=0,"",_xlpm.v)
),"")</f>
        <v/>
      </c>
      <c r="K1871" s="17"/>
      <c r="L1871" s="17" t="str">
        <f>IF(OR(COUNTIF('クラス'!$A$1:$A$1262,$B1871)&gt;0,$B1871="",$M1871=""),"",True)</f>
        <v/>
      </c>
      <c r="M1871" s="1" t="str">
        <f t="shared" si="27"/>
        <v/>
      </c>
      <c r="N1871" s="1" t="s">
        <v>29</v>
      </c>
      <c r="O1871" s="1"/>
      <c r="P1871" s="11"/>
      <c r="Q1871" s="11"/>
      <c r="R1871" s="11"/>
      <c r="S1871" s="11"/>
      <c r="T1871" s="1"/>
      <c r="U1871" s="1"/>
      <c r="V1871" s="1"/>
      <c r="W1871" s="1"/>
      <c r="X1871" s="1"/>
      <c r="Y1871" s="1"/>
      <c r="Z1871" s="1"/>
    </row>
    <row r="1872" ht="18.0" hidden="1" customHeight="1" outlineLevel="2">
      <c r="A1872" s="1">
        <v>2.0</v>
      </c>
      <c r="B1872" s="26" t="s">
        <v>1968</v>
      </c>
      <c r="C1872" s="1"/>
      <c r="D1872" s="1"/>
      <c r="E1872" s="14"/>
      <c r="F1872" s="15"/>
      <c r="G1872" s="16"/>
      <c r="H1872" s="11"/>
      <c r="I1872" s="7"/>
      <c r="J1872" s="7" t="str">
        <f>IFERROR(LET(_xlpm.v,
VLOOKUP($I1872,'用語辞書'!$A:$B,COLUMN('用語辞書'!B$1),FALSE),
IF(_xlpm.v=0,"",_xlpm.v)
),"")</f>
        <v/>
      </c>
      <c r="K1872" s="17"/>
      <c r="L1872" s="17" t="str">
        <f>IF(OR(COUNTIF('クラス'!$A$1:$A$1262,$B1872)&gt;0,$B1872="",$M1872=""),"",True)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3.0</v>
      </c>
      <c r="B1873" s="26" t="s">
        <v>1970</v>
      </c>
      <c r="C1873" s="1"/>
      <c r="D1873" s="1"/>
      <c r="E1873" s="14"/>
      <c r="F1873" s="15"/>
      <c r="G1873" s="16"/>
      <c r="H1873" s="11"/>
      <c r="I1873" s="7"/>
      <c r="J1873" s="7" t="str">
        <f>IFERROR(LET(_xlpm.v,
VLOOKUP($I1873,'用語辞書'!$A:$B,COLUMN('用語辞書'!B$1),FALSE),
IF(_xlpm.v=0,"",_xlpm.v)
),"")</f>
        <v/>
      </c>
      <c r="K1873" s="17"/>
      <c r="L1873" s="17" t="str">
        <f>IF(OR(COUNTIF('クラス'!$A$1:$A$1262,$B1873)&gt;0,$B1873="",$M1873=""),"",True)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VLOOKUP($I1874,'用語辞書'!$A:$B,COLUMN('用語辞書'!B$1),FALSE),
IF(_xlpm.v=0,"",_xlpm.v)
),"")</f>
        <v/>
      </c>
      <c r="K1874" s="17"/>
      <c r="L1874" s="17" t="str">
        <f>IF(OR(COUNTIF('クラス'!$A$1:$A$1262,$B1874)&gt;0,$B1874="",$M1874=""),"",True)</f>
        <v/>
      </c>
      <c r="M1874" s="1" t="str">
        <f t="shared" si="27"/>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1243</v>
      </c>
      <c r="C1875" s="1"/>
      <c r="D1875" s="1"/>
      <c r="E1875" s="14"/>
      <c r="F1875" s="15"/>
      <c r="G1875" s="16"/>
      <c r="H1875" s="11"/>
      <c r="I1875" s="7"/>
      <c r="J1875" s="7" t="str">
        <f>IFERROR(LET(_xlpm.v,
VLOOKUP($I1875,'用語辞書'!$A:$B,COLUMN('用語辞書'!B$1),FALSE),
IF(_xlpm.v=0,"",_xlpm.v)
),"")</f>
        <v/>
      </c>
      <c r="K1875" s="17"/>
      <c r="L1875" s="17" t="str">
        <f>IF(OR(COUNTIF('クラス'!$A$1:$A$1262,$B1875)&gt;0,$B1875="",$M1875=""),"",True)</f>
        <v/>
      </c>
      <c r="M1875" s="1" t="str">
        <f t="shared" si="27"/>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VLOOKUP($I1876,'用語辞書'!$A:$B,COLUMN('用語辞書'!B$1),FALSE),
IF(_xlpm.v=0,"",_xlpm.v)
),"")</f>
        <v/>
      </c>
      <c r="K1876" s="17"/>
      <c r="L1876" s="17" t="str">
        <f>IF(OR(COUNTIF('クラス'!$A$1:$A$1262,$B1876)&gt;0,$B1876="",$M1876=""),"",True)</f>
        <v/>
      </c>
      <c r="M1876" s="1" t="str">
        <f t="shared" si="27"/>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1972</v>
      </c>
      <c r="C1877" s="1"/>
      <c r="D1877" s="1"/>
      <c r="E1877" s="14"/>
      <c r="F1877" s="15"/>
      <c r="G1877" s="16"/>
      <c r="H1877" s="11"/>
      <c r="I1877" s="7"/>
      <c r="J1877" s="7" t="str">
        <f>IFERROR(LET(_xlpm.v,
VLOOKUP($I1877,'用語辞書'!$A:$B,COLUMN('用語辞書'!B$1),FALSE),
IF(_xlpm.v=0,"",_xlpm.v)
),"")</f>
        <v/>
      </c>
      <c r="K1877" s="17"/>
      <c r="L1877" s="17" t="str">
        <f>IF(OR(COUNTIF('クラス'!$A$1:$A$1262,$B1877)&gt;0,$B1877="",$M1877=""),"",True)</f>
        <v/>
      </c>
      <c r="M1877" s="1" t="str">
        <f t="shared" si="27"/>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VLOOKUP($I1878,'用語辞書'!$A:$B,COLUMN('用語辞書'!B$1),FALSE),
IF(_xlpm.v=0,"",_xlpm.v)
),"")</f>
        <v/>
      </c>
      <c r="K1878" s="17"/>
      <c r="L1878" s="17" t="str">
        <f>IF(OR(COUNTIF('クラス'!$A$1:$A$1262,$B1878)&gt;0,$B1878="",$M1878=""),"",True)</f>
        <v/>
      </c>
      <c r="M1878" s="1" t="str">
        <f t="shared" si="27"/>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275</v>
      </c>
      <c r="C1879" s="1"/>
      <c r="D1879" s="1"/>
      <c r="E1879" s="14"/>
      <c r="F1879" s="15"/>
      <c r="G1879" s="16"/>
      <c r="H1879" s="11"/>
      <c r="I1879" s="7"/>
      <c r="J1879" s="7" t="str">
        <f>IFERROR(LET(_xlpm.v,
VLOOKUP($I1879,'用語辞書'!$A:$B,COLUMN('用語辞書'!B$1),FALSE),
IF(_xlpm.v=0,"",_xlpm.v)
),"")</f>
        <v/>
      </c>
      <c r="K1879" s="17"/>
      <c r="L1879" s="17" t="str">
        <f>IF(OR(COUNTIF('クラス'!$A$1:$A$1262,$B1879)&gt;0,$B1879="",$M1879=""),"",True)</f>
        <v/>
      </c>
      <c r="M1879" s="1" t="str">
        <f t="shared" si="27"/>
        <v/>
      </c>
      <c r="N1879" s="1" t="s">
        <v>29</v>
      </c>
      <c r="O1879" s="1"/>
      <c r="P1879" s="11"/>
      <c r="Q1879" s="11"/>
      <c r="R1879" s="11"/>
      <c r="S1879" s="11"/>
      <c r="T1879" s="1"/>
      <c r="U1879" s="1"/>
      <c r="V1879" s="1"/>
      <c r="W1879" s="1"/>
      <c r="X1879" s="1"/>
      <c r="Y1879" s="1"/>
      <c r="Z1879" s="1"/>
    </row>
    <row r="1880" ht="18.0" hidden="1" customHeight="1" outlineLevel="2">
      <c r="A1880" s="1">
        <v>10.0</v>
      </c>
      <c r="B1880" s="1"/>
      <c r="C1880" s="1"/>
      <c r="D1880" s="1"/>
      <c r="E1880" s="14"/>
      <c r="F1880" s="15"/>
      <c r="G1880" s="16"/>
      <c r="H1880" s="11"/>
      <c r="I1880" s="7"/>
      <c r="J1880" s="7" t="str">
        <f>IFERROR(LET(_xlpm.v,
VLOOKUP($I1880,'用語辞書'!$A:$B,COLUMN('用語辞書'!B$1),FALSE),
IF(_xlpm.v=0,"",_xlpm.v)
),"")</f>
        <v/>
      </c>
      <c r="K1880" s="17"/>
      <c r="L1880" s="17" t="str">
        <f>IF(OR(COUNTIF('クラス'!$A$1:$A$1262,$B1880)&gt;0,$B1880="",$M1880=""),"",True)</f>
        <v/>
      </c>
      <c r="M1880" s="1" t="str">
        <f t="shared" si="27"/>
        <v>存在しない</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VLOOKUP($I1881,'用語辞書'!$A:$B,COLUMN('用語辞書'!B$1),FALSE),
IF(_xlpm.v=0,"",_xlpm.v)
),"")</f>
        <v/>
      </c>
      <c r="K1881" s="17"/>
      <c r="L1881" s="17" t="str">
        <f>IF(OR(COUNTIF('クラス'!$A$1:$A$1262,$B1881)&gt;0,$B1881="",$M1881=""),"",True)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 r="A1882" s="1"/>
      <c r="B1882" s="1"/>
      <c r="C1882" s="1"/>
      <c r="D1882" s="1"/>
      <c r="E1882" s="14"/>
      <c r="F1882" s="15"/>
      <c r="G1882" s="16"/>
      <c r="H1882" s="11"/>
      <c r="I1882" s="7"/>
      <c r="J1882" s="7" t="str">
        <f>IFERROR(LET(_xlpm.v,
VLOOKUP($I1882,'用語辞書'!$A:$B,COLUMN('用語辞書'!B$1),FALSE),
IF(_xlpm.v=0,"",_xlpm.v)
),"")</f>
        <v/>
      </c>
      <c r="K1882" s="17"/>
      <c r="L1882" s="17" t="str">
        <f>IF(OR(COUNTIF('クラス'!$A$1:$A$1262,$B1882)&gt;0,$B1882="",$M1882=""),"",True)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26" t="s">
        <v>1987</v>
      </c>
      <c r="C1883" s="1"/>
      <c r="D1883" s="1"/>
      <c r="E1883" s="14"/>
      <c r="F1883" s="15"/>
      <c r="G1883" s="16"/>
      <c r="H1883" s="11"/>
      <c r="I1883" s="7"/>
      <c r="J1883" s="7" t="str">
        <f>IFERROR(LET(_xlpm.v,
VLOOKUP($I1883,'用語辞書'!$A:$B,COLUMN('用語辞書'!B$1),FALSE),
IF(_xlpm.v=0,"",_xlpm.v)
),"")</f>
        <v/>
      </c>
      <c r="K1883" s="17"/>
      <c r="L1883" s="17" t="str">
        <f>IF(OR(COUNTIF('クラス'!$A$1:$A$1262,$B1883)&gt;0,$B1883="",$M1883=""),"",True)</f>
        <v/>
      </c>
      <c r="M1883" s="1" t="str">
        <f t="shared" si="27"/>
        <v>存在しない</v>
      </c>
      <c r="N1883" s="1" t="s">
        <v>29</v>
      </c>
      <c r="O1883" s="1"/>
      <c r="P1883" s="11"/>
      <c r="Q1883" s="11"/>
      <c r="R1883" s="11"/>
      <c r="S1883" s="11"/>
      <c r="T1883" s="1"/>
      <c r="U1883" s="1"/>
      <c r="V1883" s="1"/>
      <c r="W1883" s="1"/>
      <c r="X1883" s="1"/>
      <c r="Y1883" s="1"/>
      <c r="Z1883" s="1"/>
    </row>
    <row r="1884" ht="18.0" hidden="1" customHeight="1" outlineLevel="2">
      <c r="A1884" s="1">
        <v>1.0</v>
      </c>
      <c r="B1884" s="26" t="s">
        <v>1966</v>
      </c>
      <c r="C1884" s="1"/>
      <c r="D1884" s="1"/>
      <c r="E1884" s="14"/>
      <c r="F1884" s="15"/>
      <c r="G1884" s="16"/>
      <c r="H1884" s="11"/>
      <c r="I1884" s="7"/>
      <c r="J1884" s="7" t="str">
        <f>IFERROR(LET(_xlpm.v,
VLOOKUP($I1884,'用語辞書'!$A:$B,COLUMN('用語辞書'!B$1),FALSE),
IF(_xlpm.v=0,"",_xlpm.v)
),"")</f>
        <v/>
      </c>
      <c r="K1884" s="17"/>
      <c r="L1884" s="17" t="str">
        <f>IF(OR(COUNTIF('クラス'!$A$1:$A$1262,$B1884)&gt;0,$B1884="",$M1884=""),"",True)</f>
        <v/>
      </c>
      <c r="M1884" s="1" t="str">
        <f t="shared" si="27"/>
        <v/>
      </c>
      <c r="N1884" s="1" t="s">
        <v>29</v>
      </c>
      <c r="O1884" s="1"/>
      <c r="P1884" s="11"/>
      <c r="Q1884" s="11"/>
      <c r="R1884" s="11"/>
      <c r="S1884" s="11"/>
      <c r="T1884" s="1"/>
      <c r="U1884" s="1"/>
      <c r="V1884" s="1"/>
      <c r="W1884" s="1"/>
      <c r="X1884" s="1"/>
      <c r="Y1884" s="1"/>
      <c r="Z1884" s="1"/>
    </row>
    <row r="1885" ht="18.0" hidden="1" customHeight="1" outlineLevel="2">
      <c r="A1885" s="1">
        <v>2.0</v>
      </c>
      <c r="B1885" s="26" t="s">
        <v>1968</v>
      </c>
      <c r="C1885" s="1"/>
      <c r="D1885" s="1"/>
      <c r="E1885" s="14"/>
      <c r="F1885" s="15"/>
      <c r="G1885" s="16"/>
      <c r="H1885" s="11"/>
      <c r="I1885" s="7"/>
      <c r="J1885" s="7" t="str">
        <f>IFERROR(LET(_xlpm.v,
VLOOKUP($I1885,'用語辞書'!$A:$B,COLUMN('用語辞書'!B$1),FALSE),
IF(_xlpm.v=0,"",_xlpm.v)
),"")</f>
        <v/>
      </c>
      <c r="K1885" s="17"/>
      <c r="L1885" s="17" t="str">
        <f>IF(OR(COUNTIF('クラス'!$A$1:$A$1262,$B1885)&gt;0,$B1885="",$M1885=""),"",True)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3.0</v>
      </c>
      <c r="B1886" s="26" t="s">
        <v>1970</v>
      </c>
      <c r="C1886" s="1"/>
      <c r="D1886" s="1"/>
      <c r="E1886" s="14"/>
      <c r="F1886" s="15"/>
      <c r="G1886" s="16"/>
      <c r="H1886" s="11"/>
      <c r="I1886" s="7"/>
      <c r="J1886" s="7" t="str">
        <f>IFERROR(LET(_xlpm.v,
VLOOKUP($I1886,'用語辞書'!$A:$B,COLUMN('用語辞書'!B$1),FALSE),
IF(_xlpm.v=0,"",_xlpm.v)
),"")</f>
        <v/>
      </c>
      <c r="K1886" s="17"/>
      <c r="L1886" s="17" t="str">
        <f>IF(OR(COUNTIF('クラス'!$A$1:$A$1262,$B1886)&gt;0,$B1886="",$M1886=""),"",True)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4.0</v>
      </c>
      <c r="B1887" s="1"/>
      <c r="C1887" s="1"/>
      <c r="D1887" s="1"/>
      <c r="E1887" s="14"/>
      <c r="F1887" s="15"/>
      <c r="G1887" s="16"/>
      <c r="H1887" s="11"/>
      <c r="I1887" s="7"/>
      <c r="J1887" s="7" t="str">
        <f>IFERROR(LET(_xlpm.v,
VLOOKUP($I1887,'用語辞書'!$A:$B,COLUMN('用語辞書'!B$1),FALSE),
IF(_xlpm.v=0,"",_xlpm.v)
),"")</f>
        <v/>
      </c>
      <c r="K1887" s="17"/>
      <c r="L1887" s="17" t="str">
        <f>IF(OR(COUNTIF('クラス'!$A$1:$A$1262,$B1887)&gt;0,$B1887="",$M1887=""),"",True)</f>
        <v/>
      </c>
      <c r="M1887" s="1" t="str">
        <f t="shared" si="27"/>
        <v>存在しない</v>
      </c>
      <c r="N1887" s="1" t="s">
        <v>29</v>
      </c>
      <c r="O1887" s="1"/>
      <c r="P1887" s="11"/>
      <c r="Q1887" s="11"/>
      <c r="R1887" s="11"/>
      <c r="S1887" s="11"/>
      <c r="T1887" s="1"/>
      <c r="U1887" s="1"/>
      <c r="V1887" s="1"/>
      <c r="W1887" s="1"/>
      <c r="X1887" s="1"/>
      <c r="Y1887" s="1"/>
      <c r="Z1887" s="1"/>
    </row>
    <row r="1888" ht="18.0" hidden="1" customHeight="1" outlineLevel="2">
      <c r="A1888" s="1">
        <v>5.0</v>
      </c>
      <c r="B1888" s="26" t="s">
        <v>1243</v>
      </c>
      <c r="C1888" s="1"/>
      <c r="D1888" s="1"/>
      <c r="E1888" s="14"/>
      <c r="F1888" s="15"/>
      <c r="G1888" s="16"/>
      <c r="H1888" s="11"/>
      <c r="I1888" s="7"/>
      <c r="J1888" s="7" t="str">
        <f>IFERROR(LET(_xlpm.v,
VLOOKUP($I1888,'用語辞書'!$A:$B,COLUMN('用語辞書'!B$1),FALSE),
IF(_xlpm.v=0,"",_xlpm.v)
),"")</f>
        <v/>
      </c>
      <c r="K1888" s="17"/>
      <c r="L1888" s="17" t="str">
        <f>IF(OR(COUNTIF('クラス'!$A$1:$A$1262,$B1888)&gt;0,$B1888="",$M1888=""),"",True)</f>
        <v/>
      </c>
      <c r="M1888" s="1" t="str">
        <f t="shared" si="27"/>
        <v/>
      </c>
      <c r="N1888" s="1" t="s">
        <v>29</v>
      </c>
      <c r="O1888" s="1"/>
      <c r="P1888" s="11"/>
      <c r="Q1888" s="11"/>
      <c r="R1888" s="11"/>
      <c r="S1888" s="11"/>
      <c r="T1888" s="1"/>
      <c r="U1888" s="1"/>
      <c r="V1888" s="1"/>
      <c r="W1888" s="1"/>
      <c r="X1888" s="1"/>
      <c r="Y1888" s="1"/>
      <c r="Z1888" s="1"/>
    </row>
    <row r="1889" ht="18.0" hidden="1" customHeight="1" outlineLevel="2">
      <c r="A1889" s="1">
        <v>6.0</v>
      </c>
      <c r="B1889" s="1"/>
      <c r="C1889" s="1"/>
      <c r="D1889" s="1"/>
      <c r="E1889" s="14"/>
      <c r="F1889" s="15"/>
      <c r="G1889" s="16"/>
      <c r="H1889" s="11"/>
      <c r="I1889" s="7"/>
      <c r="J1889" s="7" t="str">
        <f>IFERROR(LET(_xlpm.v,
VLOOKUP($I1889,'用語辞書'!$A:$B,COLUMN('用語辞書'!B$1),FALSE),
IF(_xlpm.v=0,"",_xlpm.v)
),"")</f>
        <v/>
      </c>
      <c r="K1889" s="17"/>
      <c r="L1889" s="17" t="str">
        <f>IF(OR(COUNTIF('クラス'!$A$1:$A$1262,$B1889)&gt;0,$B1889="",$M1889=""),"",True)</f>
        <v/>
      </c>
      <c r="M1889" s="1" t="str">
        <f t="shared" si="27"/>
        <v>存在しない</v>
      </c>
      <c r="N1889" s="1" t="s">
        <v>29</v>
      </c>
      <c r="O1889" s="1"/>
      <c r="P1889" s="11"/>
      <c r="Q1889" s="11"/>
      <c r="R1889" s="11"/>
      <c r="S1889" s="11"/>
      <c r="T1889" s="1"/>
      <c r="U1889" s="1"/>
      <c r="V1889" s="1"/>
      <c r="W1889" s="1"/>
      <c r="X1889" s="1"/>
      <c r="Y1889" s="1"/>
      <c r="Z1889" s="1"/>
    </row>
    <row r="1890" ht="18.0" hidden="1" customHeight="1" outlineLevel="2">
      <c r="A1890" s="1">
        <v>7.0</v>
      </c>
      <c r="B1890" s="26" t="s">
        <v>1972</v>
      </c>
      <c r="C1890" s="1"/>
      <c r="D1890" s="1"/>
      <c r="E1890" s="14"/>
      <c r="F1890" s="15"/>
      <c r="G1890" s="16"/>
      <c r="H1890" s="11"/>
      <c r="I1890" s="7"/>
      <c r="J1890" s="7" t="str">
        <f>IFERROR(LET(_xlpm.v,
VLOOKUP($I1890,'用語辞書'!$A:$B,COLUMN('用語辞書'!B$1),FALSE),
IF(_xlpm.v=0,"",_xlpm.v)
),"")</f>
        <v/>
      </c>
      <c r="K1890" s="17"/>
      <c r="L1890" s="17" t="str">
        <f>IF(OR(COUNTIF('クラス'!$A$1:$A$1262,$B1890)&gt;0,$B1890="",$M1890=""),"",True)</f>
        <v/>
      </c>
      <c r="M1890" s="1" t="str">
        <f t="shared" si="27"/>
        <v/>
      </c>
      <c r="N1890" s="1" t="s">
        <v>29</v>
      </c>
      <c r="O1890" s="1"/>
      <c r="P1890" s="11"/>
      <c r="Q1890" s="11"/>
      <c r="R1890" s="11"/>
      <c r="S1890" s="11"/>
      <c r="T1890" s="1"/>
      <c r="U1890" s="1"/>
      <c r="V1890" s="1"/>
      <c r="W1890" s="1"/>
      <c r="X1890" s="1"/>
      <c r="Y1890" s="1"/>
      <c r="Z1890" s="1"/>
    </row>
    <row r="1891" ht="18.0" hidden="1" customHeight="1" outlineLevel="2">
      <c r="A1891" s="1">
        <v>8.0</v>
      </c>
      <c r="B1891" s="1"/>
      <c r="C1891" s="1"/>
      <c r="D1891" s="1"/>
      <c r="E1891" s="14"/>
      <c r="F1891" s="15"/>
      <c r="G1891" s="16"/>
      <c r="H1891" s="11"/>
      <c r="I1891" s="7"/>
      <c r="J1891" s="7" t="str">
        <f>IFERROR(LET(_xlpm.v,
VLOOKUP($I1891,'用語辞書'!$A:$B,COLUMN('用語辞書'!B$1),FALSE),
IF(_xlpm.v=0,"",_xlpm.v)
),"")</f>
        <v/>
      </c>
      <c r="K1891" s="17"/>
      <c r="L1891" s="17" t="str">
        <f>IF(OR(COUNTIF('クラス'!$A$1:$A$1262,$B1891)&gt;0,$B1891="",$M1891=""),"",True)</f>
        <v/>
      </c>
      <c r="M1891" s="1" t="str">
        <f t="shared" si="27"/>
        <v>存在しない</v>
      </c>
      <c r="N1891" s="1" t="s">
        <v>29</v>
      </c>
      <c r="O1891" s="1"/>
      <c r="P1891" s="11"/>
      <c r="Q1891" s="11"/>
      <c r="R1891" s="11"/>
      <c r="S1891" s="11"/>
      <c r="T1891" s="1"/>
      <c r="U1891" s="1"/>
      <c r="V1891" s="1"/>
      <c r="W1891" s="1"/>
      <c r="X1891" s="1"/>
      <c r="Y1891" s="1"/>
      <c r="Z1891" s="1"/>
    </row>
    <row r="1892" ht="18.0" hidden="1" customHeight="1" outlineLevel="2">
      <c r="A1892" s="1">
        <v>9.0</v>
      </c>
      <c r="B1892" s="26" t="s">
        <v>1603</v>
      </c>
      <c r="C1892" s="1"/>
      <c r="D1892" s="1"/>
      <c r="E1892" s="14"/>
      <c r="F1892" s="15"/>
      <c r="G1892" s="16"/>
      <c r="H1892" s="11"/>
      <c r="I1892" s="7"/>
      <c r="J1892" s="7" t="str">
        <f>IFERROR(LET(_xlpm.v,
VLOOKUP($I1892,'用語辞書'!$A:$B,COLUMN('用語辞書'!B$1),FALSE),
IF(_xlpm.v=0,"",_xlpm.v)
),"")</f>
        <v/>
      </c>
      <c r="K1892" s="17"/>
      <c r="L1892" s="17" t="str">
        <f>IF(OR(COUNTIF('クラス'!$A$1:$A$1262,$B1892)&gt;0,$B1892="",$M1892=""),"",True)</f>
        <v/>
      </c>
      <c r="M1892" s="1" t="str">
        <f t="shared" si="27"/>
        <v/>
      </c>
      <c r="N1892" s="1" t="s">
        <v>29</v>
      </c>
      <c r="O1892" s="1"/>
      <c r="P1892" s="11"/>
      <c r="Q1892" s="11"/>
      <c r="R1892" s="11"/>
      <c r="S1892" s="11"/>
      <c r="T1892" s="1"/>
      <c r="U1892" s="1"/>
      <c r="V1892" s="1"/>
      <c r="W1892" s="1"/>
      <c r="X1892" s="1"/>
      <c r="Y1892" s="1"/>
      <c r="Z1892" s="1"/>
    </row>
    <row r="1893" ht="18.0" hidden="1" customHeight="1" outlineLevel="2">
      <c r="A1893" s="1">
        <v>10.0</v>
      </c>
      <c r="B1893" s="1"/>
      <c r="C1893" s="1"/>
      <c r="D1893" s="1"/>
      <c r="E1893" s="14"/>
      <c r="F1893" s="15"/>
      <c r="G1893" s="16"/>
      <c r="H1893" s="11"/>
      <c r="I1893" s="7"/>
      <c r="J1893" s="7" t="str">
        <f>IFERROR(LET(_xlpm.v,
VLOOKUP($I1893,'用語辞書'!$A:$B,COLUMN('用語辞書'!B$1),FALSE),
IF(_xlpm.v=0,"",_xlpm.v)
),"")</f>
        <v/>
      </c>
      <c r="K1893" s="17"/>
      <c r="L1893" s="17" t="str">
        <f>IF(OR(COUNTIF('クラス'!$A$1:$A$1262,$B1893)&gt;0,$B1893="",$M1893=""),"",True)</f>
        <v/>
      </c>
      <c r="M1893" s="1" t="str">
        <f t="shared" si="27"/>
        <v>存在しない</v>
      </c>
      <c r="N1893" s="1" t="s">
        <v>29</v>
      </c>
      <c r="O1893" s="1"/>
      <c r="P1893" s="11"/>
      <c r="Q1893" s="11"/>
      <c r="R1893" s="11"/>
      <c r="S1893" s="11"/>
      <c r="T1893" s="1"/>
      <c r="U1893" s="1"/>
      <c r="V1893" s="1"/>
      <c r="W1893" s="1"/>
      <c r="X1893" s="1"/>
      <c r="Y1893" s="1"/>
      <c r="Z1893" s="1"/>
    </row>
    <row r="1894" ht="18.0" customHeight="1" outlineLevel="1" collapsed="1">
      <c r="A1894" s="1"/>
      <c r="B1894" s="1"/>
      <c r="C1894" s="1"/>
      <c r="D1894" s="1"/>
      <c r="E1894" s="14"/>
      <c r="F1894" s="15"/>
      <c r="G1894" s="16"/>
      <c r="H1894" s="11"/>
      <c r="I1894" s="7"/>
      <c r="J1894" s="7" t="str">
        <f>IFERROR(LET(_xlpm.v,
VLOOKUP($I1894,'用語辞書'!$A:$B,COLUMN('用語辞書'!B$1),FALSE),
IF(_xlpm.v=0,"",_xlpm.v)
),"")</f>
        <v/>
      </c>
      <c r="K1894" s="17"/>
      <c r="L1894" s="17" t="str">
        <f>IF(OR(COUNTIF('クラス'!$A$1:$A$1262,$B1894)&gt;0,$B1894="",$M1894=""),"",True)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 r="A1895" s="1"/>
      <c r="B1895" s="1"/>
      <c r="C1895" s="1"/>
      <c r="D1895" s="1"/>
      <c r="E1895" s="14"/>
      <c r="F1895" s="15"/>
      <c r="G1895" s="16"/>
      <c r="H1895" s="11"/>
      <c r="I1895" s="7"/>
      <c r="J1895" s="7" t="str">
        <f>IFERROR(LET(_xlpm.v,
VLOOKUP($I1895,'用語辞書'!$A:$B,COLUMN('用語辞書'!B$1),FALSE),
IF(_xlpm.v=0,"",_xlpm.v)
),"")</f>
        <v/>
      </c>
      <c r="K1895" s="17"/>
      <c r="L1895" s="17" t="str">
        <f>IF(OR(COUNTIF('クラス'!$A$1:$A$1262,$B1895)&gt;0,$B1895="",$M1895=""),"",True)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26" t="s">
        <v>1988</v>
      </c>
      <c r="C1896" s="1"/>
      <c r="D1896" s="1"/>
      <c r="E1896" s="14"/>
      <c r="F1896" s="15"/>
      <c r="G1896" s="16"/>
      <c r="H1896" s="11"/>
      <c r="I1896" s="7"/>
      <c r="J1896" s="7" t="str">
        <f>IFERROR(LET(_xlpm.v,
VLOOKUP($I1896,'用語辞書'!$A:$B,COLUMN('用語辞書'!B$1),FALSE),
IF(_xlpm.v=0,"",_xlpm.v)
),"")</f>
        <v/>
      </c>
      <c r="K1896" s="17"/>
      <c r="L1896" s="17" t="str">
        <f>IF(OR(COUNTIF('クラス'!$A$1:$A$1262,$B1896)&gt;0,$B1896="",$M1896=""),"",True)</f>
        <v/>
      </c>
      <c r="M1896" s="1" t="str">
        <f t="shared" si="27"/>
        <v>存在しない</v>
      </c>
      <c r="N1896" s="1" t="s">
        <v>29</v>
      </c>
      <c r="O1896" s="1"/>
      <c r="P1896" s="11"/>
      <c r="Q1896" s="11"/>
      <c r="R1896" s="11"/>
      <c r="S1896" s="11"/>
      <c r="T1896" s="1"/>
      <c r="U1896" s="1"/>
      <c r="V1896" s="1"/>
      <c r="W1896" s="1"/>
      <c r="X1896" s="1"/>
      <c r="Y1896" s="1"/>
      <c r="Z1896" s="1"/>
    </row>
    <row r="1897" ht="18.0" hidden="1" customHeight="1" outlineLevel="2">
      <c r="A1897" s="1">
        <v>1.0</v>
      </c>
      <c r="B1897" s="26" t="s">
        <v>1966</v>
      </c>
      <c r="C1897" s="1"/>
      <c r="D1897" s="1"/>
      <c r="E1897" s="14"/>
      <c r="F1897" s="15"/>
      <c r="G1897" s="16"/>
      <c r="H1897" s="11"/>
      <c r="I1897" s="7"/>
      <c r="J1897" s="7" t="str">
        <f>IFERROR(LET(_xlpm.v,
VLOOKUP($I1897,'用語辞書'!$A:$B,COLUMN('用語辞書'!B$1),FALSE),
IF(_xlpm.v=0,"",_xlpm.v)
),"")</f>
        <v/>
      </c>
      <c r="K1897" s="17"/>
      <c r="L1897" s="17" t="str">
        <f>IF(OR(COUNTIF('クラス'!$A$1:$A$1262,$B1897)&gt;0,$B1897="",$M1897=""),"",True)</f>
        <v/>
      </c>
      <c r="M1897" s="1" t="str">
        <f t="shared" si="27"/>
        <v/>
      </c>
      <c r="N1897" s="1" t="s">
        <v>29</v>
      </c>
      <c r="O1897" s="1"/>
      <c r="P1897" s="11"/>
      <c r="Q1897" s="11"/>
      <c r="R1897" s="11"/>
      <c r="S1897" s="11"/>
      <c r="T1897" s="1"/>
      <c r="U1897" s="1"/>
      <c r="V1897" s="1"/>
      <c r="W1897" s="1"/>
      <c r="X1897" s="1"/>
      <c r="Y1897" s="1"/>
      <c r="Z1897" s="1"/>
    </row>
    <row r="1898" ht="18.0" hidden="1" customHeight="1" outlineLevel="2">
      <c r="A1898" s="1">
        <v>2.0</v>
      </c>
      <c r="B1898" s="26" t="s">
        <v>1968</v>
      </c>
      <c r="C1898" s="1"/>
      <c r="D1898" s="1"/>
      <c r="E1898" s="14"/>
      <c r="F1898" s="15"/>
      <c r="G1898" s="16"/>
      <c r="H1898" s="11"/>
      <c r="I1898" s="7"/>
      <c r="J1898" s="7" t="str">
        <f>IFERROR(LET(_xlpm.v,
VLOOKUP($I1898,'用語辞書'!$A:$B,COLUMN('用語辞書'!B$1),FALSE),
IF(_xlpm.v=0,"",_xlpm.v)
),"")</f>
        <v/>
      </c>
      <c r="K1898" s="17"/>
      <c r="L1898" s="17" t="str">
        <f>IF(OR(COUNTIF('クラス'!$A$1:$A$1262,$B1898)&gt;0,$B1898="",$M1898=""),"",True)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3.0</v>
      </c>
      <c r="B1899" s="26" t="s">
        <v>1970</v>
      </c>
      <c r="C1899" s="1"/>
      <c r="D1899" s="1"/>
      <c r="E1899" s="14"/>
      <c r="F1899" s="15"/>
      <c r="G1899" s="16"/>
      <c r="H1899" s="11"/>
      <c r="I1899" s="7"/>
      <c r="J1899" s="7" t="str">
        <f>IFERROR(LET(_xlpm.v,
VLOOKUP($I1899,'用語辞書'!$A:$B,COLUMN('用語辞書'!B$1),FALSE),
IF(_xlpm.v=0,"",_xlpm.v)
),"")</f>
        <v/>
      </c>
      <c r="K1899" s="17"/>
      <c r="L1899" s="17" t="str">
        <f>IF(OR(COUNTIF('クラス'!$A$1:$A$1262,$B1899)&gt;0,$B1899="",$M1899=""),"",True)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4.0</v>
      </c>
      <c r="B1900" s="1"/>
      <c r="C1900" s="1"/>
      <c r="D1900" s="1"/>
      <c r="E1900" s="14"/>
      <c r="F1900" s="15"/>
      <c r="G1900" s="16"/>
      <c r="H1900" s="11"/>
      <c r="I1900" s="7"/>
      <c r="J1900" s="7" t="str">
        <f>IFERROR(LET(_xlpm.v,
VLOOKUP($I1900,'用語辞書'!$A:$B,COLUMN('用語辞書'!B$1),FALSE),
IF(_xlpm.v=0,"",_xlpm.v)
),"")</f>
        <v/>
      </c>
      <c r="K1900" s="17"/>
      <c r="L1900" s="17" t="str">
        <f>IF(OR(COUNTIF('クラス'!$A$1:$A$1262,$B1900)&gt;0,$B1900="",$M1900=""),"",True)</f>
        <v/>
      </c>
      <c r="M1900" s="1" t="str">
        <f t="shared" si="27"/>
        <v>存在しない</v>
      </c>
      <c r="N1900" s="1" t="s">
        <v>29</v>
      </c>
      <c r="O1900" s="1"/>
      <c r="P1900" s="11"/>
      <c r="Q1900" s="11"/>
      <c r="R1900" s="11"/>
      <c r="S1900" s="11"/>
      <c r="T1900" s="1"/>
      <c r="U1900" s="1"/>
      <c r="V1900" s="1"/>
      <c r="W1900" s="1"/>
      <c r="X1900" s="1"/>
      <c r="Y1900" s="1"/>
      <c r="Z1900" s="1"/>
    </row>
    <row r="1901" ht="18.0" hidden="1" customHeight="1" outlineLevel="2">
      <c r="A1901" s="1">
        <v>5.0</v>
      </c>
      <c r="B1901" s="26" t="s">
        <v>1243</v>
      </c>
      <c r="C1901" s="1"/>
      <c r="D1901" s="1"/>
      <c r="E1901" s="14"/>
      <c r="F1901" s="15"/>
      <c r="G1901" s="16"/>
      <c r="H1901" s="11"/>
      <c r="I1901" s="7"/>
      <c r="J1901" s="7" t="str">
        <f>IFERROR(LET(_xlpm.v,
VLOOKUP($I1901,'用語辞書'!$A:$B,COLUMN('用語辞書'!B$1),FALSE),
IF(_xlpm.v=0,"",_xlpm.v)
),"")</f>
        <v/>
      </c>
      <c r="K1901" s="17"/>
      <c r="L1901" s="17" t="str">
        <f>IF(OR(COUNTIF('クラス'!$A$1:$A$1262,$B1901)&gt;0,$B1901="",$M1901=""),"",True)</f>
        <v/>
      </c>
      <c r="M1901" s="1" t="str">
        <f t="shared" si="27"/>
        <v/>
      </c>
      <c r="N1901" s="1" t="s">
        <v>29</v>
      </c>
      <c r="O1901" s="1"/>
      <c r="P1901" s="11"/>
      <c r="Q1901" s="11"/>
      <c r="R1901" s="11"/>
      <c r="S1901" s="11"/>
      <c r="T1901" s="1"/>
      <c r="U1901" s="1"/>
      <c r="V1901" s="1"/>
      <c r="W1901" s="1"/>
      <c r="X1901" s="1"/>
      <c r="Y1901" s="1"/>
      <c r="Z1901" s="1"/>
    </row>
    <row r="1902" ht="18.0" hidden="1" customHeight="1" outlineLevel="2">
      <c r="A1902" s="1">
        <v>6.0</v>
      </c>
      <c r="B1902" s="1"/>
      <c r="C1902" s="1"/>
      <c r="D1902" s="1"/>
      <c r="E1902" s="14"/>
      <c r="F1902" s="15"/>
      <c r="G1902" s="16"/>
      <c r="H1902" s="11"/>
      <c r="I1902" s="7"/>
      <c r="J1902" s="7" t="str">
        <f>IFERROR(LET(_xlpm.v,
VLOOKUP($I1902,'用語辞書'!$A:$B,COLUMN('用語辞書'!B$1),FALSE),
IF(_xlpm.v=0,"",_xlpm.v)
),"")</f>
        <v/>
      </c>
      <c r="K1902" s="17"/>
      <c r="L1902" s="17" t="str">
        <f>IF(OR(COUNTIF('クラス'!$A$1:$A$1262,$B1902)&gt;0,$B1902="",$M1902=""),"",True)</f>
        <v/>
      </c>
      <c r="M1902" s="1" t="str">
        <f t="shared" si="27"/>
        <v>存在しない</v>
      </c>
      <c r="N1902" s="1" t="s">
        <v>29</v>
      </c>
      <c r="O1902" s="1"/>
      <c r="P1902" s="11"/>
      <c r="Q1902" s="11"/>
      <c r="R1902" s="11"/>
      <c r="S1902" s="11"/>
      <c r="T1902" s="1"/>
      <c r="U1902" s="1"/>
      <c r="V1902" s="1"/>
      <c r="W1902" s="1"/>
      <c r="X1902" s="1"/>
      <c r="Y1902" s="1"/>
      <c r="Z1902" s="1"/>
    </row>
    <row r="1903" ht="18.0" hidden="1" customHeight="1" outlineLevel="2">
      <c r="A1903" s="1">
        <v>7.0</v>
      </c>
      <c r="B1903" s="26" t="s">
        <v>1972</v>
      </c>
      <c r="C1903" s="1"/>
      <c r="D1903" s="1"/>
      <c r="E1903" s="14"/>
      <c r="F1903" s="15"/>
      <c r="G1903" s="16"/>
      <c r="H1903" s="11"/>
      <c r="I1903" s="7"/>
      <c r="J1903" s="7" t="str">
        <f>IFERROR(LET(_xlpm.v,
VLOOKUP($I1903,'用語辞書'!$A:$B,COLUMN('用語辞書'!B$1),FALSE),
IF(_xlpm.v=0,"",_xlpm.v)
),"")</f>
        <v/>
      </c>
      <c r="K1903" s="17"/>
      <c r="L1903" s="17" t="str">
        <f>IF(OR(COUNTIF('クラス'!$A$1:$A$1262,$B1903)&gt;0,$B1903="",$M1903=""),"",True)</f>
        <v/>
      </c>
      <c r="M1903" s="1" t="str">
        <f t="shared" si="27"/>
        <v/>
      </c>
      <c r="N1903" s="1" t="s">
        <v>29</v>
      </c>
      <c r="O1903" s="1"/>
      <c r="P1903" s="11"/>
      <c r="Q1903" s="11"/>
      <c r="R1903" s="11"/>
      <c r="S1903" s="11"/>
      <c r="T1903" s="1"/>
      <c r="U1903" s="1"/>
      <c r="V1903" s="1"/>
      <c r="W1903" s="1"/>
      <c r="X1903" s="1"/>
      <c r="Y1903" s="1"/>
      <c r="Z1903" s="1"/>
    </row>
    <row r="1904" ht="18.0" hidden="1" customHeight="1" outlineLevel="2">
      <c r="A1904" s="1">
        <v>8.0</v>
      </c>
      <c r="B1904" s="1"/>
      <c r="C1904" s="1"/>
      <c r="D1904" s="1"/>
      <c r="E1904" s="14"/>
      <c r="F1904" s="15"/>
      <c r="G1904" s="16"/>
      <c r="H1904" s="11"/>
      <c r="I1904" s="7"/>
      <c r="J1904" s="7" t="str">
        <f>IFERROR(LET(_xlpm.v,
VLOOKUP($I1904,'用語辞書'!$A:$B,COLUMN('用語辞書'!B$1),FALSE),
IF(_xlpm.v=0,"",_xlpm.v)
),"")</f>
        <v/>
      </c>
      <c r="K1904" s="17"/>
      <c r="L1904" s="17" t="str">
        <f>IF(OR(COUNTIF('クラス'!$A$1:$A$1262,$B1904)&gt;0,$B1904="",$M1904=""),"",True)</f>
        <v/>
      </c>
      <c r="M1904" s="1" t="str">
        <f t="shared" si="27"/>
        <v>存在しない</v>
      </c>
      <c r="N1904" s="1" t="s">
        <v>29</v>
      </c>
      <c r="O1904" s="1"/>
      <c r="P1904" s="11"/>
      <c r="Q1904" s="11"/>
      <c r="R1904" s="11"/>
      <c r="S1904" s="11"/>
      <c r="T1904" s="1"/>
      <c r="U1904" s="1"/>
      <c r="V1904" s="1"/>
      <c r="W1904" s="1"/>
      <c r="X1904" s="1"/>
      <c r="Y1904" s="1"/>
      <c r="Z1904" s="1"/>
    </row>
    <row r="1905" ht="18.0" hidden="1" customHeight="1" outlineLevel="2">
      <c r="A1905" s="1">
        <v>9.0</v>
      </c>
      <c r="B1905" s="26" t="s">
        <v>1932</v>
      </c>
      <c r="C1905" s="1"/>
      <c r="D1905" s="1"/>
      <c r="E1905" s="14"/>
      <c r="F1905" s="15"/>
      <c r="G1905" s="16"/>
      <c r="H1905" s="11"/>
      <c r="I1905" s="7"/>
      <c r="J1905" s="7" t="str">
        <f>IFERROR(LET(_xlpm.v,
VLOOKUP($I1905,'用語辞書'!$A:$B,COLUMN('用語辞書'!B$1),FALSE),
IF(_xlpm.v=0,"",_xlpm.v)
),"")</f>
        <v/>
      </c>
      <c r="K1905" s="17"/>
      <c r="L1905" s="17" t="str">
        <f>IF(OR(COUNTIF('クラス'!$A$1:$A$1262,$B1905)&gt;0,$B1905="",$M1905=""),"",True)</f>
        <v/>
      </c>
      <c r="M1905" s="1" t="str">
        <f t="shared" si="27"/>
        <v/>
      </c>
      <c r="N1905" s="1" t="s">
        <v>29</v>
      </c>
      <c r="O1905" s="1"/>
      <c r="P1905" s="11"/>
      <c r="Q1905" s="11"/>
      <c r="R1905" s="11"/>
      <c r="S1905" s="11"/>
      <c r="T1905" s="1"/>
      <c r="U1905" s="1"/>
      <c r="V1905" s="1"/>
      <c r="W1905" s="1"/>
      <c r="X1905" s="1"/>
      <c r="Y1905" s="1"/>
      <c r="Z1905" s="1"/>
    </row>
    <row r="1906" ht="18.0" hidden="1" customHeight="1" outlineLevel="2">
      <c r="A1906" s="1">
        <v>10.0</v>
      </c>
      <c r="B1906" s="1"/>
      <c r="C1906" s="1"/>
      <c r="D1906" s="1"/>
      <c r="E1906" s="14"/>
      <c r="F1906" s="15"/>
      <c r="G1906" s="16"/>
      <c r="H1906" s="11"/>
      <c r="I1906" s="7"/>
      <c r="J1906" s="7" t="str">
        <f>IFERROR(LET(_xlpm.v,
VLOOKUP($I1906,'用語辞書'!$A:$B,COLUMN('用語辞書'!B$1),FALSE),
IF(_xlpm.v=0,"",_xlpm.v)
),"")</f>
        <v/>
      </c>
      <c r="K1906" s="17"/>
      <c r="L1906" s="17" t="str">
        <f>IF(OR(COUNTIF('クラス'!$A$1:$A$1262,$B1906)&gt;0,$B1906="",$M1906=""),"",True)</f>
        <v/>
      </c>
      <c r="M1906" s="1" t="str">
        <f t="shared" si="27"/>
        <v>存在しない</v>
      </c>
      <c r="N1906" s="1" t="s">
        <v>29</v>
      </c>
      <c r="O1906" s="1"/>
      <c r="P1906" s="11"/>
      <c r="Q1906" s="11"/>
      <c r="R1906" s="11"/>
      <c r="S1906" s="11"/>
      <c r="T1906" s="1"/>
      <c r="U1906" s="1"/>
      <c r="V1906" s="1"/>
      <c r="W1906" s="1"/>
      <c r="X1906" s="1"/>
      <c r="Y1906" s="1"/>
      <c r="Z1906" s="1"/>
    </row>
    <row r="1907" ht="18.0" customHeight="1" collapsed="1">
      <c r="A1907" s="1"/>
      <c r="B1907" s="1"/>
      <c r="C1907" s="26" t="s">
        <v>1989</v>
      </c>
      <c r="D1907" s="1"/>
      <c r="E1907" s="14"/>
      <c r="F1907" s="15"/>
      <c r="G1907" s="16"/>
      <c r="H1907" s="11"/>
      <c r="I1907" s="7"/>
      <c r="J1907" s="7" t="str">
        <f>IFERROR(LET(_xlpm.v,
VLOOKUP($I1907,'用語辞書'!$A:$B,COLUMN('用語辞書'!B$1),FALSE),
IF(_xlpm.v=0,"",_xlpm.v)
),"")</f>
        <v/>
      </c>
      <c r="K1907" s="17"/>
      <c r="L1907" s="17" t="str">
        <f>IF(OR(COUNTIF('クラス'!$A$1:$A$1262,$B1907)&gt;0,$B1907="",$M1907=""),"",True)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 r="A1908" s="1"/>
      <c r="B1908" s="26" t="s">
        <v>1990</v>
      </c>
      <c r="C1908" s="1"/>
      <c r="D1908" s="1"/>
      <c r="E1908" s="14"/>
      <c r="F1908" s="15"/>
      <c r="G1908" s="16"/>
      <c r="H1908" s="11"/>
      <c r="I1908" s="7"/>
      <c r="J1908" s="7" t="str">
        <f>IFERROR(LET(_xlpm.v,
VLOOKUP($I1908,'用語辞書'!$A:$B,COLUMN('用語辞書'!B$1),FALSE),
IF(_xlpm.v=0,"",_xlpm.v)
),"")</f>
        <v/>
      </c>
      <c r="K1908" s="17"/>
      <c r="L1908" s="17" t="str">
        <f>IF(OR(COUNTIF('クラス'!$A$1:$A$1262,$B1908)&gt;0,$B1908="",$M1908=""),"",True)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outlineLevel="1">
      <c r="A1909" s="1">
        <v>1.0</v>
      </c>
      <c r="B1909" s="26" t="s">
        <v>1991</v>
      </c>
      <c r="C1909" s="1"/>
      <c r="D1909" s="1"/>
      <c r="E1909" s="29" t="s">
        <v>33</v>
      </c>
      <c r="F1909" s="15"/>
      <c r="G1909" s="30">
        <v>60.0</v>
      </c>
      <c r="H1909" s="22" t="s">
        <v>1992</v>
      </c>
      <c r="I1909" s="7"/>
      <c r="J1909" s="7" t="str">
        <f>IFERROR(LET(_xlpm.v,
VLOOKUP($I1909,'用語辞書'!$A:$B,COLUMN('用語辞書'!B$1),FALSE),
IF(_xlpm.v=0,"",_xlpm.v)
),"")</f>
        <v/>
      </c>
      <c r="K1909" s="17"/>
      <c r="L1909" s="17" t="b">
        <f>IF(OR(COUNTIF('クラス'!$A$1:$A$1262,$B1909)&gt;0,$B1909="",$M1909=""),"",True)</f>
        <v>1</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2.0</v>
      </c>
      <c r="B1910" s="1"/>
      <c r="C1910" s="1"/>
      <c r="D1910" s="1"/>
      <c r="E1910" s="14"/>
      <c r="F1910" s="15"/>
      <c r="G1910" s="16"/>
      <c r="H1910" s="11"/>
      <c r="I1910" s="7"/>
      <c r="J1910" s="7" t="str">
        <f>IFERROR(LET(_xlpm.v,
VLOOKUP($I1910,'用語辞書'!$A:$B,COLUMN('用語辞書'!B$1),FALSE),
IF(_xlpm.v=0,"",_xlpm.v)
),"")</f>
        <v/>
      </c>
      <c r="K1910" s="17"/>
      <c r="L1910" s="17" t="str">
        <f>IF(OR(COUNTIF('クラス'!$A$1:$A$1262,$B1910)&gt;0,$B1910="",$M1910=""),"",True)</f>
        <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3.0</v>
      </c>
      <c r="B1911" s="26" t="s">
        <v>1993</v>
      </c>
      <c r="C1911" s="1"/>
      <c r="D1911" s="1"/>
      <c r="E1911" s="29" t="s">
        <v>55</v>
      </c>
      <c r="F1911" s="15"/>
      <c r="G1911" s="16"/>
      <c r="H1911" s="22" t="s">
        <v>1994</v>
      </c>
      <c r="I1911" s="7"/>
      <c r="J1911" s="7" t="str">
        <f>IFERROR(LET(_xlpm.v,
VLOOKUP($I1911,'用語辞書'!$A:$B,COLUMN('用語辞書'!B$1),FALSE),
IF(_xlpm.v=0,"",_xlpm.v)
),"")</f>
        <v/>
      </c>
      <c r="K1911" s="17"/>
      <c r="L1911" s="17" t="b">
        <f>IF(OR(COUNTIF('クラス'!$A$1:$A$1262,$B1911)&gt;0,$B1911="",$M1911=""),"",True)</f>
        <v>1</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4.0</v>
      </c>
      <c r="B1912" s="1"/>
      <c r="C1912" s="1"/>
      <c r="D1912" s="1"/>
      <c r="E1912" s="14"/>
      <c r="F1912" s="15"/>
      <c r="G1912" s="16"/>
      <c r="H1912" s="11"/>
      <c r="I1912" s="7"/>
      <c r="J1912" s="7" t="str">
        <f>IFERROR(LET(_xlpm.v,
VLOOKUP($I1912,'用語辞書'!$A:$B,COLUMN('用語辞書'!B$1),FALSE),
IF(_xlpm.v=0,"",_xlpm.v)
),"")</f>
        <v/>
      </c>
      <c r="K1912" s="17"/>
      <c r="L1912" s="17" t="str">
        <f>IF(OR(COUNTIF('クラス'!$A$1:$A$1262,$B1912)&gt;0,$B1912="",$M1912=""),"",True)</f>
        <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5.0</v>
      </c>
      <c r="B1913" s="26" t="s">
        <v>1995</v>
      </c>
      <c r="C1913" s="26" t="s">
        <v>1996</v>
      </c>
      <c r="D1913" s="1"/>
      <c r="E1913" s="29" t="s">
        <v>33</v>
      </c>
      <c r="F1913" s="15"/>
      <c r="G1913" s="30">
        <v>30.0</v>
      </c>
      <c r="H1913" s="31" t="s">
        <v>1997</v>
      </c>
      <c r="I1913" s="7"/>
      <c r="J1913" s="7" t="str">
        <f>IFERROR(LET(_xlpm.v,
VLOOKUP($I1913,'用語辞書'!$A:$B,COLUMN('用語辞書'!B$1),FALSE),
IF(_xlpm.v=0,"",_xlpm.v)
),"")</f>
        <v/>
      </c>
      <c r="K1913" s="17"/>
      <c r="L1913" s="17" t="b">
        <f>IF(OR(COUNTIF('クラス'!$A$1:$A$1262,$B1913)&gt;0,$B1913="",$M1913=""),"",True)</f>
        <v>1</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6.0</v>
      </c>
      <c r="B1914" s="1"/>
      <c r="C1914" s="1"/>
      <c r="D1914" s="1"/>
      <c r="E1914" s="14"/>
      <c r="F1914" s="15"/>
      <c r="G1914" s="16"/>
      <c r="H1914" s="11"/>
      <c r="I1914" s="7"/>
      <c r="J1914" s="7" t="str">
        <f>IFERROR(LET(_xlpm.v,
VLOOKUP($I1914,'用語辞書'!$A:$B,COLUMN('用語辞書'!B$1),FALSE),
IF(_xlpm.v=0,"",_xlpm.v)
),"")</f>
        <v/>
      </c>
      <c r="K1914" s="17"/>
      <c r="L1914" s="17" t="str">
        <f>IF(OR(COUNTIF('クラス'!$A$1:$A$1262,$B1914)&gt;0,$B1914="",$M1914=""),"",True)</f>
        <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7.0</v>
      </c>
      <c r="B1915" s="26" t="s">
        <v>1998</v>
      </c>
      <c r="C1915" s="1"/>
      <c r="D1915" s="1"/>
      <c r="E1915" s="29" t="s">
        <v>55</v>
      </c>
      <c r="F1915" s="15"/>
      <c r="G1915" s="16"/>
      <c r="H1915" s="22" t="s">
        <v>1999</v>
      </c>
      <c r="I1915" s="7"/>
      <c r="J1915" s="7" t="str">
        <f>IFERROR(LET(_xlpm.v,
VLOOKUP($I1915,'用語辞書'!$A:$B,COLUMN('用語辞書'!B$1),FALSE),
IF(_xlpm.v=0,"",_xlpm.v)
),"")</f>
        <v/>
      </c>
      <c r="K1915" s="17"/>
      <c r="L1915" s="17" t="b">
        <f>IF(OR(COUNTIF('クラス'!$A$1:$A$1262,$B1915)&gt;0,$B1915="",$M1915=""),"",True)</f>
        <v>1</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8.0</v>
      </c>
      <c r="B1916" s="1"/>
      <c r="C1916" s="1"/>
      <c r="D1916" s="1"/>
      <c r="E1916" s="14"/>
      <c r="F1916" s="15"/>
      <c r="G1916" s="16"/>
      <c r="H1916" s="11"/>
      <c r="I1916" s="7"/>
      <c r="J1916" s="7" t="str">
        <f>IFERROR(LET(_xlpm.v,
VLOOKUP($I1916,'用語辞書'!$A:$B,COLUMN('用語辞書'!B$1),FALSE),
IF(_xlpm.v=0,"",_xlpm.v)
),"")</f>
        <v/>
      </c>
      <c r="K1916" s="17"/>
      <c r="L1916" s="17" t="str">
        <f>IF(OR(COUNTIF('クラス'!$A$1:$A$1262,$B1916)&gt;0,$B1916="",$M1916=""),"",True)</f>
        <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9.0</v>
      </c>
      <c r="B1917" s="26" t="s">
        <v>2000</v>
      </c>
      <c r="C1917" s="26" t="s">
        <v>2001</v>
      </c>
      <c r="D1917" s="1"/>
      <c r="E1917" s="29" t="s">
        <v>33</v>
      </c>
      <c r="F1917" s="15"/>
      <c r="G1917" s="30">
        <v>60.0</v>
      </c>
      <c r="H1917" s="22" t="s">
        <v>2002</v>
      </c>
      <c r="I1917" s="7"/>
      <c r="J1917" s="7" t="str">
        <f>IFERROR(LET(_xlpm.v,
VLOOKUP($I1917,'用語辞書'!$A:$B,COLUMN('用語辞書'!B$1),FALSE),
IF(_xlpm.v=0,"",_xlpm.v)
),"")</f>
        <v/>
      </c>
      <c r="K1917" s="17"/>
      <c r="L1917" s="17" t="b">
        <f>IF(OR(COUNTIF('クラス'!$A$1:$A$1262,$B1917)&gt;0,$B1917="",$M1917=""),"",True)</f>
        <v>1</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10.0</v>
      </c>
      <c r="B1918" s="26" t="s">
        <v>2003</v>
      </c>
      <c r="C1918" s="1"/>
      <c r="D1918" s="1"/>
      <c r="E1918" s="29" t="s">
        <v>55</v>
      </c>
      <c r="F1918" s="15"/>
      <c r="G1918" s="16"/>
      <c r="H1918" s="31" t="s">
        <v>2004</v>
      </c>
      <c r="I1918" s="7"/>
      <c r="J1918" s="7" t="str">
        <f>IFERROR(LET(_xlpm.v,
VLOOKUP($I1918,'用語辞書'!$A:$B,COLUMN('用語辞書'!B$1),FALSE),
IF(_xlpm.v=0,"",_xlpm.v)
),"")</f>
        <v/>
      </c>
      <c r="K1918" s="17"/>
      <c r="L1918" s="17" t="b">
        <f>IF(OR(COUNTIF('クラス'!$A$1:$A$1262,$B1918)&gt;0,$B1918="",$M1918=""),"",True)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c r="A1919" s="1"/>
      <c r="B1919" s="1"/>
      <c r="C1919" s="1"/>
      <c r="D1919" s="1"/>
      <c r="E1919" s="14"/>
      <c r="F1919" s="15"/>
      <c r="G1919" s="16"/>
      <c r="H1919" s="11"/>
      <c r="I1919" s="7"/>
      <c r="J1919" s="7" t="str">
        <f>IFERROR(LET(_xlpm.v,
VLOOKUP($I1919,'用語辞書'!$A:$B,COLUMN('用語辞書'!B$1),FALSE),
IF(_xlpm.v=0,"",_xlpm.v)
),"")</f>
        <v/>
      </c>
      <c r="K1919" s="17"/>
      <c r="L1919" s="17" t="str">
        <f>IF(OR(COUNTIF('クラス'!$A$1:$A$1262,$B1919)&gt;0,$B1919="",$M1919=""),"",True)</f>
        <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26" t="s">
        <v>2005</v>
      </c>
      <c r="C1920" s="1"/>
      <c r="D1920" s="1"/>
      <c r="E1920" s="14"/>
      <c r="F1920" s="15"/>
      <c r="G1920" s="16"/>
      <c r="H1920" s="11"/>
      <c r="I1920" s="7"/>
      <c r="J1920" s="7" t="str">
        <f>IFERROR(LET(_xlpm.v,
VLOOKUP($I1920,'用語辞書'!$A:$B,COLUMN('用語辞書'!B$1),FALSE),
IF(_xlpm.v=0,"",_xlpm.v)
),"")</f>
        <v/>
      </c>
      <c r="K1920" s="17"/>
      <c r="L1920" s="17" t="str">
        <f>IF(OR(COUNTIF('クラス'!$A$1:$A$1262,$B1920)&gt;0,$B1920="",$M1920=""),"",True)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outlineLevel="1">
      <c r="A1921" s="1">
        <v>1.0</v>
      </c>
      <c r="B1921" s="26" t="s">
        <v>2006</v>
      </c>
      <c r="C1921" s="26" t="s">
        <v>2007</v>
      </c>
      <c r="D1921" s="1"/>
      <c r="E1921" s="29" t="s">
        <v>33</v>
      </c>
      <c r="F1921" s="15"/>
      <c r="G1921" s="30">
        <v>60.0</v>
      </c>
      <c r="H1921" s="22" t="s">
        <v>2008</v>
      </c>
      <c r="I1921" s="7"/>
      <c r="J1921" s="7" t="str">
        <f>IFERROR(LET(_xlpm.v,
VLOOKUP($I1921,'用語辞書'!$A:$B,COLUMN('用語辞書'!B$1),FALSE),
IF(_xlpm.v=0,"",_xlpm.v)
),"")</f>
        <v/>
      </c>
      <c r="K1921" s="17"/>
      <c r="L1921" s="17" t="b">
        <f>IF(OR(COUNTIF('クラス'!$A$1:$A$1262,$B1921)&gt;0,$B1921="",$M1921=""),"",True)</f>
        <v>1</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2.0</v>
      </c>
      <c r="B1922" s="1"/>
      <c r="C1922" s="1"/>
      <c r="D1922" s="1"/>
      <c r="E1922" s="14"/>
      <c r="F1922" s="15"/>
      <c r="G1922" s="16"/>
      <c r="H1922" s="11"/>
      <c r="I1922" s="7"/>
      <c r="J1922" s="7" t="str">
        <f>IFERROR(LET(_xlpm.v,
VLOOKUP($I1922,'用語辞書'!$A:$B,COLUMN('用語辞書'!B$1),FALSE),
IF(_xlpm.v=0,"",_xlpm.v)
),"")</f>
        <v/>
      </c>
      <c r="K1922" s="17"/>
      <c r="L1922" s="17" t="str">
        <f>IF(OR(COUNTIF('クラス'!$A$1:$A$1262,$B1922)&gt;0,$B1922="",$M1922=""),"",True)</f>
        <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3.0</v>
      </c>
      <c r="B1923" s="26" t="s">
        <v>2009</v>
      </c>
      <c r="C1923" s="1"/>
      <c r="D1923" s="1"/>
      <c r="E1923" s="29" t="s">
        <v>55</v>
      </c>
      <c r="F1923" s="15"/>
      <c r="G1923" s="16"/>
      <c r="H1923" s="31" t="s">
        <v>2010</v>
      </c>
      <c r="I1923" s="7"/>
      <c r="J1923" s="7" t="str">
        <f>IFERROR(LET(_xlpm.v,
VLOOKUP($I1923,'用語辞書'!$A:$B,COLUMN('用語辞書'!B$1),FALSE),
IF(_xlpm.v=0,"",_xlpm.v)
),"")</f>
        <v/>
      </c>
      <c r="K1923" s="17"/>
      <c r="L1923" s="17" t="b">
        <f>IF(OR(COUNTIF('クラス'!$A$1:$A$1262,$B1923)&gt;0,$B1923="",$M1923=""),"",True)</f>
        <v>1</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4.0</v>
      </c>
      <c r="B1924" s="1"/>
      <c r="C1924" s="1"/>
      <c r="D1924" s="1"/>
      <c r="E1924" s="14"/>
      <c r="F1924" s="15"/>
      <c r="G1924" s="16"/>
      <c r="H1924" s="11"/>
      <c r="I1924" s="7"/>
      <c r="J1924" s="7" t="str">
        <f>IFERROR(LET(_xlpm.v,
VLOOKUP($I1924,'用語辞書'!$A:$B,COLUMN('用語辞書'!B$1),FALSE),
IF(_xlpm.v=0,"",_xlpm.v)
),"")</f>
        <v/>
      </c>
      <c r="K1924" s="17"/>
      <c r="L1924" s="17" t="str">
        <f>IF(OR(COUNTIF('クラス'!$A$1:$A$1262,$B1924)&gt;0,$B1924="",$M1924=""),"",True)</f>
        <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5.0</v>
      </c>
      <c r="B1925" s="26" t="s">
        <v>2011</v>
      </c>
      <c r="C1925" s="26" t="s">
        <v>2012</v>
      </c>
      <c r="D1925" s="1"/>
      <c r="E1925" s="29" t="s">
        <v>33</v>
      </c>
      <c r="F1925" s="15"/>
      <c r="G1925" s="30">
        <v>60.0</v>
      </c>
      <c r="H1925" s="22" t="s">
        <v>2013</v>
      </c>
      <c r="I1925" s="7"/>
      <c r="J1925" s="7" t="str">
        <f>IFERROR(LET(_xlpm.v,
VLOOKUP($I1925,'用語辞書'!$A:$B,COLUMN('用語辞書'!B$1),FALSE),
IF(_xlpm.v=0,"",_xlpm.v)
),"")</f>
        <v/>
      </c>
      <c r="K1925" s="17"/>
      <c r="L1925" s="17" t="b">
        <f>IF(OR(COUNTIF('クラス'!$A$1:$A$1262,$B1925)&gt;0,$B1925="",$M1925=""),"",True)</f>
        <v>1</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6.0</v>
      </c>
      <c r="B1926" s="1"/>
      <c r="C1926" s="1"/>
      <c r="D1926" s="1"/>
      <c r="E1926" s="14"/>
      <c r="F1926" s="15"/>
      <c r="G1926" s="16"/>
      <c r="H1926" s="11"/>
      <c r="I1926" s="7"/>
      <c r="J1926" s="7" t="str">
        <f>IFERROR(LET(_xlpm.v,
VLOOKUP($I1926,'用語辞書'!$A:$B,COLUMN('用語辞書'!B$1),FALSE),
IF(_xlpm.v=0,"",_xlpm.v)
),"")</f>
        <v/>
      </c>
      <c r="K1926" s="17"/>
      <c r="L1926" s="17" t="str">
        <f>IF(OR(COUNTIF('クラス'!$A$1:$A$1262,$B1926)&gt;0,$B1926="",$M1926=""),"",True)</f>
        <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7.0</v>
      </c>
      <c r="B1927" s="26" t="s">
        <v>2014</v>
      </c>
      <c r="C1927" s="1"/>
      <c r="D1927" s="1"/>
      <c r="E1927" s="29" t="s">
        <v>55</v>
      </c>
      <c r="F1927" s="15"/>
      <c r="G1927" s="16"/>
      <c r="H1927" s="22" t="s">
        <v>2015</v>
      </c>
      <c r="I1927" s="7"/>
      <c r="J1927" s="7" t="str">
        <f>IFERROR(LET(_xlpm.v,
VLOOKUP($I1927,'用語辞書'!$A:$B,COLUMN('用語辞書'!B$1),FALSE),
IF(_xlpm.v=0,"",_xlpm.v)
),"")</f>
        <v/>
      </c>
      <c r="K1927" s="17"/>
      <c r="L1927" s="17" t="b">
        <f>IF(OR(COUNTIF('クラス'!$A$1:$A$1262,$B1927)&gt;0,$B1927="",$M1927=""),"",True)</f>
        <v>1</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8.0</v>
      </c>
      <c r="B1928" s="1"/>
      <c r="C1928" s="1"/>
      <c r="D1928" s="1"/>
      <c r="E1928" s="14"/>
      <c r="F1928" s="15"/>
      <c r="G1928" s="16"/>
      <c r="H1928" s="11"/>
      <c r="I1928" s="7"/>
      <c r="J1928" s="7" t="str">
        <f>IFERROR(LET(_xlpm.v,
VLOOKUP($I1928,'用語辞書'!$A:$B,COLUMN('用語辞書'!B$1),FALSE),
IF(_xlpm.v=0,"",_xlpm.v)
),"")</f>
        <v/>
      </c>
      <c r="K1928" s="17"/>
      <c r="L1928" s="17" t="str">
        <f>IF(OR(COUNTIF('クラス'!$A$1:$A$1262,$B1928)&gt;0,$B1928="",$M1928=""),"",True)</f>
        <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9.0</v>
      </c>
      <c r="B1929" s="26" t="s">
        <v>2016</v>
      </c>
      <c r="C1929" s="26" t="s">
        <v>2017</v>
      </c>
      <c r="D1929" s="1"/>
      <c r="E1929" s="29" t="s">
        <v>33</v>
      </c>
      <c r="F1929" s="15"/>
      <c r="G1929" s="30">
        <v>60.0</v>
      </c>
      <c r="H1929" s="31" t="s">
        <v>2018</v>
      </c>
      <c r="I1929" s="7"/>
      <c r="J1929" s="7" t="str">
        <f>IFERROR(LET(_xlpm.v,
VLOOKUP($I1929,'用語辞書'!$A:$B,COLUMN('用語辞書'!B$1),FALSE),
IF(_xlpm.v=0,"",_xlpm.v)
),"")</f>
        <v/>
      </c>
      <c r="K1929" s="17"/>
      <c r="L1929" s="17" t="b">
        <f>IF(OR(COUNTIF('クラス'!$A$1:$A$1262,$B1929)&gt;0,$B1929="",$M1929=""),"",True)</f>
        <v>1</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10.0</v>
      </c>
      <c r="B1930" s="26" t="s">
        <v>2019</v>
      </c>
      <c r="C1930" s="1"/>
      <c r="D1930" s="1"/>
      <c r="E1930" s="29" t="s">
        <v>55</v>
      </c>
      <c r="F1930" s="15"/>
      <c r="G1930" s="16"/>
      <c r="H1930" s="31" t="s">
        <v>2020</v>
      </c>
      <c r="I1930" s="7"/>
      <c r="J1930" s="7" t="str">
        <f>IFERROR(LET(_xlpm.v,
VLOOKUP($I1930,'用語辞書'!$A:$B,COLUMN('用語辞書'!B$1),FALSE),
IF(_xlpm.v=0,"",_xlpm.v)
),"")</f>
        <v/>
      </c>
      <c r="K1930" s="17"/>
      <c r="L1930" s="17" t="b">
        <f>IF(OR(COUNTIF('クラス'!$A$1:$A$1262,$B1930)&gt;0,$B1930="",$M1930=""),"",True)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c r="A1931" s="1"/>
      <c r="B1931" s="1"/>
      <c r="C1931" s="1"/>
      <c r="D1931" s="1"/>
      <c r="E1931" s="14"/>
      <c r="F1931" s="15"/>
      <c r="G1931" s="16"/>
      <c r="H1931" s="11"/>
      <c r="I1931" s="7"/>
      <c r="J1931" s="7" t="str">
        <f>IFERROR(LET(_xlpm.v,
VLOOKUP($I1931,'用語辞書'!$A:$B,COLUMN('用語辞書'!B$1),FALSE),
IF(_xlpm.v=0,"",_xlpm.v)
),"")</f>
        <v/>
      </c>
      <c r="K1931" s="17"/>
      <c r="L1931" s="17" t="str">
        <f>IF(OR(COUNTIF('クラス'!$A$1:$A$1262,$B1931)&gt;0,$B1931="",$M1931=""),"",True)</f>
        <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26" t="s">
        <v>2021</v>
      </c>
      <c r="C1932" s="1"/>
      <c r="D1932" s="1"/>
      <c r="E1932" s="14"/>
      <c r="F1932" s="15"/>
      <c r="G1932" s="16"/>
      <c r="H1932" s="11"/>
      <c r="I1932" s="7"/>
      <c r="J1932" s="7" t="str">
        <f>IFERROR(LET(_xlpm.v,
VLOOKUP($I1932,'用語辞書'!$A:$B,COLUMN('用語辞書'!B$1),FALSE),
IF(_xlpm.v=0,"",_xlpm.v)
),"")</f>
        <v/>
      </c>
      <c r="K1932" s="17"/>
      <c r="L1932" s="17" t="str">
        <f>IF(OR(COUNTIF('クラス'!$A$1:$A$1262,$B1932)&gt;0,$B1932="",$M1932=""),"",True)</f>
        <v/>
      </c>
      <c r="M1932" s="1" t="str">
        <f t="shared" si="27"/>
        <v>存在しない</v>
      </c>
      <c r="N1932" s="1" t="s">
        <v>29</v>
      </c>
      <c r="O1932" s="1"/>
      <c r="P1932" s="11"/>
      <c r="Q1932" s="11"/>
      <c r="R1932" s="11"/>
      <c r="S1932" s="11"/>
      <c r="T1932" s="1"/>
      <c r="U1932" s="1"/>
      <c r="V1932" s="1"/>
      <c r="W1932" s="1"/>
      <c r="X1932" s="1"/>
      <c r="Y1932" s="1"/>
      <c r="Z1932" s="1"/>
    </row>
    <row r="1933" ht="18.0" hidden="1" customHeight="1" outlineLevel="1">
      <c r="A1933" s="1">
        <v>1.0</v>
      </c>
      <c r="B1933" s="26" t="s">
        <v>2022</v>
      </c>
      <c r="C1933" s="26" t="s">
        <v>2023</v>
      </c>
      <c r="D1933" s="1"/>
      <c r="E1933" s="29" t="s">
        <v>33</v>
      </c>
      <c r="F1933" s="15"/>
      <c r="G1933" s="30">
        <v>60.0</v>
      </c>
      <c r="H1933" s="22" t="s">
        <v>2024</v>
      </c>
      <c r="I1933" s="7"/>
      <c r="J1933" s="7" t="str">
        <f>IFERROR(LET(_xlpm.v,
VLOOKUP($I1933,'用語辞書'!$A:$B,COLUMN('用語辞書'!B$1),FALSE),
IF(_xlpm.v=0,"",_xlpm.v)
),"")</f>
        <v/>
      </c>
      <c r="K1933" s="17"/>
      <c r="L1933" s="17" t="b">
        <f>IF(OR(COUNTIF('クラス'!$A$1:$A$1262,$B1933)&gt;0,$B1933="",$M1933=""),"",True)</f>
        <v>1</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2.0</v>
      </c>
      <c r="B1934" s="1"/>
      <c r="C1934" s="1"/>
      <c r="D1934" s="1"/>
      <c r="E1934" s="14"/>
      <c r="F1934" s="15"/>
      <c r="G1934" s="16"/>
      <c r="H1934" s="11"/>
      <c r="I1934" s="7"/>
      <c r="J1934" s="7" t="str">
        <f>IFERROR(LET(_xlpm.v,
VLOOKUP($I1934,'用語辞書'!$A:$B,COLUMN('用語辞書'!B$1),FALSE),
IF(_xlpm.v=0,"",_xlpm.v)
),"")</f>
        <v/>
      </c>
      <c r="K1934" s="17"/>
      <c r="L1934" s="17" t="str">
        <f>IF(OR(COUNTIF('クラス'!$A$1:$A$1262,$B1934)&gt;0,$B1934="",$M1934=""),"",True)</f>
        <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3.0</v>
      </c>
      <c r="B1935" s="26" t="s">
        <v>2025</v>
      </c>
      <c r="C1935" s="1"/>
      <c r="D1935" s="1"/>
      <c r="E1935" s="29" t="s">
        <v>55</v>
      </c>
      <c r="F1935" s="15"/>
      <c r="G1935" s="16"/>
      <c r="H1935" s="22" t="s">
        <v>2026</v>
      </c>
      <c r="I1935" s="7"/>
      <c r="J1935" s="7" t="str">
        <f>IFERROR(LET(_xlpm.v,
VLOOKUP($I1935,'用語辞書'!$A:$B,COLUMN('用語辞書'!B$1),FALSE),
IF(_xlpm.v=0,"",_xlpm.v)
),"")</f>
        <v/>
      </c>
      <c r="K1935" s="17"/>
      <c r="L1935" s="17" t="b">
        <f>IF(OR(COUNTIF('クラス'!$A$1:$A$1262,$B1935)&gt;0,$B1935="",$M1935=""),"",True)</f>
        <v>1</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4.0</v>
      </c>
      <c r="B1936" s="1"/>
      <c r="C1936" s="1"/>
      <c r="D1936" s="1"/>
      <c r="E1936" s="14"/>
      <c r="F1936" s="15"/>
      <c r="G1936" s="16"/>
      <c r="H1936" s="11"/>
      <c r="I1936" s="7"/>
      <c r="J1936" s="7" t="str">
        <f>IFERROR(LET(_xlpm.v,
VLOOKUP($I1936,'用語辞書'!$A:$B,COLUMN('用語辞書'!B$1),FALSE),
IF(_xlpm.v=0,"",_xlpm.v)
),"")</f>
        <v/>
      </c>
      <c r="K1936" s="17"/>
      <c r="L1936" s="17" t="str">
        <f>IF(OR(COUNTIF('クラス'!$A$1:$A$1262,$B1936)&gt;0,$B1936="",$M1936=""),"",True)</f>
        <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5.0</v>
      </c>
      <c r="B1937" s="26" t="s">
        <v>2027</v>
      </c>
      <c r="C1937" s="26" t="s">
        <v>2028</v>
      </c>
      <c r="D1937" s="1"/>
      <c r="E1937" s="29" t="s">
        <v>33</v>
      </c>
      <c r="F1937" s="15"/>
      <c r="G1937" s="30">
        <v>60.0</v>
      </c>
      <c r="H1937" s="22" t="s">
        <v>2029</v>
      </c>
      <c r="I1937" s="7"/>
      <c r="J1937" s="7" t="str">
        <f>IFERROR(LET(_xlpm.v,
VLOOKUP($I1937,'用語辞書'!$A:$B,COLUMN('用語辞書'!B$1),FALSE),
IF(_xlpm.v=0,"",_xlpm.v)
),"")</f>
        <v/>
      </c>
      <c r="K1937" s="17"/>
      <c r="L1937" s="17" t="b">
        <f>IF(OR(COUNTIF('クラス'!$A$1:$A$1262,$B1937)&gt;0,$B1937="",$M1937=""),"",True)</f>
        <v>1</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6.0</v>
      </c>
      <c r="B1938" s="1"/>
      <c r="C1938" s="1"/>
      <c r="D1938" s="1"/>
      <c r="E1938" s="14"/>
      <c r="F1938" s="15"/>
      <c r="G1938" s="16"/>
      <c r="H1938" s="11"/>
      <c r="I1938" s="7"/>
      <c r="J1938" s="7" t="str">
        <f>IFERROR(LET(_xlpm.v,
VLOOKUP($I1938,'用語辞書'!$A:$B,COLUMN('用語辞書'!B$1),FALSE),
IF(_xlpm.v=0,"",_xlpm.v)
),"")</f>
        <v/>
      </c>
      <c r="K1938" s="17"/>
      <c r="L1938" s="17" t="str">
        <f>IF(OR(COUNTIF('クラス'!$A$1:$A$1262,$B1938)&gt;0,$B1938="",$M1938=""),"",True)</f>
        <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7.0</v>
      </c>
      <c r="B1939" s="26" t="s">
        <v>2030</v>
      </c>
      <c r="C1939" s="1"/>
      <c r="D1939" s="1"/>
      <c r="E1939" s="29" t="s">
        <v>55</v>
      </c>
      <c r="F1939" s="15"/>
      <c r="G1939" s="16"/>
      <c r="H1939" s="31" t="s">
        <v>2031</v>
      </c>
      <c r="I1939" s="7"/>
      <c r="J1939" s="7" t="str">
        <f>IFERROR(LET(_xlpm.v,
VLOOKUP($I1939,'用語辞書'!$A:$B,COLUMN('用語辞書'!B$1),FALSE),
IF(_xlpm.v=0,"",_xlpm.v)
),"")</f>
        <v/>
      </c>
      <c r="K1939" s="17"/>
      <c r="L1939" s="17" t="b">
        <f>IF(OR(COUNTIF('クラス'!$A$1:$A$1262,$B1939)&gt;0,$B1939="",$M1939=""),"",True)</f>
        <v>1</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8.0</v>
      </c>
      <c r="B1940" s="1"/>
      <c r="C1940" s="1"/>
      <c r="D1940" s="1"/>
      <c r="E1940" s="14"/>
      <c r="F1940" s="15"/>
      <c r="G1940" s="16"/>
      <c r="H1940" s="11"/>
      <c r="I1940" s="7"/>
      <c r="J1940" s="7" t="str">
        <f>IFERROR(LET(_xlpm.v,
VLOOKUP($I1940,'用語辞書'!$A:$B,COLUMN('用語辞書'!B$1),FALSE),
IF(_xlpm.v=0,"",_xlpm.v)
),"")</f>
        <v/>
      </c>
      <c r="K1940" s="17"/>
      <c r="L1940" s="17" t="str">
        <f>IF(OR(COUNTIF('クラス'!$A$1:$A$1262,$B1940)&gt;0,$B1940="",$M1940=""),"",True)</f>
        <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9.0</v>
      </c>
      <c r="B1941" s="26" t="s">
        <v>2032</v>
      </c>
      <c r="C1941" s="26" t="s">
        <v>2033</v>
      </c>
      <c r="D1941" s="1"/>
      <c r="E1941" s="29" t="s">
        <v>33</v>
      </c>
      <c r="F1941" s="15"/>
      <c r="G1941" s="30">
        <v>60.0</v>
      </c>
      <c r="H1941" s="22" t="s">
        <v>2034</v>
      </c>
      <c r="I1941" s="7"/>
      <c r="J1941" s="7" t="str">
        <f>IFERROR(LET(_xlpm.v,
VLOOKUP($I1941,'用語辞書'!$A:$B,COLUMN('用語辞書'!B$1),FALSE),
IF(_xlpm.v=0,"",_xlpm.v)
),"")</f>
        <v/>
      </c>
      <c r="K1941" s="17"/>
      <c r="L1941" s="17" t="b">
        <f>IF(OR(COUNTIF('クラス'!$A$1:$A$1262,$B1941)&gt;0,$B1941="",$M1941=""),"",True)</f>
        <v>1</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10.0</v>
      </c>
      <c r="B1942" s="26" t="s">
        <v>2035</v>
      </c>
      <c r="C1942" s="1"/>
      <c r="D1942" s="1"/>
      <c r="E1942" s="29" t="s">
        <v>55</v>
      </c>
      <c r="F1942" s="15"/>
      <c r="G1942" s="16"/>
      <c r="H1942" s="22" t="s">
        <v>2036</v>
      </c>
      <c r="I1942" s="7"/>
      <c r="J1942" s="7" t="str">
        <f>IFERROR(LET(_xlpm.v,
VLOOKUP($I1942,'用語辞書'!$A:$B,COLUMN('用語辞書'!B$1),FALSE),
IF(_xlpm.v=0,"",_xlpm.v)
),"")</f>
        <v/>
      </c>
      <c r="K1942" s="17"/>
      <c r="L1942" s="17" t="b">
        <f>IF(OR(COUNTIF('クラス'!$A$1:$A$1262,$B1942)&gt;0,$B1942="",$M1942=""),"",True)</f>
        <v>1</v>
      </c>
      <c r="M1942" s="1" t="str">
        <f t="shared" si="27"/>
        <v>存在しない</v>
      </c>
      <c r="N1942" s="1" t="s">
        <v>29</v>
      </c>
      <c r="O1942" s="1"/>
      <c r="P1942" s="11"/>
      <c r="Q1942" s="11"/>
      <c r="R1942" s="11"/>
      <c r="S1942" s="11"/>
      <c r="T1942" s="1"/>
      <c r="U1942" s="1"/>
      <c r="V1942" s="1"/>
      <c r="W1942" s="1"/>
      <c r="X1942" s="1"/>
      <c r="Y1942" s="1"/>
      <c r="Z1942" s="1"/>
    </row>
    <row r="1943" ht="18.0" customHeight="1" collapsed="1">
      <c r="A1943" s="1"/>
      <c r="B1943" s="1"/>
      <c r="C1943" s="26"/>
      <c r="D1943" s="1"/>
      <c r="E1943" s="14"/>
      <c r="F1943" s="15"/>
      <c r="G1943" s="16"/>
      <c r="H1943" s="11"/>
      <c r="I1943" s="7"/>
      <c r="J1943" s="7" t="str">
        <f>IFERROR(LET(_xlpm.v,
VLOOKUP($I1943,'用語辞書'!$A:$B,COLUMN('用語辞書'!B$1),FALSE),
IF(_xlpm.v=0,"",_xlpm.v)
),"")</f>
        <v/>
      </c>
      <c r="K1943" s="17"/>
      <c r="L1943" s="17" t="str">
        <f>IF(OR(COUNTIF('クラス'!$A$1:$A$1262,$B1943)&gt;0,$B1943="",$M1943=""),"",True)</f>
        <v/>
      </c>
      <c r="M1943" s="1" t="str">
        <f t="shared" si="27"/>
        <v>存在しない</v>
      </c>
      <c r="N1943" s="1" t="s">
        <v>29</v>
      </c>
      <c r="O1943" s="1"/>
      <c r="P1943" s="11"/>
      <c r="Q1943" s="11"/>
      <c r="R1943" s="11"/>
      <c r="S1943" s="11"/>
      <c r="T1943" s="1"/>
      <c r="U1943" s="1"/>
      <c r="V1943" s="1"/>
      <c r="W1943" s="1"/>
      <c r="X1943" s="1"/>
      <c r="Y1943" s="1"/>
      <c r="Z1943" s="1"/>
    </row>
    <row r="1944" ht="18.0" customHeight="1">
      <c r="A1944" s="1"/>
      <c r="B1944" s="26" t="s">
        <v>2037</v>
      </c>
      <c r="C1944" s="1"/>
      <c r="D1944" s="1"/>
      <c r="E1944" s="14"/>
      <c r="F1944" s="15"/>
      <c r="G1944" s="16"/>
      <c r="H1944" s="11"/>
      <c r="I1944" s="7"/>
      <c r="J1944" s="7" t="str">
        <f>IFERROR(LET(_xlpm.v,
VLOOKUP($I1944,'用語辞書'!$A:$B,COLUMN('用語辞書'!B$1),FALSE),
IF(_xlpm.v=0,"",_xlpm.v)
),"")</f>
        <v/>
      </c>
      <c r="K1944" s="17"/>
      <c r="L1944" s="17" t="str">
        <f>IF(OR(COUNTIF('クラス'!$A$1:$A$1262,$B1944)&gt;0,$B1944="",$M1944=""),"",True)</f>
        <v/>
      </c>
      <c r="M1944" s="1" t="str">
        <f t="shared" si="27"/>
        <v>存在しない</v>
      </c>
      <c r="N1944" s="1" t="s">
        <v>29</v>
      </c>
      <c r="O1944" s="1"/>
      <c r="P1944" s="11"/>
      <c r="Q1944" s="11"/>
      <c r="R1944" s="11"/>
      <c r="S1944" s="11"/>
      <c r="T1944" s="1"/>
      <c r="U1944" s="1"/>
      <c r="V1944" s="1"/>
      <c r="W1944" s="1"/>
      <c r="X1944" s="1"/>
      <c r="Y1944" s="1"/>
      <c r="Z1944" s="1"/>
    </row>
    <row r="1945" ht="18.0" hidden="1" customHeight="1" outlineLevel="1">
      <c r="A1945" s="1">
        <v>1.0</v>
      </c>
      <c r="B1945" s="26" t="s">
        <v>2038</v>
      </c>
      <c r="C1945" s="26" t="s">
        <v>2037</v>
      </c>
      <c r="D1945" s="1"/>
      <c r="E1945" s="29" t="s">
        <v>33</v>
      </c>
      <c r="F1945" s="15"/>
      <c r="G1945" s="30">
        <v>30.0</v>
      </c>
      <c r="H1945" s="22" t="s">
        <v>2039</v>
      </c>
      <c r="I1945" s="7"/>
      <c r="J1945" s="7" t="str">
        <f>IFERROR(LET(_xlpm.v,
VLOOKUP($I1945,'用語辞書'!$A:$B,COLUMN('用語辞書'!B$1),FALSE),
IF(_xlpm.v=0,"",_xlpm.v)
),"")</f>
        <v/>
      </c>
      <c r="K1945" s="17"/>
      <c r="L1945" s="17" t="b">
        <f>IF(OR(COUNTIF('クラス'!$A$1:$A$1262,$B1945)&gt;0,$B1945="",$M1945=""),"",True)</f>
        <v>1</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2.0</v>
      </c>
      <c r="B1946" s="1"/>
      <c r="C1946" s="1"/>
      <c r="D1946" s="1"/>
      <c r="E1946" s="14"/>
      <c r="F1946" s="15"/>
      <c r="G1946" s="16"/>
      <c r="H1946" s="11"/>
      <c r="I1946" s="7"/>
      <c r="J1946" s="7" t="str">
        <f>IFERROR(LET(_xlpm.v,
VLOOKUP($I1946,'用語辞書'!$A:$B,COLUMN('用語辞書'!B$1),FALSE),
IF(_xlpm.v=0,"",_xlpm.v)
),"")</f>
        <v/>
      </c>
      <c r="K1946" s="17"/>
      <c r="L1946" s="17" t="str">
        <f>IF(OR(COUNTIF('クラス'!$A$1:$A$1262,$B1946)&gt;0,$B1946="",$M1946=""),"",True)</f>
        <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3.0</v>
      </c>
      <c r="B1947" s="26" t="s">
        <v>2040</v>
      </c>
      <c r="C1947" s="1"/>
      <c r="D1947" s="1"/>
      <c r="E1947" s="29" t="s">
        <v>55</v>
      </c>
      <c r="F1947" s="15"/>
      <c r="G1947" s="16"/>
      <c r="H1947" s="22" t="s">
        <v>2041</v>
      </c>
      <c r="I1947" s="7"/>
      <c r="J1947" s="7" t="str">
        <f>IFERROR(LET(_xlpm.v,
VLOOKUP($I1947,'用語辞書'!$A:$B,COLUMN('用語辞書'!B$1),FALSE),
IF(_xlpm.v=0,"",_xlpm.v)
),"")</f>
        <v/>
      </c>
      <c r="K1947" s="17"/>
      <c r="L1947" s="17" t="b">
        <f>IF(OR(COUNTIF('クラス'!$A$1:$A$1262,$B1947)&gt;0,$B1947="",$M1947=""),"",True)</f>
        <v>1</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4.0</v>
      </c>
      <c r="B1948" s="1"/>
      <c r="C1948" s="1"/>
      <c r="D1948" s="1"/>
      <c r="E1948" s="14"/>
      <c r="F1948" s="15"/>
      <c r="G1948" s="16"/>
      <c r="H1948" s="11"/>
      <c r="I1948" s="7"/>
      <c r="J1948" s="7" t="str">
        <f>IFERROR(LET(_xlpm.v,
VLOOKUP($I1948,'用語辞書'!$A:$B,COLUMN('用語辞書'!B$1),FALSE),
IF(_xlpm.v=0,"",_xlpm.v)
),"")</f>
        <v/>
      </c>
      <c r="K1948" s="17"/>
      <c r="L1948" s="17" t="str">
        <f>IF(OR(COUNTIF('クラス'!$A$1:$A$1262,$B1948)&gt;0,$B1948="",$M1948=""),"",True)</f>
        <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5.0</v>
      </c>
      <c r="B1949" s="26" t="s">
        <v>2042</v>
      </c>
      <c r="C1949" s="26" t="s">
        <v>2043</v>
      </c>
      <c r="D1949" s="1"/>
      <c r="E1949" s="29" t="s">
        <v>33</v>
      </c>
      <c r="F1949" s="15"/>
      <c r="G1949" s="30">
        <v>30.0</v>
      </c>
      <c r="H1949" s="22" t="s">
        <v>2044</v>
      </c>
      <c r="I1949" s="7"/>
      <c r="J1949" s="7" t="str">
        <f>IFERROR(LET(_xlpm.v,
VLOOKUP($I1949,'用語辞書'!$A:$B,COLUMN('用語辞書'!B$1),FALSE),
IF(_xlpm.v=0,"",_xlpm.v)
),"")</f>
        <v/>
      </c>
      <c r="K1949" s="17"/>
      <c r="L1949" s="17" t="b">
        <f>IF(OR(COUNTIF('クラス'!$A$1:$A$1262,$B1949)&gt;0,$B1949="",$M1949=""),"",True)</f>
        <v>1</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6.0</v>
      </c>
      <c r="B1950" s="1"/>
      <c r="C1950" s="1"/>
      <c r="D1950" s="1"/>
      <c r="E1950" s="14"/>
      <c r="F1950" s="15"/>
      <c r="G1950" s="16"/>
      <c r="H1950" s="11"/>
      <c r="I1950" s="7"/>
      <c r="J1950" s="7" t="str">
        <f>IFERROR(LET(_xlpm.v,
VLOOKUP($I1950,'用語辞書'!$A:$B,COLUMN('用語辞書'!B$1),FALSE),
IF(_xlpm.v=0,"",_xlpm.v)
),"")</f>
        <v/>
      </c>
      <c r="K1950" s="17"/>
      <c r="L1950" s="17" t="str">
        <f>IF(OR(COUNTIF('クラス'!$A$1:$A$1262,$B1950)&gt;0,$B1950="",$M1950=""),"",True)</f>
        <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7.0</v>
      </c>
      <c r="B1951" s="26" t="s">
        <v>1998</v>
      </c>
      <c r="C1951" s="1"/>
      <c r="D1951" s="1"/>
      <c r="E1951" s="29" t="s">
        <v>55</v>
      </c>
      <c r="F1951" s="15"/>
      <c r="G1951" s="16"/>
      <c r="H1951" s="22" t="s">
        <v>2045</v>
      </c>
      <c r="I1951" s="7"/>
      <c r="J1951" s="7" t="str">
        <f>IFERROR(LET(_xlpm.v,
VLOOKUP($I1951,'用語辞書'!$A:$B,COLUMN('用語辞書'!B$1),FALSE),
IF(_xlpm.v=0,"",_xlpm.v)
),"")</f>
        <v/>
      </c>
      <c r="K1951" s="17"/>
      <c r="L1951" s="17" t="str">
        <f>IF(OR(COUNTIF('クラス'!$A$1:$A$1262,$B1951)&gt;0,$B1951="",$M1951=""),"",True)</f>
        <v/>
      </c>
      <c r="M1951" s="1" t="str">
        <f t="shared" si="27"/>
        <v/>
      </c>
      <c r="N1951" s="1" t="s">
        <v>29</v>
      </c>
      <c r="O1951" s="1"/>
      <c r="P1951" s="11"/>
      <c r="Q1951" s="11"/>
      <c r="R1951" s="11"/>
      <c r="S1951" s="11"/>
      <c r="T1951" s="1"/>
      <c r="U1951" s="1"/>
      <c r="V1951" s="1"/>
      <c r="W1951" s="1"/>
      <c r="X1951" s="1"/>
      <c r="Y1951" s="1"/>
      <c r="Z1951" s="1"/>
    </row>
    <row r="1952" ht="18.0" hidden="1" customHeight="1" outlineLevel="1">
      <c r="A1952" s="1">
        <v>8.0</v>
      </c>
      <c r="B1952" s="1"/>
      <c r="C1952" s="1"/>
      <c r="D1952" s="1"/>
      <c r="E1952" s="14"/>
      <c r="F1952" s="15"/>
      <c r="G1952" s="16"/>
      <c r="H1952" s="11"/>
      <c r="I1952" s="7"/>
      <c r="J1952" s="7" t="str">
        <f>IFERROR(LET(_xlpm.v,
VLOOKUP($I1952,'用語辞書'!$A:$B,COLUMN('用語辞書'!B$1),FALSE),
IF(_xlpm.v=0,"",_xlpm.v)
),"")</f>
        <v/>
      </c>
      <c r="K1952" s="17"/>
      <c r="L1952" s="17" t="str">
        <f>IF(OR(COUNTIF('クラス'!$A$1:$A$1262,$B1952)&gt;0,$B1952="",$M1952=""),"",True)</f>
        <v/>
      </c>
      <c r="M1952" s="1" t="str">
        <f t="shared" si="27"/>
        <v>存在しない</v>
      </c>
      <c r="N1952" s="1" t="s">
        <v>29</v>
      </c>
      <c r="O1952" s="1"/>
      <c r="P1952" s="11"/>
      <c r="Q1952" s="11"/>
      <c r="R1952" s="11"/>
      <c r="S1952" s="11"/>
      <c r="T1952" s="1"/>
      <c r="U1952" s="1"/>
      <c r="V1952" s="1"/>
      <c r="W1952" s="1"/>
      <c r="X1952" s="1"/>
      <c r="Y1952" s="1"/>
      <c r="Z1952" s="1"/>
    </row>
    <row r="1953" ht="18.0" hidden="1" customHeight="1" outlineLevel="1">
      <c r="A1953" s="1">
        <v>9.0</v>
      </c>
      <c r="B1953" s="26" t="s">
        <v>2046</v>
      </c>
      <c r="C1953" s="26" t="s">
        <v>2047</v>
      </c>
      <c r="D1953" s="1"/>
      <c r="E1953" s="29" t="s">
        <v>33</v>
      </c>
      <c r="F1953" s="15"/>
      <c r="G1953" s="30">
        <v>60.0</v>
      </c>
      <c r="H1953" s="22" t="s">
        <v>2048</v>
      </c>
      <c r="I1953" s="7"/>
      <c r="J1953" s="7" t="str">
        <f>IFERROR(LET(_xlpm.v,
VLOOKUP($I1953,'用語辞書'!$A:$B,COLUMN('用語辞書'!B$1),FALSE),
IF(_xlpm.v=0,"",_xlpm.v)
),"")</f>
        <v/>
      </c>
      <c r="K1953" s="17"/>
      <c r="L1953" s="17" t="b">
        <f>IF(OR(COUNTIF('クラス'!$A$1:$A$1262,$B1953)&gt;0,$B1953="",$M1953=""),"",True)</f>
        <v>1</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10.0</v>
      </c>
      <c r="B1954" s="26" t="s">
        <v>2049</v>
      </c>
      <c r="C1954" s="1"/>
      <c r="D1954" s="1"/>
      <c r="E1954" s="29" t="s">
        <v>55</v>
      </c>
      <c r="F1954" s="15"/>
      <c r="G1954" s="16"/>
      <c r="H1954" s="22" t="s">
        <v>2050</v>
      </c>
      <c r="I1954" s="7"/>
      <c r="J1954" s="7" t="str">
        <f>IFERROR(LET(_xlpm.v,
VLOOKUP($I1954,'用語辞書'!$A:$B,COLUMN('用語辞書'!B$1),FALSE),
IF(_xlpm.v=0,"",_xlpm.v)
),"")</f>
        <v/>
      </c>
      <c r="K1954" s="17"/>
      <c r="L1954" s="17" t="b">
        <f>IF(OR(COUNTIF('クラス'!$A$1:$A$1262,$B1954)&gt;0,$B1954="",$M1954=""),"",True)</f>
        <v>1</v>
      </c>
      <c r="M1954" s="1" t="str">
        <f t="shared" si="27"/>
        <v>存在しない</v>
      </c>
      <c r="N1954" s="1" t="s">
        <v>29</v>
      </c>
      <c r="O1954" s="1"/>
      <c r="P1954" s="11"/>
      <c r="Q1954" s="11"/>
      <c r="R1954" s="11"/>
      <c r="S1954" s="11"/>
      <c r="T1954" s="1"/>
      <c r="U1954" s="1"/>
      <c r="V1954" s="1"/>
      <c r="W1954" s="1"/>
      <c r="X1954" s="1"/>
      <c r="Y1954" s="1"/>
      <c r="Z1954" s="1"/>
    </row>
    <row r="1955" ht="18.0" customHeight="1" collapsed="1">
      <c r="A1955" s="1"/>
      <c r="B1955" s="1"/>
      <c r="C1955" s="1"/>
      <c r="D1955" s="1"/>
      <c r="E1955" s="14"/>
      <c r="F1955" s="15"/>
      <c r="G1955" s="16"/>
      <c r="H1955" s="11"/>
      <c r="I1955" s="7"/>
      <c r="J1955" s="7" t="str">
        <f>IFERROR(LET(_xlpm.v,
VLOOKUP($I1955,'用語辞書'!$A:$B,COLUMN('用語辞書'!B$1),FALSE),
IF(_xlpm.v=0,"",_xlpm.v)
),"")</f>
        <v/>
      </c>
      <c r="K1955" s="17"/>
      <c r="L1955" s="17" t="str">
        <f>IF(OR(COUNTIF('クラス'!$A$1:$A$1262,$B1955)&gt;0,$B1955="",$M1955=""),"",True)</f>
        <v/>
      </c>
      <c r="M1955" s="1" t="str">
        <f t="shared" si="27"/>
        <v>存在しない</v>
      </c>
      <c r="N1955" s="1" t="s">
        <v>29</v>
      </c>
      <c r="O1955" s="1"/>
      <c r="P1955" s="11"/>
      <c r="Q1955" s="11"/>
      <c r="R1955" s="11"/>
      <c r="S1955" s="11"/>
      <c r="T1955" s="1"/>
      <c r="U1955" s="1"/>
      <c r="V1955" s="1"/>
      <c r="W1955" s="1"/>
      <c r="X1955" s="1"/>
      <c r="Y1955" s="1"/>
      <c r="Z1955" s="1"/>
    </row>
    <row r="1956" ht="18.0" customHeight="1">
      <c r="A1956" s="1"/>
      <c r="B1956" s="26" t="s">
        <v>2051</v>
      </c>
      <c r="C1956" s="1"/>
      <c r="D1956" s="1"/>
      <c r="E1956" s="14"/>
      <c r="F1956" s="15"/>
      <c r="G1956" s="16"/>
      <c r="H1956" s="11"/>
      <c r="I1956" s="7"/>
      <c r="J1956" s="7" t="str">
        <f>IFERROR(LET(_xlpm.v,
VLOOKUP($I1956,'用語辞書'!$A:$B,COLUMN('用語辞書'!B$1),FALSE),
IF(_xlpm.v=0,"",_xlpm.v)
),"")</f>
        <v/>
      </c>
      <c r="K1956" s="17"/>
      <c r="L1956" s="17" t="str">
        <f>IF(OR(COUNTIF('クラス'!$A$1:$A$1262,$B1956)&gt;0,$B1956="",$M1956=""),"",True)</f>
        <v/>
      </c>
      <c r="M1956" s="1" t="str">
        <f t="shared" si="27"/>
        <v>存在しない</v>
      </c>
      <c r="N1956" s="1" t="s">
        <v>29</v>
      </c>
      <c r="O1956" s="1"/>
      <c r="P1956" s="11"/>
      <c r="Q1956" s="11"/>
      <c r="R1956" s="11"/>
      <c r="S1956" s="11"/>
      <c r="T1956" s="1"/>
      <c r="U1956" s="1"/>
      <c r="V1956" s="1"/>
      <c r="W1956" s="1"/>
      <c r="X1956" s="1"/>
      <c r="Y1956" s="1"/>
      <c r="Z1956" s="1"/>
    </row>
    <row r="1957" ht="18.0" hidden="1" customHeight="1" outlineLevel="1">
      <c r="A1957" s="1">
        <v>1.0</v>
      </c>
      <c r="B1957" s="26" t="s">
        <v>2052</v>
      </c>
      <c r="C1957" s="26" t="s">
        <v>2053</v>
      </c>
      <c r="D1957" s="1"/>
      <c r="E1957" s="29" t="s">
        <v>33</v>
      </c>
      <c r="F1957" s="15"/>
      <c r="G1957" s="30">
        <v>30.0</v>
      </c>
      <c r="H1957" s="22" t="s">
        <v>2054</v>
      </c>
      <c r="I1957" s="7"/>
      <c r="J1957" s="7" t="str">
        <f>IFERROR(LET(_xlpm.v,
VLOOKUP($I1957,'用語辞書'!$A:$B,COLUMN('用語辞書'!B$1),FALSE),
IF(_xlpm.v=0,"",_xlpm.v)
),"")</f>
        <v/>
      </c>
      <c r="K1957" s="17"/>
      <c r="L1957" s="17" t="b">
        <f>IF(OR(COUNTIF('クラス'!$A$1:$A$1262,$B1957)&gt;0,$B1957="",$M1957=""),"",True)</f>
        <v>1</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2.0</v>
      </c>
      <c r="B1958" s="1"/>
      <c r="C1958" s="1"/>
      <c r="D1958" s="1"/>
      <c r="E1958" s="14"/>
      <c r="F1958" s="15"/>
      <c r="G1958" s="16"/>
      <c r="H1958" s="11"/>
      <c r="I1958" s="7"/>
      <c r="J1958" s="7" t="str">
        <f>IFERROR(LET(_xlpm.v,
VLOOKUP($I1958,'用語辞書'!$A:$B,COLUMN('用語辞書'!B$1),FALSE),
IF(_xlpm.v=0,"",_xlpm.v)
),"")</f>
        <v/>
      </c>
      <c r="K1958" s="17"/>
      <c r="L1958" s="17" t="str">
        <f>IF(OR(COUNTIF('クラス'!$A$1:$A$1262,$B1958)&gt;0,$B1958="",$M1958=""),"",True)</f>
        <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3.0</v>
      </c>
      <c r="B1959" s="26" t="s">
        <v>2055</v>
      </c>
      <c r="C1959" s="1"/>
      <c r="D1959" s="1"/>
      <c r="E1959" s="29" t="s">
        <v>55</v>
      </c>
      <c r="F1959" s="15"/>
      <c r="G1959" s="16"/>
      <c r="H1959" s="22" t="s">
        <v>2056</v>
      </c>
      <c r="I1959" s="7"/>
      <c r="J1959" s="7" t="str">
        <f>IFERROR(LET(_xlpm.v,
VLOOKUP($I1959,'用語辞書'!$A:$B,COLUMN('用語辞書'!B$1),FALSE),
IF(_xlpm.v=0,"",_xlpm.v)
),"")</f>
        <v/>
      </c>
      <c r="K1959" s="17"/>
      <c r="L1959" s="17" t="b">
        <f>IF(OR(COUNTIF('クラス'!$A$1:$A$1262,$B1959)&gt;0,$B1959="",$M1959=""),"",True)</f>
        <v>1</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4.0</v>
      </c>
      <c r="B1960" s="1"/>
      <c r="C1960" s="1"/>
      <c r="D1960" s="1"/>
      <c r="E1960" s="14"/>
      <c r="F1960" s="15"/>
      <c r="G1960" s="16"/>
      <c r="H1960" s="11"/>
      <c r="I1960" s="7"/>
      <c r="J1960" s="7" t="str">
        <f>IFERROR(LET(_xlpm.v,
VLOOKUP($I1960,'用語辞書'!$A:$B,COLUMN('用語辞書'!B$1),FALSE),
IF(_xlpm.v=0,"",_xlpm.v)
),"")</f>
        <v/>
      </c>
      <c r="K1960" s="17"/>
      <c r="L1960" s="17" t="str">
        <f>IF(OR(COUNTIF('クラス'!$A$1:$A$1262,$B1960)&gt;0,$B1960="",$M1960=""),"",True)</f>
        <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5.0</v>
      </c>
      <c r="B1961" s="26" t="s">
        <v>2057</v>
      </c>
      <c r="C1961" s="26" t="s">
        <v>2058</v>
      </c>
      <c r="D1961" s="1"/>
      <c r="E1961" s="29" t="s">
        <v>33</v>
      </c>
      <c r="F1961" s="15"/>
      <c r="G1961" s="30">
        <v>30.0</v>
      </c>
      <c r="H1961" s="22" t="s">
        <v>2059</v>
      </c>
      <c r="I1961" s="7"/>
      <c r="J1961" s="7" t="str">
        <f>IFERROR(LET(_xlpm.v,
VLOOKUP($I1961,'用語辞書'!$A:$B,COLUMN('用語辞書'!B$1),FALSE),
IF(_xlpm.v=0,"",_xlpm.v)
),"")</f>
        <v/>
      </c>
      <c r="K1961" s="17"/>
      <c r="L1961" s="17" t="b">
        <f>IF(OR(COUNTIF('クラス'!$A$1:$A$1262,$B1961)&gt;0,$B1961="",$M1961=""),"",True)</f>
        <v>1</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6.0</v>
      </c>
      <c r="B1962" s="1"/>
      <c r="C1962" s="1"/>
      <c r="D1962" s="1"/>
      <c r="E1962" s="14"/>
      <c r="F1962" s="15"/>
      <c r="G1962" s="16"/>
      <c r="H1962" s="11"/>
      <c r="I1962" s="7"/>
      <c r="J1962" s="7" t="str">
        <f>IFERROR(LET(_xlpm.v,
VLOOKUP($I1962,'用語辞書'!$A:$B,COLUMN('用語辞書'!B$1),FALSE),
IF(_xlpm.v=0,"",_xlpm.v)
),"")</f>
        <v/>
      </c>
      <c r="K1962" s="17"/>
      <c r="L1962" s="17" t="str">
        <f>IF(OR(COUNTIF('クラス'!$A$1:$A$1262,$B1962)&gt;0,$B1962="",$M1962=""),"",True)</f>
        <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7.0</v>
      </c>
      <c r="B1963" s="26" t="s">
        <v>2060</v>
      </c>
      <c r="C1963" s="26" t="s">
        <v>2061</v>
      </c>
      <c r="D1963" s="1"/>
      <c r="E1963" s="29" t="s">
        <v>55</v>
      </c>
      <c r="F1963" s="15"/>
      <c r="G1963" s="16"/>
      <c r="H1963" s="22" t="s">
        <v>2062</v>
      </c>
      <c r="I1963" s="7"/>
      <c r="J1963" s="7" t="str">
        <f>IFERROR(LET(_xlpm.v,
VLOOKUP($I1963,'用語辞書'!$A:$B,COLUMN('用語辞書'!B$1),FALSE),
IF(_xlpm.v=0,"",_xlpm.v)
),"")</f>
        <v/>
      </c>
      <c r="K1963" s="17"/>
      <c r="L1963" s="17" t="b">
        <f>IF(OR(COUNTIF('クラス'!$A$1:$A$1262,$B1963)&gt;0,$B1963="",$M1963=""),"",True)</f>
        <v>1</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8.0</v>
      </c>
      <c r="B1964" s="1"/>
      <c r="C1964" s="1"/>
      <c r="D1964" s="1"/>
      <c r="E1964" s="14"/>
      <c r="F1964" s="15"/>
      <c r="G1964" s="16"/>
      <c r="H1964" s="11"/>
      <c r="I1964" s="7"/>
      <c r="J1964" s="7" t="str">
        <f>IFERROR(LET(_xlpm.v,
VLOOKUP($I1964,'用語辞書'!$A:$B,COLUMN('用語辞書'!B$1),FALSE),
IF(_xlpm.v=0,"",_xlpm.v)
),"")</f>
        <v/>
      </c>
      <c r="K1964" s="17"/>
      <c r="L1964" s="17" t="str">
        <f>IF(OR(COUNTIF('クラス'!$A$1:$A$1262,$B1964)&gt;0,$B1964="",$M1964=""),"",True)</f>
        <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9.0</v>
      </c>
      <c r="B1965" s="26" t="s">
        <v>2063</v>
      </c>
      <c r="C1965" s="26" t="s">
        <v>2064</v>
      </c>
      <c r="D1965" s="1"/>
      <c r="E1965" s="29" t="s">
        <v>33</v>
      </c>
      <c r="F1965" s="15"/>
      <c r="G1965" s="30">
        <v>60.0</v>
      </c>
      <c r="H1965" s="22" t="s">
        <v>2065</v>
      </c>
      <c r="I1965" s="7"/>
      <c r="J1965" s="7" t="str">
        <f>IFERROR(LET(_xlpm.v,
VLOOKUP($I1965,'用語辞書'!$A:$B,COLUMN('用語辞書'!B$1),FALSE),
IF(_xlpm.v=0,"",_xlpm.v)
),"")</f>
        <v/>
      </c>
      <c r="K1965" s="17"/>
      <c r="L1965" s="17" t="b">
        <f>IF(OR(COUNTIF('クラス'!$A$1:$A$1262,$B1965)&gt;0,$B1965="",$M1965=""),"",True)</f>
        <v>1</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10.0</v>
      </c>
      <c r="B1966" s="26" t="s">
        <v>2051</v>
      </c>
      <c r="C1966" s="1"/>
      <c r="D1966" s="1"/>
      <c r="E1966" s="29" t="s">
        <v>55</v>
      </c>
      <c r="F1966" s="15"/>
      <c r="G1966" s="16"/>
      <c r="H1966" s="22" t="s">
        <v>2066</v>
      </c>
      <c r="I1966" s="7"/>
      <c r="J1966" s="7" t="str">
        <f>IFERROR(LET(_xlpm.v,
VLOOKUP($I1966,'用語辞書'!$A:$B,COLUMN('用語辞書'!B$1),FALSE),
IF(_xlpm.v=0,"",_xlpm.v)
),"")</f>
        <v/>
      </c>
      <c r="K1966" s="17"/>
      <c r="L1966" s="17" t="str">
        <f>IF(OR(COUNTIF('クラス'!$A$1:$A$1262,$B1966)&gt;0,$B1966="",$M1966=""),"",True)</f>
        <v/>
      </c>
      <c r="M1966" s="1" t="str">
        <f t="shared" si="27"/>
        <v/>
      </c>
      <c r="N1966" s="1" t="s">
        <v>29</v>
      </c>
      <c r="O1966" s="1"/>
      <c r="P1966" s="11"/>
      <c r="Q1966" s="11"/>
      <c r="R1966" s="11"/>
      <c r="S1966" s="11"/>
      <c r="T1966" s="1"/>
      <c r="U1966" s="1"/>
      <c r="V1966" s="1"/>
      <c r="W1966" s="1"/>
      <c r="X1966" s="1"/>
      <c r="Y1966" s="1"/>
      <c r="Z1966" s="1"/>
    </row>
    <row r="1967" ht="18.0" customHeight="1" collapsed="1">
      <c r="A1967" s="1"/>
      <c r="B1967" s="1"/>
      <c r="C1967" s="1"/>
      <c r="D1967" s="1"/>
      <c r="E1967" s="14"/>
      <c r="F1967" s="15"/>
      <c r="G1967" s="16"/>
      <c r="H1967" s="11"/>
      <c r="I1967" s="7"/>
      <c r="J1967" s="7" t="str">
        <f>IFERROR(LET(_xlpm.v,
VLOOKUP($I1967,'用語辞書'!$A:$B,COLUMN('用語辞書'!B$1),FALSE),
IF(_xlpm.v=0,"",_xlpm.v)
),"")</f>
        <v/>
      </c>
      <c r="K1967" s="17"/>
      <c r="L1967" s="17" t="str">
        <f>IF(OR(COUNTIF('クラス'!$A$1:$A$1262,$B1967)&gt;0,$B1967="",$M1967=""),"",True)</f>
        <v/>
      </c>
      <c r="M1967" s="1" t="str">
        <f t="shared" si="27"/>
        <v>存在しない</v>
      </c>
      <c r="N1967" s="1" t="s">
        <v>29</v>
      </c>
      <c r="O1967" s="1"/>
      <c r="P1967" s="11"/>
      <c r="Q1967" s="11"/>
      <c r="R1967" s="11"/>
      <c r="S1967" s="11"/>
      <c r="T1967" s="1"/>
      <c r="U1967" s="1"/>
      <c r="V1967" s="1"/>
      <c r="W1967" s="1"/>
      <c r="X1967" s="1"/>
      <c r="Y1967" s="1"/>
      <c r="Z1967" s="1"/>
    </row>
    <row r="1968" ht="18.0" customHeight="1">
      <c r="A1968" s="1"/>
      <c r="B1968" s="26" t="s">
        <v>2067</v>
      </c>
      <c r="C1968" s="1"/>
      <c r="D1968" s="1"/>
      <c r="E1968" s="14"/>
      <c r="F1968" s="15"/>
      <c r="G1968" s="16"/>
      <c r="H1968" s="11"/>
      <c r="I1968" s="7"/>
      <c r="J1968" s="7" t="str">
        <f>IFERROR(LET(_xlpm.v,
VLOOKUP($I1968,'用語辞書'!$A:$B,COLUMN('用語辞書'!B$1),FALSE),
IF(_xlpm.v=0,"",_xlpm.v)
),"")</f>
        <v/>
      </c>
      <c r="K1968" s="17"/>
      <c r="L1968" s="17" t="str">
        <f>IF(OR(COUNTIF('クラス'!$A$1:$A$1262,$B1968)&gt;0,$B1968="",$M1968=""),"",True)</f>
        <v/>
      </c>
      <c r="M1968" s="1" t="str">
        <f t="shared" si="27"/>
        <v>存在しない</v>
      </c>
      <c r="N1968" s="1" t="s">
        <v>29</v>
      </c>
      <c r="O1968" s="1"/>
      <c r="P1968" s="11"/>
      <c r="Q1968" s="11"/>
      <c r="R1968" s="11"/>
      <c r="S1968" s="11"/>
      <c r="T1968" s="1"/>
      <c r="U1968" s="1"/>
      <c r="V1968" s="1"/>
      <c r="W1968" s="1"/>
      <c r="X1968" s="1"/>
      <c r="Y1968" s="1"/>
      <c r="Z1968" s="1"/>
    </row>
    <row r="1969" ht="18.0" hidden="1" customHeight="1" outlineLevel="1">
      <c r="A1969" s="1">
        <v>1.0</v>
      </c>
      <c r="B1969" s="26" t="s">
        <v>2068</v>
      </c>
      <c r="C1969" s="1"/>
      <c r="D1969" s="1"/>
      <c r="E1969" s="29" t="s">
        <v>33</v>
      </c>
      <c r="F1969" s="15"/>
      <c r="G1969" s="30">
        <v>30.0</v>
      </c>
      <c r="H1969" s="22" t="s">
        <v>2069</v>
      </c>
      <c r="I1969" s="7"/>
      <c r="J1969" s="7" t="str">
        <f>IFERROR(LET(_xlpm.v,
VLOOKUP($I1969,'用語辞書'!$A:$B,COLUMN('用語辞書'!B$1),FALSE),
IF(_xlpm.v=0,"",_xlpm.v)
),"")</f>
        <v/>
      </c>
      <c r="K1969" s="17"/>
      <c r="L1969" s="17" t="b">
        <f>IF(OR(COUNTIF('クラス'!$A$1:$A$1262,$B1969)&gt;0,$B1969="",$M1969=""),"",True)</f>
        <v>1</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2.0</v>
      </c>
      <c r="B1970" s="1"/>
      <c r="C1970" s="1"/>
      <c r="D1970" s="1"/>
      <c r="E1970" s="14"/>
      <c r="F1970" s="15"/>
      <c r="G1970" s="16"/>
      <c r="H1970" s="11"/>
      <c r="I1970" s="7"/>
      <c r="J1970" s="7" t="str">
        <f>IFERROR(LET(_xlpm.v,
VLOOKUP($I1970,'用語辞書'!$A:$B,COLUMN('用語辞書'!B$1),FALSE),
IF(_xlpm.v=0,"",_xlpm.v)
),"")</f>
        <v/>
      </c>
      <c r="K1970" s="17"/>
      <c r="L1970" s="17" t="str">
        <f>IF(OR(COUNTIF('クラス'!$A$1:$A$1262,$B1970)&gt;0,$B1970="",$M1970=""),"",True)</f>
        <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3.0</v>
      </c>
      <c r="B1971" s="26" t="s">
        <v>2070</v>
      </c>
      <c r="C1971" s="1"/>
      <c r="D1971" s="1"/>
      <c r="E1971" s="29" t="s">
        <v>55</v>
      </c>
      <c r="F1971" s="15"/>
      <c r="G1971" s="16"/>
      <c r="H1971" s="22" t="s">
        <v>2071</v>
      </c>
      <c r="I1971" s="7"/>
      <c r="J1971" s="7" t="str">
        <f>IFERROR(LET(_xlpm.v,
VLOOKUP($I1971,'用語辞書'!$A:$B,COLUMN('用語辞書'!B$1),FALSE),
IF(_xlpm.v=0,"",_xlpm.v)
),"")</f>
        <v/>
      </c>
      <c r="K1971" s="17"/>
      <c r="L1971" s="17" t="b">
        <f>IF(OR(COUNTIF('クラス'!$A$1:$A$1262,$B1971)&gt;0,$B1971="",$M1971=""),"",True)</f>
        <v>1</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4.0</v>
      </c>
      <c r="B1972" s="1"/>
      <c r="C1972" s="1"/>
      <c r="D1972" s="1"/>
      <c r="E1972" s="14"/>
      <c r="F1972" s="15"/>
      <c r="G1972" s="16"/>
      <c r="H1972" s="11"/>
      <c r="I1972" s="7"/>
      <c r="J1972" s="7" t="str">
        <f>IFERROR(LET(_xlpm.v,
VLOOKUP($I1972,'用語辞書'!$A:$B,COLUMN('用語辞書'!B$1),FALSE),
IF(_xlpm.v=0,"",_xlpm.v)
),"")</f>
        <v/>
      </c>
      <c r="K1972" s="17"/>
      <c r="L1972" s="17" t="str">
        <f>IF(OR(COUNTIF('クラス'!$A$1:$A$1262,$B1972)&gt;0,$B1972="",$M1972=""),"",True)</f>
        <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5.0</v>
      </c>
      <c r="B1973" s="26" t="s">
        <v>2072</v>
      </c>
      <c r="C1973" s="1"/>
      <c r="D1973" s="1"/>
      <c r="E1973" s="29" t="s">
        <v>33</v>
      </c>
      <c r="F1973" s="15"/>
      <c r="G1973" s="30">
        <v>30.0</v>
      </c>
      <c r="H1973" s="22" t="s">
        <v>2073</v>
      </c>
      <c r="I1973" s="7"/>
      <c r="J1973" s="7" t="str">
        <f>IFERROR(LET(_xlpm.v,
VLOOKUP($I1973,'用語辞書'!$A:$B,COLUMN('用語辞書'!B$1),FALSE),
IF(_xlpm.v=0,"",_xlpm.v)
),"")</f>
        <v/>
      </c>
      <c r="K1973" s="17"/>
      <c r="L1973" s="17" t="b">
        <f>IF(OR(COUNTIF('クラス'!$A$1:$A$1262,$B1973)&gt;0,$B1973="",$M1973=""),"",True)</f>
        <v>1</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6.0</v>
      </c>
      <c r="B1974" s="1"/>
      <c r="C1974" s="1"/>
      <c r="D1974" s="1"/>
      <c r="E1974" s="14"/>
      <c r="F1974" s="15"/>
      <c r="G1974" s="16"/>
      <c r="H1974" s="11"/>
      <c r="I1974" s="7"/>
      <c r="J1974" s="7" t="str">
        <f>IFERROR(LET(_xlpm.v,
VLOOKUP($I1974,'用語辞書'!$A:$B,COLUMN('用語辞書'!B$1),FALSE),
IF(_xlpm.v=0,"",_xlpm.v)
),"")</f>
        <v/>
      </c>
      <c r="K1974" s="17"/>
      <c r="L1974" s="17" t="str">
        <f>IF(OR(COUNTIF('クラス'!$A$1:$A$1262,$B1974)&gt;0,$B1974="",$M1974=""),"",True)</f>
        <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7.0</v>
      </c>
      <c r="B1975" s="26" t="s">
        <v>2074</v>
      </c>
      <c r="C1975" s="1"/>
      <c r="D1975" s="1"/>
      <c r="E1975" s="29" t="s">
        <v>55</v>
      </c>
      <c r="F1975" s="15"/>
      <c r="G1975" s="16"/>
      <c r="H1975" s="31" t="s">
        <v>2075</v>
      </c>
      <c r="I1975" s="7"/>
      <c r="J1975" s="7" t="str">
        <f>IFERROR(LET(_xlpm.v,
VLOOKUP($I1975,'用語辞書'!$A:$B,COLUMN('用語辞書'!B$1),FALSE),
IF(_xlpm.v=0,"",_xlpm.v)
),"")</f>
        <v/>
      </c>
      <c r="K1975" s="17"/>
      <c r="L1975" s="17" t="b">
        <f>IF(OR(COUNTIF('クラス'!$A$1:$A$1262,$B1975)&gt;0,$B1975="",$M1975=""),"",True)</f>
        <v>1</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8.0</v>
      </c>
      <c r="B1976" s="1"/>
      <c r="C1976" s="1"/>
      <c r="D1976" s="1"/>
      <c r="E1976" s="14"/>
      <c r="F1976" s="15"/>
      <c r="G1976" s="16"/>
      <c r="H1976" s="11"/>
      <c r="I1976" s="7"/>
      <c r="J1976" s="7" t="str">
        <f>IFERROR(LET(_xlpm.v,
VLOOKUP($I1976,'用語辞書'!$A:$B,COLUMN('用語辞書'!B$1),FALSE),
IF(_xlpm.v=0,"",_xlpm.v)
),"")</f>
        <v/>
      </c>
      <c r="K1976" s="17"/>
      <c r="L1976" s="17" t="str">
        <f>IF(OR(COUNTIF('クラス'!$A$1:$A$1262,$B1976)&gt;0,$B1976="",$M1976=""),"",True)</f>
        <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9.0</v>
      </c>
      <c r="B1977" s="26" t="s">
        <v>2076</v>
      </c>
      <c r="C1977" s="1"/>
      <c r="D1977" s="1"/>
      <c r="E1977" s="29" t="s">
        <v>33</v>
      </c>
      <c r="F1977" s="15"/>
      <c r="G1977" s="30">
        <v>60.0</v>
      </c>
      <c r="H1977" s="22" t="s">
        <v>2077</v>
      </c>
      <c r="I1977" s="7"/>
      <c r="J1977" s="7" t="str">
        <f>IFERROR(LET(_xlpm.v,
VLOOKUP($I1977,'用語辞書'!$A:$B,COLUMN('用語辞書'!B$1),FALSE),
IF(_xlpm.v=0,"",_xlpm.v)
),"")</f>
        <v/>
      </c>
      <c r="K1977" s="17"/>
      <c r="L1977" s="17" t="b">
        <f>IF(OR(COUNTIF('クラス'!$A$1:$A$1262,$B1977)&gt;0,$B1977="",$M1977=""),"",True)</f>
        <v>1</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10.0</v>
      </c>
      <c r="B1978" s="26" t="s">
        <v>2078</v>
      </c>
      <c r="C1978" s="1"/>
      <c r="D1978" s="1"/>
      <c r="E1978" s="29" t="s">
        <v>55</v>
      </c>
      <c r="F1978" s="15"/>
      <c r="G1978" s="16"/>
      <c r="H1978" s="22" t="s">
        <v>1258</v>
      </c>
      <c r="I1978" s="7"/>
      <c r="J1978" s="7" t="str">
        <f>IFERROR(LET(_xlpm.v,
VLOOKUP($I1978,'用語辞書'!$A:$B,COLUMN('用語辞書'!B$1),FALSE),
IF(_xlpm.v=0,"",_xlpm.v)
),"")</f>
        <v/>
      </c>
      <c r="K1978" s="17"/>
      <c r="L1978" s="17" t="b">
        <f>IF(OR(COUNTIF('クラス'!$A$1:$A$1262,$B1978)&gt;0,$B1978="",$M1978=""),"",True)</f>
        <v>1</v>
      </c>
      <c r="M1978" s="1" t="str">
        <f t="shared" si="27"/>
        <v>存在しない</v>
      </c>
      <c r="N1978" s="1" t="s">
        <v>29</v>
      </c>
      <c r="O1978" s="1"/>
      <c r="P1978" s="11"/>
      <c r="Q1978" s="11"/>
      <c r="R1978" s="11"/>
      <c r="S1978" s="11"/>
      <c r="T1978" s="1"/>
      <c r="U1978" s="1"/>
      <c r="V1978" s="1"/>
      <c r="W1978" s="1"/>
      <c r="X1978" s="1"/>
      <c r="Y1978" s="1"/>
      <c r="Z1978" s="1"/>
    </row>
    <row r="1979" ht="18.0" customHeight="1" collapsed="1">
      <c r="A1979" s="1"/>
      <c r="B1979" s="1"/>
      <c r="C1979" s="1"/>
      <c r="D1979" s="1"/>
      <c r="E1979" s="14"/>
      <c r="F1979" s="15"/>
      <c r="G1979" s="16"/>
      <c r="H1979" s="11"/>
      <c r="I1979" s="7"/>
      <c r="J1979" s="7" t="str">
        <f>IFERROR(LET(_xlpm.v,
VLOOKUP($I1979,'用語辞書'!$A:$B,COLUMN('用語辞書'!B$1),FALSE),
IF(_xlpm.v=0,"",_xlpm.v)
),"")</f>
        <v/>
      </c>
      <c r="K1979" s="17"/>
      <c r="L1979" s="17" t="str">
        <f>IF(OR(COUNTIF('クラス'!$A$1:$A$1262,$B1979)&gt;0,$B1979="",$M1979=""),"",True)</f>
        <v/>
      </c>
      <c r="M1979" s="1" t="str">
        <f t="shared" si="27"/>
        <v>存在しない</v>
      </c>
      <c r="N1979" s="1" t="s">
        <v>29</v>
      </c>
      <c r="O1979" s="1"/>
      <c r="P1979" s="11"/>
      <c r="Q1979" s="11"/>
      <c r="R1979" s="11"/>
      <c r="S1979" s="11"/>
      <c r="T1979" s="1"/>
      <c r="U1979" s="1"/>
      <c r="V1979" s="1"/>
      <c r="W1979" s="1"/>
      <c r="X1979" s="1"/>
      <c r="Y1979" s="1"/>
      <c r="Z1979" s="1"/>
    </row>
    <row r="1980" ht="18.0" customHeight="1">
      <c r="A1980" s="1"/>
      <c r="B1980" s="26" t="s">
        <v>2079</v>
      </c>
      <c r="C1980" s="1"/>
      <c r="D1980" s="1"/>
      <c r="E1980" s="14"/>
      <c r="F1980" s="15"/>
      <c r="G1980" s="16"/>
      <c r="H1980" s="11"/>
      <c r="I1980" s="7"/>
      <c r="J1980" s="7" t="str">
        <f>IFERROR(LET(_xlpm.v,
VLOOKUP($I1980,'用語辞書'!$A:$B,COLUMN('用語辞書'!B$1),FALSE),
IF(_xlpm.v=0,"",_xlpm.v)
),"")</f>
        <v/>
      </c>
      <c r="K1980" s="17"/>
      <c r="L1980" s="17" t="str">
        <f>IF(OR(COUNTIF('クラス'!$A$1:$A$1262,$B1980)&gt;0,$B1980="",$M1980=""),"",True)</f>
        <v/>
      </c>
      <c r="M1980" s="1" t="str">
        <f t="shared" si="27"/>
        <v>存在しない</v>
      </c>
      <c r="N1980" s="1" t="s">
        <v>29</v>
      </c>
      <c r="O1980" s="1"/>
      <c r="P1980" s="11"/>
      <c r="Q1980" s="11"/>
      <c r="R1980" s="11"/>
      <c r="S1980" s="11"/>
      <c r="T1980" s="1"/>
      <c r="U1980" s="1"/>
      <c r="V1980" s="1"/>
      <c r="W1980" s="1"/>
      <c r="X1980" s="1"/>
      <c r="Y1980" s="1"/>
      <c r="Z1980" s="1"/>
    </row>
    <row r="1981" ht="18.0" hidden="1" customHeight="1" outlineLevel="1">
      <c r="A1981" s="1">
        <v>1.0</v>
      </c>
      <c r="B1981" s="26" t="s">
        <v>2080</v>
      </c>
      <c r="C1981" s="26" t="s">
        <v>2081</v>
      </c>
      <c r="D1981" s="1"/>
      <c r="E1981" s="29" t="s">
        <v>33</v>
      </c>
      <c r="F1981" s="15"/>
      <c r="G1981" s="30">
        <v>60.0</v>
      </c>
      <c r="H1981" s="22" t="s">
        <v>2082</v>
      </c>
      <c r="I1981" s="7"/>
      <c r="J1981" s="7" t="str">
        <f>IFERROR(LET(_xlpm.v,
VLOOKUP($I1981,'用語辞書'!$A:$B,COLUMN('用語辞書'!B$1),FALSE),
IF(_xlpm.v=0,"",_xlpm.v)
),"")</f>
        <v/>
      </c>
      <c r="K1981" s="17"/>
      <c r="L1981" s="17" t="b">
        <f>IF(OR(COUNTIF('クラス'!$A$1:$A$1262,$B1981)&gt;0,$B1981="",$M1981=""),"",True)</f>
        <v>1</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2.0</v>
      </c>
      <c r="B1982" s="1"/>
      <c r="C1982" s="1"/>
      <c r="D1982" s="1"/>
      <c r="E1982" s="14"/>
      <c r="F1982" s="15"/>
      <c r="G1982" s="16"/>
      <c r="H1982" s="11"/>
      <c r="I1982" s="7"/>
      <c r="J1982" s="7" t="str">
        <f>IFERROR(LET(_xlpm.v,
VLOOKUP($I1982,'用語辞書'!$A:$B,COLUMN('用語辞書'!B$1),FALSE),
IF(_xlpm.v=0,"",_xlpm.v)
),"")</f>
        <v/>
      </c>
      <c r="K1982" s="17"/>
      <c r="L1982" s="17" t="str">
        <f>IF(OR(COUNTIF('クラス'!$A$1:$A$1262,$B1982)&gt;0,$B1982="",$M1982=""),"",True)</f>
        <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3.0</v>
      </c>
      <c r="B1983" s="26" t="s">
        <v>2083</v>
      </c>
      <c r="C1983" s="1"/>
      <c r="D1983" s="1"/>
      <c r="E1983" s="29" t="s">
        <v>55</v>
      </c>
      <c r="F1983" s="15"/>
      <c r="G1983" s="16"/>
      <c r="H1983" s="22" t="s">
        <v>2084</v>
      </c>
      <c r="I1983" s="7"/>
      <c r="J1983" s="7" t="str">
        <f>IFERROR(LET(_xlpm.v,
VLOOKUP($I1983,'用語辞書'!$A:$B,COLUMN('用語辞書'!B$1),FALSE),
IF(_xlpm.v=0,"",_xlpm.v)
),"")</f>
        <v/>
      </c>
      <c r="K1983" s="17"/>
      <c r="L1983" s="17" t="b">
        <f>IF(OR(COUNTIF('クラス'!$A$1:$A$1262,$B1983)&gt;0,$B1983="",$M1983=""),"",True)</f>
        <v>1</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4.0</v>
      </c>
      <c r="B1984" s="1"/>
      <c r="C1984" s="1"/>
      <c r="D1984" s="1"/>
      <c r="E1984" s="14"/>
      <c r="F1984" s="15"/>
      <c r="G1984" s="16"/>
      <c r="H1984" s="11"/>
      <c r="I1984" s="7"/>
      <c r="J1984" s="7" t="str">
        <f>IFERROR(LET(_xlpm.v,
VLOOKUP($I1984,'用語辞書'!$A:$B,COLUMN('用語辞書'!B$1),FALSE),
IF(_xlpm.v=0,"",_xlpm.v)
),"")</f>
        <v/>
      </c>
      <c r="K1984" s="17"/>
      <c r="L1984" s="17" t="str">
        <f>IF(OR(COUNTIF('クラス'!$A$1:$A$1262,$B1984)&gt;0,$B1984="",$M1984=""),"",True)</f>
        <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5.0</v>
      </c>
      <c r="B1985" s="26" t="s">
        <v>2085</v>
      </c>
      <c r="C1985" s="1"/>
      <c r="D1985" s="1"/>
      <c r="E1985" s="29" t="s">
        <v>33</v>
      </c>
      <c r="F1985" s="15"/>
      <c r="G1985" s="30">
        <v>30.0</v>
      </c>
      <c r="H1985" s="22" t="s">
        <v>2086</v>
      </c>
      <c r="I1985" s="7"/>
      <c r="J1985" s="7" t="str">
        <f>IFERROR(LET(_xlpm.v,
VLOOKUP($I1985,'用語辞書'!$A:$B,COLUMN('用語辞書'!B$1),FALSE),
IF(_xlpm.v=0,"",_xlpm.v)
),"")</f>
        <v/>
      </c>
      <c r="K1985" s="17"/>
      <c r="L1985" s="17" t="b">
        <f>IF(OR(COUNTIF('クラス'!$A$1:$A$1262,$B1985)&gt;0,$B1985="",$M1985=""),"",True)</f>
        <v>1</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6.0</v>
      </c>
      <c r="B1986" s="1"/>
      <c r="C1986" s="1"/>
      <c r="D1986" s="1"/>
      <c r="E1986" s="14"/>
      <c r="F1986" s="15"/>
      <c r="G1986" s="16"/>
      <c r="H1986" s="11"/>
      <c r="I1986" s="7"/>
      <c r="J1986" s="7" t="str">
        <f>IFERROR(LET(_xlpm.v,
VLOOKUP($I1986,'用語辞書'!$A:$B,COLUMN('用語辞書'!B$1),FALSE),
IF(_xlpm.v=0,"",_xlpm.v)
),"")</f>
        <v/>
      </c>
      <c r="K1986" s="17"/>
      <c r="L1986" s="17" t="str">
        <f>IF(OR(COUNTIF('クラス'!$A$1:$A$1262,$B1986)&gt;0,$B1986="",$M1986=""),"",True)</f>
        <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7.0</v>
      </c>
      <c r="B1987" s="26" t="s">
        <v>2060</v>
      </c>
      <c r="C1987" s="26" t="s">
        <v>2061</v>
      </c>
      <c r="D1987" s="1"/>
      <c r="E1987" s="29" t="s">
        <v>55</v>
      </c>
      <c r="F1987" s="15"/>
      <c r="G1987" s="16"/>
      <c r="H1987" s="22" t="s">
        <v>2087</v>
      </c>
      <c r="I1987" s="7"/>
      <c r="J1987" s="7" t="str">
        <f>IFERROR(LET(_xlpm.v,
VLOOKUP($I1987,'用語辞書'!$A:$B,COLUMN('用語辞書'!B$1),FALSE),
IF(_xlpm.v=0,"",_xlpm.v)
),"")</f>
        <v/>
      </c>
      <c r="K1987" s="17"/>
      <c r="L1987" s="17" t="str">
        <f>IF(OR(COUNTIF('クラス'!$A$1:$A$1262,$B1987)&gt;0,$B1987="",$M1987=""),"",True)</f>
        <v/>
      </c>
      <c r="M1987" s="1" t="str">
        <f t="shared" si="27"/>
        <v/>
      </c>
      <c r="N1987" s="1" t="s">
        <v>29</v>
      </c>
      <c r="O1987" s="1"/>
      <c r="P1987" s="11"/>
      <c r="Q1987" s="11"/>
      <c r="R1987" s="11"/>
      <c r="S1987" s="11"/>
      <c r="T1987" s="1"/>
      <c r="U1987" s="1"/>
      <c r="V1987" s="1"/>
      <c r="W1987" s="1"/>
      <c r="X1987" s="1"/>
      <c r="Y1987" s="1"/>
      <c r="Z1987" s="1"/>
    </row>
    <row r="1988" ht="18.0" hidden="1" customHeight="1" outlineLevel="1">
      <c r="A1988" s="1">
        <v>8.0</v>
      </c>
      <c r="B1988" s="1"/>
      <c r="C1988" s="1"/>
      <c r="D1988" s="1"/>
      <c r="E1988" s="14"/>
      <c r="F1988" s="15"/>
      <c r="G1988" s="16"/>
      <c r="H1988" s="11"/>
      <c r="I1988" s="7"/>
      <c r="J1988" s="7" t="str">
        <f>IFERROR(LET(_xlpm.v,
VLOOKUP($I1988,'用語辞書'!$A:$B,COLUMN('用語辞書'!B$1),FALSE),
IF(_xlpm.v=0,"",_xlpm.v)
),"")</f>
        <v/>
      </c>
      <c r="K1988" s="17"/>
      <c r="L1988" s="17" t="str">
        <f>IF(OR(COUNTIF('クラス'!$A$1:$A$1262,$B1988)&gt;0,$B1988="",$M1988=""),"",True)</f>
        <v/>
      </c>
      <c r="M1988" s="1" t="str">
        <f t="shared" si="27"/>
        <v>存在しない</v>
      </c>
      <c r="N1988" s="1" t="s">
        <v>29</v>
      </c>
      <c r="O1988" s="1"/>
      <c r="P1988" s="11"/>
      <c r="Q1988" s="11"/>
      <c r="R1988" s="11"/>
      <c r="S1988" s="11"/>
      <c r="T1988" s="1"/>
      <c r="U1988" s="1"/>
      <c r="V1988" s="1"/>
      <c r="W1988" s="1"/>
      <c r="X1988" s="1"/>
      <c r="Y1988" s="1"/>
      <c r="Z1988" s="1"/>
    </row>
    <row r="1989" ht="18.0" hidden="1" customHeight="1" outlineLevel="1">
      <c r="A1989" s="1">
        <v>9.0</v>
      </c>
      <c r="B1989" s="26" t="s">
        <v>2088</v>
      </c>
      <c r="C1989" s="1"/>
      <c r="D1989" s="1"/>
      <c r="E1989" s="29" t="s">
        <v>33</v>
      </c>
      <c r="F1989" s="15"/>
      <c r="G1989" s="30">
        <v>60.0</v>
      </c>
      <c r="H1989" s="22" t="s">
        <v>2089</v>
      </c>
      <c r="I1989" s="7"/>
      <c r="J1989" s="7" t="str">
        <f>IFERROR(LET(_xlpm.v,
VLOOKUP($I1989,'用語辞書'!$A:$B,COLUMN('用語辞書'!B$1),FALSE),
IF(_xlpm.v=0,"",_xlpm.v)
),"")</f>
        <v/>
      </c>
      <c r="K1989" s="17"/>
      <c r="L1989" s="17" t="b">
        <f>IF(OR(COUNTIF('クラス'!$A$1:$A$1262,$B1989)&gt;0,$B1989="",$M1989=""),"",True)</f>
        <v>1</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10.0</v>
      </c>
      <c r="B1990" s="26" t="s">
        <v>2079</v>
      </c>
      <c r="C1990" s="1"/>
      <c r="D1990" s="1"/>
      <c r="E1990" s="29" t="s">
        <v>55</v>
      </c>
      <c r="F1990" s="15"/>
      <c r="G1990" s="16"/>
      <c r="H1990" s="22" t="s">
        <v>2090</v>
      </c>
      <c r="I1990" s="7"/>
      <c r="J1990" s="7" t="str">
        <f>IFERROR(LET(_xlpm.v,
VLOOKUP($I1990,'用語辞書'!$A:$B,COLUMN('用語辞書'!B$1),FALSE),
IF(_xlpm.v=0,"",_xlpm.v)
),"")</f>
        <v/>
      </c>
      <c r="K1990" s="17"/>
      <c r="L1990" s="17" t="str">
        <f>IF(OR(COUNTIF('クラス'!$A$1:$A$1262,$B1990)&gt;0,$B1990="",$M1990=""),"",True)</f>
        <v/>
      </c>
      <c r="M1990" s="1" t="str">
        <f t="shared" si="27"/>
        <v/>
      </c>
      <c r="N1990" s="1" t="s">
        <v>29</v>
      </c>
      <c r="O1990" s="1"/>
      <c r="P1990" s="11"/>
      <c r="Q1990" s="11"/>
      <c r="R1990" s="11"/>
      <c r="S1990" s="11"/>
      <c r="T1990" s="1"/>
      <c r="U1990" s="1"/>
      <c r="V1990" s="1"/>
      <c r="W1990" s="1"/>
      <c r="X1990" s="1"/>
      <c r="Y1990" s="1"/>
      <c r="Z1990" s="1"/>
    </row>
    <row r="1991" ht="18.0" customHeight="1" collapsed="1">
      <c r="A1991" s="1"/>
      <c r="B1991" s="1"/>
      <c r="C1991" s="26" t="s">
        <v>2091</v>
      </c>
      <c r="D1991" s="1"/>
      <c r="E1991" s="14"/>
      <c r="F1991" s="15"/>
      <c r="G1991" s="16"/>
      <c r="H1991" s="11"/>
      <c r="I1991" s="7"/>
      <c r="J1991" s="7" t="str">
        <f>IFERROR(LET(_xlpm.v,
VLOOKUP($I1991,'用語辞書'!$A:$B,COLUMN('用語辞書'!B$1),FALSE),
IF(_xlpm.v=0,"",_xlpm.v)
),"")</f>
        <v/>
      </c>
      <c r="K1991" s="17"/>
      <c r="L1991" s="17" t="str">
        <f>IF(OR(COUNTIF('クラス'!$A$1:$A$1262,$B1991)&gt;0,$B1991="",$M1991=""),"",True)</f>
        <v/>
      </c>
      <c r="M1991" s="1" t="str">
        <f t="shared" si="27"/>
        <v>存在しない</v>
      </c>
      <c r="N1991" s="1" t="s">
        <v>29</v>
      </c>
      <c r="O1991" s="1"/>
      <c r="P1991" s="11"/>
      <c r="Q1991" s="11"/>
      <c r="R1991" s="11"/>
      <c r="S1991" s="11"/>
      <c r="T1991" s="1"/>
      <c r="U1991" s="1"/>
      <c r="V1991" s="1"/>
      <c r="W1991" s="1"/>
      <c r="X1991" s="1"/>
      <c r="Y1991" s="1"/>
      <c r="Z1991" s="1"/>
    </row>
    <row r="1992" ht="18.0" customHeight="1" outlineLevel="1">
      <c r="A1992" s="1"/>
      <c r="B1992" s="26" t="s">
        <v>2092</v>
      </c>
      <c r="C1992" s="26" t="s">
        <v>2093</v>
      </c>
      <c r="D1992" s="1"/>
      <c r="E1992" s="14"/>
      <c r="F1992" s="15"/>
      <c r="G1992" s="16"/>
      <c r="H1992" s="11"/>
      <c r="I1992" s="7"/>
      <c r="J1992" s="7" t="str">
        <f>IFERROR(LET(_xlpm.v,
VLOOKUP($I1992,'用語辞書'!$A:$B,COLUMN('用語辞書'!B$1),FALSE),
IF(_xlpm.v=0,"",_xlpm.v)
),"")</f>
        <v/>
      </c>
      <c r="K1992" s="17"/>
      <c r="L1992" s="17" t="str">
        <f>IF(OR(COUNTIF('クラス'!$A$1:$A$1262,$B1992)&gt;0,$B1992="",$M1992=""),"",True)</f>
        <v/>
      </c>
      <c r="M1992" s="1" t="str">
        <f t="shared" si="27"/>
        <v>存在しない</v>
      </c>
      <c r="N1992" s="1" t="s">
        <v>29</v>
      </c>
      <c r="O1992" s="1"/>
      <c r="P1992" s="11"/>
      <c r="Q1992" s="11"/>
      <c r="R1992" s="11"/>
      <c r="S1992" s="11"/>
      <c r="T1992" s="1"/>
      <c r="U1992" s="1"/>
      <c r="V1992" s="1"/>
      <c r="W1992" s="1"/>
      <c r="X1992" s="1"/>
      <c r="Y1992" s="1"/>
      <c r="Z1992" s="1"/>
    </row>
    <row r="1993" ht="18.0" hidden="1" customHeight="1" outlineLevel="2">
      <c r="A1993" s="1">
        <v>1.0</v>
      </c>
      <c r="B1993" s="26" t="s">
        <v>2094</v>
      </c>
      <c r="C1993" s="26" t="s">
        <v>2095</v>
      </c>
      <c r="D1993" s="26" t="s">
        <v>2096</v>
      </c>
      <c r="E1993" s="29" t="s">
        <v>33</v>
      </c>
      <c r="F1993" s="15"/>
      <c r="G1993" s="30">
        <v>60.0</v>
      </c>
      <c r="H1993" s="22" t="s">
        <v>2097</v>
      </c>
      <c r="I1993" s="7"/>
      <c r="J1993" s="7" t="str">
        <f>IFERROR(LET(_xlpm.v,
VLOOKUP($I1993,'用語辞書'!$A:$B,COLUMN('用語辞書'!B$1),FALSE),
IF(_xlpm.v=0,"",_xlpm.v)
),"")</f>
        <v/>
      </c>
      <c r="K1993" s="17"/>
      <c r="L1993" s="17" t="b">
        <f>IF(OR(COUNTIF('クラス'!$A$1:$A$1262,$B1993)&gt;0,$B1993="",$M1993=""),"",True)</f>
        <v>1</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2.0</v>
      </c>
      <c r="B1994" s="1"/>
      <c r="C1994" s="1"/>
      <c r="D1994" s="1"/>
      <c r="E1994" s="14"/>
      <c r="F1994" s="15"/>
      <c r="G1994" s="16"/>
      <c r="H1994" s="11"/>
      <c r="I1994" s="7"/>
      <c r="J1994" s="7" t="str">
        <f>IFERROR(LET(_xlpm.v,
VLOOKUP($I1994,'用語辞書'!$A:$B,COLUMN('用語辞書'!B$1),FALSE),
IF(_xlpm.v=0,"",_xlpm.v)
),"")</f>
        <v/>
      </c>
      <c r="K1994" s="17"/>
      <c r="L1994" s="17" t="str">
        <f>IF(OR(COUNTIF('クラス'!$A$1:$A$1262,$B1994)&gt;0,$B1994="",$M1994=""),"",True)</f>
        <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3.0</v>
      </c>
      <c r="B1995" s="26" t="s">
        <v>2098</v>
      </c>
      <c r="C1995" s="1"/>
      <c r="D1995" s="1"/>
      <c r="E1995" s="29" t="s">
        <v>55</v>
      </c>
      <c r="F1995" s="15"/>
      <c r="G1995" s="16"/>
      <c r="H1995" s="22" t="s">
        <v>2099</v>
      </c>
      <c r="I1995" s="7"/>
      <c r="J1995" s="7" t="str">
        <f>IFERROR(LET(_xlpm.v,
VLOOKUP($I1995,'用語辞書'!$A:$B,COLUMN('用語辞書'!B$1),FALSE),
IF(_xlpm.v=0,"",_xlpm.v)
),"")</f>
        <v/>
      </c>
      <c r="K1995" s="17"/>
      <c r="L1995" s="17" t="b">
        <f>IF(OR(COUNTIF('クラス'!$A$1:$A$1262,$B1995)&gt;0,$B1995="",$M1995=""),"",True)</f>
        <v>1</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4.0</v>
      </c>
      <c r="B1996" s="1"/>
      <c r="C1996" s="1"/>
      <c r="D1996" s="1"/>
      <c r="E1996" s="14"/>
      <c r="F1996" s="15"/>
      <c r="G1996" s="16"/>
      <c r="H1996" s="11"/>
      <c r="I1996" s="7"/>
      <c r="J1996" s="7" t="str">
        <f>IFERROR(LET(_xlpm.v,
VLOOKUP($I1996,'用語辞書'!$A:$B,COLUMN('用語辞書'!B$1),FALSE),
IF(_xlpm.v=0,"",_xlpm.v)
),"")</f>
        <v/>
      </c>
      <c r="K1996" s="17"/>
      <c r="L1996" s="17" t="str">
        <f>IF(OR(COUNTIF('クラス'!$A$1:$A$1262,$B1996)&gt;0,$B1996="",$M1996=""),"",True)</f>
        <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5.0</v>
      </c>
      <c r="B1997" s="26" t="s">
        <v>2100</v>
      </c>
      <c r="C1997" s="26" t="s">
        <v>2101</v>
      </c>
      <c r="D1997" s="26" t="s">
        <v>2102</v>
      </c>
      <c r="E1997" s="29" t="s">
        <v>33</v>
      </c>
      <c r="F1997" s="15"/>
      <c r="G1997" s="30">
        <v>30.0</v>
      </c>
      <c r="H1997" s="22" t="s">
        <v>2103</v>
      </c>
      <c r="I1997" s="7"/>
      <c r="J1997" s="7" t="str">
        <f>IFERROR(LET(_xlpm.v,
VLOOKUP($I1997,'用語辞書'!$A:$B,COLUMN('用語辞書'!B$1),FALSE),
IF(_xlpm.v=0,"",_xlpm.v)
),"")</f>
        <v/>
      </c>
      <c r="K1997" s="17"/>
      <c r="L1997" s="17" t="b">
        <f>IF(OR(COUNTIF('クラス'!$A$1:$A$1262,$B1997)&gt;0,$B1997="",$M1997=""),"",True)</f>
        <v>1</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6.0</v>
      </c>
      <c r="B1998" s="1"/>
      <c r="C1998" s="1"/>
      <c r="D1998" s="1"/>
      <c r="E1998" s="14"/>
      <c r="F1998" s="15"/>
      <c r="G1998" s="16"/>
      <c r="H1998" s="11"/>
      <c r="I1998" s="7"/>
      <c r="J1998" s="7" t="str">
        <f>IFERROR(LET(_xlpm.v,
VLOOKUP($I1998,'用語辞書'!$A:$B,COLUMN('用語辞書'!B$1),FALSE),
IF(_xlpm.v=0,"",_xlpm.v)
),"")</f>
        <v/>
      </c>
      <c r="K1998" s="17"/>
      <c r="L1998" s="17" t="str">
        <f>IF(OR(COUNTIF('クラス'!$A$1:$A$1262,$B1998)&gt;0,$B1998="",$M1998=""),"",True)</f>
        <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7.0</v>
      </c>
      <c r="B1999" s="26" t="s">
        <v>2104</v>
      </c>
      <c r="C1999" s="1"/>
      <c r="D1999" s="1"/>
      <c r="E1999" s="29" t="s">
        <v>55</v>
      </c>
      <c r="F1999" s="15"/>
      <c r="G1999" s="16"/>
      <c r="H1999" s="22" t="s">
        <v>2105</v>
      </c>
      <c r="I1999" s="7"/>
      <c r="J1999" s="7" t="str">
        <f>IFERROR(LET(_xlpm.v,
VLOOKUP($I1999,'用語辞書'!$A:$B,COLUMN('用語辞書'!B$1),FALSE),
IF(_xlpm.v=0,"",_xlpm.v)
),"")</f>
        <v/>
      </c>
      <c r="K1999" s="17"/>
      <c r="L1999" s="17" t="b">
        <f>IF(OR(COUNTIF('クラス'!$A$1:$A$1262,$B1999)&gt;0,$B1999="",$M1999=""),"",True)</f>
        <v>1</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8.0</v>
      </c>
      <c r="B2000" s="1"/>
      <c r="C2000" s="1"/>
      <c r="D2000" s="1"/>
      <c r="E2000" s="14"/>
      <c r="F2000" s="15"/>
      <c r="G2000" s="16"/>
      <c r="H2000" s="11"/>
      <c r="I2000" s="7"/>
      <c r="J2000" s="7" t="str">
        <f>IFERROR(LET(_xlpm.v,
VLOOKUP($I2000,'用語辞書'!$A:$B,COLUMN('用語辞書'!B$1),FALSE),
IF(_xlpm.v=0,"",_xlpm.v)
),"")</f>
        <v/>
      </c>
      <c r="K2000" s="17"/>
      <c r="L2000" s="17" t="str">
        <f>IF(OR(COUNTIF('クラス'!$A$1:$A$1262,$B2000)&gt;0,$B2000="",$M2000=""),"",True)</f>
        <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9.0</v>
      </c>
      <c r="B2001" s="26" t="s">
        <v>918</v>
      </c>
      <c r="C2001" s="26" t="s">
        <v>2106</v>
      </c>
      <c r="D2001" s="26" t="s">
        <v>2096</v>
      </c>
      <c r="E2001" s="29" t="s">
        <v>33</v>
      </c>
      <c r="F2001" s="15"/>
      <c r="G2001" s="30">
        <v>60.0</v>
      </c>
      <c r="H2001" s="31" t="s">
        <v>2107</v>
      </c>
      <c r="I2001" s="7"/>
      <c r="J2001" s="7" t="str">
        <f>IFERROR(LET(_xlpm.v,
VLOOKUP($I2001,'用語辞書'!$A:$B,COLUMN('用語辞書'!B$1),FALSE),
IF(_xlpm.v=0,"",_xlpm.v)
),"")</f>
        <v/>
      </c>
      <c r="K2001" s="17"/>
      <c r="L2001" s="17" t="str">
        <f>IF(OR(COUNTIF('クラス'!$A$1:$A$1262,$B2001)&gt;0,$B2001="",$M2001=""),"",True)</f>
        <v/>
      </c>
      <c r="M2001" s="1" t="str">
        <f t="shared" si="27"/>
        <v/>
      </c>
      <c r="N2001" s="1" t="s">
        <v>29</v>
      </c>
      <c r="O2001" s="1"/>
      <c r="P2001" s="11"/>
      <c r="Q2001" s="11"/>
      <c r="R2001" s="11"/>
      <c r="S2001" s="11"/>
      <c r="T2001" s="1"/>
      <c r="U2001" s="1"/>
      <c r="V2001" s="1"/>
      <c r="W2001" s="1"/>
      <c r="X2001" s="1"/>
      <c r="Y2001" s="1"/>
      <c r="Z2001" s="1"/>
    </row>
    <row r="2002" ht="18.0" hidden="1" customHeight="1" outlineLevel="2">
      <c r="A2002" s="1">
        <v>10.0</v>
      </c>
      <c r="B2002" s="26" t="s">
        <v>2093</v>
      </c>
      <c r="C2002" s="1"/>
      <c r="D2002" s="1"/>
      <c r="E2002" s="29" t="s">
        <v>55</v>
      </c>
      <c r="F2002" s="15"/>
      <c r="G2002" s="16"/>
      <c r="H2002" s="22" t="s">
        <v>2108</v>
      </c>
      <c r="I2002" s="7"/>
      <c r="J2002" s="7" t="str">
        <f>IFERROR(LET(_xlpm.v,
VLOOKUP($I2002,'用語辞書'!$A:$B,COLUMN('用語辞書'!B$1),FALSE),
IF(_xlpm.v=0,"",_xlpm.v)
),"")</f>
        <v/>
      </c>
      <c r="K2002" s="17"/>
      <c r="L2002" s="17" t="str">
        <f>IF(OR(COUNTIF('クラス'!$A$1:$A$1262,$B2002)&gt;0,$B2002="",$M2002=""),"",True)</f>
        <v/>
      </c>
      <c r="M2002" s="1" t="str">
        <f t="shared" si="27"/>
        <v/>
      </c>
      <c r="N2002" s="1" t="s">
        <v>29</v>
      </c>
      <c r="O2002" s="1"/>
      <c r="P2002" s="11"/>
      <c r="Q2002" s="11"/>
      <c r="R2002" s="11"/>
      <c r="S2002" s="11"/>
      <c r="T2002" s="1"/>
      <c r="U2002" s="1"/>
      <c r="V2002" s="1"/>
      <c r="W2002" s="1"/>
      <c r="X2002" s="1"/>
      <c r="Y2002" s="1"/>
      <c r="Z2002" s="1"/>
    </row>
    <row r="2003" ht="18.0" customHeight="1" outlineLevel="1" collapsed="1">
      <c r="A2003" s="1"/>
      <c r="B2003" s="1"/>
      <c r="C2003" s="1"/>
      <c r="D2003" s="1"/>
      <c r="E2003" s="14"/>
      <c r="F2003" s="15"/>
      <c r="G2003" s="16"/>
      <c r="H2003" s="11"/>
      <c r="I2003" s="7"/>
      <c r="J2003" s="7" t="str">
        <f>IFERROR(LET(_xlpm.v,
VLOOKUP($I2003,'用語辞書'!$A:$B,COLUMN('用語辞書'!B$1),FALSE),
IF(_xlpm.v=0,"",_xlpm.v)
),"")</f>
        <v/>
      </c>
      <c r="K2003" s="17"/>
      <c r="L2003" s="17" t="str">
        <f>IF(OR(COUNTIF('クラス'!$A$1:$A$1262,$B2003)&gt;0,$B2003="",$M2003=""),"",True)</f>
        <v/>
      </c>
      <c r="M2003" s="1" t="str">
        <f t="shared" si="27"/>
        <v>存在しない</v>
      </c>
      <c r="N2003" s="1" t="s">
        <v>29</v>
      </c>
      <c r="O2003" s="1"/>
      <c r="P2003" s="11"/>
      <c r="Q2003" s="11"/>
      <c r="R2003" s="11"/>
      <c r="S2003" s="11"/>
      <c r="T2003" s="1"/>
      <c r="U2003" s="1"/>
      <c r="V2003" s="1"/>
      <c r="W2003" s="1"/>
      <c r="X2003" s="1"/>
      <c r="Y2003" s="1"/>
      <c r="Z2003" s="1"/>
    </row>
    <row r="2004" ht="18.0" customHeight="1" outlineLevel="1">
      <c r="A2004" s="1"/>
      <c r="B2004" s="26" t="s">
        <v>2109</v>
      </c>
      <c r="C2004" s="26" t="s">
        <v>2110</v>
      </c>
      <c r="D2004" s="1"/>
      <c r="E2004" s="14"/>
      <c r="F2004" s="15"/>
      <c r="G2004" s="16"/>
      <c r="H2004" s="11"/>
      <c r="I2004" s="7"/>
      <c r="J2004" s="7" t="str">
        <f>IFERROR(LET(_xlpm.v,
VLOOKUP($I2004,'用語辞書'!$A:$B,COLUMN('用語辞書'!B$1),FALSE),
IF(_xlpm.v=0,"",_xlpm.v)
),"")</f>
        <v/>
      </c>
      <c r="K2004" s="17"/>
      <c r="L2004" s="17" t="str">
        <f>IF(OR(COUNTIF('クラス'!$A$1:$A$1262,$B2004)&gt;0,$B2004="",$M2004=""),"",True)</f>
        <v/>
      </c>
      <c r="M2004" s="1" t="str">
        <f t="shared" si="27"/>
        <v>存在しない</v>
      </c>
      <c r="N2004" s="1" t="s">
        <v>29</v>
      </c>
      <c r="O2004" s="1"/>
      <c r="P2004" s="11"/>
      <c r="Q2004" s="11"/>
      <c r="R2004" s="11"/>
      <c r="S2004" s="11"/>
      <c r="T2004" s="1"/>
      <c r="U2004" s="1"/>
      <c r="V2004" s="1"/>
      <c r="W2004" s="1"/>
      <c r="X2004" s="1"/>
      <c r="Y2004" s="1"/>
      <c r="Z2004" s="1"/>
    </row>
    <row r="2005" ht="18.0" hidden="1" customHeight="1" outlineLevel="2">
      <c r="A2005" s="1">
        <v>1.0</v>
      </c>
      <c r="B2005" s="26" t="s">
        <v>2111</v>
      </c>
      <c r="C2005" s="26" t="s">
        <v>2112</v>
      </c>
      <c r="D2005" s="26" t="s">
        <v>2096</v>
      </c>
      <c r="E2005" s="29" t="s">
        <v>33</v>
      </c>
      <c r="F2005" s="15"/>
      <c r="G2005" s="30">
        <v>60.0</v>
      </c>
      <c r="H2005" s="22" t="s">
        <v>2113</v>
      </c>
      <c r="I2005" s="7"/>
      <c r="J2005" s="7" t="str">
        <f>IFERROR(LET(_xlpm.v,
VLOOKUP($I2005,'用語辞書'!$A:$B,COLUMN('用語辞書'!B$1),FALSE),
IF(_xlpm.v=0,"",_xlpm.v)
),"")</f>
        <v/>
      </c>
      <c r="K2005" s="17"/>
      <c r="L2005" s="17" t="b">
        <f>IF(OR(COUNTIF('クラス'!$A$1:$A$1262,$B2005)&gt;0,$B2005="",$M2005=""),"",True)</f>
        <v>1</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2.0</v>
      </c>
      <c r="B2006" s="1"/>
      <c r="C2006" s="1"/>
      <c r="D2006" s="1"/>
      <c r="E2006" s="14"/>
      <c r="F2006" s="15"/>
      <c r="G2006" s="16"/>
      <c r="H2006" s="11"/>
      <c r="I2006" s="7"/>
      <c r="J2006" s="7" t="str">
        <f>IFERROR(LET(_xlpm.v,
VLOOKUP($I2006,'用語辞書'!$A:$B,COLUMN('用語辞書'!B$1),FALSE),
IF(_xlpm.v=0,"",_xlpm.v)
),"")</f>
        <v/>
      </c>
      <c r="K2006" s="17"/>
      <c r="L2006" s="17" t="str">
        <f>IF(OR(COUNTIF('クラス'!$A$1:$A$1262,$B2006)&gt;0,$B2006="",$M2006=""),"",True)</f>
        <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3.0</v>
      </c>
      <c r="B2007" s="26" t="s">
        <v>2114</v>
      </c>
      <c r="C2007" s="1"/>
      <c r="D2007" s="1"/>
      <c r="E2007" s="29" t="s">
        <v>55</v>
      </c>
      <c r="F2007" s="15"/>
      <c r="G2007" s="16"/>
      <c r="H2007" s="22" t="s">
        <v>2115</v>
      </c>
      <c r="I2007" s="7"/>
      <c r="J2007" s="7" t="str">
        <f>IFERROR(LET(_xlpm.v,
VLOOKUP($I2007,'用語辞書'!$A:$B,COLUMN('用語辞書'!B$1),FALSE),
IF(_xlpm.v=0,"",_xlpm.v)
),"")</f>
        <v/>
      </c>
      <c r="K2007" s="17"/>
      <c r="L2007" s="17" t="b">
        <f>IF(OR(COUNTIF('クラス'!$A$1:$A$1262,$B2007)&gt;0,$B2007="",$M2007=""),"",True)</f>
        <v>1</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4.0</v>
      </c>
      <c r="B2008" s="1"/>
      <c r="C2008" s="1"/>
      <c r="D2008" s="1"/>
      <c r="E2008" s="14"/>
      <c r="F2008" s="15"/>
      <c r="G2008" s="16"/>
      <c r="H2008" s="11"/>
      <c r="I2008" s="7"/>
      <c r="J2008" s="7" t="str">
        <f>IFERROR(LET(_xlpm.v,
VLOOKUP($I2008,'用語辞書'!$A:$B,COLUMN('用語辞書'!B$1),FALSE),
IF(_xlpm.v=0,"",_xlpm.v)
),"")</f>
        <v/>
      </c>
      <c r="K2008" s="17"/>
      <c r="L2008" s="17" t="str">
        <f>IF(OR(COUNTIF('クラス'!$A$1:$A$1262,$B2008)&gt;0,$B2008="",$M2008=""),"",True)</f>
        <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5.0</v>
      </c>
      <c r="B2009" s="26" t="s">
        <v>2116</v>
      </c>
      <c r="C2009" s="26" t="s">
        <v>2117</v>
      </c>
      <c r="D2009" s="26" t="s">
        <v>2102</v>
      </c>
      <c r="E2009" s="29" t="s">
        <v>33</v>
      </c>
      <c r="F2009" s="15"/>
      <c r="G2009" s="30">
        <v>30.0</v>
      </c>
      <c r="H2009" s="22" t="s">
        <v>2118</v>
      </c>
      <c r="I2009" s="7"/>
      <c r="J2009" s="7" t="str">
        <f>IFERROR(LET(_xlpm.v,
VLOOKUP($I2009,'用語辞書'!$A:$B,COLUMN('用語辞書'!B$1),FALSE),
IF(_xlpm.v=0,"",_xlpm.v)
),"")</f>
        <v/>
      </c>
      <c r="K2009" s="17"/>
      <c r="L2009" s="17" t="b">
        <f>IF(OR(COUNTIF('クラス'!$A$1:$A$1262,$B2009)&gt;0,$B2009="",$M2009=""),"",True)</f>
        <v>1</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6.0</v>
      </c>
      <c r="B2010" s="1"/>
      <c r="C2010" s="1"/>
      <c r="D2010" s="1"/>
      <c r="E2010" s="14"/>
      <c r="F2010" s="15"/>
      <c r="G2010" s="16"/>
      <c r="H2010" s="11"/>
      <c r="I2010" s="7"/>
      <c r="J2010" s="7" t="str">
        <f>IFERROR(LET(_xlpm.v,
VLOOKUP($I2010,'用語辞書'!$A:$B,COLUMN('用語辞書'!B$1),FALSE),
IF(_xlpm.v=0,"",_xlpm.v)
),"")</f>
        <v/>
      </c>
      <c r="K2010" s="17"/>
      <c r="L2010" s="17" t="str">
        <f>IF(OR(COUNTIF('クラス'!$A$1:$A$1262,$B2010)&gt;0,$B2010="",$M2010=""),"",True)</f>
        <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7.0</v>
      </c>
      <c r="B2011" s="26" t="s">
        <v>2119</v>
      </c>
      <c r="C2011" s="1"/>
      <c r="D2011" s="1"/>
      <c r="E2011" s="29" t="s">
        <v>55</v>
      </c>
      <c r="F2011" s="15"/>
      <c r="G2011" s="16"/>
      <c r="H2011" s="31" t="s">
        <v>2120</v>
      </c>
      <c r="I2011" s="7"/>
      <c r="J2011" s="7" t="str">
        <f>IFERROR(LET(_xlpm.v,
VLOOKUP($I2011,'用語辞書'!$A:$B,COLUMN('用語辞書'!B$1),FALSE),
IF(_xlpm.v=0,"",_xlpm.v)
),"")</f>
        <v/>
      </c>
      <c r="K2011" s="17"/>
      <c r="L2011" s="17" t="b">
        <f>IF(OR(COUNTIF('クラス'!$A$1:$A$1262,$B2011)&gt;0,$B2011="",$M2011=""),"",True)</f>
        <v>1</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8.0</v>
      </c>
      <c r="B2012" s="1"/>
      <c r="C2012" s="1"/>
      <c r="D2012" s="1"/>
      <c r="E2012" s="14"/>
      <c r="F2012" s="15"/>
      <c r="G2012" s="16"/>
      <c r="H2012" s="11"/>
      <c r="I2012" s="7"/>
      <c r="J2012" s="7" t="str">
        <f>IFERROR(LET(_xlpm.v,
VLOOKUP($I2012,'用語辞書'!$A:$B,COLUMN('用語辞書'!B$1),FALSE),
IF(_xlpm.v=0,"",_xlpm.v)
),"")</f>
        <v/>
      </c>
      <c r="K2012" s="17"/>
      <c r="L2012" s="17" t="str">
        <f>IF(OR(COUNTIF('クラス'!$A$1:$A$1262,$B2012)&gt;0,$B2012="",$M2012=""),"",True)</f>
        <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9.0</v>
      </c>
      <c r="B2013" s="26" t="s">
        <v>2121</v>
      </c>
      <c r="C2013" s="26" t="s">
        <v>2122</v>
      </c>
      <c r="D2013" s="26" t="s">
        <v>2096</v>
      </c>
      <c r="E2013" s="29" t="s">
        <v>33</v>
      </c>
      <c r="F2013" s="15"/>
      <c r="G2013" s="30">
        <v>60.0</v>
      </c>
      <c r="H2013" s="22" t="s">
        <v>2123</v>
      </c>
      <c r="I2013" s="7"/>
      <c r="J2013" s="7" t="str">
        <f>IFERROR(LET(_xlpm.v,
VLOOKUP($I2013,'用語辞書'!$A:$B,COLUMN('用語辞書'!B$1),FALSE),
IF(_xlpm.v=0,"",_xlpm.v)
),"")</f>
        <v/>
      </c>
      <c r="K2013" s="17"/>
      <c r="L2013" s="17" t="b">
        <f>IF(OR(COUNTIF('クラス'!$A$1:$A$1262,$B2013)&gt;0,$B2013="",$M2013=""),"",True)</f>
        <v>1</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10.0</v>
      </c>
      <c r="B2014" s="26" t="s">
        <v>2110</v>
      </c>
      <c r="C2014" s="1"/>
      <c r="D2014" s="1"/>
      <c r="E2014" s="29" t="s">
        <v>55</v>
      </c>
      <c r="F2014" s="15"/>
      <c r="G2014" s="16"/>
      <c r="H2014" s="22" t="s">
        <v>2124</v>
      </c>
      <c r="I2014" s="7"/>
      <c r="J2014" s="7" t="str">
        <f>IFERROR(LET(_xlpm.v,
VLOOKUP($I2014,'用語辞書'!$A:$B,COLUMN('用語辞書'!B$1),FALSE),
IF(_xlpm.v=0,"",_xlpm.v)
),"")</f>
        <v/>
      </c>
      <c r="K2014" s="17"/>
      <c r="L2014" s="17" t="str">
        <f>IF(OR(COUNTIF('クラス'!$A$1:$A$1262,$B2014)&gt;0,$B2014="",$M2014=""),"",True)</f>
        <v/>
      </c>
      <c r="M2014" s="1" t="str">
        <f t="shared" si="27"/>
        <v/>
      </c>
      <c r="N2014" s="1" t="s">
        <v>29</v>
      </c>
      <c r="O2014" s="1"/>
      <c r="P2014" s="11"/>
      <c r="Q2014" s="11"/>
      <c r="R2014" s="11"/>
      <c r="S2014" s="11"/>
      <c r="T2014" s="1"/>
      <c r="U2014" s="1"/>
      <c r="V2014" s="1"/>
      <c r="W2014" s="1"/>
      <c r="X2014" s="1"/>
      <c r="Y2014" s="1"/>
      <c r="Z2014" s="1"/>
    </row>
    <row r="2015" ht="18.0" customHeight="1" outlineLevel="1" collapsed="1">
      <c r="A2015" s="1"/>
      <c r="B2015" s="1"/>
      <c r="C2015" s="1"/>
      <c r="D2015" s="1"/>
      <c r="E2015" s="14"/>
      <c r="F2015" s="15"/>
      <c r="G2015" s="16"/>
      <c r="H2015" s="11"/>
      <c r="I2015" s="7"/>
      <c r="J2015" s="7" t="str">
        <f>IFERROR(LET(_xlpm.v,
VLOOKUP($I2015,'用語辞書'!$A:$B,COLUMN('用語辞書'!B$1),FALSE),
IF(_xlpm.v=0,"",_xlpm.v)
),"")</f>
        <v/>
      </c>
      <c r="K2015" s="17"/>
      <c r="L2015" s="17" t="str">
        <f>IF(OR(COUNTIF('クラス'!$A$1:$A$1262,$B2015)&gt;0,$B2015="",$M2015=""),"",True)</f>
        <v/>
      </c>
      <c r="M2015" s="1" t="str">
        <f t="shared" si="27"/>
        <v>存在しない</v>
      </c>
      <c r="N2015" s="1" t="s">
        <v>29</v>
      </c>
      <c r="O2015" s="1"/>
      <c r="P2015" s="11"/>
      <c r="Q2015" s="11"/>
      <c r="R2015" s="11"/>
      <c r="S2015" s="11"/>
      <c r="T2015" s="1"/>
      <c r="U2015" s="1"/>
      <c r="V2015" s="1"/>
      <c r="W2015" s="1"/>
      <c r="X2015" s="1"/>
      <c r="Y2015" s="1"/>
      <c r="Z2015" s="1"/>
    </row>
    <row r="2016" ht="18.0" customHeight="1" outlineLevel="1">
      <c r="A2016" s="1"/>
      <c r="B2016" s="26" t="s">
        <v>2125</v>
      </c>
      <c r="C2016" s="26" t="s">
        <v>2126</v>
      </c>
      <c r="D2016" s="1"/>
      <c r="E2016" s="14"/>
      <c r="F2016" s="15"/>
      <c r="G2016" s="16"/>
      <c r="H2016" s="11"/>
      <c r="I2016" s="7"/>
      <c r="J2016" s="7" t="str">
        <f>IFERROR(LET(_xlpm.v,
VLOOKUP($I2016,'用語辞書'!$A:$B,COLUMN('用語辞書'!B$1),FALSE),
IF(_xlpm.v=0,"",_xlpm.v)
),"")</f>
        <v/>
      </c>
      <c r="K2016" s="17"/>
      <c r="L2016" s="17" t="str">
        <f>IF(OR(COUNTIF('クラス'!$A$1:$A$1262,$B2016)&gt;0,$B2016="",$M2016=""),"",True)</f>
        <v/>
      </c>
      <c r="M2016" s="1" t="str">
        <f t="shared" si="27"/>
        <v>存在しない</v>
      </c>
      <c r="N2016" s="1" t="s">
        <v>29</v>
      </c>
      <c r="O2016" s="1"/>
      <c r="P2016" s="11"/>
      <c r="Q2016" s="11"/>
      <c r="R2016" s="11"/>
      <c r="S2016" s="11"/>
      <c r="T2016" s="1"/>
      <c r="U2016" s="1"/>
      <c r="V2016" s="1"/>
      <c r="W2016" s="1"/>
      <c r="X2016" s="1"/>
      <c r="Y2016" s="1"/>
      <c r="Z2016" s="1"/>
    </row>
    <row r="2017" ht="18.0" hidden="1" customHeight="1" outlineLevel="2">
      <c r="A2017" s="1">
        <v>1.0</v>
      </c>
      <c r="B2017" s="26" t="s">
        <v>2127</v>
      </c>
      <c r="C2017" s="26" t="s">
        <v>2128</v>
      </c>
      <c r="D2017" s="26" t="s">
        <v>2096</v>
      </c>
      <c r="E2017" s="29" t="s">
        <v>33</v>
      </c>
      <c r="F2017" s="15"/>
      <c r="G2017" s="30">
        <v>60.0</v>
      </c>
      <c r="H2017" s="22" t="s">
        <v>2129</v>
      </c>
      <c r="I2017" s="7"/>
      <c r="J2017" s="7" t="str">
        <f>IFERROR(LET(_xlpm.v,
VLOOKUP($I2017,'用語辞書'!$A:$B,COLUMN('用語辞書'!B$1),FALSE),
IF(_xlpm.v=0,"",_xlpm.v)
),"")</f>
        <v/>
      </c>
      <c r="K2017" s="17"/>
      <c r="L2017" s="17" t="b">
        <f>IF(OR(COUNTIF('クラス'!$A$1:$A$1262,$B2017)&gt;0,$B2017="",$M2017=""),"",True)</f>
        <v>1</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2.0</v>
      </c>
      <c r="B2018" s="1"/>
      <c r="C2018" s="1"/>
      <c r="D2018" s="1"/>
      <c r="E2018" s="14"/>
      <c r="F2018" s="15"/>
      <c r="G2018" s="16"/>
      <c r="H2018" s="11"/>
      <c r="I2018" s="7"/>
      <c r="J2018" s="7" t="str">
        <f>IFERROR(LET(_xlpm.v,
VLOOKUP($I2018,'用語辞書'!$A:$B,COLUMN('用語辞書'!B$1),FALSE),
IF(_xlpm.v=0,"",_xlpm.v)
),"")</f>
        <v/>
      </c>
      <c r="K2018" s="17"/>
      <c r="L2018" s="17" t="str">
        <f>IF(OR(COUNTIF('クラス'!$A$1:$A$1262,$B2018)&gt;0,$B2018="",$M2018=""),"",True)</f>
        <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3.0</v>
      </c>
      <c r="B2019" s="26" t="s">
        <v>2130</v>
      </c>
      <c r="C2019" s="1"/>
      <c r="D2019" s="1"/>
      <c r="E2019" s="29" t="s">
        <v>55</v>
      </c>
      <c r="F2019" s="15"/>
      <c r="G2019" s="16"/>
      <c r="H2019" s="31" t="s">
        <v>2131</v>
      </c>
      <c r="I2019" s="7"/>
      <c r="J2019" s="7" t="str">
        <f>IFERROR(LET(_xlpm.v,
VLOOKUP($I2019,'用語辞書'!$A:$B,COLUMN('用語辞書'!B$1),FALSE),
IF(_xlpm.v=0,"",_xlpm.v)
),"")</f>
        <v/>
      </c>
      <c r="K2019" s="17"/>
      <c r="L2019" s="17" t="b">
        <f>IF(OR(COUNTIF('クラス'!$A$1:$A$1262,$B2019)&gt;0,$B2019="",$M2019=""),"",True)</f>
        <v>1</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4.0</v>
      </c>
      <c r="B2020" s="1"/>
      <c r="C2020" s="1"/>
      <c r="D2020" s="1"/>
      <c r="E2020" s="14"/>
      <c r="F2020" s="15"/>
      <c r="G2020" s="16"/>
      <c r="H2020" s="11"/>
      <c r="I2020" s="7"/>
      <c r="J2020" s="7" t="str">
        <f>IFERROR(LET(_xlpm.v,
VLOOKUP($I2020,'用語辞書'!$A:$B,COLUMN('用語辞書'!B$1),FALSE),
IF(_xlpm.v=0,"",_xlpm.v)
),"")</f>
        <v/>
      </c>
      <c r="K2020" s="17"/>
      <c r="L2020" s="17" t="str">
        <f>IF(OR(COUNTIF('クラス'!$A$1:$A$1262,$B2020)&gt;0,$B2020="",$M2020=""),"",True)</f>
        <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5.0</v>
      </c>
      <c r="B2021" s="26" t="s">
        <v>2132</v>
      </c>
      <c r="C2021" s="1"/>
      <c r="D2021" s="26" t="s">
        <v>2102</v>
      </c>
      <c r="E2021" s="29" t="s">
        <v>33</v>
      </c>
      <c r="F2021" s="15"/>
      <c r="G2021" s="30">
        <v>30.0</v>
      </c>
      <c r="H2021" s="22" t="s">
        <v>2133</v>
      </c>
      <c r="I2021" s="7"/>
      <c r="J2021" s="7" t="str">
        <f>IFERROR(LET(_xlpm.v,
VLOOKUP($I2021,'用語辞書'!$A:$B,COLUMN('用語辞書'!B$1),FALSE),
IF(_xlpm.v=0,"",_xlpm.v)
),"")</f>
        <v/>
      </c>
      <c r="K2021" s="17"/>
      <c r="L2021" s="17" t="b">
        <f>IF(OR(COUNTIF('クラス'!$A$1:$A$1262,$B2021)&gt;0,$B2021="",$M2021=""),"",True)</f>
        <v>1</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6.0</v>
      </c>
      <c r="B2022" s="1"/>
      <c r="C2022" s="1"/>
      <c r="D2022" s="1"/>
      <c r="E2022" s="14"/>
      <c r="F2022" s="15"/>
      <c r="G2022" s="16"/>
      <c r="H2022" s="11"/>
      <c r="I2022" s="7"/>
      <c r="J2022" s="7" t="str">
        <f>IFERROR(LET(_xlpm.v,
VLOOKUP($I2022,'用語辞書'!$A:$B,COLUMN('用語辞書'!B$1),FALSE),
IF(_xlpm.v=0,"",_xlpm.v)
),"")</f>
        <v/>
      </c>
      <c r="K2022" s="17"/>
      <c r="L2022" s="17" t="str">
        <f>IF(OR(COUNTIF('クラス'!$A$1:$A$1262,$B2022)&gt;0,$B2022="",$M2022=""),"",True)</f>
        <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7.0</v>
      </c>
      <c r="B2023" s="26" t="s">
        <v>1854</v>
      </c>
      <c r="C2023" s="26" t="s">
        <v>2134</v>
      </c>
      <c r="D2023" s="1"/>
      <c r="E2023" s="29" t="s">
        <v>33</v>
      </c>
      <c r="F2023" s="15"/>
      <c r="G2023" s="30">
        <v>30.0</v>
      </c>
      <c r="H2023" s="22" t="s">
        <v>2135</v>
      </c>
      <c r="I2023" s="7"/>
      <c r="J2023" s="7" t="str">
        <f>IFERROR(LET(_xlpm.v,
VLOOKUP($I2023,'用語辞書'!$A:$B,COLUMN('用語辞書'!B$1),FALSE),
IF(_xlpm.v=0,"",_xlpm.v)
),"")</f>
        <v/>
      </c>
      <c r="K2023" s="17"/>
      <c r="L2023" s="17" t="str">
        <f>IF(OR(COUNTIF('クラス'!$A$1:$A$1262,$B2023)&gt;0,$B2023="",$M2023=""),"",True)</f>
        <v/>
      </c>
      <c r="M2023" s="1" t="str">
        <f t="shared" si="27"/>
        <v/>
      </c>
      <c r="N2023" s="1" t="s">
        <v>29</v>
      </c>
      <c r="O2023" s="1"/>
      <c r="P2023" s="11"/>
      <c r="Q2023" s="11"/>
      <c r="R2023" s="11"/>
      <c r="S2023" s="11"/>
      <c r="T2023" s="1"/>
      <c r="U2023" s="1"/>
      <c r="V2023" s="1"/>
      <c r="W2023" s="1"/>
      <c r="X2023" s="1"/>
      <c r="Y2023" s="1"/>
      <c r="Z2023" s="1"/>
    </row>
    <row r="2024" ht="18.0" hidden="1" customHeight="1" outlineLevel="2">
      <c r="A2024" s="1">
        <v>8.0</v>
      </c>
      <c r="B2024" s="1"/>
      <c r="C2024" s="1"/>
      <c r="D2024" s="1"/>
      <c r="E2024" s="14"/>
      <c r="F2024" s="15"/>
      <c r="G2024" s="16"/>
      <c r="H2024" s="11"/>
      <c r="I2024" s="7"/>
      <c r="J2024" s="7" t="str">
        <f>IFERROR(LET(_xlpm.v,
VLOOKUP($I2024,'用語辞書'!$A:$B,COLUMN('用語辞書'!B$1),FALSE),
IF(_xlpm.v=0,"",_xlpm.v)
),"")</f>
        <v/>
      </c>
      <c r="K2024" s="17"/>
      <c r="L2024" s="17" t="str">
        <f>IF(OR(COUNTIF('クラス'!$A$1:$A$1262,$B2024)&gt;0,$B2024="",$M2024=""),"",True)</f>
        <v/>
      </c>
      <c r="M2024" s="1" t="str">
        <f t="shared" si="27"/>
        <v>存在しない</v>
      </c>
      <c r="N2024" s="1" t="s">
        <v>29</v>
      </c>
      <c r="O2024" s="1"/>
      <c r="P2024" s="11"/>
      <c r="Q2024" s="11"/>
      <c r="R2024" s="11"/>
      <c r="S2024" s="11"/>
      <c r="T2024" s="1"/>
      <c r="U2024" s="1"/>
      <c r="V2024" s="1"/>
      <c r="W2024" s="1"/>
      <c r="X2024" s="1"/>
      <c r="Y2024" s="1"/>
      <c r="Z2024" s="1"/>
    </row>
    <row r="2025" ht="18.0" hidden="1" customHeight="1" outlineLevel="2">
      <c r="A2025" s="1">
        <v>9.0</v>
      </c>
      <c r="B2025" s="26" t="s">
        <v>2136</v>
      </c>
      <c r="C2025" s="1"/>
      <c r="D2025" s="1"/>
      <c r="E2025" s="29" t="s">
        <v>55</v>
      </c>
      <c r="F2025" s="15"/>
      <c r="G2025" s="16"/>
      <c r="H2025" s="22" t="s">
        <v>2137</v>
      </c>
      <c r="I2025" s="7"/>
      <c r="J2025" s="7" t="str">
        <f>IFERROR(LET(_xlpm.v,
VLOOKUP($I2025,'用語辞書'!$A:$B,COLUMN('用語辞書'!B$1),FALSE),
IF(_xlpm.v=0,"",_xlpm.v)
),"")</f>
        <v/>
      </c>
      <c r="K2025" s="17"/>
      <c r="L2025" s="17" t="b">
        <f>IF(OR(COUNTIF('クラス'!$A$1:$A$1262,$B2025)&gt;0,$B2025="",$M2025=""),"",True)</f>
        <v>1</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10.0</v>
      </c>
      <c r="B2026" s="26" t="s">
        <v>2126</v>
      </c>
      <c r="C2026" s="1"/>
      <c r="D2026" s="1"/>
      <c r="E2026" s="29" t="s">
        <v>55</v>
      </c>
      <c r="F2026" s="15"/>
      <c r="G2026" s="16"/>
      <c r="H2026" s="22" t="s">
        <v>2138</v>
      </c>
      <c r="I2026" s="7"/>
      <c r="J2026" s="7" t="str">
        <f>IFERROR(LET(_xlpm.v,
VLOOKUP($I2026,'用語辞書'!$A:$B,COLUMN('用語辞書'!B$1),FALSE),
IF(_xlpm.v=0,"",_xlpm.v)
),"")</f>
        <v/>
      </c>
      <c r="K2026" s="17"/>
      <c r="L2026" s="17" t="str">
        <f>IF(OR(COUNTIF('クラス'!$A$1:$A$1262,$B2026)&gt;0,$B2026="",$M2026=""),"",True)</f>
        <v/>
      </c>
      <c r="M2026" s="1" t="str">
        <f t="shared" si="27"/>
        <v/>
      </c>
      <c r="N2026" s="1" t="s">
        <v>29</v>
      </c>
      <c r="O2026" s="1"/>
      <c r="P2026" s="11"/>
      <c r="Q2026" s="11"/>
      <c r="R2026" s="11"/>
      <c r="S2026" s="11"/>
      <c r="T2026" s="1"/>
      <c r="U2026" s="1"/>
      <c r="V2026" s="1"/>
      <c r="W2026" s="1"/>
      <c r="X2026" s="1"/>
      <c r="Y2026" s="1"/>
      <c r="Z2026" s="1"/>
    </row>
    <row r="2027" ht="18.0" customHeight="1" outlineLevel="1" collapsed="1">
      <c r="A2027" s="1"/>
      <c r="B2027" s="1"/>
      <c r="C2027" s="1"/>
      <c r="D2027" s="1"/>
      <c r="E2027" s="14"/>
      <c r="F2027" s="15"/>
      <c r="G2027" s="16"/>
      <c r="H2027" s="11"/>
      <c r="I2027" s="7"/>
      <c r="J2027" s="7" t="str">
        <f>IFERROR(LET(_xlpm.v,
VLOOKUP($I2027,'用語辞書'!$A:$B,COLUMN('用語辞書'!B$1),FALSE),
IF(_xlpm.v=0,"",_xlpm.v)
),"")</f>
        <v/>
      </c>
      <c r="K2027" s="17"/>
      <c r="L2027" s="17" t="str">
        <f>IF(OR(COUNTIF('クラス'!$A$1:$A$1262,$B2027)&gt;0,$B2027="",$M2027=""),"",True)</f>
        <v/>
      </c>
      <c r="M2027" s="1" t="str">
        <f t="shared" si="27"/>
        <v>存在しない</v>
      </c>
      <c r="N2027" s="1" t="s">
        <v>29</v>
      </c>
      <c r="O2027" s="1"/>
      <c r="P2027" s="11"/>
      <c r="Q2027" s="11"/>
      <c r="R2027" s="11"/>
      <c r="S2027" s="11"/>
      <c r="T2027" s="1"/>
      <c r="U2027" s="1"/>
      <c r="V2027" s="1"/>
      <c r="W2027" s="1"/>
      <c r="X2027" s="1"/>
      <c r="Y2027" s="1"/>
      <c r="Z2027" s="1"/>
    </row>
    <row r="2028" ht="18.0" customHeight="1" outlineLevel="1">
      <c r="A2028" s="1"/>
      <c r="B2028" s="26" t="s">
        <v>2139</v>
      </c>
      <c r="C2028" s="26" t="s">
        <v>2140</v>
      </c>
      <c r="D2028" s="1"/>
      <c r="E2028" s="14"/>
      <c r="F2028" s="15"/>
      <c r="G2028" s="16"/>
      <c r="H2028" s="11"/>
      <c r="I2028" s="7"/>
      <c r="J2028" s="7" t="str">
        <f>IFERROR(LET(_xlpm.v,
VLOOKUP($I2028,'用語辞書'!$A:$B,COLUMN('用語辞書'!B$1),FALSE),
IF(_xlpm.v=0,"",_xlpm.v)
),"")</f>
        <v/>
      </c>
      <c r="K2028" s="17"/>
      <c r="L2028" s="17" t="str">
        <f>IF(OR(COUNTIF('クラス'!$A$1:$A$1262,$B2028)&gt;0,$B2028="",$M2028=""),"",True)</f>
        <v/>
      </c>
      <c r="M2028" s="1" t="str">
        <f t="shared" si="27"/>
        <v>存在しない</v>
      </c>
      <c r="N2028" s="1" t="s">
        <v>29</v>
      </c>
      <c r="O2028" s="1"/>
      <c r="P2028" s="11"/>
      <c r="Q2028" s="11"/>
      <c r="R2028" s="11"/>
      <c r="S2028" s="11"/>
      <c r="T2028" s="1"/>
      <c r="U2028" s="1"/>
      <c r="V2028" s="1"/>
      <c r="W2028" s="1"/>
      <c r="X2028" s="1"/>
      <c r="Y2028" s="1"/>
      <c r="Z2028" s="1"/>
    </row>
    <row r="2029" ht="18.0" hidden="1" customHeight="1" outlineLevel="2">
      <c r="A2029" s="1">
        <v>1.0</v>
      </c>
      <c r="B2029" s="26" t="s">
        <v>2141</v>
      </c>
      <c r="C2029" s="1"/>
      <c r="D2029" s="26" t="s">
        <v>2142</v>
      </c>
      <c r="E2029" s="29" t="s">
        <v>33</v>
      </c>
      <c r="F2029" s="15"/>
      <c r="G2029" s="30">
        <v>60.0</v>
      </c>
      <c r="H2029" s="31" t="s">
        <v>2143</v>
      </c>
      <c r="I2029" s="7"/>
      <c r="J2029" s="7" t="str">
        <f>IFERROR(LET(_xlpm.v,
VLOOKUP($I2029,'用語辞書'!$A:$B,COLUMN('用語辞書'!B$1),FALSE),
IF(_xlpm.v=0,"",_xlpm.v)
),"")</f>
        <v/>
      </c>
      <c r="K2029" s="17"/>
      <c r="L2029" s="17" t="b">
        <f>IF(OR(COUNTIF('クラス'!$A$1:$A$1262,$B2029)&gt;0,$B2029="",$M2029=""),"",True)</f>
        <v>1</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2.0</v>
      </c>
      <c r="B2030" s="1"/>
      <c r="C2030" s="1"/>
      <c r="D2030" s="1"/>
      <c r="E2030" s="14"/>
      <c r="F2030" s="15"/>
      <c r="G2030" s="16"/>
      <c r="H2030" s="11"/>
      <c r="I2030" s="7"/>
      <c r="J2030" s="7" t="str">
        <f>IFERROR(LET(_xlpm.v,
VLOOKUP($I2030,'用語辞書'!$A:$B,COLUMN('用語辞書'!B$1),FALSE),
IF(_xlpm.v=0,"",_xlpm.v)
),"")</f>
        <v/>
      </c>
      <c r="K2030" s="17"/>
      <c r="L2030" s="17" t="str">
        <f>IF(OR(COUNTIF('クラス'!$A$1:$A$1262,$B2030)&gt;0,$B2030="",$M2030=""),"",True)</f>
        <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3.0</v>
      </c>
      <c r="B2031" s="26" t="s">
        <v>2098</v>
      </c>
      <c r="C2031" s="1"/>
      <c r="D2031" s="1"/>
      <c r="E2031" s="29" t="s">
        <v>55</v>
      </c>
      <c r="F2031" s="15"/>
      <c r="G2031" s="16"/>
      <c r="H2031" s="22" t="s">
        <v>2099</v>
      </c>
      <c r="I2031" s="7"/>
      <c r="J2031" s="7" t="str">
        <f>IFERROR(LET(_xlpm.v,
VLOOKUP($I2031,'用語辞書'!$A:$B,COLUMN('用語辞書'!B$1),FALSE),
IF(_xlpm.v=0,"",_xlpm.v)
),"")</f>
        <v/>
      </c>
      <c r="K2031" s="17"/>
      <c r="L2031" s="17" t="str">
        <f>IF(OR(COUNTIF('クラス'!$A$1:$A$1262,$B2031)&gt;0,$B2031="",$M2031=""),"",True)</f>
        <v/>
      </c>
      <c r="M2031" s="1" t="str">
        <f t="shared" si="27"/>
        <v/>
      </c>
      <c r="N2031" s="1" t="s">
        <v>29</v>
      </c>
      <c r="O2031" s="1"/>
      <c r="P2031" s="11"/>
      <c r="Q2031" s="11"/>
      <c r="R2031" s="11"/>
      <c r="S2031" s="11"/>
      <c r="T2031" s="1"/>
      <c r="U2031" s="1"/>
      <c r="V2031" s="1"/>
      <c r="W2031" s="1"/>
      <c r="X2031" s="1"/>
      <c r="Y2031" s="1"/>
      <c r="Z2031" s="1"/>
    </row>
    <row r="2032" ht="18.0" hidden="1" customHeight="1" outlineLevel="2">
      <c r="A2032" s="1">
        <v>4.0</v>
      </c>
      <c r="B2032" s="1"/>
      <c r="C2032" s="1"/>
      <c r="D2032" s="1"/>
      <c r="E2032" s="14"/>
      <c r="F2032" s="15"/>
      <c r="G2032" s="16"/>
      <c r="H2032" s="11"/>
      <c r="I2032" s="7"/>
      <c r="J2032" s="7" t="str">
        <f>IFERROR(LET(_xlpm.v,
VLOOKUP($I2032,'用語辞書'!$A:$B,COLUMN('用語辞書'!B$1),FALSE),
IF(_xlpm.v=0,"",_xlpm.v)
),"")</f>
        <v/>
      </c>
      <c r="K2032" s="17"/>
      <c r="L2032" s="17" t="str">
        <f>IF(OR(COUNTIF('クラス'!$A$1:$A$1262,$B2032)&gt;0,$B2032="",$M2032=""),"",True)</f>
        <v/>
      </c>
      <c r="M2032" s="1" t="str">
        <f t="shared" si="27"/>
        <v>存在しない</v>
      </c>
      <c r="N2032" s="1" t="s">
        <v>29</v>
      </c>
      <c r="O2032" s="1"/>
      <c r="P2032" s="11"/>
      <c r="Q2032" s="11"/>
      <c r="R2032" s="11"/>
      <c r="S2032" s="11"/>
      <c r="T2032" s="1"/>
      <c r="U2032" s="1"/>
      <c r="V2032" s="1"/>
      <c r="W2032" s="1"/>
      <c r="X2032" s="1"/>
      <c r="Y2032" s="1"/>
      <c r="Z2032" s="1"/>
    </row>
    <row r="2033" ht="18.0" hidden="1" customHeight="1" outlineLevel="2">
      <c r="A2033" s="1">
        <v>5.0</v>
      </c>
      <c r="B2033" s="26" t="s">
        <v>2100</v>
      </c>
      <c r="C2033" s="26" t="s">
        <v>2101</v>
      </c>
      <c r="D2033" s="26" t="s">
        <v>2102</v>
      </c>
      <c r="E2033" s="29" t="s">
        <v>33</v>
      </c>
      <c r="F2033" s="15"/>
      <c r="G2033" s="30">
        <v>30.0</v>
      </c>
      <c r="H2033" s="22" t="s">
        <v>2103</v>
      </c>
      <c r="I2033" s="7"/>
      <c r="J2033" s="7" t="str">
        <f>IFERROR(LET(_xlpm.v,
VLOOKUP($I2033,'用語辞書'!$A:$B,COLUMN('用語辞書'!B$1),FALSE),
IF(_xlpm.v=0,"",_xlpm.v)
),"")</f>
        <v/>
      </c>
      <c r="K2033" s="17"/>
      <c r="L2033" s="17" t="str">
        <f>IF(OR(COUNTIF('クラス'!$A$1:$A$1262,$B2033)&gt;0,$B2033="",$M2033=""),"",True)</f>
        <v/>
      </c>
      <c r="M2033" s="1" t="str">
        <f t="shared" si="27"/>
        <v/>
      </c>
      <c r="N2033" s="1" t="s">
        <v>29</v>
      </c>
      <c r="O2033" s="1"/>
      <c r="P2033" s="11"/>
      <c r="Q2033" s="11"/>
      <c r="R2033" s="11"/>
      <c r="S2033" s="11"/>
      <c r="T2033" s="1"/>
      <c r="U2033" s="1"/>
      <c r="V2033" s="1"/>
      <c r="W2033" s="1"/>
      <c r="X2033" s="1"/>
      <c r="Y2033" s="1"/>
      <c r="Z2033" s="1"/>
    </row>
    <row r="2034" ht="18.0" hidden="1" customHeight="1" outlineLevel="2">
      <c r="A2034" s="1">
        <v>6.0</v>
      </c>
      <c r="B2034" s="1"/>
      <c r="C2034" s="1"/>
      <c r="D2034" s="1"/>
      <c r="E2034" s="14"/>
      <c r="F2034" s="15"/>
      <c r="G2034" s="16"/>
      <c r="H2034" s="11"/>
      <c r="I2034" s="7"/>
      <c r="J2034" s="7" t="str">
        <f>IFERROR(LET(_xlpm.v,
VLOOKUP($I2034,'用語辞書'!$A:$B,COLUMN('用語辞書'!B$1),FALSE),
IF(_xlpm.v=0,"",_xlpm.v)
),"")</f>
        <v/>
      </c>
      <c r="K2034" s="17"/>
      <c r="L2034" s="17" t="str">
        <f>IF(OR(COUNTIF('クラス'!$A$1:$A$1262,$B2034)&gt;0,$B2034="",$M2034=""),"",True)</f>
        <v/>
      </c>
      <c r="M2034" s="1" t="str">
        <f t="shared" si="27"/>
        <v>存在しない</v>
      </c>
      <c r="N2034" s="1" t="s">
        <v>29</v>
      </c>
      <c r="O2034" s="1"/>
      <c r="P2034" s="11"/>
      <c r="Q2034" s="11"/>
      <c r="R2034" s="11"/>
      <c r="S2034" s="11"/>
      <c r="T2034" s="1"/>
      <c r="U2034" s="1"/>
      <c r="V2034" s="1"/>
      <c r="W2034" s="1"/>
      <c r="X2034" s="1"/>
      <c r="Y2034" s="1"/>
      <c r="Z2034" s="1"/>
    </row>
    <row r="2035" ht="18.0" hidden="1" customHeight="1" outlineLevel="2">
      <c r="A2035" s="1">
        <v>7.0</v>
      </c>
      <c r="B2035" s="26" t="s">
        <v>2144</v>
      </c>
      <c r="C2035" s="1"/>
      <c r="D2035" s="1"/>
      <c r="E2035" s="29" t="s">
        <v>55</v>
      </c>
      <c r="F2035" s="15"/>
      <c r="G2035" s="16"/>
      <c r="H2035" s="31" t="s">
        <v>2145</v>
      </c>
      <c r="I2035" s="7"/>
      <c r="J2035" s="7" t="str">
        <f>IFERROR(LET(_xlpm.v,
VLOOKUP($I2035,'用語辞書'!$A:$B,COLUMN('用語辞書'!B$1),FALSE),
IF(_xlpm.v=0,"",_xlpm.v)
),"")</f>
        <v/>
      </c>
      <c r="K2035" s="17"/>
      <c r="L2035" s="17" t="b">
        <f>IF(OR(COUNTIF('クラス'!$A$1:$A$1262,$B2035)&gt;0,$B2035="",$M2035=""),"",True)</f>
        <v>1</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8.0</v>
      </c>
      <c r="B2036" s="1"/>
      <c r="C2036" s="1"/>
      <c r="D2036" s="1"/>
      <c r="E2036" s="14"/>
      <c r="F2036" s="15"/>
      <c r="G2036" s="16"/>
      <c r="H2036" s="11"/>
      <c r="I2036" s="7"/>
      <c r="J2036" s="7" t="str">
        <f>IFERROR(LET(_xlpm.v,
VLOOKUP($I2036,'用語辞書'!$A:$B,COLUMN('用語辞書'!B$1),FALSE),
IF(_xlpm.v=0,"",_xlpm.v)
),"")</f>
        <v/>
      </c>
      <c r="K2036" s="17"/>
      <c r="L2036" s="17" t="str">
        <f>IF(OR(COUNTIF('クラス'!$A$1:$A$1262,$B2036)&gt;0,$B2036="",$M2036=""),"",True)</f>
        <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9.0</v>
      </c>
      <c r="B2037" s="26" t="s">
        <v>2146</v>
      </c>
      <c r="C2037" s="26" t="s">
        <v>2147</v>
      </c>
      <c r="D2037" s="26" t="s">
        <v>2142</v>
      </c>
      <c r="E2037" s="29" t="s">
        <v>33</v>
      </c>
      <c r="F2037" s="15"/>
      <c r="G2037" s="30">
        <v>60.0</v>
      </c>
      <c r="H2037" s="22" t="s">
        <v>2148</v>
      </c>
      <c r="I2037" s="7"/>
      <c r="J2037" s="7" t="str">
        <f>IFERROR(LET(_xlpm.v,
VLOOKUP($I2037,'用語辞書'!$A:$B,COLUMN('用語辞書'!B$1),FALSE),
IF(_xlpm.v=0,"",_xlpm.v)
),"")</f>
        <v/>
      </c>
      <c r="K2037" s="17"/>
      <c r="L2037" s="17" t="b">
        <f>IF(OR(COUNTIF('クラス'!$A$1:$A$1262,$B2037)&gt;0,$B2037="",$M2037=""),"",True)</f>
        <v>1</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10.0</v>
      </c>
      <c r="B2038" s="26" t="s">
        <v>2140</v>
      </c>
      <c r="C2038" s="1"/>
      <c r="D2038" s="1"/>
      <c r="E2038" s="29" t="s">
        <v>55</v>
      </c>
      <c r="F2038" s="15"/>
      <c r="G2038" s="16"/>
      <c r="H2038" s="22" t="s">
        <v>2149</v>
      </c>
      <c r="I2038" s="7"/>
      <c r="J2038" s="7" t="str">
        <f>IFERROR(LET(_xlpm.v,
VLOOKUP($I2038,'用語辞書'!$A:$B,COLUMN('用語辞書'!B$1),FALSE),
IF(_xlpm.v=0,"",_xlpm.v)
),"")</f>
        <v/>
      </c>
      <c r="K2038" s="17"/>
      <c r="L2038" s="17" t="str">
        <f>IF(OR(COUNTIF('クラス'!$A$1:$A$1262,$B2038)&gt;0,$B2038="",$M2038=""),"",True)</f>
        <v/>
      </c>
      <c r="M2038" s="1" t="str">
        <f t="shared" si="27"/>
        <v/>
      </c>
      <c r="N2038" s="1" t="s">
        <v>29</v>
      </c>
      <c r="O2038" s="1"/>
      <c r="P2038" s="11"/>
      <c r="Q2038" s="11"/>
      <c r="R2038" s="11"/>
      <c r="S2038" s="11"/>
      <c r="T2038" s="1"/>
      <c r="U2038" s="1"/>
      <c r="V2038" s="1"/>
      <c r="W2038" s="1"/>
      <c r="X2038" s="1"/>
      <c r="Y2038" s="1"/>
      <c r="Z2038" s="1"/>
    </row>
    <row r="2039" ht="18.0" customHeight="1" outlineLevel="1" collapsed="1">
      <c r="A2039" s="1"/>
      <c r="B2039" s="1"/>
      <c r="C2039" s="1"/>
      <c r="D2039" s="1"/>
      <c r="E2039" s="14"/>
      <c r="F2039" s="15"/>
      <c r="G2039" s="16"/>
      <c r="H2039" s="11"/>
      <c r="I2039" s="7"/>
      <c r="J2039" s="7" t="str">
        <f>IFERROR(LET(_xlpm.v,
VLOOKUP($I2039,'用語辞書'!$A:$B,COLUMN('用語辞書'!B$1),FALSE),
IF(_xlpm.v=0,"",_xlpm.v)
),"")</f>
        <v/>
      </c>
      <c r="K2039" s="17"/>
      <c r="L2039" s="17" t="str">
        <f>IF(OR(COUNTIF('クラス'!$A$1:$A$1262,$B2039)&gt;0,$B2039="",$M2039=""),"",True)</f>
        <v/>
      </c>
      <c r="M2039" s="1" t="str">
        <f t="shared" si="27"/>
        <v>存在しない</v>
      </c>
      <c r="N2039" s="1" t="s">
        <v>29</v>
      </c>
      <c r="O2039" s="1"/>
      <c r="P2039" s="11"/>
      <c r="Q2039" s="11"/>
      <c r="R2039" s="11"/>
      <c r="S2039" s="11"/>
      <c r="T2039" s="1"/>
      <c r="U2039" s="1"/>
      <c r="V2039" s="1"/>
      <c r="W2039" s="1"/>
      <c r="X2039" s="1"/>
      <c r="Y2039" s="1"/>
      <c r="Z2039" s="1"/>
    </row>
    <row r="2040" ht="18.0" customHeight="1" outlineLevel="1">
      <c r="A2040" s="1"/>
      <c r="B2040" s="26" t="s">
        <v>2150</v>
      </c>
      <c r="C2040" s="26" t="s">
        <v>2151</v>
      </c>
      <c r="D2040" s="1"/>
      <c r="E2040" s="14"/>
      <c r="F2040" s="15"/>
      <c r="G2040" s="16"/>
      <c r="H2040" s="11"/>
      <c r="I2040" s="7"/>
      <c r="J2040" s="7" t="str">
        <f>IFERROR(LET(_xlpm.v,
VLOOKUP($I2040,'用語辞書'!$A:$B,COLUMN('用語辞書'!B$1),FALSE),
IF(_xlpm.v=0,"",_xlpm.v)
),"")</f>
        <v/>
      </c>
      <c r="K2040" s="17"/>
      <c r="L2040" s="17" t="str">
        <f>IF(OR(COUNTIF('クラス'!$A$1:$A$1262,$B2040)&gt;0,$B2040="",$M2040=""),"",True)</f>
        <v/>
      </c>
      <c r="M2040" s="1" t="str">
        <f t="shared" si="27"/>
        <v>存在しない</v>
      </c>
      <c r="N2040" s="1" t="s">
        <v>29</v>
      </c>
      <c r="O2040" s="1"/>
      <c r="P2040" s="11"/>
      <c r="Q2040" s="11"/>
      <c r="R2040" s="11"/>
      <c r="S2040" s="11"/>
      <c r="T2040" s="1"/>
      <c r="U2040" s="1"/>
      <c r="V2040" s="1"/>
      <c r="W2040" s="1"/>
      <c r="X2040" s="1"/>
      <c r="Y2040" s="1"/>
      <c r="Z2040" s="1"/>
    </row>
    <row r="2041" ht="18.0" hidden="1" customHeight="1" outlineLevel="2">
      <c r="A2041" s="1">
        <v>1.0</v>
      </c>
      <c r="B2041" s="26" t="s">
        <v>2152</v>
      </c>
      <c r="C2041" s="26" t="s">
        <v>2153</v>
      </c>
      <c r="D2041" s="26" t="s">
        <v>2142</v>
      </c>
      <c r="E2041" s="29" t="s">
        <v>33</v>
      </c>
      <c r="F2041" s="15"/>
      <c r="G2041" s="30">
        <v>60.0</v>
      </c>
      <c r="H2041" s="22" t="s">
        <v>2154</v>
      </c>
      <c r="I2041" s="7"/>
      <c r="J2041" s="7" t="str">
        <f>IFERROR(LET(_xlpm.v,
VLOOKUP($I2041,'用語辞書'!$A:$B,COLUMN('用語辞書'!B$1),FALSE),
IF(_xlpm.v=0,"",_xlpm.v)
),"")</f>
        <v/>
      </c>
      <c r="K2041" s="17"/>
      <c r="L2041" s="17" t="b">
        <f>IF(OR(COUNTIF('クラス'!$A$1:$A$1262,$B2041)&gt;0,$B2041="",$M2041=""),"",True)</f>
        <v>1</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2.0</v>
      </c>
      <c r="B2042" s="1"/>
      <c r="C2042" s="1"/>
      <c r="D2042" s="1"/>
      <c r="E2042" s="14"/>
      <c r="F2042" s="15"/>
      <c r="G2042" s="16"/>
      <c r="H2042" s="11"/>
      <c r="I2042" s="7"/>
      <c r="J2042" s="7" t="str">
        <f>IFERROR(LET(_xlpm.v,
VLOOKUP($I2042,'用語辞書'!$A:$B,COLUMN('用語辞書'!B$1),FALSE),
IF(_xlpm.v=0,"",_xlpm.v)
),"")</f>
        <v/>
      </c>
      <c r="K2042" s="17"/>
      <c r="L2042" s="17" t="str">
        <f>IF(OR(COUNTIF('クラス'!$A$1:$A$1262,$B2042)&gt;0,$B2042="",$M2042=""),"",True)</f>
        <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3.0</v>
      </c>
      <c r="B2043" s="26" t="s">
        <v>2114</v>
      </c>
      <c r="C2043" s="1"/>
      <c r="D2043" s="1"/>
      <c r="E2043" s="29" t="s">
        <v>55</v>
      </c>
      <c r="F2043" s="15"/>
      <c r="G2043" s="16"/>
      <c r="H2043" s="22" t="s">
        <v>2115</v>
      </c>
      <c r="I2043" s="7"/>
      <c r="J2043" s="7" t="str">
        <f>IFERROR(LET(_xlpm.v,
VLOOKUP($I2043,'用語辞書'!$A:$B,COLUMN('用語辞書'!B$1),FALSE),
IF(_xlpm.v=0,"",_xlpm.v)
),"")</f>
        <v/>
      </c>
      <c r="K2043" s="17"/>
      <c r="L2043" s="17" t="str">
        <f>IF(OR(COUNTIF('クラス'!$A$1:$A$1262,$B2043)&gt;0,$B2043="",$M2043=""),"",True)</f>
        <v/>
      </c>
      <c r="M2043" s="1" t="str">
        <f t="shared" si="27"/>
        <v/>
      </c>
      <c r="N2043" s="1" t="s">
        <v>29</v>
      </c>
      <c r="O2043" s="1"/>
      <c r="P2043" s="11"/>
      <c r="Q2043" s="11"/>
      <c r="R2043" s="11"/>
      <c r="S2043" s="11"/>
      <c r="T2043" s="1"/>
      <c r="U2043" s="1"/>
      <c r="V2043" s="1"/>
      <c r="W2043" s="1"/>
      <c r="X2043" s="1"/>
      <c r="Y2043" s="1"/>
      <c r="Z2043" s="1"/>
    </row>
    <row r="2044" ht="18.0" hidden="1" customHeight="1" outlineLevel="2">
      <c r="A2044" s="1">
        <v>4.0</v>
      </c>
      <c r="B2044" s="1"/>
      <c r="C2044" s="1"/>
      <c r="D2044" s="1"/>
      <c r="E2044" s="14"/>
      <c r="F2044" s="15"/>
      <c r="G2044" s="16"/>
      <c r="H2044" s="11"/>
      <c r="I2044" s="7"/>
      <c r="J2044" s="7" t="str">
        <f>IFERROR(LET(_xlpm.v,
VLOOKUP($I2044,'用語辞書'!$A:$B,COLUMN('用語辞書'!B$1),FALSE),
IF(_xlpm.v=0,"",_xlpm.v)
),"")</f>
        <v/>
      </c>
      <c r="K2044" s="17"/>
      <c r="L2044" s="17" t="str">
        <f>IF(OR(COUNTIF('クラス'!$A$1:$A$1262,$B2044)&gt;0,$B2044="",$M2044=""),"",True)</f>
        <v/>
      </c>
      <c r="M2044" s="1" t="str">
        <f t="shared" si="27"/>
        <v>存在しない</v>
      </c>
      <c r="N2044" s="1" t="s">
        <v>29</v>
      </c>
      <c r="O2044" s="1"/>
      <c r="P2044" s="11"/>
      <c r="Q2044" s="11"/>
      <c r="R2044" s="11"/>
      <c r="S2044" s="11"/>
      <c r="T2044" s="1"/>
      <c r="U2044" s="1"/>
      <c r="V2044" s="1"/>
      <c r="W2044" s="1"/>
      <c r="X2044" s="1"/>
      <c r="Y2044" s="1"/>
      <c r="Z2044" s="1"/>
    </row>
    <row r="2045" ht="18.0" hidden="1" customHeight="1" outlineLevel="2">
      <c r="A2045" s="1">
        <v>5.0</v>
      </c>
      <c r="B2045" s="26" t="s">
        <v>2116</v>
      </c>
      <c r="C2045" s="26" t="s">
        <v>2117</v>
      </c>
      <c r="D2045" s="26" t="s">
        <v>2102</v>
      </c>
      <c r="E2045" s="29" t="s">
        <v>33</v>
      </c>
      <c r="F2045" s="15"/>
      <c r="G2045" s="30">
        <v>30.0</v>
      </c>
      <c r="H2045" s="22" t="s">
        <v>2118</v>
      </c>
      <c r="I2045" s="7"/>
      <c r="J2045" s="7" t="str">
        <f>IFERROR(LET(_xlpm.v,
VLOOKUP($I2045,'用語辞書'!$A:$B,COLUMN('用語辞書'!B$1),FALSE),
IF(_xlpm.v=0,"",_xlpm.v)
),"")</f>
        <v/>
      </c>
      <c r="K2045" s="17"/>
      <c r="L2045" s="17" t="str">
        <f>IF(OR(COUNTIF('クラス'!$A$1:$A$1262,$B2045)&gt;0,$B2045="",$M2045=""),"",True)</f>
        <v/>
      </c>
      <c r="M2045" s="1" t="str">
        <f t="shared" si="27"/>
        <v/>
      </c>
      <c r="N2045" s="1" t="s">
        <v>29</v>
      </c>
      <c r="O2045" s="1"/>
      <c r="P2045" s="11"/>
      <c r="Q2045" s="11"/>
      <c r="R2045" s="11"/>
      <c r="S2045" s="11"/>
      <c r="T2045" s="1"/>
      <c r="U2045" s="1"/>
      <c r="V2045" s="1"/>
      <c r="W2045" s="1"/>
      <c r="X2045" s="1"/>
      <c r="Y2045" s="1"/>
      <c r="Z2045" s="1"/>
    </row>
    <row r="2046" ht="18.0" hidden="1" customHeight="1" outlineLevel="2">
      <c r="A2046" s="1">
        <v>6.0</v>
      </c>
      <c r="B2046" s="1"/>
      <c r="C2046" s="1"/>
      <c r="D2046" s="1"/>
      <c r="E2046" s="14"/>
      <c r="F2046" s="15"/>
      <c r="G2046" s="16"/>
      <c r="H2046" s="11"/>
      <c r="I2046" s="7"/>
      <c r="J2046" s="7" t="str">
        <f>IFERROR(LET(_xlpm.v,
VLOOKUP($I2046,'用語辞書'!$A:$B,COLUMN('用語辞書'!B$1),FALSE),
IF(_xlpm.v=0,"",_xlpm.v)
),"")</f>
        <v/>
      </c>
      <c r="K2046" s="17"/>
      <c r="L2046" s="17" t="str">
        <f>IF(OR(COUNTIF('クラス'!$A$1:$A$1262,$B2046)&gt;0,$B2046="",$M2046=""),"",True)</f>
        <v/>
      </c>
      <c r="M2046" s="1" t="str">
        <f t="shared" si="27"/>
        <v>存在しない</v>
      </c>
      <c r="N2046" s="1" t="s">
        <v>29</v>
      </c>
      <c r="O2046" s="1"/>
      <c r="P2046" s="11"/>
      <c r="Q2046" s="11"/>
      <c r="R2046" s="11"/>
      <c r="S2046" s="11"/>
      <c r="T2046" s="1"/>
      <c r="U2046" s="1"/>
      <c r="V2046" s="1"/>
      <c r="W2046" s="1"/>
      <c r="X2046" s="1"/>
      <c r="Y2046" s="1"/>
      <c r="Z2046" s="1"/>
    </row>
    <row r="2047" ht="18.0" hidden="1" customHeight="1" outlineLevel="2">
      <c r="A2047" s="1">
        <v>7.0</v>
      </c>
      <c r="B2047" s="26" t="s">
        <v>2155</v>
      </c>
      <c r="C2047" s="1"/>
      <c r="D2047" s="1"/>
      <c r="E2047" s="29" t="s">
        <v>55</v>
      </c>
      <c r="F2047" s="15"/>
      <c r="G2047" s="16"/>
      <c r="H2047" s="31" t="s">
        <v>2156</v>
      </c>
      <c r="I2047" s="7"/>
      <c r="J2047" s="7" t="str">
        <f>IFERROR(LET(_xlpm.v,
VLOOKUP($I2047,'用語辞書'!$A:$B,COLUMN('用語辞書'!B$1),FALSE),
IF(_xlpm.v=0,"",_xlpm.v)
),"")</f>
        <v/>
      </c>
      <c r="K2047" s="17"/>
      <c r="L2047" s="17" t="b">
        <f>IF(OR(COUNTIF('クラス'!$A$1:$A$1262,$B2047)&gt;0,$B2047="",$M2047=""),"",True)</f>
        <v>1</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8.0</v>
      </c>
      <c r="B2048" s="1"/>
      <c r="C2048" s="1"/>
      <c r="D2048" s="1"/>
      <c r="E2048" s="14"/>
      <c r="F2048" s="15"/>
      <c r="G2048" s="16"/>
      <c r="H2048" s="11"/>
      <c r="I2048" s="7"/>
      <c r="J2048" s="7" t="str">
        <f>IFERROR(LET(_xlpm.v,
VLOOKUP($I2048,'用語辞書'!$A:$B,COLUMN('用語辞書'!B$1),FALSE),
IF(_xlpm.v=0,"",_xlpm.v)
),"")</f>
        <v/>
      </c>
      <c r="K2048" s="17"/>
      <c r="L2048" s="17" t="str">
        <f>IF(OR(COUNTIF('クラス'!$A$1:$A$1262,$B2048)&gt;0,$B2048="",$M2048=""),"",True)</f>
        <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9.0</v>
      </c>
      <c r="B2049" s="26" t="s">
        <v>2157</v>
      </c>
      <c r="C2049" s="26" t="s">
        <v>2158</v>
      </c>
      <c r="D2049" s="26" t="s">
        <v>2142</v>
      </c>
      <c r="E2049" s="29" t="s">
        <v>33</v>
      </c>
      <c r="F2049" s="15"/>
      <c r="G2049" s="30">
        <v>60.0</v>
      </c>
      <c r="H2049" s="31" t="s">
        <v>2159</v>
      </c>
      <c r="I2049" s="7"/>
      <c r="J2049" s="7" t="str">
        <f>IFERROR(LET(_xlpm.v,
VLOOKUP($I2049,'用語辞書'!$A:$B,COLUMN('用語辞書'!B$1),FALSE),
IF(_xlpm.v=0,"",_xlpm.v)
),"")</f>
        <v/>
      </c>
      <c r="K2049" s="17"/>
      <c r="L2049" s="17" t="b">
        <f>IF(OR(COUNTIF('クラス'!$A$1:$A$1262,$B2049)&gt;0,$B2049="",$M2049=""),"",True)</f>
        <v>1</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10.0</v>
      </c>
      <c r="B2050" s="26" t="s">
        <v>2151</v>
      </c>
      <c r="C2050" s="1"/>
      <c r="D2050" s="1"/>
      <c r="E2050" s="29" t="s">
        <v>55</v>
      </c>
      <c r="F2050" s="15"/>
      <c r="G2050" s="16"/>
      <c r="H2050" s="22" t="s">
        <v>2160</v>
      </c>
      <c r="I2050" s="7"/>
      <c r="J2050" s="7" t="str">
        <f>IFERROR(LET(_xlpm.v,
VLOOKUP($I2050,'用語辞書'!$A:$B,COLUMN('用語辞書'!B$1),FALSE),
IF(_xlpm.v=0,"",_xlpm.v)
),"")</f>
        <v/>
      </c>
      <c r="K2050" s="17"/>
      <c r="L2050" s="17" t="str">
        <f>IF(OR(COUNTIF('クラス'!$A$1:$A$1262,$B2050)&gt;0,$B2050="",$M2050=""),"",True)</f>
        <v/>
      </c>
      <c r="M2050" s="1" t="str">
        <f t="shared" si="27"/>
        <v/>
      </c>
      <c r="N2050" s="1" t="s">
        <v>29</v>
      </c>
      <c r="O2050" s="1"/>
      <c r="P2050" s="11"/>
      <c r="Q2050" s="11"/>
      <c r="R2050" s="11"/>
      <c r="S2050" s="11"/>
      <c r="T2050" s="1"/>
      <c r="U2050" s="1"/>
      <c r="V2050" s="1"/>
      <c r="W2050" s="1"/>
      <c r="X2050" s="1"/>
      <c r="Y2050" s="1"/>
      <c r="Z2050" s="1"/>
    </row>
    <row r="2051" ht="18.0" customHeight="1" outlineLevel="1" collapsed="1">
      <c r="A2051" s="1"/>
      <c r="B2051" s="1"/>
      <c r="C2051" s="1"/>
      <c r="D2051" s="1"/>
      <c r="E2051" s="14"/>
      <c r="F2051" s="15"/>
      <c r="G2051" s="16"/>
      <c r="H2051" s="11"/>
      <c r="I2051" s="7"/>
      <c r="J2051" s="7" t="str">
        <f>IFERROR(LET(_xlpm.v,
VLOOKUP($I2051,'用語辞書'!$A:$B,COLUMN('用語辞書'!B$1),FALSE),
IF(_xlpm.v=0,"",_xlpm.v)
),"")</f>
        <v/>
      </c>
      <c r="K2051" s="17"/>
      <c r="L2051" s="17" t="str">
        <f>IF(OR(COUNTIF('クラス'!$A$1:$A$1262,$B2051)&gt;0,$B2051="",$M2051=""),"",True)</f>
        <v/>
      </c>
      <c r="M2051" s="1" t="str">
        <f t="shared" si="27"/>
        <v>存在しない</v>
      </c>
      <c r="N2051" s="1" t="s">
        <v>29</v>
      </c>
      <c r="O2051" s="1"/>
      <c r="P2051" s="11"/>
      <c r="Q2051" s="11"/>
      <c r="R2051" s="11"/>
      <c r="S2051" s="11"/>
      <c r="T2051" s="1"/>
      <c r="U2051" s="1"/>
      <c r="V2051" s="1"/>
      <c r="W2051" s="1"/>
      <c r="X2051" s="1"/>
      <c r="Y2051" s="1"/>
      <c r="Z2051" s="1"/>
    </row>
    <row r="2052" ht="18.0" customHeight="1" outlineLevel="1">
      <c r="A2052" s="1"/>
      <c r="B2052" s="26" t="s">
        <v>2161</v>
      </c>
      <c r="C2052" s="26" t="s">
        <v>2162</v>
      </c>
      <c r="D2052" s="1"/>
      <c r="E2052" s="14"/>
      <c r="F2052" s="15"/>
      <c r="G2052" s="16"/>
      <c r="H2052" s="11"/>
      <c r="I2052" s="7"/>
      <c r="J2052" s="7" t="str">
        <f>IFERROR(LET(_xlpm.v,
VLOOKUP($I2052,'用語辞書'!$A:$B,COLUMN('用語辞書'!B$1),FALSE),
IF(_xlpm.v=0,"",_xlpm.v)
),"")</f>
        <v/>
      </c>
      <c r="K2052" s="17"/>
      <c r="L2052" s="17" t="str">
        <f>IF(OR(COUNTIF('クラス'!$A$1:$A$1262,$B2052)&gt;0,$B2052="",$M2052=""),"",True)</f>
        <v/>
      </c>
      <c r="M2052" s="1" t="str">
        <f t="shared" si="27"/>
        <v>存在しない</v>
      </c>
      <c r="N2052" s="1" t="s">
        <v>29</v>
      </c>
      <c r="O2052" s="1"/>
      <c r="P2052" s="11"/>
      <c r="Q2052" s="11"/>
      <c r="R2052" s="11"/>
      <c r="S2052" s="11"/>
      <c r="T2052" s="1"/>
      <c r="U2052" s="1"/>
      <c r="V2052" s="1"/>
      <c r="W2052" s="1"/>
      <c r="X2052" s="1"/>
      <c r="Y2052" s="1"/>
      <c r="Z2052" s="1"/>
    </row>
    <row r="2053" ht="18.0" hidden="1" customHeight="1" outlineLevel="2">
      <c r="A2053" s="1">
        <v>1.0</v>
      </c>
      <c r="B2053" s="26" t="s">
        <v>2163</v>
      </c>
      <c r="C2053" s="1"/>
      <c r="D2053" s="26" t="s">
        <v>2142</v>
      </c>
      <c r="E2053" s="29" t="s">
        <v>33</v>
      </c>
      <c r="F2053" s="15"/>
      <c r="G2053" s="30">
        <v>60.0</v>
      </c>
      <c r="H2053" s="31" t="s">
        <v>2164</v>
      </c>
      <c r="I2053" s="7"/>
      <c r="J2053" s="7" t="str">
        <f>IFERROR(LET(_xlpm.v,
VLOOKUP($I2053,'用語辞書'!$A:$B,COLUMN('用語辞書'!B$1),FALSE),
IF(_xlpm.v=0,"",_xlpm.v)
),"")</f>
        <v/>
      </c>
      <c r="K2053" s="17"/>
      <c r="L2053" s="17" t="b">
        <f>IF(OR(COUNTIF('クラス'!$A$1:$A$1262,$B2053)&gt;0,$B2053="",$M2053=""),"",True)</f>
        <v>1</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2.0</v>
      </c>
      <c r="B2054" s="1"/>
      <c r="C2054" s="1"/>
      <c r="D2054" s="1"/>
      <c r="E2054" s="14"/>
      <c r="F2054" s="15"/>
      <c r="G2054" s="16"/>
      <c r="H2054" s="11"/>
      <c r="I2054" s="7"/>
      <c r="J2054" s="7" t="str">
        <f>IFERROR(LET(_xlpm.v,
VLOOKUP($I2054,'用語辞書'!$A:$B,COLUMN('用語辞書'!B$1),FALSE),
IF(_xlpm.v=0,"",_xlpm.v)
),"")</f>
        <v/>
      </c>
      <c r="K2054" s="17"/>
      <c r="L2054" s="17" t="str">
        <f>IF(OR(COUNTIF('クラス'!$A$1:$A$1262,$B2054)&gt;0,$B2054="",$M2054=""),"",True)</f>
        <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3.0</v>
      </c>
      <c r="B2055" s="26" t="s">
        <v>2165</v>
      </c>
      <c r="C2055" s="1"/>
      <c r="D2055" s="1"/>
      <c r="E2055" s="29" t="s">
        <v>55</v>
      </c>
      <c r="F2055" s="15"/>
      <c r="G2055" s="16"/>
      <c r="H2055" s="31" t="s">
        <v>2166</v>
      </c>
      <c r="I2055" s="7"/>
      <c r="J2055" s="7" t="str">
        <f>IFERROR(LET(_xlpm.v,
VLOOKUP($I2055,'用語辞書'!$A:$B,COLUMN('用語辞書'!B$1),FALSE),
IF(_xlpm.v=0,"",_xlpm.v)
),"")</f>
        <v/>
      </c>
      <c r="K2055" s="17"/>
      <c r="L2055" s="17" t="b">
        <f>IF(OR(COUNTIF('クラス'!$A$1:$A$1262,$B2055)&gt;0,$B2055="",$M2055=""),"",True)</f>
        <v>1</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4.0</v>
      </c>
      <c r="B2056" s="1"/>
      <c r="C2056" s="1"/>
      <c r="D2056" s="1"/>
      <c r="E2056" s="14"/>
      <c r="F2056" s="15"/>
      <c r="G2056" s="16"/>
      <c r="H2056" s="11"/>
      <c r="I2056" s="7"/>
      <c r="J2056" s="7" t="str">
        <f>IFERROR(LET(_xlpm.v,
VLOOKUP($I2056,'用語辞書'!$A:$B,COLUMN('用語辞書'!B$1),FALSE),
IF(_xlpm.v=0,"",_xlpm.v)
),"")</f>
        <v/>
      </c>
      <c r="K2056" s="17"/>
      <c r="L2056" s="17" t="str">
        <f>IF(OR(COUNTIF('クラス'!$A$1:$A$1262,$B2056)&gt;0,$B2056="",$M2056=""),"",True)</f>
        <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5.0</v>
      </c>
      <c r="B2057" s="26" t="s">
        <v>2132</v>
      </c>
      <c r="C2057" s="1"/>
      <c r="D2057" s="26" t="s">
        <v>2102</v>
      </c>
      <c r="E2057" s="29" t="s">
        <v>33</v>
      </c>
      <c r="F2057" s="15"/>
      <c r="G2057" s="30">
        <v>30.0</v>
      </c>
      <c r="H2057" s="22" t="s">
        <v>2133</v>
      </c>
      <c r="I2057" s="7"/>
      <c r="J2057" s="7" t="str">
        <f>IFERROR(LET(_xlpm.v,
VLOOKUP($I2057,'用語辞書'!$A:$B,COLUMN('用語辞書'!B$1),FALSE),
IF(_xlpm.v=0,"",_xlpm.v)
),"")</f>
        <v/>
      </c>
      <c r="K2057" s="17"/>
      <c r="L2057" s="17" t="str">
        <f>IF(OR(COUNTIF('クラス'!$A$1:$A$1262,$B2057)&gt;0,$B2057="",$M2057=""),"",True)</f>
        <v/>
      </c>
      <c r="M2057" s="1" t="str">
        <f t="shared" si="27"/>
        <v/>
      </c>
      <c r="N2057" s="1" t="s">
        <v>29</v>
      </c>
      <c r="O2057" s="1"/>
      <c r="P2057" s="11"/>
      <c r="Q2057" s="11"/>
      <c r="R2057" s="11"/>
      <c r="S2057" s="11"/>
      <c r="T2057" s="1"/>
      <c r="U2057" s="1"/>
      <c r="V2057" s="1"/>
      <c r="W2057" s="1"/>
      <c r="X2057" s="1"/>
      <c r="Y2057" s="1"/>
      <c r="Z2057" s="1"/>
    </row>
    <row r="2058" ht="18.0" hidden="1" customHeight="1" outlineLevel="2">
      <c r="A2058" s="1">
        <v>6.0</v>
      </c>
      <c r="B2058" s="1"/>
      <c r="C2058" s="1"/>
      <c r="D2058" s="1"/>
      <c r="E2058" s="14"/>
      <c r="F2058" s="15"/>
      <c r="G2058" s="16"/>
      <c r="H2058" s="11"/>
      <c r="I2058" s="7"/>
      <c r="J2058" s="7" t="str">
        <f>IFERROR(LET(_xlpm.v,
VLOOKUP($I2058,'用語辞書'!$A:$B,COLUMN('用語辞書'!B$1),FALSE),
IF(_xlpm.v=0,"",_xlpm.v)
),"")</f>
        <v/>
      </c>
      <c r="K2058" s="17"/>
      <c r="L2058" s="17" t="str">
        <f>IF(OR(COUNTIF('クラス'!$A$1:$A$1262,$B2058)&gt;0,$B2058="",$M2058=""),"",True)</f>
        <v/>
      </c>
      <c r="M2058" s="1" t="str">
        <f t="shared" si="27"/>
        <v>存在しない</v>
      </c>
      <c r="N2058" s="1" t="s">
        <v>29</v>
      </c>
      <c r="O2058" s="1"/>
      <c r="P2058" s="11"/>
      <c r="Q2058" s="11"/>
      <c r="R2058" s="11"/>
      <c r="S2058" s="11"/>
      <c r="T2058" s="1"/>
      <c r="U2058" s="1"/>
      <c r="V2058" s="1"/>
      <c r="W2058" s="1"/>
      <c r="X2058" s="1"/>
      <c r="Y2058" s="1"/>
      <c r="Z2058" s="1"/>
    </row>
    <row r="2059" ht="18.0" hidden="1" customHeight="1" outlineLevel="2">
      <c r="A2059" s="1">
        <v>7.0</v>
      </c>
      <c r="B2059" s="26" t="s">
        <v>1854</v>
      </c>
      <c r="C2059" s="26" t="s">
        <v>2134</v>
      </c>
      <c r="D2059" s="1"/>
      <c r="E2059" s="29" t="s">
        <v>33</v>
      </c>
      <c r="F2059" s="15"/>
      <c r="G2059" s="30">
        <v>30.0</v>
      </c>
      <c r="H2059" s="22" t="s">
        <v>2135</v>
      </c>
      <c r="I2059" s="7"/>
      <c r="J2059" s="7" t="str">
        <f>IFERROR(LET(_xlpm.v,
VLOOKUP($I2059,'用語辞書'!$A:$B,COLUMN('用語辞書'!B$1),FALSE),
IF(_xlpm.v=0,"",_xlpm.v)
),"")</f>
        <v/>
      </c>
      <c r="K2059" s="17"/>
      <c r="L2059" s="17" t="str">
        <f>IF(OR(COUNTIF('クラス'!$A$1:$A$1262,$B2059)&gt;0,$B2059="",$M2059=""),"",True)</f>
        <v/>
      </c>
      <c r="M2059" s="1" t="str">
        <f t="shared" si="27"/>
        <v/>
      </c>
      <c r="N2059" s="1" t="s">
        <v>29</v>
      </c>
      <c r="O2059" s="1"/>
      <c r="P2059" s="11"/>
      <c r="Q2059" s="11"/>
      <c r="R2059" s="11"/>
      <c r="S2059" s="11"/>
      <c r="T2059" s="1"/>
      <c r="U2059" s="1"/>
      <c r="V2059" s="1"/>
      <c r="W2059" s="1"/>
      <c r="X2059" s="1"/>
      <c r="Y2059" s="1"/>
      <c r="Z2059" s="1"/>
    </row>
    <row r="2060" ht="18.0" hidden="1" customHeight="1" outlineLevel="2">
      <c r="A2060" s="1">
        <v>8.0</v>
      </c>
      <c r="B2060" s="1"/>
      <c r="C2060" s="1"/>
      <c r="D2060" s="1"/>
      <c r="E2060" s="14"/>
      <c r="F2060" s="15"/>
      <c r="G2060" s="16"/>
      <c r="H2060" s="11"/>
      <c r="I2060" s="7"/>
      <c r="J2060" s="7" t="str">
        <f>IFERROR(LET(_xlpm.v,
VLOOKUP($I2060,'用語辞書'!$A:$B,COLUMN('用語辞書'!B$1),FALSE),
IF(_xlpm.v=0,"",_xlpm.v)
),"")</f>
        <v/>
      </c>
      <c r="K2060" s="17"/>
      <c r="L2060" s="17" t="str">
        <f>IF(OR(COUNTIF('クラス'!$A$1:$A$1262,$B2060)&gt;0,$B2060="",$M2060=""),"",True)</f>
        <v/>
      </c>
      <c r="M2060" s="1" t="str">
        <f t="shared" si="27"/>
        <v>存在しない</v>
      </c>
      <c r="N2060" s="1" t="s">
        <v>29</v>
      </c>
      <c r="O2060" s="1"/>
      <c r="P2060" s="11"/>
      <c r="Q2060" s="11"/>
      <c r="R2060" s="11"/>
      <c r="S2060" s="11"/>
      <c r="T2060" s="1"/>
      <c r="U2060" s="1"/>
      <c r="V2060" s="1"/>
      <c r="W2060" s="1"/>
      <c r="X2060" s="1"/>
      <c r="Y2060" s="1"/>
      <c r="Z2060" s="1"/>
    </row>
    <row r="2061" ht="18.0" hidden="1" customHeight="1" outlineLevel="2">
      <c r="A2061" s="1">
        <v>9.0</v>
      </c>
      <c r="B2061" s="26" t="s">
        <v>2136</v>
      </c>
      <c r="C2061" s="1"/>
      <c r="D2061" s="1"/>
      <c r="E2061" s="29" t="s">
        <v>55</v>
      </c>
      <c r="F2061" s="15"/>
      <c r="G2061" s="16"/>
      <c r="H2061" s="22" t="s">
        <v>2137</v>
      </c>
      <c r="I2061" s="7"/>
      <c r="J2061" s="7" t="str">
        <f>IFERROR(LET(_xlpm.v,
VLOOKUP($I2061,'用語辞書'!$A:$B,COLUMN('用語辞書'!B$1),FALSE),
IF(_xlpm.v=0,"",_xlpm.v)
),"")</f>
        <v/>
      </c>
      <c r="K2061" s="17"/>
      <c r="L2061" s="17" t="str">
        <f>IF(OR(COUNTIF('クラス'!$A$1:$A$1262,$B2061)&gt;0,$B2061="",$M2061=""),"",True)</f>
        <v/>
      </c>
      <c r="M2061" s="1" t="str">
        <f t="shared" si="27"/>
        <v/>
      </c>
      <c r="N2061" s="1" t="s">
        <v>29</v>
      </c>
      <c r="O2061" s="1"/>
      <c r="P2061" s="11"/>
      <c r="Q2061" s="11"/>
      <c r="R2061" s="11"/>
      <c r="S2061" s="11"/>
      <c r="T2061" s="1"/>
      <c r="U2061" s="1"/>
      <c r="V2061" s="1"/>
      <c r="W2061" s="1"/>
      <c r="X2061" s="1"/>
      <c r="Y2061" s="1"/>
      <c r="Z2061" s="1"/>
    </row>
    <row r="2062" ht="18.0" hidden="1" customHeight="1" outlineLevel="2">
      <c r="A2062" s="1">
        <v>10.0</v>
      </c>
      <c r="B2062" s="26" t="s">
        <v>2162</v>
      </c>
      <c r="C2062" s="1"/>
      <c r="D2062" s="1"/>
      <c r="E2062" s="29" t="s">
        <v>55</v>
      </c>
      <c r="F2062" s="15"/>
      <c r="G2062" s="16"/>
      <c r="H2062" s="22" t="s">
        <v>2167</v>
      </c>
      <c r="I2062" s="7"/>
      <c r="J2062" s="7" t="str">
        <f>IFERROR(LET(_xlpm.v,
VLOOKUP($I2062,'用語辞書'!$A:$B,COLUMN('用語辞書'!B$1),FALSE),
IF(_xlpm.v=0,"",_xlpm.v)
),"")</f>
        <v/>
      </c>
      <c r="K2062" s="17"/>
      <c r="L2062" s="17" t="str">
        <f>IF(OR(COUNTIF('クラス'!$A$1:$A$1262,$B2062)&gt;0,$B2062="",$M2062=""),"",True)</f>
        <v/>
      </c>
      <c r="M2062" s="1" t="str">
        <f t="shared" si="27"/>
        <v/>
      </c>
      <c r="N2062" s="1" t="s">
        <v>29</v>
      </c>
      <c r="O2062" s="1"/>
      <c r="P2062" s="11"/>
      <c r="Q2062" s="11"/>
      <c r="R2062" s="11"/>
      <c r="S2062" s="11"/>
      <c r="T2062" s="1"/>
      <c r="U2062" s="1"/>
      <c r="V2062" s="1"/>
      <c r="W2062" s="1"/>
      <c r="X2062" s="1"/>
      <c r="Y2062" s="1"/>
      <c r="Z2062" s="1"/>
    </row>
    <row r="2063" ht="18.0" customHeight="1" outlineLevel="1" collapsed="1">
      <c r="A2063" s="1"/>
      <c r="B2063" s="1"/>
      <c r="C2063" s="1"/>
      <c r="D2063" s="1"/>
      <c r="E2063" s="14"/>
      <c r="F2063" s="15"/>
      <c r="G2063" s="16"/>
      <c r="H2063" s="11"/>
      <c r="I2063" s="7"/>
      <c r="J2063" s="7" t="str">
        <f>IFERROR(LET(_xlpm.v,
VLOOKUP($I2063,'用語辞書'!$A:$B,COLUMN('用語辞書'!B$1),FALSE),
IF(_xlpm.v=0,"",_xlpm.v)
),"")</f>
        <v/>
      </c>
      <c r="K2063" s="17"/>
      <c r="L2063" s="17" t="str">
        <f>IF(OR(COUNTIF('クラス'!$A$1:$A$1262,$B2063)&gt;0,$B2063="",$M2063=""),"",True)</f>
        <v/>
      </c>
      <c r="M2063" s="1" t="str">
        <f t="shared" si="27"/>
        <v>存在しない</v>
      </c>
      <c r="N2063" s="1" t="s">
        <v>29</v>
      </c>
      <c r="O2063" s="1"/>
      <c r="P2063" s="11"/>
      <c r="Q2063" s="11"/>
      <c r="R2063" s="11"/>
      <c r="S2063" s="11"/>
      <c r="T2063" s="1"/>
      <c r="U2063" s="1"/>
      <c r="V2063" s="1"/>
      <c r="W2063" s="1"/>
      <c r="X2063" s="1"/>
      <c r="Y2063" s="1"/>
      <c r="Z2063" s="1"/>
    </row>
    <row r="2064" ht="18.0" customHeight="1" outlineLevel="1">
      <c r="A2064" s="1"/>
      <c r="B2064" s="26" t="s">
        <v>2168</v>
      </c>
      <c r="C2064" s="1"/>
      <c r="D2064" s="1"/>
      <c r="E2064" s="14"/>
      <c r="F2064" s="15"/>
      <c r="G2064" s="16"/>
      <c r="H2064" s="11"/>
      <c r="I2064" s="7"/>
      <c r="J2064" s="7" t="str">
        <f>IFERROR(LET(_xlpm.v,
VLOOKUP($I2064,'用語辞書'!$A:$B,COLUMN('用語辞書'!B$1),FALSE),
IF(_xlpm.v=0,"",_xlpm.v)
),"")</f>
        <v/>
      </c>
      <c r="K2064" s="17"/>
      <c r="L2064" s="17" t="str">
        <f>IF(OR(COUNTIF('クラス'!$A$1:$A$1262,$B2064)&gt;0,$B2064="",$M2064=""),"",True)</f>
        <v/>
      </c>
      <c r="M2064" s="1" t="str">
        <f t="shared" si="27"/>
        <v>存在しない</v>
      </c>
      <c r="N2064" s="1" t="s">
        <v>29</v>
      </c>
      <c r="O2064" s="1"/>
      <c r="P2064" s="11"/>
      <c r="Q2064" s="11"/>
      <c r="R2064" s="11"/>
      <c r="S2064" s="11"/>
      <c r="T2064" s="1"/>
      <c r="U2064" s="1"/>
      <c r="V2064" s="1"/>
      <c r="W2064" s="1"/>
      <c r="X2064" s="1"/>
      <c r="Y2064" s="1"/>
      <c r="Z2064" s="1"/>
    </row>
    <row r="2065" ht="18.0" hidden="1" customHeight="1" outlineLevel="2">
      <c r="A2065" s="1">
        <v>1.0</v>
      </c>
      <c r="B2065" s="26" t="s">
        <v>2169</v>
      </c>
      <c r="C2065" s="26" t="s">
        <v>29</v>
      </c>
      <c r="D2065" s="26" t="s">
        <v>29</v>
      </c>
      <c r="E2065" s="29" t="s">
        <v>33</v>
      </c>
      <c r="F2065" s="34" t="s">
        <v>29</v>
      </c>
      <c r="G2065" s="30">
        <v>60.0</v>
      </c>
      <c r="H2065" s="22" t="s">
        <v>2170</v>
      </c>
      <c r="I2065" s="7"/>
      <c r="J2065" s="7" t="str">
        <f>IFERROR(LET(_xlpm.v,
VLOOKUP($I2065,'用語辞書'!$A:$B,COLUMN('用語辞書'!B$1),FALSE),
IF(_xlpm.v=0,"",_xlpm.v)
),"")</f>
        <v/>
      </c>
      <c r="K2065" s="17"/>
      <c r="L2065" s="17" t="b">
        <f>IF(OR(COUNTIF('クラス'!$A$1:$A$1262,$B2065)&gt;0,$B2065="",$M2065=""),"",True)</f>
        <v>1</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2.0</v>
      </c>
      <c r="B2066" s="26" t="s">
        <v>29</v>
      </c>
      <c r="C2066" s="1"/>
      <c r="D2066" s="1"/>
      <c r="E2066" s="14"/>
      <c r="F2066" s="15"/>
      <c r="G2066" s="16"/>
      <c r="H2066" s="11"/>
      <c r="I2066" s="7"/>
      <c r="J2066" s="7" t="str">
        <f>IFERROR(LET(_xlpm.v,
VLOOKUP($I2066,'用語辞書'!$A:$B,COLUMN('用語辞書'!B$1),FALSE),
IF(_xlpm.v=0,"",_xlpm.v)
),"")</f>
        <v/>
      </c>
      <c r="K2066" s="17"/>
      <c r="L2066" s="17" t="str">
        <f>IF(OR(COUNTIF('クラス'!$A$1:$A$1262,$B2066)&gt;0,$B2066="",$M2066=""),"",True)</f>
        <v/>
      </c>
      <c r="M2066" s="1" t="str">
        <f t="shared" si="27"/>
        <v/>
      </c>
      <c r="N2066" s="1" t="s">
        <v>29</v>
      </c>
      <c r="O2066" s="1"/>
      <c r="P2066" s="11"/>
      <c r="Q2066" s="11"/>
      <c r="R2066" s="11"/>
      <c r="S2066" s="11"/>
      <c r="T2066" s="1"/>
      <c r="U2066" s="1"/>
      <c r="V2066" s="1"/>
      <c r="W2066" s="1"/>
      <c r="X2066" s="1"/>
      <c r="Y2066" s="1"/>
      <c r="Z2066" s="1"/>
    </row>
    <row r="2067" ht="18.0" hidden="1" customHeight="1" outlineLevel="2">
      <c r="A2067" s="1">
        <v>3.0</v>
      </c>
      <c r="B2067" s="26" t="s">
        <v>2171</v>
      </c>
      <c r="C2067" s="26" t="s">
        <v>29</v>
      </c>
      <c r="D2067" s="26" t="s">
        <v>29</v>
      </c>
      <c r="E2067" s="29" t="s">
        <v>55</v>
      </c>
      <c r="F2067" s="34" t="s">
        <v>29</v>
      </c>
      <c r="G2067" s="30" t="s">
        <v>29</v>
      </c>
      <c r="H2067" s="22" t="s">
        <v>2172</v>
      </c>
      <c r="I2067" s="7"/>
      <c r="J2067" s="7" t="str">
        <f>IFERROR(LET(_xlpm.v,
VLOOKUP($I2067,'用語辞書'!$A:$B,COLUMN('用語辞書'!B$1),FALSE),
IF(_xlpm.v=0,"",_xlpm.v)
),"")</f>
        <v/>
      </c>
      <c r="K2067" s="17"/>
      <c r="L2067" s="17" t="b">
        <f>IF(OR(COUNTIF('クラス'!$A$1:$A$1262,$B2067)&gt;0,$B2067="",$M2067=""),"",True)</f>
        <v>1</v>
      </c>
      <c r="M2067" s="1" t="str">
        <f t="shared" si="27"/>
        <v>存在しない</v>
      </c>
      <c r="N2067" s="1" t="s">
        <v>29</v>
      </c>
      <c r="O2067" s="1"/>
      <c r="P2067" s="11"/>
      <c r="Q2067" s="11"/>
      <c r="R2067" s="11"/>
      <c r="S2067" s="11"/>
      <c r="T2067" s="1"/>
      <c r="U2067" s="1"/>
      <c r="V2067" s="1"/>
      <c r="W2067" s="1"/>
      <c r="X2067" s="1"/>
      <c r="Y2067" s="1"/>
      <c r="Z2067" s="1"/>
    </row>
    <row r="2068" ht="18.0" hidden="1" customHeight="1" outlineLevel="2">
      <c r="A2068" s="1">
        <v>4.0</v>
      </c>
      <c r="B2068" s="26" t="s">
        <v>29</v>
      </c>
      <c r="C2068" s="1"/>
      <c r="D2068" s="1"/>
      <c r="E2068" s="14"/>
      <c r="F2068" s="15"/>
      <c r="G2068" s="16"/>
      <c r="H2068" s="11"/>
      <c r="I2068" s="7"/>
      <c r="J2068" s="7" t="str">
        <f>IFERROR(LET(_xlpm.v,
VLOOKUP($I2068,'用語辞書'!$A:$B,COLUMN('用語辞書'!B$1),FALSE),
IF(_xlpm.v=0,"",_xlpm.v)
),"")</f>
        <v/>
      </c>
      <c r="K2068" s="17"/>
      <c r="L2068" s="17" t="str">
        <f>IF(OR(COUNTIF('クラス'!$A$1:$A$1262,$B2068)&gt;0,$B2068="",$M2068=""),"",True)</f>
        <v/>
      </c>
      <c r="M2068" s="1" t="str">
        <f t="shared" si="27"/>
        <v/>
      </c>
      <c r="N2068" s="1" t="s">
        <v>29</v>
      </c>
      <c r="O2068" s="1"/>
      <c r="P2068" s="11"/>
      <c r="Q2068" s="11"/>
      <c r="R2068" s="11"/>
      <c r="S2068" s="11"/>
      <c r="T2068" s="1"/>
      <c r="U2068" s="1"/>
      <c r="V2068" s="1"/>
      <c r="W2068" s="1"/>
      <c r="X2068" s="1"/>
      <c r="Y2068" s="1"/>
      <c r="Z2068" s="1"/>
    </row>
    <row r="2069" ht="18.0" hidden="1" customHeight="1" outlineLevel="2">
      <c r="A2069" s="1">
        <v>5.0</v>
      </c>
      <c r="B2069" s="26" t="s">
        <v>2173</v>
      </c>
      <c r="C2069" s="26" t="s">
        <v>29</v>
      </c>
      <c r="D2069" s="26" t="s">
        <v>29</v>
      </c>
      <c r="E2069" s="29" t="s">
        <v>33</v>
      </c>
      <c r="F2069" s="34" t="s">
        <v>29</v>
      </c>
      <c r="G2069" s="30">
        <v>60.0</v>
      </c>
      <c r="H2069" s="22" t="s">
        <v>2174</v>
      </c>
      <c r="I2069" s="7"/>
      <c r="J2069" s="7" t="str">
        <f>IFERROR(LET(_xlpm.v,
VLOOKUP($I2069,'用語辞書'!$A:$B,COLUMN('用語辞書'!B$1),FALSE),
IF(_xlpm.v=0,"",_xlpm.v)
),"")</f>
        <v/>
      </c>
      <c r="K2069" s="17"/>
      <c r="L2069" s="17" t="b">
        <f>IF(OR(COUNTIF('クラス'!$A$1:$A$1262,$B2069)&gt;0,$B2069="",$M2069=""),"",True)</f>
        <v>1</v>
      </c>
      <c r="M2069" s="1" t="str">
        <f t="shared" si="27"/>
        <v>存在しない</v>
      </c>
      <c r="N2069" s="1" t="s">
        <v>29</v>
      </c>
      <c r="O2069" s="1"/>
      <c r="P2069" s="11"/>
      <c r="Q2069" s="11"/>
      <c r="R2069" s="11"/>
      <c r="S2069" s="11"/>
      <c r="T2069" s="1"/>
      <c r="U2069" s="1"/>
      <c r="V2069" s="1"/>
      <c r="W2069" s="1"/>
      <c r="X2069" s="1"/>
      <c r="Y2069" s="1"/>
      <c r="Z2069" s="1"/>
    </row>
    <row r="2070" ht="18.0" hidden="1" customHeight="1" outlineLevel="2">
      <c r="A2070" s="1">
        <v>6.0</v>
      </c>
      <c r="B2070" s="26" t="s">
        <v>29</v>
      </c>
      <c r="C2070" s="1"/>
      <c r="D2070" s="1"/>
      <c r="E2070" s="14"/>
      <c r="F2070" s="15"/>
      <c r="G2070" s="16"/>
      <c r="H2070" s="11"/>
      <c r="I2070" s="7"/>
      <c r="J2070" s="7" t="str">
        <f>IFERROR(LET(_xlpm.v,
VLOOKUP($I2070,'用語辞書'!$A:$B,COLUMN('用語辞書'!B$1),FALSE),
IF(_xlpm.v=0,"",_xlpm.v)
),"")</f>
        <v/>
      </c>
      <c r="K2070" s="17"/>
      <c r="L2070" s="17" t="str">
        <f>IF(OR(COUNTIF('クラス'!$A$1:$A$1262,$B2070)&gt;0,$B2070="",$M2070=""),"",True)</f>
        <v/>
      </c>
      <c r="M2070" s="1" t="str">
        <f t="shared" si="27"/>
        <v/>
      </c>
      <c r="N2070" s="1" t="s">
        <v>29</v>
      </c>
      <c r="O2070" s="1"/>
      <c r="P2070" s="11"/>
      <c r="Q2070" s="11"/>
      <c r="R2070" s="11"/>
      <c r="S2070" s="11"/>
      <c r="T2070" s="1"/>
      <c r="U2070" s="1"/>
      <c r="V2070" s="1"/>
      <c r="W2070" s="1"/>
      <c r="X2070" s="1"/>
      <c r="Y2070" s="1"/>
      <c r="Z2070" s="1"/>
    </row>
    <row r="2071" ht="18.0" hidden="1" customHeight="1" outlineLevel="2">
      <c r="A2071" s="1">
        <v>7.0</v>
      </c>
      <c r="B2071" s="26" t="s">
        <v>2175</v>
      </c>
      <c r="C2071" s="26" t="s">
        <v>29</v>
      </c>
      <c r="D2071" s="26" t="s">
        <v>29</v>
      </c>
      <c r="E2071" s="29" t="s">
        <v>33</v>
      </c>
      <c r="F2071" s="34" t="s">
        <v>29</v>
      </c>
      <c r="G2071" s="30">
        <v>60.0</v>
      </c>
      <c r="H2071" s="22" t="s">
        <v>2176</v>
      </c>
      <c r="I2071" s="7"/>
      <c r="J2071" s="7" t="str">
        <f>IFERROR(LET(_xlpm.v,
VLOOKUP($I2071,'用語辞書'!$A:$B,COLUMN('用語辞書'!B$1),FALSE),
IF(_xlpm.v=0,"",_xlpm.v)
),"")</f>
        <v/>
      </c>
      <c r="K2071" s="17"/>
      <c r="L2071" s="17" t="b">
        <f>IF(OR(COUNTIF('クラス'!$A$1:$A$1262,$B2071)&gt;0,$B2071="",$M2071=""),"",True)</f>
        <v>1</v>
      </c>
      <c r="M2071" s="1" t="str">
        <f t="shared" si="27"/>
        <v>存在しない</v>
      </c>
      <c r="N2071" s="1" t="s">
        <v>29</v>
      </c>
      <c r="O2071" s="1"/>
      <c r="P2071" s="11"/>
      <c r="Q2071" s="11"/>
      <c r="R2071" s="11"/>
      <c r="S2071" s="11"/>
      <c r="T2071" s="1"/>
      <c r="U2071" s="1"/>
      <c r="V2071" s="1"/>
      <c r="W2071" s="1"/>
      <c r="X2071" s="1"/>
      <c r="Y2071" s="1"/>
      <c r="Z2071" s="1"/>
    </row>
    <row r="2072" ht="18.0" hidden="1" customHeight="1" outlineLevel="2">
      <c r="A2072" s="1">
        <v>8.0</v>
      </c>
      <c r="B2072" s="26" t="s">
        <v>29</v>
      </c>
      <c r="C2072" s="1"/>
      <c r="D2072" s="1"/>
      <c r="E2072" s="14"/>
      <c r="F2072" s="15"/>
      <c r="G2072" s="16"/>
      <c r="H2072" s="11"/>
      <c r="I2072" s="7"/>
      <c r="J2072" s="7" t="str">
        <f>IFERROR(LET(_xlpm.v,
VLOOKUP($I2072,'用語辞書'!$A:$B,COLUMN('用語辞書'!B$1),FALSE),
IF(_xlpm.v=0,"",_xlpm.v)
),"")</f>
        <v/>
      </c>
      <c r="K2072" s="17"/>
      <c r="L2072" s="17" t="str">
        <f>IF(OR(COUNTIF('クラス'!$A$1:$A$1262,$B2072)&gt;0,$B2072="",$M2072=""),"",True)</f>
        <v/>
      </c>
      <c r="M2072" s="1" t="str">
        <f t="shared" si="27"/>
        <v/>
      </c>
      <c r="N2072" s="1" t="s">
        <v>29</v>
      </c>
      <c r="O2072" s="1"/>
      <c r="P2072" s="11"/>
      <c r="Q2072" s="11"/>
      <c r="R2072" s="11"/>
      <c r="S2072" s="11"/>
      <c r="T2072" s="1"/>
      <c r="U2072" s="1"/>
      <c r="V2072" s="1"/>
      <c r="W2072" s="1"/>
      <c r="X2072" s="1"/>
      <c r="Y2072" s="1"/>
      <c r="Z2072" s="1"/>
    </row>
    <row r="2073" ht="18.0" hidden="1" customHeight="1" outlineLevel="2">
      <c r="A2073" s="1">
        <v>9.0</v>
      </c>
      <c r="B2073" s="26" t="s">
        <v>2177</v>
      </c>
      <c r="C2073" s="26" t="s">
        <v>29</v>
      </c>
      <c r="D2073" s="26" t="s">
        <v>29</v>
      </c>
      <c r="E2073" s="29" t="s">
        <v>55</v>
      </c>
      <c r="F2073" s="34" t="s">
        <v>29</v>
      </c>
      <c r="G2073" s="30" t="s">
        <v>29</v>
      </c>
      <c r="H2073" s="31" t="s">
        <v>2178</v>
      </c>
      <c r="I2073" s="7"/>
      <c r="J2073" s="7" t="str">
        <f>IFERROR(LET(_xlpm.v,
VLOOKUP($I2073,'用語辞書'!$A:$B,COLUMN('用語辞書'!B$1),FALSE),
IF(_xlpm.v=0,"",_xlpm.v)
),"")</f>
        <v/>
      </c>
      <c r="K2073" s="17"/>
      <c r="L2073" s="17" t="b">
        <f>IF(OR(COUNTIF('クラス'!$A$1:$A$1262,$B2073)&gt;0,$B2073="",$M2073=""),"",True)</f>
        <v>1</v>
      </c>
      <c r="M2073" s="1" t="str">
        <f t="shared" si="27"/>
        <v>存在しない</v>
      </c>
      <c r="N2073" s="1" t="s">
        <v>29</v>
      </c>
      <c r="O2073" s="1"/>
      <c r="P2073" s="11"/>
      <c r="Q2073" s="11"/>
      <c r="R2073" s="11"/>
      <c r="S2073" s="11"/>
      <c r="T2073" s="1"/>
      <c r="U2073" s="1"/>
      <c r="V2073" s="1"/>
      <c r="W2073" s="1"/>
      <c r="X2073" s="1"/>
      <c r="Y2073" s="1"/>
      <c r="Z2073" s="1"/>
    </row>
    <row r="2074" ht="18.0" hidden="1" customHeight="1" outlineLevel="2">
      <c r="A2074" s="1">
        <v>10.0</v>
      </c>
      <c r="B2074" s="26" t="s">
        <v>2179</v>
      </c>
      <c r="C2074" s="26" t="s">
        <v>29</v>
      </c>
      <c r="D2074" s="26" t="s">
        <v>29</v>
      </c>
      <c r="E2074" s="29" t="s">
        <v>33</v>
      </c>
      <c r="F2074" s="34" t="s">
        <v>29</v>
      </c>
      <c r="G2074" s="30">
        <v>60.0</v>
      </c>
      <c r="H2074" s="22" t="s">
        <v>2180</v>
      </c>
      <c r="I2074" s="7"/>
      <c r="J2074" s="7" t="str">
        <f>IFERROR(LET(_xlpm.v,
VLOOKUP($I2074,'用語辞書'!$A:$B,COLUMN('用語辞書'!B$1),FALSE),
IF(_xlpm.v=0,"",_xlpm.v)
),"")</f>
        <v/>
      </c>
      <c r="K2074" s="17"/>
      <c r="L2074" s="17" t="b">
        <f>IF(OR(COUNTIF('クラス'!$A$1:$A$1262,$B2074)&gt;0,$B2074="",$M2074=""),"",True)</f>
        <v>1</v>
      </c>
      <c r="M2074" s="1" t="str">
        <f t="shared" si="27"/>
        <v>存在しない</v>
      </c>
      <c r="N2074" s="1" t="s">
        <v>29</v>
      </c>
      <c r="O2074" s="1"/>
      <c r="P2074" s="11"/>
      <c r="Q2074" s="11"/>
      <c r="R2074" s="11"/>
      <c r="S2074" s="11"/>
      <c r="T2074" s="1"/>
      <c r="U2074" s="1"/>
      <c r="V2074" s="1"/>
      <c r="W2074" s="1"/>
      <c r="X2074" s="1"/>
      <c r="Y2074" s="1"/>
      <c r="Z2074" s="1"/>
    </row>
    <row r="2075" ht="18.0" customHeight="1" outlineLevel="1" collapsed="1">
      <c r="A2075" s="1"/>
      <c r="B2075" s="1"/>
      <c r="C2075" s="1"/>
      <c r="D2075" s="1"/>
      <c r="E2075" s="14"/>
      <c r="F2075" s="15"/>
      <c r="G2075" s="16"/>
      <c r="H2075" s="11"/>
      <c r="I2075" s="7"/>
      <c r="J2075" s="7" t="str">
        <f>IFERROR(LET(_xlpm.v,
VLOOKUP($I2075,'用語辞書'!$A:$B,COLUMN('用語辞書'!B$1),FALSE),
IF(_xlpm.v=0,"",_xlpm.v)
),"")</f>
        <v/>
      </c>
      <c r="K2075" s="17"/>
      <c r="L2075" s="17" t="str">
        <f>IF(OR(COUNTIF('クラス'!$A$1:$A$1262,$B2075)&gt;0,$B2075="",$M2075=""),"",True)</f>
        <v/>
      </c>
      <c r="M2075" s="1" t="str">
        <f t="shared" si="27"/>
        <v>存在しない</v>
      </c>
      <c r="N2075" s="1" t="s">
        <v>29</v>
      </c>
      <c r="O2075" s="1"/>
      <c r="P2075" s="11"/>
      <c r="Q2075" s="11"/>
      <c r="R2075" s="11"/>
      <c r="S2075" s="11"/>
      <c r="T2075" s="1"/>
      <c r="U2075" s="1"/>
      <c r="V2075" s="1"/>
      <c r="W2075" s="1"/>
      <c r="X2075" s="1"/>
      <c r="Y2075" s="1"/>
      <c r="Z2075" s="1"/>
    </row>
    <row r="2076" ht="18.0" customHeight="1" outlineLevel="1">
      <c r="A2076" s="1"/>
      <c r="B2076" s="26" t="s">
        <v>2181</v>
      </c>
      <c r="C2076" s="1"/>
      <c r="D2076" s="1"/>
      <c r="E2076" s="14"/>
      <c r="F2076" s="15"/>
      <c r="G2076" s="16"/>
      <c r="H2076" s="11"/>
      <c r="I2076" s="7"/>
      <c r="J2076" s="7" t="str">
        <f>IFERROR(LET(_xlpm.v,
VLOOKUP($I2076,'用語辞書'!$A:$B,COLUMN('用語辞書'!B$1),FALSE),
IF(_xlpm.v=0,"",_xlpm.v)
),"")</f>
        <v/>
      </c>
      <c r="K2076" s="17"/>
      <c r="L2076" s="17" t="str">
        <f>IF(OR(COUNTIF('クラス'!$A$1:$A$1262,$B2076)&gt;0,$B2076="",$M2076=""),"",True)</f>
        <v/>
      </c>
      <c r="M2076" s="1" t="str">
        <f t="shared" si="27"/>
        <v>存在しない</v>
      </c>
      <c r="N2076" s="1" t="s">
        <v>29</v>
      </c>
      <c r="O2076" s="1"/>
      <c r="P2076" s="11"/>
      <c r="Q2076" s="11"/>
      <c r="R2076" s="11"/>
      <c r="S2076" s="11"/>
      <c r="T2076" s="1"/>
      <c r="U2076" s="1"/>
      <c r="V2076" s="1"/>
      <c r="W2076" s="1"/>
      <c r="X2076" s="1"/>
      <c r="Y2076" s="1"/>
      <c r="Z2076" s="1"/>
    </row>
    <row r="2077" ht="18.0" hidden="1" customHeight="1" outlineLevel="2">
      <c r="A2077" s="1">
        <v>1.0</v>
      </c>
      <c r="B2077" s="26" t="s">
        <v>2182</v>
      </c>
      <c r="C2077" s="26" t="s">
        <v>29</v>
      </c>
      <c r="D2077" s="26" t="s">
        <v>29</v>
      </c>
      <c r="E2077" s="29" t="s">
        <v>33</v>
      </c>
      <c r="F2077" s="34" t="s">
        <v>29</v>
      </c>
      <c r="G2077" s="30">
        <v>30.0</v>
      </c>
      <c r="H2077" s="22" t="s">
        <v>2183</v>
      </c>
      <c r="I2077" s="7"/>
      <c r="J2077" s="7" t="str">
        <f>IFERROR(LET(_xlpm.v,
VLOOKUP($I2077,'用語辞書'!$A:$B,COLUMN('用語辞書'!B$1),FALSE),
IF(_xlpm.v=0,"",_xlpm.v)
),"")</f>
        <v/>
      </c>
      <c r="K2077" s="17"/>
      <c r="L2077" s="17" t="b">
        <f>IF(OR(COUNTIF('クラス'!$A$1:$A$1262,$B2077)&gt;0,$B2077="",$M2077=""),"",True)</f>
        <v>1</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2.0</v>
      </c>
      <c r="B2078" s="26" t="s">
        <v>29</v>
      </c>
      <c r="C2078" s="1"/>
      <c r="D2078" s="1"/>
      <c r="E2078" s="14"/>
      <c r="F2078" s="15"/>
      <c r="G2078" s="16"/>
      <c r="H2078" s="11"/>
      <c r="I2078" s="7"/>
      <c r="J2078" s="7" t="str">
        <f>IFERROR(LET(_xlpm.v,
VLOOKUP($I2078,'用語辞書'!$A:$B,COLUMN('用語辞書'!B$1),FALSE),
IF(_xlpm.v=0,"",_xlpm.v)
),"")</f>
        <v/>
      </c>
      <c r="K2078" s="17"/>
      <c r="L2078" s="17" t="str">
        <f>IF(OR(COUNTIF('クラス'!$A$1:$A$1262,$B2078)&gt;0,$B2078="",$M2078=""),"",True)</f>
        <v/>
      </c>
      <c r="M2078" s="1" t="str">
        <f t="shared" si="27"/>
        <v/>
      </c>
      <c r="N2078" s="1" t="s">
        <v>29</v>
      </c>
      <c r="O2078" s="1"/>
      <c r="P2078" s="11"/>
      <c r="Q2078" s="11"/>
      <c r="R2078" s="11"/>
      <c r="S2078" s="11"/>
      <c r="T2078" s="1"/>
      <c r="U2078" s="1"/>
      <c r="V2078" s="1"/>
      <c r="W2078" s="1"/>
      <c r="X2078" s="1"/>
      <c r="Y2078" s="1"/>
      <c r="Z2078" s="1"/>
    </row>
    <row r="2079" ht="18.0" hidden="1" customHeight="1" outlineLevel="2">
      <c r="A2079" s="1">
        <v>3.0</v>
      </c>
      <c r="B2079" s="26" t="s">
        <v>2184</v>
      </c>
      <c r="C2079" s="26" t="s">
        <v>29</v>
      </c>
      <c r="D2079" s="26" t="s">
        <v>29</v>
      </c>
      <c r="E2079" s="29" t="s">
        <v>55</v>
      </c>
      <c r="F2079" s="34" t="s">
        <v>29</v>
      </c>
      <c r="G2079" s="30" t="s">
        <v>29</v>
      </c>
      <c r="H2079" s="22" t="s">
        <v>2185</v>
      </c>
      <c r="I2079" s="7"/>
      <c r="J2079" s="7" t="str">
        <f>IFERROR(LET(_xlpm.v,
VLOOKUP($I2079,'用語辞書'!$A:$B,COLUMN('用語辞書'!B$1),FALSE),
IF(_xlpm.v=0,"",_xlpm.v)
),"")</f>
        <v/>
      </c>
      <c r="K2079" s="17"/>
      <c r="L2079" s="17" t="b">
        <f>IF(OR(COUNTIF('クラス'!$A$1:$A$1262,$B2079)&gt;0,$B2079="",$M2079=""),"",True)</f>
        <v>1</v>
      </c>
      <c r="M2079" s="1" t="str">
        <f t="shared" si="27"/>
        <v>存在しない</v>
      </c>
      <c r="N2079" s="1" t="s">
        <v>29</v>
      </c>
      <c r="O2079" s="1"/>
      <c r="P2079" s="11"/>
      <c r="Q2079" s="11"/>
      <c r="R2079" s="11"/>
      <c r="S2079" s="11"/>
      <c r="T2079" s="1"/>
      <c r="U2079" s="1"/>
      <c r="V2079" s="1"/>
      <c r="W2079" s="1"/>
      <c r="X2079" s="1"/>
      <c r="Y2079" s="1"/>
      <c r="Z2079" s="1"/>
    </row>
    <row r="2080" ht="18.0" hidden="1" customHeight="1" outlineLevel="2">
      <c r="A2080" s="1">
        <v>4.0</v>
      </c>
      <c r="B2080" s="26" t="s">
        <v>29</v>
      </c>
      <c r="C2080" s="1"/>
      <c r="D2080" s="1"/>
      <c r="E2080" s="14"/>
      <c r="F2080" s="15"/>
      <c r="G2080" s="16"/>
      <c r="H2080" s="11"/>
      <c r="I2080" s="7"/>
      <c r="J2080" s="7" t="str">
        <f>IFERROR(LET(_xlpm.v,
VLOOKUP($I2080,'用語辞書'!$A:$B,COLUMN('用語辞書'!B$1),FALSE),
IF(_xlpm.v=0,"",_xlpm.v)
),"")</f>
        <v/>
      </c>
      <c r="K2080" s="17"/>
      <c r="L2080" s="17" t="str">
        <f>IF(OR(COUNTIF('クラス'!$A$1:$A$1262,$B2080)&gt;0,$B2080="",$M2080=""),"",True)</f>
        <v/>
      </c>
      <c r="M2080" s="1" t="str">
        <f t="shared" si="27"/>
        <v/>
      </c>
      <c r="N2080" s="1" t="s">
        <v>29</v>
      </c>
      <c r="O2080" s="1"/>
      <c r="P2080" s="11"/>
      <c r="Q2080" s="11"/>
      <c r="R2080" s="11"/>
      <c r="S2080" s="11"/>
      <c r="T2080" s="1"/>
      <c r="U2080" s="1"/>
      <c r="V2080" s="1"/>
      <c r="W2080" s="1"/>
      <c r="X2080" s="1"/>
      <c r="Y2080" s="1"/>
      <c r="Z2080" s="1"/>
    </row>
    <row r="2081" ht="18.0" hidden="1" customHeight="1" outlineLevel="2">
      <c r="A2081" s="1">
        <v>5.0</v>
      </c>
      <c r="B2081" s="26" t="s">
        <v>2186</v>
      </c>
      <c r="C2081" s="26" t="s">
        <v>29</v>
      </c>
      <c r="D2081" s="26" t="s">
        <v>29</v>
      </c>
      <c r="E2081" s="29" t="s">
        <v>33</v>
      </c>
      <c r="F2081" s="34" t="s">
        <v>29</v>
      </c>
      <c r="G2081" s="30">
        <v>40.0</v>
      </c>
      <c r="H2081" s="22" t="s">
        <v>2187</v>
      </c>
      <c r="I2081" s="7"/>
      <c r="J2081" s="7" t="str">
        <f>IFERROR(LET(_xlpm.v,
VLOOKUP($I2081,'用語辞書'!$A:$B,COLUMN('用語辞書'!B$1),FALSE),
IF(_xlpm.v=0,"",_xlpm.v)
),"")</f>
        <v/>
      </c>
      <c r="K2081" s="17"/>
      <c r="L2081" s="17" t="b">
        <f>IF(OR(COUNTIF('クラス'!$A$1:$A$1262,$B2081)&gt;0,$B2081="",$M2081=""),"",True)</f>
        <v>1</v>
      </c>
      <c r="M2081" s="1" t="str">
        <f t="shared" si="27"/>
        <v>存在しない</v>
      </c>
      <c r="N2081" s="1" t="s">
        <v>29</v>
      </c>
      <c r="O2081" s="1"/>
      <c r="P2081" s="11"/>
      <c r="Q2081" s="11"/>
      <c r="R2081" s="11"/>
      <c r="S2081" s="11"/>
      <c r="T2081" s="1"/>
      <c r="U2081" s="1"/>
      <c r="V2081" s="1"/>
      <c r="W2081" s="1"/>
      <c r="X2081" s="1"/>
      <c r="Y2081" s="1"/>
      <c r="Z2081" s="1"/>
    </row>
    <row r="2082" ht="18.0" hidden="1" customHeight="1" outlineLevel="2">
      <c r="A2082" s="1">
        <v>6.0</v>
      </c>
      <c r="B2082" s="26" t="s">
        <v>29</v>
      </c>
      <c r="C2082" s="1"/>
      <c r="D2082" s="1"/>
      <c r="E2082" s="14"/>
      <c r="F2082" s="15"/>
      <c r="G2082" s="16"/>
      <c r="H2082" s="11"/>
      <c r="I2082" s="7"/>
      <c r="J2082" s="7" t="str">
        <f>IFERROR(LET(_xlpm.v,
VLOOKUP($I2082,'用語辞書'!$A:$B,COLUMN('用語辞書'!B$1),FALSE),
IF(_xlpm.v=0,"",_xlpm.v)
),"")</f>
        <v/>
      </c>
      <c r="K2082" s="17"/>
      <c r="L2082" s="17" t="str">
        <f>IF(OR(COUNTIF('クラス'!$A$1:$A$1262,$B2082)&gt;0,$B2082="",$M2082=""),"",True)</f>
        <v/>
      </c>
      <c r="M2082" s="1" t="str">
        <f t="shared" si="27"/>
        <v/>
      </c>
      <c r="N2082" s="1" t="s">
        <v>29</v>
      </c>
      <c r="O2082" s="1"/>
      <c r="P2082" s="11"/>
      <c r="Q2082" s="11"/>
      <c r="R2082" s="11"/>
      <c r="S2082" s="11"/>
      <c r="T2082" s="1"/>
      <c r="U2082" s="1"/>
      <c r="V2082" s="1"/>
      <c r="W2082" s="1"/>
      <c r="X2082" s="1"/>
      <c r="Y2082" s="1"/>
      <c r="Z2082" s="1"/>
    </row>
    <row r="2083" ht="18.0" hidden="1" customHeight="1" outlineLevel="2">
      <c r="A2083" s="1">
        <v>7.0</v>
      </c>
      <c r="B2083" s="26" t="s">
        <v>2188</v>
      </c>
      <c r="C2083" s="26" t="s">
        <v>29</v>
      </c>
      <c r="D2083" s="26" t="s">
        <v>29</v>
      </c>
      <c r="E2083" s="29" t="s">
        <v>33</v>
      </c>
      <c r="F2083" s="34" t="s">
        <v>29</v>
      </c>
      <c r="G2083" s="30">
        <v>30.0</v>
      </c>
      <c r="H2083" s="22" t="s">
        <v>2189</v>
      </c>
      <c r="I2083" s="7"/>
      <c r="J2083" s="7" t="str">
        <f>IFERROR(LET(_xlpm.v,
VLOOKUP($I2083,'用語辞書'!$A:$B,COLUMN('用語辞書'!B$1),FALSE),
IF(_xlpm.v=0,"",_xlpm.v)
),"")</f>
        <v/>
      </c>
      <c r="K2083" s="17"/>
      <c r="L2083" s="17" t="b">
        <f>IF(OR(COUNTIF('クラス'!$A$1:$A$1262,$B2083)&gt;0,$B2083="",$M2083=""),"",True)</f>
        <v>1</v>
      </c>
      <c r="M2083" s="1" t="str">
        <f t="shared" si="27"/>
        <v>存在しない</v>
      </c>
      <c r="N2083" s="1" t="s">
        <v>29</v>
      </c>
      <c r="O2083" s="1"/>
      <c r="P2083" s="11"/>
      <c r="Q2083" s="11"/>
      <c r="R2083" s="11"/>
      <c r="S2083" s="11"/>
      <c r="T2083" s="1"/>
      <c r="U2083" s="1"/>
      <c r="V2083" s="1"/>
      <c r="W2083" s="1"/>
      <c r="X2083" s="1"/>
      <c r="Y2083" s="1"/>
      <c r="Z2083" s="1"/>
    </row>
    <row r="2084" ht="18.0" hidden="1" customHeight="1" outlineLevel="2">
      <c r="A2084" s="1">
        <v>8.0</v>
      </c>
      <c r="B2084" s="26" t="s">
        <v>29</v>
      </c>
      <c r="C2084" s="1"/>
      <c r="D2084" s="1"/>
      <c r="E2084" s="14"/>
      <c r="F2084" s="15"/>
      <c r="G2084" s="16"/>
      <c r="H2084" s="11"/>
      <c r="I2084" s="7"/>
      <c r="J2084" s="7" t="str">
        <f>IFERROR(LET(_xlpm.v,
VLOOKUP($I2084,'用語辞書'!$A:$B,COLUMN('用語辞書'!B$1),FALSE),
IF(_xlpm.v=0,"",_xlpm.v)
),"")</f>
        <v/>
      </c>
      <c r="K2084" s="17"/>
      <c r="L2084" s="17" t="str">
        <f>IF(OR(COUNTIF('クラス'!$A$1:$A$1262,$B2084)&gt;0,$B2084="",$M2084=""),"",True)</f>
        <v/>
      </c>
      <c r="M2084" s="1" t="str">
        <f t="shared" si="27"/>
        <v/>
      </c>
      <c r="N2084" s="1" t="s">
        <v>29</v>
      </c>
      <c r="O2084" s="1"/>
      <c r="P2084" s="11"/>
      <c r="Q2084" s="11"/>
      <c r="R2084" s="11"/>
      <c r="S2084" s="11"/>
      <c r="T2084" s="1"/>
      <c r="U2084" s="1"/>
      <c r="V2084" s="1"/>
      <c r="W2084" s="1"/>
      <c r="X2084" s="1"/>
      <c r="Y2084" s="1"/>
      <c r="Z2084" s="1"/>
    </row>
    <row r="2085" ht="18.0" hidden="1" customHeight="1" outlineLevel="2">
      <c r="A2085" s="1">
        <v>9.0</v>
      </c>
      <c r="B2085" s="26" t="s">
        <v>2190</v>
      </c>
      <c r="C2085" s="26" t="s">
        <v>29</v>
      </c>
      <c r="D2085" s="26" t="s">
        <v>29</v>
      </c>
      <c r="E2085" s="29" t="s">
        <v>55</v>
      </c>
      <c r="F2085" s="34" t="s">
        <v>29</v>
      </c>
      <c r="G2085" s="30" t="s">
        <v>29</v>
      </c>
      <c r="H2085" s="22" t="s">
        <v>2191</v>
      </c>
      <c r="I2085" s="7"/>
      <c r="J2085" s="7" t="str">
        <f>IFERROR(LET(_xlpm.v,
VLOOKUP($I2085,'用語辞書'!$A:$B,COLUMN('用語辞書'!B$1),FALSE),
IF(_xlpm.v=0,"",_xlpm.v)
),"")</f>
        <v/>
      </c>
      <c r="K2085" s="17"/>
      <c r="L2085" s="17" t="b">
        <f>IF(OR(COUNTIF('クラス'!$A$1:$A$1262,$B2085)&gt;0,$B2085="",$M2085=""),"",True)</f>
        <v>1</v>
      </c>
      <c r="M2085" s="1" t="str">
        <f t="shared" si="27"/>
        <v>存在しない</v>
      </c>
      <c r="N2085" s="1" t="s">
        <v>29</v>
      </c>
      <c r="O2085" s="1"/>
      <c r="P2085" s="11"/>
      <c r="Q2085" s="11"/>
      <c r="R2085" s="11"/>
      <c r="S2085" s="11"/>
      <c r="T2085" s="1"/>
      <c r="U2085" s="1"/>
      <c r="V2085" s="1"/>
      <c r="W2085" s="1"/>
      <c r="X2085" s="1"/>
      <c r="Y2085" s="1"/>
      <c r="Z2085" s="1"/>
    </row>
    <row r="2086" ht="18.0" hidden="1" customHeight="1" outlineLevel="2">
      <c r="A2086" s="1">
        <v>10.0</v>
      </c>
      <c r="B2086" s="26" t="s">
        <v>2192</v>
      </c>
      <c r="C2086" s="26" t="s">
        <v>29</v>
      </c>
      <c r="D2086" s="26" t="s">
        <v>29</v>
      </c>
      <c r="E2086" s="29" t="s">
        <v>33</v>
      </c>
      <c r="F2086" s="34" t="s">
        <v>29</v>
      </c>
      <c r="G2086" s="30">
        <v>60.0</v>
      </c>
      <c r="H2086" s="22" t="s">
        <v>2193</v>
      </c>
      <c r="I2086" s="7"/>
      <c r="J2086" s="7" t="str">
        <f>IFERROR(LET(_xlpm.v,
VLOOKUP($I2086,'用語辞書'!$A:$B,COLUMN('用語辞書'!B$1),FALSE),
IF(_xlpm.v=0,"",_xlpm.v)
),"")</f>
        <v/>
      </c>
      <c r="K2086" s="17"/>
      <c r="L2086" s="17" t="b">
        <f>IF(OR(COUNTIF('クラス'!$A$1:$A$1262,$B2086)&gt;0,$B2086="",$M2086=""),"",True)</f>
        <v>1</v>
      </c>
      <c r="M2086" s="1" t="str">
        <f t="shared" si="27"/>
        <v>存在しない</v>
      </c>
      <c r="N2086" s="1" t="s">
        <v>29</v>
      </c>
      <c r="O2086" s="1"/>
      <c r="P2086" s="11"/>
      <c r="Q2086" s="11"/>
      <c r="R2086" s="11"/>
      <c r="S2086" s="11"/>
      <c r="T2086" s="1"/>
      <c r="U2086" s="1"/>
      <c r="V2086" s="1"/>
      <c r="W2086" s="1"/>
      <c r="X2086" s="1"/>
      <c r="Y2086" s="1"/>
      <c r="Z2086" s="1"/>
    </row>
    <row r="2087" ht="18.0" customHeight="1">
      <c r="A2087" s="1"/>
      <c r="B2087" s="1"/>
      <c r="C2087" s="26" t="s">
        <v>2194</v>
      </c>
      <c r="D2087" s="1"/>
      <c r="E2087" s="14"/>
      <c r="F2087" s="15"/>
      <c r="G2087" s="16"/>
      <c r="H2087" s="11"/>
      <c r="I2087" s="7"/>
      <c r="J2087" s="7" t="str">
        <f>IFERROR(LET(_xlpm.v,
VLOOKUP($I2087,'用語辞書'!$A:$B,COLUMN('用語辞書'!B$1),FALSE),
IF(_xlpm.v=0,"",_xlpm.v)
),"")</f>
        <v/>
      </c>
      <c r="K2087" s="17"/>
      <c r="L2087" s="17" t="str">
        <f>IF(OR(COUNTIF('クラス'!$A$1:$A$1262,$B2087)&gt;0,$B2087="",$M2087=""),"",True)</f>
        <v/>
      </c>
      <c r="M2087" s="1" t="str">
        <f t="shared" si="27"/>
        <v>存在しない</v>
      </c>
      <c r="N2087" s="1" t="s">
        <v>29</v>
      </c>
      <c r="O2087" s="1"/>
      <c r="P2087" s="11"/>
      <c r="Q2087" s="11"/>
      <c r="R2087" s="11"/>
      <c r="S2087" s="11"/>
      <c r="T2087" s="1"/>
      <c r="U2087" s="1"/>
      <c r="V2087" s="1"/>
      <c r="W2087" s="1"/>
      <c r="X2087" s="1"/>
      <c r="Y2087" s="1"/>
      <c r="Z2087" s="1"/>
    </row>
    <row r="2088" ht="18.0" customHeight="1" outlineLevel="1">
      <c r="A2088" s="1"/>
      <c r="B2088" s="26" t="s">
        <v>2195</v>
      </c>
      <c r="C2088" s="1"/>
      <c r="D2088" s="1"/>
      <c r="E2088" s="14"/>
      <c r="F2088" s="15"/>
      <c r="G2088" s="16"/>
      <c r="H2088" s="11"/>
      <c r="I2088" s="7"/>
      <c r="J2088" s="7" t="str">
        <f>IFERROR(LET(_xlpm.v,
VLOOKUP($I2088,'用語辞書'!$A:$B,COLUMN('用語辞書'!B$1),FALSE),
IF(_xlpm.v=0,"",_xlpm.v)
),"")</f>
        <v/>
      </c>
      <c r="K2088" s="17"/>
      <c r="L2088" s="17" t="str">
        <f>IF(OR(COUNTIF('クラス'!$A$1:$A$1262,$B2088)&gt;0,$B2088="",$M2088=""),"",True)</f>
        <v/>
      </c>
      <c r="M2088" s="1" t="str">
        <f t="shared" si="27"/>
        <v>存在しない</v>
      </c>
      <c r="N2088" s="1" t="s">
        <v>29</v>
      </c>
      <c r="O2088" s="1"/>
      <c r="P2088" s="11"/>
      <c r="Q2088" s="11"/>
      <c r="R2088" s="11"/>
      <c r="S2088" s="11"/>
      <c r="T2088" s="1"/>
      <c r="U2088" s="1"/>
      <c r="V2088" s="1"/>
      <c r="W2088" s="1"/>
      <c r="X2088" s="1"/>
      <c r="Y2088" s="1"/>
      <c r="Z2088" s="1"/>
    </row>
    <row r="2089" ht="18.0" hidden="1" customHeight="1" outlineLevel="2">
      <c r="A2089" s="1">
        <v>1.0</v>
      </c>
      <c r="B2089" s="26" t="s">
        <v>2196</v>
      </c>
      <c r="C2089" s="1"/>
      <c r="D2089" s="26" t="s">
        <v>284</v>
      </c>
      <c r="E2089" s="29" t="s">
        <v>33</v>
      </c>
      <c r="F2089" s="15"/>
      <c r="G2089" s="30">
        <v>60.0</v>
      </c>
      <c r="H2089" s="22" t="s">
        <v>2197</v>
      </c>
      <c r="I2089" s="7"/>
      <c r="J2089" s="7" t="str">
        <f>IFERROR(LET(_xlpm.v,
VLOOKUP($I2089,'用語辞書'!$A:$B,COLUMN('用語辞書'!B$1),FALSE),
IF(_xlpm.v=0,"",_xlpm.v)
),"")</f>
        <v/>
      </c>
      <c r="K2089" s="17"/>
      <c r="L2089" s="17" t="b">
        <f>IF(OR(COUNTIF('クラス'!$A$1:$A$1262,$B2089)&gt;0,$B2089="",$M2089=""),"",True)</f>
        <v>1</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2.0</v>
      </c>
      <c r="B2090" s="1"/>
      <c r="C2090" s="1"/>
      <c r="D2090" s="1"/>
      <c r="E2090" s="14"/>
      <c r="F2090" s="15"/>
      <c r="G2090" s="16"/>
      <c r="H2090" s="11"/>
      <c r="I2090" s="7"/>
      <c r="J2090" s="7" t="str">
        <f>IFERROR(LET(_xlpm.v,
VLOOKUP($I2090,'用語辞書'!$A:$B,COLUMN('用語辞書'!B$1),FALSE),
IF(_xlpm.v=0,"",_xlpm.v)
),"")</f>
        <v/>
      </c>
      <c r="K2090" s="17"/>
      <c r="L2090" s="17" t="str">
        <f>IF(OR(COUNTIF('クラス'!$A$1:$A$1262,$B2090)&gt;0,$B2090="",$M2090=""),"",True)</f>
        <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3.0</v>
      </c>
      <c r="B2091" s="26" t="s">
        <v>282</v>
      </c>
      <c r="C2091" s="1"/>
      <c r="D2091" s="1"/>
      <c r="E2091" s="14"/>
      <c r="F2091" s="15"/>
      <c r="G2091" s="16"/>
      <c r="H2091" s="11"/>
      <c r="I2091" s="7"/>
      <c r="J2091" s="7" t="str">
        <f>IFERROR(LET(_xlpm.v,
VLOOKUP($I2091,'用語辞書'!$A:$B,COLUMN('用語辞書'!B$1),FALSE),
IF(_xlpm.v=0,"",_xlpm.v)
),"")</f>
        <v/>
      </c>
      <c r="K2091" s="17"/>
      <c r="L2091" s="17" t="str">
        <f>IF(OR(COUNTIF('クラス'!$A$1:$A$1262,$B2091)&gt;0,$B2091="",$M2091=""),"",True)</f>
        <v/>
      </c>
      <c r="M2091" s="1" t="str">
        <f t="shared" si="27"/>
        <v/>
      </c>
      <c r="N2091" s="1" t="s">
        <v>29</v>
      </c>
      <c r="O2091" s="1"/>
      <c r="P2091" s="11"/>
      <c r="Q2091" s="11"/>
      <c r="R2091" s="11"/>
      <c r="S2091" s="11"/>
      <c r="T2091" s="1"/>
      <c r="U2091" s="1"/>
      <c r="V2091" s="1"/>
      <c r="W2091" s="1"/>
      <c r="X2091" s="1"/>
      <c r="Y2091" s="1"/>
      <c r="Z2091" s="1"/>
    </row>
    <row r="2092" ht="18.0" hidden="1" customHeight="1" outlineLevel="2">
      <c r="A2092" s="1">
        <v>4.0</v>
      </c>
      <c r="B2092" s="1"/>
      <c r="C2092" s="1"/>
      <c r="D2092" s="1"/>
      <c r="E2092" s="14"/>
      <c r="F2092" s="15"/>
      <c r="G2092" s="16"/>
      <c r="H2092" s="11"/>
      <c r="I2092" s="7"/>
      <c r="J2092" s="7" t="str">
        <f>IFERROR(LET(_xlpm.v,
VLOOKUP($I2092,'用語辞書'!$A:$B,COLUMN('用語辞書'!B$1),FALSE),
IF(_xlpm.v=0,"",_xlpm.v)
),"")</f>
        <v/>
      </c>
      <c r="K2092" s="17"/>
      <c r="L2092" s="17" t="str">
        <f>IF(OR(COUNTIF('クラス'!$A$1:$A$1262,$B2092)&gt;0,$B2092="",$M2092=""),"",True)</f>
        <v/>
      </c>
      <c r="M2092" s="1" t="str">
        <f t="shared" si="27"/>
        <v>存在しない</v>
      </c>
      <c r="N2092" s="1" t="s">
        <v>29</v>
      </c>
      <c r="O2092" s="1"/>
      <c r="P2092" s="11"/>
      <c r="Q2092" s="11"/>
      <c r="R2092" s="11"/>
      <c r="S2092" s="11"/>
      <c r="T2092" s="1"/>
      <c r="U2092" s="1"/>
      <c r="V2092" s="1"/>
      <c r="W2092" s="1"/>
      <c r="X2092" s="1"/>
      <c r="Y2092" s="1"/>
      <c r="Z2092" s="1"/>
    </row>
    <row r="2093" ht="18.0" hidden="1" customHeight="1" outlineLevel="2">
      <c r="A2093" s="1">
        <v>5.0</v>
      </c>
      <c r="B2093" s="26" t="s">
        <v>2198</v>
      </c>
      <c r="C2093" s="1"/>
      <c r="D2093" s="1"/>
      <c r="E2093" s="14"/>
      <c r="F2093" s="15"/>
      <c r="G2093" s="16"/>
      <c r="H2093" s="11"/>
      <c r="I2093" s="7"/>
      <c r="J2093" s="7" t="str">
        <f>IFERROR(LET(_xlpm.v,
VLOOKUP($I2093,'用語辞書'!$A:$B,COLUMN('用語辞書'!B$1),FALSE),
IF(_xlpm.v=0,"",_xlpm.v)
),"")</f>
        <v/>
      </c>
      <c r="K2093" s="17"/>
      <c r="L2093" s="17" t="str">
        <f>IF(OR(COUNTIF('クラス'!$A$1:$A$1262,$B2093)&gt;0,$B2093="",$M2093=""),"",True)</f>
        <v/>
      </c>
      <c r="M2093" s="1" t="str">
        <f t="shared" si="27"/>
        <v/>
      </c>
      <c r="N2093" s="1" t="s">
        <v>29</v>
      </c>
      <c r="O2093" s="1"/>
      <c r="P2093" s="11"/>
      <c r="Q2093" s="11"/>
      <c r="R2093" s="11"/>
      <c r="S2093" s="11"/>
      <c r="T2093" s="1"/>
      <c r="U2093" s="1"/>
      <c r="V2093" s="1"/>
      <c r="W2093" s="1"/>
      <c r="X2093" s="1"/>
      <c r="Y2093" s="1"/>
      <c r="Z2093" s="1"/>
    </row>
    <row r="2094" ht="18.0" hidden="1" customHeight="1" outlineLevel="2">
      <c r="A2094" s="1">
        <v>6.0</v>
      </c>
      <c r="B2094" s="1"/>
      <c r="C2094" s="1"/>
      <c r="D2094" s="1"/>
      <c r="E2094" s="14"/>
      <c r="F2094" s="15"/>
      <c r="G2094" s="16"/>
      <c r="H2094" s="11"/>
      <c r="I2094" s="7"/>
      <c r="J2094" s="7" t="str">
        <f>IFERROR(LET(_xlpm.v,
VLOOKUP($I2094,'用語辞書'!$A:$B,COLUMN('用語辞書'!B$1),FALSE),
IF(_xlpm.v=0,"",_xlpm.v)
),"")</f>
        <v/>
      </c>
      <c r="K2094" s="17"/>
      <c r="L2094" s="17" t="str">
        <f>IF(OR(COUNTIF('クラス'!$A$1:$A$1262,$B2094)&gt;0,$B2094="",$M2094=""),"",True)</f>
        <v/>
      </c>
      <c r="M2094" s="1" t="str">
        <f t="shared" si="27"/>
        <v>存在しない</v>
      </c>
      <c r="N2094" s="1" t="s">
        <v>29</v>
      </c>
      <c r="O2094" s="1"/>
      <c r="P2094" s="11"/>
      <c r="Q2094" s="11"/>
      <c r="R2094" s="11"/>
      <c r="S2094" s="11"/>
      <c r="T2094" s="1"/>
      <c r="U2094" s="1"/>
      <c r="V2094" s="1"/>
      <c r="W2094" s="1"/>
      <c r="X2094" s="1"/>
      <c r="Y2094" s="1"/>
      <c r="Z2094" s="1"/>
    </row>
    <row r="2095" ht="18.0" hidden="1" customHeight="1" outlineLevel="2">
      <c r="A2095" s="1">
        <v>7.0</v>
      </c>
      <c r="B2095" s="26" t="s">
        <v>297</v>
      </c>
      <c r="C2095" s="1"/>
      <c r="D2095" s="1"/>
      <c r="E2095" s="14"/>
      <c r="F2095" s="15"/>
      <c r="G2095" s="16"/>
      <c r="H2095" s="11"/>
      <c r="I2095" s="7"/>
      <c r="J2095" s="7" t="str">
        <f>IFERROR(LET(_xlpm.v,
VLOOKUP($I2095,'用語辞書'!$A:$B,COLUMN('用語辞書'!B$1),FALSE),
IF(_xlpm.v=0,"",_xlpm.v)
),"")</f>
        <v/>
      </c>
      <c r="K2095" s="17"/>
      <c r="L2095" s="17" t="str">
        <f>IF(OR(COUNTIF('クラス'!$A$1:$A$1262,$B2095)&gt;0,$B2095="",$M2095=""),"",True)</f>
        <v/>
      </c>
      <c r="M2095" s="1" t="str">
        <f t="shared" si="27"/>
        <v/>
      </c>
      <c r="N2095" s="1" t="s">
        <v>29</v>
      </c>
      <c r="O2095" s="1"/>
      <c r="P2095" s="11"/>
      <c r="Q2095" s="11"/>
      <c r="R2095" s="11"/>
      <c r="S2095" s="11"/>
      <c r="T2095" s="1"/>
      <c r="U2095" s="1"/>
      <c r="V2095" s="1"/>
      <c r="W2095" s="1"/>
      <c r="X2095" s="1"/>
      <c r="Y2095" s="1"/>
      <c r="Z2095" s="1"/>
    </row>
    <row r="2096" ht="18.0" hidden="1" customHeight="1" outlineLevel="2">
      <c r="A2096" s="1">
        <v>8.0</v>
      </c>
      <c r="B2096" s="1"/>
      <c r="C2096" s="1"/>
      <c r="D2096" s="1"/>
      <c r="E2096" s="14"/>
      <c r="F2096" s="15"/>
      <c r="G2096" s="16"/>
      <c r="H2096" s="11"/>
      <c r="I2096" s="7"/>
      <c r="J2096" s="7" t="str">
        <f>IFERROR(LET(_xlpm.v,
VLOOKUP($I2096,'用語辞書'!$A:$B,COLUMN('用語辞書'!B$1),FALSE),
IF(_xlpm.v=0,"",_xlpm.v)
),"")</f>
        <v/>
      </c>
      <c r="K2096" s="17"/>
      <c r="L2096" s="17" t="str">
        <f>IF(OR(COUNTIF('クラス'!$A$1:$A$1262,$B2096)&gt;0,$B2096="",$M2096=""),"",True)</f>
        <v/>
      </c>
      <c r="M2096" s="1" t="str">
        <f t="shared" si="27"/>
        <v>存在しない</v>
      </c>
      <c r="N2096" s="1" t="s">
        <v>29</v>
      </c>
      <c r="O2096" s="1"/>
      <c r="P2096" s="11"/>
      <c r="Q2096" s="11"/>
      <c r="R2096" s="11"/>
      <c r="S2096" s="11"/>
      <c r="T2096" s="1"/>
      <c r="U2096" s="1"/>
      <c r="V2096" s="1"/>
      <c r="W2096" s="1"/>
      <c r="X2096" s="1"/>
      <c r="Y2096" s="1"/>
      <c r="Z2096" s="1"/>
    </row>
    <row r="2097" ht="18.0" hidden="1" customHeight="1" outlineLevel="2">
      <c r="A2097" s="1">
        <v>9.0</v>
      </c>
      <c r="B2097" s="26" t="s">
        <v>2199</v>
      </c>
      <c r="C2097" s="1"/>
      <c r="D2097" s="1"/>
      <c r="E2097" s="14"/>
      <c r="F2097" s="15"/>
      <c r="G2097" s="16"/>
      <c r="H2097" s="11"/>
      <c r="I2097" s="7"/>
      <c r="J2097" s="7" t="str">
        <f>IFERROR(LET(_xlpm.v,
VLOOKUP($I2097,'用語辞書'!$A:$B,COLUMN('用語辞書'!B$1),FALSE),
IF(_xlpm.v=0,"",_xlpm.v)
),"")</f>
        <v/>
      </c>
      <c r="K2097" s="17"/>
      <c r="L2097" s="17" t="str">
        <f>IF(OR(COUNTIF('クラス'!$A$1:$A$1262,$B2097)&gt;0,$B2097="",$M2097=""),"",True)</f>
        <v/>
      </c>
      <c r="M2097" s="1" t="str">
        <f t="shared" si="27"/>
        <v/>
      </c>
      <c r="N2097" s="1" t="s">
        <v>29</v>
      </c>
      <c r="O2097" s="1"/>
      <c r="P2097" s="11"/>
      <c r="Q2097" s="11"/>
      <c r="R2097" s="11"/>
      <c r="S2097" s="11"/>
      <c r="T2097" s="1"/>
      <c r="U2097" s="1"/>
      <c r="V2097" s="1"/>
      <c r="W2097" s="1"/>
      <c r="X2097" s="1"/>
      <c r="Y2097" s="1"/>
      <c r="Z2097" s="1"/>
    </row>
    <row r="2098" ht="18.0" hidden="1" customHeight="1" outlineLevel="2">
      <c r="A2098" s="1">
        <v>10.0</v>
      </c>
      <c r="B2098" s="26" t="s">
        <v>2200</v>
      </c>
      <c r="C2098" s="1"/>
      <c r="D2098" s="26" t="s">
        <v>284</v>
      </c>
      <c r="E2098" s="29" t="s">
        <v>33</v>
      </c>
      <c r="F2098" s="15"/>
      <c r="G2098" s="30">
        <v>60.0</v>
      </c>
      <c r="H2098" s="22" t="s">
        <v>2201</v>
      </c>
      <c r="I2098" s="7"/>
      <c r="J2098" s="7" t="str">
        <f>IFERROR(LET(_xlpm.v,
VLOOKUP($I2098,'用語辞書'!$A:$B,COLUMN('用語辞書'!B$1),FALSE),
IF(_xlpm.v=0,"",_xlpm.v)
),"")</f>
        <v/>
      </c>
      <c r="K2098" s="17"/>
      <c r="L2098" s="17" t="b">
        <f>IF(OR(COUNTIF('クラス'!$A$1:$A$1262,$B2098)&gt;0,$B2098="",$M2098=""),"",True)</f>
        <v>1</v>
      </c>
      <c r="M2098" s="1" t="str">
        <f t="shared" si="27"/>
        <v>存在しない</v>
      </c>
      <c r="N2098" s="1" t="s">
        <v>29</v>
      </c>
      <c r="O2098" s="1"/>
      <c r="P2098" s="11"/>
      <c r="Q2098" s="11"/>
      <c r="R2098" s="11"/>
      <c r="S2098" s="11"/>
      <c r="T2098" s="1"/>
      <c r="U2098" s="1"/>
      <c r="V2098" s="1"/>
      <c r="W2098" s="1"/>
      <c r="X2098" s="1"/>
      <c r="Y2098" s="1"/>
      <c r="Z2098" s="1"/>
    </row>
    <row r="2099" ht="18.0" customHeight="1" outlineLevel="1" collapsed="1">
      <c r="A2099" s="1"/>
      <c r="B2099" s="1"/>
      <c r="C2099" s="1"/>
      <c r="D2099" s="1"/>
      <c r="E2099" s="14"/>
      <c r="F2099" s="15"/>
      <c r="G2099" s="16"/>
      <c r="H2099" s="11"/>
      <c r="I2099" s="7"/>
      <c r="J2099" s="7" t="str">
        <f>IFERROR(LET(_xlpm.v,
VLOOKUP($I2099,'用語辞書'!$A:$B,COLUMN('用語辞書'!B$1),FALSE),
IF(_xlpm.v=0,"",_xlpm.v)
),"")</f>
        <v/>
      </c>
      <c r="K2099" s="17"/>
      <c r="L2099" s="17" t="str">
        <f>IF(OR(COUNTIF('クラス'!$A$1:$A$1262,$B2099)&gt;0,$B2099="",$M2099=""),"",True)</f>
        <v/>
      </c>
      <c r="M2099" s="1" t="str">
        <f t="shared" si="27"/>
        <v>存在しない</v>
      </c>
      <c r="N2099" s="1" t="s">
        <v>29</v>
      </c>
      <c r="O2099" s="1"/>
      <c r="P2099" s="11"/>
      <c r="Q2099" s="11"/>
      <c r="R2099" s="11"/>
      <c r="S2099" s="11"/>
      <c r="T2099" s="1"/>
      <c r="U2099" s="1"/>
      <c r="V2099" s="1"/>
      <c r="W2099" s="1"/>
      <c r="X2099" s="1"/>
      <c r="Y2099" s="1"/>
      <c r="Z2099" s="1"/>
    </row>
    <row r="2100" ht="18.0" customHeight="1" outlineLevel="1">
      <c r="A2100" s="1"/>
      <c r="B2100" s="26" t="s">
        <v>2202</v>
      </c>
      <c r="C2100" s="1"/>
      <c r="D2100" s="1"/>
      <c r="E2100" s="14"/>
      <c r="F2100" s="15"/>
      <c r="G2100" s="16"/>
      <c r="H2100" s="11"/>
      <c r="I2100" s="7"/>
      <c r="J2100" s="7" t="str">
        <f>IFERROR(LET(_xlpm.v,
VLOOKUP($I2100,'用語辞書'!$A:$B,COLUMN('用語辞書'!B$1),FALSE),
IF(_xlpm.v=0,"",_xlpm.v)
),"")</f>
        <v/>
      </c>
      <c r="K2100" s="17"/>
      <c r="L2100" s="17" t="str">
        <f>IF(OR(COUNTIF('クラス'!$A$1:$A$1262,$B2100)&gt;0,$B2100="",$M2100=""),"",True)</f>
        <v/>
      </c>
      <c r="M2100" s="1" t="str">
        <f t="shared" si="27"/>
        <v>存在しない</v>
      </c>
      <c r="N2100" s="1" t="s">
        <v>29</v>
      </c>
      <c r="O2100" s="1"/>
      <c r="P2100" s="11"/>
      <c r="Q2100" s="11"/>
      <c r="R2100" s="11"/>
      <c r="S2100" s="11"/>
      <c r="T2100" s="1"/>
      <c r="U2100" s="1"/>
      <c r="V2100" s="1"/>
      <c r="W2100" s="1"/>
      <c r="X2100" s="1"/>
      <c r="Y2100" s="1"/>
      <c r="Z2100" s="1"/>
    </row>
    <row r="2101" ht="18.0" hidden="1" customHeight="1" outlineLevel="2">
      <c r="A2101" s="1">
        <v>1.0</v>
      </c>
      <c r="B2101" s="26" t="s">
        <v>2203</v>
      </c>
      <c r="C2101" s="1"/>
      <c r="D2101" s="26" t="s">
        <v>370</v>
      </c>
      <c r="E2101" s="29" t="s">
        <v>33</v>
      </c>
      <c r="F2101" s="15"/>
      <c r="G2101" s="30">
        <v>60.0</v>
      </c>
      <c r="H2101" s="22" t="s">
        <v>2204</v>
      </c>
      <c r="I2101" s="7"/>
      <c r="J2101" s="7" t="str">
        <f>IFERROR(LET(_xlpm.v,
VLOOKUP($I2101,'用語辞書'!$A:$B,COLUMN('用語辞書'!B$1),FALSE),
IF(_xlpm.v=0,"",_xlpm.v)
),"")</f>
        <v/>
      </c>
      <c r="K2101" s="17"/>
      <c r="L2101" s="17" t="b">
        <f>IF(OR(COUNTIF('クラス'!$A$1:$A$1262,$B2101)&gt;0,$B2101="",$M2101=""),"",True)</f>
        <v>1</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2.0</v>
      </c>
      <c r="B2102" s="1"/>
      <c r="C2102" s="1"/>
      <c r="D2102" s="1"/>
      <c r="E2102" s="14"/>
      <c r="F2102" s="15"/>
      <c r="G2102" s="16"/>
      <c r="H2102" s="11"/>
      <c r="I2102" s="7"/>
      <c r="J2102" s="7" t="str">
        <f>IFERROR(LET(_xlpm.v,
VLOOKUP($I2102,'用語辞書'!$A:$B,COLUMN('用語辞書'!B$1),FALSE),
IF(_xlpm.v=0,"",_xlpm.v)
),"")</f>
        <v/>
      </c>
      <c r="K2102" s="17"/>
      <c r="L2102" s="17" t="str">
        <f>IF(OR(COUNTIF('クラス'!$A$1:$A$1262,$B2102)&gt;0,$B2102="",$M2102=""),"",True)</f>
        <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3.0</v>
      </c>
      <c r="B2103" s="26" t="s">
        <v>372</v>
      </c>
      <c r="C2103" s="1"/>
      <c r="D2103" s="1"/>
      <c r="E2103" s="14"/>
      <c r="F2103" s="15"/>
      <c r="G2103" s="16"/>
      <c r="H2103" s="11"/>
      <c r="I2103" s="7"/>
      <c r="J2103" s="7" t="str">
        <f>IFERROR(LET(_xlpm.v,
VLOOKUP($I2103,'用語辞書'!$A:$B,COLUMN('用語辞書'!B$1),FALSE),
IF(_xlpm.v=0,"",_xlpm.v)
),"")</f>
        <v/>
      </c>
      <c r="K2103" s="17"/>
      <c r="L2103" s="17" t="str">
        <f>IF(OR(COUNTIF('クラス'!$A$1:$A$1262,$B2103)&gt;0,$B2103="",$M2103=""),"",True)</f>
        <v/>
      </c>
      <c r="M2103" s="1" t="str">
        <f t="shared" si="27"/>
        <v/>
      </c>
      <c r="N2103" s="1" t="s">
        <v>29</v>
      </c>
      <c r="O2103" s="1"/>
      <c r="P2103" s="11"/>
      <c r="Q2103" s="11"/>
      <c r="R2103" s="11"/>
      <c r="S2103" s="11"/>
      <c r="T2103" s="1"/>
      <c r="U2103" s="1"/>
      <c r="V2103" s="1"/>
      <c r="W2103" s="1"/>
      <c r="X2103" s="1"/>
      <c r="Y2103" s="1"/>
      <c r="Z2103" s="1"/>
    </row>
    <row r="2104" ht="18.0" hidden="1" customHeight="1" outlineLevel="2">
      <c r="A2104" s="1">
        <v>4.0</v>
      </c>
      <c r="B2104" s="1"/>
      <c r="C2104" s="1"/>
      <c r="D2104" s="1"/>
      <c r="E2104" s="14"/>
      <c r="F2104" s="15"/>
      <c r="G2104" s="16"/>
      <c r="H2104" s="11"/>
      <c r="I2104" s="7"/>
      <c r="J2104" s="7" t="str">
        <f>IFERROR(LET(_xlpm.v,
VLOOKUP($I2104,'用語辞書'!$A:$B,COLUMN('用語辞書'!B$1),FALSE),
IF(_xlpm.v=0,"",_xlpm.v)
),"")</f>
        <v/>
      </c>
      <c r="K2104" s="17"/>
      <c r="L2104" s="17" t="str">
        <f>IF(OR(COUNTIF('クラス'!$A$1:$A$1262,$B2104)&gt;0,$B2104="",$M2104=""),"",True)</f>
        <v/>
      </c>
      <c r="M2104" s="1" t="str">
        <f t="shared" si="27"/>
        <v>存在しない</v>
      </c>
      <c r="N2104" s="1" t="s">
        <v>29</v>
      </c>
      <c r="O2104" s="1"/>
      <c r="P2104" s="11"/>
      <c r="Q2104" s="11"/>
      <c r="R2104" s="11"/>
      <c r="S2104" s="11"/>
      <c r="T2104" s="1"/>
      <c r="U2104" s="1"/>
      <c r="V2104" s="1"/>
      <c r="W2104" s="1"/>
      <c r="X2104" s="1"/>
      <c r="Y2104" s="1"/>
      <c r="Z2104" s="1"/>
    </row>
    <row r="2105" ht="18.0" hidden="1" customHeight="1" outlineLevel="2">
      <c r="A2105" s="1">
        <v>5.0</v>
      </c>
      <c r="B2105" s="26" t="s">
        <v>2205</v>
      </c>
      <c r="C2105" s="1"/>
      <c r="D2105" s="1"/>
      <c r="E2105" s="14"/>
      <c r="F2105" s="15"/>
      <c r="G2105" s="16"/>
      <c r="H2105" s="11"/>
      <c r="I2105" s="7"/>
      <c r="J2105" s="7" t="str">
        <f>IFERROR(LET(_xlpm.v,
VLOOKUP($I2105,'用語辞書'!$A:$B,COLUMN('用語辞書'!B$1),FALSE),
IF(_xlpm.v=0,"",_xlpm.v)
),"")</f>
        <v/>
      </c>
      <c r="K2105" s="17"/>
      <c r="L2105" s="17" t="str">
        <f>IF(OR(COUNTIF('クラス'!$A$1:$A$1262,$B2105)&gt;0,$B2105="",$M2105=""),"",True)</f>
        <v/>
      </c>
      <c r="M2105" s="1" t="str">
        <f t="shared" si="27"/>
        <v/>
      </c>
      <c r="N2105" s="1" t="s">
        <v>29</v>
      </c>
      <c r="O2105" s="1"/>
      <c r="P2105" s="11"/>
      <c r="Q2105" s="11"/>
      <c r="R2105" s="11"/>
      <c r="S2105" s="11"/>
      <c r="T2105" s="1"/>
      <c r="U2105" s="1"/>
      <c r="V2105" s="1"/>
      <c r="W2105" s="1"/>
      <c r="X2105" s="1"/>
      <c r="Y2105" s="1"/>
      <c r="Z2105" s="1"/>
    </row>
    <row r="2106" ht="18.0" hidden="1" customHeight="1" outlineLevel="2">
      <c r="A2106" s="1">
        <v>6.0</v>
      </c>
      <c r="B2106" s="1"/>
      <c r="C2106" s="1"/>
      <c r="D2106" s="1"/>
      <c r="E2106" s="14"/>
      <c r="F2106" s="15"/>
      <c r="G2106" s="16"/>
      <c r="H2106" s="11"/>
      <c r="I2106" s="7"/>
      <c r="J2106" s="7" t="str">
        <f>IFERROR(LET(_xlpm.v,
VLOOKUP($I2106,'用語辞書'!$A:$B,COLUMN('用語辞書'!B$1),FALSE),
IF(_xlpm.v=0,"",_xlpm.v)
),"")</f>
        <v/>
      </c>
      <c r="K2106" s="17"/>
      <c r="L2106" s="17" t="str">
        <f>IF(OR(COUNTIF('クラス'!$A$1:$A$1262,$B2106)&gt;0,$B2106="",$M2106=""),"",True)</f>
        <v/>
      </c>
      <c r="M2106" s="1" t="str">
        <f t="shared" si="27"/>
        <v>存在しない</v>
      </c>
      <c r="N2106" s="1" t="s">
        <v>29</v>
      </c>
      <c r="O2106" s="1"/>
      <c r="P2106" s="11"/>
      <c r="Q2106" s="11"/>
      <c r="R2106" s="11"/>
      <c r="S2106" s="11"/>
      <c r="T2106" s="1"/>
      <c r="U2106" s="1"/>
      <c r="V2106" s="1"/>
      <c r="W2106" s="1"/>
      <c r="X2106" s="1"/>
      <c r="Y2106" s="1"/>
      <c r="Z2106" s="1"/>
    </row>
    <row r="2107" ht="18.0" hidden="1" customHeight="1" outlineLevel="2">
      <c r="A2107" s="1">
        <v>7.0</v>
      </c>
      <c r="B2107" s="26" t="s">
        <v>388</v>
      </c>
      <c r="C2107" s="1"/>
      <c r="D2107" s="1"/>
      <c r="E2107" s="14"/>
      <c r="F2107" s="15"/>
      <c r="G2107" s="16"/>
      <c r="H2107" s="11"/>
      <c r="I2107" s="7"/>
      <c r="J2107" s="7" t="str">
        <f>IFERROR(LET(_xlpm.v,
VLOOKUP($I2107,'用語辞書'!$A:$B,COLUMN('用語辞書'!B$1),FALSE),
IF(_xlpm.v=0,"",_xlpm.v)
),"")</f>
        <v/>
      </c>
      <c r="K2107" s="17"/>
      <c r="L2107" s="17" t="str">
        <f>IF(OR(COUNTIF('クラス'!$A$1:$A$1262,$B2107)&gt;0,$B2107="",$M2107=""),"",True)</f>
        <v/>
      </c>
      <c r="M2107" s="1" t="str">
        <f t="shared" si="27"/>
        <v/>
      </c>
      <c r="N2107" s="1" t="s">
        <v>29</v>
      </c>
      <c r="O2107" s="1"/>
      <c r="P2107" s="11"/>
      <c r="Q2107" s="11"/>
      <c r="R2107" s="11"/>
      <c r="S2107" s="11"/>
      <c r="T2107" s="1"/>
      <c r="U2107" s="1"/>
      <c r="V2107" s="1"/>
      <c r="W2107" s="1"/>
      <c r="X2107" s="1"/>
      <c r="Y2107" s="1"/>
      <c r="Z2107" s="1"/>
    </row>
    <row r="2108" ht="18.0" hidden="1" customHeight="1" outlineLevel="2">
      <c r="A2108" s="1">
        <v>8.0</v>
      </c>
      <c r="B2108" s="1"/>
      <c r="C2108" s="1"/>
      <c r="D2108" s="1"/>
      <c r="E2108" s="14"/>
      <c r="F2108" s="15"/>
      <c r="G2108" s="16"/>
      <c r="H2108" s="11"/>
      <c r="I2108" s="7"/>
      <c r="J2108" s="7" t="str">
        <f>IFERROR(LET(_xlpm.v,
VLOOKUP($I2108,'用語辞書'!$A:$B,COLUMN('用語辞書'!B$1),FALSE),
IF(_xlpm.v=0,"",_xlpm.v)
),"")</f>
        <v/>
      </c>
      <c r="K2108" s="17"/>
      <c r="L2108" s="17" t="str">
        <f>IF(OR(COUNTIF('クラス'!$A$1:$A$1262,$B2108)&gt;0,$B2108="",$M2108=""),"",True)</f>
        <v/>
      </c>
      <c r="M2108" s="1" t="str">
        <f t="shared" si="27"/>
        <v>存在しない</v>
      </c>
      <c r="N2108" s="1" t="s">
        <v>29</v>
      </c>
      <c r="O2108" s="1"/>
      <c r="P2108" s="11"/>
      <c r="Q2108" s="11"/>
      <c r="R2108" s="11"/>
      <c r="S2108" s="11"/>
      <c r="T2108" s="1"/>
      <c r="U2108" s="1"/>
      <c r="V2108" s="1"/>
      <c r="W2108" s="1"/>
      <c r="X2108" s="1"/>
      <c r="Y2108" s="1"/>
      <c r="Z2108" s="1"/>
    </row>
    <row r="2109" ht="18.0" hidden="1" customHeight="1" outlineLevel="2">
      <c r="A2109" s="1">
        <v>9.0</v>
      </c>
      <c r="B2109" s="26" t="s">
        <v>2206</v>
      </c>
      <c r="C2109" s="1"/>
      <c r="D2109" s="1"/>
      <c r="E2109" s="14"/>
      <c r="F2109" s="15"/>
      <c r="G2109" s="16"/>
      <c r="H2109" s="11"/>
      <c r="I2109" s="7"/>
      <c r="J2109" s="7" t="str">
        <f>IFERROR(LET(_xlpm.v,
VLOOKUP($I2109,'用語辞書'!$A:$B,COLUMN('用語辞書'!B$1),FALSE),
IF(_xlpm.v=0,"",_xlpm.v)
),"")</f>
        <v/>
      </c>
      <c r="K2109" s="17"/>
      <c r="L2109" s="17" t="str">
        <f>IF(OR(COUNTIF('クラス'!$A$1:$A$1262,$B2109)&gt;0,$B2109="",$M2109=""),"",True)</f>
        <v/>
      </c>
      <c r="M2109" s="1" t="str">
        <f t="shared" si="27"/>
        <v/>
      </c>
      <c r="N2109" s="1" t="s">
        <v>29</v>
      </c>
      <c r="O2109" s="1"/>
      <c r="P2109" s="11"/>
      <c r="Q2109" s="11"/>
      <c r="R2109" s="11"/>
      <c r="S2109" s="11"/>
      <c r="T2109" s="1"/>
      <c r="U2109" s="1"/>
      <c r="V2109" s="1"/>
      <c r="W2109" s="1"/>
      <c r="X2109" s="1"/>
      <c r="Y2109" s="1"/>
      <c r="Z2109" s="1"/>
    </row>
    <row r="2110" ht="18.0" hidden="1" customHeight="1" outlineLevel="2">
      <c r="A2110" s="1">
        <v>10.0</v>
      </c>
      <c r="B2110" s="26" t="s">
        <v>2207</v>
      </c>
      <c r="C2110" s="1"/>
      <c r="D2110" s="26" t="s">
        <v>370</v>
      </c>
      <c r="E2110" s="29" t="s">
        <v>33</v>
      </c>
      <c r="F2110" s="15"/>
      <c r="G2110" s="30">
        <v>60.0</v>
      </c>
      <c r="H2110" s="22" t="s">
        <v>2208</v>
      </c>
      <c r="I2110" s="7"/>
      <c r="J2110" s="7" t="str">
        <f>IFERROR(LET(_xlpm.v,
VLOOKUP($I2110,'用語辞書'!$A:$B,COLUMN('用語辞書'!B$1),FALSE),
IF(_xlpm.v=0,"",_xlpm.v)
),"")</f>
        <v/>
      </c>
      <c r="K2110" s="17"/>
      <c r="L2110" s="17" t="b">
        <f>IF(OR(COUNTIF('クラス'!$A$1:$A$1262,$B2110)&gt;0,$B2110="",$M2110=""),"",True)</f>
        <v>1</v>
      </c>
      <c r="M2110" s="1" t="str">
        <f t="shared" si="27"/>
        <v>存在しない</v>
      </c>
      <c r="N2110" s="1" t="s">
        <v>29</v>
      </c>
      <c r="O2110" s="1"/>
      <c r="P2110" s="11"/>
      <c r="Q2110" s="11"/>
      <c r="R2110" s="11"/>
      <c r="S2110" s="11"/>
      <c r="T2110" s="1"/>
      <c r="U2110" s="1"/>
      <c r="V2110" s="1"/>
      <c r="W2110" s="1"/>
      <c r="X2110" s="1"/>
      <c r="Y2110" s="1"/>
      <c r="Z2110" s="1"/>
    </row>
    <row r="2111" ht="18.0" customHeight="1" outlineLevel="1" collapsed="1">
      <c r="A2111" s="1"/>
      <c r="B2111" s="1"/>
      <c r="C2111" s="1"/>
      <c r="D2111" s="1"/>
      <c r="E2111" s="14"/>
      <c r="F2111" s="15"/>
      <c r="G2111" s="16"/>
      <c r="H2111" s="11"/>
      <c r="I2111" s="7"/>
      <c r="J2111" s="7" t="str">
        <f>IFERROR(LET(_xlpm.v,
VLOOKUP($I2111,'用語辞書'!$A:$B,COLUMN('用語辞書'!B$1),FALSE),
IF(_xlpm.v=0,"",_xlpm.v)
),"")</f>
        <v/>
      </c>
      <c r="K2111" s="17"/>
      <c r="L2111" s="17" t="str">
        <f>IF(OR(COUNTIF('クラス'!$A$1:$A$1262,$B2111)&gt;0,$B2111="",$M2111=""),"",True)</f>
        <v/>
      </c>
      <c r="M2111" s="1" t="str">
        <f t="shared" si="27"/>
        <v>存在しない</v>
      </c>
      <c r="N2111" s="1" t="s">
        <v>29</v>
      </c>
      <c r="O2111" s="1"/>
      <c r="P2111" s="11"/>
      <c r="Q2111" s="11"/>
      <c r="R2111" s="11"/>
      <c r="S2111" s="11"/>
      <c r="T2111" s="1"/>
      <c r="U2111" s="1"/>
      <c r="V2111" s="1"/>
      <c r="W2111" s="1"/>
      <c r="X2111" s="1"/>
      <c r="Y2111" s="1"/>
      <c r="Z2111" s="1"/>
    </row>
    <row r="2112" ht="18.0" customHeight="1" outlineLevel="1">
      <c r="A2112" s="1"/>
      <c r="B2112" s="26" t="s">
        <v>2209</v>
      </c>
      <c r="C2112" s="1"/>
      <c r="D2112" s="1"/>
      <c r="E2112" s="14"/>
      <c r="F2112" s="15"/>
      <c r="G2112" s="16"/>
      <c r="H2112" s="11"/>
      <c r="I2112" s="7"/>
      <c r="J2112" s="7" t="str">
        <f>IFERROR(LET(_xlpm.v,
VLOOKUP($I2112,'用語辞書'!$A:$B,COLUMN('用語辞書'!B$1),FALSE),
IF(_xlpm.v=0,"",_xlpm.v)
),"")</f>
        <v/>
      </c>
      <c r="K2112" s="17"/>
      <c r="L2112" s="17" t="str">
        <f>IF(OR(COUNTIF('クラス'!$A$1:$A$1262,$B2112)&gt;0,$B2112="",$M2112=""),"",True)</f>
        <v/>
      </c>
      <c r="M2112" s="1" t="str">
        <f t="shared" si="27"/>
        <v>存在しない</v>
      </c>
      <c r="N2112" s="1" t="s">
        <v>29</v>
      </c>
      <c r="O2112" s="1"/>
      <c r="P2112" s="11"/>
      <c r="Q2112" s="11"/>
      <c r="R2112" s="11"/>
      <c r="S2112" s="11"/>
      <c r="T2112" s="1"/>
      <c r="U2112" s="1"/>
      <c r="V2112" s="1"/>
      <c r="W2112" s="1"/>
      <c r="X2112" s="1"/>
      <c r="Y2112" s="1"/>
      <c r="Z2112" s="1"/>
    </row>
    <row r="2113" ht="18.0" hidden="1" customHeight="1" outlineLevel="2">
      <c r="A2113" s="1">
        <v>1.0</v>
      </c>
      <c r="B2113" s="26" t="s">
        <v>2210</v>
      </c>
      <c r="C2113" s="1"/>
      <c r="D2113" s="26" t="s">
        <v>518</v>
      </c>
      <c r="E2113" s="29" t="s">
        <v>33</v>
      </c>
      <c r="F2113" s="15"/>
      <c r="G2113" s="30">
        <v>60.0</v>
      </c>
      <c r="H2113" s="22" t="s">
        <v>2211</v>
      </c>
      <c r="I2113" s="7"/>
      <c r="J2113" s="7" t="str">
        <f>IFERROR(LET(_xlpm.v,
VLOOKUP($I2113,'用語辞書'!$A:$B,COLUMN('用語辞書'!B$1),FALSE),
IF(_xlpm.v=0,"",_xlpm.v)
),"")</f>
        <v/>
      </c>
      <c r="K2113" s="17"/>
      <c r="L2113" s="17" t="b">
        <f>IF(OR(COUNTIF('クラス'!$A$1:$A$1262,$B2113)&gt;0,$B2113="",$M2113=""),"",True)</f>
        <v>1</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2.0</v>
      </c>
      <c r="B2114" s="1"/>
      <c r="C2114" s="1"/>
      <c r="D2114" s="1"/>
      <c r="E2114" s="14"/>
      <c r="F2114" s="15"/>
      <c r="G2114" s="16"/>
      <c r="H2114" s="11"/>
      <c r="I2114" s="7"/>
      <c r="J2114" s="7" t="str">
        <f>IFERROR(LET(_xlpm.v,
VLOOKUP($I2114,'用語辞書'!$A:$B,COLUMN('用語辞書'!B$1),FALSE),
IF(_xlpm.v=0,"",_xlpm.v)
),"")</f>
        <v/>
      </c>
      <c r="K2114" s="17"/>
      <c r="L2114" s="17" t="str">
        <f>IF(OR(COUNTIF('クラス'!$A$1:$A$1262,$B2114)&gt;0,$B2114="",$M2114=""),"",True)</f>
        <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3.0</v>
      </c>
      <c r="B2115" s="26" t="s">
        <v>516</v>
      </c>
      <c r="C2115" s="1"/>
      <c r="D2115" s="1"/>
      <c r="E2115" s="14"/>
      <c r="F2115" s="15"/>
      <c r="G2115" s="16"/>
      <c r="H2115" s="11"/>
      <c r="I2115" s="7"/>
      <c r="J2115" s="7" t="str">
        <f>IFERROR(LET(_xlpm.v,
VLOOKUP($I2115,'用語辞書'!$A:$B,COLUMN('用語辞書'!B$1),FALSE),
IF(_xlpm.v=0,"",_xlpm.v)
),"")</f>
        <v/>
      </c>
      <c r="K2115" s="17"/>
      <c r="L2115" s="17" t="str">
        <f>IF(OR(COUNTIF('クラス'!$A$1:$A$1262,$B2115)&gt;0,$B2115="",$M2115=""),"",True)</f>
        <v/>
      </c>
      <c r="M2115" s="1" t="str">
        <f t="shared" si="27"/>
        <v/>
      </c>
      <c r="N2115" s="1" t="s">
        <v>29</v>
      </c>
      <c r="O2115" s="1"/>
      <c r="P2115" s="11"/>
      <c r="Q2115" s="11"/>
      <c r="R2115" s="11"/>
      <c r="S2115" s="11"/>
      <c r="T2115" s="1"/>
      <c r="U2115" s="1"/>
      <c r="V2115" s="1"/>
      <c r="W2115" s="1"/>
      <c r="X2115" s="1"/>
      <c r="Y2115" s="1"/>
      <c r="Z2115" s="1"/>
    </row>
    <row r="2116" ht="18.0" hidden="1" customHeight="1" outlineLevel="2">
      <c r="A2116" s="1">
        <v>4.0</v>
      </c>
      <c r="B2116" s="1"/>
      <c r="C2116" s="1"/>
      <c r="D2116" s="1"/>
      <c r="E2116" s="14"/>
      <c r="F2116" s="15"/>
      <c r="G2116" s="16"/>
      <c r="H2116" s="11"/>
      <c r="I2116" s="7"/>
      <c r="J2116" s="7" t="str">
        <f>IFERROR(LET(_xlpm.v,
VLOOKUP($I2116,'用語辞書'!$A:$B,COLUMN('用語辞書'!B$1),FALSE),
IF(_xlpm.v=0,"",_xlpm.v)
),"")</f>
        <v/>
      </c>
      <c r="K2116" s="17"/>
      <c r="L2116" s="17" t="str">
        <f>IF(OR(COUNTIF('クラス'!$A$1:$A$1262,$B2116)&gt;0,$B2116="",$M2116=""),"",True)</f>
        <v/>
      </c>
      <c r="M2116" s="1" t="str">
        <f t="shared" si="27"/>
        <v>存在しない</v>
      </c>
      <c r="N2116" s="1" t="s">
        <v>29</v>
      </c>
      <c r="O2116" s="1"/>
      <c r="P2116" s="11"/>
      <c r="Q2116" s="11"/>
      <c r="R2116" s="11"/>
      <c r="S2116" s="11"/>
      <c r="T2116" s="1"/>
      <c r="U2116" s="1"/>
      <c r="V2116" s="1"/>
      <c r="W2116" s="1"/>
      <c r="X2116" s="1"/>
      <c r="Y2116" s="1"/>
      <c r="Z2116" s="1"/>
    </row>
    <row r="2117" ht="18.0" hidden="1" customHeight="1" outlineLevel="2">
      <c r="A2117" s="1">
        <v>5.0</v>
      </c>
      <c r="B2117" s="26" t="s">
        <v>2212</v>
      </c>
      <c r="C2117" s="1"/>
      <c r="D2117" s="1"/>
      <c r="E2117" s="14"/>
      <c r="F2117" s="15"/>
      <c r="G2117" s="16"/>
      <c r="H2117" s="11"/>
      <c r="I2117" s="7"/>
      <c r="J2117" s="7" t="str">
        <f>IFERROR(LET(_xlpm.v,
VLOOKUP($I2117,'用語辞書'!$A:$B,COLUMN('用語辞書'!B$1),FALSE),
IF(_xlpm.v=0,"",_xlpm.v)
),"")</f>
        <v/>
      </c>
      <c r="K2117" s="17"/>
      <c r="L2117" s="17" t="str">
        <f>IF(OR(COUNTIF('クラス'!$A$1:$A$1262,$B2117)&gt;0,$B2117="",$M2117=""),"",True)</f>
        <v/>
      </c>
      <c r="M2117" s="1" t="str">
        <f t="shared" si="27"/>
        <v/>
      </c>
      <c r="N2117" s="1" t="s">
        <v>29</v>
      </c>
      <c r="O2117" s="1"/>
      <c r="P2117" s="11"/>
      <c r="Q2117" s="11"/>
      <c r="R2117" s="11"/>
      <c r="S2117" s="11"/>
      <c r="T2117" s="1"/>
      <c r="U2117" s="1"/>
      <c r="V2117" s="1"/>
      <c r="W2117" s="1"/>
      <c r="X2117" s="1"/>
      <c r="Y2117" s="1"/>
      <c r="Z2117" s="1"/>
    </row>
    <row r="2118" ht="18.0" hidden="1" customHeight="1" outlineLevel="2">
      <c r="A2118" s="1">
        <v>6.0</v>
      </c>
      <c r="B2118" s="1"/>
      <c r="C2118" s="1"/>
      <c r="D2118" s="1"/>
      <c r="E2118" s="14"/>
      <c r="F2118" s="15"/>
      <c r="G2118" s="16"/>
      <c r="H2118" s="11"/>
      <c r="I2118" s="7"/>
      <c r="J2118" s="7" t="str">
        <f>IFERROR(LET(_xlpm.v,
VLOOKUP($I2118,'用語辞書'!$A:$B,COLUMN('用語辞書'!B$1),FALSE),
IF(_xlpm.v=0,"",_xlpm.v)
),"")</f>
        <v/>
      </c>
      <c r="K2118" s="17"/>
      <c r="L2118" s="17" t="str">
        <f>IF(OR(COUNTIF('クラス'!$A$1:$A$1262,$B2118)&gt;0,$B2118="",$M2118=""),"",True)</f>
        <v/>
      </c>
      <c r="M2118" s="1" t="str">
        <f t="shared" si="27"/>
        <v>存在しない</v>
      </c>
      <c r="N2118" s="1" t="s">
        <v>29</v>
      </c>
      <c r="O2118" s="1"/>
      <c r="P2118" s="11"/>
      <c r="Q2118" s="11"/>
      <c r="R2118" s="11"/>
      <c r="S2118" s="11"/>
      <c r="T2118" s="1"/>
      <c r="U2118" s="1"/>
      <c r="V2118" s="1"/>
      <c r="W2118" s="1"/>
      <c r="X2118" s="1"/>
      <c r="Y2118" s="1"/>
      <c r="Z2118" s="1"/>
    </row>
    <row r="2119" ht="18.0" hidden="1" customHeight="1" outlineLevel="2">
      <c r="A2119" s="1">
        <v>7.0</v>
      </c>
      <c r="B2119" s="26" t="s">
        <v>526</v>
      </c>
      <c r="C2119" s="1"/>
      <c r="D2119" s="1"/>
      <c r="E2119" s="14"/>
      <c r="F2119" s="15"/>
      <c r="G2119" s="16"/>
      <c r="H2119" s="11"/>
      <c r="I2119" s="7"/>
      <c r="J2119" s="7" t="str">
        <f>IFERROR(LET(_xlpm.v,
VLOOKUP($I2119,'用語辞書'!$A:$B,COLUMN('用語辞書'!B$1),FALSE),
IF(_xlpm.v=0,"",_xlpm.v)
),"")</f>
        <v/>
      </c>
      <c r="K2119" s="17"/>
      <c r="L2119" s="17" t="str">
        <f>IF(OR(COUNTIF('クラス'!$A$1:$A$1262,$B2119)&gt;0,$B2119="",$M2119=""),"",True)</f>
        <v/>
      </c>
      <c r="M2119" s="1" t="str">
        <f t="shared" si="27"/>
        <v/>
      </c>
      <c r="N2119" s="1" t="s">
        <v>29</v>
      </c>
      <c r="O2119" s="1"/>
      <c r="P2119" s="11"/>
      <c r="Q2119" s="11"/>
      <c r="R2119" s="11"/>
      <c r="S2119" s="11"/>
      <c r="T2119" s="1"/>
      <c r="U2119" s="1"/>
      <c r="V2119" s="1"/>
      <c r="W2119" s="1"/>
      <c r="X2119" s="1"/>
      <c r="Y2119" s="1"/>
      <c r="Z2119" s="1"/>
    </row>
    <row r="2120" ht="18.0" hidden="1" customHeight="1" outlineLevel="2">
      <c r="A2120" s="1">
        <v>8.0</v>
      </c>
      <c r="B2120" s="1"/>
      <c r="C2120" s="1"/>
      <c r="D2120" s="1"/>
      <c r="E2120" s="14"/>
      <c r="F2120" s="15"/>
      <c r="G2120" s="16"/>
      <c r="H2120" s="11"/>
      <c r="I2120" s="7"/>
      <c r="J2120" s="7" t="str">
        <f>IFERROR(LET(_xlpm.v,
VLOOKUP($I2120,'用語辞書'!$A:$B,COLUMN('用語辞書'!B$1),FALSE),
IF(_xlpm.v=0,"",_xlpm.v)
),"")</f>
        <v/>
      </c>
      <c r="K2120" s="17"/>
      <c r="L2120" s="17" t="str">
        <f>IF(OR(COUNTIF('クラス'!$A$1:$A$1262,$B2120)&gt;0,$B2120="",$M2120=""),"",True)</f>
        <v/>
      </c>
      <c r="M2120" s="1" t="str">
        <f t="shared" si="27"/>
        <v>存在しない</v>
      </c>
      <c r="N2120" s="1" t="s">
        <v>29</v>
      </c>
      <c r="O2120" s="1"/>
      <c r="P2120" s="11"/>
      <c r="Q2120" s="11"/>
      <c r="R2120" s="11"/>
      <c r="S2120" s="11"/>
      <c r="T2120" s="1"/>
      <c r="U2120" s="1"/>
      <c r="V2120" s="1"/>
      <c r="W2120" s="1"/>
      <c r="X2120" s="1"/>
      <c r="Y2120" s="1"/>
      <c r="Z2120" s="1"/>
    </row>
    <row r="2121" ht="18.0" hidden="1" customHeight="1" outlineLevel="2">
      <c r="A2121" s="1">
        <v>9.0</v>
      </c>
      <c r="B2121" s="26" t="s">
        <v>2213</v>
      </c>
      <c r="C2121" s="1"/>
      <c r="D2121" s="1"/>
      <c r="E2121" s="14"/>
      <c r="F2121" s="15"/>
      <c r="G2121" s="16"/>
      <c r="H2121" s="11"/>
      <c r="I2121" s="7"/>
      <c r="J2121" s="7" t="str">
        <f>IFERROR(LET(_xlpm.v,
VLOOKUP($I2121,'用語辞書'!$A:$B,COLUMN('用語辞書'!B$1),FALSE),
IF(_xlpm.v=0,"",_xlpm.v)
),"")</f>
        <v/>
      </c>
      <c r="K2121" s="17"/>
      <c r="L2121" s="17" t="str">
        <f>IF(OR(COUNTIF('クラス'!$A$1:$A$1262,$B2121)&gt;0,$B2121="",$M2121=""),"",True)</f>
        <v/>
      </c>
      <c r="M2121" s="1" t="str">
        <f t="shared" si="27"/>
        <v/>
      </c>
      <c r="N2121" s="1" t="s">
        <v>29</v>
      </c>
      <c r="O2121" s="1"/>
      <c r="P2121" s="11"/>
      <c r="Q2121" s="11"/>
      <c r="R2121" s="11"/>
      <c r="S2121" s="11"/>
      <c r="T2121" s="1"/>
      <c r="U2121" s="1"/>
      <c r="V2121" s="1"/>
      <c r="W2121" s="1"/>
      <c r="X2121" s="1"/>
      <c r="Y2121" s="1"/>
      <c r="Z2121" s="1"/>
    </row>
    <row r="2122" ht="18.0" hidden="1" customHeight="1" outlineLevel="2">
      <c r="A2122" s="1">
        <v>10.0</v>
      </c>
      <c r="B2122" s="26" t="s">
        <v>2214</v>
      </c>
      <c r="C2122" s="1"/>
      <c r="D2122" s="26" t="s">
        <v>518</v>
      </c>
      <c r="E2122" s="29" t="s">
        <v>33</v>
      </c>
      <c r="F2122" s="15"/>
      <c r="G2122" s="30">
        <v>60.0</v>
      </c>
      <c r="H2122" s="22" t="s">
        <v>2215</v>
      </c>
      <c r="I2122" s="7"/>
      <c r="J2122" s="7" t="str">
        <f>IFERROR(LET(_xlpm.v,
VLOOKUP($I2122,'用語辞書'!$A:$B,COLUMN('用語辞書'!B$1),FALSE),
IF(_xlpm.v=0,"",_xlpm.v)
),"")</f>
        <v/>
      </c>
      <c r="K2122" s="17"/>
      <c r="L2122" s="17" t="b">
        <f>IF(OR(COUNTIF('クラス'!$A$1:$A$1262,$B2122)&gt;0,$B2122="",$M2122=""),"",True)</f>
        <v>1</v>
      </c>
      <c r="M2122" s="1" t="str">
        <f t="shared" si="27"/>
        <v>存在しない</v>
      </c>
      <c r="N2122" s="1" t="s">
        <v>29</v>
      </c>
      <c r="O2122" s="1"/>
      <c r="P2122" s="11"/>
      <c r="Q2122" s="11"/>
      <c r="R2122" s="11"/>
      <c r="S2122" s="11"/>
      <c r="T2122" s="1"/>
      <c r="U2122" s="1"/>
      <c r="V2122" s="1"/>
      <c r="W2122" s="1"/>
      <c r="X2122" s="1"/>
      <c r="Y2122" s="1"/>
      <c r="Z2122" s="1"/>
    </row>
    <row r="2123" ht="18.0" customHeight="1" outlineLevel="1" collapsed="1">
      <c r="A2123" s="1"/>
      <c r="B2123" s="1"/>
      <c r="C2123" s="1"/>
      <c r="D2123" s="1"/>
      <c r="E2123" s="14"/>
      <c r="F2123" s="15"/>
      <c r="G2123" s="16"/>
      <c r="H2123" s="11"/>
      <c r="I2123" s="7"/>
      <c r="J2123" s="7" t="str">
        <f>IFERROR(LET(_xlpm.v,
VLOOKUP($I2123,'用語辞書'!$A:$B,COLUMN('用語辞書'!B$1),FALSE),
IF(_xlpm.v=0,"",_xlpm.v)
),"")</f>
        <v/>
      </c>
      <c r="K2123" s="17"/>
      <c r="L2123" s="17" t="str">
        <f>IF(OR(COUNTIF('クラス'!$A$1:$A$1262,$B2123)&gt;0,$B2123="",$M2123=""),"",True)</f>
        <v/>
      </c>
      <c r="M2123" s="1" t="str">
        <f t="shared" si="27"/>
        <v>存在しない</v>
      </c>
      <c r="N2123" s="1" t="s">
        <v>29</v>
      </c>
      <c r="O2123" s="1"/>
      <c r="P2123" s="11"/>
      <c r="Q2123" s="11"/>
      <c r="R2123" s="11"/>
      <c r="S2123" s="11"/>
      <c r="T2123" s="1"/>
      <c r="U2123" s="1"/>
      <c r="V2123" s="1"/>
      <c r="W2123" s="1"/>
      <c r="X2123" s="1"/>
      <c r="Y2123" s="1"/>
      <c r="Z2123" s="1"/>
    </row>
    <row r="2124" ht="18.0" customHeight="1" outlineLevel="1">
      <c r="A2124" s="1"/>
      <c r="B2124" s="26" t="s">
        <v>2216</v>
      </c>
      <c r="C2124" s="1"/>
      <c r="D2124" s="1"/>
      <c r="E2124" s="14"/>
      <c r="F2124" s="15"/>
      <c r="G2124" s="16"/>
      <c r="H2124" s="11"/>
      <c r="I2124" s="7"/>
      <c r="J2124" s="7" t="str">
        <f>IFERROR(LET(_xlpm.v,
VLOOKUP($I2124,'用語辞書'!$A:$B,COLUMN('用語辞書'!B$1),FALSE),
IF(_xlpm.v=0,"",_xlpm.v)
),"")</f>
        <v/>
      </c>
      <c r="K2124" s="17"/>
      <c r="L2124" s="17" t="str">
        <f>IF(OR(COUNTIF('クラス'!$A$1:$A$1262,$B2124)&gt;0,$B2124="",$M2124=""),"",True)</f>
        <v/>
      </c>
      <c r="M2124" s="1" t="str">
        <f t="shared" si="27"/>
        <v>存在しない</v>
      </c>
      <c r="N2124" s="1" t="s">
        <v>29</v>
      </c>
      <c r="O2124" s="1"/>
      <c r="P2124" s="11"/>
      <c r="Q2124" s="11"/>
      <c r="R2124" s="11"/>
      <c r="S2124" s="11"/>
      <c r="T2124" s="1"/>
      <c r="U2124" s="1"/>
      <c r="V2124" s="1"/>
      <c r="W2124" s="1"/>
      <c r="X2124" s="1"/>
      <c r="Y2124" s="1"/>
      <c r="Z2124" s="1"/>
    </row>
    <row r="2125" ht="18.0" hidden="1" customHeight="1" outlineLevel="2">
      <c r="A2125" s="1">
        <v>1.0</v>
      </c>
      <c r="B2125" s="26" t="s">
        <v>2217</v>
      </c>
      <c r="C2125" s="1"/>
      <c r="D2125" s="26" t="s">
        <v>644</v>
      </c>
      <c r="E2125" s="29" t="s">
        <v>33</v>
      </c>
      <c r="F2125" s="15"/>
      <c r="G2125" s="30">
        <v>60.0</v>
      </c>
      <c r="H2125" s="22" t="s">
        <v>2218</v>
      </c>
      <c r="I2125" s="7"/>
      <c r="J2125" s="7" t="str">
        <f>IFERROR(LET(_xlpm.v,
VLOOKUP($I2125,'用語辞書'!$A:$B,COLUMN('用語辞書'!B$1),FALSE),
IF(_xlpm.v=0,"",_xlpm.v)
),"")</f>
        <v/>
      </c>
      <c r="K2125" s="17"/>
      <c r="L2125" s="17" t="b">
        <f>IF(OR(COUNTIF('クラス'!$A$1:$A$1262,$B2125)&gt;0,$B2125="",$M2125=""),"",True)</f>
        <v>1</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2.0</v>
      </c>
      <c r="B2126" s="1"/>
      <c r="C2126" s="1"/>
      <c r="D2126" s="1"/>
      <c r="E2126" s="14"/>
      <c r="F2126" s="15"/>
      <c r="G2126" s="16"/>
      <c r="H2126" s="11"/>
      <c r="I2126" s="7"/>
      <c r="J2126" s="7" t="str">
        <f>IFERROR(LET(_xlpm.v,
VLOOKUP($I2126,'用語辞書'!$A:$B,COLUMN('用語辞書'!B$1),FALSE),
IF(_xlpm.v=0,"",_xlpm.v)
),"")</f>
        <v/>
      </c>
      <c r="K2126" s="17"/>
      <c r="L2126" s="17" t="str">
        <f>IF(OR(COUNTIF('クラス'!$A$1:$A$1262,$B2126)&gt;0,$B2126="",$M2126=""),"",True)</f>
        <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3.0</v>
      </c>
      <c r="B2127" s="26" t="s">
        <v>646</v>
      </c>
      <c r="C2127" s="1"/>
      <c r="D2127" s="1"/>
      <c r="E2127" s="14"/>
      <c r="F2127" s="15"/>
      <c r="G2127" s="16"/>
      <c r="H2127" s="11"/>
      <c r="I2127" s="7"/>
      <c r="J2127" s="7" t="str">
        <f>IFERROR(LET(_xlpm.v,
VLOOKUP($I2127,'用語辞書'!$A:$B,COLUMN('用語辞書'!B$1),FALSE),
IF(_xlpm.v=0,"",_xlpm.v)
),"")</f>
        <v/>
      </c>
      <c r="K2127" s="17"/>
      <c r="L2127" s="17" t="str">
        <f>IF(OR(COUNTIF('クラス'!$A$1:$A$1262,$B2127)&gt;0,$B2127="",$M2127=""),"",True)</f>
        <v/>
      </c>
      <c r="M2127" s="1" t="str">
        <f t="shared" si="27"/>
        <v/>
      </c>
      <c r="N2127" s="1" t="s">
        <v>29</v>
      </c>
      <c r="O2127" s="1"/>
      <c r="P2127" s="11"/>
      <c r="Q2127" s="11"/>
      <c r="R2127" s="11"/>
      <c r="S2127" s="11"/>
      <c r="T2127" s="1"/>
      <c r="U2127" s="1"/>
      <c r="V2127" s="1"/>
      <c r="W2127" s="1"/>
      <c r="X2127" s="1"/>
      <c r="Y2127" s="1"/>
      <c r="Z2127" s="1"/>
    </row>
    <row r="2128" ht="18.0" hidden="1" customHeight="1" outlineLevel="2">
      <c r="A2128" s="1">
        <v>4.0</v>
      </c>
      <c r="B2128" s="1"/>
      <c r="C2128" s="1"/>
      <c r="D2128" s="1"/>
      <c r="E2128" s="14"/>
      <c r="F2128" s="15"/>
      <c r="G2128" s="16"/>
      <c r="H2128" s="11"/>
      <c r="I2128" s="7"/>
      <c r="J2128" s="7" t="str">
        <f>IFERROR(LET(_xlpm.v,
VLOOKUP($I2128,'用語辞書'!$A:$B,COLUMN('用語辞書'!B$1),FALSE),
IF(_xlpm.v=0,"",_xlpm.v)
),"")</f>
        <v/>
      </c>
      <c r="K2128" s="17"/>
      <c r="L2128" s="17" t="str">
        <f>IF(OR(COUNTIF('クラス'!$A$1:$A$1262,$B2128)&gt;0,$B2128="",$M2128=""),"",True)</f>
        <v/>
      </c>
      <c r="M2128" s="1" t="str">
        <f t="shared" si="27"/>
        <v>存在しない</v>
      </c>
      <c r="N2128" s="1" t="s">
        <v>29</v>
      </c>
      <c r="O2128" s="1"/>
      <c r="P2128" s="11"/>
      <c r="Q2128" s="11"/>
      <c r="R2128" s="11"/>
      <c r="S2128" s="11"/>
      <c r="T2128" s="1"/>
      <c r="U2128" s="1"/>
      <c r="V2128" s="1"/>
      <c r="W2128" s="1"/>
      <c r="X2128" s="1"/>
      <c r="Y2128" s="1"/>
      <c r="Z2128" s="1"/>
    </row>
    <row r="2129" ht="18.0" hidden="1" customHeight="1" outlineLevel="2">
      <c r="A2129" s="1">
        <v>5.0</v>
      </c>
      <c r="B2129" s="26" t="s">
        <v>2219</v>
      </c>
      <c r="C2129" s="1"/>
      <c r="D2129" s="1"/>
      <c r="E2129" s="14"/>
      <c r="F2129" s="15"/>
      <c r="G2129" s="16"/>
      <c r="H2129" s="11"/>
      <c r="I2129" s="7"/>
      <c r="J2129" s="7" t="str">
        <f>IFERROR(LET(_xlpm.v,
VLOOKUP($I2129,'用語辞書'!$A:$B,COLUMN('用語辞書'!B$1),FALSE),
IF(_xlpm.v=0,"",_xlpm.v)
),"")</f>
        <v/>
      </c>
      <c r="K2129" s="17"/>
      <c r="L2129" s="17" t="str">
        <f>IF(OR(COUNTIF('クラス'!$A$1:$A$1262,$B2129)&gt;0,$B2129="",$M2129=""),"",True)</f>
        <v/>
      </c>
      <c r="M2129" s="1" t="str">
        <f t="shared" si="27"/>
        <v/>
      </c>
      <c r="N2129" s="1" t="s">
        <v>29</v>
      </c>
      <c r="O2129" s="1"/>
      <c r="P2129" s="11"/>
      <c r="Q2129" s="11"/>
      <c r="R2129" s="11"/>
      <c r="S2129" s="11"/>
      <c r="T2129" s="1"/>
      <c r="U2129" s="1"/>
      <c r="V2129" s="1"/>
      <c r="W2129" s="1"/>
      <c r="X2129" s="1"/>
      <c r="Y2129" s="1"/>
      <c r="Z2129" s="1"/>
    </row>
    <row r="2130" ht="18.0" hidden="1" customHeight="1" outlineLevel="2">
      <c r="A2130" s="1">
        <v>6.0</v>
      </c>
      <c r="B2130" s="1"/>
      <c r="C2130" s="1"/>
      <c r="D2130" s="1"/>
      <c r="E2130" s="14"/>
      <c r="F2130" s="15"/>
      <c r="G2130" s="16"/>
      <c r="H2130" s="11"/>
      <c r="I2130" s="7"/>
      <c r="J2130" s="7" t="str">
        <f>IFERROR(LET(_xlpm.v,
VLOOKUP($I2130,'用語辞書'!$A:$B,COLUMN('用語辞書'!B$1),FALSE),
IF(_xlpm.v=0,"",_xlpm.v)
),"")</f>
        <v/>
      </c>
      <c r="K2130" s="17"/>
      <c r="L2130" s="17" t="str">
        <f>IF(OR(COUNTIF('クラス'!$A$1:$A$1262,$B2130)&gt;0,$B2130="",$M2130=""),"",True)</f>
        <v/>
      </c>
      <c r="M2130" s="1" t="str">
        <f t="shared" si="27"/>
        <v>存在しない</v>
      </c>
      <c r="N2130" s="1" t="s">
        <v>29</v>
      </c>
      <c r="O2130" s="1"/>
      <c r="P2130" s="11"/>
      <c r="Q2130" s="11"/>
      <c r="R2130" s="11"/>
      <c r="S2130" s="11"/>
      <c r="T2130" s="1"/>
      <c r="U2130" s="1"/>
      <c r="V2130" s="1"/>
      <c r="W2130" s="1"/>
      <c r="X2130" s="1"/>
      <c r="Y2130" s="1"/>
      <c r="Z2130" s="1"/>
    </row>
    <row r="2131" ht="18.0" hidden="1" customHeight="1" outlineLevel="2">
      <c r="A2131" s="1">
        <v>7.0</v>
      </c>
      <c r="B2131" s="26" t="s">
        <v>652</v>
      </c>
      <c r="C2131" s="1"/>
      <c r="D2131" s="1"/>
      <c r="E2131" s="14"/>
      <c r="F2131" s="15"/>
      <c r="G2131" s="16"/>
      <c r="H2131" s="11"/>
      <c r="I2131" s="7"/>
      <c r="J2131" s="7" t="str">
        <f>IFERROR(LET(_xlpm.v,
VLOOKUP($I2131,'用語辞書'!$A:$B,COLUMN('用語辞書'!B$1),FALSE),
IF(_xlpm.v=0,"",_xlpm.v)
),"")</f>
        <v/>
      </c>
      <c r="K2131" s="17"/>
      <c r="L2131" s="17" t="str">
        <f>IF(OR(COUNTIF('クラス'!$A$1:$A$1262,$B2131)&gt;0,$B2131="",$M2131=""),"",True)</f>
        <v/>
      </c>
      <c r="M2131" s="1" t="str">
        <f t="shared" si="27"/>
        <v/>
      </c>
      <c r="N2131" s="1" t="s">
        <v>29</v>
      </c>
      <c r="O2131" s="1"/>
      <c r="P2131" s="11"/>
      <c r="Q2131" s="11"/>
      <c r="R2131" s="11"/>
      <c r="S2131" s="11"/>
      <c r="T2131" s="1"/>
      <c r="U2131" s="1"/>
      <c r="V2131" s="1"/>
      <c r="W2131" s="1"/>
      <c r="X2131" s="1"/>
      <c r="Y2131" s="1"/>
      <c r="Z2131" s="1"/>
    </row>
    <row r="2132" ht="18.0" hidden="1" customHeight="1" outlineLevel="2">
      <c r="A2132" s="1">
        <v>8.0</v>
      </c>
      <c r="B2132" s="1"/>
      <c r="C2132" s="1"/>
      <c r="D2132" s="1"/>
      <c r="E2132" s="14"/>
      <c r="F2132" s="15"/>
      <c r="G2132" s="16"/>
      <c r="H2132" s="11"/>
      <c r="I2132" s="7"/>
      <c r="J2132" s="7" t="str">
        <f>IFERROR(LET(_xlpm.v,
VLOOKUP($I2132,'用語辞書'!$A:$B,COLUMN('用語辞書'!B$1),FALSE),
IF(_xlpm.v=0,"",_xlpm.v)
),"")</f>
        <v/>
      </c>
      <c r="K2132" s="17"/>
      <c r="L2132" s="17" t="str">
        <f>IF(OR(COUNTIF('クラス'!$A$1:$A$1262,$B2132)&gt;0,$B2132="",$M2132=""),"",True)</f>
        <v/>
      </c>
      <c r="M2132" s="1" t="str">
        <f t="shared" si="27"/>
        <v>存在しない</v>
      </c>
      <c r="N2132" s="1" t="s">
        <v>29</v>
      </c>
      <c r="O2132" s="1"/>
      <c r="P2132" s="11"/>
      <c r="Q2132" s="11"/>
      <c r="R2132" s="11"/>
      <c r="S2132" s="11"/>
      <c r="T2132" s="1"/>
      <c r="U2132" s="1"/>
      <c r="V2132" s="1"/>
      <c r="W2132" s="1"/>
      <c r="X2132" s="1"/>
      <c r="Y2132" s="1"/>
      <c r="Z2132" s="1"/>
    </row>
    <row r="2133" ht="18.0" hidden="1" customHeight="1" outlineLevel="2">
      <c r="A2133" s="1">
        <v>9.0</v>
      </c>
      <c r="B2133" s="26" t="s">
        <v>2220</v>
      </c>
      <c r="C2133" s="1"/>
      <c r="D2133" s="1"/>
      <c r="E2133" s="14"/>
      <c r="F2133" s="15"/>
      <c r="G2133" s="16"/>
      <c r="H2133" s="11"/>
      <c r="I2133" s="7"/>
      <c r="J2133" s="7" t="str">
        <f>IFERROR(LET(_xlpm.v,
VLOOKUP($I2133,'用語辞書'!$A:$B,COLUMN('用語辞書'!B$1),FALSE),
IF(_xlpm.v=0,"",_xlpm.v)
),"")</f>
        <v/>
      </c>
      <c r="K2133" s="17"/>
      <c r="L2133" s="17" t="str">
        <f>IF(OR(COUNTIF('クラス'!$A$1:$A$1262,$B2133)&gt;0,$B2133="",$M2133=""),"",True)</f>
        <v/>
      </c>
      <c r="M2133" s="1" t="str">
        <f t="shared" si="27"/>
        <v/>
      </c>
      <c r="N2133" s="1" t="s">
        <v>29</v>
      </c>
      <c r="O2133" s="1"/>
      <c r="P2133" s="11"/>
      <c r="Q2133" s="11"/>
      <c r="R2133" s="11"/>
      <c r="S2133" s="11"/>
      <c r="T2133" s="1"/>
      <c r="U2133" s="1"/>
      <c r="V2133" s="1"/>
      <c r="W2133" s="1"/>
      <c r="X2133" s="1"/>
      <c r="Y2133" s="1"/>
      <c r="Z2133" s="1"/>
    </row>
    <row r="2134" ht="18.0" hidden="1" customHeight="1" outlineLevel="2">
      <c r="A2134" s="1">
        <v>10.0</v>
      </c>
      <c r="B2134" s="26" t="s">
        <v>2221</v>
      </c>
      <c r="C2134" s="1"/>
      <c r="D2134" s="26" t="s">
        <v>644</v>
      </c>
      <c r="E2134" s="29" t="s">
        <v>33</v>
      </c>
      <c r="F2134" s="15"/>
      <c r="G2134" s="30">
        <v>60.0</v>
      </c>
      <c r="H2134" s="31" t="s">
        <v>2222</v>
      </c>
      <c r="I2134" s="7"/>
      <c r="J2134" s="7" t="str">
        <f>IFERROR(LET(_xlpm.v,
VLOOKUP($I2134,'用語辞書'!$A:$B,COLUMN('用語辞書'!B$1),FALSE),
IF(_xlpm.v=0,"",_xlpm.v)
),"")</f>
        <v/>
      </c>
      <c r="K2134" s="17"/>
      <c r="L2134" s="17" t="b">
        <f>IF(OR(COUNTIF('クラス'!$A$1:$A$1262,$B2134)&gt;0,$B2134="",$M2134=""),"",True)</f>
        <v>1</v>
      </c>
      <c r="M2134" s="1" t="str">
        <f t="shared" si="27"/>
        <v>存在しない</v>
      </c>
      <c r="N2134" s="1" t="s">
        <v>29</v>
      </c>
      <c r="O2134" s="1"/>
      <c r="P2134" s="11"/>
      <c r="Q2134" s="11"/>
      <c r="R2134" s="11"/>
      <c r="S2134" s="11"/>
      <c r="T2134" s="1"/>
      <c r="U2134" s="1"/>
      <c r="V2134" s="1"/>
      <c r="W2134" s="1"/>
      <c r="X2134" s="1"/>
      <c r="Y2134" s="1"/>
      <c r="Z2134" s="1"/>
    </row>
    <row r="2135" ht="18.0" customHeight="1" outlineLevel="1" collapsed="1">
      <c r="A2135" s="1"/>
      <c r="B2135" s="1"/>
      <c r="C2135" s="1"/>
      <c r="D2135" s="1"/>
      <c r="E2135" s="14"/>
      <c r="F2135" s="15"/>
      <c r="G2135" s="16"/>
      <c r="H2135" s="11"/>
      <c r="I2135" s="7"/>
      <c r="J2135" s="7" t="str">
        <f>IFERROR(LET(_xlpm.v,
VLOOKUP($I2135,'用語辞書'!$A:$B,COLUMN('用語辞書'!B$1),FALSE),
IF(_xlpm.v=0,"",_xlpm.v)
),"")</f>
        <v/>
      </c>
      <c r="K2135" s="17"/>
      <c r="L2135" s="17" t="str">
        <f>IF(OR(COUNTIF('クラス'!$A$1:$A$1262,$B2135)&gt;0,$B2135="",$M2135=""),"",True)</f>
        <v/>
      </c>
      <c r="M2135" s="1" t="str">
        <f t="shared" si="27"/>
        <v>存在しない</v>
      </c>
      <c r="N2135" s="1" t="s">
        <v>29</v>
      </c>
      <c r="O2135" s="1"/>
      <c r="P2135" s="11"/>
      <c r="Q2135" s="11"/>
      <c r="R2135" s="11"/>
      <c r="S2135" s="11"/>
      <c r="T2135" s="1"/>
      <c r="U2135" s="1"/>
      <c r="V2135" s="1"/>
      <c r="W2135" s="1"/>
      <c r="X2135" s="1"/>
      <c r="Y2135" s="1"/>
      <c r="Z2135" s="1"/>
    </row>
    <row r="2136" ht="18.0" customHeight="1" outlineLevel="1">
      <c r="A2136" s="1"/>
      <c r="B2136" s="26" t="s">
        <v>2223</v>
      </c>
      <c r="C2136" s="1"/>
      <c r="D2136" s="1"/>
      <c r="E2136" s="14"/>
      <c r="F2136" s="15"/>
      <c r="G2136" s="16"/>
      <c r="H2136" s="11"/>
      <c r="I2136" s="7"/>
      <c r="J2136" s="7" t="str">
        <f>IFERROR(LET(_xlpm.v,
VLOOKUP($I2136,'用語辞書'!$A:$B,COLUMN('用語辞書'!B$1),FALSE),
IF(_xlpm.v=0,"",_xlpm.v)
),"")</f>
        <v/>
      </c>
      <c r="K2136" s="17"/>
      <c r="L2136" s="17" t="str">
        <f>IF(OR(COUNTIF('クラス'!$A$1:$A$1262,$B2136)&gt;0,$B2136="",$M2136=""),"",True)</f>
        <v/>
      </c>
      <c r="M2136" s="1" t="str">
        <f t="shared" si="27"/>
        <v>存在しない</v>
      </c>
      <c r="N2136" s="1" t="s">
        <v>29</v>
      </c>
      <c r="O2136" s="1"/>
      <c r="P2136" s="11"/>
      <c r="Q2136" s="11"/>
      <c r="R2136" s="11"/>
      <c r="S2136" s="11"/>
      <c r="T2136" s="1"/>
      <c r="U2136" s="1"/>
      <c r="V2136" s="1"/>
      <c r="W2136" s="1"/>
      <c r="X2136" s="1"/>
      <c r="Y2136" s="1"/>
      <c r="Z2136" s="1"/>
    </row>
    <row r="2137" ht="18.0" hidden="1" customHeight="1" outlineLevel="2">
      <c r="A2137" s="1">
        <v>1.0</v>
      </c>
      <c r="B2137" s="26" t="s">
        <v>2224</v>
      </c>
      <c r="C2137" s="1"/>
      <c r="D2137" s="26" t="s">
        <v>908</v>
      </c>
      <c r="E2137" s="29" t="s">
        <v>33</v>
      </c>
      <c r="F2137" s="15"/>
      <c r="G2137" s="30">
        <v>60.0</v>
      </c>
      <c r="H2137" s="22" t="s">
        <v>2225</v>
      </c>
      <c r="I2137" s="7"/>
      <c r="J2137" s="7" t="str">
        <f>IFERROR(LET(_xlpm.v,
VLOOKUP($I2137,'用語辞書'!$A:$B,COLUMN('用語辞書'!B$1),FALSE),
IF(_xlpm.v=0,"",_xlpm.v)
),"")</f>
        <v/>
      </c>
      <c r="K2137" s="17"/>
      <c r="L2137" s="17" t="b">
        <f>IF(OR(COUNTIF('クラス'!$A$1:$A$1262,$B2137)&gt;0,$B2137="",$M2137=""),"",True)</f>
        <v>1</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2.0</v>
      </c>
      <c r="B2138" s="1"/>
      <c r="C2138" s="1"/>
      <c r="D2138" s="1"/>
      <c r="E2138" s="14"/>
      <c r="F2138" s="15"/>
      <c r="G2138" s="16"/>
      <c r="H2138" s="11"/>
      <c r="I2138" s="7"/>
      <c r="J2138" s="7" t="str">
        <f>IFERROR(LET(_xlpm.v,
VLOOKUP($I2138,'用語辞書'!$A:$B,COLUMN('用語辞書'!B$1),FALSE),
IF(_xlpm.v=0,"",_xlpm.v)
),"")</f>
        <v/>
      </c>
      <c r="K2138" s="17"/>
      <c r="L2138" s="17" t="str">
        <f>IF(OR(COUNTIF('クラス'!$A$1:$A$1262,$B2138)&gt;0,$B2138="",$M2138=""),"",True)</f>
        <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3.0</v>
      </c>
      <c r="B2139" s="26" t="s">
        <v>898</v>
      </c>
      <c r="C2139" s="1"/>
      <c r="D2139" s="1"/>
      <c r="E2139" s="14"/>
      <c r="F2139" s="15"/>
      <c r="G2139" s="16"/>
      <c r="H2139" s="11"/>
      <c r="I2139" s="7"/>
      <c r="J2139" s="7" t="str">
        <f>IFERROR(LET(_xlpm.v,
VLOOKUP($I2139,'用語辞書'!$A:$B,COLUMN('用語辞書'!B$1),FALSE),
IF(_xlpm.v=0,"",_xlpm.v)
),"")</f>
        <v/>
      </c>
      <c r="K2139" s="17"/>
      <c r="L2139" s="17" t="str">
        <f>IF(OR(COUNTIF('クラス'!$A$1:$A$1262,$B2139)&gt;0,$B2139="",$M2139=""),"",True)</f>
        <v/>
      </c>
      <c r="M2139" s="1" t="str">
        <f t="shared" si="27"/>
        <v/>
      </c>
      <c r="N2139" s="1" t="s">
        <v>29</v>
      </c>
      <c r="O2139" s="1"/>
      <c r="P2139" s="11"/>
      <c r="Q2139" s="11"/>
      <c r="R2139" s="11"/>
      <c r="S2139" s="11"/>
      <c r="T2139" s="1"/>
      <c r="U2139" s="1"/>
      <c r="V2139" s="1"/>
      <c r="W2139" s="1"/>
      <c r="X2139" s="1"/>
      <c r="Y2139" s="1"/>
      <c r="Z2139" s="1"/>
    </row>
    <row r="2140" ht="18.0" hidden="1" customHeight="1" outlineLevel="2">
      <c r="A2140" s="1">
        <v>4.0</v>
      </c>
      <c r="B2140" s="1"/>
      <c r="C2140" s="1"/>
      <c r="D2140" s="1"/>
      <c r="E2140" s="14"/>
      <c r="F2140" s="15"/>
      <c r="G2140" s="16"/>
      <c r="H2140" s="11"/>
      <c r="I2140" s="7"/>
      <c r="J2140" s="7" t="str">
        <f>IFERROR(LET(_xlpm.v,
VLOOKUP($I2140,'用語辞書'!$A:$B,COLUMN('用語辞書'!B$1),FALSE),
IF(_xlpm.v=0,"",_xlpm.v)
),"")</f>
        <v/>
      </c>
      <c r="K2140" s="17"/>
      <c r="L2140" s="17" t="str">
        <f>IF(OR(COUNTIF('クラス'!$A$1:$A$1262,$B2140)&gt;0,$B2140="",$M2140=""),"",True)</f>
        <v/>
      </c>
      <c r="M2140" s="1" t="str">
        <f t="shared" si="27"/>
        <v>存在しない</v>
      </c>
      <c r="N2140" s="1" t="s">
        <v>29</v>
      </c>
      <c r="O2140" s="1"/>
      <c r="P2140" s="11"/>
      <c r="Q2140" s="11"/>
      <c r="R2140" s="11"/>
      <c r="S2140" s="11"/>
      <c r="T2140" s="1"/>
      <c r="U2140" s="1"/>
      <c r="V2140" s="1"/>
      <c r="W2140" s="1"/>
      <c r="X2140" s="1"/>
      <c r="Y2140" s="1"/>
      <c r="Z2140" s="1"/>
    </row>
    <row r="2141" ht="18.0" hidden="1" customHeight="1" outlineLevel="2">
      <c r="A2141" s="1">
        <v>5.0</v>
      </c>
      <c r="B2141" s="26" t="s">
        <v>1768</v>
      </c>
      <c r="C2141" s="1"/>
      <c r="D2141" s="1"/>
      <c r="E2141" s="14"/>
      <c r="F2141" s="15"/>
      <c r="G2141" s="16"/>
      <c r="H2141" s="11"/>
      <c r="I2141" s="7"/>
      <c r="J2141" s="7" t="str">
        <f>IFERROR(LET(_xlpm.v,
VLOOKUP($I2141,'用語辞書'!$A:$B,COLUMN('用語辞書'!B$1),FALSE),
IF(_xlpm.v=0,"",_xlpm.v)
),"")</f>
        <v/>
      </c>
      <c r="K2141" s="17"/>
      <c r="L2141" s="17" t="str">
        <f>IF(OR(COUNTIF('クラス'!$A$1:$A$1262,$B2141)&gt;0,$B2141="",$M2141=""),"",True)</f>
        <v/>
      </c>
      <c r="M2141" s="1" t="str">
        <f t="shared" si="27"/>
        <v/>
      </c>
      <c r="N2141" s="1" t="s">
        <v>29</v>
      </c>
      <c r="O2141" s="1"/>
      <c r="P2141" s="11"/>
      <c r="Q2141" s="11"/>
      <c r="R2141" s="11"/>
      <c r="S2141" s="11"/>
      <c r="T2141" s="1"/>
      <c r="U2141" s="1"/>
      <c r="V2141" s="1"/>
      <c r="W2141" s="1"/>
      <c r="X2141" s="1"/>
      <c r="Y2141" s="1"/>
      <c r="Z2141" s="1"/>
    </row>
    <row r="2142" ht="18.0" hidden="1" customHeight="1" outlineLevel="2">
      <c r="A2142" s="1">
        <v>6.0</v>
      </c>
      <c r="B2142" s="1"/>
      <c r="C2142" s="1"/>
      <c r="D2142" s="1"/>
      <c r="E2142" s="14"/>
      <c r="F2142" s="15"/>
      <c r="G2142" s="16"/>
      <c r="H2142" s="11"/>
      <c r="I2142" s="7"/>
      <c r="J2142" s="7" t="str">
        <f>IFERROR(LET(_xlpm.v,
VLOOKUP($I2142,'用語辞書'!$A:$B,COLUMN('用語辞書'!B$1),FALSE),
IF(_xlpm.v=0,"",_xlpm.v)
),"")</f>
        <v/>
      </c>
      <c r="K2142" s="17"/>
      <c r="L2142" s="17" t="str">
        <f>IF(OR(COUNTIF('クラス'!$A$1:$A$1262,$B2142)&gt;0,$B2142="",$M2142=""),"",True)</f>
        <v/>
      </c>
      <c r="M2142" s="1" t="str">
        <f t="shared" si="27"/>
        <v>存在しない</v>
      </c>
      <c r="N2142" s="1" t="s">
        <v>29</v>
      </c>
      <c r="O2142" s="1"/>
      <c r="P2142" s="11"/>
      <c r="Q2142" s="11"/>
      <c r="R2142" s="11"/>
      <c r="S2142" s="11"/>
      <c r="T2142" s="1"/>
      <c r="U2142" s="1"/>
      <c r="V2142" s="1"/>
      <c r="W2142" s="1"/>
      <c r="X2142" s="1"/>
      <c r="Y2142" s="1"/>
      <c r="Z2142" s="1"/>
    </row>
    <row r="2143" ht="18.0" hidden="1" customHeight="1" outlineLevel="2">
      <c r="A2143" s="1">
        <v>7.0</v>
      </c>
      <c r="B2143" s="26" t="s">
        <v>902</v>
      </c>
      <c r="C2143" s="1"/>
      <c r="D2143" s="1"/>
      <c r="E2143" s="14"/>
      <c r="F2143" s="15"/>
      <c r="G2143" s="16"/>
      <c r="H2143" s="11"/>
      <c r="I2143" s="7"/>
      <c r="J2143" s="7" t="str">
        <f>IFERROR(LET(_xlpm.v,
VLOOKUP($I2143,'用語辞書'!$A:$B,COLUMN('用語辞書'!B$1),FALSE),
IF(_xlpm.v=0,"",_xlpm.v)
),"")</f>
        <v/>
      </c>
      <c r="K2143" s="17"/>
      <c r="L2143" s="17" t="str">
        <f>IF(OR(COUNTIF('クラス'!$A$1:$A$1262,$B2143)&gt;0,$B2143="",$M2143=""),"",True)</f>
        <v/>
      </c>
      <c r="M2143" s="1" t="str">
        <f t="shared" si="27"/>
        <v/>
      </c>
      <c r="N2143" s="1" t="s">
        <v>29</v>
      </c>
      <c r="O2143" s="1"/>
      <c r="P2143" s="11"/>
      <c r="Q2143" s="11"/>
      <c r="R2143" s="11"/>
      <c r="S2143" s="11"/>
      <c r="T2143" s="1"/>
      <c r="U2143" s="1"/>
      <c r="V2143" s="1"/>
      <c r="W2143" s="1"/>
      <c r="X2143" s="1"/>
      <c r="Y2143" s="1"/>
      <c r="Z2143" s="1"/>
    </row>
    <row r="2144" ht="18.0" hidden="1" customHeight="1" outlineLevel="2">
      <c r="A2144" s="1">
        <v>8.0</v>
      </c>
      <c r="B2144" s="1"/>
      <c r="C2144" s="1"/>
      <c r="D2144" s="1"/>
      <c r="E2144" s="14"/>
      <c r="F2144" s="15"/>
      <c r="G2144" s="16"/>
      <c r="H2144" s="11"/>
      <c r="I2144" s="7"/>
      <c r="J2144" s="7" t="str">
        <f>IFERROR(LET(_xlpm.v,
VLOOKUP($I2144,'用語辞書'!$A:$B,COLUMN('用語辞書'!B$1),FALSE),
IF(_xlpm.v=0,"",_xlpm.v)
),"")</f>
        <v/>
      </c>
      <c r="K2144" s="17"/>
      <c r="L2144" s="17" t="str">
        <f>IF(OR(COUNTIF('クラス'!$A$1:$A$1262,$B2144)&gt;0,$B2144="",$M2144=""),"",True)</f>
        <v/>
      </c>
      <c r="M2144" s="1" t="str">
        <f t="shared" si="27"/>
        <v>存在しない</v>
      </c>
      <c r="N2144" s="1" t="s">
        <v>29</v>
      </c>
      <c r="O2144" s="1"/>
      <c r="P2144" s="11"/>
      <c r="Q2144" s="11"/>
      <c r="R2144" s="11"/>
      <c r="S2144" s="11"/>
      <c r="T2144" s="1"/>
      <c r="U2144" s="1"/>
      <c r="V2144" s="1"/>
      <c r="W2144" s="1"/>
      <c r="X2144" s="1"/>
      <c r="Y2144" s="1"/>
      <c r="Z2144" s="1"/>
    </row>
    <row r="2145" ht="18.0" hidden="1" customHeight="1" outlineLevel="2">
      <c r="A2145" s="1">
        <v>9.0</v>
      </c>
      <c r="B2145" s="26" t="s">
        <v>1772</v>
      </c>
      <c r="C2145" s="1"/>
      <c r="D2145" s="1"/>
      <c r="E2145" s="14"/>
      <c r="F2145" s="15"/>
      <c r="G2145" s="16"/>
      <c r="H2145" s="11"/>
      <c r="I2145" s="7"/>
      <c r="J2145" s="7" t="str">
        <f>IFERROR(LET(_xlpm.v,
VLOOKUP($I2145,'用語辞書'!$A:$B,COLUMN('用語辞書'!B$1),FALSE),
IF(_xlpm.v=0,"",_xlpm.v)
),"")</f>
        <v/>
      </c>
      <c r="K2145" s="17"/>
      <c r="L2145" s="17" t="str">
        <f>IF(OR(COUNTIF('クラス'!$A$1:$A$1262,$B2145)&gt;0,$B2145="",$M2145=""),"",True)</f>
        <v/>
      </c>
      <c r="M2145" s="1" t="str">
        <f t="shared" si="27"/>
        <v/>
      </c>
      <c r="N2145" s="1" t="s">
        <v>29</v>
      </c>
      <c r="O2145" s="1"/>
      <c r="P2145" s="11"/>
      <c r="Q2145" s="11"/>
      <c r="R2145" s="11"/>
      <c r="S2145" s="11"/>
      <c r="T2145" s="1"/>
      <c r="U2145" s="1"/>
      <c r="V2145" s="1"/>
      <c r="W2145" s="1"/>
      <c r="X2145" s="1"/>
      <c r="Y2145" s="1"/>
      <c r="Z2145" s="1"/>
    </row>
    <row r="2146" ht="18.0" hidden="1" customHeight="1" outlineLevel="2">
      <c r="A2146" s="1">
        <v>10.0</v>
      </c>
      <c r="B2146" s="26" t="s">
        <v>2226</v>
      </c>
      <c r="C2146" s="1"/>
      <c r="D2146" s="26" t="s">
        <v>908</v>
      </c>
      <c r="E2146" s="29" t="s">
        <v>33</v>
      </c>
      <c r="F2146" s="15"/>
      <c r="G2146" s="30">
        <v>60.0</v>
      </c>
      <c r="H2146" s="22" t="s">
        <v>2227</v>
      </c>
      <c r="I2146" s="7"/>
      <c r="J2146" s="7" t="str">
        <f>IFERROR(LET(_xlpm.v,
VLOOKUP($I2146,'用語辞書'!$A:$B,COLUMN('用語辞書'!B$1),FALSE),
IF(_xlpm.v=0,"",_xlpm.v)
),"")</f>
        <v/>
      </c>
      <c r="K2146" s="17"/>
      <c r="L2146" s="17" t="b">
        <f>IF(OR(COUNTIF('クラス'!$A$1:$A$1262,$B2146)&gt;0,$B2146="",$M2146=""),"",True)</f>
        <v>1</v>
      </c>
      <c r="M2146" s="1" t="str">
        <f t="shared" si="27"/>
        <v>存在しない</v>
      </c>
      <c r="N2146" s="1" t="s">
        <v>29</v>
      </c>
      <c r="O2146" s="1"/>
      <c r="P2146" s="11"/>
      <c r="Q2146" s="11"/>
      <c r="R2146" s="11"/>
      <c r="S2146" s="11"/>
      <c r="T2146" s="1"/>
      <c r="U2146" s="1"/>
      <c r="V2146" s="1"/>
      <c r="W2146" s="1"/>
      <c r="X2146" s="1"/>
      <c r="Y2146" s="1"/>
      <c r="Z2146" s="1"/>
    </row>
    <row r="2147" ht="18.0" customHeight="1" outlineLevel="1" collapsed="1">
      <c r="A2147" s="1"/>
      <c r="B2147" s="1"/>
      <c r="C2147" s="1"/>
      <c r="D2147" s="1"/>
      <c r="E2147" s="14"/>
      <c r="F2147" s="15"/>
      <c r="G2147" s="16"/>
      <c r="H2147" s="11"/>
      <c r="I2147" s="7"/>
      <c r="J2147" s="7" t="str">
        <f>IFERROR(LET(_xlpm.v,
VLOOKUP($I2147,'用語辞書'!$A:$B,COLUMN('用語辞書'!B$1),FALSE),
IF(_xlpm.v=0,"",_xlpm.v)
),"")</f>
        <v/>
      </c>
      <c r="K2147" s="17"/>
      <c r="L2147" s="17" t="str">
        <f>IF(OR(COUNTIF('クラス'!$A$1:$A$1262,$B2147)&gt;0,$B2147="",$M2147=""),"",True)</f>
        <v/>
      </c>
      <c r="M2147" s="1" t="str">
        <f t="shared" si="27"/>
        <v>存在しない</v>
      </c>
      <c r="N2147" s="1" t="s">
        <v>29</v>
      </c>
      <c r="O2147" s="1"/>
      <c r="P2147" s="11"/>
      <c r="Q2147" s="11"/>
      <c r="R2147" s="11"/>
      <c r="S2147" s="11"/>
      <c r="T2147" s="1"/>
      <c r="U2147" s="1"/>
      <c r="V2147" s="1"/>
      <c r="W2147" s="1"/>
      <c r="X2147" s="1"/>
      <c r="Y2147" s="1"/>
      <c r="Z2147" s="1"/>
    </row>
    <row r="2148" ht="18.0" customHeight="1" outlineLevel="1">
      <c r="A2148" s="1"/>
      <c r="B2148" s="26" t="s">
        <v>2228</v>
      </c>
      <c r="C2148" s="1"/>
      <c r="D2148" s="1"/>
      <c r="E2148" s="14"/>
      <c r="F2148" s="15"/>
      <c r="G2148" s="16"/>
      <c r="H2148" s="11"/>
      <c r="I2148" s="7"/>
      <c r="J2148" s="7" t="str">
        <f>IFERROR(LET(_xlpm.v,
VLOOKUP($I2148,'用語辞書'!$A:$B,COLUMN('用語辞書'!B$1),FALSE),
IF(_xlpm.v=0,"",_xlpm.v)
),"")</f>
        <v/>
      </c>
      <c r="K2148" s="17"/>
      <c r="L2148" s="17" t="str">
        <f>IF(OR(COUNTIF('クラス'!$A$1:$A$1262,$B2148)&gt;0,$B2148="",$M2148=""),"",True)</f>
        <v/>
      </c>
      <c r="M2148" s="1" t="str">
        <f t="shared" si="27"/>
        <v>存在しない</v>
      </c>
      <c r="N2148" s="1" t="s">
        <v>29</v>
      </c>
      <c r="O2148" s="1"/>
      <c r="P2148" s="11"/>
      <c r="Q2148" s="11"/>
      <c r="R2148" s="11"/>
      <c r="S2148" s="11"/>
      <c r="T2148" s="1"/>
      <c r="U2148" s="1"/>
      <c r="V2148" s="1"/>
      <c r="W2148" s="1"/>
      <c r="X2148" s="1"/>
      <c r="Y2148" s="1"/>
      <c r="Z2148" s="1"/>
    </row>
    <row r="2149" ht="18.0" hidden="1" customHeight="1" outlineLevel="2">
      <c r="A2149" s="1">
        <v>1.0</v>
      </c>
      <c r="B2149" s="26" t="s">
        <v>2229</v>
      </c>
      <c r="C2149" s="1"/>
      <c r="D2149" s="26" t="s">
        <v>965</v>
      </c>
      <c r="E2149" s="29" t="s">
        <v>33</v>
      </c>
      <c r="F2149" s="15"/>
      <c r="G2149" s="30">
        <v>60.0</v>
      </c>
      <c r="H2149" s="22" t="s">
        <v>2230</v>
      </c>
      <c r="I2149" s="7"/>
      <c r="J2149" s="7" t="str">
        <f>IFERROR(LET(_xlpm.v,
VLOOKUP($I2149,'用語辞書'!$A:$B,COLUMN('用語辞書'!B$1),FALSE),
IF(_xlpm.v=0,"",_xlpm.v)
),"")</f>
        <v/>
      </c>
      <c r="K2149" s="17"/>
      <c r="L2149" s="17" t="b">
        <f>IF(OR(COUNTIF('クラス'!$A$1:$A$1262,$B2149)&gt;0,$B2149="",$M2149=""),"",True)</f>
        <v>1</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2.0</v>
      </c>
      <c r="B2150" s="1"/>
      <c r="C2150" s="1"/>
      <c r="D2150" s="1"/>
      <c r="E2150" s="14"/>
      <c r="F2150" s="15"/>
      <c r="G2150" s="16"/>
      <c r="H2150" s="11"/>
      <c r="I2150" s="7"/>
      <c r="J2150" s="7" t="str">
        <f>IFERROR(LET(_xlpm.v,
VLOOKUP($I2150,'用語辞書'!$A:$B,COLUMN('用語辞書'!B$1),FALSE),
IF(_xlpm.v=0,"",_xlpm.v)
),"")</f>
        <v/>
      </c>
      <c r="K2150" s="17"/>
      <c r="L2150" s="17" t="str">
        <f>IF(OR(COUNTIF('クラス'!$A$1:$A$1262,$B2150)&gt;0,$B2150="",$M2150=""),"",True)</f>
        <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3.0</v>
      </c>
      <c r="B2151" s="26" t="s">
        <v>966</v>
      </c>
      <c r="C2151" s="1"/>
      <c r="D2151" s="1"/>
      <c r="E2151" s="14"/>
      <c r="F2151" s="15"/>
      <c r="G2151" s="16"/>
      <c r="H2151" s="11"/>
      <c r="I2151" s="7"/>
      <c r="J2151" s="7" t="str">
        <f>IFERROR(LET(_xlpm.v,
VLOOKUP($I2151,'用語辞書'!$A:$B,COLUMN('用語辞書'!B$1),FALSE),
IF(_xlpm.v=0,"",_xlpm.v)
),"")</f>
        <v/>
      </c>
      <c r="K2151" s="17"/>
      <c r="L2151" s="17" t="str">
        <f>IF(OR(COUNTIF('クラス'!$A$1:$A$1262,$B2151)&gt;0,$B2151="",$M2151=""),"",True)</f>
        <v/>
      </c>
      <c r="M2151" s="1" t="str">
        <f t="shared" si="27"/>
        <v/>
      </c>
      <c r="N2151" s="1" t="s">
        <v>29</v>
      </c>
      <c r="O2151" s="1"/>
      <c r="P2151" s="11"/>
      <c r="Q2151" s="11"/>
      <c r="R2151" s="11"/>
      <c r="S2151" s="11"/>
      <c r="T2151" s="1"/>
      <c r="U2151" s="1"/>
      <c r="V2151" s="1"/>
      <c r="W2151" s="1"/>
      <c r="X2151" s="1"/>
      <c r="Y2151" s="1"/>
      <c r="Z2151" s="1"/>
    </row>
    <row r="2152" ht="18.0" hidden="1" customHeight="1" outlineLevel="2">
      <c r="A2152" s="1">
        <v>4.0</v>
      </c>
      <c r="B2152" s="1"/>
      <c r="C2152" s="1"/>
      <c r="D2152" s="1"/>
      <c r="E2152" s="14"/>
      <c r="F2152" s="15"/>
      <c r="G2152" s="16"/>
      <c r="H2152" s="11"/>
      <c r="I2152" s="7"/>
      <c r="J2152" s="7" t="str">
        <f>IFERROR(LET(_xlpm.v,
VLOOKUP($I2152,'用語辞書'!$A:$B,COLUMN('用語辞書'!B$1),FALSE),
IF(_xlpm.v=0,"",_xlpm.v)
),"")</f>
        <v/>
      </c>
      <c r="K2152" s="17"/>
      <c r="L2152" s="17" t="str">
        <f>IF(OR(COUNTIF('クラス'!$A$1:$A$1262,$B2152)&gt;0,$B2152="",$M2152=""),"",True)</f>
        <v/>
      </c>
      <c r="M2152" s="1" t="str">
        <f t="shared" si="27"/>
        <v>存在しない</v>
      </c>
      <c r="N2152" s="1" t="s">
        <v>29</v>
      </c>
      <c r="O2152" s="1"/>
      <c r="P2152" s="11"/>
      <c r="Q2152" s="11"/>
      <c r="R2152" s="11"/>
      <c r="S2152" s="11"/>
      <c r="T2152" s="1"/>
      <c r="U2152" s="1"/>
      <c r="V2152" s="1"/>
      <c r="W2152" s="1"/>
      <c r="X2152" s="1"/>
      <c r="Y2152" s="1"/>
      <c r="Z2152" s="1"/>
    </row>
    <row r="2153" ht="18.0" hidden="1" customHeight="1" outlineLevel="2">
      <c r="A2153" s="1">
        <v>5.0</v>
      </c>
      <c r="B2153" s="26" t="s">
        <v>1789</v>
      </c>
      <c r="C2153" s="1"/>
      <c r="D2153" s="1"/>
      <c r="E2153" s="14"/>
      <c r="F2153" s="15"/>
      <c r="G2153" s="16"/>
      <c r="H2153" s="11"/>
      <c r="I2153" s="7"/>
      <c r="J2153" s="7" t="str">
        <f>IFERROR(LET(_xlpm.v,
VLOOKUP($I2153,'用語辞書'!$A:$B,COLUMN('用語辞書'!B$1),FALSE),
IF(_xlpm.v=0,"",_xlpm.v)
),"")</f>
        <v/>
      </c>
      <c r="K2153" s="17"/>
      <c r="L2153" s="17" t="str">
        <f>IF(OR(COUNTIF('クラス'!$A$1:$A$1262,$B2153)&gt;0,$B2153="",$M2153=""),"",True)</f>
        <v/>
      </c>
      <c r="M2153" s="1" t="str">
        <f t="shared" si="27"/>
        <v/>
      </c>
      <c r="N2153" s="1" t="s">
        <v>29</v>
      </c>
      <c r="O2153" s="1"/>
      <c r="P2153" s="11"/>
      <c r="Q2153" s="11"/>
      <c r="R2153" s="11"/>
      <c r="S2153" s="11"/>
      <c r="T2153" s="1"/>
      <c r="U2153" s="1"/>
      <c r="V2153" s="1"/>
      <c r="W2153" s="1"/>
      <c r="X2153" s="1"/>
      <c r="Y2153" s="1"/>
      <c r="Z2153" s="1"/>
    </row>
    <row r="2154" ht="18.0" hidden="1" customHeight="1" outlineLevel="2">
      <c r="A2154" s="1">
        <v>6.0</v>
      </c>
      <c r="B2154" s="1"/>
      <c r="C2154" s="1"/>
      <c r="D2154" s="1"/>
      <c r="E2154" s="14"/>
      <c r="F2154" s="15"/>
      <c r="G2154" s="16"/>
      <c r="H2154" s="11"/>
      <c r="I2154" s="7"/>
      <c r="J2154" s="7" t="str">
        <f>IFERROR(LET(_xlpm.v,
VLOOKUP($I2154,'用語辞書'!$A:$B,COLUMN('用語辞書'!B$1),FALSE),
IF(_xlpm.v=0,"",_xlpm.v)
),"")</f>
        <v/>
      </c>
      <c r="K2154" s="17"/>
      <c r="L2154" s="17" t="str">
        <f>IF(OR(COUNTIF('クラス'!$A$1:$A$1262,$B2154)&gt;0,$B2154="",$M2154=""),"",True)</f>
        <v/>
      </c>
      <c r="M2154" s="1" t="str">
        <f t="shared" si="27"/>
        <v>存在しない</v>
      </c>
      <c r="N2154" s="1" t="s">
        <v>29</v>
      </c>
      <c r="O2154" s="1"/>
      <c r="P2154" s="11"/>
      <c r="Q2154" s="11"/>
      <c r="R2154" s="11"/>
      <c r="S2154" s="11"/>
      <c r="T2154" s="1"/>
      <c r="U2154" s="1"/>
      <c r="V2154" s="1"/>
      <c r="W2154" s="1"/>
      <c r="X2154" s="1"/>
      <c r="Y2154" s="1"/>
      <c r="Z2154" s="1"/>
    </row>
    <row r="2155" ht="18.0" hidden="1" customHeight="1" outlineLevel="2">
      <c r="A2155" s="1">
        <v>7.0</v>
      </c>
      <c r="B2155" s="26" t="s">
        <v>978</v>
      </c>
      <c r="C2155" s="1"/>
      <c r="D2155" s="1"/>
      <c r="E2155" s="14"/>
      <c r="F2155" s="15"/>
      <c r="G2155" s="16"/>
      <c r="H2155" s="11"/>
      <c r="I2155" s="7"/>
      <c r="J2155" s="7" t="str">
        <f>IFERROR(LET(_xlpm.v,
VLOOKUP($I2155,'用語辞書'!$A:$B,COLUMN('用語辞書'!B$1),FALSE),
IF(_xlpm.v=0,"",_xlpm.v)
),"")</f>
        <v/>
      </c>
      <c r="K2155" s="17"/>
      <c r="L2155" s="17" t="str">
        <f>IF(OR(COUNTIF('クラス'!$A$1:$A$1262,$B2155)&gt;0,$B2155="",$M2155=""),"",True)</f>
        <v/>
      </c>
      <c r="M2155" s="1" t="str">
        <f t="shared" si="27"/>
        <v/>
      </c>
      <c r="N2155" s="1" t="s">
        <v>29</v>
      </c>
      <c r="O2155" s="1"/>
      <c r="P2155" s="11"/>
      <c r="Q2155" s="11"/>
      <c r="R2155" s="11"/>
      <c r="S2155" s="11"/>
      <c r="T2155" s="1"/>
      <c r="U2155" s="1"/>
      <c r="V2155" s="1"/>
      <c r="W2155" s="1"/>
      <c r="X2155" s="1"/>
      <c r="Y2155" s="1"/>
      <c r="Z2155" s="1"/>
    </row>
    <row r="2156" ht="18.0" hidden="1" customHeight="1" outlineLevel="2">
      <c r="A2156" s="1">
        <v>8.0</v>
      </c>
      <c r="B2156" s="1"/>
      <c r="C2156" s="1"/>
      <c r="D2156" s="1"/>
      <c r="E2156" s="14"/>
      <c r="F2156" s="15"/>
      <c r="G2156" s="16"/>
      <c r="H2156" s="11"/>
      <c r="I2156" s="7"/>
      <c r="J2156" s="7" t="str">
        <f>IFERROR(LET(_xlpm.v,
VLOOKUP($I2156,'用語辞書'!$A:$B,COLUMN('用語辞書'!B$1),FALSE),
IF(_xlpm.v=0,"",_xlpm.v)
),"")</f>
        <v/>
      </c>
      <c r="K2156" s="17"/>
      <c r="L2156" s="17" t="str">
        <f>IF(OR(COUNTIF('クラス'!$A$1:$A$1262,$B2156)&gt;0,$B2156="",$M2156=""),"",True)</f>
        <v/>
      </c>
      <c r="M2156" s="1" t="str">
        <f t="shared" si="27"/>
        <v>存在しない</v>
      </c>
      <c r="N2156" s="1" t="s">
        <v>29</v>
      </c>
      <c r="O2156" s="1"/>
      <c r="P2156" s="11"/>
      <c r="Q2156" s="11"/>
      <c r="R2156" s="11"/>
      <c r="S2156" s="11"/>
      <c r="T2156" s="1"/>
      <c r="U2156" s="1"/>
      <c r="V2156" s="1"/>
      <c r="W2156" s="1"/>
      <c r="X2156" s="1"/>
      <c r="Y2156" s="1"/>
      <c r="Z2156" s="1"/>
    </row>
    <row r="2157" ht="18.0" hidden="1" customHeight="1" outlineLevel="2">
      <c r="A2157" s="1">
        <v>9.0</v>
      </c>
      <c r="B2157" s="26" t="s">
        <v>1793</v>
      </c>
      <c r="C2157" s="1"/>
      <c r="D2157" s="1"/>
      <c r="E2157" s="14"/>
      <c r="F2157" s="15"/>
      <c r="G2157" s="16"/>
      <c r="H2157" s="11"/>
      <c r="I2157" s="7"/>
      <c r="J2157" s="7" t="str">
        <f>IFERROR(LET(_xlpm.v,
VLOOKUP($I2157,'用語辞書'!$A:$B,COLUMN('用語辞書'!B$1),FALSE),
IF(_xlpm.v=0,"",_xlpm.v)
),"")</f>
        <v/>
      </c>
      <c r="K2157" s="17"/>
      <c r="L2157" s="17" t="str">
        <f>IF(OR(COUNTIF('クラス'!$A$1:$A$1262,$B2157)&gt;0,$B2157="",$M2157=""),"",True)</f>
        <v/>
      </c>
      <c r="M2157" s="1" t="str">
        <f t="shared" si="27"/>
        <v/>
      </c>
      <c r="N2157" s="1" t="s">
        <v>29</v>
      </c>
      <c r="O2157" s="1"/>
      <c r="P2157" s="11"/>
      <c r="Q2157" s="11"/>
      <c r="R2157" s="11"/>
      <c r="S2157" s="11"/>
      <c r="T2157" s="1"/>
      <c r="U2157" s="1"/>
      <c r="V2157" s="1"/>
      <c r="W2157" s="1"/>
      <c r="X2157" s="1"/>
      <c r="Y2157" s="1"/>
      <c r="Z2157" s="1"/>
    </row>
    <row r="2158" ht="18.0" hidden="1" customHeight="1" outlineLevel="2">
      <c r="A2158" s="1">
        <v>10.0</v>
      </c>
      <c r="B2158" s="26" t="s">
        <v>2231</v>
      </c>
      <c r="C2158" s="1"/>
      <c r="D2158" s="26" t="s">
        <v>965</v>
      </c>
      <c r="E2158" s="29" t="s">
        <v>33</v>
      </c>
      <c r="F2158" s="15"/>
      <c r="G2158" s="30">
        <v>60.0</v>
      </c>
      <c r="H2158" s="22" t="s">
        <v>2232</v>
      </c>
      <c r="I2158" s="7"/>
      <c r="J2158" s="7" t="str">
        <f>IFERROR(LET(_xlpm.v,
VLOOKUP($I2158,'用語辞書'!$A:$B,COLUMN('用語辞書'!B$1),FALSE),
IF(_xlpm.v=0,"",_xlpm.v)
),"")</f>
        <v/>
      </c>
      <c r="K2158" s="17"/>
      <c r="L2158" s="17" t="b">
        <f>IF(OR(COUNTIF('クラス'!$A$1:$A$1262,$B2158)&gt;0,$B2158="",$M2158=""),"",True)</f>
        <v>1</v>
      </c>
      <c r="M2158" s="1" t="str">
        <f t="shared" si="27"/>
        <v>存在しない</v>
      </c>
      <c r="N2158" s="1" t="s">
        <v>29</v>
      </c>
      <c r="O2158" s="1"/>
      <c r="P2158" s="11"/>
      <c r="Q2158" s="11"/>
      <c r="R2158" s="11"/>
      <c r="S2158" s="11"/>
      <c r="T2158" s="1"/>
      <c r="U2158" s="1"/>
      <c r="V2158" s="1"/>
      <c r="W2158" s="1"/>
      <c r="X2158" s="1"/>
      <c r="Y2158" s="1"/>
      <c r="Z2158" s="1"/>
    </row>
    <row r="2159" ht="18.0" customHeight="1" collapsed="1">
      <c r="A2159" s="1"/>
      <c r="B2159" s="1"/>
      <c r="C2159" s="26" t="s">
        <v>2233</v>
      </c>
      <c r="D2159" s="1"/>
      <c r="E2159" s="14"/>
      <c r="F2159" s="15"/>
      <c r="G2159" s="16"/>
      <c r="H2159" s="11"/>
      <c r="I2159" s="7"/>
      <c r="J2159" s="7" t="str">
        <f>IFERROR(LET(_xlpm.v,
VLOOKUP($I2159,'用語辞書'!$A:$B,COLUMN('用語辞書'!B$1),FALSE),
IF(_xlpm.v=0,"",_xlpm.v)
),"")</f>
        <v/>
      </c>
      <c r="K2159" s="17"/>
      <c r="L2159" s="17" t="str">
        <f>IF(OR(COUNTIF('クラス'!$A$1:$A$1262,$B2159)&gt;0,$B2159="",$M2159=""),"",True)</f>
        <v/>
      </c>
      <c r="M2159" s="1" t="str">
        <f t="shared" si="27"/>
        <v>存在しない</v>
      </c>
      <c r="N2159" s="1" t="s">
        <v>29</v>
      </c>
      <c r="O2159" s="1"/>
      <c r="P2159" s="11"/>
      <c r="Q2159" s="11"/>
      <c r="R2159" s="11"/>
      <c r="S2159" s="11"/>
      <c r="T2159" s="1"/>
      <c r="U2159" s="1"/>
      <c r="V2159" s="1"/>
      <c r="W2159" s="1"/>
      <c r="X2159" s="1"/>
      <c r="Y2159" s="1"/>
      <c r="Z2159" s="1"/>
    </row>
    <row r="2160" ht="18.0" customHeight="1">
      <c r="A2160" s="1"/>
      <c r="B2160" s="26" t="s">
        <v>2234</v>
      </c>
      <c r="C2160" s="26" t="s">
        <v>2235</v>
      </c>
      <c r="D2160" s="1"/>
      <c r="E2160" s="14"/>
      <c r="F2160" s="15"/>
      <c r="G2160" s="16"/>
      <c r="H2160" s="11"/>
      <c r="I2160" s="7"/>
      <c r="J2160" s="7" t="str">
        <f>IFERROR(LET(_xlpm.v,
VLOOKUP($I2160,'用語辞書'!$A:$B,COLUMN('用語辞書'!B$1),FALSE),
IF(_xlpm.v=0,"",_xlpm.v)
),"")</f>
        <v/>
      </c>
      <c r="K2160" s="17"/>
      <c r="L2160" s="17" t="str">
        <f>IF(OR(COUNTIF('クラス'!$A$1:$A$1262,$B2160)&gt;0,$B2160="",$M2160=""),"",True)</f>
        <v/>
      </c>
      <c r="M2160" s="1" t="str">
        <f t="shared" si="27"/>
        <v>存在しない</v>
      </c>
      <c r="N2160" s="1" t="s">
        <v>29</v>
      </c>
      <c r="O2160" s="1"/>
      <c r="P2160" s="11"/>
      <c r="Q2160" s="11"/>
      <c r="R2160" s="11"/>
      <c r="S2160" s="11"/>
      <c r="T2160" s="1"/>
      <c r="U2160" s="1"/>
      <c r="V2160" s="1"/>
      <c r="W2160" s="1"/>
      <c r="X2160" s="1"/>
      <c r="Y2160" s="1"/>
      <c r="Z2160" s="1"/>
    </row>
    <row r="2161" ht="18.0" hidden="1" customHeight="1" outlineLevel="1">
      <c r="A2161" s="1">
        <v>1.0</v>
      </c>
      <c r="B2161" s="26" t="s">
        <v>1136</v>
      </c>
      <c r="C2161" s="1"/>
      <c r="D2161" s="1"/>
      <c r="E2161" s="14"/>
      <c r="F2161" s="15"/>
      <c r="G2161" s="16"/>
      <c r="H2161" s="11"/>
      <c r="I2161" s="7"/>
      <c r="J2161" s="7" t="str">
        <f>IFERROR(LET(_xlpm.v,
VLOOKUP($I2161,'用語辞書'!$A:$B,COLUMN('用語辞書'!B$1),FALSE),
IF(_xlpm.v=0,"",_xlpm.v)
),"")</f>
        <v/>
      </c>
      <c r="K2161" s="17"/>
      <c r="L2161" s="17" t="str">
        <f>IF(OR(COUNTIF('クラス'!$A$1:$A$1262,$B2161)&gt;0,$B2161="",$M2161=""),"",True)</f>
        <v/>
      </c>
      <c r="M2161" s="1" t="str">
        <f t="shared" si="27"/>
        <v/>
      </c>
      <c r="N2161" s="1" t="s">
        <v>29</v>
      </c>
      <c r="O2161" s="1"/>
      <c r="P2161" s="11"/>
      <c r="Q2161" s="11"/>
      <c r="R2161" s="11"/>
      <c r="S2161" s="11"/>
      <c r="T2161" s="1"/>
      <c r="U2161" s="1"/>
      <c r="V2161" s="1"/>
      <c r="W2161" s="1"/>
      <c r="X2161" s="1"/>
      <c r="Y2161" s="1"/>
      <c r="Z2161" s="1"/>
    </row>
    <row r="2162" ht="18.0" hidden="1" customHeight="1" outlineLevel="1">
      <c r="A2162" s="1">
        <v>2.0</v>
      </c>
      <c r="B2162" s="26" t="s">
        <v>1144</v>
      </c>
      <c r="C2162" s="1"/>
      <c r="D2162" s="1"/>
      <c r="E2162" s="14"/>
      <c r="F2162" s="15"/>
      <c r="G2162" s="16"/>
      <c r="H2162" s="11"/>
      <c r="I2162" s="7"/>
      <c r="J2162" s="7" t="str">
        <f>IFERROR(LET(_xlpm.v,
VLOOKUP($I2162,'用語辞書'!$A:$B,COLUMN('用語辞書'!B$1),FALSE),
IF(_xlpm.v=0,"",_xlpm.v)
),"")</f>
        <v/>
      </c>
      <c r="K2162" s="17"/>
      <c r="L2162" s="17" t="str">
        <f>IF(OR(COUNTIF('クラス'!$A$1:$A$1262,$B2162)&gt;0,$B2162="",$M2162=""),"",True)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3.0</v>
      </c>
      <c r="B2163" s="26" t="s">
        <v>1139</v>
      </c>
      <c r="C2163" s="1"/>
      <c r="D2163" s="1"/>
      <c r="E2163" s="14"/>
      <c r="F2163" s="15"/>
      <c r="G2163" s="16"/>
      <c r="H2163" s="11"/>
      <c r="I2163" s="7"/>
      <c r="J2163" s="7" t="str">
        <f>IFERROR(LET(_xlpm.v,
VLOOKUP($I2163,'用語辞書'!$A:$B,COLUMN('用語辞書'!B$1),FALSE),
IF(_xlpm.v=0,"",_xlpm.v)
),"")</f>
        <v/>
      </c>
      <c r="K2163" s="17"/>
      <c r="L2163" s="17" t="str">
        <f>IF(OR(COUNTIF('クラス'!$A$1:$A$1262,$B2163)&gt;0,$B2163="",$M2163=""),"",True)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4.0</v>
      </c>
      <c r="B2164" s="26" t="s">
        <v>1140</v>
      </c>
      <c r="C2164" s="1"/>
      <c r="D2164" s="1"/>
      <c r="E2164" s="14"/>
      <c r="F2164" s="15"/>
      <c r="G2164" s="16"/>
      <c r="H2164" s="11"/>
      <c r="I2164" s="7"/>
      <c r="J2164" s="7" t="str">
        <f>IFERROR(LET(_xlpm.v,
VLOOKUP($I2164,'用語辞書'!$A:$B,COLUMN('用語辞書'!B$1),FALSE),
IF(_xlpm.v=0,"",_xlpm.v)
),"")</f>
        <v/>
      </c>
      <c r="K2164" s="17"/>
      <c r="L2164" s="17" t="str">
        <f>IF(OR(COUNTIF('クラス'!$A$1:$A$1262,$B2164)&gt;0,$B2164="",$M2164=""),"",True)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5.0</v>
      </c>
      <c r="B2165" s="26" t="s">
        <v>1209</v>
      </c>
      <c r="C2165" s="1"/>
      <c r="D2165" s="1"/>
      <c r="E2165" s="14"/>
      <c r="F2165" s="15"/>
      <c r="G2165" s="16"/>
      <c r="H2165" s="11"/>
      <c r="I2165" s="7"/>
      <c r="J2165" s="7" t="str">
        <f>IFERROR(LET(_xlpm.v,
VLOOKUP($I2165,'用語辞書'!$A:$B,COLUMN('用語辞書'!B$1),FALSE),
IF(_xlpm.v=0,"",_xlpm.v)
),"")</f>
        <v/>
      </c>
      <c r="K2165" s="17"/>
      <c r="L2165" s="17" t="str">
        <f>IF(OR(COUNTIF('クラス'!$A$1:$A$1262,$B2165)&gt;0,$B2165="",$M2165=""),"",True)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6.0</v>
      </c>
      <c r="B2166" s="26" t="s">
        <v>29</v>
      </c>
      <c r="C2166" s="1"/>
      <c r="D2166" s="1"/>
      <c r="E2166" s="14"/>
      <c r="F2166" s="15"/>
      <c r="G2166" s="16"/>
      <c r="H2166" s="11"/>
      <c r="I2166" s="7"/>
      <c r="J2166" s="7" t="str">
        <f>IFERROR(LET(_xlpm.v,
VLOOKUP($I2166,'用語辞書'!$A:$B,COLUMN('用語辞書'!B$1),FALSE),
IF(_xlpm.v=0,"",_xlpm.v)
),"")</f>
        <v/>
      </c>
      <c r="K2166" s="17"/>
      <c r="L2166" s="17" t="str">
        <f>IF(OR(COUNTIF('クラス'!$A$1:$A$1262,$B2166)&gt;0,$B2166="",$M2166=""),"",True)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7.0</v>
      </c>
      <c r="B2167" s="26" t="s">
        <v>2000</v>
      </c>
      <c r="C2167" s="1"/>
      <c r="D2167" s="1"/>
      <c r="E2167" s="14"/>
      <c r="F2167" s="15"/>
      <c r="G2167" s="16"/>
      <c r="H2167" s="11"/>
      <c r="I2167" s="7"/>
      <c r="J2167" s="7" t="str">
        <f>IFERROR(LET(_xlpm.v,
VLOOKUP($I2167,'用語辞書'!$A:$B,COLUMN('用語辞書'!B$1),FALSE),
IF(_xlpm.v=0,"",_xlpm.v)
),"")</f>
        <v/>
      </c>
      <c r="K2167" s="17"/>
      <c r="L2167" s="17" t="str">
        <f>IF(OR(COUNTIF('クラス'!$A$1:$A$1262,$B2167)&gt;0,$B2167="",$M2167=""),"",True)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8.0</v>
      </c>
      <c r="B2168" s="26" t="s">
        <v>29</v>
      </c>
      <c r="C2168" s="1"/>
      <c r="D2168" s="1"/>
      <c r="E2168" s="14"/>
      <c r="F2168" s="15"/>
      <c r="G2168" s="16"/>
      <c r="H2168" s="11"/>
      <c r="I2168" s="7"/>
      <c r="J2168" s="7" t="str">
        <f>IFERROR(LET(_xlpm.v,
VLOOKUP($I2168,'用語辞書'!$A:$B,COLUMN('用語辞書'!B$1),FALSE),
IF(_xlpm.v=0,"",_xlpm.v)
),"")</f>
        <v/>
      </c>
      <c r="K2168" s="17"/>
      <c r="L2168" s="17" t="str">
        <f>IF(OR(COUNTIF('クラス'!$A$1:$A$1262,$B2168)&gt;0,$B2168="",$M2168=""),"",True)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9.0</v>
      </c>
      <c r="B2169" s="26" t="s">
        <v>29</v>
      </c>
      <c r="C2169" s="1"/>
      <c r="D2169" s="1"/>
      <c r="E2169" s="14"/>
      <c r="F2169" s="15"/>
      <c r="G2169" s="16"/>
      <c r="H2169" s="11"/>
      <c r="I2169" s="7"/>
      <c r="J2169" s="7" t="str">
        <f>IFERROR(LET(_xlpm.v,
VLOOKUP($I2169,'用語辞書'!$A:$B,COLUMN('用語辞書'!B$1),FALSE),
IF(_xlpm.v=0,"",_xlpm.v)
),"")</f>
        <v/>
      </c>
      <c r="K2169" s="17"/>
      <c r="L2169" s="17" t="str">
        <f>IF(OR(COUNTIF('クラス'!$A$1:$A$1262,$B2169)&gt;0,$B2169="",$M2169=""),"",True)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10.0</v>
      </c>
      <c r="B2170" s="26" t="s">
        <v>2236</v>
      </c>
      <c r="C2170" s="26" t="s">
        <v>29</v>
      </c>
      <c r="D2170" s="26" t="s">
        <v>29</v>
      </c>
      <c r="E2170" s="29" t="s">
        <v>55</v>
      </c>
      <c r="F2170" s="34" t="s">
        <v>29</v>
      </c>
      <c r="G2170" s="30" t="s">
        <v>29</v>
      </c>
      <c r="H2170" s="22" t="s">
        <v>2237</v>
      </c>
      <c r="I2170" s="7"/>
      <c r="J2170" s="7" t="str">
        <f>IFERROR(LET(_xlpm.v,
VLOOKUP($I2170,'用語辞書'!$A:$B,COLUMN('用語辞書'!B$1),FALSE),
IF(_xlpm.v=0,"",_xlpm.v)
),"")</f>
        <v/>
      </c>
      <c r="K2170" s="17"/>
      <c r="L2170" s="17" t="b">
        <f>IF(OR(COUNTIF('クラス'!$A$1:$A$1262,$B2170)&gt;0,$B2170="",$M2170=""),"",True)</f>
        <v>1</v>
      </c>
      <c r="M2170" s="1" t="str">
        <f t="shared" si="27"/>
        <v>存在しない</v>
      </c>
      <c r="N2170" s="1" t="s">
        <v>29</v>
      </c>
      <c r="O2170" s="1"/>
      <c r="P2170" s="11"/>
      <c r="Q2170" s="11"/>
      <c r="R2170" s="11"/>
      <c r="S2170" s="11"/>
      <c r="T2170" s="1"/>
      <c r="U2170" s="1"/>
      <c r="V2170" s="1"/>
      <c r="W2170" s="1"/>
      <c r="X2170" s="1"/>
      <c r="Y2170" s="1"/>
      <c r="Z2170" s="1"/>
    </row>
    <row r="2171" ht="18.0" customHeight="1" collapsed="1">
      <c r="A2171" s="1"/>
      <c r="B2171" s="1"/>
      <c r="C2171" s="1"/>
      <c r="D2171" s="1"/>
      <c r="E2171" s="14"/>
      <c r="F2171" s="15"/>
      <c r="G2171" s="16"/>
      <c r="H2171" s="11"/>
      <c r="I2171" s="7"/>
      <c r="J2171" s="7" t="str">
        <f>IFERROR(LET(_xlpm.v,
VLOOKUP($I2171,'用語辞書'!$A:$B,COLUMN('用語辞書'!B$1),FALSE),
IF(_xlpm.v=0,"",_xlpm.v)
),"")</f>
        <v/>
      </c>
      <c r="K2171" s="17"/>
      <c r="L2171" s="17" t="str">
        <f>IF(OR(COUNTIF('クラス'!$A$1:$A$1262,$B2171)&gt;0,$B2171="",$M2171=""),"",True)</f>
        <v/>
      </c>
      <c r="M2171" s="1" t="str">
        <f t="shared" si="27"/>
        <v>存在しない</v>
      </c>
      <c r="N2171" s="1" t="s">
        <v>29</v>
      </c>
      <c r="O2171" s="1"/>
      <c r="P2171" s="11"/>
      <c r="Q2171" s="11"/>
      <c r="R2171" s="11"/>
      <c r="S2171" s="11"/>
      <c r="T2171" s="1"/>
      <c r="U2171" s="1"/>
      <c r="V2171" s="1"/>
      <c r="W2171" s="1"/>
      <c r="X2171" s="1"/>
      <c r="Y2171" s="1"/>
      <c r="Z2171" s="1"/>
    </row>
    <row r="2172" ht="18.0" customHeight="1">
      <c r="A2172" s="1"/>
      <c r="B2172" s="26" t="s">
        <v>2238</v>
      </c>
      <c r="C2172" s="26" t="s">
        <v>2235</v>
      </c>
      <c r="D2172" s="1"/>
      <c r="E2172" s="14"/>
      <c r="F2172" s="15"/>
      <c r="G2172" s="16"/>
      <c r="H2172" s="11"/>
      <c r="I2172" s="7"/>
      <c r="J2172" s="7" t="str">
        <f>IFERROR(LET(_xlpm.v,
VLOOKUP($I2172,'用語辞書'!$A:$B,COLUMN('用語辞書'!B$1),FALSE),
IF(_xlpm.v=0,"",_xlpm.v)
),"")</f>
        <v/>
      </c>
      <c r="K2172" s="17"/>
      <c r="L2172" s="17" t="str">
        <f>IF(OR(COUNTIF('クラス'!$A$1:$A$1262,$B2172)&gt;0,$B2172="",$M2172=""),"",True)</f>
        <v/>
      </c>
      <c r="M2172" s="1" t="str">
        <f t="shared" si="27"/>
        <v>存在しない</v>
      </c>
      <c r="N2172" s="1" t="s">
        <v>29</v>
      </c>
      <c r="O2172" s="1"/>
      <c r="P2172" s="11"/>
      <c r="Q2172" s="11"/>
      <c r="R2172" s="11"/>
      <c r="S2172" s="11"/>
      <c r="T2172" s="1"/>
      <c r="U2172" s="1"/>
      <c r="V2172" s="1"/>
      <c r="W2172" s="1"/>
      <c r="X2172" s="1"/>
      <c r="Y2172" s="1"/>
      <c r="Z2172" s="1"/>
    </row>
    <row r="2173" ht="18.0" hidden="1" customHeight="1" outlineLevel="1">
      <c r="A2173" s="1">
        <v>1.0</v>
      </c>
      <c r="B2173" s="26" t="s">
        <v>2239</v>
      </c>
      <c r="C2173" s="26" t="s">
        <v>29</v>
      </c>
      <c r="D2173" s="26" t="s">
        <v>29</v>
      </c>
      <c r="E2173" s="29" t="s">
        <v>55</v>
      </c>
      <c r="F2173" s="34" t="s">
        <v>29</v>
      </c>
      <c r="G2173" s="30" t="s">
        <v>29</v>
      </c>
      <c r="H2173" s="22" t="s">
        <v>1578</v>
      </c>
      <c r="I2173" s="7"/>
      <c r="J2173" s="7" t="str">
        <f>IFERROR(LET(_xlpm.v,
VLOOKUP($I2173,'用語辞書'!$A:$B,COLUMN('用語辞書'!B$1),FALSE),
IF(_xlpm.v=0,"",_xlpm.v)
),"")</f>
        <v/>
      </c>
      <c r="K2173" s="17"/>
      <c r="L2173" s="17" t="b">
        <f>IF(OR(COUNTIF('クラス'!$A$1:$A$1262,$B2173)&gt;0,$B2173="",$M2173=""),"",True)</f>
        <v>1</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2.0</v>
      </c>
      <c r="B2174" s="26" t="s">
        <v>29</v>
      </c>
      <c r="C2174" s="1"/>
      <c r="D2174" s="1"/>
      <c r="E2174" s="14"/>
      <c r="F2174" s="15"/>
      <c r="G2174" s="16"/>
      <c r="H2174" s="11"/>
      <c r="I2174" s="7"/>
      <c r="J2174" s="7" t="str">
        <f>IFERROR(LET(_xlpm.v,
VLOOKUP($I2174,'用語辞書'!$A:$B,COLUMN('用語辞書'!B$1),FALSE),
IF(_xlpm.v=0,"",_xlpm.v)
),"")</f>
        <v/>
      </c>
      <c r="K2174" s="17"/>
      <c r="L2174" s="17" t="str">
        <f>IF(OR(COUNTIF('クラス'!$A$1:$A$1262,$B2174)&gt;0,$B2174="",$M2174=""),"",True)</f>
        <v/>
      </c>
      <c r="M2174" s="1" t="str">
        <f t="shared" si="27"/>
        <v/>
      </c>
      <c r="N2174" s="1" t="s">
        <v>29</v>
      </c>
      <c r="O2174" s="1"/>
      <c r="P2174" s="11"/>
      <c r="Q2174" s="11"/>
      <c r="R2174" s="11"/>
      <c r="S2174" s="11"/>
      <c r="T2174" s="1"/>
      <c r="U2174" s="1"/>
      <c r="V2174" s="1"/>
      <c r="W2174" s="1"/>
      <c r="X2174" s="1"/>
      <c r="Y2174" s="1"/>
      <c r="Z2174" s="1"/>
    </row>
    <row r="2175" ht="18.0" hidden="1" customHeight="1" outlineLevel="1">
      <c r="A2175" s="1">
        <v>3.0</v>
      </c>
      <c r="B2175" s="26" t="s">
        <v>1255</v>
      </c>
      <c r="C2175" s="1"/>
      <c r="D2175" s="1"/>
      <c r="E2175" s="14"/>
      <c r="F2175" s="15"/>
      <c r="G2175" s="16"/>
      <c r="H2175" s="11"/>
      <c r="I2175" s="7"/>
      <c r="J2175" s="7" t="str">
        <f>IFERROR(LET(_xlpm.v,
VLOOKUP($I2175,'用語辞書'!$A:$B,COLUMN('用語辞書'!B$1),FALSE),
IF(_xlpm.v=0,"",_xlpm.v)
),"")</f>
        <v/>
      </c>
      <c r="K2175" s="17"/>
      <c r="L2175" s="17" t="str">
        <f>IF(OR(COUNTIF('クラス'!$A$1:$A$1262,$B2175)&gt;0,$B2175="",$M2175=""),"",True)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4.0</v>
      </c>
      <c r="B2176" s="26" t="s">
        <v>29</v>
      </c>
      <c r="C2176" s="1"/>
      <c r="D2176" s="1"/>
      <c r="E2176" s="14"/>
      <c r="F2176" s="15"/>
      <c r="G2176" s="16"/>
      <c r="H2176" s="11"/>
      <c r="I2176" s="7"/>
      <c r="J2176" s="7" t="str">
        <f>IFERROR(LET(_xlpm.v,
VLOOKUP($I2176,'用語辞書'!$A:$B,COLUMN('用語辞書'!B$1),FALSE),
IF(_xlpm.v=0,"",_xlpm.v)
),"")</f>
        <v/>
      </c>
      <c r="K2176" s="17"/>
      <c r="L2176" s="17" t="str">
        <f>IF(OR(COUNTIF('クラス'!$A$1:$A$1262,$B2176)&gt;0,$B2176="",$M2176=""),"",True)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5.0</v>
      </c>
      <c r="B2177" s="26" t="s">
        <v>1144</v>
      </c>
      <c r="C2177" s="1"/>
      <c r="D2177" s="1"/>
      <c r="E2177" s="14"/>
      <c r="F2177" s="15"/>
      <c r="G2177" s="16"/>
      <c r="H2177" s="11"/>
      <c r="I2177" s="7"/>
      <c r="J2177" s="7" t="str">
        <f>IFERROR(LET(_xlpm.v,
VLOOKUP($I2177,'用語辞書'!$A:$B,COLUMN('用語辞書'!B$1),FALSE),
IF(_xlpm.v=0,"",_xlpm.v)
),"")</f>
        <v/>
      </c>
      <c r="K2177" s="17"/>
      <c r="L2177" s="17" t="str">
        <f>IF(OR(COUNTIF('クラス'!$A$1:$A$1262,$B2177)&gt;0,$B2177="",$M2177=""),"",True)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6.0</v>
      </c>
      <c r="B2178" s="26" t="s">
        <v>29</v>
      </c>
      <c r="C2178" s="1"/>
      <c r="D2178" s="1"/>
      <c r="E2178" s="14"/>
      <c r="F2178" s="15"/>
      <c r="G2178" s="16"/>
      <c r="H2178" s="11"/>
      <c r="I2178" s="7"/>
      <c r="J2178" s="7" t="str">
        <f>IFERROR(LET(_xlpm.v,
VLOOKUP($I2178,'用語辞書'!$A:$B,COLUMN('用語辞書'!B$1),FALSE),
IF(_xlpm.v=0,"",_xlpm.v)
),"")</f>
        <v/>
      </c>
      <c r="K2178" s="17"/>
      <c r="L2178" s="17" t="str">
        <f>IF(OR(COUNTIF('クラス'!$A$1:$A$1262,$B2178)&gt;0,$B2178="",$M2178=""),"",True)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7.0</v>
      </c>
      <c r="B2179" s="26" t="s">
        <v>1259</v>
      </c>
      <c r="C2179" s="1"/>
      <c r="D2179" s="1"/>
      <c r="E2179" s="14"/>
      <c r="F2179" s="15"/>
      <c r="G2179" s="16"/>
      <c r="H2179" s="11"/>
      <c r="I2179" s="7"/>
      <c r="J2179" s="7" t="str">
        <f>IFERROR(LET(_xlpm.v,
VLOOKUP($I2179,'用語辞書'!$A:$B,COLUMN('用語辞書'!B$1),FALSE),
IF(_xlpm.v=0,"",_xlpm.v)
),"")</f>
        <v/>
      </c>
      <c r="K2179" s="17"/>
      <c r="L2179" s="17" t="str">
        <f>IF(OR(COUNTIF('クラス'!$A$1:$A$1262,$B2179)&gt;0,$B2179="",$M2179=""),"",True)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8.0</v>
      </c>
      <c r="B2180" s="26" t="s">
        <v>29</v>
      </c>
      <c r="C2180" s="1"/>
      <c r="D2180" s="1"/>
      <c r="E2180" s="14"/>
      <c r="F2180" s="15"/>
      <c r="G2180" s="16"/>
      <c r="H2180" s="11"/>
      <c r="I2180" s="7"/>
      <c r="J2180" s="7" t="str">
        <f>IFERROR(LET(_xlpm.v,
VLOOKUP($I2180,'用語辞書'!$A:$B,COLUMN('用語辞書'!B$1),FALSE),
IF(_xlpm.v=0,"",_xlpm.v)
),"")</f>
        <v/>
      </c>
      <c r="K2180" s="17"/>
      <c r="L2180" s="17" t="str">
        <f>IF(OR(COUNTIF('クラス'!$A$1:$A$1262,$B2180)&gt;0,$B2180="",$M2180=""),"",True)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9.0</v>
      </c>
      <c r="B2181" s="26" t="s">
        <v>1140</v>
      </c>
      <c r="C2181" s="1"/>
      <c r="D2181" s="1"/>
      <c r="E2181" s="14"/>
      <c r="F2181" s="15"/>
      <c r="G2181" s="16"/>
      <c r="H2181" s="11"/>
      <c r="I2181" s="7"/>
      <c r="J2181" s="7" t="str">
        <f>IFERROR(LET(_xlpm.v,
VLOOKUP($I2181,'用語辞書'!$A:$B,COLUMN('用語辞書'!B$1),FALSE),
IF(_xlpm.v=0,"",_xlpm.v)
),"")</f>
        <v/>
      </c>
      <c r="K2181" s="17"/>
      <c r="L2181" s="17" t="str">
        <f>IF(OR(COUNTIF('クラス'!$A$1:$A$1262,$B2181)&gt;0,$B2181="",$M2181=""),"",True)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10.0</v>
      </c>
      <c r="B2182" s="26" t="s">
        <v>1263</v>
      </c>
      <c r="C2182" s="1"/>
      <c r="D2182" s="1"/>
      <c r="E2182" s="14"/>
      <c r="F2182" s="15"/>
      <c r="G2182" s="16"/>
      <c r="H2182" s="11"/>
      <c r="I2182" s="7"/>
      <c r="J2182" s="7" t="str">
        <f>IFERROR(LET(_xlpm.v,
VLOOKUP($I2182,'用語辞書'!$A:$B,COLUMN('用語辞書'!B$1),FALSE),
IF(_xlpm.v=0,"",_xlpm.v)
),"")</f>
        <v/>
      </c>
      <c r="K2182" s="17"/>
      <c r="L2182" s="17" t="str">
        <f>IF(OR(COUNTIF('クラス'!$A$1:$A$1262,$B2182)&gt;0,$B2182="",$M2182=""),"",True)</f>
        <v/>
      </c>
      <c r="M2182" s="1" t="str">
        <f t="shared" si="27"/>
        <v/>
      </c>
      <c r="N2182" s="1" t="s">
        <v>29</v>
      </c>
      <c r="O2182" s="1"/>
      <c r="P2182" s="11"/>
      <c r="Q2182" s="11"/>
      <c r="R2182" s="11"/>
      <c r="S2182" s="11"/>
      <c r="T2182" s="1"/>
      <c r="U2182" s="1"/>
      <c r="V2182" s="1"/>
      <c r="W2182" s="1"/>
      <c r="X2182" s="1"/>
      <c r="Y2182" s="1"/>
      <c r="Z2182" s="1"/>
    </row>
    <row r="2183" ht="18.0" customHeight="1" collapsed="1">
      <c r="A2183" s="1"/>
      <c r="B2183" s="1"/>
      <c r="C2183" s="1"/>
      <c r="D2183" s="1"/>
      <c r="E2183" s="14"/>
      <c r="F2183" s="15"/>
      <c r="G2183" s="16"/>
      <c r="H2183" s="11"/>
      <c r="I2183" s="7"/>
      <c r="J2183" s="7" t="str">
        <f>IFERROR(LET(_xlpm.v,
VLOOKUP($I2183,'用語辞書'!$A:$B,COLUMN('用語辞書'!B$1),FALSE),
IF(_xlpm.v=0,"",_xlpm.v)
),"")</f>
        <v/>
      </c>
      <c r="K2183" s="17"/>
      <c r="L2183" s="17" t="str">
        <f>IF(OR(COUNTIF('クラス'!$A$1:$A$1262,$B2183)&gt;0,$B2183="",$M2183=""),"",True)</f>
        <v/>
      </c>
      <c r="M2183" s="1" t="str">
        <f t="shared" si="27"/>
        <v>存在しない</v>
      </c>
      <c r="N2183" s="1" t="s">
        <v>29</v>
      </c>
      <c r="O2183" s="1"/>
      <c r="P2183" s="11"/>
      <c r="Q2183" s="11"/>
      <c r="R2183" s="11"/>
      <c r="S2183" s="11"/>
      <c r="T2183" s="1"/>
      <c r="U2183" s="1"/>
      <c r="V2183" s="1"/>
      <c r="W2183" s="1"/>
      <c r="X2183" s="1"/>
      <c r="Y2183" s="1"/>
      <c r="Z2183" s="1"/>
    </row>
    <row r="2184" ht="18.0" customHeight="1">
      <c r="A2184" s="1"/>
      <c r="B2184" s="26" t="s">
        <v>2240</v>
      </c>
      <c r="C2184" s="1"/>
      <c r="D2184" s="1"/>
      <c r="E2184" s="14"/>
      <c r="F2184" s="15"/>
      <c r="G2184" s="16"/>
      <c r="H2184" s="11"/>
      <c r="I2184" s="7"/>
      <c r="J2184" s="7" t="str">
        <f>IFERROR(LET(_xlpm.v,
VLOOKUP($I2184,'用語辞書'!$A:$B,COLUMN('用語辞書'!B$1),FALSE),
IF(_xlpm.v=0,"",_xlpm.v)
),"")</f>
        <v/>
      </c>
      <c r="K2184" s="17"/>
      <c r="L2184" s="17" t="str">
        <f>IF(OR(COUNTIF('クラス'!$A$1:$A$1262,$B2184)&gt;0,$B2184="",$M2184=""),"",True)</f>
        <v/>
      </c>
      <c r="M2184" s="1" t="str">
        <f t="shared" si="27"/>
        <v>存在しない</v>
      </c>
      <c r="N2184" s="1" t="s">
        <v>29</v>
      </c>
      <c r="O2184" s="1"/>
      <c r="P2184" s="11"/>
      <c r="Q2184" s="11"/>
      <c r="R2184" s="11"/>
      <c r="S2184" s="11"/>
      <c r="T2184" s="1"/>
      <c r="U2184" s="1"/>
      <c r="V2184" s="1"/>
      <c r="W2184" s="1"/>
      <c r="X2184" s="1"/>
      <c r="Y2184" s="1"/>
      <c r="Z2184" s="1"/>
    </row>
    <row r="2185" ht="18.0" hidden="1" customHeight="1" outlineLevel="1">
      <c r="A2185" s="1">
        <v>1.0</v>
      </c>
      <c r="B2185" s="26" t="s">
        <v>1136</v>
      </c>
      <c r="C2185" s="1"/>
      <c r="D2185" s="1"/>
      <c r="E2185" s="14"/>
      <c r="F2185" s="15"/>
      <c r="G2185" s="16"/>
      <c r="H2185" s="11"/>
      <c r="I2185" s="7"/>
      <c r="J2185" s="7" t="str">
        <f>IFERROR(LET(_xlpm.v,
VLOOKUP($I2185,'用語辞書'!$A:$B,COLUMN('用語辞書'!B$1),FALSE),
IF(_xlpm.v=0,"",_xlpm.v)
),"")</f>
        <v/>
      </c>
      <c r="K2185" s="17"/>
      <c r="L2185" s="17" t="str">
        <f>IF(OR(COUNTIF('クラス'!$A$1:$A$1262,$B2185)&gt;0,$B2185="",$M2185=""),"",True)</f>
        <v/>
      </c>
      <c r="M2185" s="1" t="str">
        <f t="shared" si="27"/>
        <v/>
      </c>
      <c r="N2185" s="1" t="s">
        <v>29</v>
      </c>
      <c r="O2185" s="1"/>
      <c r="P2185" s="11"/>
      <c r="Q2185" s="11"/>
      <c r="R2185" s="11"/>
      <c r="S2185" s="11"/>
      <c r="T2185" s="1"/>
      <c r="U2185" s="1"/>
      <c r="V2185" s="1"/>
      <c r="W2185" s="1"/>
      <c r="X2185" s="1"/>
      <c r="Y2185" s="1"/>
      <c r="Z2185" s="1"/>
    </row>
    <row r="2186" ht="18.0" hidden="1" customHeight="1" outlineLevel="1">
      <c r="A2186" s="1">
        <v>2.0</v>
      </c>
      <c r="B2186" s="26" t="s">
        <v>29</v>
      </c>
      <c r="C2186" s="1"/>
      <c r="D2186" s="1"/>
      <c r="E2186" s="14"/>
      <c r="F2186" s="15"/>
      <c r="G2186" s="16"/>
      <c r="H2186" s="11"/>
      <c r="I2186" s="7"/>
      <c r="J2186" s="7" t="str">
        <f>IFERROR(LET(_xlpm.v,
VLOOKUP($I2186,'用語辞書'!$A:$B,COLUMN('用語辞書'!B$1),FALSE),
IF(_xlpm.v=0,"",_xlpm.v)
),"")</f>
        <v/>
      </c>
      <c r="K2186" s="17"/>
      <c r="L2186" s="17" t="str">
        <f>IF(OR(COUNTIF('クラス'!$A$1:$A$1262,$B2186)&gt;0,$B2186="",$M2186=""),"",True)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3.0</v>
      </c>
      <c r="B2187" s="26" t="s">
        <v>2239</v>
      </c>
      <c r="C2187" s="1"/>
      <c r="D2187" s="1"/>
      <c r="E2187" s="14"/>
      <c r="F2187" s="15"/>
      <c r="G2187" s="16"/>
      <c r="H2187" s="11"/>
      <c r="I2187" s="7"/>
      <c r="J2187" s="7" t="str">
        <f>IFERROR(LET(_xlpm.v,
VLOOKUP($I2187,'用語辞書'!$A:$B,COLUMN('用語辞書'!B$1),FALSE),
IF(_xlpm.v=0,"",_xlpm.v)
),"")</f>
        <v/>
      </c>
      <c r="K2187" s="17"/>
      <c r="L2187" s="17" t="str">
        <f>IF(OR(COUNTIF('クラス'!$A$1:$A$1262,$B2187)&gt;0,$B2187="",$M2187=""),"",True)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4.0</v>
      </c>
      <c r="B2188" s="26" t="s">
        <v>29</v>
      </c>
      <c r="C2188" s="1"/>
      <c r="D2188" s="1"/>
      <c r="E2188" s="14"/>
      <c r="F2188" s="15"/>
      <c r="G2188" s="16"/>
      <c r="H2188" s="11"/>
      <c r="I2188" s="7"/>
      <c r="J2188" s="7" t="str">
        <f>IFERROR(LET(_xlpm.v,
VLOOKUP($I2188,'用語辞書'!$A:$B,COLUMN('用語辞書'!B$1),FALSE),
IF(_xlpm.v=0,"",_xlpm.v)
),"")</f>
        <v/>
      </c>
      <c r="K2188" s="17"/>
      <c r="L2188" s="17" t="str">
        <f>IF(OR(COUNTIF('クラス'!$A$1:$A$1262,$B2188)&gt;0,$B2188="",$M2188=""),"",True)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5.0</v>
      </c>
      <c r="B2189" s="26" t="s">
        <v>1140</v>
      </c>
      <c r="C2189" s="1"/>
      <c r="D2189" s="1"/>
      <c r="E2189" s="14"/>
      <c r="F2189" s="15"/>
      <c r="G2189" s="16"/>
      <c r="H2189" s="11"/>
      <c r="I2189" s="7"/>
      <c r="J2189" s="7" t="str">
        <f>IFERROR(LET(_xlpm.v,
VLOOKUP($I2189,'用語辞書'!$A:$B,COLUMN('用語辞書'!B$1),FALSE),
IF(_xlpm.v=0,"",_xlpm.v)
),"")</f>
        <v/>
      </c>
      <c r="K2189" s="17"/>
      <c r="L2189" s="17" t="str">
        <f>IF(OR(COUNTIF('クラス'!$A$1:$A$1262,$B2189)&gt;0,$B2189="",$M2189=""),"",True)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6.0</v>
      </c>
      <c r="B2190" s="26" t="s">
        <v>29</v>
      </c>
      <c r="C2190" s="1"/>
      <c r="D2190" s="1"/>
      <c r="E2190" s="14"/>
      <c r="F2190" s="15"/>
      <c r="G2190" s="16"/>
      <c r="H2190" s="11"/>
      <c r="I2190" s="7"/>
      <c r="J2190" s="7" t="str">
        <f>IFERROR(LET(_xlpm.v,
VLOOKUP($I2190,'用語辞書'!$A:$B,COLUMN('用語辞書'!B$1),FALSE),
IF(_xlpm.v=0,"",_xlpm.v)
),"")</f>
        <v/>
      </c>
      <c r="K2190" s="17"/>
      <c r="L2190" s="17" t="str">
        <f>IF(OR(COUNTIF('クラス'!$A$1:$A$1262,$B2190)&gt;0,$B2190="",$M2190=""),"",True)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7.0</v>
      </c>
      <c r="B2191" s="26" t="s">
        <v>1259</v>
      </c>
      <c r="C2191" s="1"/>
      <c r="D2191" s="1"/>
      <c r="E2191" s="14"/>
      <c r="F2191" s="15"/>
      <c r="G2191" s="16"/>
      <c r="H2191" s="11"/>
      <c r="I2191" s="7"/>
      <c r="J2191" s="7" t="str">
        <f>IFERROR(LET(_xlpm.v,
VLOOKUP($I2191,'用語辞書'!$A:$B,COLUMN('用語辞書'!B$1),FALSE),
IF(_xlpm.v=0,"",_xlpm.v)
),"")</f>
        <v/>
      </c>
      <c r="K2191" s="17"/>
      <c r="L2191" s="17" t="str">
        <f>IF(OR(COUNTIF('クラス'!$A$1:$A$1262,$B2191)&gt;0,$B2191="",$M2191=""),"",True)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8.0</v>
      </c>
      <c r="B2192" s="26" t="s">
        <v>29</v>
      </c>
      <c r="C2192" s="1"/>
      <c r="D2192" s="1"/>
      <c r="E2192" s="14"/>
      <c r="F2192" s="15"/>
      <c r="G2192" s="16"/>
      <c r="H2192" s="11"/>
      <c r="I2192" s="7"/>
      <c r="J2192" s="7" t="str">
        <f>IFERROR(LET(_xlpm.v,
VLOOKUP($I2192,'用語辞書'!$A:$B,COLUMN('用語辞書'!B$1),FALSE),
IF(_xlpm.v=0,"",_xlpm.v)
),"")</f>
        <v/>
      </c>
      <c r="K2192" s="17"/>
      <c r="L2192" s="17" t="str">
        <f>IF(OR(COUNTIF('クラス'!$A$1:$A$1262,$B2192)&gt;0,$B2192="",$M2192=""),"",True)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9.0</v>
      </c>
      <c r="B2193" s="26" t="s">
        <v>1144</v>
      </c>
      <c r="C2193" s="1"/>
      <c r="D2193" s="1"/>
      <c r="E2193" s="14"/>
      <c r="F2193" s="15"/>
      <c r="G2193" s="16"/>
      <c r="H2193" s="11"/>
      <c r="I2193" s="7"/>
      <c r="J2193" s="7" t="str">
        <f>IFERROR(LET(_xlpm.v,
VLOOKUP($I2193,'用語辞書'!$A:$B,COLUMN('用語辞書'!B$1),FALSE),
IF(_xlpm.v=0,"",_xlpm.v)
),"")</f>
        <v/>
      </c>
      <c r="K2193" s="17"/>
      <c r="L2193" s="17" t="str">
        <f>IF(OR(COUNTIF('クラス'!$A$1:$A$1262,$B2193)&gt;0,$B2193="",$M2193=""),"",True)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10.0</v>
      </c>
      <c r="B2194" s="26" t="s">
        <v>2241</v>
      </c>
      <c r="C2194" s="26" t="s">
        <v>29</v>
      </c>
      <c r="D2194" s="26" t="s">
        <v>29</v>
      </c>
      <c r="E2194" s="29" t="s">
        <v>55</v>
      </c>
      <c r="F2194" s="34" t="s">
        <v>29</v>
      </c>
      <c r="G2194" s="30" t="s">
        <v>29</v>
      </c>
      <c r="H2194" s="22" t="s">
        <v>2242</v>
      </c>
      <c r="I2194" s="7"/>
      <c r="J2194" s="7" t="str">
        <f>IFERROR(LET(_xlpm.v,
VLOOKUP($I2194,'用語辞書'!$A:$B,COLUMN('用語辞書'!B$1),FALSE),
IF(_xlpm.v=0,"",_xlpm.v)
),"")</f>
        <v/>
      </c>
      <c r="K2194" s="17"/>
      <c r="L2194" s="17" t="b">
        <f>IF(OR(COUNTIF('クラス'!$A$1:$A$1262,$B2194)&gt;0,$B2194="",$M2194=""),"",True)</f>
        <v>1</v>
      </c>
      <c r="M2194" s="1" t="str">
        <f t="shared" si="27"/>
        <v>存在しない</v>
      </c>
      <c r="N2194" s="1" t="s">
        <v>29</v>
      </c>
      <c r="O2194" s="1"/>
      <c r="P2194" s="11"/>
      <c r="Q2194" s="11"/>
      <c r="R2194" s="11"/>
      <c r="S2194" s="11"/>
      <c r="T2194" s="1"/>
      <c r="U2194" s="1"/>
      <c r="V2194" s="1"/>
      <c r="W2194" s="1"/>
      <c r="X2194" s="1"/>
      <c r="Y2194" s="1"/>
      <c r="Z2194" s="1"/>
    </row>
    <row r="2195" ht="18.0" customHeight="1" collapsed="1">
      <c r="A2195" s="1"/>
      <c r="B2195" s="1"/>
      <c r="C2195" s="1"/>
      <c r="D2195" s="1"/>
      <c r="E2195" s="14"/>
      <c r="F2195" s="15"/>
      <c r="G2195" s="16"/>
      <c r="H2195" s="11"/>
      <c r="I2195" s="7"/>
      <c r="J2195" s="7" t="str">
        <f>IFERROR(LET(_xlpm.v,
VLOOKUP($I2195,'用語辞書'!$A:$B,COLUMN('用語辞書'!B$1),FALSE),
IF(_xlpm.v=0,"",_xlpm.v)
),"")</f>
        <v/>
      </c>
      <c r="K2195" s="17"/>
      <c r="L2195" s="17" t="str">
        <f>IF(OR(COUNTIF('クラス'!$A$1:$A$1262,$B2195)&gt;0,$B2195="",$M2195=""),"",True)</f>
        <v/>
      </c>
      <c r="M2195" s="1" t="str">
        <f t="shared" si="27"/>
        <v>存在しない</v>
      </c>
      <c r="N2195" s="1" t="s">
        <v>29</v>
      </c>
      <c r="O2195" s="1"/>
      <c r="P2195" s="11"/>
      <c r="Q2195" s="11"/>
      <c r="R2195" s="11"/>
      <c r="S2195" s="11"/>
      <c r="T2195" s="1"/>
      <c r="U2195" s="1"/>
      <c r="V2195" s="1"/>
      <c r="W2195" s="1"/>
      <c r="X2195" s="1"/>
      <c r="Y2195" s="1"/>
      <c r="Z2195" s="1"/>
    </row>
    <row r="2196" ht="18.0" customHeight="1">
      <c r="A2196" s="1"/>
      <c r="B2196" s="26" t="s">
        <v>2243</v>
      </c>
      <c r="C2196" s="1"/>
      <c r="D2196" s="1"/>
      <c r="E2196" s="14"/>
      <c r="F2196" s="15"/>
      <c r="G2196" s="16"/>
      <c r="H2196" s="11"/>
      <c r="I2196" s="7"/>
      <c r="J2196" s="7" t="str">
        <f>IFERROR(LET(_xlpm.v,
VLOOKUP($I2196,'用語辞書'!$A:$B,COLUMN('用語辞書'!B$1),FALSE),
IF(_xlpm.v=0,"",_xlpm.v)
),"")</f>
        <v/>
      </c>
      <c r="K2196" s="17"/>
      <c r="L2196" s="17" t="str">
        <f>IF(OR(COUNTIF('クラス'!$A$1:$A$1262,$B2196)&gt;0,$B2196="",$M2196=""),"",True)</f>
        <v/>
      </c>
      <c r="M2196" s="1" t="str">
        <f t="shared" si="27"/>
        <v>存在しない</v>
      </c>
      <c r="N2196" s="1" t="s">
        <v>29</v>
      </c>
      <c r="O2196" s="1"/>
      <c r="P2196" s="11"/>
      <c r="Q2196" s="11"/>
      <c r="R2196" s="11"/>
      <c r="S2196" s="11"/>
      <c r="T2196" s="1"/>
      <c r="U2196" s="1"/>
      <c r="V2196" s="1"/>
      <c r="W2196" s="1"/>
      <c r="X2196" s="1"/>
      <c r="Y2196" s="1"/>
      <c r="Z2196" s="1"/>
    </row>
    <row r="2197" ht="18.0" hidden="1" customHeight="1" outlineLevel="1">
      <c r="A2197" s="1">
        <v>1.0</v>
      </c>
      <c r="B2197" s="26" t="s">
        <v>1259</v>
      </c>
      <c r="C2197" s="1"/>
      <c r="D2197" s="1"/>
      <c r="E2197" s="14"/>
      <c r="F2197" s="15"/>
      <c r="G2197" s="16"/>
      <c r="H2197" s="11"/>
      <c r="I2197" s="7"/>
      <c r="J2197" s="7" t="str">
        <f>IFERROR(LET(_xlpm.v,
VLOOKUP($I2197,'用語辞書'!$A:$B,COLUMN('用語辞書'!B$1),FALSE),
IF(_xlpm.v=0,"",_xlpm.v)
),"")</f>
        <v/>
      </c>
      <c r="K2197" s="17"/>
      <c r="L2197" s="17" t="str">
        <f>IF(OR(COUNTIF('クラス'!$A$1:$A$1262,$B2197)&gt;0,$B2197="",$M2197=""),"",True)</f>
        <v/>
      </c>
      <c r="M2197" s="1" t="str">
        <f t="shared" si="27"/>
        <v/>
      </c>
      <c r="N2197" s="1" t="s">
        <v>29</v>
      </c>
      <c r="O2197" s="1"/>
      <c r="P2197" s="11"/>
      <c r="Q2197" s="11"/>
      <c r="R2197" s="11"/>
      <c r="S2197" s="11"/>
      <c r="T2197" s="1"/>
      <c r="U2197" s="1"/>
      <c r="V2197" s="1"/>
      <c r="W2197" s="1"/>
      <c r="X2197" s="1"/>
      <c r="Y2197" s="1"/>
      <c r="Z2197" s="1"/>
    </row>
    <row r="2198" ht="18.0" hidden="1" customHeight="1" outlineLevel="1">
      <c r="A2198" s="1">
        <v>2.0</v>
      </c>
      <c r="B2198" s="26" t="s">
        <v>29</v>
      </c>
      <c r="C2198" s="1"/>
      <c r="D2198" s="1"/>
      <c r="E2198" s="14"/>
      <c r="F2198" s="15"/>
      <c r="G2198" s="16"/>
      <c r="H2198" s="11"/>
      <c r="I2198" s="7"/>
      <c r="J2198" s="7" t="str">
        <f>IFERROR(LET(_xlpm.v,
VLOOKUP($I2198,'用語辞書'!$A:$B,COLUMN('用語辞書'!B$1),FALSE),
IF(_xlpm.v=0,"",_xlpm.v)
),"")</f>
        <v/>
      </c>
      <c r="K2198" s="17"/>
      <c r="L2198" s="17" t="str">
        <f>IF(OR(COUNTIF('クラス'!$A$1:$A$1262,$B2198)&gt;0,$B2198="",$M2198=""),"",True)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3.0</v>
      </c>
      <c r="B2199" s="26" t="s">
        <v>2241</v>
      </c>
      <c r="C2199" s="1"/>
      <c r="D2199" s="1"/>
      <c r="E2199" s="14"/>
      <c r="F2199" s="15"/>
      <c r="G2199" s="16"/>
      <c r="H2199" s="11"/>
      <c r="I2199" s="7"/>
      <c r="J2199" s="7" t="str">
        <f>IFERROR(LET(_xlpm.v,
VLOOKUP($I2199,'用語辞書'!$A:$B,COLUMN('用語辞書'!B$1),FALSE),
IF(_xlpm.v=0,"",_xlpm.v)
),"")</f>
        <v/>
      </c>
      <c r="K2199" s="17"/>
      <c r="L2199" s="17" t="str">
        <f>IF(OR(COUNTIF('クラス'!$A$1:$A$1262,$B2199)&gt;0,$B2199="",$M2199=""),"",True)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4.0</v>
      </c>
      <c r="B2200" s="26" t="s">
        <v>29</v>
      </c>
      <c r="C2200" s="1"/>
      <c r="D2200" s="1"/>
      <c r="E2200" s="14"/>
      <c r="F2200" s="15"/>
      <c r="G2200" s="16"/>
      <c r="H2200" s="11"/>
      <c r="I2200" s="7"/>
      <c r="J2200" s="7" t="str">
        <f>IFERROR(LET(_xlpm.v,
VLOOKUP($I2200,'用語辞書'!$A:$B,COLUMN('用語辞書'!B$1),FALSE),
IF(_xlpm.v=0,"",_xlpm.v)
),"")</f>
        <v/>
      </c>
      <c r="K2200" s="17"/>
      <c r="L2200" s="17" t="str">
        <f>IF(OR(COUNTIF('クラス'!$A$1:$A$1262,$B2200)&gt;0,$B2200="",$M2200=""),"",True)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5.0</v>
      </c>
      <c r="B2201" s="26" t="s">
        <v>1144</v>
      </c>
      <c r="C2201" s="1"/>
      <c r="D2201" s="1"/>
      <c r="E2201" s="14"/>
      <c r="F2201" s="15"/>
      <c r="G2201" s="16"/>
      <c r="H2201" s="11"/>
      <c r="I2201" s="7"/>
      <c r="J2201" s="7" t="str">
        <f>IFERROR(LET(_xlpm.v,
VLOOKUP($I2201,'用語辞書'!$A:$B,COLUMN('用語辞書'!B$1),FALSE),
IF(_xlpm.v=0,"",_xlpm.v)
),"")</f>
        <v/>
      </c>
      <c r="K2201" s="17"/>
      <c r="L2201" s="17" t="str">
        <f>IF(OR(COUNTIF('クラス'!$A$1:$A$1262,$B2201)&gt;0,$B2201="",$M2201=""),"",True)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6.0</v>
      </c>
      <c r="B2202" s="26" t="s">
        <v>29</v>
      </c>
      <c r="C2202" s="1"/>
      <c r="D2202" s="1"/>
      <c r="E2202" s="14"/>
      <c r="F2202" s="15"/>
      <c r="G2202" s="16"/>
      <c r="H2202" s="11"/>
      <c r="I2202" s="7"/>
      <c r="J2202" s="7" t="str">
        <f>IFERROR(LET(_xlpm.v,
VLOOKUP($I2202,'用語辞書'!$A:$B,COLUMN('用語辞書'!B$1),FALSE),
IF(_xlpm.v=0,"",_xlpm.v)
),"")</f>
        <v/>
      </c>
      <c r="K2202" s="17"/>
      <c r="L2202" s="17" t="str">
        <f>IF(OR(COUNTIF('クラス'!$A$1:$A$1262,$B2202)&gt;0,$B2202="",$M2202=""),"",True)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7.0</v>
      </c>
      <c r="B2203" s="26" t="s">
        <v>1136</v>
      </c>
      <c r="C2203" s="1"/>
      <c r="D2203" s="1"/>
      <c r="E2203" s="14"/>
      <c r="F2203" s="15"/>
      <c r="G2203" s="16"/>
      <c r="H2203" s="11"/>
      <c r="I2203" s="7"/>
      <c r="J2203" s="7" t="str">
        <f>IFERROR(LET(_xlpm.v,
VLOOKUP($I2203,'用語辞書'!$A:$B,COLUMN('用語辞書'!B$1),FALSE),
IF(_xlpm.v=0,"",_xlpm.v)
),"")</f>
        <v/>
      </c>
      <c r="K2203" s="17"/>
      <c r="L2203" s="17" t="str">
        <f>IF(OR(COUNTIF('クラス'!$A$1:$A$1262,$B2203)&gt;0,$B2203="",$M2203=""),"",True)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8.0</v>
      </c>
      <c r="B2204" s="26" t="s">
        <v>29</v>
      </c>
      <c r="C2204" s="1"/>
      <c r="D2204" s="1"/>
      <c r="E2204" s="14"/>
      <c r="F2204" s="15"/>
      <c r="G2204" s="16"/>
      <c r="H2204" s="11"/>
      <c r="I2204" s="7"/>
      <c r="J2204" s="7" t="str">
        <f>IFERROR(LET(_xlpm.v,
VLOOKUP($I2204,'用語辞書'!$A:$B,COLUMN('用語辞書'!B$1),FALSE),
IF(_xlpm.v=0,"",_xlpm.v)
),"")</f>
        <v/>
      </c>
      <c r="K2204" s="17"/>
      <c r="L2204" s="17" t="str">
        <f>IF(OR(COUNTIF('クラス'!$A$1:$A$1262,$B2204)&gt;0,$B2204="",$M2204=""),"",True)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9.0</v>
      </c>
      <c r="B2205" s="26" t="s">
        <v>2136</v>
      </c>
      <c r="C2205" s="1"/>
      <c r="D2205" s="1"/>
      <c r="E2205" s="14"/>
      <c r="F2205" s="15"/>
      <c r="G2205" s="16"/>
      <c r="H2205" s="11"/>
      <c r="I2205" s="7"/>
      <c r="J2205" s="7" t="str">
        <f>IFERROR(LET(_xlpm.v,
VLOOKUP($I2205,'用語辞書'!$A:$B,COLUMN('用語辞書'!B$1),FALSE),
IF(_xlpm.v=0,"",_xlpm.v)
),"")</f>
        <v/>
      </c>
      <c r="K2205" s="17"/>
      <c r="L2205" s="17" t="str">
        <f>IF(OR(COUNTIF('クラス'!$A$1:$A$1262,$B2205)&gt;0,$B2205="",$M2205=""),"",True)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10.0</v>
      </c>
      <c r="B2206" s="26" t="s">
        <v>2244</v>
      </c>
      <c r="C2206" s="26" t="s">
        <v>29</v>
      </c>
      <c r="D2206" s="26" t="s">
        <v>29</v>
      </c>
      <c r="E2206" s="29" t="s">
        <v>33</v>
      </c>
      <c r="F2206" s="34" t="s">
        <v>29</v>
      </c>
      <c r="G2206" s="30">
        <v>60.0</v>
      </c>
      <c r="H2206" s="22" t="s">
        <v>2245</v>
      </c>
      <c r="I2206" s="7"/>
      <c r="J2206" s="7" t="str">
        <f>IFERROR(LET(_xlpm.v,
VLOOKUP($I2206,'用語辞書'!$A:$B,COLUMN('用語辞書'!B$1),FALSE),
IF(_xlpm.v=0,"",_xlpm.v)
),"")</f>
        <v/>
      </c>
      <c r="K2206" s="17"/>
      <c r="L2206" s="17" t="b">
        <f>IF(OR(COUNTIF('クラス'!$A$1:$A$1262,$B2206)&gt;0,$B2206="",$M2206=""),"",True)</f>
        <v>1</v>
      </c>
      <c r="M2206" s="1" t="str">
        <f t="shared" si="27"/>
        <v>存在しない</v>
      </c>
      <c r="N2206" s="1" t="s">
        <v>29</v>
      </c>
      <c r="O2206" s="1"/>
      <c r="P2206" s="11"/>
      <c r="Q2206" s="11"/>
      <c r="R2206" s="11"/>
      <c r="S2206" s="11"/>
      <c r="T2206" s="1"/>
      <c r="U2206" s="1"/>
      <c r="V2206" s="1"/>
      <c r="W2206" s="1"/>
      <c r="X2206" s="1"/>
      <c r="Y2206" s="1"/>
      <c r="Z2206" s="1"/>
    </row>
    <row r="2207" ht="18.0" customHeight="1" collapsed="1">
      <c r="A2207" s="1"/>
      <c r="B2207" s="1"/>
      <c r="C2207" s="1"/>
      <c r="D2207" s="1"/>
      <c r="E2207" s="14"/>
      <c r="F2207" s="15"/>
      <c r="G2207" s="16"/>
      <c r="H2207" s="11"/>
      <c r="I2207" s="7"/>
      <c r="J2207" s="7" t="str">
        <f>IFERROR(LET(_xlpm.v,
VLOOKUP($I2207,'用語辞書'!$A:$B,COLUMN('用語辞書'!B$1),FALSE),
IF(_xlpm.v=0,"",_xlpm.v)
),"")</f>
        <v/>
      </c>
      <c r="K2207" s="17"/>
      <c r="L2207" s="17" t="str">
        <f>IF(OR(COUNTIF('クラス'!$A$1:$A$1262,$B2207)&gt;0,$B2207="",$M2207=""),"",True)</f>
        <v/>
      </c>
      <c r="M2207" s="1" t="str">
        <f t="shared" si="27"/>
        <v>存在しない</v>
      </c>
      <c r="N2207" s="1" t="s">
        <v>29</v>
      </c>
      <c r="O2207" s="1"/>
      <c r="P2207" s="11"/>
      <c r="Q2207" s="11"/>
      <c r="R2207" s="11"/>
      <c r="S2207" s="11"/>
      <c r="T2207" s="1"/>
      <c r="U2207" s="1"/>
      <c r="V2207" s="1"/>
      <c r="W2207" s="1"/>
      <c r="X2207" s="1"/>
      <c r="Y2207" s="1"/>
      <c r="Z2207" s="1"/>
    </row>
    <row r="2208" ht="18.0" customHeight="1">
      <c r="A2208" s="1"/>
      <c r="B2208" s="26" t="s">
        <v>2246</v>
      </c>
      <c r="C2208" s="1"/>
      <c r="D2208" s="1"/>
      <c r="E2208" s="14"/>
      <c r="F2208" s="15"/>
      <c r="G2208" s="16"/>
      <c r="H2208" s="11"/>
      <c r="I2208" s="7"/>
      <c r="J2208" s="7" t="str">
        <f>IFERROR(LET(_xlpm.v,
VLOOKUP($I2208,'用語辞書'!$A:$B,COLUMN('用語辞書'!B$1),FALSE),
IF(_xlpm.v=0,"",_xlpm.v)
),"")</f>
        <v/>
      </c>
      <c r="K2208" s="17"/>
      <c r="L2208" s="17" t="str">
        <f>IF(OR(COUNTIF('クラス'!$A$1:$A$1262,$B2208)&gt;0,$B2208="",$M2208=""),"",True)</f>
        <v/>
      </c>
      <c r="M2208" s="1" t="str">
        <f t="shared" si="27"/>
        <v>存在しない</v>
      </c>
      <c r="N2208" s="1" t="s">
        <v>29</v>
      </c>
      <c r="O2208" s="1"/>
      <c r="P2208" s="11"/>
      <c r="Q2208" s="11"/>
      <c r="R2208" s="11"/>
      <c r="S2208" s="11"/>
      <c r="T2208" s="1"/>
      <c r="U2208" s="1"/>
      <c r="V2208" s="1"/>
      <c r="W2208" s="1"/>
      <c r="X2208" s="1"/>
      <c r="Y2208" s="1"/>
      <c r="Z2208" s="1"/>
    </row>
    <row r="2209" ht="18.0" hidden="1" customHeight="1" outlineLevel="1">
      <c r="A2209" s="1">
        <v>1.0</v>
      </c>
      <c r="B2209" s="26" t="s">
        <v>1144</v>
      </c>
      <c r="C2209" s="1"/>
      <c r="D2209" s="1"/>
      <c r="E2209" s="14"/>
      <c r="F2209" s="15"/>
      <c r="G2209" s="16"/>
      <c r="H2209" s="11"/>
      <c r="I2209" s="7"/>
      <c r="J2209" s="7" t="str">
        <f>IFERROR(LET(_xlpm.v,
VLOOKUP($I2209,'用語辞書'!$A:$B,COLUMN('用語辞書'!B$1),FALSE),
IF(_xlpm.v=0,"",_xlpm.v)
),"")</f>
        <v/>
      </c>
      <c r="K2209" s="17"/>
      <c r="L2209" s="17" t="str">
        <f>IF(OR(COUNTIF('クラス'!$A$1:$A$1262,$B2209)&gt;0,$B2209="",$M2209=""),"",True)</f>
        <v/>
      </c>
      <c r="M2209" s="1" t="str">
        <f t="shared" si="27"/>
        <v/>
      </c>
      <c r="N2209" s="1" t="s">
        <v>29</v>
      </c>
      <c r="O2209" s="1"/>
      <c r="P2209" s="11"/>
      <c r="Q2209" s="11"/>
      <c r="R2209" s="11"/>
      <c r="S2209" s="11"/>
      <c r="T2209" s="1"/>
      <c r="U2209" s="1"/>
      <c r="V2209" s="1"/>
      <c r="W2209" s="1"/>
      <c r="X2209" s="1"/>
      <c r="Y2209" s="1"/>
      <c r="Z2209" s="1"/>
    </row>
    <row r="2210" ht="18.0" hidden="1" customHeight="1" outlineLevel="1">
      <c r="A2210" s="1">
        <v>2.0</v>
      </c>
      <c r="B2210" s="26" t="s">
        <v>29</v>
      </c>
      <c r="C2210" s="1"/>
      <c r="D2210" s="1"/>
      <c r="E2210" s="14"/>
      <c r="F2210" s="15"/>
      <c r="G2210" s="16"/>
      <c r="H2210" s="11"/>
      <c r="I2210" s="7"/>
      <c r="J2210" s="7" t="str">
        <f>IFERROR(LET(_xlpm.v,
VLOOKUP($I2210,'用語辞書'!$A:$B,COLUMN('用語辞書'!B$1),FALSE),
IF(_xlpm.v=0,"",_xlpm.v)
),"")</f>
        <v/>
      </c>
      <c r="K2210" s="17"/>
      <c r="L2210" s="17" t="str">
        <f>IF(OR(COUNTIF('クラス'!$A$1:$A$1262,$B2210)&gt;0,$B2210="",$M2210=""),"",True)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3.0</v>
      </c>
      <c r="B2211" s="26" t="s">
        <v>1209</v>
      </c>
      <c r="C2211" s="1"/>
      <c r="D2211" s="1"/>
      <c r="E2211" s="14"/>
      <c r="F2211" s="15"/>
      <c r="G2211" s="16"/>
      <c r="H2211" s="11"/>
      <c r="I2211" s="7"/>
      <c r="J2211" s="7" t="str">
        <f>IFERROR(LET(_xlpm.v,
VLOOKUP($I2211,'用語辞書'!$A:$B,COLUMN('用語辞書'!B$1),FALSE),
IF(_xlpm.v=0,"",_xlpm.v)
),"")</f>
        <v/>
      </c>
      <c r="K2211" s="17"/>
      <c r="L2211" s="17" t="str">
        <f>IF(OR(COUNTIF('クラス'!$A$1:$A$1262,$B2211)&gt;0,$B2211="",$M2211=""),"",True)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4.0</v>
      </c>
      <c r="B2212" s="26" t="s">
        <v>29</v>
      </c>
      <c r="C2212" s="1"/>
      <c r="D2212" s="1"/>
      <c r="E2212" s="14"/>
      <c r="F2212" s="15"/>
      <c r="G2212" s="16"/>
      <c r="H2212" s="11"/>
      <c r="I2212" s="7"/>
      <c r="J2212" s="7" t="str">
        <f>IFERROR(LET(_xlpm.v,
VLOOKUP($I2212,'用語辞書'!$A:$B,COLUMN('用語辞書'!B$1),FALSE),
IF(_xlpm.v=0,"",_xlpm.v)
),"")</f>
        <v/>
      </c>
      <c r="K2212" s="17"/>
      <c r="L2212" s="17" t="str">
        <f>IF(OR(COUNTIF('クラス'!$A$1:$A$1262,$B2212)&gt;0,$B2212="",$M2212=""),"",True)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5.0</v>
      </c>
      <c r="B2213" s="26" t="s">
        <v>1140</v>
      </c>
      <c r="C2213" s="1"/>
      <c r="D2213" s="1"/>
      <c r="E2213" s="14"/>
      <c r="F2213" s="15"/>
      <c r="G2213" s="16"/>
      <c r="H2213" s="11"/>
      <c r="I2213" s="7"/>
      <c r="J2213" s="7" t="str">
        <f>IFERROR(LET(_xlpm.v,
VLOOKUP($I2213,'用語辞書'!$A:$B,COLUMN('用語辞書'!B$1),FALSE),
IF(_xlpm.v=0,"",_xlpm.v)
),"")</f>
        <v/>
      </c>
      <c r="K2213" s="17"/>
      <c r="L2213" s="17" t="str">
        <f>IF(OR(COUNTIF('クラス'!$A$1:$A$1262,$B2213)&gt;0,$B2213="",$M2213=""),"",True)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6.0</v>
      </c>
      <c r="B2214" s="26" t="s">
        <v>29</v>
      </c>
      <c r="C2214" s="1"/>
      <c r="D2214" s="1"/>
      <c r="E2214" s="14"/>
      <c r="F2214" s="15"/>
      <c r="G2214" s="16"/>
      <c r="H2214" s="11"/>
      <c r="I2214" s="7"/>
      <c r="J2214" s="7" t="str">
        <f>IFERROR(LET(_xlpm.v,
VLOOKUP($I2214,'用語辞書'!$A:$B,COLUMN('用語辞書'!B$1),FALSE),
IF(_xlpm.v=0,"",_xlpm.v)
),"")</f>
        <v/>
      </c>
      <c r="K2214" s="17"/>
      <c r="L2214" s="17" t="str">
        <f>IF(OR(COUNTIF('クラス'!$A$1:$A$1262,$B2214)&gt;0,$B2214="",$M2214=""),"",True)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7.0</v>
      </c>
      <c r="B2215" s="26" t="s">
        <v>1261</v>
      </c>
      <c r="C2215" s="1"/>
      <c r="D2215" s="1"/>
      <c r="E2215" s="14"/>
      <c r="F2215" s="15"/>
      <c r="G2215" s="16"/>
      <c r="H2215" s="11"/>
      <c r="I2215" s="7"/>
      <c r="J2215" s="7" t="str">
        <f>IFERROR(LET(_xlpm.v,
VLOOKUP($I2215,'用語辞書'!$A:$B,COLUMN('用語辞書'!B$1),FALSE),
IF(_xlpm.v=0,"",_xlpm.v)
),"")</f>
        <v/>
      </c>
      <c r="K2215" s="17"/>
      <c r="L2215" s="17" t="str">
        <f>IF(OR(COUNTIF('クラス'!$A$1:$A$1262,$B2215)&gt;0,$B2215="",$M2215=""),"",True)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8.0</v>
      </c>
      <c r="B2216" s="26" t="s">
        <v>29</v>
      </c>
      <c r="C2216" s="1"/>
      <c r="D2216" s="1"/>
      <c r="E2216" s="14"/>
      <c r="F2216" s="15"/>
      <c r="G2216" s="16"/>
      <c r="H2216" s="11"/>
      <c r="I2216" s="7"/>
      <c r="J2216" s="7" t="str">
        <f>IFERROR(LET(_xlpm.v,
VLOOKUP($I2216,'用語辞書'!$A:$B,COLUMN('用語辞書'!B$1),FALSE),
IF(_xlpm.v=0,"",_xlpm.v)
),"")</f>
        <v/>
      </c>
      <c r="K2216" s="17"/>
      <c r="L2216" s="17" t="str">
        <f>IF(OR(COUNTIF('クラス'!$A$1:$A$1262,$B2216)&gt;0,$B2216="",$M2216=""),"",True)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9.0</v>
      </c>
      <c r="B2217" s="26" t="s">
        <v>2000</v>
      </c>
      <c r="C2217" s="1"/>
      <c r="D2217" s="1"/>
      <c r="E2217" s="14"/>
      <c r="F2217" s="15"/>
      <c r="G2217" s="16"/>
      <c r="H2217" s="11"/>
      <c r="I2217" s="7"/>
      <c r="J2217" s="7" t="str">
        <f>IFERROR(LET(_xlpm.v,
VLOOKUP($I2217,'用語辞書'!$A:$B,COLUMN('用語辞書'!B$1),FALSE),
IF(_xlpm.v=0,"",_xlpm.v)
),"")</f>
        <v/>
      </c>
      <c r="K2217" s="17"/>
      <c r="L2217" s="17" t="str">
        <f>IF(OR(COUNTIF('クラス'!$A$1:$A$1262,$B2217)&gt;0,$B2217="",$M2217=""),"",True)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10.0</v>
      </c>
      <c r="B2218" s="26" t="s">
        <v>2247</v>
      </c>
      <c r="C2218" s="26" t="s">
        <v>29</v>
      </c>
      <c r="D2218" s="26" t="s">
        <v>29</v>
      </c>
      <c r="E2218" s="29" t="s">
        <v>55</v>
      </c>
      <c r="F2218" s="34" t="s">
        <v>29</v>
      </c>
      <c r="G2218" s="30" t="s">
        <v>29</v>
      </c>
      <c r="H2218" s="22" t="s">
        <v>1552</v>
      </c>
      <c r="I2218" s="7"/>
      <c r="J2218" s="7" t="str">
        <f>IFERROR(LET(_xlpm.v,
VLOOKUP($I2218,'用語辞書'!$A:$B,COLUMN('用語辞書'!B$1),FALSE),
IF(_xlpm.v=0,"",_xlpm.v)
),"")</f>
        <v/>
      </c>
      <c r="K2218" s="17"/>
      <c r="L2218" s="17" t="b">
        <f>IF(OR(COUNTIF('クラス'!$A$1:$A$1262,$B2218)&gt;0,$B2218="",$M2218=""),"",True)</f>
        <v>1</v>
      </c>
      <c r="M2218" s="1" t="str">
        <f t="shared" si="27"/>
        <v>存在しない</v>
      </c>
      <c r="N2218" s="1" t="s">
        <v>29</v>
      </c>
      <c r="O2218" s="1"/>
      <c r="P2218" s="11"/>
      <c r="Q2218" s="11"/>
      <c r="R2218" s="11"/>
      <c r="S2218" s="11"/>
      <c r="T2218" s="1"/>
      <c r="U2218" s="1"/>
      <c r="V2218" s="1"/>
      <c r="W2218" s="1"/>
      <c r="X2218" s="1"/>
      <c r="Y2218" s="1"/>
      <c r="Z2218" s="1"/>
    </row>
    <row r="2219" ht="18.0" customHeight="1" collapsed="1">
      <c r="A2219" s="1"/>
      <c r="B2219" s="1"/>
      <c r="C2219" s="1"/>
      <c r="D2219" s="1"/>
      <c r="E2219" s="14"/>
      <c r="F2219" s="15"/>
      <c r="G2219" s="16"/>
      <c r="H2219" s="11"/>
      <c r="I2219" s="7"/>
      <c r="J2219" s="7" t="str">
        <f>IFERROR(LET(_xlpm.v,
VLOOKUP($I2219,'用語辞書'!$A:$B,COLUMN('用語辞書'!B$1),FALSE),
IF(_xlpm.v=0,"",_xlpm.v)
),"")</f>
        <v/>
      </c>
      <c r="K2219" s="17"/>
      <c r="L2219" s="17" t="str">
        <f>IF(OR(COUNTIF('クラス'!$A$1:$A$1262,$B2219)&gt;0,$B2219="",$M2219=""),"",True)</f>
        <v/>
      </c>
      <c r="M2219" s="1" t="str">
        <f t="shared" si="27"/>
        <v>存在しない</v>
      </c>
      <c r="N2219" s="1" t="s">
        <v>29</v>
      </c>
      <c r="O2219" s="1"/>
      <c r="P2219" s="11"/>
      <c r="Q2219" s="11"/>
      <c r="R2219" s="11"/>
      <c r="S2219" s="11"/>
      <c r="T2219" s="1"/>
      <c r="U2219" s="1"/>
      <c r="V2219" s="1"/>
      <c r="W2219" s="1"/>
      <c r="X2219" s="1"/>
      <c r="Y2219" s="1"/>
      <c r="Z2219" s="1"/>
    </row>
    <row r="2220" ht="18.0" customHeight="1">
      <c r="A2220" s="1"/>
      <c r="B2220" s="26" t="s">
        <v>2248</v>
      </c>
      <c r="C2220" s="1"/>
      <c r="D2220" s="1"/>
      <c r="E2220" s="14"/>
      <c r="F2220" s="15"/>
      <c r="G2220" s="16"/>
      <c r="H2220" s="11"/>
      <c r="I2220" s="7"/>
      <c r="J2220" s="7" t="str">
        <f>IFERROR(LET(_xlpm.v,
VLOOKUP($I2220,'用語辞書'!$A:$B,COLUMN('用語辞書'!B$1),FALSE),
IF(_xlpm.v=0,"",_xlpm.v)
),"")</f>
        <v/>
      </c>
      <c r="K2220" s="17"/>
      <c r="L2220" s="17" t="str">
        <f>IF(OR(COUNTIF('クラス'!$A$1:$A$1262,$B2220)&gt;0,$B2220="",$M2220=""),"",True)</f>
        <v/>
      </c>
      <c r="M2220" s="1" t="str">
        <f t="shared" si="27"/>
        <v>存在しない</v>
      </c>
      <c r="N2220" s="1" t="s">
        <v>29</v>
      </c>
      <c r="O2220" s="1"/>
      <c r="P2220" s="11"/>
      <c r="Q2220" s="11"/>
      <c r="R2220" s="11"/>
      <c r="S2220" s="11"/>
      <c r="T2220" s="1"/>
      <c r="U2220" s="1"/>
      <c r="V2220" s="1"/>
      <c r="W2220" s="1"/>
      <c r="X2220" s="1"/>
      <c r="Y2220" s="1"/>
      <c r="Z2220" s="1"/>
    </row>
    <row r="2221" ht="18.0" hidden="1" customHeight="1" outlineLevel="1">
      <c r="A2221" s="1">
        <v>1.0</v>
      </c>
      <c r="B2221" s="26" t="s">
        <v>1144</v>
      </c>
      <c r="C2221" s="1"/>
      <c r="D2221" s="1"/>
      <c r="E2221" s="14"/>
      <c r="F2221" s="15"/>
      <c r="G2221" s="16"/>
      <c r="H2221" s="11"/>
      <c r="I2221" s="7"/>
      <c r="J2221" s="7" t="str">
        <f>IFERROR(LET(_xlpm.v,
VLOOKUP($I2221,'用語辞書'!$A:$B,COLUMN('用語辞書'!B$1),FALSE),
IF(_xlpm.v=0,"",_xlpm.v)
),"")</f>
        <v/>
      </c>
      <c r="K2221" s="17"/>
      <c r="L2221" s="17" t="str">
        <f>IF(OR(COUNTIF('クラス'!$A$1:$A$1262,$B2221)&gt;0,$B2221="",$M2221=""),"",True)</f>
        <v/>
      </c>
      <c r="M2221" s="1" t="str">
        <f t="shared" si="27"/>
        <v/>
      </c>
      <c r="N2221" s="1" t="s">
        <v>29</v>
      </c>
      <c r="O2221" s="1"/>
      <c r="P2221" s="11"/>
      <c r="Q2221" s="11"/>
      <c r="R2221" s="11"/>
      <c r="S2221" s="11"/>
      <c r="T2221" s="1"/>
      <c r="U2221" s="1"/>
      <c r="V2221" s="1"/>
      <c r="W2221" s="1"/>
      <c r="X2221" s="1"/>
      <c r="Y2221" s="1"/>
      <c r="Z2221" s="1"/>
    </row>
    <row r="2222" ht="18.0" hidden="1" customHeight="1" outlineLevel="1">
      <c r="A2222" s="1">
        <v>2.0</v>
      </c>
      <c r="B2222" s="26" t="s">
        <v>29</v>
      </c>
      <c r="C2222" s="1"/>
      <c r="D2222" s="1"/>
      <c r="E2222" s="14"/>
      <c r="F2222" s="15"/>
      <c r="G2222" s="16"/>
      <c r="H2222" s="11"/>
      <c r="I2222" s="7"/>
      <c r="J2222" s="7" t="str">
        <f>IFERROR(LET(_xlpm.v,
VLOOKUP($I2222,'用語辞書'!$A:$B,COLUMN('用語辞書'!B$1),FALSE),
IF(_xlpm.v=0,"",_xlpm.v)
),"")</f>
        <v/>
      </c>
      <c r="K2222" s="17"/>
      <c r="L2222" s="17" t="str">
        <f>IF(OR(COUNTIF('クラス'!$A$1:$A$1262,$B2222)&gt;0,$B2222="",$M2222=""),"",True)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3.0</v>
      </c>
      <c r="B2223" s="26" t="s">
        <v>2247</v>
      </c>
      <c r="C2223" s="1"/>
      <c r="D2223" s="1"/>
      <c r="E2223" s="14"/>
      <c r="F2223" s="15"/>
      <c r="G2223" s="16"/>
      <c r="H2223" s="11"/>
      <c r="I2223" s="7"/>
      <c r="J2223" s="7" t="str">
        <f>IFERROR(LET(_xlpm.v,
VLOOKUP($I2223,'用語辞書'!$A:$B,COLUMN('用語辞書'!B$1),FALSE),
IF(_xlpm.v=0,"",_xlpm.v)
),"")</f>
        <v/>
      </c>
      <c r="K2223" s="17"/>
      <c r="L2223" s="17" t="str">
        <f>IF(OR(COUNTIF('クラス'!$A$1:$A$1262,$B2223)&gt;0,$B2223="",$M2223=""),"",True)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4.0</v>
      </c>
      <c r="B2224" s="26" t="s">
        <v>29</v>
      </c>
      <c r="C2224" s="1"/>
      <c r="D2224" s="1"/>
      <c r="E2224" s="14"/>
      <c r="F2224" s="15"/>
      <c r="G2224" s="16"/>
      <c r="H2224" s="11"/>
      <c r="I2224" s="7"/>
      <c r="J2224" s="7" t="str">
        <f>IFERROR(LET(_xlpm.v,
VLOOKUP($I2224,'用語辞書'!$A:$B,COLUMN('用語辞書'!B$1),FALSE),
IF(_xlpm.v=0,"",_xlpm.v)
),"")</f>
        <v/>
      </c>
      <c r="K2224" s="17"/>
      <c r="L2224" s="17" t="str">
        <f>IF(OR(COUNTIF('クラス'!$A$1:$A$1262,$B2224)&gt;0,$B2224="",$M2224=""),"",True)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5.0</v>
      </c>
      <c r="B2225" s="26" t="s">
        <v>1259</v>
      </c>
      <c r="C2225" s="1"/>
      <c r="D2225" s="1"/>
      <c r="E2225" s="14"/>
      <c r="F2225" s="15"/>
      <c r="G2225" s="16"/>
      <c r="H2225" s="11"/>
      <c r="I2225" s="7"/>
      <c r="J2225" s="7" t="str">
        <f>IFERROR(LET(_xlpm.v,
VLOOKUP($I2225,'用語辞書'!$A:$B,COLUMN('用語辞書'!B$1),FALSE),
IF(_xlpm.v=0,"",_xlpm.v)
),"")</f>
        <v/>
      </c>
      <c r="K2225" s="17"/>
      <c r="L2225" s="17" t="str">
        <f>IF(OR(COUNTIF('クラス'!$A$1:$A$1262,$B2225)&gt;0,$B2225="",$M2225=""),"",True)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6.0</v>
      </c>
      <c r="B2226" s="26" t="s">
        <v>29</v>
      </c>
      <c r="C2226" s="1"/>
      <c r="D2226" s="1"/>
      <c r="E2226" s="14"/>
      <c r="F2226" s="15"/>
      <c r="G2226" s="16"/>
      <c r="H2226" s="11"/>
      <c r="I2226" s="7"/>
      <c r="J2226" s="7" t="str">
        <f>IFERROR(LET(_xlpm.v,
VLOOKUP($I2226,'用語辞書'!$A:$B,COLUMN('用語辞書'!B$1),FALSE),
IF(_xlpm.v=0,"",_xlpm.v)
),"")</f>
        <v/>
      </c>
      <c r="K2226" s="17"/>
      <c r="L2226" s="17" t="str">
        <f>IF(OR(COUNTIF('クラス'!$A$1:$A$1262,$B2226)&gt;0,$B2226="",$M2226=""),"",True)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7.0</v>
      </c>
      <c r="B2227" s="26" t="s">
        <v>2000</v>
      </c>
      <c r="C2227" s="1"/>
      <c r="D2227" s="1"/>
      <c r="E2227" s="14"/>
      <c r="F2227" s="15"/>
      <c r="G2227" s="16"/>
      <c r="H2227" s="11"/>
      <c r="I2227" s="7"/>
      <c r="J2227" s="7" t="str">
        <f>IFERROR(LET(_xlpm.v,
VLOOKUP($I2227,'用語辞書'!$A:$B,COLUMN('用語辞書'!B$1),FALSE),
IF(_xlpm.v=0,"",_xlpm.v)
),"")</f>
        <v/>
      </c>
      <c r="K2227" s="17"/>
      <c r="L2227" s="17" t="str">
        <f>IF(OR(COUNTIF('クラス'!$A$1:$A$1262,$B2227)&gt;0,$B2227="",$M2227=""),"",True)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8.0</v>
      </c>
      <c r="B2228" s="26" t="s">
        <v>29</v>
      </c>
      <c r="C2228" s="1"/>
      <c r="D2228" s="1"/>
      <c r="E2228" s="14"/>
      <c r="F2228" s="15"/>
      <c r="G2228" s="16"/>
      <c r="H2228" s="11"/>
      <c r="I2228" s="7"/>
      <c r="J2228" s="7" t="str">
        <f>IFERROR(LET(_xlpm.v,
VLOOKUP($I2228,'用語辞書'!$A:$B,COLUMN('用語辞書'!B$1),FALSE),
IF(_xlpm.v=0,"",_xlpm.v)
),"")</f>
        <v/>
      </c>
      <c r="K2228" s="17"/>
      <c r="L2228" s="17" t="str">
        <f>IF(OR(COUNTIF('クラス'!$A$1:$A$1262,$B2228)&gt;0,$B2228="",$M2228=""),"",True)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9.0</v>
      </c>
      <c r="B2229" s="26" t="s">
        <v>1261</v>
      </c>
      <c r="C2229" s="1"/>
      <c r="D2229" s="1"/>
      <c r="E2229" s="14"/>
      <c r="F2229" s="15"/>
      <c r="G2229" s="16"/>
      <c r="H2229" s="11"/>
      <c r="I2229" s="7"/>
      <c r="J2229" s="7" t="str">
        <f>IFERROR(LET(_xlpm.v,
VLOOKUP($I2229,'用語辞書'!$A:$B,COLUMN('用語辞書'!B$1),FALSE),
IF(_xlpm.v=0,"",_xlpm.v)
),"")</f>
        <v/>
      </c>
      <c r="K2229" s="17"/>
      <c r="L2229" s="17" t="str">
        <f>IF(OR(COUNTIF('クラス'!$A$1:$A$1262,$B2229)&gt;0,$B2229="",$M2229=""),"",True)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10.0</v>
      </c>
      <c r="B2230" s="26" t="s">
        <v>2249</v>
      </c>
      <c r="C2230" s="26" t="s">
        <v>29</v>
      </c>
      <c r="D2230" s="26" t="s">
        <v>29</v>
      </c>
      <c r="E2230" s="29" t="s">
        <v>55</v>
      </c>
      <c r="F2230" s="34" t="s">
        <v>29</v>
      </c>
      <c r="G2230" s="30" t="s">
        <v>29</v>
      </c>
      <c r="H2230" s="22" t="s">
        <v>2250</v>
      </c>
      <c r="I2230" s="7"/>
      <c r="J2230" s="7" t="str">
        <f>IFERROR(LET(_xlpm.v,
VLOOKUP($I2230,'用語辞書'!$A:$B,COLUMN('用語辞書'!B$1),FALSE),
IF(_xlpm.v=0,"",_xlpm.v)
),"")</f>
        <v/>
      </c>
      <c r="K2230" s="17"/>
      <c r="L2230" s="17" t="b">
        <f>IF(OR(COUNTIF('クラス'!$A$1:$A$1262,$B2230)&gt;0,$B2230="",$M2230=""),"",True)</f>
        <v>1</v>
      </c>
      <c r="M2230" s="1" t="str">
        <f t="shared" si="27"/>
        <v>存在しない</v>
      </c>
      <c r="N2230" s="1" t="s">
        <v>29</v>
      </c>
      <c r="O2230" s="1"/>
      <c r="P2230" s="11"/>
      <c r="Q2230" s="11"/>
      <c r="R2230" s="11"/>
      <c r="S2230" s="11"/>
      <c r="T2230" s="1"/>
      <c r="U2230" s="1"/>
      <c r="V2230" s="1"/>
      <c r="W2230" s="1"/>
      <c r="X2230" s="1"/>
      <c r="Y2230" s="1"/>
      <c r="Z2230" s="1"/>
    </row>
    <row r="2231" ht="18.0" customHeight="1" collapsed="1">
      <c r="A2231" s="1"/>
      <c r="B2231" s="1"/>
      <c r="C2231" s="1"/>
      <c r="D2231" s="1"/>
      <c r="E2231" s="14"/>
      <c r="F2231" s="15"/>
      <c r="G2231" s="16"/>
      <c r="H2231" s="11"/>
      <c r="I2231" s="7"/>
      <c r="J2231" s="7" t="str">
        <f>IFERROR(LET(_xlpm.v,
VLOOKUP($I2231,'用語辞書'!$A:$B,COLUMN('用語辞書'!B$1),FALSE),
IF(_xlpm.v=0,"",_xlpm.v)
),"")</f>
        <v/>
      </c>
      <c r="K2231" s="17"/>
      <c r="L2231" s="17" t="str">
        <f>IF(OR(COUNTIF('クラス'!$A$1:$A$1262,$B2231)&gt;0,$B2231="",$M2231=""),"",True)</f>
        <v/>
      </c>
      <c r="M2231" s="1" t="str">
        <f t="shared" si="27"/>
        <v>存在しない</v>
      </c>
      <c r="N2231" s="1" t="s">
        <v>29</v>
      </c>
      <c r="O2231" s="1"/>
      <c r="P2231" s="11"/>
      <c r="Q2231" s="11"/>
      <c r="R2231" s="11"/>
      <c r="S2231" s="11"/>
      <c r="T2231" s="1"/>
      <c r="U2231" s="1"/>
      <c r="V2231" s="1"/>
      <c r="W2231" s="1"/>
      <c r="X2231" s="1"/>
      <c r="Y2231" s="1"/>
      <c r="Z2231" s="1"/>
    </row>
    <row r="2232" ht="18.0" customHeight="1">
      <c r="A2232" s="1"/>
      <c r="B2232" s="26" t="s">
        <v>2251</v>
      </c>
      <c r="C2232" s="1"/>
      <c r="D2232" s="1"/>
      <c r="E2232" s="14"/>
      <c r="F2232" s="15"/>
      <c r="G2232" s="16"/>
      <c r="H2232" s="11"/>
      <c r="I2232" s="7"/>
      <c r="J2232" s="7" t="str">
        <f>IFERROR(LET(_xlpm.v,
VLOOKUP($I2232,'用語辞書'!$A:$B,COLUMN('用語辞書'!B$1),FALSE),
IF(_xlpm.v=0,"",_xlpm.v)
),"")</f>
        <v/>
      </c>
      <c r="K2232" s="17"/>
      <c r="L2232" s="17" t="str">
        <f>IF(OR(COUNTIF('クラス'!$A$1:$A$1262,$B2232)&gt;0,$B2232="",$M2232=""),"",True)</f>
        <v/>
      </c>
      <c r="M2232" s="1" t="str">
        <f t="shared" si="27"/>
        <v>存在しない</v>
      </c>
      <c r="N2232" s="1" t="s">
        <v>29</v>
      </c>
      <c r="O2232" s="1"/>
      <c r="P2232" s="11"/>
      <c r="Q2232" s="11"/>
      <c r="R2232" s="11"/>
      <c r="S2232" s="11"/>
      <c r="T2232" s="1"/>
      <c r="U2232" s="1"/>
      <c r="V2232" s="1"/>
      <c r="W2232" s="1"/>
      <c r="X2232" s="1"/>
      <c r="Y2232" s="1"/>
      <c r="Z2232" s="1"/>
    </row>
    <row r="2233" ht="18.0" hidden="1" customHeight="1" outlineLevel="1">
      <c r="A2233" s="1">
        <v>1.0</v>
      </c>
      <c r="B2233" s="26" t="s">
        <v>1144</v>
      </c>
      <c r="C2233" s="1"/>
      <c r="D2233" s="1"/>
      <c r="E2233" s="14"/>
      <c r="F2233" s="15"/>
      <c r="G2233" s="16"/>
      <c r="H2233" s="11"/>
      <c r="I2233" s="7"/>
      <c r="J2233" s="7" t="str">
        <f>IFERROR(LET(_xlpm.v,
VLOOKUP($I2233,'用語辞書'!$A:$B,COLUMN('用語辞書'!B$1),FALSE),
IF(_xlpm.v=0,"",_xlpm.v)
),"")</f>
        <v/>
      </c>
      <c r="K2233" s="17"/>
      <c r="L2233" s="17" t="str">
        <f>IF(OR(COUNTIF('クラス'!$A$1:$A$1262,$B2233)&gt;0,$B2233="",$M2233=""),"",True)</f>
        <v/>
      </c>
      <c r="M2233" s="1" t="str">
        <f t="shared" si="27"/>
        <v/>
      </c>
      <c r="N2233" s="1" t="s">
        <v>29</v>
      </c>
      <c r="O2233" s="1"/>
      <c r="P2233" s="11"/>
      <c r="Q2233" s="11"/>
      <c r="R2233" s="11"/>
      <c r="S2233" s="11"/>
      <c r="T2233" s="1"/>
      <c r="U2233" s="1"/>
      <c r="V2233" s="1"/>
      <c r="W2233" s="1"/>
      <c r="X2233" s="1"/>
      <c r="Y2233" s="1"/>
      <c r="Z2233" s="1"/>
    </row>
    <row r="2234" ht="18.0" hidden="1" customHeight="1" outlineLevel="1">
      <c r="A2234" s="1">
        <v>2.0</v>
      </c>
      <c r="B2234" s="26" t="s">
        <v>29</v>
      </c>
      <c r="C2234" s="1"/>
      <c r="D2234" s="1"/>
      <c r="E2234" s="14"/>
      <c r="F2234" s="15"/>
      <c r="G2234" s="16"/>
      <c r="H2234" s="11"/>
      <c r="I2234" s="7"/>
      <c r="J2234" s="7" t="str">
        <f>IFERROR(LET(_xlpm.v,
VLOOKUP($I2234,'用語辞書'!$A:$B,COLUMN('用語辞書'!B$1),FALSE),
IF(_xlpm.v=0,"",_xlpm.v)
),"")</f>
        <v/>
      </c>
      <c r="K2234" s="17"/>
      <c r="L2234" s="17" t="str">
        <f>IF(OR(COUNTIF('クラス'!$A$1:$A$1262,$B2234)&gt;0,$B2234="",$M2234=""),"",True)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3.0</v>
      </c>
      <c r="B2235" s="26" t="s">
        <v>1209</v>
      </c>
      <c r="C2235" s="1"/>
      <c r="D2235" s="1"/>
      <c r="E2235" s="14"/>
      <c r="F2235" s="15"/>
      <c r="G2235" s="16"/>
      <c r="H2235" s="11"/>
      <c r="I2235" s="7"/>
      <c r="J2235" s="7" t="str">
        <f>IFERROR(LET(_xlpm.v,
VLOOKUP($I2235,'用語辞書'!$A:$B,COLUMN('用語辞書'!B$1),FALSE),
IF(_xlpm.v=0,"",_xlpm.v)
),"")</f>
        <v/>
      </c>
      <c r="K2235" s="17"/>
      <c r="L2235" s="17" t="str">
        <f>IF(OR(COUNTIF('クラス'!$A$1:$A$1262,$B2235)&gt;0,$B2235="",$M2235=""),"",True)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4.0</v>
      </c>
      <c r="B2236" s="26" t="s">
        <v>29</v>
      </c>
      <c r="C2236" s="1"/>
      <c r="D2236" s="1"/>
      <c r="E2236" s="14"/>
      <c r="F2236" s="15"/>
      <c r="G2236" s="16"/>
      <c r="H2236" s="11"/>
      <c r="I2236" s="7"/>
      <c r="J2236" s="7" t="str">
        <f>IFERROR(LET(_xlpm.v,
VLOOKUP($I2236,'用語辞書'!$A:$B,COLUMN('用語辞書'!B$1),FALSE),
IF(_xlpm.v=0,"",_xlpm.v)
),"")</f>
        <v/>
      </c>
      <c r="K2236" s="17"/>
      <c r="L2236" s="17" t="str">
        <f>IF(OR(COUNTIF('クラス'!$A$1:$A$1262,$B2236)&gt;0,$B2236="",$M2236=""),"",True)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5.0</v>
      </c>
      <c r="B2237" s="26" t="s">
        <v>1259</v>
      </c>
      <c r="C2237" s="1"/>
      <c r="D2237" s="1"/>
      <c r="E2237" s="14"/>
      <c r="F2237" s="15"/>
      <c r="G2237" s="16"/>
      <c r="H2237" s="11"/>
      <c r="I2237" s="7"/>
      <c r="J2237" s="7" t="str">
        <f>IFERROR(LET(_xlpm.v,
VLOOKUP($I2237,'用語辞書'!$A:$B,COLUMN('用語辞書'!B$1),FALSE),
IF(_xlpm.v=0,"",_xlpm.v)
),"")</f>
        <v/>
      </c>
      <c r="K2237" s="17"/>
      <c r="L2237" s="17" t="str">
        <f>IF(OR(COUNTIF('クラス'!$A$1:$A$1262,$B2237)&gt;0,$B2237="",$M2237=""),"",True)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6.0</v>
      </c>
      <c r="B2238" s="26" t="s">
        <v>29</v>
      </c>
      <c r="C2238" s="1"/>
      <c r="D2238" s="1"/>
      <c r="E2238" s="14"/>
      <c r="F2238" s="15"/>
      <c r="G2238" s="16"/>
      <c r="H2238" s="11"/>
      <c r="I2238" s="7"/>
      <c r="J2238" s="7" t="str">
        <f>IFERROR(LET(_xlpm.v,
VLOOKUP($I2238,'用語辞書'!$A:$B,COLUMN('用語辞書'!B$1),FALSE),
IF(_xlpm.v=0,"",_xlpm.v)
),"")</f>
        <v/>
      </c>
      <c r="K2238" s="17"/>
      <c r="L2238" s="17" t="str">
        <f>IF(OR(COUNTIF('クラス'!$A$1:$A$1262,$B2238)&gt;0,$B2238="",$M2238=""),"",True)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7.0</v>
      </c>
      <c r="B2239" s="26" t="s">
        <v>2000</v>
      </c>
      <c r="C2239" s="1"/>
      <c r="D2239" s="1"/>
      <c r="E2239" s="14"/>
      <c r="F2239" s="15"/>
      <c r="G2239" s="16"/>
      <c r="H2239" s="11"/>
      <c r="I2239" s="7"/>
      <c r="J2239" s="7" t="str">
        <f>IFERROR(LET(_xlpm.v,
VLOOKUP($I2239,'用語辞書'!$A:$B,COLUMN('用語辞書'!B$1),FALSE),
IF(_xlpm.v=0,"",_xlpm.v)
),"")</f>
        <v/>
      </c>
      <c r="K2239" s="17"/>
      <c r="L2239" s="17" t="str">
        <f>IF(OR(COUNTIF('クラス'!$A$1:$A$1262,$B2239)&gt;0,$B2239="",$M2239=""),"",True)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8.0</v>
      </c>
      <c r="B2240" s="26" t="s">
        <v>29</v>
      </c>
      <c r="C2240" s="1"/>
      <c r="D2240" s="1"/>
      <c r="E2240" s="14"/>
      <c r="F2240" s="15"/>
      <c r="G2240" s="16"/>
      <c r="H2240" s="11"/>
      <c r="I2240" s="7"/>
      <c r="J2240" s="7" t="str">
        <f>IFERROR(LET(_xlpm.v,
VLOOKUP($I2240,'用語辞書'!$A:$B,COLUMN('用語辞書'!B$1),FALSE),
IF(_xlpm.v=0,"",_xlpm.v)
),"")</f>
        <v/>
      </c>
      <c r="K2240" s="17"/>
      <c r="L2240" s="17" t="str">
        <f>IF(OR(COUNTIF('クラス'!$A$1:$A$1262,$B2240)&gt;0,$B2240="",$M2240=""),"",True)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9.0</v>
      </c>
      <c r="B2241" s="26" t="s">
        <v>1500</v>
      </c>
      <c r="C2241" s="1"/>
      <c r="D2241" s="1"/>
      <c r="E2241" s="14"/>
      <c r="F2241" s="15"/>
      <c r="G2241" s="16"/>
      <c r="H2241" s="11"/>
      <c r="I2241" s="7"/>
      <c r="J2241" s="7" t="str">
        <f>IFERROR(LET(_xlpm.v,
VLOOKUP($I2241,'用語辞書'!$A:$B,COLUMN('用語辞書'!B$1),FALSE),
IF(_xlpm.v=0,"",_xlpm.v)
),"")</f>
        <v/>
      </c>
      <c r="K2241" s="17"/>
      <c r="L2241" s="17" t="str">
        <f>IF(OR(COUNTIF('クラス'!$A$1:$A$1262,$B2241)&gt;0,$B2241="",$M2241=""),"",True)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10.0</v>
      </c>
      <c r="B2242" s="26" t="s">
        <v>2252</v>
      </c>
      <c r="C2242" s="26" t="s">
        <v>29</v>
      </c>
      <c r="D2242" s="26" t="s">
        <v>29</v>
      </c>
      <c r="E2242" s="29" t="s">
        <v>33</v>
      </c>
      <c r="F2242" s="34" t="s">
        <v>29</v>
      </c>
      <c r="G2242" s="30">
        <v>40.0</v>
      </c>
      <c r="H2242" s="22" t="s">
        <v>2253</v>
      </c>
      <c r="I2242" s="7"/>
      <c r="J2242" s="7" t="str">
        <f>IFERROR(LET(_xlpm.v,
VLOOKUP($I2242,'用語辞書'!$A:$B,COLUMN('用語辞書'!B$1),FALSE),
IF(_xlpm.v=0,"",_xlpm.v)
),"")</f>
        <v/>
      </c>
      <c r="K2242" s="17"/>
      <c r="L2242" s="17" t="b">
        <f>IF(OR(COUNTIF('クラス'!$A$1:$A$1262,$B2242)&gt;0,$B2242="",$M2242=""),"",True)</f>
        <v>1</v>
      </c>
      <c r="M2242" s="1" t="str">
        <f t="shared" si="27"/>
        <v>存在しない</v>
      </c>
      <c r="N2242" s="1" t="s">
        <v>29</v>
      </c>
      <c r="O2242" s="1"/>
      <c r="P2242" s="11"/>
      <c r="Q2242" s="11"/>
      <c r="R2242" s="11"/>
      <c r="S2242" s="11"/>
      <c r="T2242" s="1"/>
      <c r="U2242" s="1"/>
      <c r="V2242" s="1"/>
      <c r="W2242" s="1"/>
      <c r="X2242" s="1"/>
      <c r="Y2242" s="1"/>
      <c r="Z2242" s="1"/>
    </row>
    <row r="2243" ht="18.0" customHeight="1" collapsed="1">
      <c r="A2243" s="1"/>
      <c r="B2243" s="1"/>
      <c r="C2243" s="1"/>
      <c r="D2243" s="1"/>
      <c r="E2243" s="14"/>
      <c r="F2243" s="15"/>
      <c r="G2243" s="16"/>
      <c r="H2243" s="11"/>
      <c r="I2243" s="7"/>
      <c r="J2243" s="7" t="str">
        <f>IFERROR(LET(_xlpm.v,
VLOOKUP($I2243,'用語辞書'!$A:$B,COLUMN('用語辞書'!B$1),FALSE),
IF(_xlpm.v=0,"",_xlpm.v)
),"")</f>
        <v/>
      </c>
      <c r="K2243" s="17"/>
      <c r="L2243" s="17" t="str">
        <f>IF(OR(COUNTIF('クラス'!$A$1:$A$1262,$B2243)&gt;0,$B2243="",$M2243=""),"",True)</f>
        <v/>
      </c>
      <c r="M2243" s="1" t="str">
        <f t="shared" si="27"/>
        <v>存在しない</v>
      </c>
      <c r="N2243" s="1" t="s">
        <v>29</v>
      </c>
      <c r="O2243" s="1"/>
      <c r="P2243" s="11"/>
      <c r="Q2243" s="11"/>
      <c r="R2243" s="11"/>
      <c r="S2243" s="11"/>
      <c r="T2243" s="1"/>
      <c r="U2243" s="1"/>
      <c r="V2243" s="1"/>
      <c r="W2243" s="1"/>
      <c r="X2243" s="1"/>
      <c r="Y2243" s="1"/>
      <c r="Z2243" s="1"/>
    </row>
    <row r="2244" ht="18.0" customHeight="1">
      <c r="A2244" s="1"/>
      <c r="B2244" s="26" t="s">
        <v>2254</v>
      </c>
      <c r="C2244" s="1"/>
      <c r="D2244" s="1"/>
      <c r="E2244" s="14"/>
      <c r="F2244" s="15"/>
      <c r="G2244" s="16"/>
      <c r="H2244" s="11"/>
      <c r="I2244" s="7"/>
      <c r="J2244" s="7" t="str">
        <f>IFERROR(LET(_xlpm.v,
VLOOKUP($I2244,'用語辞書'!$A:$B,COLUMN('用語辞書'!B$1),FALSE),
IF(_xlpm.v=0,"",_xlpm.v)
),"")</f>
        <v/>
      </c>
      <c r="K2244" s="17"/>
      <c r="L2244" s="17" t="str">
        <f>IF(OR(COUNTIF('クラス'!$A$1:$A$1262,$B2244)&gt;0,$B2244="",$M2244=""),"",True)</f>
        <v/>
      </c>
      <c r="M2244" s="1" t="str">
        <f t="shared" si="27"/>
        <v>存在しない</v>
      </c>
      <c r="N2244" s="1" t="s">
        <v>29</v>
      </c>
      <c r="O2244" s="1"/>
      <c r="P2244" s="11"/>
      <c r="Q2244" s="11"/>
      <c r="R2244" s="11"/>
      <c r="S2244" s="11"/>
      <c r="T2244" s="1"/>
      <c r="U2244" s="1"/>
      <c r="V2244" s="1"/>
      <c r="W2244" s="1"/>
      <c r="X2244" s="1"/>
      <c r="Y2244" s="1"/>
      <c r="Z2244" s="1"/>
    </row>
    <row r="2245" ht="18.0" hidden="1" customHeight="1" outlineLevel="1">
      <c r="A2245" s="1">
        <v>1.0</v>
      </c>
      <c r="B2245" s="26" t="s">
        <v>1144</v>
      </c>
      <c r="C2245" s="1"/>
      <c r="D2245" s="1"/>
      <c r="E2245" s="14"/>
      <c r="F2245" s="15"/>
      <c r="G2245" s="16"/>
      <c r="H2245" s="11"/>
      <c r="I2245" s="7"/>
      <c r="J2245" s="7" t="str">
        <f>IFERROR(LET(_xlpm.v,
VLOOKUP($I2245,'用語辞書'!$A:$B,COLUMN('用語辞書'!B$1),FALSE),
IF(_xlpm.v=0,"",_xlpm.v)
),"")</f>
        <v/>
      </c>
      <c r="K2245" s="17"/>
      <c r="L2245" s="17" t="str">
        <f>IF(OR(COUNTIF('クラス'!$A$1:$A$1262,$B2245)&gt;0,$B2245="",$M2245=""),"",True)</f>
        <v/>
      </c>
      <c r="M2245" s="1" t="str">
        <f t="shared" si="27"/>
        <v/>
      </c>
      <c r="N2245" s="1" t="s">
        <v>29</v>
      </c>
      <c r="O2245" s="1"/>
      <c r="P2245" s="11"/>
      <c r="Q2245" s="11"/>
      <c r="R2245" s="11"/>
      <c r="S2245" s="11"/>
      <c r="T2245" s="1"/>
      <c r="U2245" s="1"/>
      <c r="V2245" s="1"/>
      <c r="W2245" s="1"/>
      <c r="X2245" s="1"/>
      <c r="Y2245" s="1"/>
      <c r="Z2245" s="1"/>
    </row>
    <row r="2246" ht="18.0" hidden="1" customHeight="1" outlineLevel="1">
      <c r="A2246" s="1">
        <v>2.0</v>
      </c>
      <c r="B2246" s="26" t="s">
        <v>29</v>
      </c>
      <c r="C2246" s="1"/>
      <c r="D2246" s="1"/>
      <c r="E2246" s="14"/>
      <c r="F2246" s="15"/>
      <c r="G2246" s="16"/>
      <c r="H2246" s="11"/>
      <c r="I2246" s="7"/>
      <c r="J2246" s="7" t="str">
        <f>IFERROR(LET(_xlpm.v,
VLOOKUP($I2246,'用語辞書'!$A:$B,COLUMN('用語辞書'!B$1),FALSE),
IF(_xlpm.v=0,"",_xlpm.v)
),"")</f>
        <v/>
      </c>
      <c r="K2246" s="17"/>
      <c r="L2246" s="17" t="str">
        <f>IF(OR(COUNTIF('クラス'!$A$1:$A$1262,$B2246)&gt;0,$B2246="",$M2246=""),"",True)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3.0</v>
      </c>
      <c r="B2247" s="26" t="s">
        <v>2136</v>
      </c>
      <c r="C2247" s="1"/>
      <c r="D2247" s="1"/>
      <c r="E2247" s="14"/>
      <c r="F2247" s="15"/>
      <c r="G2247" s="16"/>
      <c r="H2247" s="11"/>
      <c r="I2247" s="7"/>
      <c r="J2247" s="7" t="str">
        <f>IFERROR(LET(_xlpm.v,
VLOOKUP($I2247,'用語辞書'!$A:$B,COLUMN('用語辞書'!B$1),FALSE),
IF(_xlpm.v=0,"",_xlpm.v)
),"")</f>
        <v/>
      </c>
      <c r="K2247" s="17"/>
      <c r="L2247" s="17" t="str">
        <f>IF(OR(COUNTIF('クラス'!$A$1:$A$1262,$B2247)&gt;0,$B2247="",$M2247=""),"",True)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4.0</v>
      </c>
      <c r="B2248" s="26" t="s">
        <v>29</v>
      </c>
      <c r="C2248" s="1"/>
      <c r="D2248" s="1"/>
      <c r="E2248" s="14"/>
      <c r="F2248" s="15"/>
      <c r="G2248" s="16"/>
      <c r="H2248" s="11"/>
      <c r="I2248" s="7"/>
      <c r="J2248" s="7" t="str">
        <f>IFERROR(LET(_xlpm.v,
VLOOKUP($I2248,'用語辞書'!$A:$B,COLUMN('用語辞書'!B$1),FALSE),
IF(_xlpm.v=0,"",_xlpm.v)
),"")</f>
        <v/>
      </c>
      <c r="K2248" s="17"/>
      <c r="L2248" s="17" t="str">
        <f>IF(OR(COUNTIF('クラス'!$A$1:$A$1262,$B2248)&gt;0,$B2248="",$M2248=""),"",True)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5.0</v>
      </c>
      <c r="B2249" s="26" t="s">
        <v>1854</v>
      </c>
      <c r="C2249" s="1"/>
      <c r="D2249" s="1"/>
      <c r="E2249" s="14"/>
      <c r="F2249" s="15"/>
      <c r="G2249" s="16"/>
      <c r="H2249" s="11"/>
      <c r="I2249" s="7"/>
      <c r="J2249" s="7" t="str">
        <f>IFERROR(LET(_xlpm.v,
VLOOKUP($I2249,'用語辞書'!$A:$B,COLUMN('用語辞書'!B$1),FALSE),
IF(_xlpm.v=0,"",_xlpm.v)
),"")</f>
        <v/>
      </c>
      <c r="K2249" s="17"/>
      <c r="L2249" s="17" t="str">
        <f>IF(OR(COUNTIF('クラス'!$A$1:$A$1262,$B2249)&gt;0,$B2249="",$M2249=""),"",True)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6.0</v>
      </c>
      <c r="B2250" s="26" t="s">
        <v>29</v>
      </c>
      <c r="C2250" s="1"/>
      <c r="D2250" s="1"/>
      <c r="E2250" s="14"/>
      <c r="F2250" s="15"/>
      <c r="G2250" s="16"/>
      <c r="H2250" s="11"/>
      <c r="I2250" s="7"/>
      <c r="J2250" s="7" t="str">
        <f>IFERROR(LET(_xlpm.v,
VLOOKUP($I2250,'用語辞書'!$A:$B,COLUMN('用語辞書'!B$1),FALSE),
IF(_xlpm.v=0,"",_xlpm.v)
),"")</f>
        <v/>
      </c>
      <c r="K2250" s="17"/>
      <c r="L2250" s="17" t="str">
        <f>IF(OR(COUNTIF('クラス'!$A$1:$A$1262,$B2250)&gt;0,$B2250="",$M2250=""),"",True)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7.0</v>
      </c>
      <c r="B2251" s="26" t="s">
        <v>2000</v>
      </c>
      <c r="C2251" s="1"/>
      <c r="D2251" s="1"/>
      <c r="E2251" s="14"/>
      <c r="F2251" s="15"/>
      <c r="G2251" s="16"/>
      <c r="H2251" s="11"/>
      <c r="I2251" s="7"/>
      <c r="J2251" s="7" t="str">
        <f>IFERROR(LET(_xlpm.v,
VLOOKUP($I2251,'用語辞書'!$A:$B,COLUMN('用語辞書'!B$1),FALSE),
IF(_xlpm.v=0,"",_xlpm.v)
),"")</f>
        <v/>
      </c>
      <c r="K2251" s="17"/>
      <c r="L2251" s="17" t="str">
        <f>IF(OR(COUNTIF('クラス'!$A$1:$A$1262,$B2251)&gt;0,$B2251="",$M2251=""),"",True)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8.0</v>
      </c>
      <c r="B2252" s="26" t="s">
        <v>29</v>
      </c>
      <c r="C2252" s="1"/>
      <c r="D2252" s="1"/>
      <c r="E2252" s="14"/>
      <c r="F2252" s="15"/>
      <c r="G2252" s="16"/>
      <c r="H2252" s="11"/>
      <c r="I2252" s="7"/>
      <c r="J2252" s="7" t="str">
        <f>IFERROR(LET(_xlpm.v,
VLOOKUP($I2252,'用語辞書'!$A:$B,COLUMN('用語辞書'!B$1),FALSE),
IF(_xlpm.v=0,"",_xlpm.v)
),"")</f>
        <v/>
      </c>
      <c r="K2252" s="17"/>
      <c r="L2252" s="17" t="str">
        <f>IF(OR(COUNTIF('クラス'!$A$1:$A$1262,$B2252)&gt;0,$B2252="",$M2252=""),"",True)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9.0</v>
      </c>
      <c r="B2253" s="26" t="s">
        <v>1209</v>
      </c>
      <c r="C2253" s="1"/>
      <c r="D2253" s="1"/>
      <c r="E2253" s="14"/>
      <c r="F2253" s="15"/>
      <c r="G2253" s="16"/>
      <c r="H2253" s="11"/>
      <c r="I2253" s="7"/>
      <c r="J2253" s="7" t="str">
        <f>IFERROR(LET(_xlpm.v,
VLOOKUP($I2253,'用語辞書'!$A:$B,COLUMN('用語辞書'!B$1),FALSE),
IF(_xlpm.v=0,"",_xlpm.v)
),"")</f>
        <v/>
      </c>
      <c r="K2253" s="17"/>
      <c r="L2253" s="17" t="str">
        <f>IF(OR(COUNTIF('クラス'!$A$1:$A$1262,$B2253)&gt;0,$B2253="",$M2253=""),"",True)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10.0</v>
      </c>
      <c r="B2254" s="26" t="s">
        <v>2255</v>
      </c>
      <c r="C2254" s="26" t="s">
        <v>29</v>
      </c>
      <c r="D2254" s="26" t="s">
        <v>29</v>
      </c>
      <c r="E2254" s="29" t="s">
        <v>55</v>
      </c>
      <c r="F2254" s="34" t="s">
        <v>29</v>
      </c>
      <c r="G2254" s="30" t="s">
        <v>29</v>
      </c>
      <c r="H2254" s="22" t="s">
        <v>2256</v>
      </c>
      <c r="I2254" s="7"/>
      <c r="J2254" s="7" t="str">
        <f>IFERROR(LET(_xlpm.v,
VLOOKUP($I2254,'用語辞書'!$A:$B,COLUMN('用語辞書'!B$1),FALSE),
IF(_xlpm.v=0,"",_xlpm.v)
),"")</f>
        <v/>
      </c>
      <c r="K2254" s="17"/>
      <c r="L2254" s="17" t="b">
        <f>IF(OR(COUNTIF('クラス'!$A$1:$A$1262,$B2254)&gt;0,$B2254="",$M2254=""),"",True)</f>
        <v>1</v>
      </c>
      <c r="M2254" s="1" t="str">
        <f t="shared" si="27"/>
        <v>存在しない</v>
      </c>
      <c r="N2254" s="1" t="s">
        <v>29</v>
      </c>
      <c r="O2254" s="1"/>
      <c r="P2254" s="11"/>
      <c r="Q2254" s="11"/>
      <c r="R2254" s="11"/>
      <c r="S2254" s="11"/>
      <c r="T2254" s="1"/>
      <c r="U2254" s="1"/>
      <c r="V2254" s="1"/>
      <c r="W2254" s="1"/>
      <c r="X2254" s="1"/>
      <c r="Y2254" s="1"/>
      <c r="Z2254" s="1"/>
    </row>
    <row r="2255" ht="18.0" customHeight="1" collapsed="1">
      <c r="A2255" s="1"/>
      <c r="B2255" s="1"/>
      <c r="C2255" s="1"/>
      <c r="D2255" s="1"/>
      <c r="E2255" s="14"/>
      <c r="F2255" s="15"/>
      <c r="G2255" s="16"/>
      <c r="H2255" s="11"/>
      <c r="I2255" s="7"/>
      <c r="J2255" s="7" t="str">
        <f>IFERROR(LET(_xlpm.v,
VLOOKUP($I2255,'用語辞書'!$A:$B,COLUMN('用語辞書'!B$1),FALSE),
IF(_xlpm.v=0,"",_xlpm.v)
),"")</f>
        <v/>
      </c>
      <c r="K2255" s="17"/>
      <c r="L2255" s="17" t="str">
        <f>IF(OR(COUNTIF('クラス'!$A$1:$A$1262,$B2255)&gt;0,$B2255="",$M2255=""),"",True)</f>
        <v/>
      </c>
      <c r="M2255" s="1" t="str">
        <f t="shared" si="27"/>
        <v>存在しない</v>
      </c>
      <c r="N2255" s="1" t="s">
        <v>29</v>
      </c>
      <c r="O2255" s="1"/>
      <c r="P2255" s="11"/>
      <c r="Q2255" s="11"/>
      <c r="R2255" s="11"/>
      <c r="S2255" s="11"/>
      <c r="T2255" s="1"/>
      <c r="U2255" s="1"/>
      <c r="V2255" s="1"/>
      <c r="W2255" s="1"/>
      <c r="X2255" s="1"/>
      <c r="Y2255" s="1"/>
      <c r="Z2255" s="1"/>
    </row>
    <row r="2256" ht="18.0" customHeight="1">
      <c r="A2256" s="1"/>
      <c r="B2256" s="26" t="s">
        <v>2257</v>
      </c>
      <c r="C2256" s="1"/>
      <c r="D2256" s="1"/>
      <c r="E2256" s="14"/>
      <c r="F2256" s="15"/>
      <c r="G2256" s="16"/>
      <c r="H2256" s="11"/>
      <c r="I2256" s="7"/>
      <c r="J2256" s="7" t="str">
        <f>IFERROR(LET(_xlpm.v,
VLOOKUP($I2256,'用語辞書'!$A:$B,COLUMN('用語辞書'!B$1),FALSE),
IF(_xlpm.v=0,"",_xlpm.v)
),"")</f>
        <v/>
      </c>
      <c r="K2256" s="17"/>
      <c r="L2256" s="17" t="str">
        <f>IF(OR(COUNTIF('クラス'!$A$1:$A$1262,$B2256)&gt;0,$B2256="",$M2256=""),"",True)</f>
        <v/>
      </c>
      <c r="M2256" s="1" t="str">
        <f t="shared" si="27"/>
        <v>存在しない</v>
      </c>
      <c r="N2256" s="1" t="s">
        <v>29</v>
      </c>
      <c r="O2256" s="1"/>
      <c r="P2256" s="11"/>
      <c r="Q2256" s="11"/>
      <c r="R2256" s="11"/>
      <c r="S2256" s="11"/>
      <c r="T2256" s="1"/>
      <c r="U2256" s="1"/>
      <c r="V2256" s="1"/>
      <c r="W2256" s="1"/>
      <c r="X2256" s="1"/>
      <c r="Y2256" s="1"/>
      <c r="Z2256" s="1"/>
    </row>
    <row r="2257" ht="18.0" hidden="1" customHeight="1" outlineLevel="1">
      <c r="A2257" s="1">
        <v>1.0</v>
      </c>
      <c r="B2257" s="26" t="s">
        <v>2239</v>
      </c>
      <c r="C2257" s="1"/>
      <c r="D2257" s="1"/>
      <c r="E2257" s="14"/>
      <c r="F2257" s="15"/>
      <c r="G2257" s="16"/>
      <c r="H2257" s="11"/>
      <c r="I2257" s="7"/>
      <c r="J2257" s="7" t="str">
        <f>IFERROR(LET(_xlpm.v,
VLOOKUP($I2257,'用語辞書'!$A:$B,COLUMN('用語辞書'!B$1),FALSE),
IF(_xlpm.v=0,"",_xlpm.v)
),"")</f>
        <v/>
      </c>
      <c r="K2257" s="17"/>
      <c r="L2257" s="17" t="str">
        <f>IF(OR(COUNTIF('クラス'!$A$1:$A$1262,$B2257)&gt;0,$B2257="",$M2257=""),"",True)</f>
        <v/>
      </c>
      <c r="M2257" s="1" t="str">
        <f t="shared" si="27"/>
        <v/>
      </c>
      <c r="N2257" s="1" t="s">
        <v>29</v>
      </c>
      <c r="O2257" s="1"/>
      <c r="P2257" s="11"/>
      <c r="Q2257" s="11"/>
      <c r="R2257" s="11"/>
      <c r="S2257" s="11"/>
      <c r="T2257" s="1"/>
      <c r="U2257" s="1"/>
      <c r="V2257" s="1"/>
      <c r="W2257" s="1"/>
      <c r="X2257" s="1"/>
      <c r="Y2257" s="1"/>
      <c r="Z2257" s="1"/>
    </row>
    <row r="2258" ht="18.0" hidden="1" customHeight="1" outlineLevel="1">
      <c r="A2258" s="1">
        <v>2.0</v>
      </c>
      <c r="B2258" s="26" t="s">
        <v>29</v>
      </c>
      <c r="C2258" s="1"/>
      <c r="D2258" s="1"/>
      <c r="E2258" s="14"/>
      <c r="F2258" s="15"/>
      <c r="G2258" s="16"/>
      <c r="H2258" s="11"/>
      <c r="I2258" s="7"/>
      <c r="J2258" s="7" t="str">
        <f>IFERROR(LET(_xlpm.v,
VLOOKUP($I2258,'用語辞書'!$A:$B,COLUMN('用語辞書'!B$1),FALSE),
IF(_xlpm.v=0,"",_xlpm.v)
),"")</f>
        <v/>
      </c>
      <c r="K2258" s="17"/>
      <c r="L2258" s="17" t="str">
        <f>IF(OR(COUNTIF('クラス'!$A$1:$A$1262,$B2258)&gt;0,$B2258="",$M2258=""),"",True)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3.0</v>
      </c>
      <c r="B2259" s="26" t="s">
        <v>1390</v>
      </c>
      <c r="C2259" s="1"/>
      <c r="D2259" s="1"/>
      <c r="E2259" s="14"/>
      <c r="F2259" s="15"/>
      <c r="G2259" s="16"/>
      <c r="H2259" s="11"/>
      <c r="I2259" s="7"/>
      <c r="J2259" s="7" t="str">
        <f>IFERROR(LET(_xlpm.v,
VLOOKUP($I2259,'用語辞書'!$A:$B,COLUMN('用語辞書'!B$1),FALSE),
IF(_xlpm.v=0,"",_xlpm.v)
),"")</f>
        <v/>
      </c>
      <c r="K2259" s="17"/>
      <c r="L2259" s="17" t="str">
        <f>IF(OR(COUNTIF('クラス'!$A$1:$A$1262,$B2259)&gt;0,$B2259="",$M2259=""),"",True)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4.0</v>
      </c>
      <c r="B2260" s="26" t="s">
        <v>29</v>
      </c>
      <c r="C2260" s="1"/>
      <c r="D2260" s="1"/>
      <c r="E2260" s="14"/>
      <c r="F2260" s="15"/>
      <c r="G2260" s="16"/>
      <c r="H2260" s="11"/>
      <c r="I2260" s="7"/>
      <c r="J2260" s="7" t="str">
        <f>IFERROR(LET(_xlpm.v,
VLOOKUP($I2260,'用語辞書'!$A:$B,COLUMN('用語辞書'!B$1),FALSE),
IF(_xlpm.v=0,"",_xlpm.v)
),"")</f>
        <v/>
      </c>
      <c r="K2260" s="17"/>
      <c r="L2260" s="17" t="str">
        <f>IF(OR(COUNTIF('クラス'!$A$1:$A$1262,$B2260)&gt;0,$B2260="",$M2260=""),"",True)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5.0</v>
      </c>
      <c r="B2261" s="26" t="s">
        <v>1259</v>
      </c>
      <c r="C2261" s="1"/>
      <c r="D2261" s="1"/>
      <c r="E2261" s="14"/>
      <c r="F2261" s="15"/>
      <c r="G2261" s="16"/>
      <c r="H2261" s="11"/>
      <c r="I2261" s="7"/>
      <c r="J2261" s="7" t="str">
        <f>IFERROR(LET(_xlpm.v,
VLOOKUP($I2261,'用語辞書'!$A:$B,COLUMN('用語辞書'!B$1),FALSE),
IF(_xlpm.v=0,"",_xlpm.v)
),"")</f>
        <v/>
      </c>
      <c r="K2261" s="17"/>
      <c r="L2261" s="17" t="str">
        <f>IF(OR(COUNTIF('クラス'!$A$1:$A$1262,$B2261)&gt;0,$B2261="",$M2261=""),"",True)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6.0</v>
      </c>
      <c r="B2262" s="26" t="s">
        <v>29</v>
      </c>
      <c r="C2262" s="1"/>
      <c r="D2262" s="1"/>
      <c r="E2262" s="14"/>
      <c r="F2262" s="15"/>
      <c r="G2262" s="16"/>
      <c r="H2262" s="11"/>
      <c r="I2262" s="7"/>
      <c r="J2262" s="7" t="str">
        <f>IFERROR(LET(_xlpm.v,
VLOOKUP($I2262,'用語辞書'!$A:$B,COLUMN('用語辞書'!B$1),FALSE),
IF(_xlpm.v=0,"",_xlpm.v)
),"")</f>
        <v/>
      </c>
      <c r="K2262" s="17"/>
      <c r="L2262" s="17" t="str">
        <f>IF(OR(COUNTIF('クラス'!$A$1:$A$1262,$B2262)&gt;0,$B2262="",$M2262=""),"",True)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7.0</v>
      </c>
      <c r="B2263" s="26" t="s">
        <v>1140</v>
      </c>
      <c r="C2263" s="1"/>
      <c r="D2263" s="1"/>
      <c r="E2263" s="14"/>
      <c r="F2263" s="15"/>
      <c r="G2263" s="16"/>
      <c r="H2263" s="11"/>
      <c r="I2263" s="7"/>
      <c r="J2263" s="7" t="str">
        <f>IFERROR(LET(_xlpm.v,
VLOOKUP($I2263,'用語辞書'!$A:$B,COLUMN('用語辞書'!B$1),FALSE),
IF(_xlpm.v=0,"",_xlpm.v)
),"")</f>
        <v/>
      </c>
      <c r="K2263" s="17"/>
      <c r="L2263" s="17" t="str">
        <f>IF(OR(COUNTIF('クラス'!$A$1:$A$1262,$B2263)&gt;0,$B2263="",$M2263=""),"",True)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8.0</v>
      </c>
      <c r="B2264" s="26" t="s">
        <v>29</v>
      </c>
      <c r="C2264" s="1"/>
      <c r="D2264" s="1"/>
      <c r="E2264" s="14"/>
      <c r="F2264" s="15"/>
      <c r="G2264" s="16"/>
      <c r="H2264" s="11"/>
      <c r="I2264" s="7"/>
      <c r="J2264" s="7" t="str">
        <f>IFERROR(LET(_xlpm.v,
VLOOKUP($I2264,'用語辞書'!$A:$B,COLUMN('用語辞書'!B$1),FALSE),
IF(_xlpm.v=0,"",_xlpm.v)
),"")</f>
        <v/>
      </c>
      <c r="K2264" s="17"/>
      <c r="L2264" s="17" t="str">
        <f>IF(OR(COUNTIF('クラス'!$A$1:$A$1262,$B2264)&gt;0,$B2264="",$M2264=""),"",True)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9.0</v>
      </c>
      <c r="B2265" s="26" t="s">
        <v>1144</v>
      </c>
      <c r="C2265" s="1"/>
      <c r="D2265" s="1"/>
      <c r="E2265" s="14"/>
      <c r="F2265" s="15"/>
      <c r="G2265" s="16"/>
      <c r="H2265" s="11"/>
      <c r="I2265" s="7"/>
      <c r="J2265" s="7" t="str">
        <f>IFERROR(LET(_xlpm.v,
VLOOKUP($I2265,'用語辞書'!$A:$B,COLUMN('用語辞書'!B$1),FALSE),
IF(_xlpm.v=0,"",_xlpm.v)
),"")</f>
        <v/>
      </c>
      <c r="K2265" s="17"/>
      <c r="L2265" s="17" t="str">
        <f>IF(OR(COUNTIF('クラス'!$A$1:$A$1262,$B2265)&gt;0,$B2265="",$M2265=""),"",True)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10.0</v>
      </c>
      <c r="B2266" s="26" t="s">
        <v>2258</v>
      </c>
      <c r="C2266" s="26" t="s">
        <v>29</v>
      </c>
      <c r="D2266" s="26" t="s">
        <v>29</v>
      </c>
      <c r="E2266" s="29" t="s">
        <v>55</v>
      </c>
      <c r="F2266" s="34" t="s">
        <v>29</v>
      </c>
      <c r="G2266" s="30" t="s">
        <v>29</v>
      </c>
      <c r="H2266" s="22" t="s">
        <v>2259</v>
      </c>
      <c r="I2266" s="7"/>
      <c r="J2266" s="7" t="str">
        <f>IFERROR(LET(_xlpm.v,
VLOOKUP($I2266,'用語辞書'!$A:$B,COLUMN('用語辞書'!B$1),FALSE),
IF(_xlpm.v=0,"",_xlpm.v)
),"")</f>
        <v/>
      </c>
      <c r="K2266" s="17"/>
      <c r="L2266" s="17" t="b">
        <f>IF(OR(COUNTIF('クラス'!$A$1:$A$1262,$B2266)&gt;0,$B2266="",$M2266=""),"",True)</f>
        <v>1</v>
      </c>
      <c r="M2266" s="1" t="str">
        <f t="shared" si="27"/>
        <v>存在しない</v>
      </c>
      <c r="N2266" s="1" t="s">
        <v>29</v>
      </c>
      <c r="O2266" s="1"/>
      <c r="P2266" s="11"/>
      <c r="Q2266" s="11"/>
      <c r="R2266" s="11"/>
      <c r="S2266" s="11"/>
      <c r="T2266" s="1"/>
      <c r="U2266" s="1"/>
      <c r="V2266" s="1"/>
      <c r="W2266" s="1"/>
      <c r="X2266" s="1"/>
      <c r="Y2266" s="1"/>
      <c r="Z2266" s="1"/>
    </row>
    <row r="2267" ht="18.0" customHeight="1" collapsed="1">
      <c r="A2267" s="1"/>
      <c r="B2267" s="1"/>
      <c r="C2267" s="1"/>
      <c r="D2267" s="1"/>
      <c r="E2267" s="14"/>
      <c r="F2267" s="15"/>
      <c r="G2267" s="16"/>
      <c r="H2267" s="11"/>
      <c r="I2267" s="7"/>
      <c r="J2267" s="7" t="str">
        <f>IFERROR(LET(_xlpm.v,
VLOOKUP($I2267,'用語辞書'!$A:$B,COLUMN('用語辞書'!B$1),FALSE),
IF(_xlpm.v=0,"",_xlpm.v)
),"")</f>
        <v/>
      </c>
      <c r="K2267" s="17"/>
      <c r="L2267" s="17" t="str">
        <f>IF(OR(COUNTIF('クラス'!$A$1:$A$1262,$B2267)&gt;0,$B2267="",$M2267=""),"",True)</f>
        <v/>
      </c>
      <c r="M2267" s="1" t="str">
        <f t="shared" si="27"/>
        <v>存在しない</v>
      </c>
      <c r="N2267" s="1" t="s">
        <v>29</v>
      </c>
      <c r="O2267" s="1"/>
      <c r="P2267" s="11"/>
      <c r="Q2267" s="11"/>
      <c r="R2267" s="11"/>
      <c r="S2267" s="11"/>
      <c r="T2267" s="1"/>
      <c r="U2267" s="1"/>
      <c r="V2267" s="1"/>
      <c r="W2267" s="1"/>
      <c r="X2267" s="1"/>
      <c r="Y2267" s="1"/>
      <c r="Z2267" s="1"/>
    </row>
    <row r="2268" ht="18.0" customHeight="1">
      <c r="A2268" s="1"/>
      <c r="B2268" s="26" t="s">
        <v>2260</v>
      </c>
      <c r="C2268" s="1"/>
      <c r="D2268" s="1"/>
      <c r="E2268" s="14"/>
      <c r="F2268" s="15"/>
      <c r="G2268" s="16"/>
      <c r="H2268" s="11"/>
      <c r="I2268" s="7"/>
      <c r="J2268" s="7" t="str">
        <f>IFERROR(LET(_xlpm.v,
VLOOKUP($I2268,'用語辞書'!$A:$B,COLUMN('用語辞書'!B$1),FALSE),
IF(_xlpm.v=0,"",_xlpm.v)
),"")</f>
        <v/>
      </c>
      <c r="K2268" s="17"/>
      <c r="L2268" s="17" t="str">
        <f>IF(OR(COUNTIF('クラス'!$A$1:$A$1262,$B2268)&gt;0,$B2268="",$M2268=""),"",True)</f>
        <v/>
      </c>
      <c r="M2268" s="1" t="str">
        <f t="shared" si="27"/>
        <v>存在しない</v>
      </c>
      <c r="N2268" s="1" t="s">
        <v>29</v>
      </c>
      <c r="O2268" s="1"/>
      <c r="P2268" s="11"/>
      <c r="Q2268" s="11"/>
      <c r="R2268" s="11"/>
      <c r="S2268" s="11"/>
      <c r="T2268" s="1"/>
      <c r="U2268" s="1"/>
      <c r="V2268" s="1"/>
      <c r="W2268" s="1"/>
      <c r="X2268" s="1"/>
      <c r="Y2268" s="1"/>
      <c r="Z2268" s="1"/>
    </row>
    <row r="2269" ht="18.0" hidden="1" customHeight="1" outlineLevel="1">
      <c r="A2269" s="1">
        <v>1.0</v>
      </c>
      <c r="B2269" s="26" t="s">
        <v>1136</v>
      </c>
      <c r="C2269" s="1"/>
      <c r="D2269" s="1"/>
      <c r="E2269" s="14"/>
      <c r="F2269" s="15"/>
      <c r="G2269" s="16"/>
      <c r="H2269" s="11"/>
      <c r="I2269" s="7"/>
      <c r="J2269" s="7" t="str">
        <f>IFERROR(LET(_xlpm.v,
VLOOKUP($I2269,'用語辞書'!$A:$B,COLUMN('用語辞書'!B$1),FALSE),
IF(_xlpm.v=0,"",_xlpm.v)
),"")</f>
        <v/>
      </c>
      <c r="K2269" s="17"/>
      <c r="L2269" s="17" t="str">
        <f>IF(OR(COUNTIF('クラス'!$A$1:$A$1262,$B2269)&gt;0,$B2269="",$M2269=""),"",True)</f>
        <v/>
      </c>
      <c r="M2269" s="1" t="str">
        <f t="shared" si="27"/>
        <v/>
      </c>
      <c r="N2269" s="1" t="s">
        <v>29</v>
      </c>
      <c r="O2269" s="1"/>
      <c r="P2269" s="11"/>
      <c r="Q2269" s="11"/>
      <c r="R2269" s="11"/>
      <c r="S2269" s="11"/>
      <c r="T2269" s="1"/>
      <c r="U2269" s="1"/>
      <c r="V2269" s="1"/>
      <c r="W2269" s="1"/>
      <c r="X2269" s="1"/>
      <c r="Y2269" s="1"/>
      <c r="Z2269" s="1"/>
    </row>
    <row r="2270" ht="18.0" hidden="1" customHeight="1" outlineLevel="1">
      <c r="A2270" s="1">
        <v>2.0</v>
      </c>
      <c r="B2270" s="26" t="s">
        <v>29</v>
      </c>
      <c r="C2270" s="1"/>
      <c r="D2270" s="1"/>
      <c r="E2270" s="14"/>
      <c r="F2270" s="15"/>
      <c r="G2270" s="16"/>
      <c r="H2270" s="11"/>
      <c r="I2270" s="7"/>
      <c r="J2270" s="7" t="str">
        <f>IFERROR(LET(_xlpm.v,
VLOOKUP($I2270,'用語辞書'!$A:$B,COLUMN('用語辞書'!B$1),FALSE),
IF(_xlpm.v=0,"",_xlpm.v)
),"")</f>
        <v/>
      </c>
      <c r="K2270" s="17"/>
      <c r="L2270" s="17" t="str">
        <f>IF(OR(COUNTIF('クラス'!$A$1:$A$1262,$B2270)&gt;0,$B2270="",$M2270=""),"",True)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3.0</v>
      </c>
      <c r="B2271" s="26" t="s">
        <v>2258</v>
      </c>
      <c r="C2271" s="1"/>
      <c r="D2271" s="1"/>
      <c r="E2271" s="14"/>
      <c r="F2271" s="15"/>
      <c r="G2271" s="16"/>
      <c r="H2271" s="11"/>
      <c r="I2271" s="7"/>
      <c r="J2271" s="7" t="str">
        <f>IFERROR(LET(_xlpm.v,
VLOOKUP($I2271,'用語辞書'!$A:$B,COLUMN('用語辞書'!B$1),FALSE),
IF(_xlpm.v=0,"",_xlpm.v)
),"")</f>
        <v/>
      </c>
      <c r="K2271" s="17"/>
      <c r="L2271" s="17" t="str">
        <f>IF(OR(COUNTIF('クラス'!$A$1:$A$1262,$B2271)&gt;0,$B2271="",$M2271=""),"",True)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4.0</v>
      </c>
      <c r="B2272" s="26" t="s">
        <v>29</v>
      </c>
      <c r="C2272" s="1"/>
      <c r="D2272" s="1"/>
      <c r="E2272" s="14"/>
      <c r="F2272" s="15"/>
      <c r="G2272" s="16"/>
      <c r="H2272" s="11"/>
      <c r="I2272" s="7"/>
      <c r="J2272" s="7" t="str">
        <f>IFERROR(LET(_xlpm.v,
VLOOKUP($I2272,'用語辞書'!$A:$B,COLUMN('用語辞書'!B$1),FALSE),
IF(_xlpm.v=0,"",_xlpm.v)
),"")</f>
        <v/>
      </c>
      <c r="K2272" s="17"/>
      <c r="L2272" s="17" t="str">
        <f>IF(OR(COUNTIF('クラス'!$A$1:$A$1262,$B2272)&gt;0,$B2272="",$M2272=""),"",True)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5.0</v>
      </c>
      <c r="B2273" s="26" t="s">
        <v>1259</v>
      </c>
      <c r="C2273" s="1"/>
      <c r="D2273" s="1"/>
      <c r="E2273" s="14"/>
      <c r="F2273" s="15"/>
      <c r="G2273" s="16"/>
      <c r="H2273" s="11"/>
      <c r="I2273" s="7"/>
      <c r="J2273" s="7" t="str">
        <f>IFERROR(LET(_xlpm.v,
VLOOKUP($I2273,'用語辞書'!$A:$B,COLUMN('用語辞書'!B$1),FALSE),
IF(_xlpm.v=0,"",_xlpm.v)
),"")</f>
        <v/>
      </c>
      <c r="K2273" s="17"/>
      <c r="L2273" s="17" t="str">
        <f>IF(OR(COUNTIF('クラス'!$A$1:$A$1262,$B2273)&gt;0,$B2273="",$M2273=""),"",True)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6.0</v>
      </c>
      <c r="B2274" s="26" t="s">
        <v>29</v>
      </c>
      <c r="C2274" s="1"/>
      <c r="D2274" s="1"/>
      <c r="E2274" s="14"/>
      <c r="F2274" s="15"/>
      <c r="G2274" s="16"/>
      <c r="H2274" s="11"/>
      <c r="I2274" s="7"/>
      <c r="J2274" s="7" t="str">
        <f>IFERROR(LET(_xlpm.v,
VLOOKUP($I2274,'用語辞書'!$A:$B,COLUMN('用語辞書'!B$1),FALSE),
IF(_xlpm.v=0,"",_xlpm.v)
),"")</f>
        <v/>
      </c>
      <c r="K2274" s="17"/>
      <c r="L2274" s="17" t="str">
        <f>IF(OR(COUNTIF('クラス'!$A$1:$A$1262,$B2274)&gt;0,$B2274="",$M2274=""),"",True)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7.0</v>
      </c>
      <c r="B2275" s="26" t="s">
        <v>1140</v>
      </c>
      <c r="C2275" s="1"/>
      <c r="D2275" s="1"/>
      <c r="E2275" s="14"/>
      <c r="F2275" s="15"/>
      <c r="G2275" s="16"/>
      <c r="H2275" s="11"/>
      <c r="I2275" s="7"/>
      <c r="J2275" s="7" t="str">
        <f>IFERROR(LET(_xlpm.v,
VLOOKUP($I2275,'用語辞書'!$A:$B,COLUMN('用語辞書'!B$1),FALSE),
IF(_xlpm.v=0,"",_xlpm.v)
),"")</f>
        <v/>
      </c>
      <c r="K2275" s="17"/>
      <c r="L2275" s="17" t="str">
        <f>IF(OR(COUNTIF('クラス'!$A$1:$A$1262,$B2275)&gt;0,$B2275="",$M2275=""),"",True)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8.0</v>
      </c>
      <c r="B2276" s="26" t="s">
        <v>29</v>
      </c>
      <c r="C2276" s="1"/>
      <c r="D2276" s="1"/>
      <c r="E2276" s="14"/>
      <c r="F2276" s="15"/>
      <c r="G2276" s="16"/>
      <c r="H2276" s="11"/>
      <c r="I2276" s="7"/>
      <c r="J2276" s="7" t="str">
        <f>IFERROR(LET(_xlpm.v,
VLOOKUP($I2276,'用語辞書'!$A:$B,COLUMN('用語辞書'!B$1),FALSE),
IF(_xlpm.v=0,"",_xlpm.v)
),"")</f>
        <v/>
      </c>
      <c r="K2276" s="17"/>
      <c r="L2276" s="17" t="str">
        <f>IF(OR(COUNTIF('クラス'!$A$1:$A$1262,$B2276)&gt;0,$B2276="",$M2276=""),"",True)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9.0</v>
      </c>
      <c r="B2277" s="26" t="s">
        <v>1144</v>
      </c>
      <c r="C2277" s="1"/>
      <c r="D2277" s="1"/>
      <c r="E2277" s="14"/>
      <c r="F2277" s="15"/>
      <c r="G2277" s="16"/>
      <c r="H2277" s="11"/>
      <c r="I2277" s="7"/>
      <c r="J2277" s="7" t="str">
        <f>IFERROR(LET(_xlpm.v,
VLOOKUP($I2277,'用語辞書'!$A:$B,COLUMN('用語辞書'!B$1),FALSE),
IF(_xlpm.v=0,"",_xlpm.v)
),"")</f>
        <v/>
      </c>
      <c r="K2277" s="17"/>
      <c r="L2277" s="17" t="str">
        <f>IF(OR(COUNTIF('クラス'!$A$1:$A$1262,$B2277)&gt;0,$B2277="",$M2277=""),"",True)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10.0</v>
      </c>
      <c r="B2278" s="26" t="s">
        <v>2261</v>
      </c>
      <c r="C2278" s="26" t="s">
        <v>29</v>
      </c>
      <c r="D2278" s="26" t="s">
        <v>29</v>
      </c>
      <c r="E2278" s="29" t="s">
        <v>55</v>
      </c>
      <c r="F2278" s="34" t="s">
        <v>29</v>
      </c>
      <c r="G2278" s="30" t="s">
        <v>29</v>
      </c>
      <c r="H2278" s="22" t="s">
        <v>2262</v>
      </c>
      <c r="I2278" s="7"/>
      <c r="J2278" s="7" t="str">
        <f>IFERROR(LET(_xlpm.v,
VLOOKUP($I2278,'用語辞書'!$A:$B,COLUMN('用語辞書'!B$1),FALSE),
IF(_xlpm.v=0,"",_xlpm.v)
),"")</f>
        <v/>
      </c>
      <c r="K2278" s="17"/>
      <c r="L2278" s="17" t="b">
        <f>IF(OR(COUNTIF('クラス'!$A$1:$A$1262,$B2278)&gt;0,$B2278="",$M2278=""),"",True)</f>
        <v>1</v>
      </c>
      <c r="M2278" s="1" t="str">
        <f t="shared" si="27"/>
        <v>存在しない</v>
      </c>
      <c r="N2278" s="1" t="s">
        <v>29</v>
      </c>
      <c r="O2278" s="1"/>
      <c r="P2278" s="11"/>
      <c r="Q2278" s="11"/>
      <c r="R2278" s="11"/>
      <c r="S2278" s="11"/>
      <c r="T2278" s="1"/>
      <c r="U2278" s="1"/>
      <c r="V2278" s="1"/>
      <c r="W2278" s="1"/>
      <c r="X2278" s="1"/>
      <c r="Y2278" s="1"/>
      <c r="Z2278" s="1"/>
    </row>
    <row r="2279" ht="18.0" customHeight="1" collapsed="1">
      <c r="A2279" s="1"/>
      <c r="B2279" s="1"/>
      <c r="C2279" s="26" t="s">
        <v>2263</v>
      </c>
      <c r="D2279" s="1"/>
      <c r="E2279" s="14"/>
      <c r="F2279" s="15"/>
      <c r="G2279" s="16"/>
      <c r="H2279" s="11"/>
      <c r="I2279" s="7"/>
      <c r="J2279" s="7" t="str">
        <f>IFERROR(LET(_xlpm.v,
VLOOKUP($I2279,'用語辞書'!$A:$B,COLUMN('用語辞書'!B$1),FALSE),
IF(_xlpm.v=0,"",_xlpm.v)
),"")</f>
        <v/>
      </c>
      <c r="K2279" s="17"/>
      <c r="L2279" s="17" t="str">
        <f>IF(OR(COUNTIF('クラス'!$A$1:$A$1262,$B2279)&gt;0,$B2279="",$M2279=""),"",True)</f>
        <v/>
      </c>
      <c r="M2279" s="1" t="str">
        <f t="shared" si="27"/>
        <v>存在しない</v>
      </c>
      <c r="N2279" s="1" t="s">
        <v>29</v>
      </c>
      <c r="O2279" s="1"/>
      <c r="P2279" s="11"/>
      <c r="Q2279" s="11"/>
      <c r="R2279" s="11"/>
      <c r="S2279" s="11"/>
      <c r="T2279" s="1"/>
      <c r="U2279" s="1"/>
      <c r="V2279" s="1"/>
      <c r="W2279" s="1"/>
      <c r="X2279" s="1"/>
      <c r="Y2279" s="1"/>
      <c r="Z2279" s="1"/>
    </row>
    <row r="2280" ht="18.0" customHeight="1" outlineLevel="1">
      <c r="A2280" s="1"/>
      <c r="B2280" s="26" t="s">
        <v>2264</v>
      </c>
      <c r="C2280" s="1"/>
      <c r="D2280" s="1"/>
      <c r="E2280" s="14"/>
      <c r="F2280" s="15"/>
      <c r="G2280" s="16"/>
      <c r="H2280" s="11"/>
      <c r="I2280" s="7"/>
      <c r="J2280" s="7" t="str">
        <f>IFERROR(LET(_xlpm.v,
VLOOKUP($I2280,'用語辞書'!$A:$B,COLUMN('用語辞書'!B$1),FALSE),
IF(_xlpm.v=0,"",_xlpm.v)
),"")</f>
        <v/>
      </c>
      <c r="K2280" s="17"/>
      <c r="L2280" s="17" t="str">
        <f>IF(OR(COUNTIF('クラス'!$A$1:$A$1262,$B2280)&gt;0,$B2280="",$M2280=""),"",True)</f>
        <v/>
      </c>
      <c r="M2280" s="1" t="str">
        <f t="shared" si="27"/>
        <v>存在しない</v>
      </c>
      <c r="N2280" s="1" t="s">
        <v>29</v>
      </c>
      <c r="O2280" s="1"/>
      <c r="P2280" s="11"/>
      <c r="Q2280" s="11"/>
      <c r="R2280" s="11"/>
      <c r="S2280" s="11"/>
      <c r="T2280" s="1"/>
      <c r="U2280" s="1"/>
      <c r="V2280" s="1"/>
      <c r="W2280" s="1"/>
      <c r="X2280" s="1"/>
      <c r="Y2280" s="1"/>
      <c r="Z2280" s="1"/>
    </row>
    <row r="2281" ht="18.0" hidden="1" customHeight="1" outlineLevel="2">
      <c r="A2281" s="26">
        <v>1.0</v>
      </c>
      <c r="B2281" s="26" t="s">
        <v>2265</v>
      </c>
      <c r="C2281" s="26" t="s">
        <v>29</v>
      </c>
      <c r="D2281" s="26" t="s">
        <v>29</v>
      </c>
      <c r="E2281" s="29" t="s">
        <v>33</v>
      </c>
      <c r="F2281" s="34" t="s">
        <v>29</v>
      </c>
      <c r="G2281" s="30">
        <v>40.0</v>
      </c>
      <c r="H2281" s="22" t="s">
        <v>2266</v>
      </c>
      <c r="I2281" s="7"/>
      <c r="J2281" s="7" t="str">
        <f>IFERROR(LET(_xlpm.v,
VLOOKUP($I2281,'用語辞書'!$A:$B,COLUMN('用語辞書'!B$1),FALSE),
IF(_xlpm.v=0,"",_xlpm.v)
),"")</f>
        <v/>
      </c>
      <c r="K2281" s="17"/>
      <c r="L2281" s="17" t="b">
        <f>IF(OR(COUNTIF('クラス'!$A$1:$A$1262,$B2281)&gt;0,$B2281="",$M2281=""),"",True)</f>
        <v>1</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2.0</v>
      </c>
      <c r="B2282" s="26" t="s">
        <v>2267</v>
      </c>
      <c r="C2282" s="26" t="s">
        <v>29</v>
      </c>
      <c r="D2282" s="26" t="s">
        <v>29</v>
      </c>
      <c r="E2282" s="29" t="s">
        <v>33</v>
      </c>
      <c r="F2282" s="34" t="s">
        <v>29</v>
      </c>
      <c r="G2282" s="30">
        <v>50.0</v>
      </c>
      <c r="H2282" s="22" t="s">
        <v>2268</v>
      </c>
      <c r="I2282" s="7"/>
      <c r="J2282" s="7" t="str">
        <f>IFERROR(LET(_xlpm.v,
VLOOKUP($I2282,'用語辞書'!$A:$B,COLUMN('用語辞書'!B$1),FALSE),
IF(_xlpm.v=0,"",_xlpm.v)
),"")</f>
        <v/>
      </c>
      <c r="K2282" s="17"/>
      <c r="L2282" s="17" t="b">
        <f>IF(OR(COUNTIF('クラス'!$A$1:$A$1262,$B2282)&gt;0,$B2282="",$M2282=""),"",True)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3.0</v>
      </c>
      <c r="B2283" s="26" t="s">
        <v>2269</v>
      </c>
      <c r="C2283" s="26" t="s">
        <v>29</v>
      </c>
      <c r="D2283" s="26" t="s">
        <v>29</v>
      </c>
      <c r="E2283" s="29" t="s">
        <v>55</v>
      </c>
      <c r="F2283" s="34" t="s">
        <v>29</v>
      </c>
      <c r="G2283" s="30" t="s">
        <v>29</v>
      </c>
      <c r="H2283" s="22" t="s">
        <v>2270</v>
      </c>
      <c r="I2283" s="7"/>
      <c r="J2283" s="7" t="str">
        <f>IFERROR(LET(_xlpm.v,
VLOOKUP($I2283,'用語辞書'!$A:$B,COLUMN('用語辞書'!B$1),FALSE),
IF(_xlpm.v=0,"",_xlpm.v)
),"")</f>
        <v/>
      </c>
      <c r="K2283" s="17"/>
      <c r="L2283" s="17" t="b">
        <f>IF(OR(COUNTIF('クラス'!$A$1:$A$1262,$B2283)&gt;0,$B2283="",$M2283=""),"",True)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4.0</v>
      </c>
      <c r="B2284" s="26" t="s">
        <v>29</v>
      </c>
      <c r="C2284" s="1"/>
      <c r="D2284" s="1"/>
      <c r="E2284" s="14"/>
      <c r="F2284" s="15"/>
      <c r="G2284" s="16"/>
      <c r="H2284" s="11"/>
      <c r="I2284" s="7"/>
      <c r="J2284" s="7" t="str">
        <f>IFERROR(LET(_xlpm.v,
VLOOKUP($I2284,'用語辞書'!$A:$B,COLUMN('用語辞書'!B$1),FALSE),
IF(_xlpm.v=0,"",_xlpm.v)
),"")</f>
        <v/>
      </c>
      <c r="K2284" s="17"/>
      <c r="L2284" s="17" t="str">
        <f>IF(OR(COUNTIF('クラス'!$A$1:$A$1262,$B2284)&gt;0,$B2284="",$M2284=""),"",True)</f>
        <v/>
      </c>
      <c r="M2284" s="1" t="str">
        <f t="shared" si="27"/>
        <v/>
      </c>
      <c r="N2284" s="1" t="s">
        <v>29</v>
      </c>
      <c r="O2284" s="1"/>
      <c r="P2284" s="11"/>
      <c r="Q2284" s="11"/>
      <c r="R2284" s="11"/>
      <c r="S2284" s="11"/>
      <c r="T2284" s="1"/>
      <c r="U2284" s="1"/>
      <c r="V2284" s="1"/>
      <c r="W2284" s="1"/>
      <c r="X2284" s="1"/>
      <c r="Y2284" s="1"/>
      <c r="Z2284" s="1"/>
    </row>
    <row r="2285" ht="18.0" hidden="1" customHeight="1" outlineLevel="2">
      <c r="A2285" s="26">
        <v>5.0</v>
      </c>
      <c r="B2285" s="26" t="s">
        <v>2271</v>
      </c>
      <c r="C2285" s="26" t="s">
        <v>29</v>
      </c>
      <c r="D2285" s="26" t="s">
        <v>29</v>
      </c>
      <c r="E2285" s="29" t="s">
        <v>33</v>
      </c>
      <c r="F2285" s="34" t="s">
        <v>29</v>
      </c>
      <c r="G2285" s="30">
        <v>60.0</v>
      </c>
      <c r="H2285" s="31" t="s">
        <v>2272</v>
      </c>
      <c r="I2285" s="7"/>
      <c r="J2285" s="7" t="str">
        <f>IFERROR(LET(_xlpm.v,
VLOOKUP($I2285,'用語辞書'!$A:$B,COLUMN('用語辞書'!B$1),FALSE),
IF(_xlpm.v=0,"",_xlpm.v)
),"")</f>
        <v/>
      </c>
      <c r="K2285" s="17"/>
      <c r="L2285" s="17" t="b">
        <f>IF(OR(COUNTIF('クラス'!$A$1:$A$1262,$B2285)&gt;0,$B2285="",$M2285=""),"",True)</f>
        <v>1</v>
      </c>
      <c r="M2285" s="1" t="str">
        <f t="shared" si="27"/>
        <v>存在しない</v>
      </c>
      <c r="N2285" s="1" t="s">
        <v>29</v>
      </c>
      <c r="O2285" s="1"/>
      <c r="P2285" s="11"/>
      <c r="Q2285" s="11"/>
      <c r="R2285" s="11"/>
      <c r="S2285" s="11"/>
      <c r="T2285" s="1"/>
      <c r="U2285" s="1"/>
      <c r="V2285" s="1"/>
      <c r="W2285" s="1"/>
      <c r="X2285" s="1"/>
      <c r="Y2285" s="1"/>
      <c r="Z2285" s="1"/>
    </row>
    <row r="2286" ht="18.0" hidden="1" customHeight="1" outlineLevel="2">
      <c r="A2286" s="26">
        <v>6.0</v>
      </c>
      <c r="B2286" s="26" t="s">
        <v>29</v>
      </c>
      <c r="C2286" s="1"/>
      <c r="D2286" s="1"/>
      <c r="E2286" s="14"/>
      <c r="F2286" s="15"/>
      <c r="G2286" s="16"/>
      <c r="H2286" s="11"/>
      <c r="I2286" s="7"/>
      <c r="J2286" s="7" t="str">
        <f>IFERROR(LET(_xlpm.v,
VLOOKUP($I2286,'用語辞書'!$A:$B,COLUMN('用語辞書'!B$1),FALSE),
IF(_xlpm.v=0,"",_xlpm.v)
),"")</f>
        <v/>
      </c>
      <c r="K2286" s="17"/>
      <c r="L2286" s="17" t="str">
        <f>IF(OR(COUNTIF('クラス'!$A$1:$A$1262,$B2286)&gt;0,$B2286="",$M2286=""),"",True)</f>
        <v/>
      </c>
      <c r="M2286" s="1" t="str">
        <f t="shared" si="27"/>
        <v/>
      </c>
      <c r="N2286" s="1" t="s">
        <v>29</v>
      </c>
      <c r="O2286" s="1"/>
      <c r="P2286" s="11"/>
      <c r="Q2286" s="11"/>
      <c r="R2286" s="11"/>
      <c r="S2286" s="11"/>
      <c r="T2286" s="1"/>
      <c r="U2286" s="1"/>
      <c r="V2286" s="1"/>
      <c r="W2286" s="1"/>
      <c r="X2286" s="1"/>
      <c r="Y2286" s="1"/>
      <c r="Z2286" s="1"/>
    </row>
    <row r="2287" ht="18.0" hidden="1" customHeight="1" outlineLevel="2">
      <c r="A2287" s="26">
        <v>7.0</v>
      </c>
      <c r="B2287" s="26" t="s">
        <v>2273</v>
      </c>
      <c r="C2287" s="26" t="s">
        <v>29</v>
      </c>
      <c r="D2287" s="26" t="s">
        <v>29</v>
      </c>
      <c r="E2287" s="29" t="s">
        <v>33</v>
      </c>
      <c r="F2287" s="34" t="s">
        <v>29</v>
      </c>
      <c r="G2287" s="30">
        <v>60.0</v>
      </c>
      <c r="H2287" s="22" t="s">
        <v>2274</v>
      </c>
      <c r="I2287" s="7"/>
      <c r="J2287" s="7" t="str">
        <f>IFERROR(LET(_xlpm.v,
VLOOKUP($I2287,'用語辞書'!$A:$B,COLUMN('用語辞書'!B$1),FALSE),
IF(_xlpm.v=0,"",_xlpm.v)
),"")</f>
        <v/>
      </c>
      <c r="K2287" s="17"/>
      <c r="L2287" s="17" t="b">
        <f>IF(OR(COUNTIF('クラス'!$A$1:$A$1262,$B2287)&gt;0,$B2287="",$M2287=""),"",True)</f>
        <v>1</v>
      </c>
      <c r="M2287" s="1" t="str">
        <f t="shared" si="27"/>
        <v>存在しない</v>
      </c>
      <c r="N2287" s="1" t="s">
        <v>29</v>
      </c>
      <c r="O2287" s="1"/>
      <c r="P2287" s="11"/>
      <c r="Q2287" s="11"/>
      <c r="R2287" s="11"/>
      <c r="S2287" s="11"/>
      <c r="T2287" s="1"/>
      <c r="U2287" s="1"/>
      <c r="V2287" s="1"/>
      <c r="W2287" s="1"/>
      <c r="X2287" s="1"/>
      <c r="Y2287" s="1"/>
      <c r="Z2287" s="1"/>
    </row>
    <row r="2288" ht="18.0" hidden="1" customHeight="1" outlineLevel="2">
      <c r="A2288" s="26">
        <v>8.0</v>
      </c>
      <c r="B2288" s="26" t="s">
        <v>29</v>
      </c>
      <c r="C2288" s="1"/>
      <c r="D2288" s="1"/>
      <c r="E2288" s="14"/>
      <c r="F2288" s="15"/>
      <c r="G2288" s="16"/>
      <c r="H2288" s="11"/>
      <c r="I2288" s="7"/>
      <c r="J2288" s="7" t="str">
        <f>IFERROR(LET(_xlpm.v,
VLOOKUP($I2288,'用語辞書'!$A:$B,COLUMN('用語辞書'!B$1),FALSE),
IF(_xlpm.v=0,"",_xlpm.v)
),"")</f>
        <v/>
      </c>
      <c r="K2288" s="17"/>
      <c r="L2288" s="17" t="str">
        <f>IF(OR(COUNTIF('クラス'!$A$1:$A$1262,$B2288)&gt;0,$B2288="",$M2288=""),"",True)</f>
        <v/>
      </c>
      <c r="M2288" s="1" t="str">
        <f t="shared" si="27"/>
        <v/>
      </c>
      <c r="N2288" s="1" t="s">
        <v>29</v>
      </c>
      <c r="O2288" s="1"/>
      <c r="P2288" s="11"/>
      <c r="Q2288" s="11"/>
      <c r="R2288" s="11"/>
      <c r="S2288" s="11"/>
      <c r="T2288" s="1"/>
      <c r="U2288" s="1"/>
      <c r="V2288" s="1"/>
      <c r="W2288" s="1"/>
      <c r="X2288" s="1"/>
      <c r="Y2288" s="1"/>
      <c r="Z2288" s="1"/>
    </row>
    <row r="2289" ht="18.0" hidden="1" customHeight="1" outlineLevel="2">
      <c r="A2289" s="26">
        <v>9.0</v>
      </c>
      <c r="B2289" s="26" t="s">
        <v>2275</v>
      </c>
      <c r="C2289" s="26" t="s">
        <v>29</v>
      </c>
      <c r="D2289" s="26" t="s">
        <v>29</v>
      </c>
      <c r="E2289" s="29" t="s">
        <v>33</v>
      </c>
      <c r="F2289" s="34" t="s">
        <v>29</v>
      </c>
      <c r="G2289" s="30">
        <v>60.0</v>
      </c>
      <c r="H2289" s="22" t="s">
        <v>2276</v>
      </c>
      <c r="I2289" s="7"/>
      <c r="J2289" s="7" t="str">
        <f>IFERROR(LET(_xlpm.v,
VLOOKUP($I2289,'用語辞書'!$A:$B,COLUMN('用語辞書'!B$1),FALSE),
IF(_xlpm.v=0,"",_xlpm.v)
),"")</f>
        <v/>
      </c>
      <c r="K2289" s="17"/>
      <c r="L2289" s="17" t="b">
        <f>IF(OR(COUNTIF('クラス'!$A$1:$A$1262,$B2289)&gt;0,$B2289="",$M2289=""),"",True)</f>
        <v>1</v>
      </c>
      <c r="M2289" s="1" t="str">
        <f t="shared" si="27"/>
        <v>存在しない</v>
      </c>
      <c r="N2289" s="1" t="s">
        <v>29</v>
      </c>
      <c r="O2289" s="1"/>
      <c r="P2289" s="11"/>
      <c r="Q2289" s="11"/>
      <c r="R2289" s="11"/>
      <c r="S2289" s="11"/>
      <c r="T2289" s="1"/>
      <c r="U2289" s="1"/>
      <c r="V2289" s="1"/>
      <c r="W2289" s="1"/>
      <c r="X2289" s="1"/>
      <c r="Y2289" s="1"/>
      <c r="Z2289" s="1"/>
    </row>
    <row r="2290" ht="18.0" hidden="1" customHeight="1" outlineLevel="2">
      <c r="A2290" s="26">
        <v>10.0</v>
      </c>
      <c r="B2290" s="26" t="s">
        <v>2277</v>
      </c>
      <c r="C2290" s="26" t="s">
        <v>29</v>
      </c>
      <c r="D2290" s="26" t="s">
        <v>29</v>
      </c>
      <c r="E2290" s="29" t="s">
        <v>55</v>
      </c>
      <c r="F2290" s="34" t="s">
        <v>29</v>
      </c>
      <c r="G2290" s="30" t="s">
        <v>29</v>
      </c>
      <c r="H2290" s="22" t="s">
        <v>2278</v>
      </c>
      <c r="I2290" s="7"/>
      <c r="J2290" s="7" t="str">
        <f>IFERROR(LET(_xlpm.v,
VLOOKUP($I2290,'用語辞書'!$A:$B,COLUMN('用語辞書'!B$1),FALSE),
IF(_xlpm.v=0,"",_xlpm.v)
),"")</f>
        <v/>
      </c>
      <c r="K2290" s="17"/>
      <c r="L2290" s="17" t="b">
        <f>IF(OR(COUNTIF('クラス'!$A$1:$A$1262,$B2290)&gt;0,$B2290="",$M2290=""),"",True)</f>
        <v>1</v>
      </c>
      <c r="M2290" s="1" t="str">
        <f t="shared" si="27"/>
        <v>存在しない</v>
      </c>
      <c r="N2290" s="1" t="s">
        <v>29</v>
      </c>
      <c r="O2290" s="1"/>
      <c r="P2290" s="11"/>
      <c r="Q2290" s="11"/>
      <c r="R2290" s="11"/>
      <c r="S2290" s="11"/>
      <c r="T2290" s="1"/>
      <c r="U2290" s="1"/>
      <c r="V2290" s="1"/>
      <c r="W2290" s="1"/>
      <c r="X2290" s="1"/>
      <c r="Y2290" s="1"/>
      <c r="Z2290" s="1"/>
    </row>
    <row r="2291" ht="18.0" customHeight="1" outlineLevel="1" collapsed="1">
      <c r="A2291" s="1"/>
      <c r="B2291" s="1"/>
      <c r="C2291" s="1"/>
      <c r="D2291" s="1"/>
      <c r="E2291" s="14"/>
      <c r="F2291" s="15"/>
      <c r="G2291" s="16"/>
      <c r="H2291" s="11"/>
      <c r="I2291" s="7"/>
      <c r="J2291" s="7" t="str">
        <f>IFERROR(LET(_xlpm.v,
VLOOKUP($I2291,'用語辞書'!$A:$B,COLUMN('用語辞書'!B$1),FALSE),
IF(_xlpm.v=0,"",_xlpm.v)
),"")</f>
        <v/>
      </c>
      <c r="K2291" s="17"/>
      <c r="L2291" s="17" t="str">
        <f>IF(OR(COUNTIF('クラス'!$A$1:$A$1262,$B2291)&gt;0,$B2291="",$M2291=""),"",True)</f>
        <v/>
      </c>
      <c r="M2291" s="1" t="str">
        <f t="shared" si="27"/>
        <v>存在しない</v>
      </c>
      <c r="N2291" s="1" t="s">
        <v>29</v>
      </c>
      <c r="O2291" s="1"/>
      <c r="P2291" s="11"/>
      <c r="Q2291" s="11"/>
      <c r="R2291" s="11"/>
      <c r="S2291" s="11"/>
      <c r="T2291" s="1"/>
      <c r="U2291" s="1"/>
      <c r="V2291" s="1"/>
      <c r="W2291" s="1"/>
      <c r="X2291" s="1"/>
      <c r="Y2291" s="1"/>
      <c r="Z2291" s="1"/>
    </row>
    <row r="2292" ht="18.0" customHeight="1" outlineLevel="1">
      <c r="A2292" s="1"/>
      <c r="B2292" s="26" t="s">
        <v>2279</v>
      </c>
      <c r="C2292" s="1"/>
      <c r="D2292" s="1"/>
      <c r="E2292" s="14"/>
      <c r="F2292" s="15"/>
      <c r="G2292" s="16"/>
      <c r="H2292" s="11"/>
      <c r="I2292" s="7"/>
      <c r="J2292" s="7" t="str">
        <f>IFERROR(LET(_xlpm.v,
VLOOKUP($I2292,'用語辞書'!$A:$B,COLUMN('用語辞書'!B$1),FALSE),
IF(_xlpm.v=0,"",_xlpm.v)
),"")</f>
        <v/>
      </c>
      <c r="K2292" s="17"/>
      <c r="L2292" s="17" t="str">
        <f>IF(OR(COUNTIF('クラス'!$A$1:$A$1262,$B2292)&gt;0,$B2292="",$M2292=""),"",True)</f>
        <v/>
      </c>
      <c r="M2292" s="1" t="str">
        <f t="shared" si="27"/>
        <v>存在しない</v>
      </c>
      <c r="N2292" s="1" t="s">
        <v>29</v>
      </c>
      <c r="O2292" s="1"/>
      <c r="P2292" s="11"/>
      <c r="Q2292" s="11"/>
      <c r="R2292" s="11"/>
      <c r="S2292" s="11"/>
      <c r="T2292" s="1"/>
      <c r="U2292" s="1"/>
      <c r="V2292" s="1"/>
      <c r="W2292" s="1"/>
      <c r="X2292" s="1"/>
      <c r="Y2292" s="1"/>
      <c r="Z2292" s="1"/>
    </row>
    <row r="2293" ht="18.0" hidden="1" customHeight="1" outlineLevel="2">
      <c r="A2293" s="1">
        <v>1.0</v>
      </c>
      <c r="B2293" s="26" t="s">
        <v>2280</v>
      </c>
      <c r="C2293" s="26" t="s">
        <v>29</v>
      </c>
      <c r="D2293" s="26" t="s">
        <v>29</v>
      </c>
      <c r="E2293" s="29" t="s">
        <v>33</v>
      </c>
      <c r="F2293" s="34" t="s">
        <v>29</v>
      </c>
      <c r="G2293" s="30">
        <v>60.0</v>
      </c>
      <c r="H2293" s="22" t="s">
        <v>2281</v>
      </c>
      <c r="I2293" s="7"/>
      <c r="J2293" s="7" t="str">
        <f>IFERROR(LET(_xlpm.v,
VLOOKUP($I2293,'用語辞書'!$A:$B,COLUMN('用語辞書'!B$1),FALSE),
IF(_xlpm.v=0,"",_xlpm.v)
),"")</f>
        <v/>
      </c>
      <c r="K2293" s="17"/>
      <c r="L2293" s="17" t="b">
        <f>IF(OR(COUNTIF('クラス'!$A$1:$A$1262,$B2293)&gt;0,$B2293="",$M2293=""),"",True)</f>
        <v>1</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2.0</v>
      </c>
      <c r="B2294" s="26" t="s">
        <v>29</v>
      </c>
      <c r="C2294" s="1"/>
      <c r="D2294" s="1"/>
      <c r="E2294" s="14"/>
      <c r="F2294" s="15"/>
      <c r="G2294" s="16"/>
      <c r="H2294" s="11"/>
      <c r="I2294" s="7"/>
      <c r="J2294" s="7" t="str">
        <f>IFERROR(LET(_xlpm.v,
VLOOKUP($I2294,'用語辞書'!$A:$B,COLUMN('用語辞書'!B$1),FALSE),
IF(_xlpm.v=0,"",_xlpm.v)
),"")</f>
        <v/>
      </c>
      <c r="K2294" s="17"/>
      <c r="L2294" s="17" t="str">
        <f>IF(OR(COUNTIF('クラス'!$A$1:$A$1262,$B2294)&gt;0,$B2294="",$M2294=""),"",True)</f>
        <v/>
      </c>
      <c r="M2294" s="1" t="str">
        <f t="shared" si="27"/>
        <v/>
      </c>
      <c r="N2294" s="1" t="s">
        <v>29</v>
      </c>
      <c r="O2294" s="1"/>
      <c r="P2294" s="11"/>
      <c r="Q2294" s="11"/>
      <c r="R2294" s="11"/>
      <c r="S2294" s="11"/>
      <c r="T2294" s="1"/>
      <c r="U2294" s="1"/>
      <c r="V2294" s="1"/>
      <c r="W2294" s="1"/>
      <c r="X2294" s="1"/>
      <c r="Y2294" s="1"/>
      <c r="Z2294" s="1"/>
    </row>
    <row r="2295" ht="18.0" hidden="1" customHeight="1" outlineLevel="2">
      <c r="A2295" s="1">
        <v>3.0</v>
      </c>
      <c r="B2295" s="26" t="s">
        <v>2282</v>
      </c>
      <c r="C2295" s="26" t="s">
        <v>29</v>
      </c>
      <c r="D2295" s="26" t="s">
        <v>29</v>
      </c>
      <c r="E2295" s="29" t="s">
        <v>55</v>
      </c>
      <c r="F2295" s="34" t="s">
        <v>29</v>
      </c>
      <c r="G2295" s="30" t="s">
        <v>29</v>
      </c>
      <c r="H2295" s="22" t="s">
        <v>2270</v>
      </c>
      <c r="I2295" s="7"/>
      <c r="J2295" s="7" t="str">
        <f>IFERROR(LET(_xlpm.v,
VLOOKUP($I2295,'用語辞書'!$A:$B,COLUMN('用語辞書'!B$1),FALSE),
IF(_xlpm.v=0,"",_xlpm.v)
),"")</f>
        <v/>
      </c>
      <c r="K2295" s="17"/>
      <c r="L2295" s="17" t="b">
        <f>IF(OR(COUNTIF('クラス'!$A$1:$A$1262,$B2295)&gt;0,$B2295="",$M2295=""),"",True)</f>
        <v>1</v>
      </c>
      <c r="M2295" s="1" t="str">
        <f t="shared" si="27"/>
        <v>存在しない</v>
      </c>
      <c r="N2295" s="1" t="s">
        <v>29</v>
      </c>
      <c r="O2295" s="1"/>
      <c r="P2295" s="11"/>
      <c r="Q2295" s="11"/>
      <c r="R2295" s="11"/>
      <c r="S2295" s="11"/>
      <c r="T2295" s="1"/>
      <c r="U2295" s="1"/>
      <c r="V2295" s="1"/>
      <c r="W2295" s="1"/>
      <c r="X2295" s="1"/>
      <c r="Y2295" s="1"/>
      <c r="Z2295" s="1"/>
    </row>
    <row r="2296" ht="18.0" hidden="1" customHeight="1" outlineLevel="2">
      <c r="A2296" s="1">
        <v>4.0</v>
      </c>
      <c r="B2296" s="26" t="s">
        <v>29</v>
      </c>
      <c r="C2296" s="1"/>
      <c r="D2296" s="1"/>
      <c r="E2296" s="14"/>
      <c r="F2296" s="15"/>
      <c r="G2296" s="16"/>
      <c r="H2296" s="11"/>
      <c r="I2296" s="7"/>
      <c r="J2296" s="7" t="str">
        <f>IFERROR(LET(_xlpm.v,
VLOOKUP($I2296,'用語辞書'!$A:$B,COLUMN('用語辞書'!B$1),FALSE),
IF(_xlpm.v=0,"",_xlpm.v)
),"")</f>
        <v/>
      </c>
      <c r="K2296" s="17"/>
      <c r="L2296" s="17" t="str">
        <f>IF(OR(COUNTIF('クラス'!$A$1:$A$1262,$B2296)&gt;0,$B2296="",$M2296=""),"",True)</f>
        <v/>
      </c>
      <c r="M2296" s="1" t="str">
        <f t="shared" si="27"/>
        <v/>
      </c>
      <c r="N2296" s="1" t="s">
        <v>29</v>
      </c>
      <c r="O2296" s="1"/>
      <c r="P2296" s="11"/>
      <c r="Q2296" s="11"/>
      <c r="R2296" s="11"/>
      <c r="S2296" s="11"/>
      <c r="T2296" s="1"/>
      <c r="U2296" s="1"/>
      <c r="V2296" s="1"/>
      <c r="W2296" s="1"/>
      <c r="X2296" s="1"/>
      <c r="Y2296" s="1"/>
      <c r="Z2296" s="1"/>
    </row>
    <row r="2297" ht="18.0" hidden="1" customHeight="1" outlineLevel="2">
      <c r="A2297" s="1">
        <v>5.0</v>
      </c>
      <c r="B2297" s="26" t="s">
        <v>2283</v>
      </c>
      <c r="C2297" s="26" t="s">
        <v>29</v>
      </c>
      <c r="D2297" s="26" t="s">
        <v>29</v>
      </c>
      <c r="E2297" s="29" t="s">
        <v>33</v>
      </c>
      <c r="F2297" s="34" t="s">
        <v>29</v>
      </c>
      <c r="G2297" s="30">
        <v>60.0</v>
      </c>
      <c r="H2297" s="22" t="s">
        <v>2284</v>
      </c>
      <c r="I2297" s="7"/>
      <c r="J2297" s="7" t="str">
        <f>IFERROR(LET(_xlpm.v,
VLOOKUP($I2297,'用語辞書'!$A:$B,COLUMN('用語辞書'!B$1),FALSE),
IF(_xlpm.v=0,"",_xlpm.v)
),"")</f>
        <v/>
      </c>
      <c r="K2297" s="17"/>
      <c r="L2297" s="17" t="b">
        <f>IF(OR(COUNTIF('クラス'!$A$1:$A$1262,$B2297)&gt;0,$B2297="",$M2297=""),"",True)</f>
        <v>1</v>
      </c>
      <c r="M2297" s="1" t="str">
        <f t="shared" si="27"/>
        <v>存在しない</v>
      </c>
      <c r="N2297" s="1" t="s">
        <v>29</v>
      </c>
      <c r="O2297" s="1"/>
      <c r="P2297" s="11"/>
      <c r="Q2297" s="11"/>
      <c r="R2297" s="11"/>
      <c r="S2297" s="11"/>
      <c r="T2297" s="1"/>
      <c r="U2297" s="1"/>
      <c r="V2297" s="1"/>
      <c r="W2297" s="1"/>
      <c r="X2297" s="1"/>
      <c r="Y2297" s="1"/>
      <c r="Z2297" s="1"/>
    </row>
    <row r="2298" ht="18.0" hidden="1" customHeight="1" outlineLevel="2">
      <c r="A2298" s="1">
        <v>6.0</v>
      </c>
      <c r="B2298" s="26" t="s">
        <v>29</v>
      </c>
      <c r="C2298" s="1"/>
      <c r="D2298" s="1"/>
      <c r="E2298" s="14"/>
      <c r="F2298" s="15"/>
      <c r="G2298" s="16"/>
      <c r="H2298" s="11"/>
      <c r="I2298" s="7"/>
      <c r="J2298" s="7" t="str">
        <f>IFERROR(LET(_xlpm.v,
VLOOKUP($I2298,'用語辞書'!$A:$B,COLUMN('用語辞書'!B$1),FALSE),
IF(_xlpm.v=0,"",_xlpm.v)
),"")</f>
        <v/>
      </c>
      <c r="K2298" s="17"/>
      <c r="L2298" s="17" t="str">
        <f>IF(OR(COUNTIF('クラス'!$A$1:$A$1262,$B2298)&gt;0,$B2298="",$M2298=""),"",True)</f>
        <v/>
      </c>
      <c r="M2298" s="1" t="str">
        <f t="shared" si="27"/>
        <v/>
      </c>
      <c r="N2298" s="1" t="s">
        <v>29</v>
      </c>
      <c r="O2298" s="1"/>
      <c r="P2298" s="11"/>
      <c r="Q2298" s="11"/>
      <c r="R2298" s="11"/>
      <c r="S2298" s="11"/>
      <c r="T2298" s="1"/>
      <c r="U2298" s="1"/>
      <c r="V2298" s="1"/>
      <c r="W2298" s="1"/>
      <c r="X2298" s="1"/>
      <c r="Y2298" s="1"/>
      <c r="Z2298" s="1"/>
    </row>
    <row r="2299" ht="18.0" hidden="1" customHeight="1" outlineLevel="2">
      <c r="A2299" s="1">
        <v>7.0</v>
      </c>
      <c r="B2299" s="26" t="s">
        <v>2285</v>
      </c>
      <c r="C2299" s="26" t="s">
        <v>29</v>
      </c>
      <c r="D2299" s="26" t="s">
        <v>29</v>
      </c>
      <c r="E2299" s="29" t="s">
        <v>33</v>
      </c>
      <c r="F2299" s="34" t="s">
        <v>29</v>
      </c>
      <c r="G2299" s="30">
        <v>60.0</v>
      </c>
      <c r="H2299" s="22" t="s">
        <v>2286</v>
      </c>
      <c r="I2299" s="7"/>
      <c r="J2299" s="7" t="str">
        <f>IFERROR(LET(_xlpm.v,
VLOOKUP($I2299,'用語辞書'!$A:$B,COLUMN('用語辞書'!B$1),FALSE),
IF(_xlpm.v=0,"",_xlpm.v)
),"")</f>
        <v/>
      </c>
      <c r="K2299" s="17"/>
      <c r="L2299" s="17" t="b">
        <f>IF(OR(COUNTIF('クラス'!$A$1:$A$1262,$B2299)&gt;0,$B2299="",$M2299=""),"",True)</f>
        <v>1</v>
      </c>
      <c r="M2299" s="1" t="str">
        <f t="shared" si="27"/>
        <v>存在しない</v>
      </c>
      <c r="N2299" s="1" t="s">
        <v>29</v>
      </c>
      <c r="O2299" s="1"/>
      <c r="P2299" s="11"/>
      <c r="Q2299" s="11"/>
      <c r="R2299" s="11"/>
      <c r="S2299" s="11"/>
      <c r="T2299" s="1"/>
      <c r="U2299" s="1"/>
      <c r="V2299" s="1"/>
      <c r="W2299" s="1"/>
      <c r="X2299" s="1"/>
      <c r="Y2299" s="1"/>
      <c r="Z2299" s="1"/>
    </row>
    <row r="2300" ht="18.0" hidden="1" customHeight="1" outlineLevel="2">
      <c r="A2300" s="1">
        <v>8.0</v>
      </c>
      <c r="B2300" s="26" t="s">
        <v>29</v>
      </c>
      <c r="C2300" s="1"/>
      <c r="D2300" s="1"/>
      <c r="E2300" s="14"/>
      <c r="F2300" s="15"/>
      <c r="G2300" s="16"/>
      <c r="H2300" s="11"/>
      <c r="I2300" s="7"/>
      <c r="J2300" s="7" t="str">
        <f>IFERROR(LET(_xlpm.v,
VLOOKUP($I2300,'用語辞書'!$A:$B,COLUMN('用語辞書'!B$1),FALSE),
IF(_xlpm.v=0,"",_xlpm.v)
),"")</f>
        <v/>
      </c>
      <c r="K2300" s="17"/>
      <c r="L2300" s="17" t="str">
        <f>IF(OR(COUNTIF('クラス'!$A$1:$A$1262,$B2300)&gt;0,$B2300="",$M2300=""),"",True)</f>
        <v/>
      </c>
      <c r="M2300" s="1" t="str">
        <f t="shared" si="27"/>
        <v/>
      </c>
      <c r="N2300" s="1" t="s">
        <v>29</v>
      </c>
      <c r="O2300" s="1"/>
      <c r="P2300" s="11"/>
      <c r="Q2300" s="11"/>
      <c r="R2300" s="11"/>
      <c r="S2300" s="11"/>
      <c r="T2300" s="1"/>
      <c r="U2300" s="1"/>
      <c r="V2300" s="1"/>
      <c r="W2300" s="1"/>
      <c r="X2300" s="1"/>
      <c r="Y2300" s="1"/>
      <c r="Z2300" s="1"/>
    </row>
    <row r="2301" ht="18.0" hidden="1" customHeight="1" outlineLevel="2">
      <c r="A2301" s="1">
        <v>9.0</v>
      </c>
      <c r="B2301" s="26" t="s">
        <v>2287</v>
      </c>
      <c r="C2301" s="26" t="s">
        <v>29</v>
      </c>
      <c r="D2301" s="26" t="s">
        <v>29</v>
      </c>
      <c r="E2301" s="29" t="s">
        <v>55</v>
      </c>
      <c r="F2301" s="34" t="s">
        <v>29</v>
      </c>
      <c r="G2301" s="30" t="s">
        <v>29</v>
      </c>
      <c r="H2301" s="22" t="s">
        <v>2288</v>
      </c>
      <c r="I2301" s="7"/>
      <c r="J2301" s="7" t="str">
        <f>IFERROR(LET(_xlpm.v,
VLOOKUP($I2301,'用語辞書'!$A:$B,COLUMN('用語辞書'!B$1),FALSE),
IF(_xlpm.v=0,"",_xlpm.v)
),"")</f>
        <v/>
      </c>
      <c r="K2301" s="17"/>
      <c r="L2301" s="17" t="b">
        <f>IF(OR(COUNTIF('クラス'!$A$1:$A$1262,$B2301)&gt;0,$B2301="",$M2301=""),"",True)</f>
        <v>1</v>
      </c>
      <c r="M2301" s="1" t="str">
        <f t="shared" si="27"/>
        <v>存在しない</v>
      </c>
      <c r="N2301" s="1" t="s">
        <v>29</v>
      </c>
      <c r="O2301" s="1"/>
      <c r="P2301" s="11"/>
      <c r="Q2301" s="11"/>
      <c r="R2301" s="11"/>
      <c r="S2301" s="11"/>
      <c r="T2301" s="1"/>
      <c r="U2301" s="1"/>
      <c r="V2301" s="1"/>
      <c r="W2301" s="1"/>
      <c r="X2301" s="1"/>
      <c r="Y2301" s="1"/>
      <c r="Z2301" s="1"/>
    </row>
    <row r="2302" ht="18.0" hidden="1" customHeight="1" outlineLevel="2">
      <c r="A2302" s="1">
        <v>10.0</v>
      </c>
      <c r="B2302" s="26" t="s">
        <v>2289</v>
      </c>
      <c r="C2302" s="26" t="s">
        <v>29</v>
      </c>
      <c r="D2302" s="26" t="s">
        <v>29</v>
      </c>
      <c r="E2302" s="29" t="s">
        <v>33</v>
      </c>
      <c r="F2302" s="34" t="s">
        <v>29</v>
      </c>
      <c r="G2302" s="30">
        <v>60.0</v>
      </c>
      <c r="H2302" s="22" t="s">
        <v>2290</v>
      </c>
      <c r="I2302" s="7"/>
      <c r="J2302" s="7" t="str">
        <f>IFERROR(LET(_xlpm.v,
VLOOKUP($I2302,'用語辞書'!$A:$B,COLUMN('用語辞書'!B$1),FALSE),
IF(_xlpm.v=0,"",_xlpm.v)
),"")</f>
        <v/>
      </c>
      <c r="K2302" s="17"/>
      <c r="L2302" s="17" t="b">
        <f>IF(OR(COUNTIF('クラス'!$A$1:$A$1262,$B2302)&gt;0,$B2302="",$M2302=""),"",True)</f>
        <v>1</v>
      </c>
      <c r="M2302" s="1" t="str">
        <f t="shared" si="27"/>
        <v>存在しない</v>
      </c>
      <c r="N2302" s="1" t="s">
        <v>29</v>
      </c>
      <c r="O2302" s="1"/>
      <c r="P2302" s="11"/>
      <c r="Q2302" s="11"/>
      <c r="R2302" s="11"/>
      <c r="S2302" s="11"/>
      <c r="T2302" s="1"/>
      <c r="U2302" s="1"/>
      <c r="V2302" s="1"/>
      <c r="W2302" s="1"/>
      <c r="X2302" s="1"/>
      <c r="Y2302" s="1"/>
      <c r="Z2302" s="1"/>
    </row>
    <row r="2303" ht="18.0" customHeight="1" outlineLevel="1" collapsed="1">
      <c r="A2303" s="1"/>
      <c r="B2303" s="1"/>
      <c r="C2303" s="1"/>
      <c r="D2303" s="1"/>
      <c r="E2303" s="14"/>
      <c r="F2303" s="15"/>
      <c r="G2303" s="16"/>
      <c r="H2303" s="11"/>
      <c r="I2303" s="7"/>
      <c r="J2303" s="7" t="str">
        <f>IFERROR(LET(_xlpm.v,
VLOOKUP($I2303,'用語辞書'!$A:$B,COLUMN('用語辞書'!B$1),FALSE),
IF(_xlpm.v=0,"",_xlpm.v)
),"")</f>
        <v/>
      </c>
      <c r="K2303" s="17"/>
      <c r="L2303" s="17" t="str">
        <f>IF(OR(COUNTIF('クラス'!$A$1:$A$1262,$B2303)&gt;0,$B2303="",$M2303=""),"",True)</f>
        <v/>
      </c>
      <c r="M2303" s="1" t="str">
        <f t="shared" si="27"/>
        <v>存在しない</v>
      </c>
      <c r="N2303" s="1" t="s">
        <v>29</v>
      </c>
      <c r="O2303" s="1"/>
      <c r="P2303" s="11"/>
      <c r="Q2303" s="11"/>
      <c r="R2303" s="11"/>
      <c r="S2303" s="11"/>
      <c r="T2303" s="1"/>
      <c r="U2303" s="1"/>
      <c r="V2303" s="1"/>
      <c r="W2303" s="1"/>
      <c r="X2303" s="1"/>
      <c r="Y2303" s="1"/>
      <c r="Z2303" s="1"/>
    </row>
    <row r="2304" ht="18.0" customHeight="1" outlineLevel="1">
      <c r="A2304" s="26"/>
      <c r="B2304" s="26" t="s">
        <v>2291</v>
      </c>
      <c r="C2304" s="26"/>
      <c r="D2304" s="26"/>
      <c r="E2304" s="29"/>
      <c r="F2304" s="34"/>
      <c r="G2304" s="30"/>
      <c r="H2304" s="22"/>
      <c r="I2304" s="32"/>
      <c r="J2304" s="7"/>
      <c r="K2304" s="17"/>
      <c r="L2304" s="17" t="str">
        <f>IF(OR(COUNTIF('クラス'!$A$1:$A$1262,$B2304)&gt;0,$B2304="",$M2304=""),"",True)</f>
        <v/>
      </c>
      <c r="M2304" s="1" t="str">
        <f>IF(COUNTIF($B$1:$C2291, $B2304), "", "存在しない")</f>
        <v>存在しない</v>
      </c>
      <c r="N2304" s="1" t="s">
        <v>29</v>
      </c>
      <c r="O2304" s="1"/>
      <c r="P2304" s="11"/>
      <c r="Q2304" s="11"/>
      <c r="R2304" s="11"/>
      <c r="S2304" s="11"/>
      <c r="T2304" s="1"/>
      <c r="U2304" s="1"/>
      <c r="V2304" s="1"/>
      <c r="W2304" s="1"/>
      <c r="X2304" s="1"/>
      <c r="Y2304" s="1"/>
      <c r="Z2304" s="1"/>
    </row>
    <row r="2305" ht="18.0" customHeight="1" outlineLevel="2">
      <c r="A2305" s="27" t="s">
        <v>1731</v>
      </c>
      <c r="B2305" s="26" t="s">
        <v>2292</v>
      </c>
      <c r="C2305" s="26"/>
      <c r="D2305" s="26"/>
      <c r="E2305" s="29" t="s">
        <v>33</v>
      </c>
      <c r="F2305" s="34"/>
      <c r="G2305" s="30">
        <v>50.0</v>
      </c>
      <c r="H2305" s="22" t="s">
        <v>2293</v>
      </c>
      <c r="I2305" s="32"/>
      <c r="J2305" s="32" t="s">
        <v>2294</v>
      </c>
      <c r="K2305" s="17"/>
      <c r="L2305" s="17" t="b">
        <f>IF(OR(COUNTIF('クラス'!$A$1:$A$1262,$B2305)&gt;0,$B2305="",$M2305=""),"",True)</f>
        <v>1</v>
      </c>
      <c r="M2305" s="1" t="str">
        <f t="shared" ref="M2305:M2315" si="28">IF(COUNTIF($B$1:$C2304,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1735</v>
      </c>
      <c r="B2306" s="26"/>
      <c r="C2306" s="26"/>
      <c r="D2306" s="26"/>
      <c r="E2306" s="29"/>
      <c r="F2306" s="34"/>
      <c r="G2306" s="30"/>
      <c r="H2306" s="22"/>
      <c r="I2306" s="32"/>
      <c r="J2306" s="32"/>
      <c r="K2306" s="17"/>
      <c r="L2306" s="17" t="str">
        <f>IF(OR(COUNTIF('クラス'!$A$1:$A$1262,$B2306)&gt;0,$B2306="",$M2306=""),"",True)</f>
        <v/>
      </c>
      <c r="M2306" s="1" t="str">
        <f t="shared" si="28"/>
        <v>存在しない</v>
      </c>
      <c r="N2306" s="1" t="s">
        <v>29</v>
      </c>
      <c r="O2306" s="1"/>
      <c r="P2306" s="11"/>
      <c r="Q2306" s="11"/>
      <c r="R2306" s="11"/>
      <c r="S2306" s="11"/>
      <c r="T2306" s="1"/>
      <c r="U2306" s="1"/>
      <c r="V2306" s="1"/>
      <c r="W2306" s="1"/>
      <c r="X2306" s="1"/>
      <c r="Y2306" s="1"/>
      <c r="Z2306" s="1"/>
    </row>
    <row r="2307" ht="18.0" customHeight="1" outlineLevel="2">
      <c r="A2307" s="27" t="s">
        <v>1736</v>
      </c>
      <c r="B2307" s="26" t="s">
        <v>2295</v>
      </c>
      <c r="C2307" s="26"/>
      <c r="D2307" s="26"/>
      <c r="E2307" s="29" t="s">
        <v>55</v>
      </c>
      <c r="F2307" s="34"/>
      <c r="G2307" s="30"/>
      <c r="H2307" s="22" t="s">
        <v>2296</v>
      </c>
      <c r="I2307" s="32"/>
      <c r="J2307" s="32" t="s">
        <v>2297</v>
      </c>
      <c r="K2307" s="17"/>
      <c r="L2307" s="17" t="b">
        <f>IF(OR(COUNTIF('クラス'!$A$1:$A$1262,$B2307)&gt;0,$B2307="",$M2307=""),"",True)</f>
        <v>1</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1740</v>
      </c>
      <c r="B2308" s="26"/>
      <c r="C2308" s="26"/>
      <c r="D2308" s="26"/>
      <c r="E2308" s="29"/>
      <c r="F2308" s="34"/>
      <c r="G2308" s="30"/>
      <c r="H2308" s="22"/>
      <c r="I2308" s="32"/>
      <c r="J2308" s="32"/>
      <c r="K2308" s="17"/>
      <c r="L2308" s="17" t="str">
        <f>IF(OR(COUNTIF('クラス'!$A$1:$A$1262,$B2308)&gt;0,$B2308="",$M2308=""),"",True)</f>
        <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1741</v>
      </c>
      <c r="B2309" s="26" t="s">
        <v>2298</v>
      </c>
      <c r="C2309" s="26"/>
      <c r="D2309" s="26"/>
      <c r="E2309" s="29" t="s">
        <v>33</v>
      </c>
      <c r="F2309" s="34"/>
      <c r="G2309" s="30">
        <v>50.0</v>
      </c>
      <c r="H2309" s="22" t="s">
        <v>2299</v>
      </c>
      <c r="I2309" s="32"/>
      <c r="J2309" s="32" t="s">
        <v>2300</v>
      </c>
      <c r="K2309" s="17"/>
      <c r="L2309" s="17" t="b">
        <f>IF(OR(COUNTIF('クラス'!$A$1:$A$1262,$B2309)&gt;0,$B2309="",$M2309=""),"",True)</f>
        <v>1</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1745</v>
      </c>
      <c r="B2310" s="26"/>
      <c r="C2310" s="26"/>
      <c r="D2310" s="26"/>
      <c r="E2310" s="29"/>
      <c r="F2310" s="34"/>
      <c r="G2310" s="30"/>
      <c r="H2310" s="22"/>
      <c r="I2310" s="32"/>
      <c r="J2310" s="32"/>
      <c r="K2310" s="17"/>
      <c r="L2310" s="17" t="str">
        <f>IF(OR(COUNTIF('クラス'!$A$1:$A$1262,$B2310)&gt;0,$B2310="",$M2310=""),"",True)</f>
        <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1746</v>
      </c>
      <c r="B2311" s="26" t="s">
        <v>2301</v>
      </c>
      <c r="C2311" s="26"/>
      <c r="D2311" s="26"/>
      <c r="E2311" s="29" t="s">
        <v>55</v>
      </c>
      <c r="F2311" s="34"/>
      <c r="G2311" s="30"/>
      <c r="H2311" s="22" t="s">
        <v>2302</v>
      </c>
      <c r="I2311" s="32"/>
      <c r="J2311" s="32" t="s">
        <v>2303</v>
      </c>
      <c r="K2311" s="17"/>
      <c r="L2311" s="17" t="b">
        <f>IF(OR(COUNTIF('クラス'!$A$1:$A$1262,$B2311)&gt;0,$B2311="",$M2311=""),"",True)</f>
        <v>1</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1750</v>
      </c>
      <c r="B2312" s="26"/>
      <c r="C2312" s="26"/>
      <c r="D2312" s="26"/>
      <c r="E2312" s="29"/>
      <c r="F2312" s="34"/>
      <c r="G2312" s="30"/>
      <c r="H2312" s="22"/>
      <c r="I2312" s="32"/>
      <c r="J2312" s="32"/>
      <c r="K2312" s="17"/>
      <c r="L2312" s="17" t="str">
        <f>IF(OR(COUNTIF('クラス'!$A$1:$A$1262,$B2312)&gt;0,$B2312="",$M2312=""),"",True)</f>
        <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1751</v>
      </c>
      <c r="B2313" s="26" t="s">
        <v>2304</v>
      </c>
      <c r="C2313" s="26"/>
      <c r="D2313" s="26"/>
      <c r="E2313" s="29" t="s">
        <v>33</v>
      </c>
      <c r="F2313" s="34"/>
      <c r="G2313" s="30">
        <v>60.0</v>
      </c>
      <c r="H2313" s="22" t="s">
        <v>2305</v>
      </c>
      <c r="I2313" s="32"/>
      <c r="J2313" s="32" t="s">
        <v>2306</v>
      </c>
      <c r="K2313" s="17"/>
      <c r="L2313" s="17" t="b">
        <f>IF(OR(COUNTIF('クラス'!$A$1:$A$1262,$B2313)&gt;0,$B2313="",$M2313=""),"",True)</f>
        <v>1</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1755</v>
      </c>
      <c r="B2314" s="26" t="s">
        <v>2307</v>
      </c>
      <c r="C2314" s="26"/>
      <c r="D2314" s="26"/>
      <c r="E2314" s="29" t="s">
        <v>55</v>
      </c>
      <c r="F2314" s="34"/>
      <c r="G2314" s="30"/>
      <c r="H2314" s="22" t="s">
        <v>2308</v>
      </c>
      <c r="I2314" s="32"/>
      <c r="J2314" s="32" t="s">
        <v>2309</v>
      </c>
      <c r="K2314" s="17"/>
      <c r="L2314" s="17" t="b">
        <f>IF(OR(COUNTIF('クラス'!$A$1:$A$1262,$B2314)&gt;0,$B2314="",$M2314=""),"",True)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1">
      <c r="A2315" s="26"/>
      <c r="B2315" s="26"/>
      <c r="C2315" s="26"/>
      <c r="D2315" s="26"/>
      <c r="E2315" s="29"/>
      <c r="F2315" s="34"/>
      <c r="G2315" s="30"/>
      <c r="H2315" s="22"/>
      <c r="I2315" s="32"/>
      <c r="J2315" s="32"/>
      <c r="K2315" s="17"/>
      <c r="L2315" s="17" t="str">
        <f>IF(OR(COUNTIF('クラス'!$A$1:$A$1262,$B2315)&gt;0,$B2315="",$M2315=""),"",True)</f>
        <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t="s">
        <v>2310</v>
      </c>
      <c r="C2316" s="26" t="s">
        <v>29</v>
      </c>
      <c r="D2316" s="26" t="s">
        <v>29</v>
      </c>
      <c r="E2316" s="29" t="s">
        <v>29</v>
      </c>
      <c r="F2316" s="34" t="s">
        <v>29</v>
      </c>
      <c r="G2316" s="30" t="s">
        <v>29</v>
      </c>
      <c r="H2316" s="22" t="s">
        <v>29</v>
      </c>
      <c r="I2316" s="32" t="s">
        <v>29</v>
      </c>
      <c r="J2316" s="7" t="str">
        <f>IFERROR(LET(_xlpm.v,
VLOOKUP($I2316,'用語辞書'!$A:$B,COLUMN('用語辞書'!B$1),FALSE),
IF(_xlpm.v=0,"",_xlpm.v)
),"")</f>
        <v/>
      </c>
      <c r="K2316" s="17"/>
      <c r="L2316" s="17" t="str">
        <f>IF(OR(COUNTIF('クラス'!$A$1:$A$1262,$B2316)&gt;0,$B2316="",$M2316=""),"",True)</f>
        <v/>
      </c>
      <c r="M2316" s="1" t="str">
        <f>IF(COUNTIF($B$1:$C2303, $B2316), "", "存在しない")</f>
        <v>存在しない</v>
      </c>
      <c r="N2316" s="1" t="s">
        <v>29</v>
      </c>
      <c r="O2316" s="1"/>
      <c r="P2316" s="11"/>
      <c r="Q2316" s="11"/>
      <c r="R2316" s="11"/>
      <c r="S2316" s="11"/>
      <c r="T2316" s="1"/>
      <c r="U2316" s="1"/>
      <c r="V2316" s="1"/>
      <c r="W2316" s="1"/>
      <c r="X2316" s="1"/>
      <c r="Y2316" s="1"/>
      <c r="Z2316" s="1"/>
    </row>
    <row r="2317" ht="18.0" customHeight="1" outlineLevel="2">
      <c r="A2317" s="27" t="s">
        <v>1731</v>
      </c>
      <c r="B2317" s="26" t="s">
        <v>2311</v>
      </c>
      <c r="C2317" s="26"/>
      <c r="D2317" s="26"/>
      <c r="E2317" s="29" t="s">
        <v>33</v>
      </c>
      <c r="F2317" s="34"/>
      <c r="G2317" s="30">
        <v>40.0</v>
      </c>
      <c r="H2317" s="22" t="s">
        <v>2312</v>
      </c>
      <c r="I2317" s="32"/>
      <c r="J2317" s="32" t="s">
        <v>2313</v>
      </c>
      <c r="K2317" s="17"/>
      <c r="L2317" s="17" t="b">
        <f>IF(OR(COUNTIF('クラス'!$A$1:$A$1262,$B2317)&gt;0,$B2317="",$M2317=""),"",True)</f>
        <v>1</v>
      </c>
      <c r="M2317" s="1" t="str">
        <f t="shared" ref="M2317:M2327" si="29">IF(COUNTIF($B$1:$C2316,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1735</v>
      </c>
      <c r="B2318" s="26"/>
      <c r="C2318" s="26"/>
      <c r="D2318" s="26"/>
      <c r="E2318" s="29"/>
      <c r="F2318" s="34"/>
      <c r="G2318" s="30"/>
      <c r="H2318" s="22"/>
      <c r="I2318" s="32"/>
      <c r="J2318" s="32"/>
      <c r="K2318" s="17"/>
      <c r="L2318" s="17" t="str">
        <f>IF(OR(COUNTIF('クラス'!$A$1:$A$1262,$B2318)&gt;0,$B2318="",$M2318=""),"",True)</f>
        <v/>
      </c>
      <c r="M2318" s="1" t="str">
        <f t="shared" si="29"/>
        <v>存在しない</v>
      </c>
      <c r="N2318" s="1" t="s">
        <v>29</v>
      </c>
      <c r="O2318" s="1"/>
      <c r="P2318" s="11"/>
      <c r="Q2318" s="11"/>
      <c r="R2318" s="11"/>
      <c r="S2318" s="11"/>
      <c r="T2318" s="1"/>
      <c r="U2318" s="1"/>
      <c r="V2318" s="1"/>
      <c r="W2318" s="1"/>
      <c r="X2318" s="1"/>
      <c r="Y2318" s="1"/>
      <c r="Z2318" s="1"/>
    </row>
    <row r="2319" ht="18.0" customHeight="1" outlineLevel="2">
      <c r="A2319" s="27" t="s">
        <v>1736</v>
      </c>
      <c r="B2319" s="26" t="s">
        <v>2314</v>
      </c>
      <c r="C2319" s="26"/>
      <c r="D2319" s="26"/>
      <c r="E2319" s="29" t="s">
        <v>55</v>
      </c>
      <c r="F2319" s="34"/>
      <c r="G2319" s="30"/>
      <c r="H2319" s="22" t="s">
        <v>2315</v>
      </c>
      <c r="I2319" s="32"/>
      <c r="J2319" s="32" t="s">
        <v>2316</v>
      </c>
      <c r="K2319" s="17"/>
      <c r="L2319" s="17" t="b">
        <f>IF(OR(COUNTIF('クラス'!$A$1:$A$1262,$B2319)&gt;0,$B2319="",$M2319=""),"",True)</f>
        <v>1</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1740</v>
      </c>
      <c r="B2320" s="26"/>
      <c r="C2320" s="26"/>
      <c r="D2320" s="26"/>
      <c r="E2320" s="29"/>
      <c r="F2320" s="34"/>
      <c r="G2320" s="30"/>
      <c r="H2320" s="22"/>
      <c r="I2320" s="32"/>
      <c r="J2320" s="32"/>
      <c r="K2320" s="17"/>
      <c r="L2320" s="17" t="str">
        <f>IF(OR(COUNTIF('クラス'!$A$1:$A$1262,$B2320)&gt;0,$B2320="",$M2320=""),"",True)</f>
        <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1741</v>
      </c>
      <c r="B2321" s="26" t="s">
        <v>2317</v>
      </c>
      <c r="C2321" s="26"/>
      <c r="D2321" s="26"/>
      <c r="E2321" s="29" t="s">
        <v>33</v>
      </c>
      <c r="F2321" s="34"/>
      <c r="G2321" s="30">
        <v>40.0</v>
      </c>
      <c r="H2321" s="22" t="s">
        <v>2318</v>
      </c>
      <c r="I2321" s="32"/>
      <c r="J2321" s="32" t="s">
        <v>2319</v>
      </c>
      <c r="K2321" s="17"/>
      <c r="L2321" s="17" t="b">
        <f>IF(OR(COUNTIF('クラス'!$A$1:$A$1262,$B2321)&gt;0,$B2321="",$M2321=""),"",True)</f>
        <v>1</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1745</v>
      </c>
      <c r="B2322" s="26"/>
      <c r="C2322" s="26"/>
      <c r="D2322" s="26"/>
      <c r="E2322" s="29"/>
      <c r="F2322" s="34"/>
      <c r="G2322" s="30"/>
      <c r="H2322" s="22"/>
      <c r="I2322" s="32"/>
      <c r="J2322" s="32"/>
      <c r="K2322" s="17"/>
      <c r="L2322" s="17" t="str">
        <f>IF(OR(COUNTIF('クラス'!$A$1:$A$1262,$B2322)&gt;0,$B2322="",$M2322=""),"",True)</f>
        <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1746</v>
      </c>
      <c r="B2323" s="26" t="s">
        <v>2320</v>
      </c>
      <c r="C2323" s="26"/>
      <c r="D2323" s="26"/>
      <c r="E2323" s="29" t="s">
        <v>55</v>
      </c>
      <c r="F2323" s="34"/>
      <c r="G2323" s="30"/>
      <c r="H2323" s="22" t="s">
        <v>2321</v>
      </c>
      <c r="I2323" s="32"/>
      <c r="J2323" s="32" t="s">
        <v>2322</v>
      </c>
      <c r="K2323" s="17"/>
      <c r="L2323" s="17" t="b">
        <f>IF(OR(COUNTIF('クラス'!$A$1:$A$1262,$B2323)&gt;0,$B2323="",$M2323=""),"",True)</f>
        <v>1</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1750</v>
      </c>
      <c r="B2324" s="26"/>
      <c r="C2324" s="26"/>
      <c r="D2324" s="26"/>
      <c r="E2324" s="29"/>
      <c r="F2324" s="34"/>
      <c r="G2324" s="30"/>
      <c r="H2324" s="22"/>
      <c r="I2324" s="32"/>
      <c r="J2324" s="32"/>
      <c r="K2324" s="17"/>
      <c r="L2324" s="17" t="str">
        <f>IF(OR(COUNTIF('クラス'!$A$1:$A$1262,$B2324)&gt;0,$B2324="",$M2324=""),"",True)</f>
        <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1751</v>
      </c>
      <c r="B2325" s="26" t="s">
        <v>2323</v>
      </c>
      <c r="C2325" s="26"/>
      <c r="D2325" s="26"/>
      <c r="E2325" s="29" t="s">
        <v>33</v>
      </c>
      <c r="F2325" s="34"/>
      <c r="G2325" s="30">
        <v>60.0</v>
      </c>
      <c r="H2325" s="22" t="s">
        <v>2324</v>
      </c>
      <c r="I2325" s="32"/>
      <c r="J2325" s="32" t="s">
        <v>2325</v>
      </c>
      <c r="K2325" s="17"/>
      <c r="L2325" s="17" t="b">
        <f>IF(OR(COUNTIF('クラス'!$A$1:$A$1262,$B2325)&gt;0,$B2325="",$M2325=""),"",True)</f>
        <v>1</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1755</v>
      </c>
      <c r="B2326" s="26" t="s">
        <v>2326</v>
      </c>
      <c r="C2326" s="26"/>
      <c r="D2326" s="26"/>
      <c r="E2326" s="29" t="s">
        <v>55</v>
      </c>
      <c r="F2326" s="34"/>
      <c r="G2326" s="30"/>
      <c r="H2326" s="22" t="s">
        <v>2327</v>
      </c>
      <c r="I2326" s="32"/>
      <c r="J2326" s="32" t="s">
        <v>2328</v>
      </c>
      <c r="K2326" s="17"/>
      <c r="L2326" s="17" t="b">
        <f>IF(OR(COUNTIF('クラス'!$A$1:$A$1262,$B2326)&gt;0,$B2326="",$M2326=""),"",True)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1">
      <c r="A2327" s="26"/>
      <c r="B2327" s="26"/>
      <c r="C2327" s="26"/>
      <c r="D2327" s="26"/>
      <c r="E2327" s="29"/>
      <c r="F2327" s="34"/>
      <c r="G2327" s="30"/>
      <c r="H2327" s="22"/>
      <c r="I2327" s="32"/>
      <c r="J2327" s="32"/>
      <c r="K2327" s="17"/>
      <c r="L2327" s="17" t="str">
        <f>IF(OR(COUNTIF('クラス'!$A$1:$A$1262,$B2327)&gt;0,$B2327="",$M2327=""),"",True)</f>
        <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1"/>
      <c r="B2328" s="26" t="s">
        <v>2329</v>
      </c>
      <c r="C2328" s="1"/>
      <c r="D2328" s="1"/>
      <c r="E2328" s="14"/>
      <c r="F2328" s="15"/>
      <c r="G2328" s="16"/>
      <c r="H2328" s="11"/>
      <c r="I2328" s="7"/>
      <c r="J2328" s="7" t="str">
        <f>IFERROR(LET(_xlpm.v,
VLOOKUP($I2328,'用語辞書'!$A:$B,COLUMN('用語辞書'!B$1),FALSE),
IF(_xlpm.v=0,"",_xlpm.v)
),"")</f>
        <v/>
      </c>
      <c r="K2328" s="17"/>
      <c r="L2328" s="17" t="str">
        <f>IF(OR(COUNTIF('クラス'!$A$1:$A$1262,$B2328)&gt;0,$B2328="",$M2328=""),"",True)</f>
        <v/>
      </c>
      <c r="M2328" s="1" t="str">
        <f>IF(COUNTIF($B$1:$C2303, $B2328), "", "存在しない")</f>
        <v>存在しない</v>
      </c>
      <c r="N2328" s="1" t="s">
        <v>29</v>
      </c>
      <c r="O2328" s="1"/>
      <c r="P2328" s="11"/>
      <c r="Q2328" s="11"/>
      <c r="R2328" s="11"/>
      <c r="S2328" s="11"/>
      <c r="T2328" s="1"/>
      <c r="U2328" s="1"/>
      <c r="V2328" s="1"/>
      <c r="W2328" s="1"/>
      <c r="X2328" s="1"/>
      <c r="Y2328" s="1"/>
      <c r="Z2328" s="1"/>
    </row>
    <row r="2329" ht="18.0" hidden="1" customHeight="1" outlineLevel="2">
      <c r="A2329" s="1">
        <v>1.0</v>
      </c>
      <c r="B2329" s="26" t="s">
        <v>2196</v>
      </c>
      <c r="C2329" s="1"/>
      <c r="D2329" s="1"/>
      <c r="E2329" s="14"/>
      <c r="F2329" s="15"/>
      <c r="G2329" s="16"/>
      <c r="H2329" s="11"/>
      <c r="I2329" s="7"/>
      <c r="J2329" s="7" t="str">
        <f>IFERROR(LET(_xlpm.v,
VLOOKUP($I2329,'用語辞書'!$A:$B,COLUMN('用語辞書'!B$1),FALSE),
IF(_xlpm.v=0,"",_xlpm.v)
),"")</f>
        <v/>
      </c>
      <c r="K2329" s="17"/>
      <c r="L2329" s="17" t="str">
        <f>IF(OR(COUNTIF('クラス'!$A$1:$A$1262,$B2329)&gt;0,$B2329="",$M2329=""),"",True)</f>
        <v/>
      </c>
      <c r="M2329" s="1" t="str">
        <f t="shared" ref="M2329:M2963" si="30">IF(COUNTIF($B$1:$C2328, $B2329), "", "存在しない")</f>
        <v/>
      </c>
      <c r="N2329" s="1" t="s">
        <v>29</v>
      </c>
      <c r="O2329" s="1"/>
      <c r="P2329" s="11"/>
      <c r="Q2329" s="11"/>
      <c r="R2329" s="11"/>
      <c r="S2329" s="11"/>
      <c r="T2329" s="1"/>
      <c r="U2329" s="1"/>
      <c r="V2329" s="1"/>
      <c r="W2329" s="1"/>
      <c r="X2329" s="1"/>
      <c r="Y2329" s="1"/>
      <c r="Z2329" s="1"/>
    </row>
    <row r="2330" ht="18.0" hidden="1" customHeight="1" outlineLevel="2">
      <c r="A2330" s="1">
        <v>2.0</v>
      </c>
      <c r="B2330" s="1"/>
      <c r="C2330" s="1"/>
      <c r="D2330" s="1"/>
      <c r="E2330" s="14"/>
      <c r="F2330" s="15"/>
      <c r="G2330" s="16"/>
      <c r="H2330" s="11"/>
      <c r="I2330" s="7"/>
      <c r="J2330" s="7" t="str">
        <f>IFERROR(LET(_xlpm.v,
VLOOKUP($I2330,'用語辞書'!$A:$B,COLUMN('用語辞書'!B$1),FALSE),
IF(_xlpm.v=0,"",_xlpm.v)
),"")</f>
        <v/>
      </c>
      <c r="K2330" s="17"/>
      <c r="L2330" s="17" t="str">
        <f>IF(OR(COUNTIF('クラス'!$A$1:$A$1262,$B2330)&gt;0,$B2330="",$M2330=""),"",True)</f>
        <v/>
      </c>
      <c r="M2330" s="1" t="str">
        <f t="shared" si="30"/>
        <v>存在しない</v>
      </c>
      <c r="N2330" s="1" t="s">
        <v>29</v>
      </c>
      <c r="O2330" s="1"/>
      <c r="P2330" s="11"/>
      <c r="Q2330" s="11"/>
      <c r="R2330" s="11"/>
      <c r="S2330" s="11"/>
      <c r="T2330" s="1"/>
      <c r="U2330" s="1"/>
      <c r="V2330" s="1"/>
      <c r="W2330" s="1"/>
      <c r="X2330" s="1"/>
      <c r="Y2330" s="1"/>
      <c r="Z2330" s="1"/>
    </row>
    <row r="2331" ht="18.0" hidden="1" customHeight="1" outlineLevel="2">
      <c r="A2331" s="1">
        <v>3.0</v>
      </c>
      <c r="B2331" s="26" t="s">
        <v>282</v>
      </c>
      <c r="C2331" s="1"/>
      <c r="D2331" s="1"/>
      <c r="E2331" s="14"/>
      <c r="F2331" s="15"/>
      <c r="G2331" s="16"/>
      <c r="H2331" s="11"/>
      <c r="I2331" s="7"/>
      <c r="J2331" s="7" t="str">
        <f>IFERROR(LET(_xlpm.v,
VLOOKUP($I2331,'用語辞書'!$A:$B,COLUMN('用語辞書'!B$1),FALSE),
IF(_xlpm.v=0,"",_xlpm.v)
),"")</f>
        <v/>
      </c>
      <c r="K2331" s="17"/>
      <c r="L2331" s="17" t="str">
        <f>IF(OR(COUNTIF('クラス'!$A$1:$A$1262,$B2331)&gt;0,$B2331="",$M2331=""),"",True)</f>
        <v/>
      </c>
      <c r="M2331" s="1" t="str">
        <f t="shared" si="30"/>
        <v/>
      </c>
      <c r="N2331" s="1" t="s">
        <v>29</v>
      </c>
      <c r="O2331" s="1"/>
      <c r="P2331" s="11"/>
      <c r="Q2331" s="11"/>
      <c r="R2331" s="11"/>
      <c r="S2331" s="11"/>
      <c r="T2331" s="1"/>
      <c r="U2331" s="1"/>
      <c r="V2331" s="1"/>
      <c r="W2331" s="1"/>
      <c r="X2331" s="1"/>
      <c r="Y2331" s="1"/>
      <c r="Z2331" s="1"/>
    </row>
    <row r="2332" ht="18.0" hidden="1" customHeight="1" outlineLevel="2">
      <c r="A2332" s="1">
        <v>4.0</v>
      </c>
      <c r="B2332" s="1"/>
      <c r="C2332" s="1"/>
      <c r="D2332" s="1"/>
      <c r="E2332" s="14"/>
      <c r="F2332" s="15"/>
      <c r="G2332" s="16"/>
      <c r="H2332" s="11"/>
      <c r="I2332" s="7"/>
      <c r="J2332" s="7" t="str">
        <f>IFERROR(LET(_xlpm.v,
VLOOKUP($I2332,'用語辞書'!$A:$B,COLUMN('用語辞書'!B$1),FALSE),
IF(_xlpm.v=0,"",_xlpm.v)
),"")</f>
        <v/>
      </c>
      <c r="K2332" s="17"/>
      <c r="L2332" s="17" t="str">
        <f>IF(OR(COUNTIF('クラス'!$A$1:$A$1262,$B2332)&gt;0,$B2332="",$M2332=""),"",True)</f>
        <v/>
      </c>
      <c r="M2332" s="1" t="str">
        <f t="shared" si="30"/>
        <v>存在しない</v>
      </c>
      <c r="N2332" s="1" t="s">
        <v>29</v>
      </c>
      <c r="O2332" s="1"/>
      <c r="P2332" s="11"/>
      <c r="Q2332" s="11"/>
      <c r="R2332" s="11"/>
      <c r="S2332" s="11"/>
      <c r="T2332" s="1"/>
      <c r="U2332" s="1"/>
      <c r="V2332" s="1"/>
      <c r="W2332" s="1"/>
      <c r="X2332" s="1"/>
      <c r="Y2332" s="1"/>
      <c r="Z2332" s="1"/>
    </row>
    <row r="2333" ht="18.0" hidden="1" customHeight="1" outlineLevel="2">
      <c r="A2333" s="1">
        <v>5.0</v>
      </c>
      <c r="B2333" s="26" t="s">
        <v>2198</v>
      </c>
      <c r="C2333" s="1"/>
      <c r="D2333" s="1"/>
      <c r="E2333" s="14"/>
      <c r="F2333" s="15"/>
      <c r="G2333" s="16"/>
      <c r="H2333" s="11"/>
      <c r="I2333" s="7"/>
      <c r="J2333" s="7" t="str">
        <f>IFERROR(LET(_xlpm.v,
VLOOKUP($I2333,'用語辞書'!$A:$B,COLUMN('用語辞書'!B$1),FALSE),
IF(_xlpm.v=0,"",_xlpm.v)
),"")</f>
        <v/>
      </c>
      <c r="K2333" s="17"/>
      <c r="L2333" s="17" t="str">
        <f>IF(OR(COUNTIF('クラス'!$A$1:$A$1262,$B2333)&gt;0,$B2333="",$M2333=""),"",True)</f>
        <v/>
      </c>
      <c r="M2333" s="1" t="str">
        <f t="shared" si="30"/>
        <v/>
      </c>
      <c r="N2333" s="1" t="s">
        <v>29</v>
      </c>
      <c r="O2333" s="1"/>
      <c r="P2333" s="11"/>
      <c r="Q2333" s="11"/>
      <c r="R2333" s="11"/>
      <c r="S2333" s="11"/>
      <c r="T2333" s="1"/>
      <c r="U2333" s="1"/>
      <c r="V2333" s="1"/>
      <c r="W2333" s="1"/>
      <c r="X2333" s="1"/>
      <c r="Y2333" s="1"/>
      <c r="Z2333" s="1"/>
    </row>
    <row r="2334" ht="18.0" hidden="1" customHeight="1" outlineLevel="2">
      <c r="A2334" s="1">
        <v>6.0</v>
      </c>
      <c r="B2334" s="1"/>
      <c r="C2334" s="1"/>
      <c r="D2334" s="1"/>
      <c r="E2334" s="14"/>
      <c r="F2334" s="15"/>
      <c r="G2334" s="16"/>
      <c r="H2334" s="11"/>
      <c r="I2334" s="7"/>
      <c r="J2334" s="7" t="str">
        <f>IFERROR(LET(_xlpm.v,
VLOOKUP($I2334,'用語辞書'!$A:$B,COLUMN('用語辞書'!B$1),FALSE),
IF(_xlpm.v=0,"",_xlpm.v)
),"")</f>
        <v/>
      </c>
      <c r="K2334" s="17"/>
      <c r="L2334" s="17" t="str">
        <f>IF(OR(COUNTIF('クラス'!$A$1:$A$1262,$B2334)&gt;0,$B2334="",$M2334=""),"",True)</f>
        <v/>
      </c>
      <c r="M2334" s="1" t="str">
        <f t="shared" si="30"/>
        <v>存在しない</v>
      </c>
      <c r="N2334" s="1" t="s">
        <v>29</v>
      </c>
      <c r="O2334" s="1"/>
      <c r="P2334" s="11"/>
      <c r="Q2334" s="11"/>
      <c r="R2334" s="11"/>
      <c r="S2334" s="11"/>
      <c r="T2334" s="1"/>
      <c r="U2334" s="1"/>
      <c r="V2334" s="1"/>
      <c r="W2334" s="1"/>
      <c r="X2334" s="1"/>
      <c r="Y2334" s="1"/>
      <c r="Z2334" s="1"/>
    </row>
    <row r="2335" ht="18.0" hidden="1" customHeight="1" outlineLevel="2">
      <c r="A2335" s="1">
        <v>7.0</v>
      </c>
      <c r="B2335" s="26" t="s">
        <v>297</v>
      </c>
      <c r="C2335" s="1"/>
      <c r="D2335" s="1"/>
      <c r="E2335" s="14"/>
      <c r="F2335" s="15"/>
      <c r="G2335" s="16"/>
      <c r="H2335" s="11"/>
      <c r="I2335" s="7"/>
      <c r="J2335" s="7" t="str">
        <f>IFERROR(LET(_xlpm.v,
VLOOKUP($I2335,'用語辞書'!$A:$B,COLUMN('用語辞書'!B$1),FALSE),
IF(_xlpm.v=0,"",_xlpm.v)
),"")</f>
        <v/>
      </c>
      <c r="K2335" s="17"/>
      <c r="L2335" s="17" t="str">
        <f>IF(OR(COUNTIF('クラス'!$A$1:$A$1262,$B2335)&gt;0,$B2335="",$M2335=""),"",True)</f>
        <v/>
      </c>
      <c r="M2335" s="1" t="str">
        <f t="shared" si="30"/>
        <v/>
      </c>
      <c r="N2335" s="1" t="s">
        <v>29</v>
      </c>
      <c r="O2335" s="1"/>
      <c r="P2335" s="11"/>
      <c r="Q2335" s="11"/>
      <c r="R2335" s="11"/>
      <c r="S2335" s="11"/>
      <c r="T2335" s="1"/>
      <c r="U2335" s="1"/>
      <c r="V2335" s="1"/>
      <c r="W2335" s="1"/>
      <c r="X2335" s="1"/>
      <c r="Y2335" s="1"/>
      <c r="Z2335" s="1"/>
    </row>
    <row r="2336" ht="18.0" hidden="1" customHeight="1" outlineLevel="2">
      <c r="A2336" s="1">
        <v>8.0</v>
      </c>
      <c r="B2336" s="1"/>
      <c r="C2336" s="1"/>
      <c r="D2336" s="1"/>
      <c r="E2336" s="14"/>
      <c r="F2336" s="15"/>
      <c r="G2336" s="16"/>
      <c r="H2336" s="11"/>
      <c r="I2336" s="7"/>
      <c r="J2336" s="7" t="str">
        <f>IFERROR(LET(_xlpm.v,
VLOOKUP($I2336,'用語辞書'!$A:$B,COLUMN('用語辞書'!B$1),FALSE),
IF(_xlpm.v=0,"",_xlpm.v)
),"")</f>
        <v/>
      </c>
      <c r="K2336" s="17"/>
      <c r="L2336" s="17" t="str">
        <f>IF(OR(COUNTIF('クラス'!$A$1:$A$1262,$B2336)&gt;0,$B2336="",$M2336=""),"",True)</f>
        <v/>
      </c>
      <c r="M2336" s="1" t="str">
        <f t="shared" si="30"/>
        <v>存在しない</v>
      </c>
      <c r="N2336" s="1" t="s">
        <v>29</v>
      </c>
      <c r="O2336" s="1"/>
      <c r="P2336" s="11"/>
      <c r="Q2336" s="11"/>
      <c r="R2336" s="11"/>
      <c r="S2336" s="11"/>
      <c r="T2336" s="1"/>
      <c r="U2336" s="1"/>
      <c r="V2336" s="1"/>
      <c r="W2336" s="1"/>
      <c r="X2336" s="1"/>
      <c r="Y2336" s="1"/>
      <c r="Z2336" s="1"/>
    </row>
    <row r="2337" ht="18.0" hidden="1" customHeight="1" outlineLevel="2">
      <c r="A2337" s="1">
        <v>9.0</v>
      </c>
      <c r="B2337" s="26" t="s">
        <v>2199</v>
      </c>
      <c r="C2337" s="1"/>
      <c r="D2337" s="1"/>
      <c r="E2337" s="14"/>
      <c r="F2337" s="15"/>
      <c r="G2337" s="16"/>
      <c r="H2337" s="11"/>
      <c r="I2337" s="7"/>
      <c r="J2337" s="7" t="str">
        <f>IFERROR(LET(_xlpm.v,
VLOOKUP($I2337,'用語辞書'!$A:$B,COLUMN('用語辞書'!B$1),FALSE),
IF(_xlpm.v=0,"",_xlpm.v)
),"")</f>
        <v/>
      </c>
      <c r="K2337" s="17"/>
      <c r="L2337" s="17" t="str">
        <f>IF(OR(COUNTIF('クラス'!$A$1:$A$1262,$B2337)&gt;0,$B2337="",$M2337=""),"",True)</f>
        <v/>
      </c>
      <c r="M2337" s="1" t="str">
        <f t="shared" si="30"/>
        <v/>
      </c>
      <c r="N2337" s="1" t="s">
        <v>29</v>
      </c>
      <c r="O2337" s="1"/>
      <c r="P2337" s="11"/>
      <c r="Q2337" s="11"/>
      <c r="R2337" s="11"/>
      <c r="S2337" s="11"/>
      <c r="T2337" s="1"/>
      <c r="U2337" s="1"/>
      <c r="V2337" s="1"/>
      <c r="W2337" s="1"/>
      <c r="X2337" s="1"/>
      <c r="Y2337" s="1"/>
      <c r="Z2337" s="1"/>
    </row>
    <row r="2338" ht="18.0" hidden="1" customHeight="1" outlineLevel="2">
      <c r="A2338" s="1">
        <v>10.0</v>
      </c>
      <c r="B2338" s="26" t="s">
        <v>2330</v>
      </c>
      <c r="C2338" s="1"/>
      <c r="D2338" s="26" t="s">
        <v>284</v>
      </c>
      <c r="E2338" s="29" t="s">
        <v>33</v>
      </c>
      <c r="F2338" s="15"/>
      <c r="G2338" s="30">
        <v>60.0</v>
      </c>
      <c r="H2338" s="22" t="s">
        <v>2331</v>
      </c>
      <c r="I2338" s="7"/>
      <c r="J2338" s="7" t="str">
        <f>IFERROR(LET(_xlpm.v,
VLOOKUP($I2338,'用語辞書'!$A:$B,COLUMN('用語辞書'!B$1),FALSE),
IF(_xlpm.v=0,"",_xlpm.v)
),"")</f>
        <v/>
      </c>
      <c r="K2338" s="17"/>
      <c r="L2338" s="17" t="b">
        <f>IF(OR(COUNTIF('クラス'!$A$1:$A$1262,$B2338)&gt;0,$B2338="",$M2338=""),"",True)</f>
        <v>1</v>
      </c>
      <c r="M2338" s="1" t="str">
        <f t="shared" si="30"/>
        <v>存在しない</v>
      </c>
      <c r="N2338" s="1" t="s">
        <v>29</v>
      </c>
      <c r="O2338" s="1"/>
      <c r="P2338" s="11"/>
      <c r="Q2338" s="11"/>
      <c r="R2338" s="11"/>
      <c r="S2338" s="11"/>
      <c r="T2338" s="1"/>
      <c r="U2338" s="1"/>
      <c r="V2338" s="1"/>
      <c r="W2338" s="1"/>
      <c r="X2338" s="1"/>
      <c r="Y2338" s="1"/>
      <c r="Z2338" s="1"/>
    </row>
    <row r="2339" ht="18.0" customHeight="1" outlineLevel="1" collapsed="1">
      <c r="A2339" s="1"/>
      <c r="B2339" s="1"/>
      <c r="C2339" s="1"/>
      <c r="D2339" s="1"/>
      <c r="E2339" s="14"/>
      <c r="F2339" s="15"/>
      <c r="G2339" s="16"/>
      <c r="H2339" s="11"/>
      <c r="I2339" s="7"/>
      <c r="J2339" s="7" t="str">
        <f>IFERROR(LET(_xlpm.v,
VLOOKUP($I2339,'用語辞書'!$A:$B,COLUMN('用語辞書'!B$1),FALSE),
IF(_xlpm.v=0,"",_xlpm.v)
),"")</f>
        <v/>
      </c>
      <c r="K2339" s="17"/>
      <c r="L2339" s="17" t="str">
        <f>IF(OR(COUNTIF('クラス'!$A$1:$A$1262,$B2339)&gt;0,$B2339="",$M2339=""),"",True)</f>
        <v/>
      </c>
      <c r="M2339" s="1" t="str">
        <f t="shared" si="30"/>
        <v>存在しない</v>
      </c>
      <c r="N2339" s="1" t="s">
        <v>29</v>
      </c>
      <c r="O2339" s="1"/>
      <c r="P2339" s="11"/>
      <c r="Q2339" s="11"/>
      <c r="R2339" s="11"/>
      <c r="S2339" s="11"/>
      <c r="T2339" s="1"/>
      <c r="U2339" s="1"/>
      <c r="V2339" s="1"/>
      <c r="W2339" s="1"/>
      <c r="X2339" s="1"/>
      <c r="Y2339" s="1"/>
      <c r="Z2339" s="1"/>
    </row>
    <row r="2340" ht="18.0" customHeight="1" outlineLevel="1">
      <c r="A2340" s="1"/>
      <c r="B2340" s="26" t="s">
        <v>2332</v>
      </c>
      <c r="C2340" s="1"/>
      <c r="D2340" s="1"/>
      <c r="E2340" s="14"/>
      <c r="F2340" s="15"/>
      <c r="G2340" s="16"/>
      <c r="H2340" s="11"/>
      <c r="I2340" s="7"/>
      <c r="J2340" s="7" t="str">
        <f>IFERROR(LET(_xlpm.v,
VLOOKUP($I2340,'用語辞書'!$A:$B,COLUMN('用語辞書'!B$1),FALSE),
IF(_xlpm.v=0,"",_xlpm.v)
),"")</f>
        <v/>
      </c>
      <c r="K2340" s="17"/>
      <c r="L2340" s="17" t="str">
        <f>IF(OR(COUNTIF('クラス'!$A$1:$A$1262,$B2340)&gt;0,$B2340="",$M2340=""),"",True)</f>
        <v/>
      </c>
      <c r="M2340" s="1" t="str">
        <f t="shared" si="30"/>
        <v>存在しない</v>
      </c>
      <c r="N2340" s="1" t="s">
        <v>29</v>
      </c>
      <c r="O2340" s="1"/>
      <c r="P2340" s="11"/>
      <c r="Q2340" s="11"/>
      <c r="R2340" s="11"/>
      <c r="S2340" s="11"/>
      <c r="T2340" s="1"/>
      <c r="U2340" s="1"/>
      <c r="V2340" s="1"/>
      <c r="W2340" s="1"/>
      <c r="X2340" s="1"/>
      <c r="Y2340" s="1"/>
      <c r="Z2340" s="1"/>
    </row>
    <row r="2341" ht="18.0" hidden="1" customHeight="1" outlineLevel="2">
      <c r="A2341" s="1">
        <v>1.0</v>
      </c>
      <c r="B2341" s="26" t="s">
        <v>2203</v>
      </c>
      <c r="C2341" s="1"/>
      <c r="D2341" s="1"/>
      <c r="E2341" s="14"/>
      <c r="F2341" s="15"/>
      <c r="G2341" s="16"/>
      <c r="H2341" s="11"/>
      <c r="I2341" s="7"/>
      <c r="J2341" s="7" t="str">
        <f>IFERROR(LET(_xlpm.v,
VLOOKUP($I2341,'用語辞書'!$A:$B,COLUMN('用語辞書'!B$1),FALSE),
IF(_xlpm.v=0,"",_xlpm.v)
),"")</f>
        <v/>
      </c>
      <c r="K2341" s="17"/>
      <c r="L2341" s="17" t="str">
        <f>IF(OR(COUNTIF('クラス'!$A$1:$A$1262,$B2341)&gt;0,$B2341="",$M2341=""),"",True)</f>
        <v/>
      </c>
      <c r="M2341" s="1" t="str">
        <f t="shared" si="30"/>
        <v/>
      </c>
      <c r="N2341" s="1" t="s">
        <v>29</v>
      </c>
      <c r="O2341" s="1"/>
      <c r="P2341" s="11"/>
      <c r="Q2341" s="11"/>
      <c r="R2341" s="11"/>
      <c r="S2341" s="11"/>
      <c r="T2341" s="1"/>
      <c r="U2341" s="1"/>
      <c r="V2341" s="1"/>
      <c r="W2341" s="1"/>
      <c r="X2341" s="1"/>
      <c r="Y2341" s="1"/>
      <c r="Z2341" s="1"/>
    </row>
    <row r="2342" ht="18.0" hidden="1" customHeight="1" outlineLevel="2">
      <c r="A2342" s="1">
        <v>2.0</v>
      </c>
      <c r="B2342" s="1"/>
      <c r="C2342" s="1"/>
      <c r="D2342" s="1"/>
      <c r="E2342" s="14"/>
      <c r="F2342" s="15"/>
      <c r="G2342" s="16"/>
      <c r="H2342" s="11"/>
      <c r="I2342" s="7"/>
      <c r="J2342" s="7" t="str">
        <f>IFERROR(LET(_xlpm.v,
VLOOKUP($I2342,'用語辞書'!$A:$B,COLUMN('用語辞書'!B$1),FALSE),
IF(_xlpm.v=0,"",_xlpm.v)
),"")</f>
        <v/>
      </c>
      <c r="K2342" s="17"/>
      <c r="L2342" s="17" t="str">
        <f>IF(OR(COUNTIF('クラス'!$A$1:$A$1262,$B2342)&gt;0,$B2342="",$M2342=""),"",True)</f>
        <v/>
      </c>
      <c r="M2342" s="1" t="str">
        <f t="shared" si="30"/>
        <v>存在しない</v>
      </c>
      <c r="N2342" s="1" t="s">
        <v>29</v>
      </c>
      <c r="O2342" s="1"/>
      <c r="P2342" s="11"/>
      <c r="Q2342" s="11"/>
      <c r="R2342" s="11"/>
      <c r="S2342" s="11"/>
      <c r="T2342" s="1"/>
      <c r="U2342" s="1"/>
      <c r="V2342" s="1"/>
      <c r="W2342" s="1"/>
      <c r="X2342" s="1"/>
      <c r="Y2342" s="1"/>
      <c r="Z2342" s="1"/>
    </row>
    <row r="2343" ht="18.0" hidden="1" customHeight="1" outlineLevel="2">
      <c r="A2343" s="1">
        <v>3.0</v>
      </c>
      <c r="B2343" s="26" t="s">
        <v>372</v>
      </c>
      <c r="C2343" s="1"/>
      <c r="D2343" s="1"/>
      <c r="E2343" s="14"/>
      <c r="F2343" s="15"/>
      <c r="G2343" s="16"/>
      <c r="H2343" s="11"/>
      <c r="I2343" s="7"/>
      <c r="J2343" s="7" t="str">
        <f>IFERROR(LET(_xlpm.v,
VLOOKUP($I2343,'用語辞書'!$A:$B,COLUMN('用語辞書'!B$1),FALSE),
IF(_xlpm.v=0,"",_xlpm.v)
),"")</f>
        <v/>
      </c>
      <c r="K2343" s="17"/>
      <c r="L2343" s="17" t="str">
        <f>IF(OR(COUNTIF('クラス'!$A$1:$A$1262,$B2343)&gt;0,$B2343="",$M2343=""),"",True)</f>
        <v/>
      </c>
      <c r="M2343" s="1" t="str">
        <f t="shared" si="30"/>
        <v/>
      </c>
      <c r="N2343" s="1" t="s">
        <v>29</v>
      </c>
      <c r="O2343" s="1"/>
      <c r="P2343" s="11"/>
      <c r="Q2343" s="11"/>
      <c r="R2343" s="11"/>
      <c r="S2343" s="11"/>
      <c r="T2343" s="1"/>
      <c r="U2343" s="1"/>
      <c r="V2343" s="1"/>
      <c r="W2343" s="1"/>
      <c r="X2343" s="1"/>
      <c r="Y2343" s="1"/>
      <c r="Z2343" s="1"/>
    </row>
    <row r="2344" ht="18.0" hidden="1" customHeight="1" outlineLevel="2">
      <c r="A2344" s="1">
        <v>4.0</v>
      </c>
      <c r="B2344" s="1"/>
      <c r="C2344" s="1"/>
      <c r="D2344" s="1"/>
      <c r="E2344" s="14"/>
      <c r="F2344" s="15"/>
      <c r="G2344" s="16"/>
      <c r="H2344" s="11"/>
      <c r="I2344" s="7"/>
      <c r="J2344" s="7" t="str">
        <f>IFERROR(LET(_xlpm.v,
VLOOKUP($I2344,'用語辞書'!$A:$B,COLUMN('用語辞書'!B$1),FALSE),
IF(_xlpm.v=0,"",_xlpm.v)
),"")</f>
        <v/>
      </c>
      <c r="K2344" s="17"/>
      <c r="L2344" s="17" t="str">
        <f>IF(OR(COUNTIF('クラス'!$A$1:$A$1262,$B2344)&gt;0,$B2344="",$M2344=""),"",True)</f>
        <v/>
      </c>
      <c r="M2344" s="1" t="str">
        <f t="shared" si="30"/>
        <v>存在しない</v>
      </c>
      <c r="N2344" s="1" t="s">
        <v>29</v>
      </c>
      <c r="O2344" s="1"/>
      <c r="P2344" s="11"/>
      <c r="Q2344" s="11"/>
      <c r="R2344" s="11"/>
      <c r="S2344" s="11"/>
      <c r="T2344" s="1"/>
      <c r="U2344" s="1"/>
      <c r="V2344" s="1"/>
      <c r="W2344" s="1"/>
      <c r="X2344" s="1"/>
      <c r="Y2344" s="1"/>
      <c r="Z2344" s="1"/>
    </row>
    <row r="2345" ht="18.0" hidden="1" customHeight="1" outlineLevel="2">
      <c r="A2345" s="1">
        <v>5.0</v>
      </c>
      <c r="B2345" s="26" t="s">
        <v>2205</v>
      </c>
      <c r="C2345" s="1"/>
      <c r="D2345" s="1"/>
      <c r="E2345" s="14"/>
      <c r="F2345" s="15"/>
      <c r="G2345" s="16"/>
      <c r="H2345" s="11"/>
      <c r="I2345" s="7"/>
      <c r="J2345" s="7" t="str">
        <f>IFERROR(LET(_xlpm.v,
VLOOKUP($I2345,'用語辞書'!$A:$B,COLUMN('用語辞書'!B$1),FALSE),
IF(_xlpm.v=0,"",_xlpm.v)
),"")</f>
        <v/>
      </c>
      <c r="K2345" s="17"/>
      <c r="L2345" s="17" t="str">
        <f>IF(OR(COUNTIF('クラス'!$A$1:$A$1262,$B2345)&gt;0,$B2345="",$M2345=""),"",True)</f>
        <v/>
      </c>
      <c r="M2345" s="1" t="str">
        <f t="shared" si="30"/>
        <v/>
      </c>
      <c r="N2345" s="1" t="s">
        <v>29</v>
      </c>
      <c r="O2345" s="1"/>
      <c r="P2345" s="11"/>
      <c r="Q2345" s="11"/>
      <c r="R2345" s="11"/>
      <c r="S2345" s="11"/>
      <c r="T2345" s="1"/>
      <c r="U2345" s="1"/>
      <c r="V2345" s="1"/>
      <c r="W2345" s="1"/>
      <c r="X2345" s="1"/>
      <c r="Y2345" s="1"/>
      <c r="Z2345" s="1"/>
    </row>
    <row r="2346" ht="18.0" hidden="1" customHeight="1" outlineLevel="2">
      <c r="A2346" s="1">
        <v>6.0</v>
      </c>
      <c r="B2346" s="1"/>
      <c r="C2346" s="1"/>
      <c r="D2346" s="1"/>
      <c r="E2346" s="14"/>
      <c r="F2346" s="15"/>
      <c r="G2346" s="16"/>
      <c r="H2346" s="11"/>
      <c r="I2346" s="7"/>
      <c r="J2346" s="7" t="str">
        <f>IFERROR(LET(_xlpm.v,
VLOOKUP($I2346,'用語辞書'!$A:$B,COLUMN('用語辞書'!B$1),FALSE),
IF(_xlpm.v=0,"",_xlpm.v)
),"")</f>
        <v/>
      </c>
      <c r="K2346" s="17"/>
      <c r="L2346" s="17" t="str">
        <f>IF(OR(COUNTIF('クラス'!$A$1:$A$1262,$B2346)&gt;0,$B2346="",$M2346=""),"",True)</f>
        <v/>
      </c>
      <c r="M2346" s="1" t="str">
        <f t="shared" si="30"/>
        <v>存在しない</v>
      </c>
      <c r="N2346" s="1" t="s">
        <v>29</v>
      </c>
      <c r="O2346" s="1"/>
      <c r="P2346" s="11"/>
      <c r="Q2346" s="11"/>
      <c r="R2346" s="11"/>
      <c r="S2346" s="11"/>
      <c r="T2346" s="1"/>
      <c r="U2346" s="1"/>
      <c r="V2346" s="1"/>
      <c r="W2346" s="1"/>
      <c r="X2346" s="1"/>
      <c r="Y2346" s="1"/>
      <c r="Z2346" s="1"/>
    </row>
    <row r="2347" ht="18.0" hidden="1" customHeight="1" outlineLevel="2">
      <c r="A2347" s="1">
        <v>7.0</v>
      </c>
      <c r="B2347" s="26" t="s">
        <v>388</v>
      </c>
      <c r="C2347" s="1"/>
      <c r="D2347" s="1"/>
      <c r="E2347" s="14"/>
      <c r="F2347" s="15"/>
      <c r="G2347" s="16"/>
      <c r="H2347" s="11"/>
      <c r="I2347" s="7"/>
      <c r="J2347" s="7" t="str">
        <f>IFERROR(LET(_xlpm.v,
VLOOKUP($I2347,'用語辞書'!$A:$B,COLUMN('用語辞書'!B$1),FALSE),
IF(_xlpm.v=0,"",_xlpm.v)
),"")</f>
        <v/>
      </c>
      <c r="K2347" s="17"/>
      <c r="L2347" s="17" t="str">
        <f>IF(OR(COUNTIF('クラス'!$A$1:$A$1262,$B2347)&gt;0,$B2347="",$M2347=""),"",True)</f>
        <v/>
      </c>
      <c r="M2347" s="1" t="str">
        <f t="shared" si="30"/>
        <v/>
      </c>
      <c r="N2347" s="1" t="s">
        <v>29</v>
      </c>
      <c r="O2347" s="1"/>
      <c r="P2347" s="11"/>
      <c r="Q2347" s="11"/>
      <c r="R2347" s="11"/>
      <c r="S2347" s="11"/>
      <c r="T2347" s="1"/>
      <c r="U2347" s="1"/>
      <c r="V2347" s="1"/>
      <c r="W2347" s="1"/>
      <c r="X2347" s="1"/>
      <c r="Y2347" s="1"/>
      <c r="Z2347" s="1"/>
    </row>
    <row r="2348" ht="18.0" hidden="1" customHeight="1" outlineLevel="2">
      <c r="A2348" s="1">
        <v>8.0</v>
      </c>
      <c r="B2348" s="1"/>
      <c r="C2348" s="1"/>
      <c r="D2348" s="1"/>
      <c r="E2348" s="14"/>
      <c r="F2348" s="15"/>
      <c r="G2348" s="16"/>
      <c r="H2348" s="11"/>
      <c r="I2348" s="7"/>
      <c r="J2348" s="7" t="str">
        <f>IFERROR(LET(_xlpm.v,
VLOOKUP($I2348,'用語辞書'!$A:$B,COLUMN('用語辞書'!B$1),FALSE),
IF(_xlpm.v=0,"",_xlpm.v)
),"")</f>
        <v/>
      </c>
      <c r="K2348" s="17"/>
      <c r="L2348" s="17" t="str">
        <f>IF(OR(COUNTIF('クラス'!$A$1:$A$1262,$B2348)&gt;0,$B2348="",$M2348=""),"",True)</f>
        <v/>
      </c>
      <c r="M2348" s="1" t="str">
        <f t="shared" si="30"/>
        <v>存在しない</v>
      </c>
      <c r="N2348" s="1" t="s">
        <v>29</v>
      </c>
      <c r="O2348" s="1"/>
      <c r="P2348" s="11"/>
      <c r="Q2348" s="11"/>
      <c r="R2348" s="11"/>
      <c r="S2348" s="11"/>
      <c r="T2348" s="1"/>
      <c r="U2348" s="1"/>
      <c r="V2348" s="1"/>
      <c r="W2348" s="1"/>
      <c r="X2348" s="1"/>
      <c r="Y2348" s="1"/>
      <c r="Z2348" s="1"/>
    </row>
    <row r="2349" ht="18.0" hidden="1" customHeight="1" outlineLevel="2">
      <c r="A2349" s="1">
        <v>9.0</v>
      </c>
      <c r="B2349" s="26" t="s">
        <v>2206</v>
      </c>
      <c r="C2349" s="1"/>
      <c r="D2349" s="1"/>
      <c r="E2349" s="14"/>
      <c r="F2349" s="15"/>
      <c r="G2349" s="16"/>
      <c r="H2349" s="11"/>
      <c r="I2349" s="7"/>
      <c r="J2349" s="7" t="str">
        <f>IFERROR(LET(_xlpm.v,
VLOOKUP($I2349,'用語辞書'!$A:$B,COLUMN('用語辞書'!B$1),FALSE),
IF(_xlpm.v=0,"",_xlpm.v)
),"")</f>
        <v/>
      </c>
      <c r="K2349" s="17"/>
      <c r="L2349" s="17" t="str">
        <f>IF(OR(COUNTIF('クラス'!$A$1:$A$1262,$B2349)&gt;0,$B2349="",$M2349=""),"",True)</f>
        <v/>
      </c>
      <c r="M2349" s="1" t="str">
        <f t="shared" si="30"/>
        <v/>
      </c>
      <c r="N2349" s="1" t="s">
        <v>29</v>
      </c>
      <c r="O2349" s="1"/>
      <c r="P2349" s="11"/>
      <c r="Q2349" s="11"/>
      <c r="R2349" s="11"/>
      <c r="S2349" s="11"/>
      <c r="T2349" s="1"/>
      <c r="U2349" s="1"/>
      <c r="V2349" s="1"/>
      <c r="W2349" s="1"/>
      <c r="X2349" s="1"/>
      <c r="Y2349" s="1"/>
      <c r="Z2349" s="1"/>
    </row>
    <row r="2350" ht="18.0" hidden="1" customHeight="1" outlineLevel="2">
      <c r="A2350" s="1">
        <v>10.0</v>
      </c>
      <c r="B2350" s="26" t="s">
        <v>2333</v>
      </c>
      <c r="C2350" s="1"/>
      <c r="D2350" s="26" t="s">
        <v>370</v>
      </c>
      <c r="E2350" s="29" t="s">
        <v>33</v>
      </c>
      <c r="F2350" s="15"/>
      <c r="G2350" s="30">
        <v>60.0</v>
      </c>
      <c r="H2350" s="22" t="s">
        <v>2334</v>
      </c>
      <c r="I2350" s="7"/>
      <c r="J2350" s="7" t="str">
        <f>IFERROR(LET(_xlpm.v,
VLOOKUP($I2350,'用語辞書'!$A:$B,COLUMN('用語辞書'!B$1),FALSE),
IF(_xlpm.v=0,"",_xlpm.v)
),"")</f>
        <v/>
      </c>
      <c r="K2350" s="17"/>
      <c r="L2350" s="17" t="b">
        <f>IF(OR(COUNTIF('クラス'!$A$1:$A$1262,$B2350)&gt;0,$B2350="",$M2350=""),"",True)</f>
        <v>1</v>
      </c>
      <c r="M2350" s="1" t="str">
        <f t="shared" si="30"/>
        <v>存在しない</v>
      </c>
      <c r="N2350" s="1" t="s">
        <v>29</v>
      </c>
      <c r="O2350" s="1"/>
      <c r="P2350" s="11"/>
      <c r="Q2350" s="11"/>
      <c r="R2350" s="11"/>
      <c r="S2350" s="11"/>
      <c r="T2350" s="1"/>
      <c r="U2350" s="1"/>
      <c r="V2350" s="1"/>
      <c r="W2350" s="1"/>
      <c r="X2350" s="1"/>
      <c r="Y2350" s="1"/>
      <c r="Z2350" s="1"/>
    </row>
    <row r="2351" ht="18.0" customHeight="1" outlineLevel="1" collapsed="1">
      <c r="A2351" s="1"/>
      <c r="B2351" s="1"/>
      <c r="C2351" s="1"/>
      <c r="D2351" s="1"/>
      <c r="E2351" s="14"/>
      <c r="F2351" s="15"/>
      <c r="G2351" s="16"/>
      <c r="H2351" s="11"/>
      <c r="I2351" s="7"/>
      <c r="J2351" s="7" t="str">
        <f>IFERROR(LET(_xlpm.v,
VLOOKUP($I2351,'用語辞書'!$A:$B,COLUMN('用語辞書'!B$1),FALSE),
IF(_xlpm.v=0,"",_xlpm.v)
),"")</f>
        <v/>
      </c>
      <c r="K2351" s="17"/>
      <c r="L2351" s="17" t="str">
        <f>IF(OR(COUNTIF('クラス'!$A$1:$A$1262,$B2351)&gt;0,$B2351="",$M2351=""),"",True)</f>
        <v/>
      </c>
      <c r="M2351" s="1" t="str">
        <f t="shared" si="30"/>
        <v>存在しない</v>
      </c>
      <c r="N2351" s="1" t="s">
        <v>29</v>
      </c>
      <c r="O2351" s="1"/>
      <c r="P2351" s="11"/>
      <c r="Q2351" s="11"/>
      <c r="R2351" s="11"/>
      <c r="S2351" s="11"/>
      <c r="T2351" s="1"/>
      <c r="U2351" s="1"/>
      <c r="V2351" s="1"/>
      <c r="W2351" s="1"/>
      <c r="X2351" s="1"/>
      <c r="Y2351" s="1"/>
      <c r="Z2351" s="1"/>
    </row>
    <row r="2352" ht="18.0" customHeight="1" outlineLevel="1">
      <c r="A2352" s="1"/>
      <c r="B2352" s="26" t="s">
        <v>2335</v>
      </c>
      <c r="C2352" s="1"/>
      <c r="D2352" s="1"/>
      <c r="E2352" s="14"/>
      <c r="F2352" s="15"/>
      <c r="G2352" s="16"/>
      <c r="H2352" s="11"/>
      <c r="I2352" s="7"/>
      <c r="J2352" s="7" t="str">
        <f>IFERROR(LET(_xlpm.v,
VLOOKUP($I2352,'用語辞書'!$A:$B,COLUMN('用語辞書'!B$1),FALSE),
IF(_xlpm.v=0,"",_xlpm.v)
),"")</f>
        <v/>
      </c>
      <c r="K2352" s="17"/>
      <c r="L2352" s="17" t="str">
        <f>IF(OR(COUNTIF('クラス'!$A$1:$A$1262,$B2352)&gt;0,$B2352="",$M2352=""),"",True)</f>
        <v/>
      </c>
      <c r="M2352" s="1" t="str">
        <f t="shared" si="30"/>
        <v>存在しない</v>
      </c>
      <c r="N2352" s="1" t="s">
        <v>29</v>
      </c>
      <c r="O2352" s="1"/>
      <c r="P2352" s="11"/>
      <c r="Q2352" s="11"/>
      <c r="R2352" s="11"/>
      <c r="S2352" s="11"/>
      <c r="T2352" s="1"/>
      <c r="U2352" s="1"/>
      <c r="V2352" s="1"/>
      <c r="W2352" s="1"/>
      <c r="X2352" s="1"/>
      <c r="Y2352" s="1"/>
      <c r="Z2352" s="1"/>
    </row>
    <row r="2353" ht="18.0" hidden="1" customHeight="1" outlineLevel="2">
      <c r="A2353" s="1">
        <v>1.0</v>
      </c>
      <c r="B2353" s="26" t="s">
        <v>2210</v>
      </c>
      <c r="C2353" s="1"/>
      <c r="D2353" s="1"/>
      <c r="E2353" s="14"/>
      <c r="F2353" s="15"/>
      <c r="G2353" s="16"/>
      <c r="H2353" s="11"/>
      <c r="I2353" s="7"/>
      <c r="J2353" s="7" t="str">
        <f>IFERROR(LET(_xlpm.v,
VLOOKUP($I2353,'用語辞書'!$A:$B,COLUMN('用語辞書'!B$1),FALSE),
IF(_xlpm.v=0,"",_xlpm.v)
),"")</f>
        <v/>
      </c>
      <c r="K2353" s="17"/>
      <c r="L2353" s="17" t="str">
        <f>IF(OR(COUNTIF('クラス'!$A$1:$A$1262,$B2353)&gt;0,$B2353="",$M2353=""),"",True)</f>
        <v/>
      </c>
      <c r="M2353" s="1" t="str">
        <f t="shared" si="30"/>
        <v/>
      </c>
      <c r="N2353" s="1" t="s">
        <v>29</v>
      </c>
      <c r="O2353" s="1"/>
      <c r="P2353" s="11"/>
      <c r="Q2353" s="11"/>
      <c r="R2353" s="11"/>
      <c r="S2353" s="11"/>
      <c r="T2353" s="1"/>
      <c r="U2353" s="1"/>
      <c r="V2353" s="1"/>
      <c r="W2353" s="1"/>
      <c r="X2353" s="1"/>
      <c r="Y2353" s="1"/>
      <c r="Z2353" s="1"/>
    </row>
    <row r="2354" ht="18.0" hidden="1" customHeight="1" outlineLevel="2">
      <c r="A2354" s="1">
        <v>2.0</v>
      </c>
      <c r="B2354" s="1"/>
      <c r="C2354" s="1"/>
      <c r="D2354" s="1"/>
      <c r="E2354" s="14"/>
      <c r="F2354" s="15"/>
      <c r="G2354" s="16"/>
      <c r="H2354" s="11"/>
      <c r="I2354" s="7"/>
      <c r="J2354" s="7" t="str">
        <f>IFERROR(LET(_xlpm.v,
VLOOKUP($I2354,'用語辞書'!$A:$B,COLUMN('用語辞書'!B$1),FALSE),
IF(_xlpm.v=0,"",_xlpm.v)
),"")</f>
        <v/>
      </c>
      <c r="K2354" s="17"/>
      <c r="L2354" s="17" t="str">
        <f>IF(OR(COUNTIF('クラス'!$A$1:$A$1262,$B2354)&gt;0,$B2354="",$M2354=""),"",True)</f>
        <v/>
      </c>
      <c r="M2354" s="1" t="str">
        <f t="shared" si="30"/>
        <v>存在しない</v>
      </c>
      <c r="N2354" s="1" t="s">
        <v>29</v>
      </c>
      <c r="O2354" s="1"/>
      <c r="P2354" s="11"/>
      <c r="Q2354" s="11"/>
      <c r="R2354" s="11"/>
      <c r="S2354" s="11"/>
      <c r="T2354" s="1"/>
      <c r="U2354" s="1"/>
      <c r="V2354" s="1"/>
      <c r="W2354" s="1"/>
      <c r="X2354" s="1"/>
      <c r="Y2354" s="1"/>
      <c r="Z2354" s="1"/>
    </row>
    <row r="2355" ht="18.0" hidden="1" customHeight="1" outlineLevel="2">
      <c r="A2355" s="1">
        <v>3.0</v>
      </c>
      <c r="B2355" s="26" t="s">
        <v>516</v>
      </c>
      <c r="C2355" s="1"/>
      <c r="D2355" s="1"/>
      <c r="E2355" s="14"/>
      <c r="F2355" s="15"/>
      <c r="G2355" s="16"/>
      <c r="H2355" s="11"/>
      <c r="I2355" s="7"/>
      <c r="J2355" s="7" t="str">
        <f>IFERROR(LET(_xlpm.v,
VLOOKUP($I2355,'用語辞書'!$A:$B,COLUMN('用語辞書'!B$1),FALSE),
IF(_xlpm.v=0,"",_xlpm.v)
),"")</f>
        <v/>
      </c>
      <c r="K2355" s="17"/>
      <c r="L2355" s="17" t="str">
        <f>IF(OR(COUNTIF('クラス'!$A$1:$A$1262,$B2355)&gt;0,$B2355="",$M2355=""),"",True)</f>
        <v/>
      </c>
      <c r="M2355" s="1" t="str">
        <f t="shared" si="30"/>
        <v/>
      </c>
      <c r="N2355" s="1" t="s">
        <v>29</v>
      </c>
      <c r="O2355" s="1"/>
      <c r="P2355" s="11"/>
      <c r="Q2355" s="11"/>
      <c r="R2355" s="11"/>
      <c r="S2355" s="11"/>
      <c r="T2355" s="1"/>
      <c r="U2355" s="1"/>
      <c r="V2355" s="1"/>
      <c r="W2355" s="1"/>
      <c r="X2355" s="1"/>
      <c r="Y2355" s="1"/>
      <c r="Z2355" s="1"/>
    </row>
    <row r="2356" ht="18.0" hidden="1" customHeight="1" outlineLevel="2">
      <c r="A2356" s="1">
        <v>4.0</v>
      </c>
      <c r="B2356" s="1"/>
      <c r="C2356" s="1"/>
      <c r="D2356" s="1"/>
      <c r="E2356" s="14"/>
      <c r="F2356" s="15"/>
      <c r="G2356" s="16"/>
      <c r="H2356" s="11"/>
      <c r="I2356" s="7"/>
      <c r="J2356" s="7" t="str">
        <f>IFERROR(LET(_xlpm.v,
VLOOKUP($I2356,'用語辞書'!$A:$B,COLUMN('用語辞書'!B$1),FALSE),
IF(_xlpm.v=0,"",_xlpm.v)
),"")</f>
        <v/>
      </c>
      <c r="K2356" s="17"/>
      <c r="L2356" s="17" t="str">
        <f>IF(OR(COUNTIF('クラス'!$A$1:$A$1262,$B2356)&gt;0,$B2356="",$M2356=""),"",True)</f>
        <v/>
      </c>
      <c r="M2356" s="1" t="str">
        <f t="shared" si="30"/>
        <v>存在しない</v>
      </c>
      <c r="N2356" s="1" t="s">
        <v>29</v>
      </c>
      <c r="O2356" s="1"/>
      <c r="P2356" s="11"/>
      <c r="Q2356" s="11"/>
      <c r="R2356" s="11"/>
      <c r="S2356" s="11"/>
      <c r="T2356" s="1"/>
      <c r="U2356" s="1"/>
      <c r="V2356" s="1"/>
      <c r="W2356" s="1"/>
      <c r="X2356" s="1"/>
      <c r="Y2356" s="1"/>
      <c r="Z2356" s="1"/>
    </row>
    <row r="2357" ht="18.0" hidden="1" customHeight="1" outlineLevel="2">
      <c r="A2357" s="1">
        <v>5.0</v>
      </c>
      <c r="B2357" s="26" t="s">
        <v>2212</v>
      </c>
      <c r="C2357" s="1"/>
      <c r="D2357" s="1"/>
      <c r="E2357" s="14"/>
      <c r="F2357" s="15"/>
      <c r="G2357" s="16"/>
      <c r="H2357" s="11"/>
      <c r="I2357" s="7"/>
      <c r="J2357" s="7" t="str">
        <f>IFERROR(LET(_xlpm.v,
VLOOKUP($I2357,'用語辞書'!$A:$B,COLUMN('用語辞書'!B$1),FALSE),
IF(_xlpm.v=0,"",_xlpm.v)
),"")</f>
        <v/>
      </c>
      <c r="K2357" s="17"/>
      <c r="L2357" s="17" t="str">
        <f>IF(OR(COUNTIF('クラス'!$A$1:$A$1262,$B2357)&gt;0,$B2357="",$M2357=""),"",True)</f>
        <v/>
      </c>
      <c r="M2357" s="1" t="str">
        <f t="shared" si="30"/>
        <v/>
      </c>
      <c r="N2357" s="1" t="s">
        <v>29</v>
      </c>
      <c r="O2357" s="1"/>
      <c r="P2357" s="11"/>
      <c r="Q2357" s="11"/>
      <c r="R2357" s="11"/>
      <c r="S2357" s="11"/>
      <c r="T2357" s="1"/>
      <c r="U2357" s="1"/>
      <c r="V2357" s="1"/>
      <c r="W2357" s="1"/>
      <c r="X2357" s="1"/>
      <c r="Y2357" s="1"/>
      <c r="Z2357" s="1"/>
    </row>
    <row r="2358" ht="18.0" hidden="1" customHeight="1" outlineLevel="2">
      <c r="A2358" s="1">
        <v>6.0</v>
      </c>
      <c r="B2358" s="1"/>
      <c r="C2358" s="1"/>
      <c r="D2358" s="1"/>
      <c r="E2358" s="14"/>
      <c r="F2358" s="15"/>
      <c r="G2358" s="16"/>
      <c r="H2358" s="11"/>
      <c r="I2358" s="7"/>
      <c r="J2358" s="7" t="str">
        <f>IFERROR(LET(_xlpm.v,
VLOOKUP($I2358,'用語辞書'!$A:$B,COLUMN('用語辞書'!B$1),FALSE),
IF(_xlpm.v=0,"",_xlpm.v)
),"")</f>
        <v/>
      </c>
      <c r="K2358" s="17"/>
      <c r="L2358" s="17" t="str">
        <f>IF(OR(COUNTIF('クラス'!$A$1:$A$1262,$B2358)&gt;0,$B2358="",$M2358=""),"",True)</f>
        <v/>
      </c>
      <c r="M2358" s="1" t="str">
        <f t="shared" si="30"/>
        <v>存在しない</v>
      </c>
      <c r="N2358" s="1" t="s">
        <v>29</v>
      </c>
      <c r="O2358" s="1"/>
      <c r="P2358" s="11"/>
      <c r="Q2358" s="11"/>
      <c r="R2358" s="11"/>
      <c r="S2358" s="11"/>
      <c r="T2358" s="1"/>
      <c r="U2358" s="1"/>
      <c r="V2358" s="1"/>
      <c r="W2358" s="1"/>
      <c r="X2358" s="1"/>
      <c r="Y2358" s="1"/>
      <c r="Z2358" s="1"/>
    </row>
    <row r="2359" ht="18.0" hidden="1" customHeight="1" outlineLevel="2">
      <c r="A2359" s="1">
        <v>7.0</v>
      </c>
      <c r="B2359" s="26" t="s">
        <v>526</v>
      </c>
      <c r="C2359" s="1"/>
      <c r="D2359" s="1"/>
      <c r="E2359" s="14"/>
      <c r="F2359" s="15"/>
      <c r="G2359" s="16"/>
      <c r="H2359" s="11"/>
      <c r="I2359" s="7"/>
      <c r="J2359" s="7" t="str">
        <f>IFERROR(LET(_xlpm.v,
VLOOKUP($I2359,'用語辞書'!$A:$B,COLUMN('用語辞書'!B$1),FALSE),
IF(_xlpm.v=0,"",_xlpm.v)
),"")</f>
        <v/>
      </c>
      <c r="K2359" s="17"/>
      <c r="L2359" s="17" t="str">
        <f>IF(OR(COUNTIF('クラス'!$A$1:$A$1262,$B2359)&gt;0,$B2359="",$M2359=""),"",True)</f>
        <v/>
      </c>
      <c r="M2359" s="1" t="str">
        <f t="shared" si="30"/>
        <v/>
      </c>
      <c r="N2359" s="1" t="s">
        <v>29</v>
      </c>
      <c r="O2359" s="1"/>
      <c r="P2359" s="11"/>
      <c r="Q2359" s="11"/>
      <c r="R2359" s="11"/>
      <c r="S2359" s="11"/>
      <c r="T2359" s="1"/>
      <c r="U2359" s="1"/>
      <c r="V2359" s="1"/>
      <c r="W2359" s="1"/>
      <c r="X2359" s="1"/>
      <c r="Y2359" s="1"/>
      <c r="Z2359" s="1"/>
    </row>
    <row r="2360" ht="18.0" hidden="1" customHeight="1" outlineLevel="2">
      <c r="A2360" s="1">
        <v>8.0</v>
      </c>
      <c r="B2360" s="1"/>
      <c r="C2360" s="1"/>
      <c r="D2360" s="1"/>
      <c r="E2360" s="14"/>
      <c r="F2360" s="15"/>
      <c r="G2360" s="16"/>
      <c r="H2360" s="11"/>
      <c r="I2360" s="7"/>
      <c r="J2360" s="7" t="str">
        <f>IFERROR(LET(_xlpm.v,
VLOOKUP($I2360,'用語辞書'!$A:$B,COLUMN('用語辞書'!B$1),FALSE),
IF(_xlpm.v=0,"",_xlpm.v)
),"")</f>
        <v/>
      </c>
      <c r="K2360" s="17"/>
      <c r="L2360" s="17" t="str">
        <f>IF(OR(COUNTIF('クラス'!$A$1:$A$1262,$B2360)&gt;0,$B2360="",$M2360=""),"",True)</f>
        <v/>
      </c>
      <c r="M2360" s="1" t="str">
        <f t="shared" si="30"/>
        <v>存在しない</v>
      </c>
      <c r="N2360" s="1" t="s">
        <v>29</v>
      </c>
      <c r="O2360" s="1"/>
      <c r="P2360" s="11"/>
      <c r="Q2360" s="11"/>
      <c r="R2360" s="11"/>
      <c r="S2360" s="11"/>
      <c r="T2360" s="1"/>
      <c r="U2360" s="1"/>
      <c r="V2360" s="1"/>
      <c r="W2360" s="1"/>
      <c r="X2360" s="1"/>
      <c r="Y2360" s="1"/>
      <c r="Z2360" s="1"/>
    </row>
    <row r="2361" ht="18.0" hidden="1" customHeight="1" outlineLevel="2">
      <c r="A2361" s="1">
        <v>9.0</v>
      </c>
      <c r="B2361" s="26" t="s">
        <v>2213</v>
      </c>
      <c r="C2361" s="1"/>
      <c r="D2361" s="1"/>
      <c r="E2361" s="14"/>
      <c r="F2361" s="15"/>
      <c r="G2361" s="16"/>
      <c r="H2361" s="11"/>
      <c r="I2361" s="7"/>
      <c r="J2361" s="7" t="str">
        <f>IFERROR(LET(_xlpm.v,
VLOOKUP($I2361,'用語辞書'!$A:$B,COLUMN('用語辞書'!B$1),FALSE),
IF(_xlpm.v=0,"",_xlpm.v)
),"")</f>
        <v/>
      </c>
      <c r="K2361" s="17"/>
      <c r="L2361" s="17" t="str">
        <f>IF(OR(COUNTIF('クラス'!$A$1:$A$1262,$B2361)&gt;0,$B2361="",$M2361=""),"",True)</f>
        <v/>
      </c>
      <c r="M2361" s="1" t="str">
        <f t="shared" si="30"/>
        <v/>
      </c>
      <c r="N2361" s="1" t="s">
        <v>29</v>
      </c>
      <c r="O2361" s="1"/>
      <c r="P2361" s="11"/>
      <c r="Q2361" s="11"/>
      <c r="R2361" s="11"/>
      <c r="S2361" s="11"/>
      <c r="T2361" s="1"/>
      <c r="U2361" s="1"/>
      <c r="V2361" s="1"/>
      <c r="W2361" s="1"/>
      <c r="X2361" s="1"/>
      <c r="Y2361" s="1"/>
      <c r="Z2361" s="1"/>
    </row>
    <row r="2362" ht="18.0" hidden="1" customHeight="1" outlineLevel="2">
      <c r="A2362" s="1">
        <v>10.0</v>
      </c>
      <c r="B2362" s="26" t="s">
        <v>2336</v>
      </c>
      <c r="C2362" s="1"/>
      <c r="D2362" s="26" t="s">
        <v>518</v>
      </c>
      <c r="E2362" s="29" t="s">
        <v>33</v>
      </c>
      <c r="F2362" s="15"/>
      <c r="G2362" s="30">
        <v>60.0</v>
      </c>
      <c r="H2362" s="22" t="s">
        <v>2337</v>
      </c>
      <c r="I2362" s="7"/>
      <c r="J2362" s="7" t="str">
        <f>IFERROR(LET(_xlpm.v,
VLOOKUP($I2362,'用語辞書'!$A:$B,COLUMN('用語辞書'!B$1),FALSE),
IF(_xlpm.v=0,"",_xlpm.v)
),"")</f>
        <v/>
      </c>
      <c r="K2362" s="17"/>
      <c r="L2362" s="17" t="b">
        <f>IF(OR(COUNTIF('クラス'!$A$1:$A$1262,$B2362)&gt;0,$B2362="",$M2362=""),"",True)</f>
        <v>1</v>
      </c>
      <c r="M2362" s="1" t="str">
        <f t="shared" si="30"/>
        <v>存在しない</v>
      </c>
      <c r="N2362" s="1" t="s">
        <v>29</v>
      </c>
      <c r="O2362" s="1"/>
      <c r="P2362" s="11"/>
      <c r="Q2362" s="11"/>
      <c r="R2362" s="11"/>
      <c r="S2362" s="11"/>
      <c r="T2362" s="1"/>
      <c r="U2362" s="1"/>
      <c r="V2362" s="1"/>
      <c r="W2362" s="1"/>
      <c r="X2362" s="1"/>
      <c r="Y2362" s="1"/>
      <c r="Z2362" s="1"/>
    </row>
    <row r="2363" ht="18.0" customHeight="1" outlineLevel="1" collapsed="1">
      <c r="A2363" s="1"/>
      <c r="B2363" s="1"/>
      <c r="C2363" s="1"/>
      <c r="D2363" s="1"/>
      <c r="E2363" s="14"/>
      <c r="F2363" s="15"/>
      <c r="G2363" s="16"/>
      <c r="H2363" s="11"/>
      <c r="I2363" s="7"/>
      <c r="J2363" s="7" t="str">
        <f>IFERROR(LET(_xlpm.v,
VLOOKUP($I2363,'用語辞書'!$A:$B,COLUMN('用語辞書'!B$1),FALSE),
IF(_xlpm.v=0,"",_xlpm.v)
),"")</f>
        <v/>
      </c>
      <c r="K2363" s="17"/>
      <c r="L2363" s="17" t="str">
        <f>IF(OR(COUNTIF('クラス'!$A$1:$A$1262,$B2363)&gt;0,$B2363="",$M2363=""),"",True)</f>
        <v/>
      </c>
      <c r="M2363" s="1" t="str">
        <f t="shared" si="30"/>
        <v>存在しない</v>
      </c>
      <c r="N2363" s="1" t="s">
        <v>29</v>
      </c>
      <c r="O2363" s="1"/>
      <c r="P2363" s="11"/>
      <c r="Q2363" s="11"/>
      <c r="R2363" s="11"/>
      <c r="S2363" s="11"/>
      <c r="T2363" s="1"/>
      <c r="U2363" s="1"/>
      <c r="V2363" s="1"/>
      <c r="W2363" s="1"/>
      <c r="X2363" s="1"/>
      <c r="Y2363" s="1"/>
      <c r="Z2363" s="1"/>
    </row>
    <row r="2364" ht="18.0" customHeight="1" outlineLevel="1">
      <c r="A2364" s="1"/>
      <c r="B2364" s="26" t="s">
        <v>2338</v>
      </c>
      <c r="C2364" s="1"/>
      <c r="D2364" s="1"/>
      <c r="E2364" s="14"/>
      <c r="F2364" s="15"/>
      <c r="G2364" s="16"/>
      <c r="H2364" s="11"/>
      <c r="I2364" s="7"/>
      <c r="J2364" s="7" t="str">
        <f>IFERROR(LET(_xlpm.v,
VLOOKUP($I2364,'用語辞書'!$A:$B,COLUMN('用語辞書'!B$1),FALSE),
IF(_xlpm.v=0,"",_xlpm.v)
),"")</f>
        <v/>
      </c>
      <c r="K2364" s="17"/>
      <c r="L2364" s="17" t="str">
        <f>IF(OR(COUNTIF('クラス'!$A$1:$A$1262,$B2364)&gt;0,$B2364="",$M2364=""),"",True)</f>
        <v/>
      </c>
      <c r="M2364" s="1" t="str">
        <f t="shared" si="30"/>
        <v>存在しない</v>
      </c>
      <c r="N2364" s="1" t="s">
        <v>29</v>
      </c>
      <c r="O2364" s="1"/>
      <c r="P2364" s="11"/>
      <c r="Q2364" s="11"/>
      <c r="R2364" s="11"/>
      <c r="S2364" s="11"/>
      <c r="T2364" s="1"/>
      <c r="U2364" s="1"/>
      <c r="V2364" s="1"/>
      <c r="W2364" s="1"/>
      <c r="X2364" s="1"/>
      <c r="Y2364" s="1"/>
      <c r="Z2364" s="1"/>
    </row>
    <row r="2365" ht="18.0" hidden="1" customHeight="1" outlineLevel="2">
      <c r="A2365" s="1">
        <v>1.0</v>
      </c>
      <c r="B2365" s="26" t="s">
        <v>2217</v>
      </c>
      <c r="C2365" s="1"/>
      <c r="D2365" s="1"/>
      <c r="E2365" s="14"/>
      <c r="F2365" s="15"/>
      <c r="G2365" s="16"/>
      <c r="H2365" s="11"/>
      <c r="I2365" s="7"/>
      <c r="J2365" s="7" t="str">
        <f>IFERROR(LET(_xlpm.v,
VLOOKUP($I2365,'用語辞書'!$A:$B,COLUMN('用語辞書'!B$1),FALSE),
IF(_xlpm.v=0,"",_xlpm.v)
),"")</f>
        <v/>
      </c>
      <c r="K2365" s="17"/>
      <c r="L2365" s="17" t="str">
        <f>IF(OR(COUNTIF('クラス'!$A$1:$A$1262,$B2365)&gt;0,$B2365="",$M2365=""),"",True)</f>
        <v/>
      </c>
      <c r="M2365" s="1" t="str">
        <f t="shared" si="30"/>
        <v/>
      </c>
      <c r="N2365" s="1" t="s">
        <v>29</v>
      </c>
      <c r="O2365" s="1"/>
      <c r="P2365" s="11"/>
      <c r="Q2365" s="11"/>
      <c r="R2365" s="11"/>
      <c r="S2365" s="11"/>
      <c r="T2365" s="1"/>
      <c r="U2365" s="1"/>
      <c r="V2365" s="1"/>
      <c r="W2365" s="1"/>
      <c r="X2365" s="1"/>
      <c r="Y2365" s="1"/>
      <c r="Z2365" s="1"/>
    </row>
    <row r="2366" ht="18.0" hidden="1" customHeight="1" outlineLevel="2">
      <c r="A2366" s="1">
        <v>2.0</v>
      </c>
      <c r="B2366" s="1"/>
      <c r="C2366" s="1"/>
      <c r="D2366" s="1"/>
      <c r="E2366" s="14"/>
      <c r="F2366" s="15"/>
      <c r="G2366" s="16"/>
      <c r="H2366" s="11"/>
      <c r="I2366" s="7"/>
      <c r="J2366" s="7" t="str">
        <f>IFERROR(LET(_xlpm.v,
VLOOKUP($I2366,'用語辞書'!$A:$B,COLUMN('用語辞書'!B$1),FALSE),
IF(_xlpm.v=0,"",_xlpm.v)
),"")</f>
        <v/>
      </c>
      <c r="K2366" s="17"/>
      <c r="L2366" s="17" t="str">
        <f>IF(OR(COUNTIF('クラス'!$A$1:$A$1262,$B2366)&gt;0,$B2366="",$M2366=""),"",True)</f>
        <v/>
      </c>
      <c r="M2366" s="1" t="str">
        <f t="shared" si="30"/>
        <v>存在しない</v>
      </c>
      <c r="N2366" s="1" t="s">
        <v>29</v>
      </c>
      <c r="O2366" s="1"/>
      <c r="P2366" s="11"/>
      <c r="Q2366" s="11"/>
      <c r="R2366" s="11"/>
      <c r="S2366" s="11"/>
      <c r="T2366" s="1"/>
      <c r="U2366" s="1"/>
      <c r="V2366" s="1"/>
      <c r="W2366" s="1"/>
      <c r="X2366" s="1"/>
      <c r="Y2366" s="1"/>
      <c r="Z2366" s="1"/>
    </row>
    <row r="2367" ht="18.0" hidden="1" customHeight="1" outlineLevel="2">
      <c r="A2367" s="1">
        <v>3.0</v>
      </c>
      <c r="B2367" s="26" t="s">
        <v>646</v>
      </c>
      <c r="C2367" s="1"/>
      <c r="D2367" s="1"/>
      <c r="E2367" s="14"/>
      <c r="F2367" s="15"/>
      <c r="G2367" s="16"/>
      <c r="H2367" s="11"/>
      <c r="I2367" s="7"/>
      <c r="J2367" s="7" t="str">
        <f>IFERROR(LET(_xlpm.v,
VLOOKUP($I2367,'用語辞書'!$A:$B,COLUMN('用語辞書'!B$1),FALSE),
IF(_xlpm.v=0,"",_xlpm.v)
),"")</f>
        <v/>
      </c>
      <c r="K2367" s="17"/>
      <c r="L2367" s="17" t="str">
        <f>IF(OR(COUNTIF('クラス'!$A$1:$A$1262,$B2367)&gt;0,$B2367="",$M2367=""),"",True)</f>
        <v/>
      </c>
      <c r="M2367" s="1" t="str">
        <f t="shared" si="30"/>
        <v/>
      </c>
      <c r="N2367" s="1" t="s">
        <v>29</v>
      </c>
      <c r="O2367" s="1"/>
      <c r="P2367" s="11"/>
      <c r="Q2367" s="11"/>
      <c r="R2367" s="11"/>
      <c r="S2367" s="11"/>
      <c r="T2367" s="1"/>
      <c r="U2367" s="1"/>
      <c r="V2367" s="1"/>
      <c r="W2367" s="1"/>
      <c r="X2367" s="1"/>
      <c r="Y2367" s="1"/>
      <c r="Z2367" s="1"/>
    </row>
    <row r="2368" ht="18.0" hidden="1" customHeight="1" outlineLevel="2">
      <c r="A2368" s="1">
        <v>4.0</v>
      </c>
      <c r="B2368" s="1"/>
      <c r="C2368" s="1"/>
      <c r="D2368" s="1"/>
      <c r="E2368" s="14"/>
      <c r="F2368" s="15"/>
      <c r="G2368" s="16"/>
      <c r="H2368" s="11"/>
      <c r="I2368" s="7"/>
      <c r="J2368" s="7" t="str">
        <f>IFERROR(LET(_xlpm.v,
VLOOKUP($I2368,'用語辞書'!$A:$B,COLUMN('用語辞書'!B$1),FALSE),
IF(_xlpm.v=0,"",_xlpm.v)
),"")</f>
        <v/>
      </c>
      <c r="K2368" s="17"/>
      <c r="L2368" s="17" t="str">
        <f>IF(OR(COUNTIF('クラス'!$A$1:$A$1262,$B2368)&gt;0,$B2368="",$M2368=""),"",True)</f>
        <v/>
      </c>
      <c r="M2368" s="1" t="str">
        <f t="shared" si="30"/>
        <v>存在しない</v>
      </c>
      <c r="N2368" s="1" t="s">
        <v>29</v>
      </c>
      <c r="O2368" s="1"/>
      <c r="P2368" s="11"/>
      <c r="Q2368" s="11"/>
      <c r="R2368" s="11"/>
      <c r="S2368" s="11"/>
      <c r="T2368" s="1"/>
      <c r="U2368" s="1"/>
      <c r="V2368" s="1"/>
      <c r="W2368" s="1"/>
      <c r="X2368" s="1"/>
      <c r="Y2368" s="1"/>
      <c r="Z2368" s="1"/>
    </row>
    <row r="2369" ht="18.0" hidden="1" customHeight="1" outlineLevel="2">
      <c r="A2369" s="1">
        <v>5.0</v>
      </c>
      <c r="B2369" s="26" t="s">
        <v>2219</v>
      </c>
      <c r="C2369" s="1"/>
      <c r="D2369" s="1"/>
      <c r="E2369" s="14"/>
      <c r="F2369" s="15"/>
      <c r="G2369" s="16"/>
      <c r="H2369" s="11"/>
      <c r="I2369" s="7"/>
      <c r="J2369" s="7" t="str">
        <f>IFERROR(LET(_xlpm.v,
VLOOKUP($I2369,'用語辞書'!$A:$B,COLUMN('用語辞書'!B$1),FALSE),
IF(_xlpm.v=0,"",_xlpm.v)
),"")</f>
        <v/>
      </c>
      <c r="K2369" s="17"/>
      <c r="L2369" s="17" t="str">
        <f>IF(OR(COUNTIF('クラス'!$A$1:$A$1262,$B2369)&gt;0,$B2369="",$M2369=""),"",True)</f>
        <v/>
      </c>
      <c r="M2369" s="1" t="str">
        <f t="shared" si="30"/>
        <v/>
      </c>
      <c r="N2369" s="1" t="s">
        <v>29</v>
      </c>
      <c r="O2369" s="1"/>
      <c r="P2369" s="11"/>
      <c r="Q2369" s="11"/>
      <c r="R2369" s="11"/>
      <c r="S2369" s="11"/>
      <c r="T2369" s="1"/>
      <c r="U2369" s="1"/>
      <c r="V2369" s="1"/>
      <c r="W2369" s="1"/>
      <c r="X2369" s="1"/>
      <c r="Y2369" s="1"/>
      <c r="Z2369" s="1"/>
    </row>
    <row r="2370" ht="18.0" hidden="1" customHeight="1" outlineLevel="2">
      <c r="A2370" s="1">
        <v>6.0</v>
      </c>
      <c r="B2370" s="1"/>
      <c r="C2370" s="1"/>
      <c r="D2370" s="1"/>
      <c r="E2370" s="14"/>
      <c r="F2370" s="15"/>
      <c r="G2370" s="16"/>
      <c r="H2370" s="11"/>
      <c r="I2370" s="7"/>
      <c r="J2370" s="7" t="str">
        <f>IFERROR(LET(_xlpm.v,
VLOOKUP($I2370,'用語辞書'!$A:$B,COLUMN('用語辞書'!B$1),FALSE),
IF(_xlpm.v=0,"",_xlpm.v)
),"")</f>
        <v/>
      </c>
      <c r="K2370" s="17"/>
      <c r="L2370" s="17" t="str">
        <f>IF(OR(COUNTIF('クラス'!$A$1:$A$1262,$B2370)&gt;0,$B2370="",$M2370=""),"",True)</f>
        <v/>
      </c>
      <c r="M2370" s="1" t="str">
        <f t="shared" si="30"/>
        <v>存在しない</v>
      </c>
      <c r="N2370" s="1" t="s">
        <v>29</v>
      </c>
      <c r="O2370" s="1"/>
      <c r="P2370" s="11"/>
      <c r="Q2370" s="11"/>
      <c r="R2370" s="11"/>
      <c r="S2370" s="11"/>
      <c r="T2370" s="1"/>
      <c r="U2370" s="1"/>
      <c r="V2370" s="1"/>
      <c r="W2370" s="1"/>
      <c r="X2370" s="1"/>
      <c r="Y2370" s="1"/>
      <c r="Z2370" s="1"/>
    </row>
    <row r="2371" ht="18.0" hidden="1" customHeight="1" outlineLevel="2">
      <c r="A2371" s="1">
        <v>7.0</v>
      </c>
      <c r="B2371" s="26" t="s">
        <v>652</v>
      </c>
      <c r="C2371" s="1"/>
      <c r="D2371" s="1"/>
      <c r="E2371" s="14"/>
      <c r="F2371" s="15"/>
      <c r="G2371" s="16"/>
      <c r="H2371" s="11"/>
      <c r="I2371" s="7"/>
      <c r="J2371" s="7" t="str">
        <f>IFERROR(LET(_xlpm.v,
VLOOKUP($I2371,'用語辞書'!$A:$B,COLUMN('用語辞書'!B$1),FALSE),
IF(_xlpm.v=0,"",_xlpm.v)
),"")</f>
        <v/>
      </c>
      <c r="K2371" s="17"/>
      <c r="L2371" s="17" t="str">
        <f>IF(OR(COUNTIF('クラス'!$A$1:$A$1262,$B2371)&gt;0,$B2371="",$M2371=""),"",True)</f>
        <v/>
      </c>
      <c r="M2371" s="1" t="str">
        <f t="shared" si="30"/>
        <v/>
      </c>
      <c r="N2371" s="1" t="s">
        <v>29</v>
      </c>
      <c r="O2371" s="1"/>
      <c r="P2371" s="11"/>
      <c r="Q2371" s="11"/>
      <c r="R2371" s="11"/>
      <c r="S2371" s="11"/>
      <c r="T2371" s="1"/>
      <c r="U2371" s="1"/>
      <c r="V2371" s="1"/>
      <c r="W2371" s="1"/>
      <c r="X2371" s="1"/>
      <c r="Y2371" s="1"/>
      <c r="Z2371" s="1"/>
    </row>
    <row r="2372" ht="18.0" hidden="1" customHeight="1" outlineLevel="2">
      <c r="A2372" s="1">
        <v>8.0</v>
      </c>
      <c r="B2372" s="1"/>
      <c r="C2372" s="1"/>
      <c r="D2372" s="1"/>
      <c r="E2372" s="14"/>
      <c r="F2372" s="15"/>
      <c r="G2372" s="16"/>
      <c r="H2372" s="11"/>
      <c r="I2372" s="7"/>
      <c r="J2372" s="7" t="str">
        <f>IFERROR(LET(_xlpm.v,
VLOOKUP($I2372,'用語辞書'!$A:$B,COLUMN('用語辞書'!B$1),FALSE),
IF(_xlpm.v=0,"",_xlpm.v)
),"")</f>
        <v/>
      </c>
      <c r="K2372" s="17"/>
      <c r="L2372" s="17" t="str">
        <f>IF(OR(COUNTIF('クラス'!$A$1:$A$1262,$B2372)&gt;0,$B2372="",$M2372=""),"",True)</f>
        <v/>
      </c>
      <c r="M2372" s="1" t="str">
        <f t="shared" si="30"/>
        <v>存在しない</v>
      </c>
      <c r="N2372" s="1" t="s">
        <v>29</v>
      </c>
      <c r="O2372" s="1"/>
      <c r="P2372" s="11"/>
      <c r="Q2372" s="11"/>
      <c r="R2372" s="11"/>
      <c r="S2372" s="11"/>
      <c r="T2372" s="1"/>
      <c r="U2372" s="1"/>
      <c r="V2372" s="1"/>
      <c r="W2372" s="1"/>
      <c r="X2372" s="1"/>
      <c r="Y2372" s="1"/>
      <c r="Z2372" s="1"/>
    </row>
    <row r="2373" ht="18.0" hidden="1" customHeight="1" outlineLevel="2">
      <c r="A2373" s="1">
        <v>9.0</v>
      </c>
      <c r="B2373" s="26" t="s">
        <v>2220</v>
      </c>
      <c r="C2373" s="1"/>
      <c r="D2373" s="1"/>
      <c r="E2373" s="14"/>
      <c r="F2373" s="15"/>
      <c r="G2373" s="16"/>
      <c r="H2373" s="11"/>
      <c r="I2373" s="7"/>
      <c r="J2373" s="7" t="str">
        <f>IFERROR(LET(_xlpm.v,
VLOOKUP($I2373,'用語辞書'!$A:$B,COLUMN('用語辞書'!B$1),FALSE),
IF(_xlpm.v=0,"",_xlpm.v)
),"")</f>
        <v/>
      </c>
      <c r="K2373" s="17"/>
      <c r="L2373" s="17" t="str">
        <f>IF(OR(COUNTIF('クラス'!$A$1:$A$1262,$B2373)&gt;0,$B2373="",$M2373=""),"",True)</f>
        <v/>
      </c>
      <c r="M2373" s="1" t="str">
        <f t="shared" si="30"/>
        <v/>
      </c>
      <c r="N2373" s="1" t="s">
        <v>29</v>
      </c>
      <c r="O2373" s="1"/>
      <c r="P2373" s="11"/>
      <c r="Q2373" s="11"/>
      <c r="R2373" s="11"/>
      <c r="S2373" s="11"/>
      <c r="T2373" s="1"/>
      <c r="U2373" s="1"/>
      <c r="V2373" s="1"/>
      <c r="W2373" s="1"/>
      <c r="X2373" s="1"/>
      <c r="Y2373" s="1"/>
      <c r="Z2373" s="1"/>
    </row>
    <row r="2374" ht="18.0" hidden="1" customHeight="1" outlineLevel="2">
      <c r="A2374" s="1">
        <v>10.0</v>
      </c>
      <c r="B2374" s="26" t="s">
        <v>2339</v>
      </c>
      <c r="C2374" s="1"/>
      <c r="D2374" s="26" t="s">
        <v>644</v>
      </c>
      <c r="E2374" s="29" t="s">
        <v>33</v>
      </c>
      <c r="F2374" s="15"/>
      <c r="G2374" s="30">
        <v>60.0</v>
      </c>
      <c r="H2374" s="31" t="s">
        <v>2340</v>
      </c>
      <c r="I2374" s="7"/>
      <c r="J2374" s="7" t="str">
        <f>IFERROR(LET(_xlpm.v,
VLOOKUP($I2374,'用語辞書'!$A:$B,COLUMN('用語辞書'!B$1),FALSE),
IF(_xlpm.v=0,"",_xlpm.v)
),"")</f>
        <v/>
      </c>
      <c r="K2374" s="17"/>
      <c r="L2374" s="17" t="b">
        <f>IF(OR(COUNTIF('クラス'!$A$1:$A$1262,$B2374)&gt;0,$B2374="",$M2374=""),"",True)</f>
        <v>1</v>
      </c>
      <c r="M2374" s="1" t="str">
        <f t="shared" si="30"/>
        <v>存在しない</v>
      </c>
      <c r="N2374" s="1" t="s">
        <v>29</v>
      </c>
      <c r="O2374" s="1"/>
      <c r="P2374" s="11"/>
      <c r="Q2374" s="11"/>
      <c r="R2374" s="11"/>
      <c r="S2374" s="11"/>
      <c r="T2374" s="1"/>
      <c r="U2374" s="1"/>
      <c r="V2374" s="1"/>
      <c r="W2374" s="1"/>
      <c r="X2374" s="1"/>
      <c r="Y2374" s="1"/>
      <c r="Z2374" s="1"/>
    </row>
    <row r="2375" ht="18.0" customHeight="1" outlineLevel="1" collapsed="1">
      <c r="A2375" s="1"/>
      <c r="B2375" s="1"/>
      <c r="C2375" s="1"/>
      <c r="D2375" s="1"/>
      <c r="E2375" s="14"/>
      <c r="F2375" s="15"/>
      <c r="G2375" s="16"/>
      <c r="H2375" s="11"/>
      <c r="I2375" s="7"/>
      <c r="J2375" s="7" t="str">
        <f>IFERROR(LET(_xlpm.v,
VLOOKUP($I2375,'用語辞書'!$A:$B,COLUMN('用語辞書'!B$1),FALSE),
IF(_xlpm.v=0,"",_xlpm.v)
),"")</f>
        <v/>
      </c>
      <c r="K2375" s="17"/>
      <c r="L2375" s="17" t="str">
        <f>IF(OR(COUNTIF('クラス'!$A$1:$A$1262,$B2375)&gt;0,$B2375="",$M2375=""),"",True)</f>
        <v/>
      </c>
      <c r="M2375" s="1" t="str">
        <f t="shared" si="30"/>
        <v>存在しない</v>
      </c>
      <c r="N2375" s="1" t="s">
        <v>29</v>
      </c>
      <c r="O2375" s="1"/>
      <c r="P2375" s="11"/>
      <c r="Q2375" s="11"/>
      <c r="R2375" s="11"/>
      <c r="S2375" s="11"/>
      <c r="T2375" s="1"/>
      <c r="U2375" s="1"/>
      <c r="V2375" s="1"/>
      <c r="W2375" s="1"/>
      <c r="X2375" s="1"/>
      <c r="Y2375" s="1"/>
      <c r="Z2375" s="1"/>
    </row>
    <row r="2376" ht="18.0" customHeight="1" outlineLevel="1">
      <c r="A2376" s="1"/>
      <c r="B2376" s="26" t="s">
        <v>2341</v>
      </c>
      <c r="C2376" s="1"/>
      <c r="D2376" s="1"/>
      <c r="E2376" s="14"/>
      <c r="F2376" s="15"/>
      <c r="G2376" s="16"/>
      <c r="H2376" s="11"/>
      <c r="I2376" s="7"/>
      <c r="J2376" s="7" t="str">
        <f>IFERROR(LET(_xlpm.v,
VLOOKUP($I2376,'用語辞書'!$A:$B,COLUMN('用語辞書'!B$1),FALSE),
IF(_xlpm.v=0,"",_xlpm.v)
),"")</f>
        <v/>
      </c>
      <c r="K2376" s="17"/>
      <c r="L2376" s="17" t="str">
        <f>IF(OR(COUNTIF('クラス'!$A$1:$A$1262,$B2376)&gt;0,$B2376="",$M2376=""),"",True)</f>
        <v/>
      </c>
      <c r="M2376" s="1" t="str">
        <f t="shared" si="30"/>
        <v>存在しない</v>
      </c>
      <c r="N2376" s="1" t="s">
        <v>29</v>
      </c>
      <c r="O2376" s="1"/>
      <c r="P2376" s="11"/>
      <c r="Q2376" s="11"/>
      <c r="R2376" s="11"/>
      <c r="S2376" s="11"/>
      <c r="T2376" s="1"/>
      <c r="U2376" s="1"/>
      <c r="V2376" s="1"/>
      <c r="W2376" s="1"/>
      <c r="X2376" s="1"/>
      <c r="Y2376" s="1"/>
      <c r="Z2376" s="1"/>
    </row>
    <row r="2377" ht="18.0" hidden="1" customHeight="1" outlineLevel="2">
      <c r="A2377" s="1">
        <v>1.0</v>
      </c>
      <c r="B2377" s="26" t="s">
        <v>2224</v>
      </c>
      <c r="C2377" s="1"/>
      <c r="D2377" s="1"/>
      <c r="E2377" s="14"/>
      <c r="F2377" s="15"/>
      <c r="G2377" s="16"/>
      <c r="H2377" s="11"/>
      <c r="I2377" s="7"/>
      <c r="J2377" s="7" t="str">
        <f>IFERROR(LET(_xlpm.v,
VLOOKUP($I2377,'用語辞書'!$A:$B,COLUMN('用語辞書'!B$1),FALSE),
IF(_xlpm.v=0,"",_xlpm.v)
),"")</f>
        <v/>
      </c>
      <c r="K2377" s="17"/>
      <c r="L2377" s="17" t="str">
        <f>IF(OR(COUNTIF('クラス'!$A$1:$A$1262,$B2377)&gt;0,$B2377="",$M2377=""),"",True)</f>
        <v/>
      </c>
      <c r="M2377" s="1" t="str">
        <f t="shared" si="30"/>
        <v/>
      </c>
      <c r="N2377" s="1" t="s">
        <v>29</v>
      </c>
      <c r="O2377" s="1"/>
      <c r="P2377" s="11"/>
      <c r="Q2377" s="11"/>
      <c r="R2377" s="11"/>
      <c r="S2377" s="11"/>
      <c r="T2377" s="1"/>
      <c r="U2377" s="1"/>
      <c r="V2377" s="1"/>
      <c r="W2377" s="1"/>
      <c r="X2377" s="1"/>
      <c r="Y2377" s="1"/>
      <c r="Z2377" s="1"/>
    </row>
    <row r="2378" ht="18.0" hidden="1" customHeight="1" outlineLevel="2">
      <c r="A2378" s="1">
        <v>2.0</v>
      </c>
      <c r="B2378" s="1"/>
      <c r="C2378" s="1"/>
      <c r="D2378" s="1"/>
      <c r="E2378" s="14"/>
      <c r="F2378" s="15"/>
      <c r="G2378" s="16"/>
      <c r="H2378" s="11"/>
      <c r="I2378" s="7"/>
      <c r="J2378" s="7" t="str">
        <f>IFERROR(LET(_xlpm.v,
VLOOKUP($I2378,'用語辞書'!$A:$B,COLUMN('用語辞書'!B$1),FALSE),
IF(_xlpm.v=0,"",_xlpm.v)
),"")</f>
        <v/>
      </c>
      <c r="K2378" s="17"/>
      <c r="L2378" s="17" t="str">
        <f>IF(OR(COUNTIF('クラス'!$A$1:$A$1262,$B2378)&gt;0,$B2378="",$M2378=""),"",True)</f>
        <v/>
      </c>
      <c r="M2378" s="1" t="str">
        <f t="shared" si="30"/>
        <v>存在しない</v>
      </c>
      <c r="N2378" s="1" t="s">
        <v>29</v>
      </c>
      <c r="O2378" s="1"/>
      <c r="P2378" s="11"/>
      <c r="Q2378" s="11"/>
      <c r="R2378" s="11"/>
      <c r="S2378" s="11"/>
      <c r="T2378" s="1"/>
      <c r="U2378" s="1"/>
      <c r="V2378" s="1"/>
      <c r="W2378" s="1"/>
      <c r="X2378" s="1"/>
      <c r="Y2378" s="1"/>
      <c r="Z2378" s="1"/>
    </row>
    <row r="2379" ht="18.0" hidden="1" customHeight="1" outlineLevel="2">
      <c r="A2379" s="1">
        <v>3.0</v>
      </c>
      <c r="B2379" s="26" t="s">
        <v>898</v>
      </c>
      <c r="C2379" s="1"/>
      <c r="D2379" s="1"/>
      <c r="E2379" s="14"/>
      <c r="F2379" s="15"/>
      <c r="G2379" s="16"/>
      <c r="H2379" s="11"/>
      <c r="I2379" s="7"/>
      <c r="J2379" s="7" t="str">
        <f>IFERROR(LET(_xlpm.v,
VLOOKUP($I2379,'用語辞書'!$A:$B,COLUMN('用語辞書'!B$1),FALSE),
IF(_xlpm.v=0,"",_xlpm.v)
),"")</f>
        <v/>
      </c>
      <c r="K2379" s="17"/>
      <c r="L2379" s="17" t="str">
        <f>IF(OR(COUNTIF('クラス'!$A$1:$A$1262,$B2379)&gt;0,$B2379="",$M2379=""),"",True)</f>
        <v/>
      </c>
      <c r="M2379" s="1" t="str">
        <f t="shared" si="30"/>
        <v/>
      </c>
      <c r="N2379" s="1" t="s">
        <v>29</v>
      </c>
      <c r="O2379" s="1"/>
      <c r="P2379" s="11"/>
      <c r="Q2379" s="11"/>
      <c r="R2379" s="11"/>
      <c r="S2379" s="11"/>
      <c r="T2379" s="1"/>
      <c r="U2379" s="1"/>
      <c r="V2379" s="1"/>
      <c r="W2379" s="1"/>
      <c r="X2379" s="1"/>
      <c r="Y2379" s="1"/>
      <c r="Z2379" s="1"/>
    </row>
    <row r="2380" ht="18.0" hidden="1" customHeight="1" outlineLevel="2">
      <c r="A2380" s="1">
        <v>4.0</v>
      </c>
      <c r="B2380" s="1"/>
      <c r="C2380" s="1"/>
      <c r="D2380" s="1"/>
      <c r="E2380" s="14"/>
      <c r="F2380" s="15"/>
      <c r="G2380" s="16"/>
      <c r="H2380" s="11"/>
      <c r="I2380" s="7"/>
      <c r="J2380" s="7" t="str">
        <f>IFERROR(LET(_xlpm.v,
VLOOKUP($I2380,'用語辞書'!$A:$B,COLUMN('用語辞書'!B$1),FALSE),
IF(_xlpm.v=0,"",_xlpm.v)
),"")</f>
        <v/>
      </c>
      <c r="K2380" s="17"/>
      <c r="L2380" s="17" t="str">
        <f>IF(OR(COUNTIF('クラス'!$A$1:$A$1262,$B2380)&gt;0,$B2380="",$M2380=""),"",True)</f>
        <v/>
      </c>
      <c r="M2380" s="1" t="str">
        <f t="shared" si="30"/>
        <v>存在しない</v>
      </c>
      <c r="N2380" s="1" t="s">
        <v>29</v>
      </c>
      <c r="O2380" s="1"/>
      <c r="P2380" s="11"/>
      <c r="Q2380" s="11"/>
      <c r="R2380" s="11"/>
      <c r="S2380" s="11"/>
      <c r="T2380" s="1"/>
      <c r="U2380" s="1"/>
      <c r="V2380" s="1"/>
      <c r="W2380" s="1"/>
      <c r="X2380" s="1"/>
      <c r="Y2380" s="1"/>
      <c r="Z2380" s="1"/>
    </row>
    <row r="2381" ht="18.0" hidden="1" customHeight="1" outlineLevel="2">
      <c r="A2381" s="1">
        <v>5.0</v>
      </c>
      <c r="B2381" s="26" t="s">
        <v>1768</v>
      </c>
      <c r="C2381" s="1"/>
      <c r="D2381" s="1"/>
      <c r="E2381" s="14"/>
      <c r="F2381" s="15"/>
      <c r="G2381" s="16"/>
      <c r="H2381" s="11"/>
      <c r="I2381" s="7"/>
      <c r="J2381" s="7" t="str">
        <f>IFERROR(LET(_xlpm.v,
VLOOKUP($I2381,'用語辞書'!$A:$B,COLUMN('用語辞書'!B$1),FALSE),
IF(_xlpm.v=0,"",_xlpm.v)
),"")</f>
        <v/>
      </c>
      <c r="K2381" s="17"/>
      <c r="L2381" s="17" t="str">
        <f>IF(OR(COUNTIF('クラス'!$A$1:$A$1262,$B2381)&gt;0,$B2381="",$M2381=""),"",True)</f>
        <v/>
      </c>
      <c r="M2381" s="1" t="str">
        <f t="shared" si="30"/>
        <v/>
      </c>
      <c r="N2381" s="1" t="s">
        <v>29</v>
      </c>
      <c r="O2381" s="1"/>
      <c r="P2381" s="11"/>
      <c r="Q2381" s="11"/>
      <c r="R2381" s="11"/>
      <c r="S2381" s="11"/>
      <c r="T2381" s="1"/>
      <c r="U2381" s="1"/>
      <c r="V2381" s="1"/>
      <c r="W2381" s="1"/>
      <c r="X2381" s="1"/>
      <c r="Y2381" s="1"/>
      <c r="Z2381" s="1"/>
    </row>
    <row r="2382" ht="18.0" hidden="1" customHeight="1" outlineLevel="2">
      <c r="A2382" s="1">
        <v>6.0</v>
      </c>
      <c r="B2382" s="1"/>
      <c r="C2382" s="1"/>
      <c r="D2382" s="1"/>
      <c r="E2382" s="14"/>
      <c r="F2382" s="15"/>
      <c r="G2382" s="16"/>
      <c r="H2382" s="11"/>
      <c r="I2382" s="7"/>
      <c r="J2382" s="7" t="str">
        <f>IFERROR(LET(_xlpm.v,
VLOOKUP($I2382,'用語辞書'!$A:$B,COLUMN('用語辞書'!B$1),FALSE),
IF(_xlpm.v=0,"",_xlpm.v)
),"")</f>
        <v/>
      </c>
      <c r="K2382" s="17"/>
      <c r="L2382" s="17" t="str">
        <f>IF(OR(COUNTIF('クラス'!$A$1:$A$1262,$B2382)&gt;0,$B2382="",$M2382=""),"",True)</f>
        <v/>
      </c>
      <c r="M2382" s="1" t="str">
        <f t="shared" si="30"/>
        <v>存在しない</v>
      </c>
      <c r="N2382" s="1" t="s">
        <v>29</v>
      </c>
      <c r="O2382" s="1"/>
      <c r="P2382" s="11"/>
      <c r="Q2382" s="11"/>
      <c r="R2382" s="11"/>
      <c r="S2382" s="11"/>
      <c r="T2382" s="1"/>
      <c r="U2382" s="1"/>
      <c r="V2382" s="1"/>
      <c r="W2382" s="1"/>
      <c r="X2382" s="1"/>
      <c r="Y2382" s="1"/>
      <c r="Z2382" s="1"/>
    </row>
    <row r="2383" ht="18.0" hidden="1" customHeight="1" outlineLevel="2">
      <c r="A2383" s="1">
        <v>7.0</v>
      </c>
      <c r="B2383" s="26" t="s">
        <v>902</v>
      </c>
      <c r="C2383" s="1"/>
      <c r="D2383" s="1"/>
      <c r="E2383" s="14"/>
      <c r="F2383" s="15"/>
      <c r="G2383" s="16"/>
      <c r="H2383" s="11"/>
      <c r="I2383" s="7"/>
      <c r="J2383" s="7" t="str">
        <f>IFERROR(LET(_xlpm.v,
VLOOKUP($I2383,'用語辞書'!$A:$B,COLUMN('用語辞書'!B$1),FALSE),
IF(_xlpm.v=0,"",_xlpm.v)
),"")</f>
        <v/>
      </c>
      <c r="K2383" s="17"/>
      <c r="L2383" s="17" t="str">
        <f>IF(OR(COUNTIF('クラス'!$A$1:$A$1262,$B2383)&gt;0,$B2383="",$M2383=""),"",True)</f>
        <v/>
      </c>
      <c r="M2383" s="1" t="str">
        <f t="shared" si="30"/>
        <v/>
      </c>
      <c r="N2383" s="1" t="s">
        <v>29</v>
      </c>
      <c r="O2383" s="1"/>
      <c r="P2383" s="11"/>
      <c r="Q2383" s="11"/>
      <c r="R2383" s="11"/>
      <c r="S2383" s="11"/>
      <c r="T2383" s="1"/>
      <c r="U2383" s="1"/>
      <c r="V2383" s="1"/>
      <c r="W2383" s="1"/>
      <c r="X2383" s="1"/>
      <c r="Y2383" s="1"/>
      <c r="Z2383" s="1"/>
    </row>
    <row r="2384" ht="18.0" hidden="1" customHeight="1" outlineLevel="2">
      <c r="A2384" s="1">
        <v>8.0</v>
      </c>
      <c r="B2384" s="1"/>
      <c r="C2384" s="1"/>
      <c r="D2384" s="1"/>
      <c r="E2384" s="14"/>
      <c r="F2384" s="15"/>
      <c r="G2384" s="16"/>
      <c r="H2384" s="11"/>
      <c r="I2384" s="7"/>
      <c r="J2384" s="7" t="str">
        <f>IFERROR(LET(_xlpm.v,
VLOOKUP($I2384,'用語辞書'!$A:$B,COLUMN('用語辞書'!B$1),FALSE),
IF(_xlpm.v=0,"",_xlpm.v)
),"")</f>
        <v/>
      </c>
      <c r="K2384" s="17"/>
      <c r="L2384" s="17" t="str">
        <f>IF(OR(COUNTIF('クラス'!$A$1:$A$1262,$B2384)&gt;0,$B2384="",$M2384=""),"",True)</f>
        <v/>
      </c>
      <c r="M2384" s="1" t="str">
        <f t="shared" si="30"/>
        <v>存在しない</v>
      </c>
      <c r="N2384" s="1" t="s">
        <v>29</v>
      </c>
      <c r="O2384" s="1"/>
      <c r="P2384" s="11"/>
      <c r="Q2384" s="11"/>
      <c r="R2384" s="11"/>
      <c r="S2384" s="11"/>
      <c r="T2384" s="1"/>
      <c r="U2384" s="1"/>
      <c r="V2384" s="1"/>
      <c r="W2384" s="1"/>
      <c r="X2384" s="1"/>
      <c r="Y2384" s="1"/>
      <c r="Z2384" s="1"/>
    </row>
    <row r="2385" ht="18.0" hidden="1" customHeight="1" outlineLevel="2">
      <c r="A2385" s="1">
        <v>9.0</v>
      </c>
      <c r="B2385" s="26" t="s">
        <v>1772</v>
      </c>
      <c r="C2385" s="1"/>
      <c r="D2385" s="1"/>
      <c r="E2385" s="14"/>
      <c r="F2385" s="15"/>
      <c r="G2385" s="16"/>
      <c r="H2385" s="11"/>
      <c r="I2385" s="7"/>
      <c r="J2385" s="7" t="str">
        <f>IFERROR(LET(_xlpm.v,
VLOOKUP($I2385,'用語辞書'!$A:$B,COLUMN('用語辞書'!B$1),FALSE),
IF(_xlpm.v=0,"",_xlpm.v)
),"")</f>
        <v/>
      </c>
      <c r="K2385" s="17"/>
      <c r="L2385" s="17" t="str">
        <f>IF(OR(COUNTIF('クラス'!$A$1:$A$1262,$B2385)&gt;0,$B2385="",$M2385=""),"",True)</f>
        <v/>
      </c>
      <c r="M2385" s="1" t="str">
        <f t="shared" si="30"/>
        <v/>
      </c>
      <c r="N2385" s="1" t="s">
        <v>29</v>
      </c>
      <c r="O2385" s="1"/>
      <c r="P2385" s="11"/>
      <c r="Q2385" s="11"/>
      <c r="R2385" s="11"/>
      <c r="S2385" s="11"/>
      <c r="T2385" s="1"/>
      <c r="U2385" s="1"/>
      <c r="V2385" s="1"/>
      <c r="W2385" s="1"/>
      <c r="X2385" s="1"/>
      <c r="Y2385" s="1"/>
      <c r="Z2385" s="1"/>
    </row>
    <row r="2386" ht="18.0" hidden="1" customHeight="1" outlineLevel="2">
      <c r="A2386" s="1">
        <v>10.0</v>
      </c>
      <c r="B2386" s="26" t="s">
        <v>2342</v>
      </c>
      <c r="C2386" s="1"/>
      <c r="D2386" s="26" t="s">
        <v>908</v>
      </c>
      <c r="E2386" s="29" t="s">
        <v>33</v>
      </c>
      <c r="F2386" s="15"/>
      <c r="G2386" s="30">
        <v>60.0</v>
      </c>
      <c r="H2386" s="22" t="s">
        <v>2343</v>
      </c>
      <c r="I2386" s="7"/>
      <c r="J2386" s="7" t="str">
        <f>IFERROR(LET(_xlpm.v,
VLOOKUP($I2386,'用語辞書'!$A:$B,COLUMN('用語辞書'!B$1),FALSE),
IF(_xlpm.v=0,"",_xlpm.v)
),"")</f>
        <v/>
      </c>
      <c r="K2386" s="17"/>
      <c r="L2386" s="17" t="b">
        <f>IF(OR(COUNTIF('クラス'!$A$1:$A$1262,$B2386)&gt;0,$B2386="",$M2386=""),"",True)</f>
        <v>1</v>
      </c>
      <c r="M2386" s="1" t="str">
        <f t="shared" si="30"/>
        <v>存在しない</v>
      </c>
      <c r="N2386" s="1" t="s">
        <v>29</v>
      </c>
      <c r="O2386" s="1"/>
      <c r="P2386" s="11"/>
      <c r="Q2386" s="11"/>
      <c r="R2386" s="11"/>
      <c r="S2386" s="11"/>
      <c r="T2386" s="1"/>
      <c r="U2386" s="1"/>
      <c r="V2386" s="1"/>
      <c r="W2386" s="1"/>
      <c r="X2386" s="1"/>
      <c r="Y2386" s="1"/>
      <c r="Z2386" s="1"/>
    </row>
    <row r="2387" ht="18.0" customHeight="1" outlineLevel="1" collapsed="1">
      <c r="A2387" s="1"/>
      <c r="B2387" s="1"/>
      <c r="C2387" s="1"/>
      <c r="D2387" s="1"/>
      <c r="E2387" s="14"/>
      <c r="F2387" s="15"/>
      <c r="G2387" s="16"/>
      <c r="H2387" s="11"/>
      <c r="I2387" s="7"/>
      <c r="J2387" s="7" t="str">
        <f>IFERROR(LET(_xlpm.v,
VLOOKUP($I2387,'用語辞書'!$A:$B,COLUMN('用語辞書'!B$1),FALSE),
IF(_xlpm.v=0,"",_xlpm.v)
),"")</f>
        <v/>
      </c>
      <c r="K2387" s="17"/>
      <c r="L2387" s="17" t="str">
        <f>IF(OR(COUNTIF('クラス'!$A$1:$A$1262,$B2387)&gt;0,$B2387="",$M2387=""),"",True)</f>
        <v/>
      </c>
      <c r="M2387" s="1" t="str">
        <f t="shared" si="30"/>
        <v>存在しない</v>
      </c>
      <c r="N2387" s="1" t="s">
        <v>29</v>
      </c>
      <c r="O2387" s="1"/>
      <c r="P2387" s="11"/>
      <c r="Q2387" s="11"/>
      <c r="R2387" s="11"/>
      <c r="S2387" s="11"/>
      <c r="T2387" s="1"/>
      <c r="U2387" s="1"/>
      <c r="V2387" s="1"/>
      <c r="W2387" s="1"/>
      <c r="X2387" s="1"/>
      <c r="Y2387" s="1"/>
      <c r="Z2387" s="1"/>
    </row>
    <row r="2388" ht="18.0" customHeight="1" outlineLevel="1">
      <c r="A2388" s="1"/>
      <c r="B2388" s="26" t="s">
        <v>2344</v>
      </c>
      <c r="C2388" s="1"/>
      <c r="D2388" s="1"/>
      <c r="E2388" s="14"/>
      <c r="F2388" s="15"/>
      <c r="G2388" s="16"/>
      <c r="H2388" s="11"/>
      <c r="I2388" s="7"/>
      <c r="J2388" s="7" t="str">
        <f>IFERROR(LET(_xlpm.v,
VLOOKUP($I2388,'用語辞書'!$A:$B,COLUMN('用語辞書'!B$1),FALSE),
IF(_xlpm.v=0,"",_xlpm.v)
),"")</f>
        <v/>
      </c>
      <c r="K2388" s="17"/>
      <c r="L2388" s="17" t="str">
        <f>IF(OR(COUNTIF('クラス'!$A$1:$A$1262,$B2388)&gt;0,$B2388="",$M2388=""),"",True)</f>
        <v/>
      </c>
      <c r="M2388" s="1" t="str">
        <f t="shared" si="30"/>
        <v>存在しない</v>
      </c>
      <c r="N2388" s="1" t="s">
        <v>29</v>
      </c>
      <c r="O2388" s="1"/>
      <c r="P2388" s="11"/>
      <c r="Q2388" s="11"/>
      <c r="R2388" s="11"/>
      <c r="S2388" s="11"/>
      <c r="T2388" s="1"/>
      <c r="U2388" s="1"/>
      <c r="V2388" s="1"/>
      <c r="W2388" s="1"/>
      <c r="X2388" s="1"/>
      <c r="Y2388" s="1"/>
      <c r="Z2388" s="1"/>
    </row>
    <row r="2389" ht="18.0" hidden="1" customHeight="1" outlineLevel="2">
      <c r="A2389" s="1">
        <v>1.0</v>
      </c>
      <c r="B2389" s="26" t="s">
        <v>2229</v>
      </c>
      <c r="C2389" s="1"/>
      <c r="D2389" s="1"/>
      <c r="E2389" s="14"/>
      <c r="F2389" s="15"/>
      <c r="G2389" s="16"/>
      <c r="H2389" s="11"/>
      <c r="I2389" s="7"/>
      <c r="J2389" s="7" t="str">
        <f>IFERROR(LET(_xlpm.v,
VLOOKUP($I2389,'用語辞書'!$A:$B,COLUMN('用語辞書'!B$1),FALSE),
IF(_xlpm.v=0,"",_xlpm.v)
),"")</f>
        <v/>
      </c>
      <c r="K2389" s="17"/>
      <c r="L2389" s="17" t="str">
        <f>IF(OR(COUNTIF('クラス'!$A$1:$A$1262,$B2389)&gt;0,$B2389="",$M2389=""),"",True)</f>
        <v/>
      </c>
      <c r="M2389" s="1" t="str">
        <f t="shared" si="30"/>
        <v/>
      </c>
      <c r="N2389" s="1" t="s">
        <v>29</v>
      </c>
      <c r="O2389" s="1"/>
      <c r="P2389" s="11"/>
      <c r="Q2389" s="11"/>
      <c r="R2389" s="11"/>
      <c r="S2389" s="11"/>
      <c r="T2389" s="1"/>
      <c r="U2389" s="1"/>
      <c r="V2389" s="1"/>
      <c r="W2389" s="1"/>
      <c r="X2389" s="1"/>
      <c r="Y2389" s="1"/>
      <c r="Z2389" s="1"/>
    </row>
    <row r="2390" ht="18.0" hidden="1" customHeight="1" outlineLevel="2">
      <c r="A2390" s="1">
        <v>2.0</v>
      </c>
      <c r="B2390" s="1"/>
      <c r="C2390" s="1"/>
      <c r="D2390" s="1"/>
      <c r="E2390" s="14"/>
      <c r="F2390" s="15"/>
      <c r="G2390" s="16"/>
      <c r="H2390" s="11"/>
      <c r="I2390" s="7"/>
      <c r="J2390" s="7" t="str">
        <f>IFERROR(LET(_xlpm.v,
VLOOKUP($I2390,'用語辞書'!$A:$B,COLUMN('用語辞書'!B$1),FALSE),
IF(_xlpm.v=0,"",_xlpm.v)
),"")</f>
        <v/>
      </c>
      <c r="K2390" s="17"/>
      <c r="L2390" s="17" t="str">
        <f>IF(OR(COUNTIF('クラス'!$A$1:$A$1262,$B2390)&gt;0,$B2390="",$M2390=""),"",True)</f>
        <v/>
      </c>
      <c r="M2390" s="1" t="str">
        <f t="shared" si="30"/>
        <v>存在しない</v>
      </c>
      <c r="N2390" s="1" t="s">
        <v>29</v>
      </c>
      <c r="O2390" s="1"/>
      <c r="P2390" s="11"/>
      <c r="Q2390" s="11"/>
      <c r="R2390" s="11"/>
      <c r="S2390" s="11"/>
      <c r="T2390" s="1"/>
      <c r="U2390" s="1"/>
      <c r="V2390" s="1"/>
      <c r="W2390" s="1"/>
      <c r="X2390" s="1"/>
      <c r="Y2390" s="1"/>
      <c r="Z2390" s="1"/>
    </row>
    <row r="2391" ht="18.0" hidden="1" customHeight="1" outlineLevel="2">
      <c r="A2391" s="1">
        <v>3.0</v>
      </c>
      <c r="B2391" s="26" t="s">
        <v>966</v>
      </c>
      <c r="C2391" s="1"/>
      <c r="D2391" s="1"/>
      <c r="E2391" s="14"/>
      <c r="F2391" s="15"/>
      <c r="G2391" s="16"/>
      <c r="H2391" s="11"/>
      <c r="I2391" s="7"/>
      <c r="J2391" s="7" t="str">
        <f>IFERROR(LET(_xlpm.v,
VLOOKUP($I2391,'用語辞書'!$A:$B,COLUMN('用語辞書'!B$1),FALSE),
IF(_xlpm.v=0,"",_xlpm.v)
),"")</f>
        <v/>
      </c>
      <c r="K2391" s="17"/>
      <c r="L2391" s="17" t="str">
        <f>IF(OR(COUNTIF('クラス'!$A$1:$A$1262,$B2391)&gt;0,$B2391="",$M2391=""),"",True)</f>
        <v/>
      </c>
      <c r="M2391" s="1" t="str">
        <f t="shared" si="30"/>
        <v/>
      </c>
      <c r="N2391" s="1" t="s">
        <v>29</v>
      </c>
      <c r="O2391" s="1"/>
      <c r="P2391" s="11"/>
      <c r="Q2391" s="11"/>
      <c r="R2391" s="11"/>
      <c r="S2391" s="11"/>
      <c r="T2391" s="1"/>
      <c r="U2391" s="1"/>
      <c r="V2391" s="1"/>
      <c r="W2391" s="1"/>
      <c r="X2391" s="1"/>
      <c r="Y2391" s="1"/>
      <c r="Z2391" s="1"/>
    </row>
    <row r="2392" ht="18.0" hidden="1" customHeight="1" outlineLevel="2">
      <c r="A2392" s="1">
        <v>4.0</v>
      </c>
      <c r="B2392" s="1"/>
      <c r="C2392" s="1"/>
      <c r="D2392" s="1"/>
      <c r="E2392" s="14"/>
      <c r="F2392" s="15"/>
      <c r="G2392" s="16"/>
      <c r="H2392" s="11"/>
      <c r="I2392" s="7"/>
      <c r="J2392" s="7" t="str">
        <f>IFERROR(LET(_xlpm.v,
VLOOKUP($I2392,'用語辞書'!$A:$B,COLUMN('用語辞書'!B$1),FALSE),
IF(_xlpm.v=0,"",_xlpm.v)
),"")</f>
        <v/>
      </c>
      <c r="K2392" s="17"/>
      <c r="L2392" s="17" t="str">
        <f>IF(OR(COUNTIF('クラス'!$A$1:$A$1262,$B2392)&gt;0,$B2392="",$M2392=""),"",True)</f>
        <v/>
      </c>
      <c r="M2392" s="1" t="str">
        <f t="shared" si="30"/>
        <v>存在しない</v>
      </c>
      <c r="N2392" s="1" t="s">
        <v>29</v>
      </c>
      <c r="O2392" s="1"/>
      <c r="P2392" s="11"/>
      <c r="Q2392" s="11"/>
      <c r="R2392" s="11"/>
      <c r="S2392" s="11"/>
      <c r="T2392" s="1"/>
      <c r="U2392" s="1"/>
      <c r="V2392" s="1"/>
      <c r="W2392" s="1"/>
      <c r="X2392" s="1"/>
      <c r="Y2392" s="1"/>
      <c r="Z2392" s="1"/>
    </row>
    <row r="2393" ht="18.0" hidden="1" customHeight="1" outlineLevel="2">
      <c r="A2393" s="1">
        <v>5.0</v>
      </c>
      <c r="B2393" s="26" t="s">
        <v>1789</v>
      </c>
      <c r="C2393" s="1"/>
      <c r="D2393" s="1"/>
      <c r="E2393" s="14"/>
      <c r="F2393" s="15"/>
      <c r="G2393" s="16"/>
      <c r="H2393" s="11"/>
      <c r="I2393" s="7"/>
      <c r="J2393" s="7" t="str">
        <f>IFERROR(LET(_xlpm.v,
VLOOKUP($I2393,'用語辞書'!$A:$B,COLUMN('用語辞書'!B$1),FALSE),
IF(_xlpm.v=0,"",_xlpm.v)
),"")</f>
        <v/>
      </c>
      <c r="K2393" s="17"/>
      <c r="L2393" s="17" t="str">
        <f>IF(OR(COUNTIF('クラス'!$A$1:$A$1262,$B2393)&gt;0,$B2393="",$M2393=""),"",True)</f>
        <v/>
      </c>
      <c r="M2393" s="1" t="str">
        <f t="shared" si="30"/>
        <v/>
      </c>
      <c r="N2393" s="1" t="s">
        <v>29</v>
      </c>
      <c r="O2393" s="1"/>
      <c r="P2393" s="11"/>
      <c r="Q2393" s="11"/>
      <c r="R2393" s="11"/>
      <c r="S2393" s="11"/>
      <c r="T2393" s="1"/>
      <c r="U2393" s="1"/>
      <c r="V2393" s="1"/>
      <c r="W2393" s="1"/>
      <c r="X2393" s="1"/>
      <c r="Y2393" s="1"/>
      <c r="Z2393" s="1"/>
    </row>
    <row r="2394" ht="18.0" hidden="1" customHeight="1" outlineLevel="2">
      <c r="A2394" s="1">
        <v>6.0</v>
      </c>
      <c r="B2394" s="1"/>
      <c r="C2394" s="1"/>
      <c r="D2394" s="1"/>
      <c r="E2394" s="14"/>
      <c r="F2394" s="15"/>
      <c r="G2394" s="16"/>
      <c r="H2394" s="11"/>
      <c r="I2394" s="7"/>
      <c r="J2394" s="7" t="str">
        <f>IFERROR(LET(_xlpm.v,
VLOOKUP($I2394,'用語辞書'!$A:$B,COLUMN('用語辞書'!B$1),FALSE),
IF(_xlpm.v=0,"",_xlpm.v)
),"")</f>
        <v/>
      </c>
      <c r="K2394" s="17"/>
      <c r="L2394" s="17" t="str">
        <f>IF(OR(COUNTIF('クラス'!$A$1:$A$1262,$B2394)&gt;0,$B2394="",$M2394=""),"",True)</f>
        <v/>
      </c>
      <c r="M2394" s="1" t="str">
        <f t="shared" si="30"/>
        <v>存在しない</v>
      </c>
      <c r="N2394" s="1" t="s">
        <v>29</v>
      </c>
      <c r="O2394" s="1"/>
      <c r="P2394" s="11"/>
      <c r="Q2394" s="11"/>
      <c r="R2394" s="11"/>
      <c r="S2394" s="11"/>
      <c r="T2394" s="1"/>
      <c r="U2394" s="1"/>
      <c r="V2394" s="1"/>
      <c r="W2394" s="1"/>
      <c r="X2394" s="1"/>
      <c r="Y2394" s="1"/>
      <c r="Z2394" s="1"/>
    </row>
    <row r="2395" ht="18.0" hidden="1" customHeight="1" outlineLevel="2">
      <c r="A2395" s="1">
        <v>7.0</v>
      </c>
      <c r="B2395" s="26" t="s">
        <v>978</v>
      </c>
      <c r="C2395" s="1"/>
      <c r="D2395" s="1"/>
      <c r="E2395" s="14"/>
      <c r="F2395" s="15"/>
      <c r="G2395" s="16"/>
      <c r="H2395" s="11"/>
      <c r="I2395" s="7"/>
      <c r="J2395" s="7" t="str">
        <f>IFERROR(LET(_xlpm.v,
VLOOKUP($I2395,'用語辞書'!$A:$B,COLUMN('用語辞書'!B$1),FALSE),
IF(_xlpm.v=0,"",_xlpm.v)
),"")</f>
        <v/>
      </c>
      <c r="K2395" s="17"/>
      <c r="L2395" s="17" t="str">
        <f>IF(OR(COUNTIF('クラス'!$A$1:$A$1262,$B2395)&gt;0,$B2395="",$M2395=""),"",True)</f>
        <v/>
      </c>
      <c r="M2395" s="1" t="str">
        <f t="shared" si="30"/>
        <v/>
      </c>
      <c r="N2395" s="1" t="s">
        <v>29</v>
      </c>
      <c r="O2395" s="1"/>
      <c r="P2395" s="11"/>
      <c r="Q2395" s="11"/>
      <c r="R2395" s="11"/>
      <c r="S2395" s="11"/>
      <c r="T2395" s="1"/>
      <c r="U2395" s="1"/>
      <c r="V2395" s="1"/>
      <c r="W2395" s="1"/>
      <c r="X2395" s="1"/>
      <c r="Y2395" s="1"/>
      <c r="Z2395" s="1"/>
    </row>
    <row r="2396" ht="18.0" hidden="1" customHeight="1" outlineLevel="2">
      <c r="A2396" s="1">
        <v>8.0</v>
      </c>
      <c r="B2396" s="1"/>
      <c r="C2396" s="1"/>
      <c r="D2396" s="1"/>
      <c r="E2396" s="14"/>
      <c r="F2396" s="15"/>
      <c r="G2396" s="16"/>
      <c r="H2396" s="11"/>
      <c r="I2396" s="7"/>
      <c r="J2396" s="7" t="str">
        <f>IFERROR(LET(_xlpm.v,
VLOOKUP($I2396,'用語辞書'!$A:$B,COLUMN('用語辞書'!B$1),FALSE),
IF(_xlpm.v=0,"",_xlpm.v)
),"")</f>
        <v/>
      </c>
      <c r="K2396" s="17"/>
      <c r="L2396" s="17" t="str">
        <f>IF(OR(COUNTIF('クラス'!$A$1:$A$1262,$B2396)&gt;0,$B2396="",$M2396=""),"",True)</f>
        <v/>
      </c>
      <c r="M2396" s="1" t="str">
        <f t="shared" si="30"/>
        <v>存在しない</v>
      </c>
      <c r="N2396" s="1" t="s">
        <v>29</v>
      </c>
      <c r="O2396" s="1"/>
      <c r="P2396" s="11"/>
      <c r="Q2396" s="11"/>
      <c r="R2396" s="11"/>
      <c r="S2396" s="11"/>
      <c r="T2396" s="1"/>
      <c r="U2396" s="1"/>
      <c r="V2396" s="1"/>
      <c r="W2396" s="1"/>
      <c r="X2396" s="1"/>
      <c r="Y2396" s="1"/>
      <c r="Z2396" s="1"/>
    </row>
    <row r="2397" ht="18.0" hidden="1" customHeight="1" outlineLevel="2">
      <c r="A2397" s="1">
        <v>9.0</v>
      </c>
      <c r="B2397" s="26" t="s">
        <v>1793</v>
      </c>
      <c r="C2397" s="1"/>
      <c r="D2397" s="1"/>
      <c r="E2397" s="14"/>
      <c r="F2397" s="15"/>
      <c r="G2397" s="16"/>
      <c r="H2397" s="11"/>
      <c r="I2397" s="7"/>
      <c r="J2397" s="7" t="str">
        <f>IFERROR(LET(_xlpm.v,
VLOOKUP($I2397,'用語辞書'!$A:$B,COLUMN('用語辞書'!B$1),FALSE),
IF(_xlpm.v=0,"",_xlpm.v)
),"")</f>
        <v/>
      </c>
      <c r="K2397" s="17"/>
      <c r="L2397" s="17" t="str">
        <f>IF(OR(COUNTIF('クラス'!$A$1:$A$1262,$B2397)&gt;0,$B2397="",$M2397=""),"",True)</f>
        <v/>
      </c>
      <c r="M2397" s="1" t="str">
        <f t="shared" si="30"/>
        <v/>
      </c>
      <c r="N2397" s="1" t="s">
        <v>29</v>
      </c>
      <c r="O2397" s="1"/>
      <c r="P2397" s="11"/>
      <c r="Q2397" s="11"/>
      <c r="R2397" s="11"/>
      <c r="S2397" s="11"/>
      <c r="T2397" s="1"/>
      <c r="U2397" s="1"/>
      <c r="V2397" s="1"/>
      <c r="W2397" s="1"/>
      <c r="X2397" s="1"/>
      <c r="Y2397" s="1"/>
      <c r="Z2397" s="1"/>
    </row>
    <row r="2398" ht="18.0" hidden="1" customHeight="1" outlineLevel="2">
      <c r="A2398" s="1">
        <v>10.0</v>
      </c>
      <c r="B2398" s="26" t="s">
        <v>2345</v>
      </c>
      <c r="C2398" s="1"/>
      <c r="D2398" s="26" t="s">
        <v>965</v>
      </c>
      <c r="E2398" s="29" t="s">
        <v>33</v>
      </c>
      <c r="F2398" s="15"/>
      <c r="G2398" s="30">
        <v>60.0</v>
      </c>
      <c r="H2398" s="22" t="s">
        <v>2346</v>
      </c>
      <c r="I2398" s="7"/>
      <c r="J2398" s="7" t="str">
        <f>IFERROR(LET(_xlpm.v,
VLOOKUP($I2398,'用語辞書'!$A:$B,COLUMN('用語辞書'!B$1),FALSE),
IF(_xlpm.v=0,"",_xlpm.v)
),"")</f>
        <v/>
      </c>
      <c r="K2398" s="17"/>
      <c r="L2398" s="17" t="b">
        <f>IF(OR(COUNTIF('クラス'!$A$1:$A$1262,$B2398)&gt;0,$B2398="",$M2398=""),"",True)</f>
        <v>1</v>
      </c>
      <c r="M2398" s="1" t="str">
        <f t="shared" si="30"/>
        <v>存在しない</v>
      </c>
      <c r="N2398" s="1" t="s">
        <v>29</v>
      </c>
      <c r="O2398" s="1"/>
      <c r="P2398" s="11"/>
      <c r="Q2398" s="11"/>
      <c r="R2398" s="11"/>
      <c r="S2398" s="11"/>
      <c r="T2398" s="1"/>
      <c r="U2398" s="1"/>
      <c r="V2398" s="1"/>
      <c r="W2398" s="1"/>
      <c r="X2398" s="1"/>
      <c r="Y2398" s="1"/>
      <c r="Z2398" s="1"/>
    </row>
    <row r="2399" ht="18.0" customHeight="1" collapsed="1">
      <c r="A2399" s="1"/>
      <c r="B2399" s="1"/>
      <c r="C2399" s="26" t="s">
        <v>2347</v>
      </c>
      <c r="D2399" s="1"/>
      <c r="E2399" s="14"/>
      <c r="F2399" s="15"/>
      <c r="G2399" s="16"/>
      <c r="H2399" s="11"/>
      <c r="I2399" s="7"/>
      <c r="J2399" s="7" t="str">
        <f>IFERROR(LET(_xlpm.v,
VLOOKUP($I2399,'用語辞書'!$A:$B,COLUMN('用語辞書'!B$1),FALSE),
IF(_xlpm.v=0,"",_xlpm.v)
),"")</f>
        <v/>
      </c>
      <c r="K2399" s="17"/>
      <c r="L2399" s="17" t="str">
        <f>IF(OR(COUNTIF('クラス'!$A$1:$A$1262,$B2399)&gt;0,$B2399="",$M2399=""),"",True)</f>
        <v/>
      </c>
      <c r="M2399" s="1" t="str">
        <f t="shared" si="30"/>
        <v>存在しない</v>
      </c>
      <c r="N2399" s="1" t="s">
        <v>29</v>
      </c>
      <c r="O2399" s="1"/>
      <c r="P2399" s="11"/>
      <c r="Q2399" s="11"/>
      <c r="R2399" s="11"/>
      <c r="S2399" s="11"/>
      <c r="T2399" s="1"/>
      <c r="U2399" s="1"/>
      <c r="V2399" s="1"/>
      <c r="W2399" s="1"/>
      <c r="X2399" s="1"/>
      <c r="Y2399" s="1"/>
      <c r="Z2399" s="1"/>
    </row>
    <row r="2400" ht="18.0" customHeight="1">
      <c r="A2400" s="1"/>
      <c r="B2400" s="26" t="s">
        <v>2348</v>
      </c>
      <c r="C2400" s="1"/>
      <c r="D2400" s="1"/>
      <c r="E2400" s="14"/>
      <c r="F2400" s="15"/>
      <c r="G2400" s="16"/>
      <c r="H2400" s="11"/>
      <c r="I2400" s="7"/>
      <c r="J2400" s="7" t="str">
        <f>IFERROR(LET(_xlpm.v,
VLOOKUP($I2400,'用語辞書'!$A:$B,COLUMN('用語辞書'!B$1),FALSE),
IF(_xlpm.v=0,"",_xlpm.v)
),"")</f>
        <v/>
      </c>
      <c r="K2400" s="17"/>
      <c r="L2400" s="17" t="str">
        <f>IF(OR(COUNTIF('クラス'!$A$1:$A$1262,$B2400)&gt;0,$B2400="",$M2400=""),"",True)</f>
        <v/>
      </c>
      <c r="M2400" s="1" t="str">
        <f t="shared" si="30"/>
        <v>存在しない</v>
      </c>
      <c r="N2400" s="1" t="s">
        <v>29</v>
      </c>
      <c r="O2400" s="1"/>
      <c r="P2400" s="11"/>
      <c r="Q2400" s="11"/>
      <c r="R2400" s="11"/>
      <c r="S2400" s="11"/>
      <c r="T2400" s="1"/>
      <c r="U2400" s="1"/>
      <c r="V2400" s="1"/>
      <c r="W2400" s="1"/>
      <c r="X2400" s="1"/>
      <c r="Y2400" s="1"/>
      <c r="Z2400" s="1"/>
    </row>
    <row r="2401" ht="18.0" hidden="1" customHeight="1" outlineLevel="1">
      <c r="A2401" s="1">
        <v>1.0</v>
      </c>
      <c r="B2401" s="26" t="s">
        <v>1103</v>
      </c>
      <c r="C2401" s="1"/>
      <c r="D2401" s="1"/>
      <c r="E2401" s="14"/>
      <c r="F2401" s="15"/>
      <c r="G2401" s="16"/>
      <c r="H2401" s="11"/>
      <c r="I2401" s="7"/>
      <c r="J2401" s="7" t="str">
        <f>IFERROR(LET(_xlpm.v,
VLOOKUP($I2401,'用語辞書'!$A:$B,COLUMN('用語辞書'!B$1),FALSE),
IF(_xlpm.v=0,"",_xlpm.v)
),"")</f>
        <v/>
      </c>
      <c r="K2401" s="17"/>
      <c r="L2401" s="17" t="str">
        <f>IF(OR(COUNTIF('クラス'!$A$1:$A$1262,$B2401)&gt;0,$B2401="",$M2401=""),"",True)</f>
        <v/>
      </c>
      <c r="M2401" s="1" t="str">
        <f t="shared" si="30"/>
        <v/>
      </c>
      <c r="N2401" s="1" t="s">
        <v>29</v>
      </c>
      <c r="O2401" s="1"/>
      <c r="P2401" s="11"/>
      <c r="Q2401" s="11"/>
      <c r="R2401" s="11"/>
      <c r="S2401" s="11"/>
      <c r="T2401" s="1"/>
      <c r="U2401" s="1"/>
      <c r="V2401" s="1"/>
      <c r="W2401" s="1"/>
      <c r="X2401" s="1"/>
      <c r="Y2401" s="1"/>
      <c r="Z2401" s="1"/>
    </row>
    <row r="2402" ht="18.0" hidden="1" customHeight="1" outlineLevel="1">
      <c r="A2402" s="1">
        <v>2.0</v>
      </c>
      <c r="B2402" s="26" t="s">
        <v>1132</v>
      </c>
      <c r="C2402" s="1"/>
      <c r="D2402" s="1"/>
      <c r="E2402" s="14"/>
      <c r="F2402" s="15"/>
      <c r="G2402" s="16"/>
      <c r="H2402" s="11"/>
      <c r="I2402" s="7"/>
      <c r="J2402" s="7" t="str">
        <f>IFERROR(LET(_xlpm.v,
VLOOKUP($I2402,'用語辞書'!$A:$B,COLUMN('用語辞書'!B$1),FALSE),
IF(_xlpm.v=0,"",_xlpm.v)
),"")</f>
        <v/>
      </c>
      <c r="K2402" s="17"/>
      <c r="L2402" s="17" t="str">
        <f>IF(OR(COUNTIF('クラス'!$A$1:$A$1262,$B2402)&gt;0,$B2402="",$M2402=""),"",True)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3.0</v>
      </c>
      <c r="B2403" s="26" t="s">
        <v>1125</v>
      </c>
      <c r="C2403" s="1"/>
      <c r="D2403" s="1"/>
      <c r="E2403" s="14"/>
      <c r="F2403" s="15"/>
      <c r="G2403" s="16"/>
      <c r="H2403" s="11"/>
      <c r="I2403" s="7"/>
      <c r="J2403" s="7" t="str">
        <f>IFERROR(LET(_xlpm.v,
VLOOKUP($I2403,'用語辞書'!$A:$B,COLUMN('用語辞書'!B$1),FALSE),
IF(_xlpm.v=0,"",_xlpm.v)
),"")</f>
        <v/>
      </c>
      <c r="K2403" s="17"/>
      <c r="L2403" s="17" t="str">
        <f>IF(OR(COUNTIF('クラス'!$A$1:$A$1262,$B2403)&gt;0,$B2403="",$M2403=""),"",True)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4.0</v>
      </c>
      <c r="B2404" s="26" t="s">
        <v>1111</v>
      </c>
      <c r="C2404" s="1"/>
      <c r="D2404" s="1"/>
      <c r="E2404" s="14"/>
      <c r="F2404" s="15"/>
      <c r="G2404" s="16"/>
      <c r="H2404" s="11"/>
      <c r="I2404" s="7"/>
      <c r="J2404" s="7" t="str">
        <f>IFERROR(LET(_xlpm.v,
VLOOKUP($I2404,'用語辞書'!$A:$B,COLUMN('用語辞書'!B$1),FALSE),
IF(_xlpm.v=0,"",_xlpm.v)
),"")</f>
        <v/>
      </c>
      <c r="K2404" s="17"/>
      <c r="L2404" s="17" t="str">
        <f>IF(OR(COUNTIF('クラス'!$A$1:$A$1262,$B2404)&gt;0,$B2404="",$M2404=""),"",True)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5.0</v>
      </c>
      <c r="B2405" s="26" t="s">
        <v>1500</v>
      </c>
      <c r="C2405" s="1"/>
      <c r="D2405" s="1"/>
      <c r="E2405" s="14"/>
      <c r="F2405" s="15"/>
      <c r="G2405" s="16"/>
      <c r="H2405" s="11"/>
      <c r="I2405" s="7"/>
      <c r="J2405" s="7" t="str">
        <f>IFERROR(LET(_xlpm.v,
VLOOKUP($I2405,'用語辞書'!$A:$B,COLUMN('用語辞書'!B$1),FALSE),
IF(_xlpm.v=0,"",_xlpm.v)
),"")</f>
        <v/>
      </c>
      <c r="K2405" s="17"/>
      <c r="L2405" s="17" t="str">
        <f>IF(OR(COUNTIF('クラス'!$A$1:$A$1262,$B2405)&gt;0,$B2405="",$M2405=""),"",True)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6.0</v>
      </c>
      <c r="B2406" s="1"/>
      <c r="C2406" s="1"/>
      <c r="D2406" s="1"/>
      <c r="E2406" s="14"/>
      <c r="F2406" s="15"/>
      <c r="G2406" s="16"/>
      <c r="H2406" s="11"/>
      <c r="I2406" s="7"/>
      <c r="J2406" s="7" t="str">
        <f>IFERROR(LET(_xlpm.v,
VLOOKUP($I2406,'用語辞書'!$A:$B,COLUMN('用語辞書'!B$1),FALSE),
IF(_xlpm.v=0,"",_xlpm.v)
),"")</f>
        <v/>
      </c>
      <c r="K2406" s="17"/>
      <c r="L2406" s="17" t="str">
        <f>IF(OR(COUNTIF('クラス'!$A$1:$A$1262,$B2406)&gt;0,$B2406="",$M2406=""),"",True)</f>
        <v/>
      </c>
      <c r="M2406" s="1" t="str">
        <f t="shared" si="30"/>
        <v>存在しない</v>
      </c>
      <c r="N2406" s="1" t="s">
        <v>29</v>
      </c>
      <c r="O2406" s="1"/>
      <c r="P2406" s="11"/>
      <c r="Q2406" s="11"/>
      <c r="R2406" s="11"/>
      <c r="S2406" s="11"/>
      <c r="T2406" s="1"/>
      <c r="U2406" s="1"/>
      <c r="V2406" s="1"/>
      <c r="W2406" s="1"/>
      <c r="X2406" s="1"/>
      <c r="Y2406" s="1"/>
      <c r="Z2406" s="1"/>
    </row>
    <row r="2407" ht="18.0" hidden="1" customHeight="1" outlineLevel="1">
      <c r="A2407" s="1">
        <v>7.0</v>
      </c>
      <c r="B2407" s="26" t="s">
        <v>1116</v>
      </c>
      <c r="C2407" s="1"/>
      <c r="D2407" s="1"/>
      <c r="E2407" s="14"/>
      <c r="F2407" s="15"/>
      <c r="G2407" s="16"/>
      <c r="H2407" s="11"/>
      <c r="I2407" s="7"/>
      <c r="J2407" s="7" t="str">
        <f>IFERROR(LET(_xlpm.v,
VLOOKUP($I2407,'用語辞書'!$A:$B,COLUMN('用語辞書'!B$1),FALSE),
IF(_xlpm.v=0,"",_xlpm.v)
),"")</f>
        <v/>
      </c>
      <c r="K2407" s="17"/>
      <c r="L2407" s="17" t="str">
        <f>IF(OR(COUNTIF('クラス'!$A$1:$A$1262,$B2407)&gt;0,$B2407="",$M2407=""),"",True)</f>
        <v/>
      </c>
      <c r="M2407" s="1" t="str">
        <f t="shared" si="30"/>
        <v/>
      </c>
      <c r="N2407" s="1" t="s">
        <v>29</v>
      </c>
      <c r="O2407" s="1"/>
      <c r="P2407" s="11"/>
      <c r="Q2407" s="11"/>
      <c r="R2407" s="11"/>
      <c r="S2407" s="11"/>
      <c r="T2407" s="1"/>
      <c r="U2407" s="1"/>
      <c r="V2407" s="1"/>
      <c r="W2407" s="1"/>
      <c r="X2407" s="1"/>
      <c r="Y2407" s="1"/>
      <c r="Z2407" s="1"/>
    </row>
    <row r="2408" ht="18.0" hidden="1" customHeight="1" outlineLevel="1">
      <c r="A2408" s="1">
        <v>8.0</v>
      </c>
      <c r="B2408" s="1"/>
      <c r="C2408" s="1"/>
      <c r="D2408" s="1"/>
      <c r="E2408" s="14"/>
      <c r="F2408" s="15"/>
      <c r="G2408" s="16"/>
      <c r="H2408" s="11"/>
      <c r="I2408" s="7"/>
      <c r="J2408" s="7" t="str">
        <f>IFERROR(LET(_xlpm.v,
VLOOKUP($I2408,'用語辞書'!$A:$B,COLUMN('用語辞書'!B$1),FALSE),
IF(_xlpm.v=0,"",_xlpm.v)
),"")</f>
        <v/>
      </c>
      <c r="K2408" s="17"/>
      <c r="L2408" s="17" t="str">
        <f>IF(OR(COUNTIF('クラス'!$A$1:$A$1262,$B2408)&gt;0,$B2408="",$M2408=""),"",True)</f>
        <v/>
      </c>
      <c r="M2408" s="1" t="str">
        <f t="shared" si="30"/>
        <v>存在しない</v>
      </c>
      <c r="N2408" s="1" t="s">
        <v>29</v>
      </c>
      <c r="O2408" s="1"/>
      <c r="P2408" s="11"/>
      <c r="Q2408" s="11"/>
      <c r="R2408" s="11"/>
      <c r="S2408" s="11"/>
      <c r="T2408" s="1"/>
      <c r="U2408" s="1"/>
      <c r="V2408" s="1"/>
      <c r="W2408" s="1"/>
      <c r="X2408" s="1"/>
      <c r="Y2408" s="1"/>
      <c r="Z2408" s="1"/>
    </row>
    <row r="2409" ht="18.0" hidden="1" customHeight="1" outlineLevel="1">
      <c r="A2409" s="1">
        <v>9.0</v>
      </c>
      <c r="B2409" s="1"/>
      <c r="C2409" s="1"/>
      <c r="D2409" s="1"/>
      <c r="E2409" s="14"/>
      <c r="F2409" s="15"/>
      <c r="G2409" s="16"/>
      <c r="H2409" s="11"/>
      <c r="I2409" s="7"/>
      <c r="J2409" s="7" t="str">
        <f>IFERROR(LET(_xlpm.v,
VLOOKUP($I2409,'用語辞書'!$A:$B,COLUMN('用語辞書'!B$1),FALSE),
IF(_xlpm.v=0,"",_xlpm.v)
),"")</f>
        <v/>
      </c>
      <c r="K2409" s="17"/>
      <c r="L2409" s="17" t="str">
        <f>IF(OR(COUNTIF('クラス'!$A$1:$A$1262,$B2409)&gt;0,$B2409="",$M2409=""),"",True)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10.0</v>
      </c>
      <c r="B2410" s="26" t="s">
        <v>2349</v>
      </c>
      <c r="C2410" s="26" t="s">
        <v>29</v>
      </c>
      <c r="D2410" s="26" t="s">
        <v>29</v>
      </c>
      <c r="E2410" s="29" t="s">
        <v>55</v>
      </c>
      <c r="F2410" s="34" t="s">
        <v>29</v>
      </c>
      <c r="G2410" s="30" t="s">
        <v>29</v>
      </c>
      <c r="H2410" s="22" t="s">
        <v>2350</v>
      </c>
      <c r="I2410" s="7"/>
      <c r="J2410" s="7" t="str">
        <f>IFERROR(LET(_xlpm.v,
VLOOKUP($I2410,'用語辞書'!$A:$B,COLUMN('用語辞書'!B$1),FALSE),
IF(_xlpm.v=0,"",_xlpm.v)
),"")</f>
        <v/>
      </c>
      <c r="K2410" s="17"/>
      <c r="L2410" s="17" t="b">
        <f>IF(OR(COUNTIF('クラス'!$A$1:$A$1262,$B2410)&gt;0,$B2410="",$M2410=""),"",True)</f>
        <v>1</v>
      </c>
      <c r="M2410" s="1" t="str">
        <f t="shared" si="30"/>
        <v>存在しない</v>
      </c>
      <c r="N2410" s="1" t="s">
        <v>29</v>
      </c>
      <c r="O2410" s="1"/>
      <c r="P2410" s="11"/>
      <c r="Q2410" s="11"/>
      <c r="R2410" s="11"/>
      <c r="S2410" s="11"/>
      <c r="T2410" s="1"/>
      <c r="U2410" s="1"/>
      <c r="V2410" s="1"/>
      <c r="W2410" s="1"/>
      <c r="X2410" s="1"/>
      <c r="Y2410" s="1"/>
      <c r="Z2410" s="1"/>
    </row>
    <row r="2411" ht="18.0" customHeight="1" collapsed="1">
      <c r="A2411" s="1"/>
      <c r="B2411" s="1"/>
      <c r="C2411" s="1"/>
      <c r="D2411" s="1"/>
      <c r="E2411" s="14"/>
      <c r="F2411" s="15"/>
      <c r="G2411" s="16"/>
      <c r="H2411" s="11"/>
      <c r="I2411" s="7"/>
      <c r="J2411" s="7" t="str">
        <f>IFERROR(LET(_xlpm.v,
VLOOKUP($I2411,'用語辞書'!$A:$B,COLUMN('用語辞書'!B$1),FALSE),
IF(_xlpm.v=0,"",_xlpm.v)
),"")</f>
        <v/>
      </c>
      <c r="K2411" s="17"/>
      <c r="L2411" s="17" t="str">
        <f>IF(OR(COUNTIF('クラス'!$A$1:$A$1262,$B2411)&gt;0,$B2411="",$M2411=""),"",True)</f>
        <v/>
      </c>
      <c r="M2411" s="1" t="str">
        <f t="shared" si="30"/>
        <v>存在しない</v>
      </c>
      <c r="N2411" s="1" t="s">
        <v>29</v>
      </c>
      <c r="O2411" s="1"/>
      <c r="P2411" s="11"/>
      <c r="Q2411" s="11"/>
      <c r="R2411" s="11"/>
      <c r="S2411" s="11"/>
      <c r="T2411" s="1"/>
      <c r="U2411" s="1"/>
      <c r="V2411" s="1"/>
      <c r="W2411" s="1"/>
      <c r="X2411" s="1"/>
      <c r="Y2411" s="1"/>
      <c r="Z2411" s="1"/>
    </row>
    <row r="2412" ht="18.0" customHeight="1">
      <c r="A2412" s="1"/>
      <c r="B2412" s="26" t="s">
        <v>2351</v>
      </c>
      <c r="C2412" s="1"/>
      <c r="D2412" s="1"/>
      <c r="E2412" s="14"/>
      <c r="F2412" s="15"/>
      <c r="G2412" s="16"/>
      <c r="H2412" s="11"/>
      <c r="I2412" s="7"/>
      <c r="J2412" s="7" t="str">
        <f>IFERROR(LET(_xlpm.v,
VLOOKUP($I2412,'用語辞書'!$A:$B,COLUMN('用語辞書'!B$1),FALSE),
IF(_xlpm.v=0,"",_xlpm.v)
),"")</f>
        <v/>
      </c>
      <c r="K2412" s="17"/>
      <c r="L2412" s="17" t="str">
        <f>IF(OR(COUNTIF('クラス'!$A$1:$A$1262,$B2412)&gt;0,$B2412="",$M2412=""),"",True)</f>
        <v/>
      </c>
      <c r="M2412" s="1" t="str">
        <f t="shared" si="30"/>
        <v>存在しない</v>
      </c>
      <c r="N2412" s="1" t="s">
        <v>29</v>
      </c>
      <c r="O2412" s="1"/>
      <c r="P2412" s="11"/>
      <c r="Q2412" s="11"/>
      <c r="R2412" s="11"/>
      <c r="S2412" s="11"/>
      <c r="T2412" s="1"/>
      <c r="U2412" s="1"/>
      <c r="V2412" s="1"/>
      <c r="W2412" s="1"/>
      <c r="X2412" s="1"/>
      <c r="Y2412" s="1"/>
      <c r="Z2412" s="1"/>
    </row>
    <row r="2413" ht="18.0" hidden="1" customHeight="1" outlineLevel="1">
      <c r="A2413" s="1">
        <v>1.0</v>
      </c>
      <c r="B2413" s="26" t="s">
        <v>2352</v>
      </c>
      <c r="C2413" s="26" t="s">
        <v>29</v>
      </c>
      <c r="D2413" s="26" t="s">
        <v>29</v>
      </c>
      <c r="E2413" s="29" t="s">
        <v>33</v>
      </c>
      <c r="F2413" s="34" t="s">
        <v>29</v>
      </c>
      <c r="G2413" s="30">
        <v>50.0</v>
      </c>
      <c r="H2413" s="22" t="s">
        <v>2353</v>
      </c>
      <c r="I2413" s="7"/>
      <c r="J2413" s="7" t="str">
        <f>IFERROR(LET(_xlpm.v,
VLOOKUP($I2413,'用語辞書'!$A:$B,COLUMN('用語辞書'!B$1),FALSE),
IF(_xlpm.v=0,"",_xlpm.v)
),"")</f>
        <v/>
      </c>
      <c r="K2413" s="17"/>
      <c r="L2413" s="17" t="b">
        <f>IF(OR(COUNTIF('クラス'!$A$1:$A$1262,$B2413)&gt;0,$B2413="",$M2413=""),"",True)</f>
        <v>1</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2.0</v>
      </c>
      <c r="B2414" s="26" t="s">
        <v>29</v>
      </c>
      <c r="C2414" s="1"/>
      <c r="D2414" s="1"/>
      <c r="E2414" s="14"/>
      <c r="F2414" s="15"/>
      <c r="G2414" s="16"/>
      <c r="H2414" s="11"/>
      <c r="I2414" s="7"/>
      <c r="J2414" s="7" t="str">
        <f>IFERROR(LET(_xlpm.v,
VLOOKUP($I2414,'用語辞書'!$A:$B,COLUMN('用語辞書'!B$1),FALSE),
IF(_xlpm.v=0,"",_xlpm.v)
),"")</f>
        <v/>
      </c>
      <c r="K2414" s="17"/>
      <c r="L2414" s="17" t="str">
        <f>IF(OR(COUNTIF('クラス'!$A$1:$A$1262,$B2414)&gt;0,$B2414="",$M2414=""),"",True)</f>
        <v/>
      </c>
      <c r="M2414" s="1" t="str">
        <f t="shared" si="30"/>
        <v/>
      </c>
      <c r="N2414" s="1" t="s">
        <v>29</v>
      </c>
      <c r="O2414" s="1"/>
      <c r="P2414" s="11"/>
      <c r="Q2414" s="11"/>
      <c r="R2414" s="11"/>
      <c r="S2414" s="11"/>
      <c r="T2414" s="1"/>
      <c r="U2414" s="1"/>
      <c r="V2414" s="1"/>
      <c r="W2414" s="1"/>
      <c r="X2414" s="1"/>
      <c r="Y2414" s="1"/>
      <c r="Z2414" s="1"/>
    </row>
    <row r="2415" ht="18.0" hidden="1" customHeight="1" outlineLevel="1">
      <c r="A2415" s="1">
        <v>3.0</v>
      </c>
      <c r="B2415" s="26" t="s">
        <v>2354</v>
      </c>
      <c r="C2415" s="26" t="s">
        <v>29</v>
      </c>
      <c r="D2415" s="26" t="s">
        <v>29</v>
      </c>
      <c r="E2415" s="29" t="s">
        <v>55</v>
      </c>
      <c r="F2415" s="34" t="s">
        <v>29</v>
      </c>
      <c r="G2415" s="30" t="s">
        <v>29</v>
      </c>
      <c r="H2415" s="22" t="s">
        <v>2355</v>
      </c>
      <c r="I2415" s="7"/>
      <c r="J2415" s="7" t="str">
        <f>IFERROR(LET(_xlpm.v,
VLOOKUP($I2415,'用語辞書'!$A:$B,COLUMN('用語辞書'!B$1),FALSE),
IF(_xlpm.v=0,"",_xlpm.v)
),"")</f>
        <v/>
      </c>
      <c r="K2415" s="17"/>
      <c r="L2415" s="17" t="b">
        <f>IF(OR(COUNTIF('クラス'!$A$1:$A$1262,$B2415)&gt;0,$B2415="",$M2415=""),"",True)</f>
        <v>1</v>
      </c>
      <c r="M2415" s="1" t="str">
        <f t="shared" si="30"/>
        <v>存在しない</v>
      </c>
      <c r="N2415" s="1" t="s">
        <v>29</v>
      </c>
      <c r="O2415" s="1"/>
      <c r="P2415" s="11"/>
      <c r="Q2415" s="11"/>
      <c r="R2415" s="11"/>
      <c r="S2415" s="11"/>
      <c r="T2415" s="1"/>
      <c r="U2415" s="1"/>
      <c r="V2415" s="1"/>
      <c r="W2415" s="1"/>
      <c r="X2415" s="1"/>
      <c r="Y2415" s="1"/>
      <c r="Z2415" s="1"/>
    </row>
    <row r="2416" ht="18.0" hidden="1" customHeight="1" outlineLevel="1">
      <c r="A2416" s="1">
        <v>4.0</v>
      </c>
      <c r="B2416" s="26" t="s">
        <v>29</v>
      </c>
      <c r="C2416" s="1"/>
      <c r="D2416" s="1"/>
      <c r="E2416" s="14"/>
      <c r="F2416" s="15"/>
      <c r="G2416" s="16"/>
      <c r="H2416" s="11"/>
      <c r="I2416" s="7"/>
      <c r="J2416" s="7" t="str">
        <f>IFERROR(LET(_xlpm.v,
VLOOKUP($I2416,'用語辞書'!$A:$B,COLUMN('用語辞書'!B$1),FALSE),
IF(_xlpm.v=0,"",_xlpm.v)
),"")</f>
        <v/>
      </c>
      <c r="K2416" s="17"/>
      <c r="L2416" s="17" t="str">
        <f>IF(OR(COUNTIF('クラス'!$A$1:$A$1262,$B2416)&gt;0,$B2416="",$M2416=""),"",True)</f>
        <v/>
      </c>
      <c r="M2416" s="1" t="str">
        <f t="shared" si="30"/>
        <v/>
      </c>
      <c r="N2416" s="1" t="s">
        <v>29</v>
      </c>
      <c r="O2416" s="1"/>
      <c r="P2416" s="11"/>
      <c r="Q2416" s="11"/>
      <c r="R2416" s="11"/>
      <c r="S2416" s="11"/>
      <c r="T2416" s="1"/>
      <c r="U2416" s="1"/>
      <c r="V2416" s="1"/>
      <c r="W2416" s="1"/>
      <c r="X2416" s="1"/>
      <c r="Y2416" s="1"/>
      <c r="Z2416" s="1"/>
    </row>
    <row r="2417" ht="18.0" hidden="1" customHeight="1" outlineLevel="1">
      <c r="A2417" s="1">
        <v>5.0</v>
      </c>
      <c r="B2417" s="26" t="s">
        <v>2356</v>
      </c>
      <c r="C2417" s="26" t="s">
        <v>29</v>
      </c>
      <c r="D2417" s="26" t="s">
        <v>29</v>
      </c>
      <c r="E2417" s="29" t="s">
        <v>33</v>
      </c>
      <c r="F2417" s="34" t="s">
        <v>29</v>
      </c>
      <c r="G2417" s="30">
        <v>60.0</v>
      </c>
      <c r="H2417" s="22" t="s">
        <v>2357</v>
      </c>
      <c r="I2417" s="7"/>
      <c r="J2417" s="7" t="str">
        <f>IFERROR(LET(_xlpm.v,
VLOOKUP($I2417,'用語辞書'!$A:$B,COLUMN('用語辞書'!B$1),FALSE),
IF(_xlpm.v=0,"",_xlpm.v)
),"")</f>
        <v/>
      </c>
      <c r="K2417" s="17"/>
      <c r="L2417" s="17" t="b">
        <f>IF(OR(COUNTIF('クラス'!$A$1:$A$1262,$B2417)&gt;0,$B2417="",$M2417=""),"",True)</f>
        <v>1</v>
      </c>
      <c r="M2417" s="1" t="str">
        <f t="shared" si="30"/>
        <v>存在しない</v>
      </c>
      <c r="N2417" s="1" t="s">
        <v>29</v>
      </c>
      <c r="O2417" s="1"/>
      <c r="P2417" s="11"/>
      <c r="Q2417" s="11"/>
      <c r="R2417" s="11"/>
      <c r="S2417" s="11"/>
      <c r="T2417" s="1"/>
      <c r="U2417" s="1"/>
      <c r="V2417" s="1"/>
      <c r="W2417" s="1"/>
      <c r="X2417" s="1"/>
      <c r="Y2417" s="1"/>
      <c r="Z2417" s="1"/>
    </row>
    <row r="2418" ht="18.0" hidden="1" customHeight="1" outlineLevel="1">
      <c r="A2418" s="1">
        <v>6.0</v>
      </c>
      <c r="B2418" s="26" t="s">
        <v>29</v>
      </c>
      <c r="C2418" s="1"/>
      <c r="D2418" s="1"/>
      <c r="E2418" s="14"/>
      <c r="F2418" s="15"/>
      <c r="G2418" s="16"/>
      <c r="H2418" s="11"/>
      <c r="I2418" s="7"/>
      <c r="J2418" s="7" t="str">
        <f>IFERROR(LET(_xlpm.v,
VLOOKUP($I2418,'用語辞書'!$A:$B,COLUMN('用語辞書'!B$1),FALSE),
IF(_xlpm.v=0,"",_xlpm.v)
),"")</f>
        <v/>
      </c>
      <c r="K2418" s="17"/>
      <c r="L2418" s="17" t="str">
        <f>IF(OR(COUNTIF('クラス'!$A$1:$A$1262,$B2418)&gt;0,$B2418="",$M2418=""),"",True)</f>
        <v/>
      </c>
      <c r="M2418" s="1" t="str">
        <f t="shared" si="30"/>
        <v/>
      </c>
      <c r="N2418" s="1" t="s">
        <v>29</v>
      </c>
      <c r="O2418" s="1"/>
      <c r="P2418" s="11"/>
      <c r="Q2418" s="11"/>
      <c r="R2418" s="11"/>
      <c r="S2418" s="11"/>
      <c r="T2418" s="1"/>
      <c r="U2418" s="1"/>
      <c r="V2418" s="1"/>
      <c r="W2418" s="1"/>
      <c r="X2418" s="1"/>
      <c r="Y2418" s="1"/>
      <c r="Z2418" s="1"/>
    </row>
    <row r="2419" ht="18.0" hidden="1" customHeight="1" outlineLevel="1">
      <c r="A2419" s="1">
        <v>7.0</v>
      </c>
      <c r="B2419" s="26" t="s">
        <v>2358</v>
      </c>
      <c r="C2419" s="26" t="s">
        <v>29</v>
      </c>
      <c r="D2419" s="26" t="s">
        <v>29</v>
      </c>
      <c r="E2419" s="29" t="s">
        <v>33</v>
      </c>
      <c r="F2419" s="34" t="s">
        <v>29</v>
      </c>
      <c r="G2419" s="30">
        <v>40.0</v>
      </c>
      <c r="H2419" s="22" t="s">
        <v>2359</v>
      </c>
      <c r="I2419" s="7"/>
      <c r="J2419" s="7" t="str">
        <f>IFERROR(LET(_xlpm.v,
VLOOKUP($I2419,'用語辞書'!$A:$B,COLUMN('用語辞書'!B$1),FALSE),
IF(_xlpm.v=0,"",_xlpm.v)
),"")</f>
        <v/>
      </c>
      <c r="K2419" s="17"/>
      <c r="L2419" s="17" t="b">
        <f>IF(OR(COUNTIF('クラス'!$A$1:$A$1262,$B2419)&gt;0,$B2419="",$M2419=""),"",True)</f>
        <v>1</v>
      </c>
      <c r="M2419" s="1" t="str">
        <f t="shared" si="30"/>
        <v>存在しない</v>
      </c>
      <c r="N2419" s="1" t="s">
        <v>29</v>
      </c>
      <c r="O2419" s="1"/>
      <c r="P2419" s="11"/>
      <c r="Q2419" s="11"/>
      <c r="R2419" s="11"/>
      <c r="S2419" s="11"/>
      <c r="T2419" s="1"/>
      <c r="U2419" s="1"/>
      <c r="V2419" s="1"/>
      <c r="W2419" s="1"/>
      <c r="X2419" s="1"/>
      <c r="Y2419" s="1"/>
      <c r="Z2419" s="1"/>
    </row>
    <row r="2420" ht="18.0" hidden="1" customHeight="1" outlineLevel="1">
      <c r="A2420" s="1">
        <v>8.0</v>
      </c>
      <c r="B2420" s="26" t="s">
        <v>29</v>
      </c>
      <c r="C2420" s="1"/>
      <c r="D2420" s="1"/>
      <c r="E2420" s="14"/>
      <c r="F2420" s="15"/>
      <c r="G2420" s="16"/>
      <c r="H2420" s="11"/>
      <c r="I2420" s="7"/>
      <c r="J2420" s="7" t="str">
        <f>IFERROR(LET(_xlpm.v,
VLOOKUP($I2420,'用語辞書'!$A:$B,COLUMN('用語辞書'!B$1),FALSE),
IF(_xlpm.v=0,"",_xlpm.v)
),"")</f>
        <v/>
      </c>
      <c r="K2420" s="17"/>
      <c r="L2420" s="17" t="str">
        <f>IF(OR(COUNTIF('クラス'!$A$1:$A$1262,$B2420)&gt;0,$B2420="",$M2420=""),"",True)</f>
        <v/>
      </c>
      <c r="M2420" s="1" t="str">
        <f t="shared" si="30"/>
        <v/>
      </c>
      <c r="N2420" s="1" t="s">
        <v>29</v>
      </c>
      <c r="O2420" s="1"/>
      <c r="P2420" s="11"/>
      <c r="Q2420" s="11"/>
      <c r="R2420" s="11"/>
      <c r="S2420" s="11"/>
      <c r="T2420" s="1"/>
      <c r="U2420" s="1"/>
      <c r="V2420" s="1"/>
      <c r="W2420" s="1"/>
      <c r="X2420" s="1"/>
      <c r="Y2420" s="1"/>
      <c r="Z2420" s="1"/>
    </row>
    <row r="2421" ht="18.0" hidden="1" customHeight="1" outlineLevel="1">
      <c r="A2421" s="1">
        <v>9.0</v>
      </c>
      <c r="B2421" s="26" t="s">
        <v>2360</v>
      </c>
      <c r="C2421" s="26" t="s">
        <v>29</v>
      </c>
      <c r="D2421" s="26" t="s">
        <v>29</v>
      </c>
      <c r="E2421" s="29" t="s">
        <v>55</v>
      </c>
      <c r="F2421" s="34" t="s">
        <v>29</v>
      </c>
      <c r="G2421" s="30" t="s">
        <v>29</v>
      </c>
      <c r="H2421" s="22" t="s">
        <v>2361</v>
      </c>
      <c r="I2421" s="7"/>
      <c r="J2421" s="7" t="str">
        <f>IFERROR(LET(_xlpm.v,
VLOOKUP($I2421,'用語辞書'!$A:$B,COLUMN('用語辞書'!B$1),FALSE),
IF(_xlpm.v=0,"",_xlpm.v)
),"")</f>
        <v/>
      </c>
      <c r="K2421" s="17"/>
      <c r="L2421" s="17" t="b">
        <f>IF(OR(COUNTIF('クラス'!$A$1:$A$1262,$B2421)&gt;0,$B2421="",$M2421=""),"",True)</f>
        <v>1</v>
      </c>
      <c r="M2421" s="1" t="str">
        <f t="shared" si="30"/>
        <v>存在しない</v>
      </c>
      <c r="N2421" s="1" t="s">
        <v>29</v>
      </c>
      <c r="O2421" s="1"/>
      <c r="P2421" s="11"/>
      <c r="Q2421" s="11"/>
      <c r="R2421" s="11"/>
      <c r="S2421" s="11"/>
      <c r="T2421" s="1"/>
      <c r="U2421" s="1"/>
      <c r="V2421" s="1"/>
      <c r="W2421" s="1"/>
      <c r="X2421" s="1"/>
      <c r="Y2421" s="1"/>
      <c r="Z2421" s="1"/>
    </row>
    <row r="2422" ht="18.0" hidden="1" customHeight="1" outlineLevel="1">
      <c r="A2422" s="1">
        <v>10.0</v>
      </c>
      <c r="B2422" s="26" t="s">
        <v>2362</v>
      </c>
      <c r="C2422" s="26" t="s">
        <v>29</v>
      </c>
      <c r="D2422" s="26" t="s">
        <v>29</v>
      </c>
      <c r="E2422" s="29" t="s">
        <v>33</v>
      </c>
      <c r="F2422" s="34" t="s">
        <v>29</v>
      </c>
      <c r="G2422" s="30">
        <v>60.0</v>
      </c>
      <c r="H2422" s="22" t="s">
        <v>2363</v>
      </c>
      <c r="I2422" s="7"/>
      <c r="J2422" s="7" t="str">
        <f>IFERROR(LET(_xlpm.v,
VLOOKUP($I2422,'用語辞書'!$A:$B,COLUMN('用語辞書'!B$1),FALSE),
IF(_xlpm.v=0,"",_xlpm.v)
),"")</f>
        <v/>
      </c>
      <c r="K2422" s="17"/>
      <c r="L2422" s="17" t="b">
        <f>IF(OR(COUNTIF('クラス'!$A$1:$A$1262,$B2422)&gt;0,$B2422="",$M2422=""),"",True)</f>
        <v>1</v>
      </c>
      <c r="M2422" s="1" t="str">
        <f t="shared" si="30"/>
        <v>存在しない</v>
      </c>
      <c r="N2422" s="1" t="s">
        <v>29</v>
      </c>
      <c r="O2422" s="1"/>
      <c r="P2422" s="11"/>
      <c r="Q2422" s="11"/>
      <c r="R2422" s="11"/>
      <c r="S2422" s="11"/>
      <c r="T2422" s="1"/>
      <c r="U2422" s="1"/>
      <c r="V2422" s="1"/>
      <c r="W2422" s="1"/>
      <c r="X2422" s="1"/>
      <c r="Y2422" s="1"/>
      <c r="Z2422" s="1"/>
    </row>
    <row r="2423" ht="18.0" customHeight="1" collapsed="1">
      <c r="A2423" s="1"/>
      <c r="B2423" s="1"/>
      <c r="C2423" s="1"/>
      <c r="D2423" s="1"/>
      <c r="E2423" s="14"/>
      <c r="F2423" s="15"/>
      <c r="G2423" s="16"/>
      <c r="H2423" s="11"/>
      <c r="I2423" s="7"/>
      <c r="J2423" s="7" t="str">
        <f>IFERROR(LET(_xlpm.v,
VLOOKUP($I2423,'用語辞書'!$A:$B,COLUMN('用語辞書'!B$1),FALSE),
IF(_xlpm.v=0,"",_xlpm.v)
),"")</f>
        <v/>
      </c>
      <c r="K2423" s="17"/>
      <c r="L2423" s="17" t="str">
        <f>IF(OR(COUNTIF('クラス'!$A$1:$A$1262,$B2423)&gt;0,$B2423="",$M2423=""),"",True)</f>
        <v/>
      </c>
      <c r="M2423" s="1" t="str">
        <f t="shared" si="30"/>
        <v>存在しない</v>
      </c>
      <c r="N2423" s="1" t="s">
        <v>29</v>
      </c>
      <c r="O2423" s="1"/>
      <c r="P2423" s="11"/>
      <c r="Q2423" s="11"/>
      <c r="R2423" s="11"/>
      <c r="S2423" s="11"/>
      <c r="T2423" s="1"/>
      <c r="U2423" s="1"/>
      <c r="V2423" s="1"/>
      <c r="W2423" s="1"/>
      <c r="X2423" s="1"/>
      <c r="Y2423" s="1"/>
      <c r="Z2423" s="1"/>
    </row>
    <row r="2424" ht="18.0" customHeight="1">
      <c r="A2424" s="1"/>
      <c r="B2424" s="26" t="s">
        <v>2364</v>
      </c>
      <c r="C2424" s="1"/>
      <c r="D2424" s="1"/>
      <c r="E2424" s="14"/>
      <c r="F2424" s="15"/>
      <c r="G2424" s="16"/>
      <c r="H2424" s="11"/>
      <c r="I2424" s="7"/>
      <c r="J2424" s="7" t="str">
        <f>IFERROR(LET(_xlpm.v,
VLOOKUP($I2424,'用語辞書'!$A:$B,COLUMN('用語辞書'!B$1),FALSE),
IF(_xlpm.v=0,"",_xlpm.v)
),"")</f>
        <v/>
      </c>
      <c r="K2424" s="17"/>
      <c r="L2424" s="17" t="str">
        <f>IF(OR(COUNTIF('クラス'!$A$1:$A$1262,$B2424)&gt;0,$B2424="",$M2424=""),"",True)</f>
        <v/>
      </c>
      <c r="M2424" s="1" t="str">
        <f t="shared" si="30"/>
        <v>存在しない</v>
      </c>
      <c r="N2424" s="1" t="s">
        <v>29</v>
      </c>
      <c r="O2424" s="1"/>
      <c r="P2424" s="11"/>
      <c r="Q2424" s="11"/>
      <c r="R2424" s="11"/>
      <c r="S2424" s="11"/>
      <c r="T2424" s="1"/>
      <c r="U2424" s="1"/>
      <c r="V2424" s="1"/>
      <c r="W2424" s="1"/>
      <c r="X2424" s="1"/>
      <c r="Y2424" s="1"/>
      <c r="Z2424" s="1"/>
    </row>
    <row r="2425" ht="18.0" hidden="1" customHeight="1" outlineLevel="1">
      <c r="A2425" s="1">
        <v>1.0</v>
      </c>
      <c r="B2425" s="26" t="s">
        <v>2365</v>
      </c>
      <c r="C2425" s="26" t="s">
        <v>29</v>
      </c>
      <c r="D2425" s="26" t="s">
        <v>29</v>
      </c>
      <c r="E2425" s="29" t="s">
        <v>33</v>
      </c>
      <c r="F2425" s="34" t="s">
        <v>29</v>
      </c>
      <c r="G2425" s="30">
        <v>60.0</v>
      </c>
      <c r="H2425" s="22" t="s">
        <v>2366</v>
      </c>
      <c r="I2425" s="7"/>
      <c r="J2425" s="7" t="str">
        <f>IFERROR(LET(_xlpm.v,
VLOOKUP($I2425,'用語辞書'!$A:$B,COLUMN('用語辞書'!B$1),FALSE),
IF(_xlpm.v=0,"",_xlpm.v)
),"")</f>
        <v/>
      </c>
      <c r="K2425" s="17"/>
      <c r="L2425" s="17" t="b">
        <f>IF(OR(COUNTIF('クラス'!$A$1:$A$1262,$B2425)&gt;0,$B2425="",$M2425=""),"",True)</f>
        <v>1</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2.0</v>
      </c>
      <c r="B2426" s="26" t="s">
        <v>29</v>
      </c>
      <c r="C2426" s="1"/>
      <c r="D2426" s="1"/>
      <c r="E2426" s="14"/>
      <c r="F2426" s="15"/>
      <c r="G2426" s="16"/>
      <c r="H2426" s="11"/>
      <c r="I2426" s="7"/>
      <c r="J2426" s="7" t="str">
        <f>IFERROR(LET(_xlpm.v,
VLOOKUP($I2426,'用語辞書'!$A:$B,COLUMN('用語辞書'!B$1),FALSE),
IF(_xlpm.v=0,"",_xlpm.v)
),"")</f>
        <v/>
      </c>
      <c r="K2426" s="17"/>
      <c r="L2426" s="17" t="str">
        <f>IF(OR(COUNTIF('クラス'!$A$1:$A$1262,$B2426)&gt;0,$B2426="",$M2426=""),"",True)</f>
        <v/>
      </c>
      <c r="M2426" s="1" t="str">
        <f t="shared" si="30"/>
        <v/>
      </c>
      <c r="N2426" s="1" t="s">
        <v>29</v>
      </c>
      <c r="O2426" s="1"/>
      <c r="P2426" s="11"/>
      <c r="Q2426" s="11"/>
      <c r="R2426" s="11"/>
      <c r="S2426" s="11"/>
      <c r="T2426" s="1"/>
      <c r="U2426" s="1"/>
      <c r="V2426" s="1"/>
      <c r="W2426" s="1"/>
      <c r="X2426" s="1"/>
      <c r="Y2426" s="1"/>
      <c r="Z2426" s="1"/>
    </row>
    <row r="2427" ht="18.0" hidden="1" customHeight="1" outlineLevel="1">
      <c r="A2427" s="1">
        <v>3.0</v>
      </c>
      <c r="B2427" s="26" t="s">
        <v>2367</v>
      </c>
      <c r="C2427" s="26" t="s">
        <v>29</v>
      </c>
      <c r="D2427" s="26" t="s">
        <v>29</v>
      </c>
      <c r="E2427" s="29" t="s">
        <v>55</v>
      </c>
      <c r="F2427" s="34" t="s">
        <v>29</v>
      </c>
      <c r="G2427" s="30" t="s">
        <v>29</v>
      </c>
      <c r="H2427" s="22" t="s">
        <v>2368</v>
      </c>
      <c r="I2427" s="7"/>
      <c r="J2427" s="7" t="str">
        <f>IFERROR(LET(_xlpm.v,
VLOOKUP($I2427,'用語辞書'!$A:$B,COLUMN('用語辞書'!B$1),FALSE),
IF(_xlpm.v=0,"",_xlpm.v)
),"")</f>
        <v/>
      </c>
      <c r="K2427" s="17"/>
      <c r="L2427" s="17" t="b">
        <f>IF(OR(COUNTIF('クラス'!$A$1:$A$1262,$B2427)&gt;0,$B2427="",$M2427=""),"",True)</f>
        <v>1</v>
      </c>
      <c r="M2427" s="1" t="str">
        <f t="shared" si="30"/>
        <v>存在しない</v>
      </c>
      <c r="N2427" s="1" t="s">
        <v>29</v>
      </c>
      <c r="O2427" s="1"/>
      <c r="P2427" s="11"/>
      <c r="Q2427" s="11"/>
      <c r="R2427" s="11"/>
      <c r="S2427" s="11"/>
      <c r="T2427" s="1"/>
      <c r="U2427" s="1"/>
      <c r="V2427" s="1"/>
      <c r="W2427" s="1"/>
      <c r="X2427" s="1"/>
      <c r="Y2427" s="1"/>
      <c r="Z2427" s="1"/>
    </row>
    <row r="2428" ht="18.0" hidden="1" customHeight="1" outlineLevel="1">
      <c r="A2428" s="1">
        <v>4.0</v>
      </c>
      <c r="B2428" s="26" t="s">
        <v>29</v>
      </c>
      <c r="C2428" s="1"/>
      <c r="D2428" s="1"/>
      <c r="E2428" s="14"/>
      <c r="F2428" s="15"/>
      <c r="G2428" s="16"/>
      <c r="H2428" s="11"/>
      <c r="I2428" s="7"/>
      <c r="J2428" s="7" t="str">
        <f>IFERROR(LET(_xlpm.v,
VLOOKUP($I2428,'用語辞書'!$A:$B,COLUMN('用語辞書'!B$1),FALSE),
IF(_xlpm.v=0,"",_xlpm.v)
),"")</f>
        <v/>
      </c>
      <c r="K2428" s="17"/>
      <c r="L2428" s="17" t="str">
        <f>IF(OR(COUNTIF('クラス'!$A$1:$A$1262,$B2428)&gt;0,$B2428="",$M2428=""),"",True)</f>
        <v/>
      </c>
      <c r="M2428" s="1" t="str">
        <f t="shared" si="30"/>
        <v/>
      </c>
      <c r="N2428" s="1" t="s">
        <v>29</v>
      </c>
      <c r="O2428" s="1"/>
      <c r="P2428" s="11"/>
      <c r="Q2428" s="11"/>
      <c r="R2428" s="11"/>
      <c r="S2428" s="11"/>
      <c r="T2428" s="1"/>
      <c r="U2428" s="1"/>
      <c r="V2428" s="1"/>
      <c r="W2428" s="1"/>
      <c r="X2428" s="1"/>
      <c r="Y2428" s="1"/>
      <c r="Z2428" s="1"/>
    </row>
    <row r="2429" ht="18.0" hidden="1" customHeight="1" outlineLevel="1">
      <c r="A2429" s="1">
        <v>5.0</v>
      </c>
      <c r="B2429" s="26" t="s">
        <v>2369</v>
      </c>
      <c r="C2429" s="26" t="s">
        <v>29</v>
      </c>
      <c r="D2429" s="26" t="s">
        <v>29</v>
      </c>
      <c r="E2429" s="29" t="s">
        <v>33</v>
      </c>
      <c r="F2429" s="34" t="s">
        <v>29</v>
      </c>
      <c r="G2429" s="30">
        <v>60.0</v>
      </c>
      <c r="H2429" s="22" t="s">
        <v>2370</v>
      </c>
      <c r="I2429" s="7"/>
      <c r="J2429" s="7" t="str">
        <f>IFERROR(LET(_xlpm.v,
VLOOKUP($I2429,'用語辞書'!$A:$B,COLUMN('用語辞書'!B$1),FALSE),
IF(_xlpm.v=0,"",_xlpm.v)
),"")</f>
        <v/>
      </c>
      <c r="K2429" s="17"/>
      <c r="L2429" s="17" t="b">
        <f>IF(OR(COUNTIF('クラス'!$A$1:$A$1262,$B2429)&gt;0,$B2429="",$M2429=""),"",True)</f>
        <v>1</v>
      </c>
      <c r="M2429" s="1" t="str">
        <f t="shared" si="30"/>
        <v>存在しない</v>
      </c>
      <c r="N2429" s="1" t="s">
        <v>29</v>
      </c>
      <c r="O2429" s="1"/>
      <c r="P2429" s="11"/>
      <c r="Q2429" s="11"/>
      <c r="R2429" s="11"/>
      <c r="S2429" s="11"/>
      <c r="T2429" s="1"/>
      <c r="U2429" s="1"/>
      <c r="V2429" s="1"/>
      <c r="W2429" s="1"/>
      <c r="X2429" s="1"/>
      <c r="Y2429" s="1"/>
      <c r="Z2429" s="1"/>
    </row>
    <row r="2430" ht="18.0" hidden="1" customHeight="1" outlineLevel="1">
      <c r="A2430" s="1">
        <v>6.0</v>
      </c>
      <c r="B2430" s="26" t="s">
        <v>29</v>
      </c>
      <c r="C2430" s="1"/>
      <c r="D2430" s="1"/>
      <c r="E2430" s="14"/>
      <c r="F2430" s="15"/>
      <c r="G2430" s="16"/>
      <c r="H2430" s="11"/>
      <c r="I2430" s="7"/>
      <c r="J2430" s="7" t="str">
        <f>IFERROR(LET(_xlpm.v,
VLOOKUP($I2430,'用語辞書'!$A:$B,COLUMN('用語辞書'!B$1),FALSE),
IF(_xlpm.v=0,"",_xlpm.v)
),"")</f>
        <v/>
      </c>
      <c r="K2430" s="17"/>
      <c r="L2430" s="17" t="str">
        <f>IF(OR(COUNTIF('クラス'!$A$1:$A$1262,$B2430)&gt;0,$B2430="",$M2430=""),"",True)</f>
        <v/>
      </c>
      <c r="M2430" s="1" t="str">
        <f t="shared" si="30"/>
        <v/>
      </c>
      <c r="N2430" s="1" t="s">
        <v>29</v>
      </c>
      <c r="O2430" s="1"/>
      <c r="P2430" s="11"/>
      <c r="Q2430" s="11"/>
      <c r="R2430" s="11"/>
      <c r="S2430" s="11"/>
      <c r="T2430" s="1"/>
      <c r="U2430" s="1"/>
      <c r="V2430" s="1"/>
      <c r="W2430" s="1"/>
      <c r="X2430" s="1"/>
      <c r="Y2430" s="1"/>
      <c r="Z2430" s="1"/>
    </row>
    <row r="2431" ht="18.0" hidden="1" customHeight="1" outlineLevel="1">
      <c r="A2431" s="1">
        <v>7.0</v>
      </c>
      <c r="B2431" s="26" t="s">
        <v>2371</v>
      </c>
      <c r="C2431" s="26" t="s">
        <v>29</v>
      </c>
      <c r="D2431" s="26" t="s">
        <v>29</v>
      </c>
      <c r="E2431" s="29" t="s">
        <v>33</v>
      </c>
      <c r="F2431" s="34" t="s">
        <v>29</v>
      </c>
      <c r="G2431" s="30">
        <v>60.0</v>
      </c>
      <c r="H2431" s="22" t="s">
        <v>2372</v>
      </c>
      <c r="I2431" s="7"/>
      <c r="J2431" s="7" t="str">
        <f>IFERROR(LET(_xlpm.v,
VLOOKUP($I2431,'用語辞書'!$A:$B,COLUMN('用語辞書'!B$1),FALSE),
IF(_xlpm.v=0,"",_xlpm.v)
),"")</f>
        <v/>
      </c>
      <c r="K2431" s="17"/>
      <c r="L2431" s="17" t="b">
        <f>IF(OR(COUNTIF('クラス'!$A$1:$A$1262,$B2431)&gt;0,$B2431="",$M2431=""),"",True)</f>
        <v>1</v>
      </c>
      <c r="M2431" s="1" t="str">
        <f t="shared" si="30"/>
        <v>存在しない</v>
      </c>
      <c r="N2431" s="1" t="s">
        <v>29</v>
      </c>
      <c r="O2431" s="1"/>
      <c r="P2431" s="11"/>
      <c r="Q2431" s="11"/>
      <c r="R2431" s="11"/>
      <c r="S2431" s="11"/>
      <c r="T2431" s="1"/>
      <c r="U2431" s="1"/>
      <c r="V2431" s="1"/>
      <c r="W2431" s="1"/>
      <c r="X2431" s="1"/>
      <c r="Y2431" s="1"/>
      <c r="Z2431" s="1"/>
    </row>
    <row r="2432" ht="18.0" hidden="1" customHeight="1" outlineLevel="1">
      <c r="A2432" s="1">
        <v>8.0</v>
      </c>
      <c r="B2432" s="26" t="s">
        <v>29</v>
      </c>
      <c r="C2432" s="1"/>
      <c r="D2432" s="1"/>
      <c r="E2432" s="14"/>
      <c r="F2432" s="15"/>
      <c r="G2432" s="16"/>
      <c r="H2432" s="11"/>
      <c r="I2432" s="7"/>
      <c r="J2432" s="7" t="str">
        <f>IFERROR(LET(_xlpm.v,
VLOOKUP($I2432,'用語辞書'!$A:$B,COLUMN('用語辞書'!B$1),FALSE),
IF(_xlpm.v=0,"",_xlpm.v)
),"")</f>
        <v/>
      </c>
      <c r="K2432" s="17"/>
      <c r="L2432" s="17" t="str">
        <f>IF(OR(COUNTIF('クラス'!$A$1:$A$1262,$B2432)&gt;0,$B2432="",$M2432=""),"",True)</f>
        <v/>
      </c>
      <c r="M2432" s="1" t="str">
        <f t="shared" si="30"/>
        <v/>
      </c>
      <c r="N2432" s="1" t="s">
        <v>29</v>
      </c>
      <c r="O2432" s="1"/>
      <c r="P2432" s="11"/>
      <c r="Q2432" s="11"/>
      <c r="R2432" s="11"/>
      <c r="S2432" s="11"/>
      <c r="T2432" s="1"/>
      <c r="U2432" s="1"/>
      <c r="V2432" s="1"/>
      <c r="W2432" s="1"/>
      <c r="X2432" s="1"/>
      <c r="Y2432" s="1"/>
      <c r="Z2432" s="1"/>
    </row>
    <row r="2433" ht="18.0" hidden="1" customHeight="1" outlineLevel="1">
      <c r="A2433" s="1">
        <v>9.0</v>
      </c>
      <c r="B2433" s="26" t="s">
        <v>2373</v>
      </c>
      <c r="C2433" s="26" t="s">
        <v>29</v>
      </c>
      <c r="D2433" s="26" t="s">
        <v>29</v>
      </c>
      <c r="E2433" s="29" t="s">
        <v>55</v>
      </c>
      <c r="F2433" s="34" t="s">
        <v>29</v>
      </c>
      <c r="G2433" s="30" t="s">
        <v>29</v>
      </c>
      <c r="H2433" s="22" t="s">
        <v>2374</v>
      </c>
      <c r="I2433" s="7"/>
      <c r="J2433" s="7" t="str">
        <f>IFERROR(LET(_xlpm.v,
VLOOKUP($I2433,'用語辞書'!$A:$B,COLUMN('用語辞書'!B$1),FALSE),
IF(_xlpm.v=0,"",_xlpm.v)
),"")</f>
        <v/>
      </c>
      <c r="K2433" s="17"/>
      <c r="L2433" s="17" t="b">
        <f>IF(OR(COUNTIF('クラス'!$A$1:$A$1262,$B2433)&gt;0,$B2433="",$M2433=""),"",True)</f>
        <v>1</v>
      </c>
      <c r="M2433" s="1" t="str">
        <f t="shared" si="30"/>
        <v>存在しない</v>
      </c>
      <c r="N2433" s="1" t="s">
        <v>29</v>
      </c>
      <c r="O2433" s="1"/>
      <c r="P2433" s="11"/>
      <c r="Q2433" s="11"/>
      <c r="R2433" s="11"/>
      <c r="S2433" s="11"/>
      <c r="T2433" s="1"/>
      <c r="U2433" s="1"/>
      <c r="V2433" s="1"/>
      <c r="W2433" s="1"/>
      <c r="X2433" s="1"/>
      <c r="Y2433" s="1"/>
      <c r="Z2433" s="1"/>
    </row>
    <row r="2434" ht="18.0" hidden="1" customHeight="1" outlineLevel="1">
      <c r="A2434" s="1">
        <v>10.0</v>
      </c>
      <c r="B2434" s="26" t="s">
        <v>2375</v>
      </c>
      <c r="C2434" s="26" t="s">
        <v>29</v>
      </c>
      <c r="D2434" s="26" t="s">
        <v>29</v>
      </c>
      <c r="E2434" s="29" t="s">
        <v>33</v>
      </c>
      <c r="F2434" s="34" t="s">
        <v>29</v>
      </c>
      <c r="G2434" s="30">
        <v>60.0</v>
      </c>
      <c r="H2434" s="22" t="s">
        <v>2376</v>
      </c>
      <c r="I2434" s="7"/>
      <c r="J2434" s="7" t="str">
        <f>IFERROR(LET(_xlpm.v,
VLOOKUP($I2434,'用語辞書'!$A:$B,COLUMN('用語辞書'!B$1),FALSE),
IF(_xlpm.v=0,"",_xlpm.v)
),"")</f>
        <v/>
      </c>
      <c r="K2434" s="17"/>
      <c r="L2434" s="17" t="b">
        <f>IF(OR(COUNTIF('クラス'!$A$1:$A$1262,$B2434)&gt;0,$B2434="",$M2434=""),"",True)</f>
        <v>1</v>
      </c>
      <c r="M2434" s="1" t="str">
        <f t="shared" si="30"/>
        <v>存在しない</v>
      </c>
      <c r="N2434" s="1" t="s">
        <v>29</v>
      </c>
      <c r="O2434" s="1"/>
      <c r="P2434" s="11"/>
      <c r="Q2434" s="11"/>
      <c r="R2434" s="11"/>
      <c r="S2434" s="11"/>
      <c r="T2434" s="1"/>
      <c r="U2434" s="1"/>
      <c r="V2434" s="1"/>
      <c r="W2434" s="1"/>
      <c r="X2434" s="1"/>
      <c r="Y2434" s="1"/>
      <c r="Z2434" s="1"/>
    </row>
    <row r="2435" ht="18.0" customHeight="1" collapsed="1">
      <c r="A2435" s="1"/>
      <c r="B2435" s="1"/>
      <c r="C2435" s="1"/>
      <c r="D2435" s="1"/>
      <c r="E2435" s="14"/>
      <c r="F2435" s="15"/>
      <c r="G2435" s="16"/>
      <c r="H2435" s="11"/>
      <c r="I2435" s="7"/>
      <c r="J2435" s="7" t="str">
        <f>IFERROR(LET(_xlpm.v,
VLOOKUP($I2435,'用語辞書'!$A:$B,COLUMN('用語辞書'!B$1),FALSE),
IF(_xlpm.v=0,"",_xlpm.v)
),"")</f>
        <v/>
      </c>
      <c r="K2435" s="17"/>
      <c r="L2435" s="17" t="str">
        <f>IF(OR(COUNTIF('クラス'!$A$1:$A$1262,$B2435)&gt;0,$B2435="",$M2435=""),"",True)</f>
        <v/>
      </c>
      <c r="M2435" s="1" t="str">
        <f t="shared" si="30"/>
        <v>存在しない</v>
      </c>
      <c r="N2435" s="1" t="s">
        <v>29</v>
      </c>
      <c r="O2435" s="1"/>
      <c r="P2435" s="11"/>
      <c r="Q2435" s="11"/>
      <c r="R2435" s="11"/>
      <c r="S2435" s="11"/>
      <c r="T2435" s="1"/>
      <c r="U2435" s="1"/>
      <c r="V2435" s="1"/>
      <c r="W2435" s="1"/>
      <c r="X2435" s="1"/>
      <c r="Y2435" s="1"/>
      <c r="Z2435" s="1"/>
    </row>
    <row r="2436" ht="18.0" customHeight="1">
      <c r="A2436" s="1"/>
      <c r="B2436" s="26" t="s">
        <v>2377</v>
      </c>
      <c r="C2436" s="1"/>
      <c r="D2436" s="1"/>
      <c r="E2436" s="14"/>
      <c r="F2436" s="15"/>
      <c r="G2436" s="16"/>
      <c r="H2436" s="11"/>
      <c r="I2436" s="7"/>
      <c r="J2436" s="7" t="str">
        <f>IFERROR(LET(_xlpm.v,
VLOOKUP($I2436,'用語辞書'!$A:$B,COLUMN('用語辞書'!B$1),FALSE),
IF(_xlpm.v=0,"",_xlpm.v)
),"")</f>
        <v/>
      </c>
      <c r="K2436" s="17"/>
      <c r="L2436" s="17" t="str">
        <f>IF(OR(COUNTIF('クラス'!$A$1:$A$1262,$B2436)&gt;0,$B2436="",$M2436=""),"",True)</f>
        <v/>
      </c>
      <c r="M2436" s="1" t="str">
        <f t="shared" si="30"/>
        <v>存在しない</v>
      </c>
      <c r="N2436" s="1" t="s">
        <v>29</v>
      </c>
      <c r="O2436" s="1"/>
      <c r="P2436" s="11"/>
      <c r="Q2436" s="11"/>
      <c r="R2436" s="11"/>
      <c r="S2436" s="11"/>
      <c r="T2436" s="1"/>
      <c r="U2436" s="1"/>
      <c r="V2436" s="1"/>
      <c r="W2436" s="1"/>
      <c r="X2436" s="1"/>
      <c r="Y2436" s="1"/>
      <c r="Z2436" s="1"/>
    </row>
    <row r="2437" ht="18.0" hidden="1" customHeight="1" outlineLevel="1">
      <c r="A2437" s="1">
        <v>1.0</v>
      </c>
      <c r="B2437" s="26" t="s">
        <v>2369</v>
      </c>
      <c r="C2437" s="1"/>
      <c r="D2437" s="1"/>
      <c r="E2437" s="14"/>
      <c r="F2437" s="15"/>
      <c r="G2437" s="16"/>
      <c r="H2437" s="11"/>
      <c r="I2437" s="7"/>
      <c r="J2437" s="7" t="str">
        <f>IFERROR(LET(_xlpm.v,
VLOOKUP($I2437,'用語辞書'!$A:$B,COLUMN('用語辞書'!B$1),FALSE),
IF(_xlpm.v=0,"",_xlpm.v)
),"")</f>
        <v/>
      </c>
      <c r="K2437" s="17"/>
      <c r="L2437" s="17" t="str">
        <f>IF(OR(COUNTIF('クラス'!$A$1:$A$1262,$B2437)&gt;0,$B2437="",$M2437=""),"",True)</f>
        <v/>
      </c>
      <c r="M2437" s="1" t="str">
        <f t="shared" si="30"/>
        <v/>
      </c>
      <c r="N2437" s="1" t="s">
        <v>29</v>
      </c>
      <c r="O2437" s="1"/>
      <c r="P2437" s="11"/>
      <c r="Q2437" s="11"/>
      <c r="R2437" s="11"/>
      <c r="S2437" s="11"/>
      <c r="T2437" s="1"/>
      <c r="U2437" s="1"/>
      <c r="V2437" s="1"/>
      <c r="W2437" s="1"/>
      <c r="X2437" s="1"/>
      <c r="Y2437" s="1"/>
      <c r="Z2437" s="1"/>
    </row>
    <row r="2438" ht="18.0" hidden="1" customHeight="1" outlineLevel="1">
      <c r="A2438" s="1">
        <v>2.0</v>
      </c>
      <c r="B2438" s="26" t="s">
        <v>29</v>
      </c>
      <c r="C2438" s="1"/>
      <c r="D2438" s="1"/>
      <c r="E2438" s="14"/>
      <c r="F2438" s="15"/>
      <c r="G2438" s="16"/>
      <c r="H2438" s="11"/>
      <c r="I2438" s="7"/>
      <c r="J2438" s="7" t="str">
        <f>IFERROR(LET(_xlpm.v,
VLOOKUP($I2438,'用語辞書'!$A:$B,COLUMN('用語辞書'!B$1),FALSE),
IF(_xlpm.v=0,"",_xlpm.v)
),"")</f>
        <v/>
      </c>
      <c r="K2438" s="17"/>
      <c r="L2438" s="17" t="str">
        <f>IF(OR(COUNTIF('クラス'!$A$1:$A$1262,$B2438)&gt;0,$B2438="",$M2438=""),"",True)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3.0</v>
      </c>
      <c r="B2439" s="26" t="s">
        <v>2378</v>
      </c>
      <c r="C2439" s="26" t="s">
        <v>29</v>
      </c>
      <c r="D2439" s="26" t="s">
        <v>29</v>
      </c>
      <c r="E2439" s="29" t="s">
        <v>55</v>
      </c>
      <c r="F2439" s="34" t="s">
        <v>29</v>
      </c>
      <c r="G2439" s="30" t="s">
        <v>29</v>
      </c>
      <c r="H2439" s="22" t="s">
        <v>2379</v>
      </c>
      <c r="I2439" s="7"/>
      <c r="J2439" s="7" t="str">
        <f>IFERROR(LET(_xlpm.v,
VLOOKUP($I2439,'用語辞書'!$A:$B,COLUMN('用語辞書'!B$1),FALSE),
IF(_xlpm.v=0,"",_xlpm.v)
),"")</f>
        <v/>
      </c>
      <c r="K2439" s="17"/>
      <c r="L2439" s="17" t="b">
        <f>IF(OR(COUNTIF('クラス'!$A$1:$A$1262,$B2439)&gt;0,$B2439="",$M2439=""),"",True)</f>
        <v>1</v>
      </c>
      <c r="M2439" s="1" t="str">
        <f t="shared" si="30"/>
        <v>存在しない</v>
      </c>
      <c r="N2439" s="1" t="s">
        <v>29</v>
      </c>
      <c r="O2439" s="1"/>
      <c r="P2439" s="11"/>
      <c r="Q2439" s="11"/>
      <c r="R2439" s="11"/>
      <c r="S2439" s="11"/>
      <c r="T2439" s="1"/>
      <c r="U2439" s="1"/>
      <c r="V2439" s="1"/>
      <c r="W2439" s="1"/>
      <c r="X2439" s="1"/>
      <c r="Y2439" s="1"/>
      <c r="Z2439" s="1"/>
    </row>
    <row r="2440" ht="18.0" hidden="1" customHeight="1" outlineLevel="1">
      <c r="A2440" s="1">
        <v>4.0</v>
      </c>
      <c r="B2440" s="26" t="s">
        <v>29</v>
      </c>
      <c r="C2440" s="1"/>
      <c r="D2440" s="1"/>
      <c r="E2440" s="14"/>
      <c r="F2440" s="15"/>
      <c r="G2440" s="16"/>
      <c r="H2440" s="11"/>
      <c r="I2440" s="7"/>
      <c r="J2440" s="7" t="str">
        <f>IFERROR(LET(_xlpm.v,
VLOOKUP($I2440,'用語辞書'!$A:$B,COLUMN('用語辞書'!B$1),FALSE),
IF(_xlpm.v=0,"",_xlpm.v)
),"")</f>
        <v/>
      </c>
      <c r="K2440" s="17"/>
      <c r="L2440" s="17" t="str">
        <f>IF(OR(COUNTIF('クラス'!$A$1:$A$1262,$B2440)&gt;0,$B2440="",$M2440=""),"",True)</f>
        <v/>
      </c>
      <c r="M2440" s="1" t="str">
        <f t="shared" si="30"/>
        <v/>
      </c>
      <c r="N2440" s="1" t="s">
        <v>29</v>
      </c>
      <c r="O2440" s="1"/>
      <c r="P2440" s="11"/>
      <c r="Q2440" s="11"/>
      <c r="R2440" s="11"/>
      <c r="S2440" s="11"/>
      <c r="T2440" s="1"/>
      <c r="U2440" s="1"/>
      <c r="V2440" s="1"/>
      <c r="W2440" s="1"/>
      <c r="X2440" s="1"/>
      <c r="Y2440" s="1"/>
      <c r="Z2440" s="1"/>
    </row>
    <row r="2441" ht="18.0" hidden="1" customHeight="1" outlineLevel="1">
      <c r="A2441" s="1">
        <v>5.0</v>
      </c>
      <c r="B2441" s="26" t="s">
        <v>2362</v>
      </c>
      <c r="C2441" s="1"/>
      <c r="D2441" s="1"/>
      <c r="E2441" s="14"/>
      <c r="F2441" s="15"/>
      <c r="G2441" s="16"/>
      <c r="H2441" s="11"/>
      <c r="I2441" s="7"/>
      <c r="J2441" s="7" t="str">
        <f>IFERROR(LET(_xlpm.v,
VLOOKUP($I2441,'用語辞書'!$A:$B,COLUMN('用語辞書'!B$1),FALSE),
IF(_xlpm.v=0,"",_xlpm.v)
),"")</f>
        <v/>
      </c>
      <c r="K2441" s="17"/>
      <c r="L2441" s="17" t="str">
        <f>IF(OR(COUNTIF('クラス'!$A$1:$A$1262,$B2441)&gt;0,$B2441="",$M2441=""),"",True)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6.0</v>
      </c>
      <c r="B2442" s="26" t="s">
        <v>29</v>
      </c>
      <c r="C2442" s="1"/>
      <c r="D2442" s="1"/>
      <c r="E2442" s="14"/>
      <c r="F2442" s="15"/>
      <c r="G2442" s="16"/>
      <c r="H2442" s="11"/>
      <c r="I2442" s="7"/>
      <c r="J2442" s="7" t="str">
        <f>IFERROR(LET(_xlpm.v,
VLOOKUP($I2442,'用語辞書'!$A:$B,COLUMN('用語辞書'!B$1),FALSE),
IF(_xlpm.v=0,"",_xlpm.v)
),"")</f>
        <v/>
      </c>
      <c r="K2442" s="17"/>
      <c r="L2442" s="17" t="str">
        <f>IF(OR(COUNTIF('クラス'!$A$1:$A$1262,$B2442)&gt;0,$B2442="",$M2442=""),"",True)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7.0</v>
      </c>
      <c r="B2443" s="26" t="s">
        <v>2100</v>
      </c>
      <c r="C2443" s="1"/>
      <c r="D2443" s="1"/>
      <c r="E2443" s="14"/>
      <c r="F2443" s="15"/>
      <c r="G2443" s="16"/>
      <c r="H2443" s="11"/>
      <c r="I2443" s="7"/>
      <c r="J2443" s="7" t="str">
        <f>IFERROR(LET(_xlpm.v,
VLOOKUP($I2443,'用語辞書'!$A:$B,COLUMN('用語辞書'!B$1),FALSE),
IF(_xlpm.v=0,"",_xlpm.v)
),"")</f>
        <v/>
      </c>
      <c r="K2443" s="17"/>
      <c r="L2443" s="17" t="str">
        <f>IF(OR(COUNTIF('クラス'!$A$1:$A$1262,$B2443)&gt;0,$B2443="",$M2443=""),"",True)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8.0</v>
      </c>
      <c r="B2444" s="26" t="s">
        <v>29</v>
      </c>
      <c r="C2444" s="1"/>
      <c r="D2444" s="1"/>
      <c r="E2444" s="14"/>
      <c r="F2444" s="15"/>
      <c r="G2444" s="16"/>
      <c r="H2444" s="11"/>
      <c r="I2444" s="7"/>
      <c r="J2444" s="7" t="str">
        <f>IFERROR(LET(_xlpm.v,
VLOOKUP($I2444,'用語辞書'!$A:$B,COLUMN('用語辞書'!B$1),FALSE),
IF(_xlpm.v=0,"",_xlpm.v)
),"")</f>
        <v/>
      </c>
      <c r="K2444" s="17"/>
      <c r="L2444" s="17" t="str">
        <f>IF(OR(COUNTIF('クラス'!$A$1:$A$1262,$B2444)&gt;0,$B2444="",$M2444=""),"",True)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9.0</v>
      </c>
      <c r="B2445" s="26" t="s">
        <v>2136</v>
      </c>
      <c r="C2445" s="1"/>
      <c r="D2445" s="1"/>
      <c r="E2445" s="14"/>
      <c r="F2445" s="15"/>
      <c r="G2445" s="16"/>
      <c r="H2445" s="11"/>
      <c r="I2445" s="7"/>
      <c r="J2445" s="7" t="str">
        <f>IFERROR(LET(_xlpm.v,
VLOOKUP($I2445,'用語辞書'!$A:$B,COLUMN('用語辞書'!B$1),FALSE),
IF(_xlpm.v=0,"",_xlpm.v)
),"")</f>
        <v/>
      </c>
      <c r="K2445" s="17"/>
      <c r="L2445" s="17" t="str">
        <f>IF(OR(COUNTIF('クラス'!$A$1:$A$1262,$B2445)&gt;0,$B2445="",$M2445=""),"",True)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10.0</v>
      </c>
      <c r="B2446" s="26" t="s">
        <v>2380</v>
      </c>
      <c r="C2446" s="26" t="s">
        <v>29</v>
      </c>
      <c r="D2446" s="26" t="s">
        <v>29</v>
      </c>
      <c r="E2446" s="29" t="s">
        <v>33</v>
      </c>
      <c r="F2446" s="34" t="s">
        <v>29</v>
      </c>
      <c r="G2446" s="30">
        <v>60.0</v>
      </c>
      <c r="H2446" s="22" t="s">
        <v>2381</v>
      </c>
      <c r="I2446" s="7"/>
      <c r="J2446" s="7" t="str">
        <f>IFERROR(LET(_xlpm.v,
VLOOKUP($I2446,'用語辞書'!$A:$B,COLUMN('用語辞書'!B$1),FALSE),
IF(_xlpm.v=0,"",_xlpm.v)
),"")</f>
        <v/>
      </c>
      <c r="K2446" s="17"/>
      <c r="L2446" s="17" t="b">
        <f>IF(OR(COUNTIF('クラス'!$A$1:$A$1262,$B2446)&gt;0,$B2446="",$M2446=""),"",True)</f>
        <v>1</v>
      </c>
      <c r="M2446" s="1" t="str">
        <f t="shared" si="30"/>
        <v>存在しない</v>
      </c>
      <c r="N2446" s="1" t="s">
        <v>29</v>
      </c>
      <c r="O2446" s="1"/>
      <c r="P2446" s="11"/>
      <c r="Q2446" s="11"/>
      <c r="R2446" s="11"/>
      <c r="S2446" s="11"/>
      <c r="T2446" s="1"/>
      <c r="U2446" s="1"/>
      <c r="V2446" s="1"/>
      <c r="W2446" s="1"/>
      <c r="X2446" s="1"/>
      <c r="Y2446" s="1"/>
      <c r="Z2446" s="1"/>
    </row>
    <row r="2447" ht="18.0" customHeight="1" collapsed="1">
      <c r="A2447" s="1"/>
      <c r="B2447" s="1"/>
      <c r="C2447" s="1"/>
      <c r="D2447" s="1"/>
      <c r="E2447" s="14"/>
      <c r="F2447" s="15"/>
      <c r="G2447" s="16"/>
      <c r="H2447" s="11"/>
      <c r="I2447" s="7"/>
      <c r="J2447" s="7" t="str">
        <f>IFERROR(LET(_xlpm.v,
VLOOKUP($I2447,'用語辞書'!$A:$B,COLUMN('用語辞書'!B$1),FALSE),
IF(_xlpm.v=0,"",_xlpm.v)
),"")</f>
        <v/>
      </c>
      <c r="K2447" s="17"/>
      <c r="L2447" s="17" t="str">
        <f>IF(OR(COUNTIF('クラス'!$A$1:$A$1262,$B2447)&gt;0,$B2447="",$M2447=""),"",True)</f>
        <v/>
      </c>
      <c r="M2447" s="1" t="str">
        <f t="shared" si="30"/>
        <v>存在しない</v>
      </c>
      <c r="N2447" s="1" t="s">
        <v>29</v>
      </c>
      <c r="O2447" s="1"/>
      <c r="P2447" s="11"/>
      <c r="Q2447" s="11"/>
      <c r="R2447" s="11"/>
      <c r="S2447" s="11"/>
      <c r="T2447" s="1"/>
      <c r="U2447" s="1"/>
      <c r="V2447" s="1"/>
      <c r="W2447" s="1"/>
      <c r="X2447" s="1"/>
      <c r="Y2447" s="1"/>
      <c r="Z2447" s="1"/>
    </row>
    <row r="2448" ht="18.0" customHeight="1">
      <c r="A2448" s="1"/>
      <c r="B2448" s="26" t="s">
        <v>2382</v>
      </c>
      <c r="C2448" s="1"/>
      <c r="D2448" s="1"/>
      <c r="E2448" s="14"/>
      <c r="F2448" s="15"/>
      <c r="G2448" s="16"/>
      <c r="H2448" s="11"/>
      <c r="I2448" s="7"/>
      <c r="J2448" s="7" t="str">
        <f>IFERROR(LET(_xlpm.v,
VLOOKUP($I2448,'用語辞書'!$A:$B,COLUMN('用語辞書'!B$1),FALSE),
IF(_xlpm.v=0,"",_xlpm.v)
),"")</f>
        <v/>
      </c>
      <c r="K2448" s="17"/>
      <c r="L2448" s="17" t="str">
        <f>IF(OR(COUNTIF('クラス'!$A$1:$A$1262,$B2448)&gt;0,$B2448="",$M2448=""),"",True)</f>
        <v/>
      </c>
      <c r="M2448" s="1" t="str">
        <f t="shared" si="30"/>
        <v>存在しない</v>
      </c>
      <c r="N2448" s="1" t="s">
        <v>29</v>
      </c>
      <c r="O2448" s="1"/>
      <c r="P2448" s="11"/>
      <c r="Q2448" s="11"/>
      <c r="R2448" s="11"/>
      <c r="S2448" s="11"/>
      <c r="T2448" s="1"/>
      <c r="U2448" s="1"/>
      <c r="V2448" s="1"/>
      <c r="W2448" s="1"/>
      <c r="X2448" s="1"/>
      <c r="Y2448" s="1"/>
      <c r="Z2448" s="1"/>
    </row>
    <row r="2449" ht="18.0" hidden="1" customHeight="1" outlineLevel="1">
      <c r="A2449" s="1">
        <v>1.0</v>
      </c>
      <c r="B2449" s="26" t="s">
        <v>2375</v>
      </c>
      <c r="C2449" s="1"/>
      <c r="D2449" s="1"/>
      <c r="E2449" s="14"/>
      <c r="F2449" s="15"/>
      <c r="G2449" s="16"/>
      <c r="H2449" s="11"/>
      <c r="I2449" s="7"/>
      <c r="J2449" s="7" t="str">
        <f>IFERROR(LET(_xlpm.v,
VLOOKUP($I2449,'用語辞書'!$A:$B,COLUMN('用語辞書'!B$1),FALSE),
IF(_xlpm.v=0,"",_xlpm.v)
),"")</f>
        <v/>
      </c>
      <c r="K2449" s="17"/>
      <c r="L2449" s="17" t="str">
        <f>IF(OR(COUNTIF('クラス'!$A$1:$A$1262,$B2449)&gt;0,$B2449="",$M2449=""),"",True)</f>
        <v/>
      </c>
      <c r="M2449" s="1" t="str">
        <f t="shared" si="30"/>
        <v/>
      </c>
      <c r="N2449" s="1" t="s">
        <v>29</v>
      </c>
      <c r="O2449" s="1"/>
      <c r="P2449" s="11"/>
      <c r="Q2449" s="11"/>
      <c r="R2449" s="11"/>
      <c r="S2449" s="11"/>
      <c r="T2449" s="1"/>
      <c r="U2449" s="1"/>
      <c r="V2449" s="1"/>
      <c r="W2449" s="1"/>
      <c r="X2449" s="1"/>
      <c r="Y2449" s="1"/>
      <c r="Z2449" s="1"/>
    </row>
    <row r="2450" ht="18.0" hidden="1" customHeight="1" outlineLevel="1">
      <c r="A2450" s="1">
        <v>2.0</v>
      </c>
      <c r="B2450" s="26" t="s">
        <v>29</v>
      </c>
      <c r="C2450" s="1"/>
      <c r="D2450" s="1"/>
      <c r="E2450" s="14"/>
      <c r="F2450" s="15"/>
      <c r="G2450" s="16"/>
      <c r="H2450" s="11"/>
      <c r="I2450" s="7"/>
      <c r="J2450" s="7" t="str">
        <f>IFERROR(LET(_xlpm.v,
VLOOKUP($I2450,'用語辞書'!$A:$B,COLUMN('用語辞書'!B$1),FALSE),
IF(_xlpm.v=0,"",_xlpm.v)
),"")</f>
        <v/>
      </c>
      <c r="K2450" s="17"/>
      <c r="L2450" s="17" t="str">
        <f>IF(OR(COUNTIF('クラス'!$A$1:$A$1262,$B2450)&gt;0,$B2450="",$M2450=""),"",True)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3.0</v>
      </c>
      <c r="B2451" s="26" t="s">
        <v>2378</v>
      </c>
      <c r="C2451" s="1"/>
      <c r="D2451" s="1"/>
      <c r="E2451" s="14"/>
      <c r="F2451" s="15"/>
      <c r="G2451" s="16"/>
      <c r="H2451" s="11"/>
      <c r="I2451" s="7"/>
      <c r="J2451" s="7" t="str">
        <f>IFERROR(LET(_xlpm.v,
VLOOKUP($I2451,'用語辞書'!$A:$B,COLUMN('用語辞書'!B$1),FALSE),
IF(_xlpm.v=0,"",_xlpm.v)
),"")</f>
        <v/>
      </c>
      <c r="K2451" s="17"/>
      <c r="L2451" s="17" t="str">
        <f>IF(OR(COUNTIF('クラス'!$A$1:$A$1262,$B2451)&gt;0,$B2451="",$M2451=""),"",True)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4.0</v>
      </c>
      <c r="B2452" s="26" t="s">
        <v>29</v>
      </c>
      <c r="C2452" s="1"/>
      <c r="D2452" s="1"/>
      <c r="E2452" s="14"/>
      <c r="F2452" s="15"/>
      <c r="G2452" s="16"/>
      <c r="H2452" s="11"/>
      <c r="I2452" s="7"/>
      <c r="J2452" s="7" t="str">
        <f>IFERROR(LET(_xlpm.v,
VLOOKUP($I2452,'用語辞書'!$A:$B,COLUMN('用語辞書'!B$1),FALSE),
IF(_xlpm.v=0,"",_xlpm.v)
),"")</f>
        <v/>
      </c>
      <c r="K2452" s="17"/>
      <c r="L2452" s="17" t="str">
        <f>IF(OR(COUNTIF('クラス'!$A$1:$A$1262,$B2452)&gt;0,$B2452="",$M2452=""),"",True)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5.0</v>
      </c>
      <c r="B2453" s="26" t="s">
        <v>2132</v>
      </c>
      <c r="C2453" s="1"/>
      <c r="D2453" s="1"/>
      <c r="E2453" s="14"/>
      <c r="F2453" s="15"/>
      <c r="G2453" s="16"/>
      <c r="H2453" s="11"/>
      <c r="I2453" s="7"/>
      <c r="J2453" s="7" t="str">
        <f>IFERROR(LET(_xlpm.v,
VLOOKUP($I2453,'用語辞書'!$A:$B,COLUMN('用語辞書'!B$1),FALSE),
IF(_xlpm.v=0,"",_xlpm.v)
),"")</f>
        <v/>
      </c>
      <c r="K2453" s="17"/>
      <c r="L2453" s="17" t="str">
        <f>IF(OR(COUNTIF('クラス'!$A$1:$A$1262,$B2453)&gt;0,$B2453="",$M2453=""),"",True)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6.0</v>
      </c>
      <c r="B2454" s="26" t="s">
        <v>29</v>
      </c>
      <c r="C2454" s="1"/>
      <c r="D2454" s="1"/>
      <c r="E2454" s="14"/>
      <c r="F2454" s="15"/>
      <c r="G2454" s="16"/>
      <c r="H2454" s="11"/>
      <c r="I2454" s="7"/>
      <c r="J2454" s="7" t="str">
        <f>IFERROR(LET(_xlpm.v,
VLOOKUP($I2454,'用語辞書'!$A:$B,COLUMN('用語辞書'!B$1),FALSE),
IF(_xlpm.v=0,"",_xlpm.v)
),"")</f>
        <v/>
      </c>
      <c r="K2454" s="17"/>
      <c r="L2454" s="17" t="str">
        <f>IF(OR(COUNTIF('クラス'!$A$1:$A$1262,$B2454)&gt;0,$B2454="",$M2454=""),"",True)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7.0</v>
      </c>
      <c r="B2455" s="26" t="s">
        <v>1854</v>
      </c>
      <c r="C2455" s="1"/>
      <c r="D2455" s="1"/>
      <c r="E2455" s="14"/>
      <c r="F2455" s="15"/>
      <c r="G2455" s="16"/>
      <c r="H2455" s="11"/>
      <c r="I2455" s="7"/>
      <c r="J2455" s="7" t="str">
        <f>IFERROR(LET(_xlpm.v,
VLOOKUP($I2455,'用語辞書'!$A:$B,COLUMN('用語辞書'!B$1),FALSE),
IF(_xlpm.v=0,"",_xlpm.v)
),"")</f>
        <v/>
      </c>
      <c r="K2455" s="17"/>
      <c r="L2455" s="17" t="str">
        <f>IF(OR(COUNTIF('クラス'!$A$1:$A$1262,$B2455)&gt;0,$B2455="",$M2455=""),"",True)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8.0</v>
      </c>
      <c r="B2456" s="26" t="s">
        <v>29</v>
      </c>
      <c r="C2456" s="1"/>
      <c r="D2456" s="1"/>
      <c r="E2456" s="14"/>
      <c r="F2456" s="15"/>
      <c r="G2456" s="16"/>
      <c r="H2456" s="11"/>
      <c r="I2456" s="7"/>
      <c r="J2456" s="7" t="str">
        <f>IFERROR(LET(_xlpm.v,
VLOOKUP($I2456,'用語辞書'!$A:$B,COLUMN('用語辞書'!B$1),FALSE),
IF(_xlpm.v=0,"",_xlpm.v)
),"")</f>
        <v/>
      </c>
      <c r="K2456" s="17"/>
      <c r="L2456" s="17" t="str">
        <f>IF(OR(COUNTIF('クラス'!$A$1:$A$1262,$B2456)&gt;0,$B2456="",$M2456=""),"",True)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9.0</v>
      </c>
      <c r="B2457" s="26" t="s">
        <v>2136</v>
      </c>
      <c r="C2457" s="1"/>
      <c r="D2457" s="1"/>
      <c r="E2457" s="14"/>
      <c r="F2457" s="15"/>
      <c r="G2457" s="16"/>
      <c r="H2457" s="11"/>
      <c r="I2457" s="7"/>
      <c r="J2457" s="7" t="str">
        <f>IFERROR(LET(_xlpm.v,
VLOOKUP($I2457,'用語辞書'!$A:$B,COLUMN('用語辞書'!B$1),FALSE),
IF(_xlpm.v=0,"",_xlpm.v)
),"")</f>
        <v/>
      </c>
      <c r="K2457" s="17"/>
      <c r="L2457" s="17" t="str">
        <f>IF(OR(COUNTIF('クラス'!$A$1:$A$1262,$B2457)&gt;0,$B2457="",$M2457=""),"",True)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10.0</v>
      </c>
      <c r="B2458" s="26" t="s">
        <v>2383</v>
      </c>
      <c r="C2458" s="26" t="s">
        <v>29</v>
      </c>
      <c r="D2458" s="26" t="s">
        <v>29</v>
      </c>
      <c r="E2458" s="29" t="s">
        <v>33</v>
      </c>
      <c r="F2458" s="34" t="s">
        <v>29</v>
      </c>
      <c r="G2458" s="30">
        <v>60.0</v>
      </c>
      <c r="H2458" s="22" t="s">
        <v>2384</v>
      </c>
      <c r="I2458" s="7"/>
      <c r="J2458" s="7" t="str">
        <f>IFERROR(LET(_xlpm.v,
VLOOKUP($I2458,'用語辞書'!$A:$B,COLUMN('用語辞書'!B$1),FALSE),
IF(_xlpm.v=0,"",_xlpm.v)
),"")</f>
        <v/>
      </c>
      <c r="K2458" s="17"/>
      <c r="L2458" s="17" t="b">
        <f>IF(OR(COUNTIF('クラス'!$A$1:$A$1262,$B2458)&gt;0,$B2458="",$M2458=""),"",True)</f>
        <v>1</v>
      </c>
      <c r="M2458" s="1" t="str">
        <f t="shared" si="30"/>
        <v>存在しない</v>
      </c>
      <c r="N2458" s="1" t="s">
        <v>29</v>
      </c>
      <c r="O2458" s="1"/>
      <c r="P2458" s="11"/>
      <c r="Q2458" s="11"/>
      <c r="R2458" s="11"/>
      <c r="S2458" s="11"/>
      <c r="T2458" s="1"/>
      <c r="U2458" s="1"/>
      <c r="V2458" s="1"/>
      <c r="W2458" s="1"/>
      <c r="X2458" s="1"/>
      <c r="Y2458" s="1"/>
      <c r="Z2458" s="1"/>
    </row>
    <row r="2459" ht="18.0" customHeight="1" collapsed="1">
      <c r="A2459" s="1"/>
      <c r="B2459" s="1"/>
      <c r="C2459" s="26" t="s">
        <v>2385</v>
      </c>
      <c r="D2459" s="1"/>
      <c r="E2459" s="14"/>
      <c r="F2459" s="15"/>
      <c r="G2459" s="16"/>
      <c r="H2459" s="11"/>
      <c r="I2459" s="7"/>
      <c r="J2459" s="7" t="str">
        <f>IFERROR(LET(_xlpm.v,
VLOOKUP($I2459,'用語辞書'!$A:$B,COLUMN('用語辞書'!B$1),FALSE),
IF(_xlpm.v=0,"",_xlpm.v)
),"")</f>
        <v/>
      </c>
      <c r="K2459" s="17"/>
      <c r="L2459" s="17" t="str">
        <f>IF(OR(COUNTIF('クラス'!$A$1:$A$1262,$B2459)&gt;0,$B2459="",$M2459=""),"",True)</f>
        <v/>
      </c>
      <c r="M2459" s="1" t="str">
        <f t="shared" si="30"/>
        <v>存在しない</v>
      </c>
      <c r="N2459" s="1" t="s">
        <v>29</v>
      </c>
      <c r="O2459" s="1"/>
      <c r="P2459" s="11"/>
      <c r="Q2459" s="11"/>
      <c r="R2459" s="11"/>
      <c r="S2459" s="11"/>
      <c r="T2459" s="1"/>
      <c r="U2459" s="1"/>
      <c r="V2459" s="1"/>
      <c r="W2459" s="1"/>
      <c r="X2459" s="1"/>
      <c r="Y2459" s="1"/>
      <c r="Z2459" s="1"/>
    </row>
    <row r="2460" ht="18.0" customHeight="1" outlineLevel="1">
      <c r="A2460" s="1"/>
      <c r="B2460" s="26" t="s">
        <v>2386</v>
      </c>
      <c r="C2460" s="1"/>
      <c r="D2460" s="1"/>
      <c r="E2460" s="14"/>
      <c r="F2460" s="15"/>
      <c r="G2460" s="16"/>
      <c r="H2460" s="11"/>
      <c r="I2460" s="7"/>
      <c r="J2460" s="7" t="str">
        <f>IFERROR(LET(_xlpm.v,
VLOOKUP($I2460,'用語辞書'!$A:$B,COLUMN('用語辞書'!B$1),FALSE),
IF(_xlpm.v=0,"",_xlpm.v)
),"")</f>
        <v/>
      </c>
      <c r="K2460" s="17"/>
      <c r="L2460" s="17" t="str">
        <f>IF(OR(COUNTIF('クラス'!$A$1:$A$1262,$B2460)&gt;0,$B2460="",$M2460=""),"",True)</f>
        <v/>
      </c>
      <c r="M2460" s="1" t="str">
        <f t="shared" si="30"/>
        <v>存在しない</v>
      </c>
      <c r="N2460" s="1" t="s">
        <v>29</v>
      </c>
      <c r="O2460" s="1"/>
      <c r="P2460" s="11"/>
      <c r="Q2460" s="11"/>
      <c r="R2460" s="11"/>
      <c r="S2460" s="11"/>
      <c r="T2460" s="1"/>
      <c r="U2460" s="1"/>
      <c r="V2460" s="1"/>
      <c r="W2460" s="1"/>
      <c r="X2460" s="1"/>
      <c r="Y2460" s="1"/>
      <c r="Z2460" s="1"/>
    </row>
    <row r="2461" ht="18.0" hidden="1" customHeight="1" outlineLevel="2">
      <c r="A2461" s="1">
        <v>1.0</v>
      </c>
      <c r="B2461" s="26" t="s">
        <v>2239</v>
      </c>
      <c r="C2461" s="1"/>
      <c r="D2461" s="1"/>
      <c r="E2461" s="14"/>
      <c r="F2461" s="15"/>
      <c r="G2461" s="16"/>
      <c r="H2461" s="11"/>
      <c r="I2461" s="7"/>
      <c r="J2461" s="7" t="str">
        <f>IFERROR(LET(_xlpm.v,
VLOOKUP($I2461,'用語辞書'!$A:$B,COLUMN('用語辞書'!B$1),FALSE),
IF(_xlpm.v=0,"",_xlpm.v)
),"")</f>
        <v/>
      </c>
      <c r="K2461" s="17"/>
      <c r="L2461" s="17" t="str">
        <f>IF(OR(COUNTIF('クラス'!$A$1:$A$1262,$B2461)&gt;0,$B2461="",$M2461=""),"",True)</f>
        <v/>
      </c>
      <c r="M2461" s="1" t="str">
        <f t="shared" si="30"/>
        <v/>
      </c>
      <c r="N2461" s="1" t="s">
        <v>29</v>
      </c>
      <c r="O2461" s="1"/>
      <c r="P2461" s="11"/>
      <c r="Q2461" s="11"/>
      <c r="R2461" s="11"/>
      <c r="S2461" s="11"/>
      <c r="T2461" s="1"/>
      <c r="U2461" s="1"/>
      <c r="V2461" s="1"/>
      <c r="W2461" s="1"/>
      <c r="X2461" s="1"/>
      <c r="Y2461" s="1"/>
      <c r="Z2461" s="1"/>
    </row>
    <row r="2462" ht="18.0" hidden="1" customHeight="1" outlineLevel="2">
      <c r="A2462" s="1">
        <v>2.0</v>
      </c>
      <c r="B2462" s="26" t="s">
        <v>29</v>
      </c>
      <c r="C2462" s="1"/>
      <c r="D2462" s="1"/>
      <c r="E2462" s="14"/>
      <c r="F2462" s="15"/>
      <c r="G2462" s="16"/>
      <c r="H2462" s="11"/>
      <c r="I2462" s="7"/>
      <c r="J2462" s="7" t="str">
        <f>IFERROR(LET(_xlpm.v,
VLOOKUP($I2462,'用語辞書'!$A:$B,COLUMN('用語辞書'!B$1),FALSE),
IF(_xlpm.v=0,"",_xlpm.v)
),"")</f>
        <v/>
      </c>
      <c r="K2462" s="17"/>
      <c r="L2462" s="17" t="str">
        <f>IF(OR(COUNTIF('クラス'!$A$1:$A$1262,$B2462)&gt;0,$B2462="",$M2462=""),"",True)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3.0</v>
      </c>
      <c r="B2463" s="26" t="s">
        <v>1259</v>
      </c>
      <c r="C2463" s="1"/>
      <c r="D2463" s="1"/>
      <c r="E2463" s="14"/>
      <c r="F2463" s="15"/>
      <c r="G2463" s="16"/>
      <c r="H2463" s="11"/>
      <c r="I2463" s="7"/>
      <c r="J2463" s="7" t="str">
        <f>IFERROR(LET(_xlpm.v,
VLOOKUP($I2463,'用語辞書'!$A:$B,COLUMN('用語辞書'!B$1),FALSE),
IF(_xlpm.v=0,"",_xlpm.v)
),"")</f>
        <v/>
      </c>
      <c r="K2463" s="17"/>
      <c r="L2463" s="17" t="str">
        <f>IF(OR(COUNTIF('クラス'!$A$1:$A$1262,$B2463)&gt;0,$B2463="",$M2463=""),"",True)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4.0</v>
      </c>
      <c r="B2464" s="26" t="s">
        <v>29</v>
      </c>
      <c r="C2464" s="1"/>
      <c r="D2464" s="1"/>
      <c r="E2464" s="14"/>
      <c r="F2464" s="15"/>
      <c r="G2464" s="16"/>
      <c r="H2464" s="11"/>
      <c r="I2464" s="7"/>
      <c r="J2464" s="7" t="str">
        <f>IFERROR(LET(_xlpm.v,
VLOOKUP($I2464,'用語辞書'!$A:$B,COLUMN('用語辞書'!B$1),FALSE),
IF(_xlpm.v=0,"",_xlpm.v)
),"")</f>
        <v/>
      </c>
      <c r="K2464" s="17"/>
      <c r="L2464" s="17" t="str">
        <f>IF(OR(COUNTIF('クラス'!$A$1:$A$1262,$B2464)&gt;0,$B2464="",$M2464=""),"",True)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5.0</v>
      </c>
      <c r="B2465" s="26" t="s">
        <v>2100</v>
      </c>
      <c r="C2465" s="1"/>
      <c r="D2465" s="1"/>
      <c r="E2465" s="14"/>
      <c r="F2465" s="15"/>
      <c r="G2465" s="16"/>
      <c r="H2465" s="11"/>
      <c r="I2465" s="7"/>
      <c r="J2465" s="7" t="str">
        <f>IFERROR(LET(_xlpm.v,
VLOOKUP($I2465,'用語辞書'!$A:$B,COLUMN('用語辞書'!B$1),FALSE),
IF(_xlpm.v=0,"",_xlpm.v)
),"")</f>
        <v/>
      </c>
      <c r="K2465" s="17"/>
      <c r="L2465" s="17" t="str">
        <f>IF(OR(COUNTIF('クラス'!$A$1:$A$1262,$B2465)&gt;0,$B2465="",$M2465=""),"",True)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6.0</v>
      </c>
      <c r="B2466" s="26" t="s">
        <v>29</v>
      </c>
      <c r="C2466" s="1"/>
      <c r="D2466" s="1"/>
      <c r="E2466" s="14"/>
      <c r="F2466" s="15"/>
      <c r="G2466" s="16"/>
      <c r="H2466" s="11"/>
      <c r="I2466" s="7"/>
      <c r="J2466" s="7" t="str">
        <f>IFERROR(LET(_xlpm.v,
VLOOKUP($I2466,'用語辞書'!$A:$B,COLUMN('用語辞書'!B$1),FALSE),
IF(_xlpm.v=0,"",_xlpm.v)
),"")</f>
        <v/>
      </c>
      <c r="K2466" s="17"/>
      <c r="L2466" s="17" t="str">
        <f>IF(OR(COUNTIF('クラス'!$A$1:$A$1262,$B2466)&gt;0,$B2466="",$M2466=""),"",True)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7.0</v>
      </c>
      <c r="B2467" s="26" t="s">
        <v>2387</v>
      </c>
      <c r="C2467" s="26" t="s">
        <v>29</v>
      </c>
      <c r="D2467" s="26" t="s">
        <v>29</v>
      </c>
      <c r="E2467" s="29" t="s">
        <v>33</v>
      </c>
      <c r="F2467" s="34" t="s">
        <v>29</v>
      </c>
      <c r="G2467" s="30">
        <v>40.0</v>
      </c>
      <c r="H2467" s="22" t="s">
        <v>2388</v>
      </c>
      <c r="I2467" s="7"/>
      <c r="J2467" s="7" t="str">
        <f>IFERROR(LET(_xlpm.v,
VLOOKUP($I2467,'用語辞書'!$A:$B,COLUMN('用語辞書'!B$1),FALSE),
IF(_xlpm.v=0,"",_xlpm.v)
),"")</f>
        <v/>
      </c>
      <c r="K2467" s="17"/>
      <c r="L2467" s="17" t="b">
        <f>IF(OR(COUNTIF('クラス'!$A$1:$A$1262,$B2467)&gt;0,$B2467="",$M2467=""),"",True)</f>
        <v>1</v>
      </c>
      <c r="M2467" s="1" t="str">
        <f t="shared" si="30"/>
        <v>存在しない</v>
      </c>
      <c r="N2467" s="1" t="s">
        <v>29</v>
      </c>
      <c r="O2467" s="1"/>
      <c r="P2467" s="11"/>
      <c r="Q2467" s="11"/>
      <c r="R2467" s="11"/>
      <c r="S2467" s="11"/>
      <c r="T2467" s="1"/>
      <c r="U2467" s="1"/>
      <c r="V2467" s="1"/>
      <c r="W2467" s="1"/>
      <c r="X2467" s="1"/>
      <c r="Y2467" s="1"/>
      <c r="Z2467" s="1"/>
    </row>
    <row r="2468" ht="18.0" hidden="1" customHeight="1" outlineLevel="2">
      <c r="A2468" s="1">
        <v>8.0</v>
      </c>
      <c r="B2468" s="26" t="s">
        <v>29</v>
      </c>
      <c r="C2468" s="1"/>
      <c r="D2468" s="1"/>
      <c r="E2468" s="14"/>
      <c r="F2468" s="15"/>
      <c r="G2468" s="16"/>
      <c r="H2468" s="11"/>
      <c r="I2468" s="7"/>
      <c r="J2468" s="7" t="str">
        <f>IFERROR(LET(_xlpm.v,
VLOOKUP($I2468,'用語辞書'!$A:$B,COLUMN('用語辞書'!B$1),FALSE),
IF(_xlpm.v=0,"",_xlpm.v)
),"")</f>
        <v/>
      </c>
      <c r="K2468" s="17"/>
      <c r="L2468" s="17" t="str">
        <f>IF(OR(COUNTIF('クラス'!$A$1:$A$1262,$B2468)&gt;0,$B2468="",$M2468=""),"",True)</f>
        <v/>
      </c>
      <c r="M2468" s="1" t="str">
        <f t="shared" si="30"/>
        <v/>
      </c>
      <c r="N2468" s="1" t="s">
        <v>29</v>
      </c>
      <c r="O2468" s="1"/>
      <c r="P2468" s="11"/>
      <c r="Q2468" s="11"/>
      <c r="R2468" s="11"/>
      <c r="S2468" s="11"/>
      <c r="T2468" s="1"/>
      <c r="U2468" s="1"/>
      <c r="V2468" s="1"/>
      <c r="W2468" s="1"/>
      <c r="X2468" s="1"/>
      <c r="Y2468" s="1"/>
      <c r="Z2468" s="1"/>
    </row>
    <row r="2469" ht="18.0" hidden="1" customHeight="1" outlineLevel="2">
      <c r="A2469" s="1">
        <v>9.0</v>
      </c>
      <c r="B2469" s="26" t="s">
        <v>1500</v>
      </c>
      <c r="C2469" s="1"/>
      <c r="D2469" s="1"/>
      <c r="E2469" s="14"/>
      <c r="F2469" s="15"/>
      <c r="G2469" s="16"/>
      <c r="H2469" s="11"/>
      <c r="I2469" s="7"/>
      <c r="J2469" s="7" t="str">
        <f>IFERROR(LET(_xlpm.v,
VLOOKUP($I2469,'用語辞書'!$A:$B,COLUMN('用語辞書'!B$1),FALSE),
IF(_xlpm.v=0,"",_xlpm.v)
),"")</f>
        <v/>
      </c>
      <c r="K2469" s="17"/>
      <c r="L2469" s="17" t="str">
        <f>IF(OR(COUNTIF('クラス'!$A$1:$A$1262,$B2469)&gt;0,$B2469="",$M2469=""),"",True)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10.0</v>
      </c>
      <c r="B2470" s="26" t="s">
        <v>2389</v>
      </c>
      <c r="C2470" s="26" t="s">
        <v>29</v>
      </c>
      <c r="D2470" s="26" t="s">
        <v>29</v>
      </c>
      <c r="E2470" s="29" t="s">
        <v>33</v>
      </c>
      <c r="F2470" s="34" t="s">
        <v>29</v>
      </c>
      <c r="G2470" s="30">
        <v>60.0</v>
      </c>
      <c r="H2470" s="22" t="s">
        <v>2390</v>
      </c>
      <c r="I2470" s="7"/>
      <c r="J2470" s="7" t="str">
        <f>IFERROR(LET(_xlpm.v,
VLOOKUP($I2470,'用語辞書'!$A:$B,COLUMN('用語辞書'!B$1),FALSE),
IF(_xlpm.v=0,"",_xlpm.v)
),"")</f>
        <v/>
      </c>
      <c r="K2470" s="17"/>
      <c r="L2470" s="17" t="b">
        <f>IF(OR(COUNTIF('クラス'!$A$1:$A$1262,$B2470)&gt;0,$B2470="",$M2470=""),"",True)</f>
        <v>1</v>
      </c>
      <c r="M2470" s="1" t="str">
        <f t="shared" si="30"/>
        <v>存在しない</v>
      </c>
      <c r="N2470" s="1" t="s">
        <v>29</v>
      </c>
      <c r="O2470" s="1"/>
      <c r="P2470" s="11"/>
      <c r="Q2470" s="11"/>
      <c r="R2470" s="11"/>
      <c r="S2470" s="11"/>
      <c r="T2470" s="1"/>
      <c r="U2470" s="1"/>
      <c r="V2470" s="1"/>
      <c r="W2470" s="1"/>
      <c r="X2470" s="1"/>
      <c r="Y2470" s="1"/>
      <c r="Z2470" s="1"/>
    </row>
    <row r="2471" ht="18.0" customHeight="1" outlineLevel="1" collapsed="1">
      <c r="A2471" s="1"/>
      <c r="B2471" s="1"/>
      <c r="C2471" s="1"/>
      <c r="D2471" s="1"/>
      <c r="E2471" s="14"/>
      <c r="F2471" s="15"/>
      <c r="G2471" s="16"/>
      <c r="H2471" s="11"/>
      <c r="I2471" s="7"/>
      <c r="J2471" s="7" t="str">
        <f>IFERROR(LET(_xlpm.v,
VLOOKUP($I2471,'用語辞書'!$A:$B,COLUMN('用語辞書'!B$1),FALSE),
IF(_xlpm.v=0,"",_xlpm.v)
),"")</f>
        <v/>
      </c>
      <c r="K2471" s="17"/>
      <c r="L2471" s="17" t="str">
        <f>IF(OR(COUNTIF('クラス'!$A$1:$A$1262,$B2471)&gt;0,$B2471="",$M2471=""),"",True)</f>
        <v/>
      </c>
      <c r="M2471" s="1" t="str">
        <f t="shared" si="30"/>
        <v>存在しない</v>
      </c>
      <c r="N2471" s="1" t="s">
        <v>29</v>
      </c>
      <c r="O2471" s="1"/>
      <c r="P2471" s="11"/>
      <c r="Q2471" s="11"/>
      <c r="R2471" s="11"/>
      <c r="S2471" s="11"/>
      <c r="T2471" s="1"/>
      <c r="U2471" s="1"/>
      <c r="V2471" s="1"/>
      <c r="W2471" s="1"/>
      <c r="X2471" s="1"/>
      <c r="Y2471" s="1"/>
      <c r="Z2471" s="1"/>
    </row>
    <row r="2472" ht="18.0" customHeight="1" outlineLevel="1">
      <c r="A2472" s="1"/>
      <c r="B2472" s="26" t="s">
        <v>2391</v>
      </c>
      <c r="C2472" s="1"/>
      <c r="D2472" s="1"/>
      <c r="E2472" s="14"/>
      <c r="F2472" s="15"/>
      <c r="G2472" s="16"/>
      <c r="H2472" s="11"/>
      <c r="I2472" s="7"/>
      <c r="J2472" s="7" t="str">
        <f>IFERROR(LET(_xlpm.v,
VLOOKUP($I2472,'用語辞書'!$A:$B,COLUMN('用語辞書'!B$1),FALSE),
IF(_xlpm.v=0,"",_xlpm.v)
),"")</f>
        <v/>
      </c>
      <c r="K2472" s="17"/>
      <c r="L2472" s="17" t="str">
        <f>IF(OR(COUNTIF('クラス'!$A$1:$A$1262,$B2472)&gt;0,$B2472="",$M2472=""),"",True)</f>
        <v/>
      </c>
      <c r="M2472" s="1" t="str">
        <f t="shared" si="30"/>
        <v>存在しない</v>
      </c>
      <c r="N2472" s="1" t="s">
        <v>29</v>
      </c>
      <c r="O2472" s="1"/>
      <c r="P2472" s="11"/>
      <c r="Q2472" s="11"/>
      <c r="R2472" s="11"/>
      <c r="S2472" s="11"/>
      <c r="T2472" s="1"/>
      <c r="U2472" s="1"/>
      <c r="V2472" s="1"/>
      <c r="W2472" s="1"/>
      <c r="X2472" s="1"/>
      <c r="Y2472" s="1"/>
      <c r="Z2472" s="1"/>
    </row>
    <row r="2473" ht="18.0" hidden="1" customHeight="1" outlineLevel="2">
      <c r="A2473" s="1">
        <v>1.0</v>
      </c>
      <c r="B2473" s="26" t="s">
        <v>2239</v>
      </c>
      <c r="C2473" s="1"/>
      <c r="D2473" s="1"/>
      <c r="E2473" s="14"/>
      <c r="F2473" s="15"/>
      <c r="G2473" s="16"/>
      <c r="H2473" s="11"/>
      <c r="I2473" s="7"/>
      <c r="J2473" s="7" t="str">
        <f>IFERROR(LET(_xlpm.v,
VLOOKUP($I2473,'用語辞書'!$A:$B,COLUMN('用語辞書'!B$1),FALSE),
IF(_xlpm.v=0,"",_xlpm.v)
),"")</f>
        <v/>
      </c>
      <c r="K2473" s="17"/>
      <c r="L2473" s="17" t="str">
        <f>IF(OR(COUNTIF('クラス'!$A$1:$A$1262,$B2473)&gt;0,$B2473="",$M2473=""),"",True)</f>
        <v/>
      </c>
      <c r="M2473" s="1" t="str">
        <f t="shared" si="30"/>
        <v/>
      </c>
      <c r="N2473" s="1" t="s">
        <v>29</v>
      </c>
      <c r="O2473" s="1"/>
      <c r="P2473" s="11"/>
      <c r="Q2473" s="11"/>
      <c r="R2473" s="11"/>
      <c r="S2473" s="11"/>
      <c r="T2473" s="1"/>
      <c r="U2473" s="1"/>
      <c r="V2473" s="1"/>
      <c r="W2473" s="1"/>
      <c r="X2473" s="1"/>
      <c r="Y2473" s="1"/>
      <c r="Z2473" s="1"/>
    </row>
    <row r="2474" ht="18.0" hidden="1" customHeight="1" outlineLevel="2">
      <c r="A2474" s="1">
        <v>2.0</v>
      </c>
      <c r="B2474" s="26" t="s">
        <v>29</v>
      </c>
      <c r="C2474" s="1"/>
      <c r="D2474" s="1"/>
      <c r="E2474" s="14"/>
      <c r="F2474" s="15"/>
      <c r="G2474" s="16"/>
      <c r="H2474" s="11"/>
      <c r="I2474" s="7"/>
      <c r="J2474" s="7" t="str">
        <f>IFERROR(LET(_xlpm.v,
VLOOKUP($I2474,'用語辞書'!$A:$B,COLUMN('用語辞書'!B$1),FALSE),
IF(_xlpm.v=0,"",_xlpm.v)
),"")</f>
        <v/>
      </c>
      <c r="K2474" s="17"/>
      <c r="L2474" s="17" t="str">
        <f>IF(OR(COUNTIF('クラス'!$A$1:$A$1262,$B2474)&gt;0,$B2474="",$M2474=""),"",True)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3.0</v>
      </c>
      <c r="B2475" s="26" t="s">
        <v>2387</v>
      </c>
      <c r="C2475" s="1"/>
      <c r="D2475" s="1"/>
      <c r="E2475" s="14"/>
      <c r="F2475" s="15"/>
      <c r="G2475" s="16"/>
      <c r="H2475" s="11"/>
      <c r="I2475" s="7"/>
      <c r="J2475" s="7" t="str">
        <f>IFERROR(LET(_xlpm.v,
VLOOKUP($I2475,'用語辞書'!$A:$B,COLUMN('用語辞書'!B$1),FALSE),
IF(_xlpm.v=0,"",_xlpm.v)
),"")</f>
        <v/>
      </c>
      <c r="K2475" s="17"/>
      <c r="L2475" s="17" t="str">
        <f>IF(OR(COUNTIF('クラス'!$A$1:$A$1262,$B2475)&gt;0,$B2475="",$M2475=""),"",True)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4.0</v>
      </c>
      <c r="B2476" s="26" t="s">
        <v>29</v>
      </c>
      <c r="C2476" s="1"/>
      <c r="D2476" s="1"/>
      <c r="E2476" s="14"/>
      <c r="F2476" s="15"/>
      <c r="G2476" s="16"/>
      <c r="H2476" s="11"/>
      <c r="I2476" s="7"/>
      <c r="J2476" s="7" t="str">
        <f>IFERROR(LET(_xlpm.v,
VLOOKUP($I2476,'用語辞書'!$A:$B,COLUMN('用語辞書'!B$1),FALSE),
IF(_xlpm.v=0,"",_xlpm.v)
),"")</f>
        <v/>
      </c>
      <c r="K2476" s="17"/>
      <c r="L2476" s="17" t="str">
        <f>IF(OR(COUNTIF('クラス'!$A$1:$A$1262,$B2476)&gt;0,$B2476="",$M2476=""),"",True)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5.0</v>
      </c>
      <c r="B2477" s="26" t="s">
        <v>1399</v>
      </c>
      <c r="C2477" s="1"/>
      <c r="D2477" s="1"/>
      <c r="E2477" s="14"/>
      <c r="F2477" s="15"/>
      <c r="G2477" s="16"/>
      <c r="H2477" s="11"/>
      <c r="I2477" s="7"/>
      <c r="J2477" s="7" t="str">
        <f>IFERROR(LET(_xlpm.v,
VLOOKUP($I2477,'用語辞書'!$A:$B,COLUMN('用語辞書'!B$1),FALSE),
IF(_xlpm.v=0,"",_xlpm.v)
),"")</f>
        <v/>
      </c>
      <c r="K2477" s="17"/>
      <c r="L2477" s="17" t="str">
        <f>IF(OR(COUNTIF('クラス'!$A$1:$A$1262,$B2477)&gt;0,$B2477="",$M2477=""),"",True)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6.0</v>
      </c>
      <c r="B2478" s="26" t="s">
        <v>29</v>
      </c>
      <c r="C2478" s="1"/>
      <c r="D2478" s="1"/>
      <c r="E2478" s="14"/>
      <c r="F2478" s="15"/>
      <c r="G2478" s="16"/>
      <c r="H2478" s="11"/>
      <c r="I2478" s="7"/>
      <c r="J2478" s="7" t="str">
        <f>IFERROR(LET(_xlpm.v,
VLOOKUP($I2478,'用語辞書'!$A:$B,COLUMN('用語辞書'!B$1),FALSE),
IF(_xlpm.v=0,"",_xlpm.v)
),"")</f>
        <v/>
      </c>
      <c r="K2478" s="17"/>
      <c r="L2478" s="17" t="str">
        <f>IF(OR(COUNTIF('クラス'!$A$1:$A$1262,$B2478)&gt;0,$B2478="",$M2478=""),"",True)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7.0</v>
      </c>
      <c r="B2479" s="26" t="s">
        <v>1854</v>
      </c>
      <c r="C2479" s="1"/>
      <c r="D2479" s="1"/>
      <c r="E2479" s="14"/>
      <c r="F2479" s="15"/>
      <c r="G2479" s="16"/>
      <c r="H2479" s="11"/>
      <c r="I2479" s="7"/>
      <c r="J2479" s="7" t="str">
        <f>IFERROR(LET(_xlpm.v,
VLOOKUP($I2479,'用語辞書'!$A:$B,COLUMN('用語辞書'!B$1),FALSE),
IF(_xlpm.v=0,"",_xlpm.v)
),"")</f>
        <v/>
      </c>
      <c r="K2479" s="17"/>
      <c r="L2479" s="17" t="str">
        <f>IF(OR(COUNTIF('クラス'!$A$1:$A$1262,$B2479)&gt;0,$B2479="",$M2479=""),"",True)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8.0</v>
      </c>
      <c r="B2480" s="26" t="s">
        <v>29</v>
      </c>
      <c r="C2480" s="1"/>
      <c r="D2480" s="1"/>
      <c r="E2480" s="14"/>
      <c r="F2480" s="15"/>
      <c r="G2480" s="16"/>
      <c r="H2480" s="11"/>
      <c r="I2480" s="7"/>
      <c r="J2480" s="7" t="str">
        <f>IFERROR(LET(_xlpm.v,
VLOOKUP($I2480,'用語辞書'!$A:$B,COLUMN('用語辞書'!B$1),FALSE),
IF(_xlpm.v=0,"",_xlpm.v)
),"")</f>
        <v/>
      </c>
      <c r="K2480" s="17"/>
      <c r="L2480" s="17" t="str">
        <f>IF(OR(COUNTIF('クラス'!$A$1:$A$1262,$B2480)&gt;0,$B2480="",$M2480=""),"",True)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9.0</v>
      </c>
      <c r="B2481" s="26" t="s">
        <v>1263</v>
      </c>
      <c r="C2481" s="1"/>
      <c r="D2481" s="1"/>
      <c r="E2481" s="14"/>
      <c r="F2481" s="15"/>
      <c r="G2481" s="16"/>
      <c r="H2481" s="11"/>
      <c r="I2481" s="7"/>
      <c r="J2481" s="7" t="str">
        <f>IFERROR(LET(_xlpm.v,
VLOOKUP($I2481,'用語辞書'!$A:$B,COLUMN('用語辞書'!B$1),FALSE),
IF(_xlpm.v=0,"",_xlpm.v)
),"")</f>
        <v/>
      </c>
      <c r="K2481" s="17"/>
      <c r="L2481" s="17" t="str">
        <f>IF(OR(COUNTIF('クラス'!$A$1:$A$1262,$B2481)&gt;0,$B2481="",$M2481=""),"",True)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10.0</v>
      </c>
      <c r="B2482" s="26" t="s">
        <v>2392</v>
      </c>
      <c r="C2482" s="26" t="s">
        <v>29</v>
      </c>
      <c r="D2482" s="26" t="s">
        <v>29</v>
      </c>
      <c r="E2482" s="29" t="s">
        <v>33</v>
      </c>
      <c r="F2482" s="34" t="s">
        <v>29</v>
      </c>
      <c r="G2482" s="30">
        <v>60.0</v>
      </c>
      <c r="H2482" s="22" t="s">
        <v>2393</v>
      </c>
      <c r="I2482" s="7"/>
      <c r="J2482" s="7" t="str">
        <f>IFERROR(LET(_xlpm.v,
VLOOKUP($I2482,'用語辞書'!$A:$B,COLUMN('用語辞書'!B$1),FALSE),
IF(_xlpm.v=0,"",_xlpm.v)
),"")</f>
        <v/>
      </c>
      <c r="K2482" s="17"/>
      <c r="L2482" s="17" t="b">
        <f>IF(OR(COUNTIF('クラス'!$A$1:$A$1262,$B2482)&gt;0,$B2482="",$M2482=""),"",True)</f>
        <v>1</v>
      </c>
      <c r="M2482" s="1" t="str">
        <f t="shared" si="30"/>
        <v>存在しない</v>
      </c>
      <c r="N2482" s="1" t="s">
        <v>29</v>
      </c>
      <c r="O2482" s="1"/>
      <c r="P2482" s="11"/>
      <c r="Q2482" s="11"/>
      <c r="R2482" s="11"/>
      <c r="S2482" s="11"/>
      <c r="T2482" s="1"/>
      <c r="U2482" s="1"/>
      <c r="V2482" s="1"/>
      <c r="W2482" s="1"/>
      <c r="X2482" s="1"/>
      <c r="Y2482" s="1"/>
      <c r="Z2482" s="1"/>
    </row>
    <row r="2483" ht="18.0" customHeight="1" collapsed="1">
      <c r="A2483" s="1"/>
      <c r="B2483" s="1"/>
      <c r="C2483" s="26" t="s">
        <v>2394</v>
      </c>
      <c r="D2483" s="1"/>
      <c r="E2483" s="14"/>
      <c r="F2483" s="15"/>
      <c r="G2483" s="16"/>
      <c r="H2483" s="11"/>
      <c r="I2483" s="7"/>
      <c r="J2483" s="7" t="str">
        <f>IFERROR(LET(_xlpm.v,
VLOOKUP($I2483,'用語辞書'!$A:$B,COLUMN('用語辞書'!B$1),FALSE),
IF(_xlpm.v=0,"",_xlpm.v)
),"")</f>
        <v/>
      </c>
      <c r="K2483" s="17"/>
      <c r="L2483" s="17" t="str">
        <f>IF(OR(COUNTIF('クラス'!$A$1:$A$1262,$B2483)&gt;0,$B2483="",$M2483=""),"",True)</f>
        <v/>
      </c>
      <c r="M2483" s="1" t="str">
        <f t="shared" si="30"/>
        <v>存在しない</v>
      </c>
      <c r="N2483" s="1" t="s">
        <v>29</v>
      </c>
      <c r="O2483" s="1"/>
      <c r="P2483" s="11"/>
      <c r="Q2483" s="11"/>
      <c r="R2483" s="11"/>
      <c r="S2483" s="11"/>
      <c r="T2483" s="1"/>
      <c r="U2483" s="1"/>
      <c r="V2483" s="1"/>
      <c r="W2483" s="1"/>
      <c r="X2483" s="1"/>
      <c r="Y2483" s="1"/>
      <c r="Z2483" s="1"/>
    </row>
    <row r="2484" ht="18.0" customHeight="1" outlineLevel="1">
      <c r="A2484" s="1"/>
      <c r="B2484" s="26" t="s">
        <v>2395</v>
      </c>
      <c r="C2484" s="1"/>
      <c r="D2484" s="1"/>
      <c r="E2484" s="14"/>
      <c r="F2484" s="15"/>
      <c r="G2484" s="16"/>
      <c r="H2484" s="11"/>
      <c r="I2484" s="7"/>
      <c r="J2484" s="7" t="str">
        <f>IFERROR(LET(_xlpm.v,
VLOOKUP($I2484,'用語辞書'!$A:$B,COLUMN('用語辞書'!B$1),FALSE),
IF(_xlpm.v=0,"",_xlpm.v)
),"")</f>
        <v/>
      </c>
      <c r="K2484" s="17"/>
      <c r="L2484" s="17" t="str">
        <f>IF(OR(COUNTIF('クラス'!$A$1:$A$1262,$B2484)&gt;0,$B2484="",$M2484=""),"",True)</f>
        <v/>
      </c>
      <c r="M2484" s="1" t="str">
        <f t="shared" si="30"/>
        <v>存在しない</v>
      </c>
      <c r="N2484" s="1" t="s">
        <v>29</v>
      </c>
      <c r="O2484" s="1"/>
      <c r="P2484" s="11"/>
      <c r="Q2484" s="11"/>
      <c r="R2484" s="11"/>
      <c r="S2484" s="11"/>
      <c r="T2484" s="1"/>
      <c r="U2484" s="1"/>
      <c r="V2484" s="1"/>
      <c r="W2484" s="1"/>
      <c r="X2484" s="1"/>
      <c r="Y2484" s="1"/>
      <c r="Z2484" s="1"/>
    </row>
    <row r="2485" ht="18.0" hidden="1" customHeight="1" outlineLevel="2">
      <c r="A2485" s="1">
        <v>1.0</v>
      </c>
      <c r="B2485" s="26" t="s">
        <v>2396</v>
      </c>
      <c r="C2485" s="1"/>
      <c r="D2485" s="1"/>
      <c r="E2485" s="14"/>
      <c r="F2485" s="15"/>
      <c r="G2485" s="16"/>
      <c r="H2485" s="11"/>
      <c r="I2485" s="7"/>
      <c r="J2485" s="7" t="str">
        <f>IFERROR(LET(_xlpm.v,
VLOOKUP($I2485,'用語辞書'!$A:$B,COLUMN('用語辞書'!B$1),FALSE),
IF(_xlpm.v=0,"",_xlpm.v)
),"")</f>
        <v/>
      </c>
      <c r="K2485" s="17"/>
      <c r="L2485" s="17" t="str">
        <f>IF(OR(COUNTIF('クラス'!$A$1:$A$1262,$B2485)&gt;0,$B2485="",$M2485=""),"",True)</f>
        <v/>
      </c>
      <c r="M2485" s="1" t="str">
        <f t="shared" si="30"/>
        <v/>
      </c>
      <c r="N2485" s="1" t="s">
        <v>29</v>
      </c>
      <c r="O2485" s="1"/>
      <c r="P2485" s="11"/>
      <c r="Q2485" s="11"/>
      <c r="R2485" s="11"/>
      <c r="S2485" s="11"/>
      <c r="T2485" s="1"/>
      <c r="U2485" s="1"/>
      <c r="V2485" s="1"/>
      <c r="W2485" s="1"/>
      <c r="X2485" s="1"/>
      <c r="Y2485" s="1"/>
      <c r="Z2485" s="1"/>
    </row>
    <row r="2486" ht="18.0" hidden="1" customHeight="1" outlineLevel="2">
      <c r="A2486" s="1">
        <v>2.0</v>
      </c>
      <c r="B2486" s="26" t="s">
        <v>29</v>
      </c>
      <c r="C2486" s="1"/>
      <c r="D2486" s="1"/>
      <c r="E2486" s="14"/>
      <c r="F2486" s="15"/>
      <c r="G2486" s="16"/>
      <c r="H2486" s="11"/>
      <c r="I2486" s="7"/>
      <c r="J2486" s="7" t="str">
        <f>IFERROR(LET(_xlpm.v,
VLOOKUP($I2486,'用語辞書'!$A:$B,COLUMN('用語辞書'!B$1),FALSE),
IF(_xlpm.v=0,"",_xlpm.v)
),"")</f>
        <v/>
      </c>
      <c r="K2486" s="17"/>
      <c r="L2486" s="17" t="str">
        <f>IF(OR(COUNTIF('クラス'!$A$1:$A$1262,$B2486)&gt;0,$B2486="",$M2486=""),"",True)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3.0</v>
      </c>
      <c r="B2487" s="26" t="s">
        <v>282</v>
      </c>
      <c r="C2487" s="1"/>
      <c r="D2487" s="1"/>
      <c r="E2487" s="14"/>
      <c r="F2487" s="15"/>
      <c r="G2487" s="16"/>
      <c r="H2487" s="11"/>
      <c r="I2487" s="7"/>
      <c r="J2487" s="7" t="str">
        <f>IFERROR(LET(_xlpm.v,
VLOOKUP($I2487,'用語辞書'!$A:$B,COLUMN('用語辞書'!B$1),FALSE),
IF(_xlpm.v=0,"",_xlpm.v)
),"")</f>
        <v/>
      </c>
      <c r="K2487" s="17"/>
      <c r="L2487" s="17" t="str">
        <f>IF(OR(COUNTIF('クラス'!$A$1:$A$1262,$B2487)&gt;0,$B2487="",$M2487=""),"",True)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4.0</v>
      </c>
      <c r="B2488" s="26" t="s">
        <v>29</v>
      </c>
      <c r="C2488" s="1"/>
      <c r="D2488" s="1"/>
      <c r="E2488" s="14"/>
      <c r="F2488" s="15"/>
      <c r="G2488" s="16"/>
      <c r="H2488" s="11"/>
      <c r="I2488" s="7"/>
      <c r="J2488" s="7" t="str">
        <f>IFERROR(LET(_xlpm.v,
VLOOKUP($I2488,'用語辞書'!$A:$B,COLUMN('用語辞書'!B$1),FALSE),
IF(_xlpm.v=0,"",_xlpm.v)
),"")</f>
        <v/>
      </c>
      <c r="K2488" s="17"/>
      <c r="L2488" s="17" t="str">
        <f>IF(OR(COUNTIF('クラス'!$A$1:$A$1262,$B2488)&gt;0,$B2488="",$M2488=""),"",True)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5.0</v>
      </c>
      <c r="B2489" s="26" t="s">
        <v>2198</v>
      </c>
      <c r="C2489" s="1"/>
      <c r="D2489" s="1"/>
      <c r="E2489" s="14"/>
      <c r="F2489" s="15"/>
      <c r="G2489" s="16"/>
      <c r="H2489" s="11"/>
      <c r="I2489" s="7"/>
      <c r="J2489" s="7" t="str">
        <f>IFERROR(LET(_xlpm.v,
VLOOKUP($I2489,'用語辞書'!$A:$B,COLUMN('用語辞書'!B$1),FALSE),
IF(_xlpm.v=0,"",_xlpm.v)
),"")</f>
        <v/>
      </c>
      <c r="K2489" s="17"/>
      <c r="L2489" s="17" t="str">
        <f>IF(OR(COUNTIF('クラス'!$A$1:$A$1262,$B2489)&gt;0,$B2489="",$M2489=""),"",True)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6.0</v>
      </c>
      <c r="B2490" s="26" t="s">
        <v>29</v>
      </c>
      <c r="C2490" s="1"/>
      <c r="D2490" s="1"/>
      <c r="E2490" s="14"/>
      <c r="F2490" s="15"/>
      <c r="G2490" s="16"/>
      <c r="H2490" s="11"/>
      <c r="I2490" s="7"/>
      <c r="J2490" s="7" t="str">
        <f>IFERROR(LET(_xlpm.v,
VLOOKUP($I2490,'用語辞書'!$A:$B,COLUMN('用語辞書'!B$1),FALSE),
IF(_xlpm.v=0,"",_xlpm.v)
),"")</f>
        <v/>
      </c>
      <c r="K2490" s="17"/>
      <c r="L2490" s="17" t="str">
        <f>IF(OR(COUNTIF('クラス'!$A$1:$A$1262,$B2490)&gt;0,$B2490="",$M2490=""),"",True)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7.0</v>
      </c>
      <c r="B2491" s="26" t="s">
        <v>297</v>
      </c>
      <c r="C2491" s="1"/>
      <c r="D2491" s="1"/>
      <c r="E2491" s="14"/>
      <c r="F2491" s="15"/>
      <c r="G2491" s="16"/>
      <c r="H2491" s="11"/>
      <c r="I2491" s="7"/>
      <c r="J2491" s="7" t="str">
        <f>IFERROR(LET(_xlpm.v,
VLOOKUP($I2491,'用語辞書'!$A:$B,COLUMN('用語辞書'!B$1),FALSE),
IF(_xlpm.v=0,"",_xlpm.v)
),"")</f>
        <v/>
      </c>
      <c r="K2491" s="17"/>
      <c r="L2491" s="17" t="str">
        <f>IF(OR(COUNTIF('クラス'!$A$1:$A$1262,$B2491)&gt;0,$B2491="",$M2491=""),"",True)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8.0</v>
      </c>
      <c r="B2492" s="26" t="s">
        <v>29</v>
      </c>
      <c r="C2492" s="1"/>
      <c r="D2492" s="1"/>
      <c r="E2492" s="14"/>
      <c r="F2492" s="15"/>
      <c r="G2492" s="16"/>
      <c r="H2492" s="11"/>
      <c r="I2492" s="7"/>
      <c r="J2492" s="7" t="str">
        <f>IFERROR(LET(_xlpm.v,
VLOOKUP($I2492,'用語辞書'!$A:$B,COLUMN('用語辞書'!B$1),FALSE),
IF(_xlpm.v=0,"",_xlpm.v)
),"")</f>
        <v/>
      </c>
      <c r="K2492" s="17"/>
      <c r="L2492" s="17" t="str">
        <f>IF(OR(COUNTIF('クラス'!$A$1:$A$1262,$B2492)&gt;0,$B2492="",$M2492=""),"",True)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9.0</v>
      </c>
      <c r="B2493" s="26" t="s">
        <v>2199</v>
      </c>
      <c r="C2493" s="1"/>
      <c r="D2493" s="1"/>
      <c r="E2493" s="14"/>
      <c r="F2493" s="15"/>
      <c r="G2493" s="16"/>
      <c r="H2493" s="11"/>
      <c r="I2493" s="7"/>
      <c r="J2493" s="7" t="str">
        <f>IFERROR(LET(_xlpm.v,
VLOOKUP($I2493,'用語辞書'!$A:$B,COLUMN('用語辞書'!B$1),FALSE),
IF(_xlpm.v=0,"",_xlpm.v)
),"")</f>
        <v/>
      </c>
      <c r="K2493" s="17"/>
      <c r="L2493" s="17" t="str">
        <f>IF(OR(COUNTIF('クラス'!$A$1:$A$1262,$B2493)&gt;0,$B2493="",$M2493=""),"",True)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10.0</v>
      </c>
      <c r="B2494" s="26" t="s">
        <v>2397</v>
      </c>
      <c r="C2494" s="26" t="s">
        <v>29</v>
      </c>
      <c r="D2494" s="26" t="s">
        <v>284</v>
      </c>
      <c r="E2494" s="29" t="s">
        <v>33</v>
      </c>
      <c r="F2494" s="34" t="s">
        <v>29</v>
      </c>
      <c r="G2494" s="30">
        <v>60.0</v>
      </c>
      <c r="H2494" s="22" t="s">
        <v>2398</v>
      </c>
      <c r="I2494" s="7"/>
      <c r="J2494" s="7" t="str">
        <f>IFERROR(LET(_xlpm.v,
VLOOKUP($I2494,'用語辞書'!$A:$B,COLUMN('用語辞書'!B$1),FALSE),
IF(_xlpm.v=0,"",_xlpm.v)
),"")</f>
        <v/>
      </c>
      <c r="K2494" s="17"/>
      <c r="L2494" s="17" t="b">
        <f>IF(OR(COUNTIF('クラス'!$A$1:$A$1262,$B2494)&gt;0,$B2494="",$M2494=""),"",True)</f>
        <v>1</v>
      </c>
      <c r="M2494" s="1" t="str">
        <f t="shared" si="30"/>
        <v>存在しない</v>
      </c>
      <c r="N2494" s="1" t="s">
        <v>29</v>
      </c>
      <c r="O2494" s="1"/>
      <c r="P2494" s="11"/>
      <c r="Q2494" s="11"/>
      <c r="R2494" s="11"/>
      <c r="S2494" s="11"/>
      <c r="T2494" s="1"/>
      <c r="U2494" s="1"/>
      <c r="V2494" s="1"/>
      <c r="W2494" s="1"/>
      <c r="X2494" s="1"/>
      <c r="Y2494" s="1"/>
      <c r="Z2494" s="1"/>
    </row>
    <row r="2495" ht="18.0" customHeight="1" outlineLevel="1" collapsed="1">
      <c r="A2495" s="1"/>
      <c r="B2495" s="1"/>
      <c r="C2495" s="1"/>
      <c r="D2495" s="1"/>
      <c r="E2495" s="14"/>
      <c r="F2495" s="15"/>
      <c r="G2495" s="16"/>
      <c r="H2495" s="11"/>
      <c r="I2495" s="7"/>
      <c r="J2495" s="7" t="str">
        <f>IFERROR(LET(_xlpm.v,
VLOOKUP($I2495,'用語辞書'!$A:$B,COLUMN('用語辞書'!B$1),FALSE),
IF(_xlpm.v=0,"",_xlpm.v)
),"")</f>
        <v/>
      </c>
      <c r="K2495" s="17"/>
      <c r="L2495" s="17" t="str">
        <f>IF(OR(COUNTIF('クラス'!$A$1:$A$1262,$B2495)&gt;0,$B2495="",$M2495=""),"",True)</f>
        <v/>
      </c>
      <c r="M2495" s="1" t="str">
        <f t="shared" si="30"/>
        <v>存在しない</v>
      </c>
      <c r="N2495" s="1" t="s">
        <v>29</v>
      </c>
      <c r="O2495" s="1"/>
      <c r="P2495" s="11"/>
      <c r="Q2495" s="11"/>
      <c r="R2495" s="11"/>
      <c r="S2495" s="11"/>
      <c r="T2495" s="1"/>
      <c r="U2495" s="1"/>
      <c r="V2495" s="1"/>
      <c r="W2495" s="1"/>
      <c r="X2495" s="1"/>
      <c r="Y2495" s="1"/>
      <c r="Z2495" s="1"/>
    </row>
    <row r="2496" ht="18.0" customHeight="1" outlineLevel="1">
      <c r="A2496" s="1"/>
      <c r="B2496" s="26" t="s">
        <v>2399</v>
      </c>
      <c r="C2496" s="1"/>
      <c r="D2496" s="1"/>
      <c r="E2496" s="14"/>
      <c r="F2496" s="15"/>
      <c r="G2496" s="16"/>
      <c r="H2496" s="11"/>
      <c r="I2496" s="7"/>
      <c r="J2496" s="7" t="str">
        <f>IFERROR(LET(_xlpm.v,
VLOOKUP($I2496,'用語辞書'!$A:$B,COLUMN('用語辞書'!B$1),FALSE),
IF(_xlpm.v=0,"",_xlpm.v)
),"")</f>
        <v/>
      </c>
      <c r="K2496" s="17"/>
      <c r="L2496" s="17" t="str">
        <f>IF(OR(COUNTIF('クラス'!$A$1:$A$1262,$B2496)&gt;0,$B2496="",$M2496=""),"",True)</f>
        <v/>
      </c>
      <c r="M2496" s="1" t="str">
        <f t="shared" si="30"/>
        <v>存在しない</v>
      </c>
      <c r="N2496" s="1" t="s">
        <v>29</v>
      </c>
      <c r="O2496" s="1"/>
      <c r="P2496" s="11"/>
      <c r="Q2496" s="11"/>
      <c r="R2496" s="11"/>
      <c r="S2496" s="11"/>
      <c r="T2496" s="1"/>
      <c r="U2496" s="1"/>
      <c r="V2496" s="1"/>
      <c r="W2496" s="1"/>
      <c r="X2496" s="1"/>
      <c r="Y2496" s="1"/>
      <c r="Z2496" s="1"/>
    </row>
    <row r="2497" ht="18.0" hidden="1" customHeight="1" outlineLevel="2">
      <c r="A2497" s="1">
        <v>1.0</v>
      </c>
      <c r="B2497" s="26" t="s">
        <v>2400</v>
      </c>
      <c r="C2497" s="1"/>
      <c r="D2497" s="1"/>
      <c r="E2497" s="14"/>
      <c r="F2497" s="15"/>
      <c r="G2497" s="16"/>
      <c r="H2497" s="11"/>
      <c r="I2497" s="7"/>
      <c r="J2497" s="7" t="str">
        <f>IFERROR(LET(_xlpm.v,
VLOOKUP($I2497,'用語辞書'!$A:$B,COLUMN('用語辞書'!B$1),FALSE),
IF(_xlpm.v=0,"",_xlpm.v)
),"")</f>
        <v/>
      </c>
      <c r="K2497" s="17"/>
      <c r="L2497" s="17" t="str">
        <f>IF(OR(COUNTIF('クラス'!$A$1:$A$1262,$B2497)&gt;0,$B2497="",$M2497=""),"",True)</f>
        <v/>
      </c>
      <c r="M2497" s="1" t="str">
        <f t="shared" si="30"/>
        <v/>
      </c>
      <c r="N2497" s="1" t="s">
        <v>29</v>
      </c>
      <c r="O2497" s="1"/>
      <c r="P2497" s="11"/>
      <c r="Q2497" s="11"/>
      <c r="R2497" s="11"/>
      <c r="S2497" s="11"/>
      <c r="T2497" s="1"/>
      <c r="U2497" s="1"/>
      <c r="V2497" s="1"/>
      <c r="W2497" s="1"/>
      <c r="X2497" s="1"/>
      <c r="Y2497" s="1"/>
      <c r="Z2497" s="1"/>
    </row>
    <row r="2498" ht="18.0" hidden="1" customHeight="1" outlineLevel="2">
      <c r="A2498" s="1">
        <v>2.0</v>
      </c>
      <c r="B2498" s="26" t="s">
        <v>29</v>
      </c>
      <c r="C2498" s="1"/>
      <c r="D2498" s="1"/>
      <c r="E2498" s="14"/>
      <c r="F2498" s="15"/>
      <c r="G2498" s="16"/>
      <c r="H2498" s="11"/>
      <c r="I2498" s="7"/>
      <c r="J2498" s="7" t="str">
        <f>IFERROR(LET(_xlpm.v,
VLOOKUP($I2498,'用語辞書'!$A:$B,COLUMN('用語辞書'!B$1),FALSE),
IF(_xlpm.v=0,"",_xlpm.v)
),"")</f>
        <v/>
      </c>
      <c r="K2498" s="17"/>
      <c r="L2498" s="17" t="str">
        <f>IF(OR(COUNTIF('クラス'!$A$1:$A$1262,$B2498)&gt;0,$B2498="",$M2498=""),"",True)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3.0</v>
      </c>
      <c r="B2499" s="26" t="s">
        <v>372</v>
      </c>
      <c r="C2499" s="1"/>
      <c r="D2499" s="1"/>
      <c r="E2499" s="14"/>
      <c r="F2499" s="15"/>
      <c r="G2499" s="16"/>
      <c r="H2499" s="11"/>
      <c r="I2499" s="7"/>
      <c r="J2499" s="7" t="str">
        <f>IFERROR(LET(_xlpm.v,
VLOOKUP($I2499,'用語辞書'!$A:$B,COLUMN('用語辞書'!B$1),FALSE),
IF(_xlpm.v=0,"",_xlpm.v)
),"")</f>
        <v/>
      </c>
      <c r="K2499" s="17"/>
      <c r="L2499" s="17" t="str">
        <f>IF(OR(COUNTIF('クラス'!$A$1:$A$1262,$B2499)&gt;0,$B2499="",$M2499=""),"",True)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4.0</v>
      </c>
      <c r="B2500" s="26" t="s">
        <v>29</v>
      </c>
      <c r="C2500" s="1"/>
      <c r="D2500" s="1"/>
      <c r="E2500" s="14"/>
      <c r="F2500" s="15"/>
      <c r="G2500" s="16"/>
      <c r="H2500" s="11"/>
      <c r="I2500" s="7"/>
      <c r="J2500" s="7" t="str">
        <f>IFERROR(LET(_xlpm.v,
VLOOKUP($I2500,'用語辞書'!$A:$B,COLUMN('用語辞書'!B$1),FALSE),
IF(_xlpm.v=0,"",_xlpm.v)
),"")</f>
        <v/>
      </c>
      <c r="K2500" s="17"/>
      <c r="L2500" s="17" t="str">
        <f>IF(OR(COUNTIF('クラス'!$A$1:$A$1262,$B2500)&gt;0,$B2500="",$M2500=""),"",True)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5.0</v>
      </c>
      <c r="B2501" s="26" t="s">
        <v>2205</v>
      </c>
      <c r="C2501" s="1"/>
      <c r="D2501" s="1"/>
      <c r="E2501" s="14"/>
      <c r="F2501" s="15"/>
      <c r="G2501" s="16"/>
      <c r="H2501" s="11"/>
      <c r="I2501" s="7"/>
      <c r="J2501" s="7" t="str">
        <f>IFERROR(LET(_xlpm.v,
VLOOKUP($I2501,'用語辞書'!$A:$B,COLUMN('用語辞書'!B$1),FALSE),
IF(_xlpm.v=0,"",_xlpm.v)
),"")</f>
        <v/>
      </c>
      <c r="K2501" s="17"/>
      <c r="L2501" s="17" t="str">
        <f>IF(OR(COUNTIF('クラス'!$A$1:$A$1262,$B2501)&gt;0,$B2501="",$M2501=""),"",True)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6.0</v>
      </c>
      <c r="B2502" s="26" t="s">
        <v>29</v>
      </c>
      <c r="C2502" s="1"/>
      <c r="D2502" s="1"/>
      <c r="E2502" s="14"/>
      <c r="F2502" s="15"/>
      <c r="G2502" s="16"/>
      <c r="H2502" s="11"/>
      <c r="I2502" s="7"/>
      <c r="J2502" s="7" t="str">
        <f>IFERROR(LET(_xlpm.v,
VLOOKUP($I2502,'用語辞書'!$A:$B,COLUMN('用語辞書'!B$1),FALSE),
IF(_xlpm.v=0,"",_xlpm.v)
),"")</f>
        <v/>
      </c>
      <c r="K2502" s="17"/>
      <c r="L2502" s="17" t="str">
        <f>IF(OR(COUNTIF('クラス'!$A$1:$A$1262,$B2502)&gt;0,$B2502="",$M2502=""),"",True)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7.0</v>
      </c>
      <c r="B2503" s="26" t="s">
        <v>388</v>
      </c>
      <c r="C2503" s="1"/>
      <c r="D2503" s="1"/>
      <c r="E2503" s="14"/>
      <c r="F2503" s="15"/>
      <c r="G2503" s="16"/>
      <c r="H2503" s="11"/>
      <c r="I2503" s="7"/>
      <c r="J2503" s="7" t="str">
        <f>IFERROR(LET(_xlpm.v,
VLOOKUP($I2503,'用語辞書'!$A:$B,COLUMN('用語辞書'!B$1),FALSE),
IF(_xlpm.v=0,"",_xlpm.v)
),"")</f>
        <v/>
      </c>
      <c r="K2503" s="17"/>
      <c r="L2503" s="17" t="str">
        <f>IF(OR(COUNTIF('クラス'!$A$1:$A$1262,$B2503)&gt;0,$B2503="",$M2503=""),"",True)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8.0</v>
      </c>
      <c r="B2504" s="26" t="s">
        <v>29</v>
      </c>
      <c r="C2504" s="1"/>
      <c r="D2504" s="1"/>
      <c r="E2504" s="14"/>
      <c r="F2504" s="15"/>
      <c r="G2504" s="16"/>
      <c r="H2504" s="11"/>
      <c r="I2504" s="7"/>
      <c r="J2504" s="7" t="str">
        <f>IFERROR(LET(_xlpm.v,
VLOOKUP($I2504,'用語辞書'!$A:$B,COLUMN('用語辞書'!B$1),FALSE),
IF(_xlpm.v=0,"",_xlpm.v)
),"")</f>
        <v/>
      </c>
      <c r="K2504" s="17"/>
      <c r="L2504" s="17" t="str">
        <f>IF(OR(COUNTIF('クラス'!$A$1:$A$1262,$B2504)&gt;0,$B2504="",$M2504=""),"",True)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9.0</v>
      </c>
      <c r="B2505" s="26" t="s">
        <v>2206</v>
      </c>
      <c r="C2505" s="1"/>
      <c r="D2505" s="1"/>
      <c r="E2505" s="14"/>
      <c r="F2505" s="15"/>
      <c r="G2505" s="16"/>
      <c r="H2505" s="11"/>
      <c r="I2505" s="7"/>
      <c r="J2505" s="7" t="str">
        <f>IFERROR(LET(_xlpm.v,
VLOOKUP($I2505,'用語辞書'!$A:$B,COLUMN('用語辞書'!B$1),FALSE),
IF(_xlpm.v=0,"",_xlpm.v)
),"")</f>
        <v/>
      </c>
      <c r="K2505" s="17"/>
      <c r="L2505" s="17" t="str">
        <f>IF(OR(COUNTIF('クラス'!$A$1:$A$1262,$B2505)&gt;0,$B2505="",$M2505=""),"",True)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10.0</v>
      </c>
      <c r="B2506" s="26" t="s">
        <v>2401</v>
      </c>
      <c r="C2506" s="26" t="s">
        <v>29</v>
      </c>
      <c r="D2506" s="26" t="s">
        <v>370</v>
      </c>
      <c r="E2506" s="29" t="s">
        <v>33</v>
      </c>
      <c r="F2506" s="34" t="s">
        <v>29</v>
      </c>
      <c r="G2506" s="30">
        <v>60.0</v>
      </c>
      <c r="H2506" s="22" t="s">
        <v>2402</v>
      </c>
      <c r="I2506" s="7"/>
      <c r="J2506" s="7" t="str">
        <f>IFERROR(LET(_xlpm.v,
VLOOKUP($I2506,'用語辞書'!$A:$B,COLUMN('用語辞書'!B$1),FALSE),
IF(_xlpm.v=0,"",_xlpm.v)
),"")</f>
        <v/>
      </c>
      <c r="K2506" s="17"/>
      <c r="L2506" s="17" t="b">
        <f>IF(OR(COUNTIF('クラス'!$A$1:$A$1262,$B2506)&gt;0,$B2506="",$M2506=""),"",True)</f>
        <v>1</v>
      </c>
      <c r="M2506" s="1" t="str">
        <f t="shared" si="30"/>
        <v>存在しない</v>
      </c>
      <c r="N2506" s="1" t="s">
        <v>29</v>
      </c>
      <c r="O2506" s="1"/>
      <c r="P2506" s="11"/>
      <c r="Q2506" s="11"/>
      <c r="R2506" s="11"/>
      <c r="S2506" s="11"/>
      <c r="T2506" s="1"/>
      <c r="U2506" s="1"/>
      <c r="V2506" s="1"/>
      <c r="W2506" s="1"/>
      <c r="X2506" s="1"/>
      <c r="Y2506" s="1"/>
      <c r="Z2506" s="1"/>
    </row>
    <row r="2507" ht="18.0" customHeight="1" outlineLevel="1" collapsed="1">
      <c r="A2507" s="1"/>
      <c r="B2507" s="1"/>
      <c r="C2507" s="1"/>
      <c r="D2507" s="1"/>
      <c r="E2507" s="14"/>
      <c r="F2507" s="15"/>
      <c r="G2507" s="16"/>
      <c r="H2507" s="11"/>
      <c r="I2507" s="7"/>
      <c r="J2507" s="7" t="str">
        <f>IFERROR(LET(_xlpm.v,
VLOOKUP($I2507,'用語辞書'!$A:$B,COLUMN('用語辞書'!B$1),FALSE),
IF(_xlpm.v=0,"",_xlpm.v)
),"")</f>
        <v/>
      </c>
      <c r="K2507" s="17"/>
      <c r="L2507" s="17" t="str">
        <f>IF(OR(COUNTIF('クラス'!$A$1:$A$1262,$B2507)&gt;0,$B2507="",$M2507=""),"",True)</f>
        <v/>
      </c>
      <c r="M2507" s="1" t="str">
        <f t="shared" si="30"/>
        <v>存在しない</v>
      </c>
      <c r="N2507" s="1" t="s">
        <v>29</v>
      </c>
      <c r="O2507" s="1"/>
      <c r="P2507" s="11"/>
      <c r="Q2507" s="11"/>
      <c r="R2507" s="11"/>
      <c r="S2507" s="11"/>
      <c r="T2507" s="1"/>
      <c r="U2507" s="1"/>
      <c r="V2507" s="1"/>
      <c r="W2507" s="1"/>
      <c r="X2507" s="1"/>
      <c r="Y2507" s="1"/>
      <c r="Z2507" s="1"/>
    </row>
    <row r="2508" ht="18.0" customHeight="1" outlineLevel="1">
      <c r="A2508" s="1"/>
      <c r="B2508" s="26" t="s">
        <v>2403</v>
      </c>
      <c r="C2508" s="1"/>
      <c r="D2508" s="1"/>
      <c r="E2508" s="14"/>
      <c r="F2508" s="15"/>
      <c r="G2508" s="16"/>
      <c r="H2508" s="11"/>
      <c r="I2508" s="7"/>
      <c r="J2508" s="7" t="str">
        <f>IFERROR(LET(_xlpm.v,
VLOOKUP($I2508,'用語辞書'!$A:$B,COLUMN('用語辞書'!B$1),FALSE),
IF(_xlpm.v=0,"",_xlpm.v)
),"")</f>
        <v/>
      </c>
      <c r="K2508" s="17"/>
      <c r="L2508" s="17" t="str">
        <f>IF(OR(COUNTIF('クラス'!$A$1:$A$1262,$B2508)&gt;0,$B2508="",$M2508=""),"",True)</f>
        <v/>
      </c>
      <c r="M2508" s="1" t="str">
        <f t="shared" si="30"/>
        <v>存在しない</v>
      </c>
      <c r="N2508" s="1" t="s">
        <v>29</v>
      </c>
      <c r="O2508" s="1"/>
      <c r="P2508" s="11"/>
      <c r="Q2508" s="11"/>
      <c r="R2508" s="11"/>
      <c r="S2508" s="11"/>
      <c r="T2508" s="1"/>
      <c r="U2508" s="1"/>
      <c r="V2508" s="1"/>
      <c r="W2508" s="1"/>
      <c r="X2508" s="1"/>
      <c r="Y2508" s="1"/>
      <c r="Z2508" s="1"/>
    </row>
    <row r="2509" ht="18.0" hidden="1" customHeight="1" outlineLevel="2">
      <c r="A2509" s="1">
        <v>1.0</v>
      </c>
      <c r="B2509" s="26" t="s">
        <v>2404</v>
      </c>
      <c r="C2509" s="26" t="s">
        <v>29</v>
      </c>
      <c r="D2509" s="26" t="s">
        <v>518</v>
      </c>
      <c r="E2509" s="29" t="s">
        <v>33</v>
      </c>
      <c r="F2509" s="34" t="s">
        <v>29</v>
      </c>
      <c r="G2509" s="30">
        <v>60.0</v>
      </c>
      <c r="H2509" s="22" t="s">
        <v>2405</v>
      </c>
      <c r="I2509" s="7"/>
      <c r="J2509" s="7" t="str">
        <f>IFERROR(LET(_xlpm.v,
VLOOKUP($I2509,'用語辞書'!$A:$B,COLUMN('用語辞書'!B$1),FALSE),
IF(_xlpm.v=0,"",_xlpm.v)
),"")</f>
        <v/>
      </c>
      <c r="K2509" s="17"/>
      <c r="L2509" s="17" t="b">
        <f>IF(OR(COUNTIF('クラス'!$A$1:$A$1262,$B2509)&gt;0,$B2509="",$M2509=""),"",True)</f>
        <v>1</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2.0</v>
      </c>
      <c r="B2510" s="26" t="s">
        <v>29</v>
      </c>
      <c r="C2510" s="1"/>
      <c r="D2510" s="1"/>
      <c r="E2510" s="14"/>
      <c r="F2510" s="15"/>
      <c r="G2510" s="16"/>
      <c r="H2510" s="11"/>
      <c r="I2510" s="7"/>
      <c r="J2510" s="7" t="str">
        <f>IFERROR(LET(_xlpm.v,
VLOOKUP($I2510,'用語辞書'!$A:$B,COLUMN('用語辞書'!B$1),FALSE),
IF(_xlpm.v=0,"",_xlpm.v)
),"")</f>
        <v/>
      </c>
      <c r="K2510" s="17"/>
      <c r="L2510" s="17" t="str">
        <f>IF(OR(COUNTIF('クラス'!$A$1:$A$1262,$B2510)&gt;0,$B2510="",$M2510=""),"",True)</f>
        <v/>
      </c>
      <c r="M2510" s="1" t="str">
        <f t="shared" si="30"/>
        <v/>
      </c>
      <c r="N2510" s="1" t="s">
        <v>29</v>
      </c>
      <c r="O2510" s="1"/>
      <c r="P2510" s="11"/>
      <c r="Q2510" s="11"/>
      <c r="R2510" s="11"/>
      <c r="S2510" s="11"/>
      <c r="T2510" s="1"/>
      <c r="U2510" s="1"/>
      <c r="V2510" s="1"/>
      <c r="W2510" s="1"/>
      <c r="X2510" s="1"/>
      <c r="Y2510" s="1"/>
      <c r="Z2510" s="1"/>
    </row>
    <row r="2511" ht="18.0" hidden="1" customHeight="1" outlineLevel="2">
      <c r="A2511" s="1">
        <v>3.0</v>
      </c>
      <c r="B2511" s="26" t="s">
        <v>516</v>
      </c>
      <c r="C2511" s="1"/>
      <c r="D2511" s="1"/>
      <c r="E2511" s="14"/>
      <c r="F2511" s="15"/>
      <c r="G2511" s="16"/>
      <c r="H2511" s="11"/>
      <c r="I2511" s="7"/>
      <c r="J2511" s="7" t="str">
        <f>IFERROR(LET(_xlpm.v,
VLOOKUP($I2511,'用語辞書'!$A:$B,COLUMN('用語辞書'!B$1),FALSE),
IF(_xlpm.v=0,"",_xlpm.v)
),"")</f>
        <v/>
      </c>
      <c r="K2511" s="17"/>
      <c r="L2511" s="17" t="str">
        <f>IF(OR(COUNTIF('クラス'!$A$1:$A$1262,$B2511)&gt;0,$B2511="",$M2511=""),"",True)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4.0</v>
      </c>
      <c r="B2512" s="26" t="s">
        <v>29</v>
      </c>
      <c r="C2512" s="1"/>
      <c r="D2512" s="1"/>
      <c r="E2512" s="14"/>
      <c r="F2512" s="15"/>
      <c r="G2512" s="16"/>
      <c r="H2512" s="11"/>
      <c r="I2512" s="7"/>
      <c r="J2512" s="7" t="str">
        <f>IFERROR(LET(_xlpm.v,
VLOOKUP($I2512,'用語辞書'!$A:$B,COLUMN('用語辞書'!B$1),FALSE),
IF(_xlpm.v=0,"",_xlpm.v)
),"")</f>
        <v/>
      </c>
      <c r="K2512" s="17"/>
      <c r="L2512" s="17" t="str">
        <f>IF(OR(COUNTIF('クラス'!$A$1:$A$1262,$B2512)&gt;0,$B2512="",$M2512=""),"",True)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5.0</v>
      </c>
      <c r="B2513" s="26" t="s">
        <v>2212</v>
      </c>
      <c r="C2513" s="1"/>
      <c r="D2513" s="1"/>
      <c r="E2513" s="14"/>
      <c r="F2513" s="15"/>
      <c r="G2513" s="16"/>
      <c r="H2513" s="11"/>
      <c r="I2513" s="7"/>
      <c r="J2513" s="7" t="str">
        <f>IFERROR(LET(_xlpm.v,
VLOOKUP($I2513,'用語辞書'!$A:$B,COLUMN('用語辞書'!B$1),FALSE),
IF(_xlpm.v=0,"",_xlpm.v)
),"")</f>
        <v/>
      </c>
      <c r="K2513" s="17"/>
      <c r="L2513" s="17" t="str">
        <f>IF(OR(COUNTIF('クラス'!$A$1:$A$1262,$B2513)&gt;0,$B2513="",$M2513=""),"",True)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6.0</v>
      </c>
      <c r="B2514" s="26" t="s">
        <v>29</v>
      </c>
      <c r="C2514" s="1"/>
      <c r="D2514" s="1"/>
      <c r="E2514" s="14"/>
      <c r="F2514" s="15"/>
      <c r="G2514" s="16"/>
      <c r="H2514" s="11"/>
      <c r="I2514" s="7"/>
      <c r="J2514" s="7" t="str">
        <f>IFERROR(LET(_xlpm.v,
VLOOKUP($I2514,'用語辞書'!$A:$B,COLUMN('用語辞書'!B$1),FALSE),
IF(_xlpm.v=0,"",_xlpm.v)
),"")</f>
        <v/>
      </c>
      <c r="K2514" s="17"/>
      <c r="L2514" s="17" t="str">
        <f>IF(OR(COUNTIF('クラス'!$A$1:$A$1262,$B2514)&gt;0,$B2514="",$M2514=""),"",True)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7.0</v>
      </c>
      <c r="B2515" s="26" t="s">
        <v>526</v>
      </c>
      <c r="C2515" s="1"/>
      <c r="D2515" s="1"/>
      <c r="E2515" s="14"/>
      <c r="F2515" s="15"/>
      <c r="G2515" s="16"/>
      <c r="H2515" s="11"/>
      <c r="I2515" s="7"/>
      <c r="J2515" s="7" t="str">
        <f>IFERROR(LET(_xlpm.v,
VLOOKUP($I2515,'用語辞書'!$A:$B,COLUMN('用語辞書'!B$1),FALSE),
IF(_xlpm.v=0,"",_xlpm.v)
),"")</f>
        <v/>
      </c>
      <c r="K2515" s="17"/>
      <c r="L2515" s="17" t="str">
        <f>IF(OR(COUNTIF('クラス'!$A$1:$A$1262,$B2515)&gt;0,$B2515="",$M2515=""),"",True)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8.0</v>
      </c>
      <c r="B2516" s="26" t="s">
        <v>29</v>
      </c>
      <c r="C2516" s="1"/>
      <c r="D2516" s="1"/>
      <c r="E2516" s="14"/>
      <c r="F2516" s="15"/>
      <c r="G2516" s="16"/>
      <c r="H2516" s="11"/>
      <c r="I2516" s="7"/>
      <c r="J2516" s="7" t="str">
        <f>IFERROR(LET(_xlpm.v,
VLOOKUP($I2516,'用語辞書'!$A:$B,COLUMN('用語辞書'!B$1),FALSE),
IF(_xlpm.v=0,"",_xlpm.v)
),"")</f>
        <v/>
      </c>
      <c r="K2516" s="17"/>
      <c r="L2516" s="17" t="str">
        <f>IF(OR(COUNTIF('クラス'!$A$1:$A$1262,$B2516)&gt;0,$B2516="",$M2516=""),"",True)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9.0</v>
      </c>
      <c r="B2517" s="26" t="s">
        <v>2213</v>
      </c>
      <c r="C2517" s="1"/>
      <c r="D2517" s="1"/>
      <c r="E2517" s="14"/>
      <c r="F2517" s="15"/>
      <c r="G2517" s="16"/>
      <c r="H2517" s="11"/>
      <c r="I2517" s="7"/>
      <c r="J2517" s="7" t="str">
        <f>IFERROR(LET(_xlpm.v,
VLOOKUP($I2517,'用語辞書'!$A:$B,COLUMN('用語辞書'!B$1),FALSE),
IF(_xlpm.v=0,"",_xlpm.v)
),"")</f>
        <v/>
      </c>
      <c r="K2517" s="17"/>
      <c r="L2517" s="17" t="str">
        <f>IF(OR(COUNTIF('クラス'!$A$1:$A$1262,$B2517)&gt;0,$B2517="",$M2517=""),"",True)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10.0</v>
      </c>
      <c r="B2518" s="26" t="s">
        <v>2406</v>
      </c>
      <c r="C2518" s="26" t="s">
        <v>29</v>
      </c>
      <c r="D2518" s="26" t="s">
        <v>518</v>
      </c>
      <c r="E2518" s="29" t="s">
        <v>33</v>
      </c>
      <c r="F2518" s="34" t="s">
        <v>29</v>
      </c>
      <c r="G2518" s="30">
        <v>60.0</v>
      </c>
      <c r="H2518" s="22" t="s">
        <v>2407</v>
      </c>
      <c r="I2518" s="7"/>
      <c r="J2518" s="7" t="str">
        <f>IFERROR(LET(_xlpm.v,
VLOOKUP($I2518,'用語辞書'!$A:$B,COLUMN('用語辞書'!B$1),FALSE),
IF(_xlpm.v=0,"",_xlpm.v)
),"")</f>
        <v/>
      </c>
      <c r="K2518" s="17"/>
      <c r="L2518" s="17" t="b">
        <f>IF(OR(COUNTIF('クラス'!$A$1:$A$1262,$B2518)&gt;0,$B2518="",$M2518=""),"",True)</f>
        <v>1</v>
      </c>
      <c r="M2518" s="1" t="str">
        <f t="shared" si="30"/>
        <v>存在しない</v>
      </c>
      <c r="N2518" s="1" t="s">
        <v>29</v>
      </c>
      <c r="O2518" s="1"/>
      <c r="P2518" s="11"/>
      <c r="Q2518" s="11"/>
      <c r="R2518" s="11"/>
      <c r="S2518" s="11"/>
      <c r="T2518" s="1"/>
      <c r="U2518" s="1"/>
      <c r="V2518" s="1"/>
      <c r="W2518" s="1"/>
      <c r="X2518" s="1"/>
      <c r="Y2518" s="1"/>
      <c r="Z2518" s="1"/>
    </row>
    <row r="2519" ht="18.0" customHeight="1" outlineLevel="1" collapsed="1">
      <c r="A2519" s="1"/>
      <c r="B2519" s="1"/>
      <c r="C2519" s="1"/>
      <c r="D2519" s="1"/>
      <c r="E2519" s="14"/>
      <c r="F2519" s="15"/>
      <c r="G2519" s="16"/>
      <c r="H2519" s="11"/>
      <c r="I2519" s="7"/>
      <c r="J2519" s="7" t="str">
        <f>IFERROR(LET(_xlpm.v,
VLOOKUP($I2519,'用語辞書'!$A:$B,COLUMN('用語辞書'!B$1),FALSE),
IF(_xlpm.v=0,"",_xlpm.v)
),"")</f>
        <v/>
      </c>
      <c r="K2519" s="17"/>
      <c r="L2519" s="17" t="str">
        <f>IF(OR(COUNTIF('クラス'!$A$1:$A$1262,$B2519)&gt;0,$B2519="",$M2519=""),"",True)</f>
        <v/>
      </c>
      <c r="M2519" s="1" t="str">
        <f t="shared" si="30"/>
        <v>存在しない</v>
      </c>
      <c r="N2519" s="1" t="s">
        <v>29</v>
      </c>
      <c r="O2519" s="1"/>
      <c r="P2519" s="11"/>
      <c r="Q2519" s="11"/>
      <c r="R2519" s="11"/>
      <c r="S2519" s="11"/>
      <c r="T2519" s="1"/>
      <c r="U2519" s="1"/>
      <c r="V2519" s="1"/>
      <c r="W2519" s="1"/>
      <c r="X2519" s="1"/>
      <c r="Y2519" s="1"/>
      <c r="Z2519" s="1"/>
    </row>
    <row r="2520" ht="18.0" customHeight="1" outlineLevel="1">
      <c r="A2520" s="1"/>
      <c r="B2520" s="26" t="s">
        <v>2408</v>
      </c>
      <c r="C2520" s="1"/>
      <c r="D2520" s="1"/>
      <c r="E2520" s="14"/>
      <c r="F2520" s="15"/>
      <c r="G2520" s="16"/>
      <c r="H2520" s="11"/>
      <c r="I2520" s="7"/>
      <c r="J2520" s="7" t="str">
        <f>IFERROR(LET(_xlpm.v,
VLOOKUP($I2520,'用語辞書'!$A:$B,COLUMN('用語辞書'!B$1),FALSE),
IF(_xlpm.v=0,"",_xlpm.v)
),"")</f>
        <v/>
      </c>
      <c r="K2520" s="17"/>
      <c r="L2520" s="17" t="str">
        <f>IF(OR(COUNTIF('クラス'!$A$1:$A$1262,$B2520)&gt;0,$B2520="",$M2520=""),"",True)</f>
        <v/>
      </c>
      <c r="M2520" s="1" t="str">
        <f t="shared" si="30"/>
        <v>存在しない</v>
      </c>
      <c r="N2520" s="1" t="s">
        <v>29</v>
      </c>
      <c r="O2520" s="1"/>
      <c r="P2520" s="11"/>
      <c r="Q2520" s="11"/>
      <c r="R2520" s="11"/>
      <c r="S2520" s="11"/>
      <c r="T2520" s="1"/>
      <c r="U2520" s="1"/>
      <c r="V2520" s="1"/>
      <c r="W2520" s="1"/>
      <c r="X2520" s="1"/>
      <c r="Y2520" s="1"/>
      <c r="Z2520" s="1"/>
    </row>
    <row r="2521" ht="18.0" hidden="1" customHeight="1" outlineLevel="2">
      <c r="A2521" s="1">
        <v>1.0</v>
      </c>
      <c r="B2521" s="26" t="s">
        <v>2409</v>
      </c>
      <c r="C2521" s="26" t="s">
        <v>29</v>
      </c>
      <c r="D2521" s="26" t="s">
        <v>644</v>
      </c>
      <c r="E2521" s="29" t="s">
        <v>33</v>
      </c>
      <c r="F2521" s="34" t="s">
        <v>29</v>
      </c>
      <c r="G2521" s="30">
        <v>60.0</v>
      </c>
      <c r="H2521" s="22" t="s">
        <v>2410</v>
      </c>
      <c r="I2521" s="7"/>
      <c r="J2521" s="7" t="str">
        <f>IFERROR(LET(_xlpm.v,
VLOOKUP($I2521,'用語辞書'!$A:$B,COLUMN('用語辞書'!B$1),FALSE),
IF(_xlpm.v=0,"",_xlpm.v)
),"")</f>
        <v/>
      </c>
      <c r="K2521" s="17"/>
      <c r="L2521" s="17" t="b">
        <f>IF(OR(COUNTIF('クラス'!$A$1:$A$1262,$B2521)&gt;0,$B2521="",$M2521=""),"",True)</f>
        <v>1</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2.0</v>
      </c>
      <c r="B2522" s="26" t="s">
        <v>29</v>
      </c>
      <c r="C2522" s="1"/>
      <c r="D2522" s="1"/>
      <c r="E2522" s="14"/>
      <c r="F2522" s="15"/>
      <c r="G2522" s="16"/>
      <c r="H2522" s="11"/>
      <c r="I2522" s="7"/>
      <c r="J2522" s="7" t="str">
        <f>IFERROR(LET(_xlpm.v,
VLOOKUP($I2522,'用語辞書'!$A:$B,COLUMN('用語辞書'!B$1),FALSE),
IF(_xlpm.v=0,"",_xlpm.v)
),"")</f>
        <v/>
      </c>
      <c r="K2522" s="17"/>
      <c r="L2522" s="17" t="str">
        <f>IF(OR(COUNTIF('クラス'!$A$1:$A$1262,$B2522)&gt;0,$B2522="",$M2522=""),"",True)</f>
        <v/>
      </c>
      <c r="M2522" s="1" t="str">
        <f t="shared" si="30"/>
        <v/>
      </c>
      <c r="N2522" s="1" t="s">
        <v>29</v>
      </c>
      <c r="O2522" s="1"/>
      <c r="P2522" s="11"/>
      <c r="Q2522" s="11"/>
      <c r="R2522" s="11"/>
      <c r="S2522" s="11"/>
      <c r="T2522" s="1"/>
      <c r="U2522" s="1"/>
      <c r="V2522" s="1"/>
      <c r="W2522" s="1"/>
      <c r="X2522" s="1"/>
      <c r="Y2522" s="1"/>
      <c r="Z2522" s="1"/>
    </row>
    <row r="2523" ht="18.0" hidden="1" customHeight="1" outlineLevel="2">
      <c r="A2523" s="1">
        <v>3.0</v>
      </c>
      <c r="B2523" s="26" t="s">
        <v>646</v>
      </c>
      <c r="C2523" s="1"/>
      <c r="D2523" s="1"/>
      <c r="E2523" s="14"/>
      <c r="F2523" s="15"/>
      <c r="G2523" s="16"/>
      <c r="H2523" s="11"/>
      <c r="I2523" s="7"/>
      <c r="J2523" s="7" t="str">
        <f>IFERROR(LET(_xlpm.v,
VLOOKUP($I2523,'用語辞書'!$A:$B,COLUMN('用語辞書'!B$1),FALSE),
IF(_xlpm.v=0,"",_xlpm.v)
),"")</f>
        <v/>
      </c>
      <c r="K2523" s="17"/>
      <c r="L2523" s="17" t="str">
        <f>IF(OR(COUNTIF('クラス'!$A$1:$A$1262,$B2523)&gt;0,$B2523="",$M2523=""),"",True)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4.0</v>
      </c>
      <c r="B2524" s="26" t="s">
        <v>29</v>
      </c>
      <c r="C2524" s="1"/>
      <c r="D2524" s="1"/>
      <c r="E2524" s="14"/>
      <c r="F2524" s="15"/>
      <c r="G2524" s="16"/>
      <c r="H2524" s="11"/>
      <c r="I2524" s="7"/>
      <c r="J2524" s="7" t="str">
        <f>IFERROR(LET(_xlpm.v,
VLOOKUP($I2524,'用語辞書'!$A:$B,COLUMN('用語辞書'!B$1),FALSE),
IF(_xlpm.v=0,"",_xlpm.v)
),"")</f>
        <v/>
      </c>
      <c r="K2524" s="17"/>
      <c r="L2524" s="17" t="str">
        <f>IF(OR(COUNTIF('クラス'!$A$1:$A$1262,$B2524)&gt;0,$B2524="",$M2524=""),"",True)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5.0</v>
      </c>
      <c r="B2525" s="26" t="s">
        <v>2219</v>
      </c>
      <c r="C2525" s="1"/>
      <c r="D2525" s="1"/>
      <c r="E2525" s="14"/>
      <c r="F2525" s="15"/>
      <c r="G2525" s="16"/>
      <c r="H2525" s="11"/>
      <c r="I2525" s="7"/>
      <c r="J2525" s="7" t="str">
        <f>IFERROR(LET(_xlpm.v,
VLOOKUP($I2525,'用語辞書'!$A:$B,COLUMN('用語辞書'!B$1),FALSE),
IF(_xlpm.v=0,"",_xlpm.v)
),"")</f>
        <v/>
      </c>
      <c r="K2525" s="17"/>
      <c r="L2525" s="17" t="str">
        <f>IF(OR(COUNTIF('クラス'!$A$1:$A$1262,$B2525)&gt;0,$B2525="",$M2525=""),"",True)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6.0</v>
      </c>
      <c r="B2526" s="26" t="s">
        <v>29</v>
      </c>
      <c r="C2526" s="1"/>
      <c r="D2526" s="1"/>
      <c r="E2526" s="14"/>
      <c r="F2526" s="15"/>
      <c r="G2526" s="16"/>
      <c r="H2526" s="11"/>
      <c r="I2526" s="7"/>
      <c r="J2526" s="7" t="str">
        <f>IFERROR(LET(_xlpm.v,
VLOOKUP($I2526,'用語辞書'!$A:$B,COLUMN('用語辞書'!B$1),FALSE),
IF(_xlpm.v=0,"",_xlpm.v)
),"")</f>
        <v/>
      </c>
      <c r="K2526" s="17"/>
      <c r="L2526" s="17" t="str">
        <f>IF(OR(COUNTIF('クラス'!$A$1:$A$1262,$B2526)&gt;0,$B2526="",$M2526=""),"",True)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7.0</v>
      </c>
      <c r="B2527" s="26" t="s">
        <v>652</v>
      </c>
      <c r="C2527" s="1"/>
      <c r="D2527" s="1"/>
      <c r="E2527" s="14"/>
      <c r="F2527" s="15"/>
      <c r="G2527" s="16"/>
      <c r="H2527" s="11"/>
      <c r="I2527" s="7"/>
      <c r="J2527" s="7" t="str">
        <f>IFERROR(LET(_xlpm.v,
VLOOKUP($I2527,'用語辞書'!$A:$B,COLUMN('用語辞書'!B$1),FALSE),
IF(_xlpm.v=0,"",_xlpm.v)
),"")</f>
        <v/>
      </c>
      <c r="K2527" s="17"/>
      <c r="L2527" s="17" t="str">
        <f>IF(OR(COUNTIF('クラス'!$A$1:$A$1262,$B2527)&gt;0,$B2527="",$M2527=""),"",True)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8.0</v>
      </c>
      <c r="B2528" s="26" t="s">
        <v>29</v>
      </c>
      <c r="C2528" s="1"/>
      <c r="D2528" s="1"/>
      <c r="E2528" s="14"/>
      <c r="F2528" s="15"/>
      <c r="G2528" s="16"/>
      <c r="H2528" s="11"/>
      <c r="I2528" s="7"/>
      <c r="J2528" s="7" t="str">
        <f>IFERROR(LET(_xlpm.v,
VLOOKUP($I2528,'用語辞書'!$A:$B,COLUMN('用語辞書'!B$1),FALSE),
IF(_xlpm.v=0,"",_xlpm.v)
),"")</f>
        <v/>
      </c>
      <c r="K2528" s="17"/>
      <c r="L2528" s="17" t="str">
        <f>IF(OR(COUNTIF('クラス'!$A$1:$A$1262,$B2528)&gt;0,$B2528="",$M2528=""),"",True)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9.0</v>
      </c>
      <c r="B2529" s="26" t="s">
        <v>2220</v>
      </c>
      <c r="C2529" s="1"/>
      <c r="D2529" s="1"/>
      <c r="E2529" s="14"/>
      <c r="F2529" s="15"/>
      <c r="G2529" s="16"/>
      <c r="H2529" s="11"/>
      <c r="I2529" s="7"/>
      <c r="J2529" s="7" t="str">
        <f>IFERROR(LET(_xlpm.v,
VLOOKUP($I2529,'用語辞書'!$A:$B,COLUMN('用語辞書'!B$1),FALSE),
IF(_xlpm.v=0,"",_xlpm.v)
),"")</f>
        <v/>
      </c>
      <c r="K2529" s="17"/>
      <c r="L2529" s="17" t="str">
        <f>IF(OR(COUNTIF('クラス'!$A$1:$A$1262,$B2529)&gt;0,$B2529="",$M2529=""),"",True)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10.0</v>
      </c>
      <c r="B2530" s="26" t="s">
        <v>2411</v>
      </c>
      <c r="C2530" s="26" t="s">
        <v>29</v>
      </c>
      <c r="D2530" s="26" t="s">
        <v>644</v>
      </c>
      <c r="E2530" s="29" t="s">
        <v>33</v>
      </c>
      <c r="F2530" s="34" t="s">
        <v>29</v>
      </c>
      <c r="G2530" s="30">
        <v>60.0</v>
      </c>
      <c r="H2530" s="31" t="s">
        <v>2412</v>
      </c>
      <c r="I2530" s="7"/>
      <c r="J2530" s="7" t="str">
        <f>IFERROR(LET(_xlpm.v,
VLOOKUP($I2530,'用語辞書'!$A:$B,COLUMN('用語辞書'!B$1),FALSE),
IF(_xlpm.v=0,"",_xlpm.v)
),"")</f>
        <v/>
      </c>
      <c r="K2530" s="17"/>
      <c r="L2530" s="17" t="b">
        <f>IF(OR(COUNTIF('クラス'!$A$1:$A$1262,$B2530)&gt;0,$B2530="",$M2530=""),"",True)</f>
        <v>1</v>
      </c>
      <c r="M2530" s="1" t="str">
        <f t="shared" si="30"/>
        <v>存在しない</v>
      </c>
      <c r="N2530" s="1" t="s">
        <v>29</v>
      </c>
      <c r="O2530" s="1"/>
      <c r="P2530" s="11"/>
      <c r="Q2530" s="11"/>
      <c r="R2530" s="11"/>
      <c r="S2530" s="11"/>
      <c r="T2530" s="1"/>
      <c r="U2530" s="1"/>
      <c r="V2530" s="1"/>
      <c r="W2530" s="1"/>
      <c r="X2530" s="1"/>
      <c r="Y2530" s="1"/>
      <c r="Z2530" s="1"/>
    </row>
    <row r="2531" ht="18.0" customHeight="1" outlineLevel="1" collapsed="1">
      <c r="A2531" s="1"/>
      <c r="B2531" s="1"/>
      <c r="C2531" s="1"/>
      <c r="D2531" s="1"/>
      <c r="E2531" s="14"/>
      <c r="F2531" s="15"/>
      <c r="G2531" s="16"/>
      <c r="H2531" s="11"/>
      <c r="I2531" s="7"/>
      <c r="J2531" s="7" t="str">
        <f>IFERROR(LET(_xlpm.v,
VLOOKUP($I2531,'用語辞書'!$A:$B,COLUMN('用語辞書'!B$1),FALSE),
IF(_xlpm.v=0,"",_xlpm.v)
),"")</f>
        <v/>
      </c>
      <c r="K2531" s="17"/>
      <c r="L2531" s="17" t="str">
        <f>IF(OR(COUNTIF('クラス'!$A$1:$A$1262,$B2531)&gt;0,$B2531="",$M2531=""),"",True)</f>
        <v/>
      </c>
      <c r="M2531" s="1" t="str">
        <f t="shared" si="30"/>
        <v>存在しない</v>
      </c>
      <c r="N2531" s="1" t="s">
        <v>29</v>
      </c>
      <c r="O2531" s="1"/>
      <c r="P2531" s="11"/>
      <c r="Q2531" s="11"/>
      <c r="R2531" s="11"/>
      <c r="S2531" s="11"/>
      <c r="T2531" s="1"/>
      <c r="U2531" s="1"/>
      <c r="V2531" s="1"/>
      <c r="W2531" s="1"/>
      <c r="X2531" s="1"/>
      <c r="Y2531" s="1"/>
      <c r="Z2531" s="1"/>
    </row>
    <row r="2532" ht="18.0" customHeight="1" outlineLevel="1">
      <c r="A2532" s="1"/>
      <c r="B2532" s="26" t="s">
        <v>2413</v>
      </c>
      <c r="C2532" s="1"/>
      <c r="D2532" s="1"/>
      <c r="E2532" s="14"/>
      <c r="F2532" s="15"/>
      <c r="G2532" s="16"/>
      <c r="H2532" s="11"/>
      <c r="I2532" s="7"/>
      <c r="J2532" s="7" t="str">
        <f>IFERROR(LET(_xlpm.v,
VLOOKUP($I2532,'用語辞書'!$A:$B,COLUMN('用語辞書'!B$1),FALSE),
IF(_xlpm.v=0,"",_xlpm.v)
),"")</f>
        <v/>
      </c>
      <c r="K2532" s="17"/>
      <c r="L2532" s="17" t="str">
        <f>IF(OR(COUNTIF('クラス'!$A$1:$A$1262,$B2532)&gt;0,$B2532="",$M2532=""),"",True)</f>
        <v/>
      </c>
      <c r="M2532" s="1" t="str">
        <f t="shared" si="30"/>
        <v>存在しない</v>
      </c>
      <c r="N2532" s="1" t="s">
        <v>29</v>
      </c>
      <c r="O2532" s="1"/>
      <c r="P2532" s="11"/>
      <c r="Q2532" s="11"/>
      <c r="R2532" s="11"/>
      <c r="S2532" s="11"/>
      <c r="T2532" s="1"/>
      <c r="U2532" s="1"/>
      <c r="V2532" s="1"/>
      <c r="W2532" s="1"/>
      <c r="X2532" s="1"/>
      <c r="Y2532" s="1"/>
      <c r="Z2532" s="1"/>
    </row>
    <row r="2533" ht="18.0" hidden="1" customHeight="1" outlineLevel="2">
      <c r="A2533" s="1">
        <v>1.0</v>
      </c>
      <c r="B2533" s="26" t="s">
        <v>2414</v>
      </c>
      <c r="C2533" s="26" t="s">
        <v>29</v>
      </c>
      <c r="D2533" s="26" t="s">
        <v>908</v>
      </c>
      <c r="E2533" s="29" t="s">
        <v>33</v>
      </c>
      <c r="F2533" s="34" t="s">
        <v>29</v>
      </c>
      <c r="G2533" s="30">
        <v>60.0</v>
      </c>
      <c r="H2533" s="22" t="s">
        <v>2415</v>
      </c>
      <c r="I2533" s="7"/>
      <c r="J2533" s="7" t="str">
        <f>IFERROR(LET(_xlpm.v,
VLOOKUP($I2533,'用語辞書'!$A:$B,COLUMN('用語辞書'!B$1),FALSE),
IF(_xlpm.v=0,"",_xlpm.v)
),"")</f>
        <v/>
      </c>
      <c r="K2533" s="17"/>
      <c r="L2533" s="17" t="b">
        <f>IF(OR(COUNTIF('クラス'!$A$1:$A$1262,$B2533)&gt;0,$B2533="",$M2533=""),"",True)</f>
        <v>1</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2.0</v>
      </c>
      <c r="B2534" s="26" t="s">
        <v>29</v>
      </c>
      <c r="C2534" s="1"/>
      <c r="D2534" s="1"/>
      <c r="E2534" s="14"/>
      <c r="F2534" s="15"/>
      <c r="G2534" s="16"/>
      <c r="H2534" s="11"/>
      <c r="I2534" s="7"/>
      <c r="J2534" s="7" t="str">
        <f>IFERROR(LET(_xlpm.v,
VLOOKUP($I2534,'用語辞書'!$A:$B,COLUMN('用語辞書'!B$1),FALSE),
IF(_xlpm.v=0,"",_xlpm.v)
),"")</f>
        <v/>
      </c>
      <c r="K2534" s="17"/>
      <c r="L2534" s="17" t="str">
        <f>IF(OR(COUNTIF('クラス'!$A$1:$A$1262,$B2534)&gt;0,$B2534="",$M2534=""),"",True)</f>
        <v/>
      </c>
      <c r="M2534" s="1" t="str">
        <f t="shared" si="30"/>
        <v/>
      </c>
      <c r="N2534" s="1" t="s">
        <v>29</v>
      </c>
      <c r="O2534" s="1"/>
      <c r="P2534" s="11"/>
      <c r="Q2534" s="11"/>
      <c r="R2534" s="11"/>
      <c r="S2534" s="11"/>
      <c r="T2534" s="1"/>
      <c r="U2534" s="1"/>
      <c r="V2534" s="1"/>
      <c r="W2534" s="1"/>
      <c r="X2534" s="1"/>
      <c r="Y2534" s="1"/>
      <c r="Z2534" s="1"/>
    </row>
    <row r="2535" ht="18.0" hidden="1" customHeight="1" outlineLevel="2">
      <c r="A2535" s="1">
        <v>3.0</v>
      </c>
      <c r="B2535" s="26" t="s">
        <v>898</v>
      </c>
      <c r="C2535" s="1"/>
      <c r="D2535" s="1"/>
      <c r="E2535" s="14"/>
      <c r="F2535" s="15"/>
      <c r="G2535" s="16"/>
      <c r="H2535" s="11"/>
      <c r="I2535" s="7"/>
      <c r="J2535" s="7" t="str">
        <f>IFERROR(LET(_xlpm.v,
VLOOKUP($I2535,'用語辞書'!$A:$B,COLUMN('用語辞書'!B$1),FALSE),
IF(_xlpm.v=0,"",_xlpm.v)
),"")</f>
        <v/>
      </c>
      <c r="K2535" s="17"/>
      <c r="L2535" s="17" t="str">
        <f>IF(OR(COUNTIF('クラス'!$A$1:$A$1262,$B2535)&gt;0,$B2535="",$M2535=""),"",True)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4.0</v>
      </c>
      <c r="B2536" s="26" t="s">
        <v>29</v>
      </c>
      <c r="C2536" s="1"/>
      <c r="D2536" s="1"/>
      <c r="E2536" s="14"/>
      <c r="F2536" s="15"/>
      <c r="G2536" s="16"/>
      <c r="H2536" s="11"/>
      <c r="I2536" s="7"/>
      <c r="J2536" s="7" t="str">
        <f>IFERROR(LET(_xlpm.v,
VLOOKUP($I2536,'用語辞書'!$A:$B,COLUMN('用語辞書'!B$1),FALSE),
IF(_xlpm.v=0,"",_xlpm.v)
),"")</f>
        <v/>
      </c>
      <c r="K2536" s="17"/>
      <c r="L2536" s="17" t="str">
        <f>IF(OR(COUNTIF('クラス'!$A$1:$A$1262,$B2536)&gt;0,$B2536="",$M2536=""),"",True)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5.0</v>
      </c>
      <c r="B2537" s="26" t="s">
        <v>1768</v>
      </c>
      <c r="C2537" s="1"/>
      <c r="D2537" s="1"/>
      <c r="E2537" s="14"/>
      <c r="F2537" s="15"/>
      <c r="G2537" s="16"/>
      <c r="H2537" s="11"/>
      <c r="I2537" s="7"/>
      <c r="J2537" s="7" t="str">
        <f>IFERROR(LET(_xlpm.v,
VLOOKUP($I2537,'用語辞書'!$A:$B,COLUMN('用語辞書'!B$1),FALSE),
IF(_xlpm.v=0,"",_xlpm.v)
),"")</f>
        <v/>
      </c>
      <c r="K2537" s="17"/>
      <c r="L2537" s="17" t="str">
        <f>IF(OR(COUNTIF('クラス'!$A$1:$A$1262,$B2537)&gt;0,$B2537="",$M2537=""),"",True)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6.0</v>
      </c>
      <c r="B2538" s="26" t="s">
        <v>29</v>
      </c>
      <c r="C2538" s="1"/>
      <c r="D2538" s="1"/>
      <c r="E2538" s="14"/>
      <c r="F2538" s="15"/>
      <c r="G2538" s="16"/>
      <c r="H2538" s="11"/>
      <c r="I2538" s="7"/>
      <c r="J2538" s="7" t="str">
        <f>IFERROR(LET(_xlpm.v,
VLOOKUP($I2538,'用語辞書'!$A:$B,COLUMN('用語辞書'!B$1),FALSE),
IF(_xlpm.v=0,"",_xlpm.v)
),"")</f>
        <v/>
      </c>
      <c r="K2538" s="17"/>
      <c r="L2538" s="17" t="str">
        <f>IF(OR(COUNTIF('クラス'!$A$1:$A$1262,$B2538)&gt;0,$B2538="",$M2538=""),"",True)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7.0</v>
      </c>
      <c r="B2539" s="26" t="s">
        <v>902</v>
      </c>
      <c r="C2539" s="1"/>
      <c r="D2539" s="1"/>
      <c r="E2539" s="14"/>
      <c r="F2539" s="15"/>
      <c r="G2539" s="16"/>
      <c r="H2539" s="11"/>
      <c r="I2539" s="7"/>
      <c r="J2539" s="7" t="str">
        <f>IFERROR(LET(_xlpm.v,
VLOOKUP($I2539,'用語辞書'!$A:$B,COLUMN('用語辞書'!B$1),FALSE),
IF(_xlpm.v=0,"",_xlpm.v)
),"")</f>
        <v/>
      </c>
      <c r="K2539" s="17"/>
      <c r="L2539" s="17" t="str">
        <f>IF(OR(COUNTIF('クラス'!$A$1:$A$1262,$B2539)&gt;0,$B2539="",$M2539=""),"",True)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8.0</v>
      </c>
      <c r="B2540" s="26" t="s">
        <v>29</v>
      </c>
      <c r="C2540" s="1"/>
      <c r="D2540" s="1"/>
      <c r="E2540" s="14"/>
      <c r="F2540" s="15"/>
      <c r="G2540" s="16"/>
      <c r="H2540" s="11"/>
      <c r="I2540" s="7"/>
      <c r="J2540" s="7" t="str">
        <f>IFERROR(LET(_xlpm.v,
VLOOKUP($I2540,'用語辞書'!$A:$B,COLUMN('用語辞書'!B$1),FALSE),
IF(_xlpm.v=0,"",_xlpm.v)
),"")</f>
        <v/>
      </c>
      <c r="K2540" s="17"/>
      <c r="L2540" s="17" t="str">
        <f>IF(OR(COUNTIF('クラス'!$A$1:$A$1262,$B2540)&gt;0,$B2540="",$M2540=""),"",True)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9.0</v>
      </c>
      <c r="B2541" s="26" t="s">
        <v>1772</v>
      </c>
      <c r="C2541" s="1"/>
      <c r="D2541" s="1"/>
      <c r="E2541" s="14"/>
      <c r="F2541" s="15"/>
      <c r="G2541" s="16"/>
      <c r="H2541" s="11"/>
      <c r="I2541" s="7"/>
      <c r="J2541" s="7" t="str">
        <f>IFERROR(LET(_xlpm.v,
VLOOKUP($I2541,'用語辞書'!$A:$B,COLUMN('用語辞書'!B$1),FALSE),
IF(_xlpm.v=0,"",_xlpm.v)
),"")</f>
        <v/>
      </c>
      <c r="K2541" s="17"/>
      <c r="L2541" s="17" t="str">
        <f>IF(OR(COUNTIF('クラス'!$A$1:$A$1262,$B2541)&gt;0,$B2541="",$M2541=""),"",True)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10.0</v>
      </c>
      <c r="B2542" s="26" t="s">
        <v>2416</v>
      </c>
      <c r="C2542" s="26" t="s">
        <v>29</v>
      </c>
      <c r="D2542" s="26" t="s">
        <v>908</v>
      </c>
      <c r="E2542" s="29" t="s">
        <v>33</v>
      </c>
      <c r="F2542" s="34" t="s">
        <v>29</v>
      </c>
      <c r="G2542" s="30">
        <v>60.0</v>
      </c>
      <c r="H2542" s="22" t="s">
        <v>2417</v>
      </c>
      <c r="I2542" s="7"/>
      <c r="J2542" s="7" t="str">
        <f>IFERROR(LET(_xlpm.v,
VLOOKUP($I2542,'用語辞書'!$A:$B,COLUMN('用語辞書'!B$1),FALSE),
IF(_xlpm.v=0,"",_xlpm.v)
),"")</f>
        <v/>
      </c>
      <c r="K2542" s="17"/>
      <c r="L2542" s="17" t="b">
        <f>IF(OR(COUNTIF('クラス'!$A$1:$A$1262,$B2542)&gt;0,$B2542="",$M2542=""),"",True)</f>
        <v>1</v>
      </c>
      <c r="M2542" s="1" t="str">
        <f t="shared" si="30"/>
        <v>存在しない</v>
      </c>
      <c r="N2542" s="1" t="s">
        <v>29</v>
      </c>
      <c r="O2542" s="1"/>
      <c r="P2542" s="11"/>
      <c r="Q2542" s="11"/>
      <c r="R2542" s="11"/>
      <c r="S2542" s="11"/>
      <c r="T2542" s="1"/>
      <c r="U2542" s="1"/>
      <c r="V2542" s="1"/>
      <c r="W2542" s="1"/>
      <c r="X2542" s="1"/>
      <c r="Y2542" s="1"/>
      <c r="Z2542" s="1"/>
    </row>
    <row r="2543" ht="18.0" customHeight="1" outlineLevel="1" collapsed="1">
      <c r="A2543" s="1"/>
      <c r="B2543" s="1"/>
      <c r="C2543" s="1"/>
      <c r="D2543" s="1"/>
      <c r="E2543" s="14"/>
      <c r="F2543" s="15"/>
      <c r="G2543" s="16"/>
      <c r="H2543" s="11"/>
      <c r="I2543" s="7"/>
      <c r="J2543" s="7" t="str">
        <f>IFERROR(LET(_xlpm.v,
VLOOKUP($I2543,'用語辞書'!$A:$B,COLUMN('用語辞書'!B$1),FALSE),
IF(_xlpm.v=0,"",_xlpm.v)
),"")</f>
        <v/>
      </c>
      <c r="K2543" s="17"/>
      <c r="L2543" s="17" t="str">
        <f>IF(OR(COUNTIF('クラス'!$A$1:$A$1262,$B2543)&gt;0,$B2543="",$M2543=""),"",True)</f>
        <v/>
      </c>
      <c r="M2543" s="1" t="str">
        <f t="shared" si="30"/>
        <v>存在しない</v>
      </c>
      <c r="N2543" s="1" t="s">
        <v>29</v>
      </c>
      <c r="O2543" s="1"/>
      <c r="P2543" s="11"/>
      <c r="Q2543" s="11"/>
      <c r="R2543" s="11"/>
      <c r="S2543" s="11"/>
      <c r="T2543" s="1"/>
      <c r="U2543" s="1"/>
      <c r="V2543" s="1"/>
      <c r="W2543" s="1"/>
      <c r="X2543" s="1"/>
      <c r="Y2543" s="1"/>
      <c r="Z2543" s="1"/>
    </row>
    <row r="2544" ht="18.0" customHeight="1" outlineLevel="1">
      <c r="A2544" s="1"/>
      <c r="B2544" s="26" t="s">
        <v>2418</v>
      </c>
      <c r="C2544" s="1"/>
      <c r="D2544" s="1"/>
      <c r="E2544" s="14"/>
      <c r="F2544" s="15"/>
      <c r="G2544" s="16"/>
      <c r="H2544" s="11"/>
      <c r="I2544" s="7"/>
      <c r="J2544" s="7" t="str">
        <f>IFERROR(LET(_xlpm.v,
VLOOKUP($I2544,'用語辞書'!$A:$B,COLUMN('用語辞書'!B$1),FALSE),
IF(_xlpm.v=0,"",_xlpm.v)
),"")</f>
        <v/>
      </c>
      <c r="K2544" s="17"/>
      <c r="L2544" s="17" t="str">
        <f>IF(OR(COUNTIF('クラス'!$A$1:$A$1262,$B2544)&gt;0,$B2544="",$M2544=""),"",True)</f>
        <v/>
      </c>
      <c r="M2544" s="1" t="str">
        <f t="shared" si="30"/>
        <v>存在しない</v>
      </c>
      <c r="N2544" s="1" t="s">
        <v>29</v>
      </c>
      <c r="O2544" s="1"/>
      <c r="P2544" s="11"/>
      <c r="Q2544" s="11"/>
      <c r="R2544" s="11"/>
      <c r="S2544" s="11"/>
      <c r="T2544" s="1"/>
      <c r="U2544" s="1"/>
      <c r="V2544" s="1"/>
      <c r="W2544" s="1"/>
      <c r="X2544" s="1"/>
      <c r="Y2544" s="1"/>
      <c r="Z2544" s="1"/>
    </row>
    <row r="2545" ht="18.0" hidden="1" customHeight="1" outlineLevel="2">
      <c r="A2545" s="1">
        <v>1.0</v>
      </c>
      <c r="B2545" s="26" t="s">
        <v>2419</v>
      </c>
      <c r="C2545" s="26" t="s">
        <v>29</v>
      </c>
      <c r="D2545" s="26" t="s">
        <v>965</v>
      </c>
      <c r="E2545" s="29" t="s">
        <v>33</v>
      </c>
      <c r="F2545" s="34" t="s">
        <v>29</v>
      </c>
      <c r="G2545" s="30">
        <v>60.0</v>
      </c>
      <c r="H2545" s="22" t="s">
        <v>2420</v>
      </c>
      <c r="I2545" s="7"/>
      <c r="J2545" s="7" t="str">
        <f>IFERROR(LET(_xlpm.v,
VLOOKUP($I2545,'用語辞書'!$A:$B,COLUMN('用語辞書'!B$1),FALSE),
IF(_xlpm.v=0,"",_xlpm.v)
),"")</f>
        <v/>
      </c>
      <c r="K2545" s="17"/>
      <c r="L2545" s="17" t="b">
        <f>IF(OR(COUNTIF('クラス'!$A$1:$A$1262,$B2545)&gt;0,$B2545="",$M2545=""),"",True)</f>
        <v>1</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2.0</v>
      </c>
      <c r="B2546" s="26" t="s">
        <v>29</v>
      </c>
      <c r="C2546" s="1"/>
      <c r="D2546" s="1"/>
      <c r="E2546" s="14"/>
      <c r="F2546" s="15"/>
      <c r="G2546" s="16"/>
      <c r="H2546" s="11"/>
      <c r="I2546" s="7"/>
      <c r="J2546" s="7" t="str">
        <f>IFERROR(LET(_xlpm.v,
VLOOKUP($I2546,'用語辞書'!$A:$B,COLUMN('用語辞書'!B$1),FALSE),
IF(_xlpm.v=0,"",_xlpm.v)
),"")</f>
        <v/>
      </c>
      <c r="K2546" s="17"/>
      <c r="L2546" s="17" t="str">
        <f>IF(OR(COUNTIF('クラス'!$A$1:$A$1262,$B2546)&gt;0,$B2546="",$M2546=""),"",True)</f>
        <v/>
      </c>
      <c r="M2546" s="1" t="str">
        <f t="shared" si="30"/>
        <v/>
      </c>
      <c r="N2546" s="1" t="s">
        <v>29</v>
      </c>
      <c r="O2546" s="1"/>
      <c r="P2546" s="11"/>
      <c r="Q2546" s="11"/>
      <c r="R2546" s="11"/>
      <c r="S2546" s="11"/>
      <c r="T2546" s="1"/>
      <c r="U2546" s="1"/>
      <c r="V2546" s="1"/>
      <c r="W2546" s="1"/>
      <c r="X2546" s="1"/>
      <c r="Y2546" s="1"/>
      <c r="Z2546" s="1"/>
    </row>
    <row r="2547" ht="18.0" hidden="1" customHeight="1" outlineLevel="2">
      <c r="A2547" s="1">
        <v>3.0</v>
      </c>
      <c r="B2547" s="26" t="s">
        <v>966</v>
      </c>
      <c r="C2547" s="1"/>
      <c r="D2547" s="1"/>
      <c r="E2547" s="14"/>
      <c r="F2547" s="15"/>
      <c r="G2547" s="16"/>
      <c r="H2547" s="11"/>
      <c r="I2547" s="7"/>
      <c r="J2547" s="7" t="str">
        <f>IFERROR(LET(_xlpm.v,
VLOOKUP($I2547,'用語辞書'!$A:$B,COLUMN('用語辞書'!B$1),FALSE),
IF(_xlpm.v=0,"",_xlpm.v)
),"")</f>
        <v/>
      </c>
      <c r="K2547" s="17"/>
      <c r="L2547" s="17" t="str">
        <f>IF(OR(COUNTIF('クラス'!$A$1:$A$1262,$B2547)&gt;0,$B2547="",$M2547=""),"",True)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4.0</v>
      </c>
      <c r="B2548" s="26" t="s">
        <v>29</v>
      </c>
      <c r="C2548" s="1"/>
      <c r="D2548" s="1"/>
      <c r="E2548" s="14"/>
      <c r="F2548" s="15"/>
      <c r="G2548" s="16"/>
      <c r="H2548" s="11"/>
      <c r="I2548" s="7"/>
      <c r="J2548" s="7" t="str">
        <f>IFERROR(LET(_xlpm.v,
VLOOKUP($I2548,'用語辞書'!$A:$B,COLUMN('用語辞書'!B$1),FALSE),
IF(_xlpm.v=0,"",_xlpm.v)
),"")</f>
        <v/>
      </c>
      <c r="K2548" s="17"/>
      <c r="L2548" s="17" t="str">
        <f>IF(OR(COUNTIF('クラス'!$A$1:$A$1262,$B2548)&gt;0,$B2548="",$M2548=""),"",True)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5.0</v>
      </c>
      <c r="B2549" s="26" t="s">
        <v>1789</v>
      </c>
      <c r="C2549" s="1"/>
      <c r="D2549" s="1"/>
      <c r="E2549" s="14"/>
      <c r="F2549" s="15"/>
      <c r="G2549" s="16"/>
      <c r="H2549" s="11"/>
      <c r="I2549" s="7"/>
      <c r="J2549" s="7" t="str">
        <f>IFERROR(LET(_xlpm.v,
VLOOKUP($I2549,'用語辞書'!$A:$B,COLUMN('用語辞書'!B$1),FALSE),
IF(_xlpm.v=0,"",_xlpm.v)
),"")</f>
        <v/>
      </c>
      <c r="K2549" s="17"/>
      <c r="L2549" s="17" t="str">
        <f>IF(OR(COUNTIF('クラス'!$A$1:$A$1262,$B2549)&gt;0,$B2549="",$M2549=""),"",True)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6.0</v>
      </c>
      <c r="B2550" s="26" t="s">
        <v>29</v>
      </c>
      <c r="C2550" s="1"/>
      <c r="D2550" s="1"/>
      <c r="E2550" s="14"/>
      <c r="F2550" s="15"/>
      <c r="G2550" s="16"/>
      <c r="H2550" s="11"/>
      <c r="I2550" s="7"/>
      <c r="J2550" s="7" t="str">
        <f>IFERROR(LET(_xlpm.v,
VLOOKUP($I2550,'用語辞書'!$A:$B,COLUMN('用語辞書'!B$1),FALSE),
IF(_xlpm.v=0,"",_xlpm.v)
),"")</f>
        <v/>
      </c>
      <c r="K2550" s="17"/>
      <c r="L2550" s="17" t="str">
        <f>IF(OR(COUNTIF('クラス'!$A$1:$A$1262,$B2550)&gt;0,$B2550="",$M2550=""),"",True)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7.0</v>
      </c>
      <c r="B2551" s="26" t="s">
        <v>978</v>
      </c>
      <c r="C2551" s="1"/>
      <c r="D2551" s="1"/>
      <c r="E2551" s="14"/>
      <c r="F2551" s="15"/>
      <c r="G2551" s="16"/>
      <c r="H2551" s="11"/>
      <c r="I2551" s="7"/>
      <c r="J2551" s="7" t="str">
        <f>IFERROR(LET(_xlpm.v,
VLOOKUP($I2551,'用語辞書'!$A:$B,COLUMN('用語辞書'!B$1),FALSE),
IF(_xlpm.v=0,"",_xlpm.v)
),"")</f>
        <v/>
      </c>
      <c r="K2551" s="17"/>
      <c r="L2551" s="17" t="str">
        <f>IF(OR(COUNTIF('クラス'!$A$1:$A$1262,$B2551)&gt;0,$B2551="",$M2551=""),"",True)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8.0</v>
      </c>
      <c r="B2552" s="26" t="s">
        <v>29</v>
      </c>
      <c r="C2552" s="1"/>
      <c r="D2552" s="1"/>
      <c r="E2552" s="14"/>
      <c r="F2552" s="15"/>
      <c r="G2552" s="16"/>
      <c r="H2552" s="11"/>
      <c r="I2552" s="7"/>
      <c r="J2552" s="7" t="str">
        <f>IFERROR(LET(_xlpm.v,
VLOOKUP($I2552,'用語辞書'!$A:$B,COLUMN('用語辞書'!B$1),FALSE),
IF(_xlpm.v=0,"",_xlpm.v)
),"")</f>
        <v/>
      </c>
      <c r="K2552" s="17"/>
      <c r="L2552" s="17" t="str">
        <f>IF(OR(COUNTIF('クラス'!$A$1:$A$1262,$B2552)&gt;0,$B2552="",$M2552=""),"",True)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9.0</v>
      </c>
      <c r="B2553" s="26" t="s">
        <v>1793</v>
      </c>
      <c r="C2553" s="1"/>
      <c r="D2553" s="1"/>
      <c r="E2553" s="14"/>
      <c r="F2553" s="15"/>
      <c r="G2553" s="16"/>
      <c r="H2553" s="11"/>
      <c r="I2553" s="7"/>
      <c r="J2553" s="7" t="str">
        <f>IFERROR(LET(_xlpm.v,
VLOOKUP($I2553,'用語辞書'!$A:$B,COLUMN('用語辞書'!B$1),FALSE),
IF(_xlpm.v=0,"",_xlpm.v)
),"")</f>
        <v/>
      </c>
      <c r="K2553" s="17"/>
      <c r="L2553" s="17" t="str">
        <f>IF(OR(COUNTIF('クラス'!$A$1:$A$1262,$B2553)&gt;0,$B2553="",$M2553=""),"",True)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10.0</v>
      </c>
      <c r="B2554" s="26" t="s">
        <v>2421</v>
      </c>
      <c r="C2554" s="26" t="s">
        <v>29</v>
      </c>
      <c r="D2554" s="26" t="s">
        <v>965</v>
      </c>
      <c r="E2554" s="29" t="s">
        <v>33</v>
      </c>
      <c r="F2554" s="34" t="s">
        <v>29</v>
      </c>
      <c r="G2554" s="30">
        <v>60.0</v>
      </c>
      <c r="H2554" s="22" t="s">
        <v>2422</v>
      </c>
      <c r="I2554" s="7"/>
      <c r="J2554" s="7" t="str">
        <f>IFERROR(LET(_xlpm.v,
VLOOKUP($I2554,'用語辞書'!$A:$B,COLUMN('用語辞書'!B$1),FALSE),
IF(_xlpm.v=0,"",_xlpm.v)
),"")</f>
        <v/>
      </c>
      <c r="K2554" s="17"/>
      <c r="L2554" s="17" t="b">
        <f>IF(OR(COUNTIF('クラス'!$A$1:$A$1262,$B2554)&gt;0,$B2554="",$M2554=""),"",True)</f>
        <v>1</v>
      </c>
      <c r="M2554" s="1" t="str">
        <f t="shared" si="30"/>
        <v>存在しない</v>
      </c>
      <c r="N2554" s="1" t="s">
        <v>29</v>
      </c>
      <c r="O2554" s="1"/>
      <c r="P2554" s="11"/>
      <c r="Q2554" s="11"/>
      <c r="R2554" s="11"/>
      <c r="S2554" s="11"/>
      <c r="T2554" s="1"/>
      <c r="U2554" s="1"/>
      <c r="V2554" s="1"/>
      <c r="W2554" s="1"/>
      <c r="X2554" s="1"/>
      <c r="Y2554" s="1"/>
      <c r="Z2554" s="1"/>
    </row>
    <row r="2555" ht="18.0" customHeight="1" collapsed="1">
      <c r="A2555" s="1"/>
      <c r="B2555" s="1"/>
      <c r="C2555" s="26" t="s">
        <v>2423</v>
      </c>
      <c r="D2555" s="1"/>
      <c r="E2555" s="14"/>
      <c r="F2555" s="15"/>
      <c r="G2555" s="16"/>
      <c r="H2555" s="11"/>
      <c r="I2555" s="7"/>
      <c r="J2555" s="7" t="str">
        <f>IFERROR(LET(_xlpm.v,
VLOOKUP($I2555,'用語辞書'!$A:$B,COLUMN('用語辞書'!B$1),FALSE),
IF(_xlpm.v=0,"",_xlpm.v)
),"")</f>
        <v/>
      </c>
      <c r="K2555" s="17"/>
      <c r="L2555" s="17" t="str">
        <f>IF(OR(COUNTIF('クラス'!$A$1:$A$1262,$B2555)&gt;0,$B2555="",$M2555=""),"",True)</f>
        <v/>
      </c>
      <c r="M2555" s="1" t="str">
        <f t="shared" si="30"/>
        <v>存在しない</v>
      </c>
      <c r="N2555" s="1" t="s">
        <v>29</v>
      </c>
      <c r="O2555" s="1"/>
      <c r="P2555" s="11"/>
      <c r="Q2555" s="11"/>
      <c r="R2555" s="11"/>
      <c r="S2555" s="11"/>
      <c r="T2555" s="1"/>
      <c r="U2555" s="1"/>
      <c r="V2555" s="1"/>
      <c r="W2555" s="1"/>
      <c r="X2555" s="1"/>
      <c r="Y2555" s="1"/>
      <c r="Z2555" s="1"/>
    </row>
    <row r="2556" ht="18.0" customHeight="1">
      <c r="A2556" s="1"/>
      <c r="B2556" s="26" t="s">
        <v>2424</v>
      </c>
      <c r="C2556" s="26" t="s">
        <v>2425</v>
      </c>
      <c r="D2556" s="1"/>
      <c r="E2556" s="14"/>
      <c r="F2556" s="15"/>
      <c r="G2556" s="16"/>
      <c r="H2556" s="11"/>
      <c r="I2556" s="7"/>
      <c r="J2556" s="7" t="str">
        <f>IFERROR(LET(_xlpm.v,
VLOOKUP($I2556,'用語辞書'!$A:$B,COLUMN('用語辞書'!B$1),FALSE),
IF(_xlpm.v=0,"",_xlpm.v)
),"")</f>
        <v/>
      </c>
      <c r="K2556" s="17"/>
      <c r="L2556" s="17" t="str">
        <f>IF(OR(COUNTIF('クラス'!$A$1:$A$1262,$B2556)&gt;0,$B2556="",$M2556=""),"",True)</f>
        <v/>
      </c>
      <c r="M2556" s="1" t="str">
        <f t="shared" si="30"/>
        <v>存在しない</v>
      </c>
      <c r="N2556" s="1" t="s">
        <v>29</v>
      </c>
      <c r="O2556" s="1"/>
      <c r="P2556" s="11"/>
      <c r="Q2556" s="11"/>
      <c r="R2556" s="11"/>
      <c r="S2556" s="11"/>
      <c r="T2556" s="1"/>
      <c r="U2556" s="1"/>
      <c r="V2556" s="1"/>
      <c r="W2556" s="1"/>
      <c r="X2556" s="1"/>
      <c r="Y2556" s="1"/>
      <c r="Z2556" s="1"/>
    </row>
    <row r="2557" ht="18.0" hidden="1" customHeight="1" outlineLevel="1">
      <c r="A2557" s="1">
        <v>1.0</v>
      </c>
      <c r="B2557" s="26" t="s">
        <v>297</v>
      </c>
      <c r="C2557" s="1"/>
      <c r="D2557" s="1"/>
      <c r="E2557" s="14"/>
      <c r="F2557" s="15"/>
      <c r="G2557" s="16"/>
      <c r="H2557" s="11"/>
      <c r="I2557" s="7"/>
      <c r="J2557" s="7" t="str">
        <f>IFERROR(LET(_xlpm.v,
VLOOKUP($I2557,'用語辞書'!$A:$B,COLUMN('用語辞書'!B$1),FALSE),
IF(_xlpm.v=0,"",_xlpm.v)
),"")</f>
        <v/>
      </c>
      <c r="K2557" s="17"/>
      <c r="L2557" s="17" t="str">
        <f>IF(OR(COUNTIF('クラス'!$A$1:$A$1262,$B2557)&gt;0,$B2557="",$M2557=""),"",True)</f>
        <v/>
      </c>
      <c r="M2557" s="1" t="str">
        <f t="shared" si="30"/>
        <v/>
      </c>
      <c r="N2557" s="1" t="s">
        <v>29</v>
      </c>
      <c r="O2557" s="1"/>
      <c r="P2557" s="11"/>
      <c r="Q2557" s="11"/>
      <c r="R2557" s="11"/>
      <c r="S2557" s="11"/>
      <c r="T2557" s="1"/>
      <c r="U2557" s="1"/>
      <c r="V2557" s="1"/>
      <c r="W2557" s="1"/>
      <c r="X2557" s="1"/>
      <c r="Y2557" s="1"/>
      <c r="Z2557" s="1"/>
    </row>
    <row r="2558" ht="18.0" hidden="1" customHeight="1" outlineLevel="1">
      <c r="A2558" s="1">
        <v>2.0</v>
      </c>
      <c r="B2558" s="26" t="s">
        <v>388</v>
      </c>
      <c r="C2558" s="1"/>
      <c r="D2558" s="1"/>
      <c r="E2558" s="14"/>
      <c r="F2558" s="15"/>
      <c r="G2558" s="16"/>
      <c r="H2558" s="11"/>
      <c r="I2558" s="7"/>
      <c r="J2558" s="7" t="str">
        <f>IFERROR(LET(_xlpm.v,
VLOOKUP($I2558,'用語辞書'!$A:$B,COLUMN('用語辞書'!B$1),FALSE),
IF(_xlpm.v=0,"",_xlpm.v)
),"")</f>
        <v/>
      </c>
      <c r="K2558" s="17"/>
      <c r="L2558" s="17" t="str">
        <f>IF(OR(COUNTIF('クラス'!$A$1:$A$1262,$B2558)&gt;0,$B2558="",$M2558=""),"",True)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3.0</v>
      </c>
      <c r="B2559" s="26" t="s">
        <v>465</v>
      </c>
      <c r="C2559" s="1"/>
      <c r="D2559" s="1"/>
      <c r="E2559" s="14"/>
      <c r="F2559" s="15"/>
      <c r="G2559" s="16"/>
      <c r="H2559" s="11"/>
      <c r="I2559" s="7"/>
      <c r="J2559" s="7" t="str">
        <f>IFERROR(LET(_xlpm.v,
VLOOKUP($I2559,'用語辞書'!$A:$B,COLUMN('用語辞書'!B$1),FALSE),
IF(_xlpm.v=0,"",_xlpm.v)
),"")</f>
        <v/>
      </c>
      <c r="K2559" s="17"/>
      <c r="L2559" s="17" t="str">
        <f>IF(OR(COUNTIF('クラス'!$A$1:$A$1262,$B2559)&gt;0,$B2559="",$M2559=""),"",True)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4.0</v>
      </c>
      <c r="B2560" s="26" t="s">
        <v>526</v>
      </c>
      <c r="C2560" s="1"/>
      <c r="D2560" s="1"/>
      <c r="E2560" s="14"/>
      <c r="F2560" s="15"/>
      <c r="G2560" s="16"/>
      <c r="H2560" s="11"/>
      <c r="I2560" s="7"/>
      <c r="J2560" s="7" t="str">
        <f>IFERROR(LET(_xlpm.v,
VLOOKUP($I2560,'用語辞書'!$A:$B,COLUMN('用語辞書'!B$1),FALSE),
IF(_xlpm.v=0,"",_xlpm.v)
),"")</f>
        <v/>
      </c>
      <c r="K2560" s="17"/>
      <c r="L2560" s="17" t="str">
        <f>IF(OR(COUNTIF('クラス'!$A$1:$A$1262,$B2560)&gt;0,$B2560="",$M2560=""),"",True)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5.0</v>
      </c>
      <c r="B2561" s="26" t="s">
        <v>902</v>
      </c>
      <c r="C2561" s="1"/>
      <c r="D2561" s="1"/>
      <c r="E2561" s="14"/>
      <c r="F2561" s="15"/>
      <c r="G2561" s="16"/>
      <c r="H2561" s="11"/>
      <c r="I2561" s="7"/>
      <c r="J2561" s="7" t="str">
        <f>IFERROR(LET(_xlpm.v,
VLOOKUP($I2561,'用語辞書'!$A:$B,COLUMN('用語辞書'!B$1),FALSE),
IF(_xlpm.v=0,"",_xlpm.v)
),"")</f>
        <v/>
      </c>
      <c r="K2561" s="17"/>
      <c r="L2561" s="17" t="str">
        <f>IF(OR(COUNTIF('クラス'!$A$1:$A$1262,$B2561)&gt;0,$B2561="",$M2561=""),"",True)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6.0</v>
      </c>
      <c r="B2562" s="1"/>
      <c r="C2562" s="1"/>
      <c r="D2562" s="1"/>
      <c r="E2562" s="14"/>
      <c r="F2562" s="15"/>
      <c r="G2562" s="16"/>
      <c r="H2562" s="11"/>
      <c r="I2562" s="7"/>
      <c r="J2562" s="7" t="str">
        <f>IFERROR(LET(_xlpm.v,
VLOOKUP($I2562,'用語辞書'!$A:$B,COLUMN('用語辞書'!B$1),FALSE),
IF(_xlpm.v=0,"",_xlpm.v)
),"")</f>
        <v/>
      </c>
      <c r="K2562" s="17"/>
      <c r="L2562" s="17" t="str">
        <f>IF(OR(COUNTIF('クラス'!$A$1:$A$1262,$B2562)&gt;0,$B2562="",$M2562=""),"",True)</f>
        <v/>
      </c>
      <c r="M2562" s="1" t="str">
        <f t="shared" si="30"/>
        <v>存在しない</v>
      </c>
      <c r="N2562" s="1" t="s">
        <v>29</v>
      </c>
      <c r="O2562" s="1"/>
      <c r="P2562" s="11"/>
      <c r="Q2562" s="11"/>
      <c r="R2562" s="11"/>
      <c r="S2562" s="11"/>
      <c r="T2562" s="1"/>
      <c r="U2562" s="1"/>
      <c r="V2562" s="1"/>
      <c r="W2562" s="1"/>
      <c r="X2562" s="1"/>
      <c r="Y2562" s="1"/>
      <c r="Z2562" s="1"/>
    </row>
    <row r="2563" ht="18.0" hidden="1" customHeight="1" outlineLevel="1">
      <c r="A2563" s="1">
        <v>7.0</v>
      </c>
      <c r="B2563" s="26" t="s">
        <v>978</v>
      </c>
      <c r="C2563" s="1"/>
      <c r="D2563" s="1"/>
      <c r="E2563" s="14"/>
      <c r="F2563" s="15"/>
      <c r="G2563" s="16"/>
      <c r="H2563" s="11"/>
      <c r="I2563" s="7"/>
      <c r="J2563" s="7" t="str">
        <f>IFERROR(LET(_xlpm.v,
VLOOKUP($I2563,'用語辞書'!$A:$B,COLUMN('用語辞書'!B$1),FALSE),
IF(_xlpm.v=0,"",_xlpm.v)
),"")</f>
        <v/>
      </c>
      <c r="K2563" s="17"/>
      <c r="L2563" s="17" t="str">
        <f>IF(OR(COUNTIF('クラス'!$A$1:$A$1262,$B2563)&gt;0,$B2563="",$M2563=""),"",True)</f>
        <v/>
      </c>
      <c r="M2563" s="1" t="str">
        <f t="shared" si="30"/>
        <v/>
      </c>
      <c r="N2563" s="1" t="s">
        <v>29</v>
      </c>
      <c r="O2563" s="1"/>
      <c r="P2563" s="11"/>
      <c r="Q2563" s="11"/>
      <c r="R2563" s="11"/>
      <c r="S2563" s="11"/>
      <c r="T2563" s="1"/>
      <c r="U2563" s="1"/>
      <c r="V2563" s="1"/>
      <c r="W2563" s="1"/>
      <c r="X2563" s="1"/>
      <c r="Y2563" s="1"/>
      <c r="Z2563" s="1"/>
    </row>
    <row r="2564" ht="18.0" hidden="1" customHeight="1" outlineLevel="1">
      <c r="A2564" s="1">
        <v>8.0</v>
      </c>
      <c r="B2564" s="1"/>
      <c r="C2564" s="1"/>
      <c r="D2564" s="1"/>
      <c r="E2564" s="14"/>
      <c r="F2564" s="15"/>
      <c r="G2564" s="16"/>
      <c r="H2564" s="11"/>
      <c r="I2564" s="7"/>
      <c r="J2564" s="7" t="str">
        <f>IFERROR(LET(_xlpm.v,
VLOOKUP($I2564,'用語辞書'!$A:$B,COLUMN('用語辞書'!B$1),FALSE),
IF(_xlpm.v=0,"",_xlpm.v)
),"")</f>
        <v/>
      </c>
      <c r="K2564" s="17"/>
      <c r="L2564" s="17" t="str">
        <f>IF(OR(COUNTIF('クラス'!$A$1:$A$1262,$B2564)&gt;0,$B2564="",$M2564=""),"",True)</f>
        <v/>
      </c>
      <c r="M2564" s="1" t="str">
        <f t="shared" si="30"/>
        <v>存在しない</v>
      </c>
      <c r="N2564" s="1" t="s">
        <v>29</v>
      </c>
      <c r="O2564" s="1"/>
      <c r="P2564" s="11"/>
      <c r="Q2564" s="11"/>
      <c r="R2564" s="11"/>
      <c r="S2564" s="11"/>
      <c r="T2564" s="1"/>
      <c r="U2564" s="1"/>
      <c r="V2564" s="1"/>
      <c r="W2564" s="1"/>
      <c r="X2564" s="1"/>
      <c r="Y2564" s="1"/>
      <c r="Z2564" s="1"/>
    </row>
    <row r="2565" ht="18.0" hidden="1" customHeight="1" outlineLevel="1">
      <c r="A2565" s="1">
        <v>9.0</v>
      </c>
      <c r="B2565" s="26" t="s">
        <v>788</v>
      </c>
      <c r="C2565" s="1"/>
      <c r="D2565" s="1"/>
      <c r="E2565" s="14"/>
      <c r="F2565" s="15"/>
      <c r="G2565" s="16"/>
      <c r="H2565" s="11"/>
      <c r="I2565" s="7"/>
      <c r="J2565" s="7" t="str">
        <f>IFERROR(LET(_xlpm.v,
VLOOKUP($I2565,'用語辞書'!$A:$B,COLUMN('用語辞書'!B$1),FALSE),
IF(_xlpm.v=0,"",_xlpm.v)
),"")</f>
        <v/>
      </c>
      <c r="K2565" s="17"/>
      <c r="L2565" s="17" t="str">
        <f>IF(OR(COUNTIF('クラス'!$A$1:$A$1262,$B2565)&gt;0,$B2565="",$M2565=""),"",True)</f>
        <v/>
      </c>
      <c r="M2565" s="1" t="str">
        <f t="shared" si="30"/>
        <v/>
      </c>
      <c r="N2565" s="1" t="s">
        <v>29</v>
      </c>
      <c r="O2565" s="1"/>
      <c r="P2565" s="11"/>
      <c r="Q2565" s="11"/>
      <c r="R2565" s="11"/>
      <c r="S2565" s="11"/>
      <c r="T2565" s="1"/>
      <c r="U2565" s="1"/>
      <c r="V2565" s="1"/>
      <c r="W2565" s="1"/>
      <c r="X2565" s="1"/>
      <c r="Y2565" s="1"/>
      <c r="Z2565" s="1"/>
    </row>
    <row r="2566" ht="18.0" hidden="1" customHeight="1" outlineLevel="1">
      <c r="A2566" s="1">
        <v>10.0</v>
      </c>
      <c r="B2566" s="1"/>
      <c r="C2566" s="1"/>
      <c r="D2566" s="1"/>
      <c r="E2566" s="14"/>
      <c r="F2566" s="15"/>
      <c r="G2566" s="16"/>
      <c r="H2566" s="11"/>
      <c r="I2566" s="7"/>
      <c r="J2566" s="7" t="str">
        <f>IFERROR(LET(_xlpm.v,
VLOOKUP($I2566,'用語辞書'!$A:$B,COLUMN('用語辞書'!B$1),FALSE),
IF(_xlpm.v=0,"",_xlpm.v)
),"")</f>
        <v/>
      </c>
      <c r="K2566" s="17"/>
      <c r="L2566" s="17" t="str">
        <f>IF(OR(COUNTIF('クラス'!$A$1:$A$1262,$B2566)&gt;0,$B2566="",$M2566=""),"",True)</f>
        <v/>
      </c>
      <c r="M2566" s="1" t="str">
        <f t="shared" si="30"/>
        <v>存在しない</v>
      </c>
      <c r="N2566" s="1" t="s">
        <v>29</v>
      </c>
      <c r="O2566" s="1"/>
      <c r="P2566" s="11"/>
      <c r="Q2566" s="11"/>
      <c r="R2566" s="11"/>
      <c r="S2566" s="11"/>
      <c r="T2566" s="1"/>
      <c r="U2566" s="1"/>
      <c r="V2566" s="1"/>
      <c r="W2566" s="1"/>
      <c r="X2566" s="1"/>
      <c r="Y2566" s="1"/>
      <c r="Z2566" s="1"/>
    </row>
    <row r="2567" ht="18.0" customHeight="1" collapsed="1">
      <c r="A2567" s="1"/>
      <c r="B2567" s="1"/>
      <c r="C2567" s="1"/>
      <c r="D2567" s="1"/>
      <c r="E2567" s="14"/>
      <c r="F2567" s="15"/>
      <c r="G2567" s="16"/>
      <c r="H2567" s="11"/>
      <c r="I2567" s="7"/>
      <c r="J2567" s="7" t="str">
        <f>IFERROR(LET(_xlpm.v,
VLOOKUP($I2567,'用語辞書'!$A:$B,COLUMN('用語辞書'!B$1),FALSE),
IF(_xlpm.v=0,"",_xlpm.v)
),"")</f>
        <v/>
      </c>
      <c r="K2567" s="17"/>
      <c r="L2567" s="17" t="str">
        <f>IF(OR(COUNTIF('クラス'!$A$1:$A$1262,$B2567)&gt;0,$B2567="",$M2567=""),"",True)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 r="A2568" s="1"/>
      <c r="B2568" s="26" t="s">
        <v>2426</v>
      </c>
      <c r="C2568" s="1"/>
      <c r="D2568" s="1"/>
      <c r="E2568" s="14"/>
      <c r="F2568" s="15"/>
      <c r="G2568" s="16"/>
      <c r="H2568" s="11"/>
      <c r="I2568" s="7"/>
      <c r="J2568" s="7" t="str">
        <f>IFERROR(LET(_xlpm.v,
VLOOKUP($I2568,'用語辞書'!$A:$B,COLUMN('用語辞書'!B$1),FALSE),
IF(_xlpm.v=0,"",_xlpm.v)
),"")</f>
        <v/>
      </c>
      <c r="K2568" s="17"/>
      <c r="L2568" s="17" t="str">
        <f>IF(OR(COUNTIF('クラス'!$A$1:$A$1262,$B2568)&gt;0,$B2568="",$M2568=""),"",True)</f>
        <v/>
      </c>
      <c r="M2568" s="1" t="str">
        <f t="shared" si="30"/>
        <v>存在しない</v>
      </c>
      <c r="N2568" s="1" t="s">
        <v>29</v>
      </c>
      <c r="O2568" s="1"/>
      <c r="P2568" s="11"/>
      <c r="Q2568" s="11"/>
      <c r="R2568" s="11"/>
      <c r="S2568" s="11"/>
      <c r="T2568" s="1"/>
      <c r="U2568" s="1"/>
      <c r="V2568" s="1"/>
      <c r="W2568" s="1"/>
      <c r="X2568" s="1"/>
      <c r="Y2568" s="1"/>
      <c r="Z2568" s="1"/>
    </row>
    <row r="2569" ht="18.0" hidden="1" customHeight="1" outlineLevel="1">
      <c r="A2569" s="26">
        <v>1.0</v>
      </c>
      <c r="B2569" s="26" t="s">
        <v>310</v>
      </c>
      <c r="C2569" s="1"/>
      <c r="D2569" s="1"/>
      <c r="E2569" s="14"/>
      <c r="F2569" s="15"/>
      <c r="G2569" s="16"/>
      <c r="H2569" s="11"/>
      <c r="I2569" s="7"/>
      <c r="J2569" s="7" t="str">
        <f>IFERROR(LET(_xlpm.v,
VLOOKUP($I2569,'用語辞書'!$A:$B,COLUMN('用語辞書'!B$1),FALSE),
IF(_xlpm.v=0,"",_xlpm.v)
),"")</f>
        <v/>
      </c>
      <c r="K2569" s="17"/>
      <c r="L2569" s="17" t="str">
        <f>IF(OR(COUNTIF('クラス'!$A$1:$A$1262,$B2569)&gt;0,$B2569="",$M2569=""),"",True)</f>
        <v/>
      </c>
      <c r="M2569" s="1" t="str">
        <f t="shared" si="30"/>
        <v/>
      </c>
      <c r="N2569" s="1" t="s">
        <v>29</v>
      </c>
      <c r="O2569" s="1"/>
      <c r="P2569" s="11"/>
      <c r="Q2569" s="11"/>
      <c r="R2569" s="11"/>
      <c r="S2569" s="11"/>
      <c r="T2569" s="1"/>
      <c r="U2569" s="1"/>
      <c r="V2569" s="1"/>
      <c r="W2569" s="1"/>
      <c r="X2569" s="1"/>
      <c r="Y2569" s="1"/>
      <c r="Z2569" s="1"/>
    </row>
    <row r="2570" ht="18.0" hidden="1" customHeight="1" outlineLevel="1">
      <c r="A2570" s="26">
        <v>2.0</v>
      </c>
      <c r="B2570" s="26" t="s">
        <v>401</v>
      </c>
      <c r="C2570" s="1"/>
      <c r="D2570" s="1"/>
      <c r="E2570" s="14"/>
      <c r="F2570" s="15"/>
      <c r="G2570" s="16"/>
      <c r="H2570" s="11"/>
      <c r="I2570" s="7"/>
      <c r="J2570" s="7" t="str">
        <f>IFERROR(LET(_xlpm.v,
VLOOKUP($I2570,'用語辞書'!$A:$B,COLUMN('用語辞書'!B$1),FALSE),
IF(_xlpm.v=0,"",_xlpm.v)
),"")</f>
        <v/>
      </c>
      <c r="K2570" s="17"/>
      <c r="L2570" s="17" t="str">
        <f>IF(OR(COUNTIF('クラス'!$A$1:$A$1262,$B2570)&gt;0,$B2570="",$M2570=""),"",True)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3.0</v>
      </c>
      <c r="B2571" s="26" t="s">
        <v>537</v>
      </c>
      <c r="C2571" s="1"/>
      <c r="D2571" s="1"/>
      <c r="E2571" s="14"/>
      <c r="F2571" s="15"/>
      <c r="G2571" s="16"/>
      <c r="H2571" s="11"/>
      <c r="I2571" s="7"/>
      <c r="J2571" s="7" t="str">
        <f>IFERROR(LET(_xlpm.v,
VLOOKUP($I2571,'用語辞書'!$A:$B,COLUMN('用語辞書'!B$1),FALSE),
IF(_xlpm.v=0,"",_xlpm.v)
),"")</f>
        <v/>
      </c>
      <c r="K2571" s="17"/>
      <c r="L2571" s="17" t="str">
        <f>IF(OR(COUNTIF('クラス'!$A$1:$A$1262,$B2571)&gt;0,$B2571="",$M2571=""),"",True)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4.0</v>
      </c>
      <c r="B2572" s="1"/>
      <c r="C2572" s="1"/>
      <c r="D2572" s="1"/>
      <c r="E2572" s="14"/>
      <c r="F2572" s="15"/>
      <c r="G2572" s="16"/>
      <c r="H2572" s="11"/>
      <c r="I2572" s="7"/>
      <c r="J2572" s="7" t="str">
        <f>IFERROR(LET(_xlpm.v,
VLOOKUP($I2572,'用語辞書'!$A:$B,COLUMN('用語辞書'!B$1),FALSE),
IF(_xlpm.v=0,"",_xlpm.v)
),"")</f>
        <v/>
      </c>
      <c r="K2572" s="17"/>
      <c r="L2572" s="17" t="str">
        <f>IF(OR(COUNTIF('クラス'!$A$1:$A$1262,$B2572)&gt;0,$B2572="",$M2572=""),"",True)</f>
        <v/>
      </c>
      <c r="M2572" s="1" t="str">
        <f t="shared" si="30"/>
        <v>存在しない</v>
      </c>
      <c r="N2572" s="1" t="s">
        <v>29</v>
      </c>
      <c r="O2572" s="1"/>
      <c r="P2572" s="11"/>
      <c r="Q2572" s="11"/>
      <c r="R2572" s="11"/>
      <c r="S2572" s="11"/>
      <c r="T2572" s="1"/>
      <c r="U2572" s="1"/>
      <c r="V2572" s="1"/>
      <c r="W2572" s="1"/>
      <c r="X2572" s="1"/>
      <c r="Y2572" s="1"/>
      <c r="Z2572" s="1"/>
    </row>
    <row r="2573" ht="18.0" hidden="1" customHeight="1" outlineLevel="1">
      <c r="A2573" s="26">
        <v>5.0</v>
      </c>
      <c r="B2573" s="26" t="s">
        <v>655</v>
      </c>
      <c r="C2573" s="1"/>
      <c r="D2573" s="1"/>
      <c r="E2573" s="14"/>
      <c r="F2573" s="15"/>
      <c r="G2573" s="16"/>
      <c r="H2573" s="11"/>
      <c r="I2573" s="7"/>
      <c r="J2573" s="7" t="str">
        <f>IFERROR(LET(_xlpm.v,
VLOOKUP($I2573,'用語辞書'!$A:$B,COLUMN('用語辞書'!B$1),FALSE),
IF(_xlpm.v=0,"",_xlpm.v)
),"")</f>
        <v/>
      </c>
      <c r="K2573" s="17"/>
      <c r="L2573" s="17" t="str">
        <f>IF(OR(COUNTIF('クラス'!$A$1:$A$1262,$B2573)&gt;0,$B2573="",$M2573=""),"",True)</f>
        <v/>
      </c>
      <c r="M2573" s="1" t="str">
        <f t="shared" si="30"/>
        <v/>
      </c>
      <c r="N2573" s="1" t="s">
        <v>29</v>
      </c>
      <c r="O2573" s="1"/>
      <c r="P2573" s="11"/>
      <c r="Q2573" s="11"/>
      <c r="R2573" s="11"/>
      <c r="S2573" s="11"/>
      <c r="T2573" s="1"/>
      <c r="U2573" s="1"/>
      <c r="V2573" s="1"/>
      <c r="W2573" s="1"/>
      <c r="X2573" s="1"/>
      <c r="Y2573" s="1"/>
      <c r="Z2573" s="1"/>
    </row>
    <row r="2574" ht="18.0" hidden="1" customHeight="1" outlineLevel="1">
      <c r="A2574" s="26">
        <v>6.0</v>
      </c>
      <c r="B2574" s="1"/>
      <c r="C2574" s="1"/>
      <c r="D2574" s="1"/>
      <c r="E2574" s="14"/>
      <c r="F2574" s="15"/>
      <c r="G2574" s="16"/>
      <c r="H2574" s="11"/>
      <c r="I2574" s="7"/>
      <c r="J2574" s="7" t="str">
        <f>IFERROR(LET(_xlpm.v,
VLOOKUP($I2574,'用語辞書'!$A:$B,COLUMN('用語辞書'!B$1),FALSE),
IF(_xlpm.v=0,"",_xlpm.v)
),"")</f>
        <v/>
      </c>
      <c r="K2574" s="17"/>
      <c r="L2574" s="17" t="str">
        <f>IF(OR(COUNTIF('クラス'!$A$1:$A$1262,$B2574)&gt;0,$B2574="",$M2574=""),"",True)</f>
        <v/>
      </c>
      <c r="M2574" s="1" t="str">
        <f t="shared" si="30"/>
        <v>存在しない</v>
      </c>
      <c r="N2574" s="1" t="s">
        <v>29</v>
      </c>
      <c r="O2574" s="1"/>
      <c r="P2574" s="11"/>
      <c r="Q2574" s="11"/>
      <c r="R2574" s="11"/>
      <c r="S2574" s="11"/>
      <c r="T2574" s="1"/>
      <c r="U2574" s="1"/>
      <c r="V2574" s="1"/>
      <c r="W2574" s="1"/>
      <c r="X2574" s="1"/>
      <c r="Y2574" s="1"/>
      <c r="Z2574" s="1"/>
    </row>
    <row r="2575" ht="18.0" hidden="1" customHeight="1" outlineLevel="1">
      <c r="A2575" s="26">
        <v>7.0</v>
      </c>
      <c r="B2575" s="26" t="s">
        <v>918</v>
      </c>
      <c r="C2575" s="1"/>
      <c r="D2575" s="1"/>
      <c r="E2575" s="14"/>
      <c r="F2575" s="15"/>
      <c r="G2575" s="16"/>
      <c r="H2575" s="11"/>
      <c r="I2575" s="7"/>
      <c r="J2575" s="7" t="str">
        <f>IFERROR(LET(_xlpm.v,
VLOOKUP($I2575,'用語辞書'!$A:$B,COLUMN('用語辞書'!B$1),FALSE),
IF(_xlpm.v=0,"",_xlpm.v)
),"")</f>
        <v/>
      </c>
      <c r="K2575" s="17"/>
      <c r="L2575" s="17" t="str">
        <f>IF(OR(COUNTIF('クラス'!$A$1:$A$1262,$B2575)&gt;0,$B2575="",$M2575=""),"",True)</f>
        <v/>
      </c>
      <c r="M2575" s="1" t="str">
        <f t="shared" si="30"/>
        <v/>
      </c>
      <c r="N2575" s="1" t="s">
        <v>29</v>
      </c>
      <c r="O2575" s="1"/>
      <c r="P2575" s="11"/>
      <c r="Q2575" s="11"/>
      <c r="R2575" s="11"/>
      <c r="S2575" s="11"/>
      <c r="T2575" s="1"/>
      <c r="U2575" s="1"/>
      <c r="V2575" s="1"/>
      <c r="W2575" s="1"/>
      <c r="X2575" s="1"/>
      <c r="Y2575" s="1"/>
      <c r="Z2575" s="1"/>
    </row>
    <row r="2576" ht="18.0" hidden="1" customHeight="1" outlineLevel="1">
      <c r="A2576" s="26">
        <v>8.0</v>
      </c>
      <c r="B2576" s="1"/>
      <c r="C2576" s="1"/>
      <c r="D2576" s="1"/>
      <c r="E2576" s="14"/>
      <c r="F2576" s="15"/>
      <c r="G2576" s="16"/>
      <c r="H2576" s="11"/>
      <c r="I2576" s="7"/>
      <c r="J2576" s="7" t="str">
        <f>IFERROR(LET(_xlpm.v,
VLOOKUP($I2576,'用語辞書'!$A:$B,COLUMN('用語辞書'!B$1),FALSE),
IF(_xlpm.v=0,"",_xlpm.v)
),"")</f>
        <v/>
      </c>
      <c r="K2576" s="17"/>
      <c r="L2576" s="17" t="str">
        <f>IF(OR(COUNTIF('クラス'!$A$1:$A$1262,$B2576)&gt;0,$B2576="",$M2576=""),"",True)</f>
        <v/>
      </c>
      <c r="M2576" s="1" t="str">
        <f t="shared" si="30"/>
        <v>存在しない</v>
      </c>
      <c r="N2576" s="1" t="s">
        <v>29</v>
      </c>
      <c r="O2576" s="1"/>
      <c r="P2576" s="11"/>
      <c r="Q2576" s="11"/>
      <c r="R2576" s="11"/>
      <c r="S2576" s="11"/>
      <c r="T2576" s="1"/>
      <c r="U2576" s="1"/>
      <c r="V2576" s="1"/>
      <c r="W2576" s="1"/>
      <c r="X2576" s="1"/>
      <c r="Y2576" s="1"/>
      <c r="Z2576" s="1"/>
    </row>
    <row r="2577" ht="18.0" hidden="1" customHeight="1" outlineLevel="1">
      <c r="A2577" s="26">
        <v>9.0</v>
      </c>
      <c r="B2577" s="26" t="s">
        <v>994</v>
      </c>
      <c r="C2577" s="1"/>
      <c r="D2577" s="1"/>
      <c r="E2577" s="14"/>
      <c r="F2577" s="15"/>
      <c r="G2577" s="16"/>
      <c r="H2577" s="11"/>
      <c r="I2577" s="7"/>
      <c r="J2577" s="7" t="str">
        <f>IFERROR(LET(_xlpm.v,
VLOOKUP($I2577,'用語辞書'!$A:$B,COLUMN('用語辞書'!B$1),FALSE),
IF(_xlpm.v=0,"",_xlpm.v)
),"")</f>
        <v/>
      </c>
      <c r="K2577" s="17"/>
      <c r="L2577" s="17" t="str">
        <f>IF(OR(COUNTIF('クラス'!$A$1:$A$1262,$B2577)&gt;0,$B2577="",$M2577=""),"",True)</f>
        <v/>
      </c>
      <c r="M2577" s="1" t="str">
        <f t="shared" si="30"/>
        <v/>
      </c>
      <c r="N2577" s="1" t="s">
        <v>29</v>
      </c>
      <c r="O2577" s="1"/>
      <c r="P2577" s="11"/>
      <c r="Q2577" s="11"/>
      <c r="R2577" s="11"/>
      <c r="S2577" s="11"/>
      <c r="T2577" s="1"/>
      <c r="U2577" s="1"/>
      <c r="V2577" s="1"/>
      <c r="W2577" s="1"/>
      <c r="X2577" s="1"/>
      <c r="Y2577" s="1"/>
      <c r="Z2577" s="1"/>
    </row>
    <row r="2578" ht="18.0" hidden="1" customHeight="1" outlineLevel="1">
      <c r="A2578" s="26">
        <v>10.0</v>
      </c>
      <c r="B2578" s="26" t="s">
        <v>157</v>
      </c>
      <c r="C2578" s="1"/>
      <c r="D2578" s="1"/>
      <c r="E2578" s="14"/>
      <c r="F2578" s="15"/>
      <c r="G2578" s="16"/>
      <c r="H2578" s="11"/>
      <c r="I2578" s="7"/>
      <c r="J2578" s="7" t="str">
        <f>IFERROR(LET(_xlpm.v,
VLOOKUP($I2578,'用語辞書'!$A:$B,COLUMN('用語辞書'!B$1),FALSE),
IF(_xlpm.v=0,"",_xlpm.v)
),"")</f>
        <v/>
      </c>
      <c r="K2578" s="17"/>
      <c r="L2578" s="17" t="str">
        <f>IF(OR(COUNTIF('クラス'!$A$1:$A$1262,$B2578)&gt;0,$B2578="",$M2578=""),"",True)</f>
        <v/>
      </c>
      <c r="M2578" s="1" t="str">
        <f t="shared" si="30"/>
        <v/>
      </c>
      <c r="N2578" s="1" t="s">
        <v>29</v>
      </c>
      <c r="O2578" s="1"/>
      <c r="P2578" s="11"/>
      <c r="Q2578" s="11"/>
      <c r="R2578" s="11"/>
      <c r="S2578" s="11"/>
      <c r="T2578" s="1"/>
      <c r="U2578" s="1"/>
      <c r="V2578" s="1"/>
      <c r="W2578" s="1"/>
      <c r="X2578" s="1"/>
      <c r="Y2578" s="1"/>
      <c r="Z2578" s="1"/>
    </row>
    <row r="2579" ht="18.0" customHeight="1" collapsed="1">
      <c r="A2579" s="1"/>
      <c r="B2579" s="1"/>
      <c r="C2579" s="1"/>
      <c r="D2579" s="1"/>
      <c r="E2579" s="14"/>
      <c r="F2579" s="15"/>
      <c r="G2579" s="16"/>
      <c r="H2579" s="11"/>
      <c r="I2579" s="7"/>
      <c r="J2579" s="7" t="str">
        <f>IFERROR(LET(_xlpm.v,
VLOOKUP($I2579,'用語辞書'!$A:$B,COLUMN('用語辞書'!B$1),FALSE),
IF(_xlpm.v=0,"",_xlpm.v)
),"")</f>
        <v/>
      </c>
      <c r="K2579" s="17"/>
      <c r="L2579" s="17" t="str">
        <f>IF(OR(COUNTIF('クラス'!$A$1:$A$1262,$B2579)&gt;0,$B2579="",$M2579=""),"",True)</f>
        <v/>
      </c>
      <c r="M2579" s="1" t="str">
        <f t="shared" si="30"/>
        <v>存在しない</v>
      </c>
      <c r="N2579" s="1" t="s">
        <v>29</v>
      </c>
      <c r="O2579" s="1"/>
      <c r="P2579" s="11"/>
      <c r="Q2579" s="11"/>
      <c r="R2579" s="11"/>
      <c r="S2579" s="11"/>
      <c r="T2579" s="1"/>
      <c r="U2579" s="1"/>
      <c r="V2579" s="1"/>
      <c r="W2579" s="1"/>
      <c r="X2579" s="1"/>
      <c r="Y2579" s="1"/>
      <c r="Z2579" s="1"/>
    </row>
    <row r="2580" ht="18.0" customHeight="1">
      <c r="A2580" s="1"/>
      <c r="B2580" s="26" t="s">
        <v>2427</v>
      </c>
      <c r="C2580" s="1"/>
      <c r="D2580" s="1"/>
      <c r="E2580" s="14"/>
      <c r="F2580" s="15"/>
      <c r="G2580" s="16"/>
      <c r="H2580" s="11"/>
      <c r="I2580" s="7"/>
      <c r="J2580" s="7" t="str">
        <f>IFERROR(LET(_xlpm.v,
VLOOKUP($I2580,'用語辞書'!$A:$B,COLUMN('用語辞書'!B$1),FALSE),
IF(_xlpm.v=0,"",_xlpm.v)
),"")</f>
        <v/>
      </c>
      <c r="K2580" s="17"/>
      <c r="L2580" s="17" t="str">
        <f>IF(OR(COUNTIF('クラス'!$A$1:$A$1262,$B2580)&gt;0,$B2580="",$M2580=""),"",True)</f>
        <v/>
      </c>
      <c r="M2580" s="1" t="str">
        <f t="shared" si="30"/>
        <v>存在しない</v>
      </c>
      <c r="N2580" s="1" t="s">
        <v>29</v>
      </c>
      <c r="O2580" s="1"/>
      <c r="P2580" s="11"/>
      <c r="Q2580" s="11"/>
      <c r="R2580" s="11"/>
      <c r="S2580" s="11"/>
      <c r="T2580" s="1"/>
      <c r="U2580" s="1"/>
      <c r="V2580" s="1"/>
      <c r="W2580" s="1"/>
      <c r="X2580" s="1"/>
      <c r="Y2580" s="1"/>
      <c r="Z2580" s="1"/>
    </row>
    <row r="2581" ht="18.0" hidden="1" customHeight="1" outlineLevel="1">
      <c r="A2581" s="26">
        <v>1.0</v>
      </c>
      <c r="B2581" s="26" t="s">
        <v>137</v>
      </c>
      <c r="C2581" s="1"/>
      <c r="D2581" s="1"/>
      <c r="E2581" s="14"/>
      <c r="F2581" s="15"/>
      <c r="G2581" s="16"/>
      <c r="H2581" s="11"/>
      <c r="I2581" s="7"/>
      <c r="J2581" s="7" t="str">
        <f>IFERROR(LET(_xlpm.v,
VLOOKUP($I2581,'用語辞書'!$A:$B,COLUMN('用語辞書'!B$1),FALSE),
IF(_xlpm.v=0,"",_xlpm.v)
),"")</f>
        <v/>
      </c>
      <c r="K2581" s="17"/>
      <c r="L2581" s="17" t="str">
        <f>IF(OR(COUNTIF('クラス'!$A$1:$A$1262,$B2581)&gt;0,$B2581="",$M2581=""),"",True)</f>
        <v/>
      </c>
      <c r="M2581" s="1" t="str">
        <f t="shared" si="30"/>
        <v/>
      </c>
      <c r="N2581" s="1" t="s">
        <v>29</v>
      </c>
      <c r="O2581" s="1"/>
      <c r="P2581" s="11"/>
      <c r="Q2581" s="11"/>
      <c r="R2581" s="11"/>
      <c r="S2581" s="11"/>
      <c r="T2581" s="1"/>
      <c r="U2581" s="1"/>
      <c r="V2581" s="1"/>
      <c r="W2581" s="1"/>
      <c r="X2581" s="1"/>
      <c r="Y2581" s="1"/>
      <c r="Z2581" s="1"/>
    </row>
    <row r="2582" ht="18.0" hidden="1" customHeight="1" outlineLevel="1">
      <c r="A2582" s="26">
        <v>2.0</v>
      </c>
      <c r="B2582" s="1"/>
      <c r="C2582" s="1"/>
      <c r="D2582" s="1"/>
      <c r="E2582" s="14"/>
      <c r="F2582" s="15"/>
      <c r="G2582" s="16"/>
      <c r="H2582" s="11"/>
      <c r="I2582" s="7"/>
      <c r="J2582" s="7" t="str">
        <f>IFERROR(LET(_xlpm.v,
VLOOKUP($I2582,'用語辞書'!$A:$B,COLUMN('用語辞書'!B$1),FALSE),
IF(_xlpm.v=0,"",_xlpm.v)
),"")</f>
        <v/>
      </c>
      <c r="K2582" s="17"/>
      <c r="L2582" s="17" t="str">
        <f>IF(OR(COUNTIF('クラス'!$A$1:$A$1262,$B2582)&gt;0,$B2582="",$M2582=""),"",True)</f>
        <v/>
      </c>
      <c r="M2582" s="1" t="str">
        <f t="shared" si="30"/>
        <v>存在しない</v>
      </c>
      <c r="N2582" s="1" t="s">
        <v>29</v>
      </c>
      <c r="O2582" s="1"/>
      <c r="P2582" s="11"/>
      <c r="Q2582" s="11"/>
      <c r="R2582" s="11"/>
      <c r="S2582" s="11"/>
      <c r="T2582" s="1"/>
      <c r="U2582" s="1"/>
      <c r="V2582" s="1"/>
      <c r="W2582" s="1"/>
      <c r="X2582" s="1"/>
      <c r="Y2582" s="1"/>
      <c r="Z2582" s="1"/>
    </row>
    <row r="2583" ht="18.0" hidden="1" customHeight="1" outlineLevel="1">
      <c r="A2583" s="26">
        <v>3.0</v>
      </c>
      <c r="B2583" s="26" t="s">
        <v>150</v>
      </c>
      <c r="C2583" s="1"/>
      <c r="D2583" s="1"/>
      <c r="E2583" s="14"/>
      <c r="F2583" s="15"/>
      <c r="G2583" s="16"/>
      <c r="H2583" s="11"/>
      <c r="I2583" s="7"/>
      <c r="J2583" s="7" t="str">
        <f>IFERROR(LET(_xlpm.v,
VLOOKUP($I2583,'用語辞書'!$A:$B,COLUMN('用語辞書'!B$1),FALSE),
IF(_xlpm.v=0,"",_xlpm.v)
),"")</f>
        <v/>
      </c>
      <c r="K2583" s="17"/>
      <c r="L2583" s="17" t="str">
        <f>IF(OR(COUNTIF('クラス'!$A$1:$A$1262,$B2583)&gt;0,$B2583="",$M2583=""),"",True)</f>
        <v/>
      </c>
      <c r="M2583" s="1" t="str">
        <f t="shared" si="30"/>
        <v/>
      </c>
      <c r="N2583" s="1" t="s">
        <v>29</v>
      </c>
      <c r="O2583" s="1"/>
      <c r="P2583" s="11"/>
      <c r="Q2583" s="11"/>
      <c r="R2583" s="11"/>
      <c r="S2583" s="11"/>
      <c r="T2583" s="1"/>
      <c r="U2583" s="1"/>
      <c r="V2583" s="1"/>
      <c r="W2583" s="1"/>
      <c r="X2583" s="1"/>
      <c r="Y2583" s="1"/>
      <c r="Z2583" s="1"/>
    </row>
    <row r="2584" ht="18.0" hidden="1" customHeight="1" outlineLevel="1">
      <c r="A2584" s="26">
        <v>4.0</v>
      </c>
      <c r="B2584" s="1"/>
      <c r="C2584" s="1"/>
      <c r="D2584" s="1"/>
      <c r="E2584" s="14"/>
      <c r="F2584" s="15"/>
      <c r="G2584" s="16"/>
      <c r="H2584" s="11"/>
      <c r="I2584" s="7"/>
      <c r="J2584" s="7" t="str">
        <f>IFERROR(LET(_xlpm.v,
VLOOKUP($I2584,'用語辞書'!$A:$B,COLUMN('用語辞書'!B$1),FALSE),
IF(_xlpm.v=0,"",_xlpm.v)
),"")</f>
        <v/>
      </c>
      <c r="K2584" s="17"/>
      <c r="L2584" s="17" t="str">
        <f>IF(OR(COUNTIF('クラス'!$A$1:$A$1262,$B2584)&gt;0,$B2584="",$M2584=""),"",True)</f>
        <v/>
      </c>
      <c r="M2584" s="1" t="str">
        <f t="shared" si="30"/>
        <v>存在しない</v>
      </c>
      <c r="N2584" s="1" t="s">
        <v>29</v>
      </c>
      <c r="O2584" s="1"/>
      <c r="P2584" s="11"/>
      <c r="Q2584" s="11"/>
      <c r="R2584" s="11"/>
      <c r="S2584" s="11"/>
      <c r="T2584" s="1"/>
      <c r="U2584" s="1"/>
      <c r="V2584" s="1"/>
      <c r="W2584" s="1"/>
      <c r="X2584" s="1"/>
      <c r="Y2584" s="1"/>
      <c r="Z2584" s="1"/>
    </row>
    <row r="2585" ht="18.0" hidden="1" customHeight="1" outlineLevel="1">
      <c r="A2585" s="26">
        <v>5.0</v>
      </c>
      <c r="B2585" s="26" t="s">
        <v>153</v>
      </c>
      <c r="C2585" s="1"/>
      <c r="D2585" s="1"/>
      <c r="E2585" s="14"/>
      <c r="F2585" s="15"/>
      <c r="G2585" s="16"/>
      <c r="H2585" s="11"/>
      <c r="I2585" s="7"/>
      <c r="J2585" s="7" t="str">
        <f>IFERROR(LET(_xlpm.v,
VLOOKUP($I2585,'用語辞書'!$A:$B,COLUMN('用語辞書'!B$1),FALSE),
IF(_xlpm.v=0,"",_xlpm.v)
),"")</f>
        <v/>
      </c>
      <c r="K2585" s="17"/>
      <c r="L2585" s="17" t="str">
        <f>IF(OR(COUNTIF('クラス'!$A$1:$A$1262,$B2585)&gt;0,$B2585="",$M2585=""),"",True)</f>
        <v/>
      </c>
      <c r="M2585" s="1" t="str">
        <f t="shared" si="30"/>
        <v/>
      </c>
      <c r="N2585" s="1" t="s">
        <v>29</v>
      </c>
      <c r="O2585" s="1"/>
      <c r="P2585" s="11"/>
      <c r="Q2585" s="11"/>
      <c r="R2585" s="11"/>
      <c r="S2585" s="11"/>
      <c r="T2585" s="1"/>
      <c r="U2585" s="1"/>
      <c r="V2585" s="1"/>
      <c r="W2585" s="1"/>
      <c r="X2585" s="1"/>
      <c r="Y2585" s="1"/>
      <c r="Z2585" s="1"/>
    </row>
    <row r="2586" ht="18.0" hidden="1" customHeight="1" outlineLevel="1">
      <c r="A2586" s="26">
        <v>6.0</v>
      </c>
      <c r="B2586" s="1"/>
      <c r="C2586" s="1"/>
      <c r="D2586" s="1"/>
      <c r="E2586" s="14"/>
      <c r="F2586" s="15"/>
      <c r="G2586" s="16"/>
      <c r="H2586" s="11"/>
      <c r="I2586" s="7"/>
      <c r="J2586" s="7" t="str">
        <f>IFERROR(LET(_xlpm.v,
VLOOKUP($I2586,'用語辞書'!$A:$B,COLUMN('用語辞書'!B$1),FALSE),
IF(_xlpm.v=0,"",_xlpm.v)
),"")</f>
        <v/>
      </c>
      <c r="K2586" s="17"/>
      <c r="L2586" s="17" t="str">
        <f>IF(OR(COUNTIF('クラス'!$A$1:$A$1262,$B2586)&gt;0,$B2586="",$M2586=""),"",True)</f>
        <v/>
      </c>
      <c r="M2586" s="1" t="str">
        <f t="shared" si="30"/>
        <v>存在しない</v>
      </c>
      <c r="N2586" s="1" t="s">
        <v>29</v>
      </c>
      <c r="O2586" s="1"/>
      <c r="P2586" s="11"/>
      <c r="Q2586" s="11"/>
      <c r="R2586" s="11"/>
      <c r="S2586" s="11"/>
      <c r="T2586" s="1"/>
      <c r="U2586" s="1"/>
      <c r="V2586" s="1"/>
      <c r="W2586" s="1"/>
      <c r="X2586" s="1"/>
      <c r="Y2586" s="1"/>
      <c r="Z2586" s="1"/>
    </row>
    <row r="2587" ht="18.0" hidden="1" customHeight="1" outlineLevel="1">
      <c r="A2587" s="26">
        <v>7.0</v>
      </c>
      <c r="B2587" s="26" t="s">
        <v>143</v>
      </c>
      <c r="C2587" s="1"/>
      <c r="D2587" s="1"/>
      <c r="E2587" s="14"/>
      <c r="F2587" s="15"/>
      <c r="G2587" s="16"/>
      <c r="H2587" s="11"/>
      <c r="I2587" s="7"/>
      <c r="J2587" s="7" t="str">
        <f>IFERROR(LET(_xlpm.v,
VLOOKUP($I2587,'用語辞書'!$A:$B,COLUMN('用語辞書'!B$1),FALSE),
IF(_xlpm.v=0,"",_xlpm.v)
),"")</f>
        <v/>
      </c>
      <c r="K2587" s="17"/>
      <c r="L2587" s="17" t="str">
        <f>IF(OR(COUNTIF('クラス'!$A$1:$A$1262,$B2587)&gt;0,$B2587="",$M2587=""),"",True)</f>
        <v/>
      </c>
      <c r="M2587" s="1" t="str">
        <f t="shared" si="30"/>
        <v/>
      </c>
      <c r="N2587" s="1" t="s">
        <v>29</v>
      </c>
      <c r="O2587" s="1"/>
      <c r="P2587" s="11"/>
      <c r="Q2587" s="11"/>
      <c r="R2587" s="11"/>
      <c r="S2587" s="11"/>
      <c r="T2587" s="1"/>
      <c r="U2587" s="1"/>
      <c r="V2587" s="1"/>
      <c r="W2587" s="1"/>
      <c r="X2587" s="1"/>
      <c r="Y2587" s="1"/>
      <c r="Z2587" s="1"/>
    </row>
    <row r="2588" ht="18.0" hidden="1" customHeight="1" outlineLevel="1">
      <c r="A2588" s="26">
        <v>8.0</v>
      </c>
      <c r="B2588" s="1"/>
      <c r="C2588" s="1"/>
      <c r="D2588" s="1"/>
      <c r="E2588" s="14"/>
      <c r="F2588" s="15"/>
      <c r="G2588" s="16"/>
      <c r="H2588" s="11"/>
      <c r="I2588" s="7"/>
      <c r="J2588" s="7" t="str">
        <f>IFERROR(LET(_xlpm.v,
VLOOKUP($I2588,'用語辞書'!$A:$B,COLUMN('用語辞書'!B$1),FALSE),
IF(_xlpm.v=0,"",_xlpm.v)
),"")</f>
        <v/>
      </c>
      <c r="K2588" s="17"/>
      <c r="L2588" s="17" t="str">
        <f>IF(OR(COUNTIF('クラス'!$A$1:$A$1262,$B2588)&gt;0,$B2588="",$M2588=""),"",True)</f>
        <v/>
      </c>
      <c r="M2588" s="1" t="str">
        <f t="shared" si="30"/>
        <v>存在しない</v>
      </c>
      <c r="N2588" s="1" t="s">
        <v>29</v>
      </c>
      <c r="O2588" s="1"/>
      <c r="P2588" s="11"/>
      <c r="Q2588" s="11"/>
      <c r="R2588" s="11"/>
      <c r="S2588" s="11"/>
      <c r="T2588" s="1"/>
      <c r="U2588" s="1"/>
      <c r="V2588" s="1"/>
      <c r="W2588" s="1"/>
      <c r="X2588" s="1"/>
      <c r="Y2588" s="1"/>
      <c r="Z2588" s="1"/>
    </row>
    <row r="2589" ht="18.0" hidden="1" customHeight="1" outlineLevel="1">
      <c r="A2589" s="26">
        <v>9.0</v>
      </c>
      <c r="B2589" s="26" t="s">
        <v>157</v>
      </c>
      <c r="C2589" s="1"/>
      <c r="D2589" s="1"/>
      <c r="E2589" s="14"/>
      <c r="F2589" s="15"/>
      <c r="G2589" s="16"/>
      <c r="H2589" s="11"/>
      <c r="I2589" s="7"/>
      <c r="J2589" s="7" t="str">
        <f>IFERROR(LET(_xlpm.v,
VLOOKUP($I2589,'用語辞書'!$A:$B,COLUMN('用語辞書'!B$1),FALSE),
IF(_xlpm.v=0,"",_xlpm.v)
),"")</f>
        <v/>
      </c>
      <c r="K2589" s="17"/>
      <c r="L2589" s="17" t="str">
        <f>IF(OR(COUNTIF('クラス'!$A$1:$A$1262,$B2589)&gt;0,$B2589="",$M2589=""),"",True)</f>
        <v/>
      </c>
      <c r="M2589" s="1" t="str">
        <f t="shared" si="30"/>
        <v/>
      </c>
      <c r="N2589" s="1" t="s">
        <v>29</v>
      </c>
      <c r="O2589" s="1"/>
      <c r="P2589" s="11"/>
      <c r="Q2589" s="11"/>
      <c r="R2589" s="11"/>
      <c r="S2589" s="11"/>
      <c r="T2589" s="1"/>
      <c r="U2589" s="1"/>
      <c r="V2589" s="1"/>
      <c r="W2589" s="1"/>
      <c r="X2589" s="1"/>
      <c r="Y2589" s="1"/>
      <c r="Z2589" s="1"/>
    </row>
    <row r="2590" ht="18.0" hidden="1" customHeight="1" outlineLevel="1">
      <c r="A2590" s="26">
        <v>10.0</v>
      </c>
      <c r="B2590" s="26" t="s">
        <v>2428</v>
      </c>
      <c r="C2590" s="26" t="s">
        <v>29</v>
      </c>
      <c r="D2590" s="26" t="s">
        <v>2429</v>
      </c>
      <c r="E2590" s="29" t="s">
        <v>55</v>
      </c>
      <c r="F2590" s="34" t="s">
        <v>29</v>
      </c>
      <c r="G2590" s="30" t="s">
        <v>29</v>
      </c>
      <c r="H2590" s="22" t="s">
        <v>2430</v>
      </c>
      <c r="I2590" s="7"/>
      <c r="J2590" s="7" t="str">
        <f>IFERROR(LET(_xlpm.v,
VLOOKUP($I2590,'用語辞書'!$A:$B,COLUMN('用語辞書'!B$1),FALSE),
IF(_xlpm.v=0,"",_xlpm.v)
),"")</f>
        <v/>
      </c>
      <c r="K2590" s="17"/>
      <c r="L2590" s="17" t="b">
        <f>IF(OR(COUNTIF('クラス'!$A$1:$A$1262,$B2590)&gt;0,$B2590="",$M2590=""),"",True)</f>
        <v>1</v>
      </c>
      <c r="M2590" s="1" t="str">
        <f t="shared" si="30"/>
        <v>存在しない</v>
      </c>
      <c r="N2590" s="1" t="s">
        <v>29</v>
      </c>
      <c r="O2590" s="1"/>
      <c r="P2590" s="11"/>
      <c r="Q2590" s="11"/>
      <c r="R2590" s="11"/>
      <c r="S2590" s="11"/>
      <c r="T2590" s="1"/>
      <c r="U2590" s="1"/>
      <c r="V2590" s="1"/>
      <c r="W2590" s="1"/>
      <c r="X2590" s="1"/>
      <c r="Y2590" s="1"/>
      <c r="Z2590" s="1"/>
    </row>
    <row r="2591" ht="18.0" customHeight="1" collapsed="1">
      <c r="A2591" s="1"/>
      <c r="B2591" s="1"/>
      <c r="C2591" s="1"/>
      <c r="D2591" s="1"/>
      <c r="E2591" s="14"/>
      <c r="F2591" s="15"/>
      <c r="G2591" s="16"/>
      <c r="H2591" s="11"/>
      <c r="I2591" s="7"/>
      <c r="J2591" s="7" t="str">
        <f>IFERROR(LET(_xlpm.v,
VLOOKUP($I2591,'用語辞書'!$A:$B,COLUMN('用語辞書'!B$1),FALSE),
IF(_xlpm.v=0,"",_xlpm.v)
),"")</f>
        <v/>
      </c>
      <c r="K2591" s="17"/>
      <c r="L2591" s="17" t="str">
        <f>IF(OR(COUNTIF('クラス'!$A$1:$A$1262,$B2591)&gt;0,$B2591="",$M2591=""),"",True)</f>
        <v/>
      </c>
      <c r="M2591" s="1" t="str">
        <f t="shared" si="30"/>
        <v>存在しない</v>
      </c>
      <c r="N2591" s="1" t="s">
        <v>29</v>
      </c>
      <c r="O2591" s="1"/>
      <c r="P2591" s="11"/>
      <c r="Q2591" s="11"/>
      <c r="R2591" s="11"/>
      <c r="S2591" s="11"/>
      <c r="T2591" s="1"/>
      <c r="U2591" s="1"/>
      <c r="V2591" s="1"/>
      <c r="W2591" s="1"/>
      <c r="X2591" s="1"/>
      <c r="Y2591" s="1"/>
      <c r="Z2591" s="1"/>
    </row>
    <row r="2592" ht="18.0" customHeight="1">
      <c r="A2592" s="1"/>
      <c r="B2592" s="26" t="s">
        <v>2431</v>
      </c>
      <c r="C2592" s="1"/>
      <c r="D2592" s="1"/>
      <c r="E2592" s="14"/>
      <c r="F2592" s="15"/>
      <c r="G2592" s="16"/>
      <c r="H2592" s="11"/>
      <c r="I2592" s="7"/>
      <c r="J2592" s="7" t="str">
        <f>IFERROR(LET(_xlpm.v,
VLOOKUP($I2592,'用語辞書'!$A:$B,COLUMN('用語辞書'!B$1),FALSE),
IF(_xlpm.v=0,"",_xlpm.v)
),"")</f>
        <v/>
      </c>
      <c r="K2592" s="17"/>
      <c r="L2592" s="17" t="str">
        <f>IF(OR(COUNTIF('クラス'!$A$1:$A$1262,$B2592)&gt;0,$B2592="",$M2592=""),"",True)</f>
        <v/>
      </c>
      <c r="M2592" s="1" t="str">
        <f t="shared" si="30"/>
        <v>存在しない</v>
      </c>
      <c r="N2592" s="1" t="s">
        <v>29</v>
      </c>
      <c r="O2592" s="1"/>
      <c r="P2592" s="11"/>
      <c r="Q2592" s="11"/>
      <c r="R2592" s="11"/>
      <c r="S2592" s="11"/>
      <c r="T2592" s="1"/>
      <c r="U2592" s="1"/>
      <c r="V2592" s="1"/>
      <c r="W2592" s="1"/>
      <c r="X2592" s="1"/>
      <c r="Y2592" s="1"/>
      <c r="Z2592" s="1"/>
    </row>
    <row r="2593" ht="18.0" hidden="1" customHeight="1" outlineLevel="1">
      <c r="A2593" s="26">
        <v>1.0</v>
      </c>
      <c r="B2593" s="26" t="s">
        <v>150</v>
      </c>
      <c r="C2593" s="1"/>
      <c r="D2593" s="1"/>
      <c r="E2593" s="14"/>
      <c r="F2593" s="15"/>
      <c r="G2593" s="16"/>
      <c r="H2593" s="11"/>
      <c r="I2593" s="7"/>
      <c r="J2593" s="7" t="str">
        <f>IFERROR(LET(_xlpm.v,
VLOOKUP($I2593,'用語辞書'!$A:$B,COLUMN('用語辞書'!B$1),FALSE),
IF(_xlpm.v=0,"",_xlpm.v)
),"")</f>
        <v/>
      </c>
      <c r="K2593" s="17"/>
      <c r="L2593" s="17" t="str">
        <f>IF(OR(COUNTIF('クラス'!$A$1:$A$1262,$B2593)&gt;0,$B2593="",$M2593=""),"",True)</f>
        <v/>
      </c>
      <c r="M2593" s="1" t="str">
        <f t="shared" si="30"/>
        <v/>
      </c>
      <c r="N2593" s="1" t="s">
        <v>29</v>
      </c>
      <c r="O2593" s="1"/>
      <c r="P2593" s="11"/>
      <c r="Q2593" s="11"/>
      <c r="R2593" s="11"/>
      <c r="S2593" s="11"/>
      <c r="T2593" s="1"/>
      <c r="U2593" s="1"/>
      <c r="V2593" s="1"/>
      <c r="W2593" s="1"/>
      <c r="X2593" s="1"/>
      <c r="Y2593" s="1"/>
      <c r="Z2593" s="1"/>
    </row>
    <row r="2594" ht="18.0" hidden="1" customHeight="1" outlineLevel="1">
      <c r="A2594" s="26">
        <v>2.0</v>
      </c>
      <c r="B2594" s="1"/>
      <c r="C2594" s="1"/>
      <c r="D2594" s="1"/>
      <c r="E2594" s="14"/>
      <c r="F2594" s="15"/>
      <c r="G2594" s="16"/>
      <c r="H2594" s="11"/>
      <c r="I2594" s="7"/>
      <c r="J2594" s="7" t="str">
        <f>IFERROR(LET(_xlpm.v,
VLOOKUP($I2594,'用語辞書'!$A:$B,COLUMN('用語辞書'!B$1),FALSE),
IF(_xlpm.v=0,"",_xlpm.v)
),"")</f>
        <v/>
      </c>
      <c r="K2594" s="17"/>
      <c r="L2594" s="17" t="str">
        <f>IF(OR(COUNTIF('クラス'!$A$1:$A$1262,$B2594)&gt;0,$B2594="",$M2594=""),"",True)</f>
        <v/>
      </c>
      <c r="M2594" s="1" t="str">
        <f t="shared" si="30"/>
        <v>存在しない</v>
      </c>
      <c r="N2594" s="1" t="s">
        <v>29</v>
      </c>
      <c r="O2594" s="1"/>
      <c r="P2594" s="11"/>
      <c r="Q2594" s="11"/>
      <c r="R2594" s="11"/>
      <c r="S2594" s="11"/>
      <c r="T2594" s="1"/>
      <c r="U2594" s="1"/>
      <c r="V2594" s="1"/>
      <c r="W2594" s="1"/>
      <c r="X2594" s="1"/>
      <c r="Y2594" s="1"/>
      <c r="Z2594" s="1"/>
    </row>
    <row r="2595" ht="18.0" hidden="1" customHeight="1" outlineLevel="1">
      <c r="A2595" s="26">
        <v>3.0</v>
      </c>
      <c r="B2595" s="26" t="s">
        <v>137</v>
      </c>
      <c r="C2595" s="1"/>
      <c r="D2595" s="1"/>
      <c r="E2595" s="14"/>
      <c r="F2595" s="15"/>
      <c r="G2595" s="16"/>
      <c r="H2595" s="11"/>
      <c r="I2595" s="7"/>
      <c r="J2595" s="7" t="str">
        <f>IFERROR(LET(_xlpm.v,
VLOOKUP($I2595,'用語辞書'!$A:$B,COLUMN('用語辞書'!B$1),FALSE),
IF(_xlpm.v=0,"",_xlpm.v)
),"")</f>
        <v/>
      </c>
      <c r="K2595" s="17"/>
      <c r="L2595" s="17" t="str">
        <f>IF(OR(COUNTIF('クラス'!$A$1:$A$1262,$B2595)&gt;0,$B2595="",$M2595=""),"",True)</f>
        <v/>
      </c>
      <c r="M2595" s="1" t="str">
        <f t="shared" si="30"/>
        <v/>
      </c>
      <c r="N2595" s="1" t="s">
        <v>29</v>
      </c>
      <c r="O2595" s="1"/>
      <c r="P2595" s="11"/>
      <c r="Q2595" s="11"/>
      <c r="R2595" s="11"/>
      <c r="S2595" s="11"/>
      <c r="T2595" s="1"/>
      <c r="U2595" s="1"/>
      <c r="V2595" s="1"/>
      <c r="W2595" s="1"/>
      <c r="X2595" s="1"/>
      <c r="Y2595" s="1"/>
      <c r="Z2595" s="1"/>
    </row>
    <row r="2596" ht="18.0" hidden="1" customHeight="1" outlineLevel="1">
      <c r="A2596" s="26">
        <v>4.0</v>
      </c>
      <c r="B2596" s="1"/>
      <c r="C2596" s="1"/>
      <c r="D2596" s="1"/>
      <c r="E2596" s="14"/>
      <c r="F2596" s="15"/>
      <c r="G2596" s="16"/>
      <c r="H2596" s="11"/>
      <c r="I2596" s="7"/>
      <c r="J2596" s="7" t="str">
        <f>IFERROR(LET(_xlpm.v,
VLOOKUP($I2596,'用語辞書'!$A:$B,COLUMN('用語辞書'!B$1),FALSE),
IF(_xlpm.v=0,"",_xlpm.v)
),"")</f>
        <v/>
      </c>
      <c r="K2596" s="17"/>
      <c r="L2596" s="17" t="str">
        <f>IF(OR(COUNTIF('クラス'!$A$1:$A$1262,$B2596)&gt;0,$B2596="",$M2596=""),"",True)</f>
        <v/>
      </c>
      <c r="M2596" s="1" t="str">
        <f t="shared" si="30"/>
        <v>存在しない</v>
      </c>
      <c r="N2596" s="1" t="s">
        <v>29</v>
      </c>
      <c r="O2596" s="1"/>
      <c r="P2596" s="11"/>
      <c r="Q2596" s="11"/>
      <c r="R2596" s="11"/>
      <c r="S2596" s="11"/>
      <c r="T2596" s="1"/>
      <c r="U2596" s="1"/>
      <c r="V2596" s="1"/>
      <c r="W2596" s="1"/>
      <c r="X2596" s="1"/>
      <c r="Y2596" s="1"/>
      <c r="Z2596" s="1"/>
    </row>
    <row r="2597" ht="18.0" hidden="1" customHeight="1" outlineLevel="1">
      <c r="A2597" s="26">
        <v>5.0</v>
      </c>
      <c r="B2597" s="26" t="s">
        <v>2432</v>
      </c>
      <c r="C2597" s="26" t="s">
        <v>29</v>
      </c>
      <c r="D2597" s="26" t="s">
        <v>2429</v>
      </c>
      <c r="E2597" s="29" t="s">
        <v>55</v>
      </c>
      <c r="F2597" s="34" t="s">
        <v>29</v>
      </c>
      <c r="G2597" s="30" t="s">
        <v>29</v>
      </c>
      <c r="H2597" s="22" t="s">
        <v>2433</v>
      </c>
      <c r="I2597" s="7"/>
      <c r="J2597" s="7" t="str">
        <f>IFERROR(LET(_xlpm.v,
VLOOKUP($I2597,'用語辞書'!$A:$B,COLUMN('用語辞書'!B$1),FALSE),
IF(_xlpm.v=0,"",_xlpm.v)
),"")</f>
        <v/>
      </c>
      <c r="K2597" s="17"/>
      <c r="L2597" s="17" t="b">
        <f>IF(OR(COUNTIF('クラス'!$A$1:$A$1262,$B2597)&gt;0,$B2597="",$M2597=""),"",True)</f>
        <v>1</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6.0</v>
      </c>
      <c r="B2598" s="1"/>
      <c r="C2598" s="1"/>
      <c r="D2598" s="1"/>
      <c r="E2598" s="14"/>
      <c r="F2598" s="15"/>
      <c r="G2598" s="16"/>
      <c r="H2598" s="11"/>
      <c r="I2598" s="7"/>
      <c r="J2598" s="7" t="str">
        <f>IFERROR(LET(_xlpm.v,
VLOOKUP($I2598,'用語辞書'!$A:$B,COLUMN('用語辞書'!B$1),FALSE),
IF(_xlpm.v=0,"",_xlpm.v)
),"")</f>
        <v/>
      </c>
      <c r="K2598" s="17"/>
      <c r="L2598" s="17" t="str">
        <f>IF(OR(COUNTIF('クラス'!$A$1:$A$1262,$B2598)&gt;0,$B2598="",$M2598=""),"",True)</f>
        <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7.0</v>
      </c>
      <c r="B2599" s="26" t="s">
        <v>167</v>
      </c>
      <c r="C2599" s="1"/>
      <c r="D2599" s="1"/>
      <c r="E2599" s="14"/>
      <c r="F2599" s="15"/>
      <c r="G2599" s="16"/>
      <c r="H2599" s="11"/>
      <c r="I2599" s="7"/>
      <c r="J2599" s="7" t="str">
        <f>IFERROR(LET(_xlpm.v,
VLOOKUP($I2599,'用語辞書'!$A:$B,COLUMN('用語辞書'!B$1),FALSE),
IF(_xlpm.v=0,"",_xlpm.v)
),"")</f>
        <v/>
      </c>
      <c r="K2599" s="17"/>
      <c r="L2599" s="17" t="str">
        <f>IF(OR(COUNTIF('クラス'!$A$1:$A$1262,$B2599)&gt;0,$B2599="",$M2599=""),"",True)</f>
        <v/>
      </c>
      <c r="M2599" s="1" t="str">
        <f t="shared" si="30"/>
        <v/>
      </c>
      <c r="N2599" s="1" t="s">
        <v>29</v>
      </c>
      <c r="O2599" s="1"/>
      <c r="P2599" s="11"/>
      <c r="Q2599" s="11"/>
      <c r="R2599" s="11"/>
      <c r="S2599" s="11"/>
      <c r="T2599" s="1"/>
      <c r="U2599" s="1"/>
      <c r="V2599" s="1"/>
      <c r="W2599" s="1"/>
      <c r="X2599" s="1"/>
      <c r="Y2599" s="1"/>
      <c r="Z2599" s="1"/>
    </row>
    <row r="2600" ht="18.0" hidden="1" customHeight="1" outlineLevel="1">
      <c r="A2600" s="26">
        <v>8.0</v>
      </c>
      <c r="B2600" s="1"/>
      <c r="C2600" s="1"/>
      <c r="D2600" s="1"/>
      <c r="E2600" s="14"/>
      <c r="F2600" s="15"/>
      <c r="G2600" s="16"/>
      <c r="H2600" s="11"/>
      <c r="I2600" s="7"/>
      <c r="J2600" s="7" t="str">
        <f>IFERROR(LET(_xlpm.v,
VLOOKUP($I2600,'用語辞書'!$A:$B,COLUMN('用語辞書'!B$1),FALSE),
IF(_xlpm.v=0,"",_xlpm.v)
),"")</f>
        <v/>
      </c>
      <c r="K2600" s="17"/>
      <c r="L2600" s="17" t="str">
        <f>IF(OR(COUNTIF('クラス'!$A$1:$A$1262,$B2600)&gt;0,$B2600="",$M2600=""),"",True)</f>
        <v/>
      </c>
      <c r="M2600" s="1" t="str">
        <f t="shared" si="30"/>
        <v>存在しない</v>
      </c>
      <c r="N2600" s="1" t="s">
        <v>29</v>
      </c>
      <c r="O2600" s="1"/>
      <c r="P2600" s="11"/>
      <c r="Q2600" s="11"/>
      <c r="R2600" s="11"/>
      <c r="S2600" s="11"/>
      <c r="T2600" s="1"/>
      <c r="U2600" s="1"/>
      <c r="V2600" s="1"/>
      <c r="W2600" s="1"/>
      <c r="X2600" s="1"/>
      <c r="Y2600" s="1"/>
      <c r="Z2600" s="1"/>
    </row>
    <row r="2601" ht="18.0" hidden="1" customHeight="1" outlineLevel="1">
      <c r="A2601" s="26">
        <v>9.0</v>
      </c>
      <c r="B2601" s="26" t="s">
        <v>157</v>
      </c>
      <c r="C2601" s="1"/>
      <c r="D2601" s="1"/>
      <c r="E2601" s="14"/>
      <c r="F2601" s="15"/>
      <c r="G2601" s="16"/>
      <c r="H2601" s="11"/>
      <c r="I2601" s="7"/>
      <c r="J2601" s="7" t="str">
        <f>IFERROR(LET(_xlpm.v,
VLOOKUP($I2601,'用語辞書'!$A:$B,COLUMN('用語辞書'!B$1),FALSE),
IF(_xlpm.v=0,"",_xlpm.v)
),"")</f>
        <v/>
      </c>
      <c r="K2601" s="17"/>
      <c r="L2601" s="17" t="str">
        <f>IF(OR(COUNTIF('クラス'!$A$1:$A$1262,$B2601)&gt;0,$B2601="",$M2601=""),"",True)</f>
        <v/>
      </c>
      <c r="M2601" s="1" t="str">
        <f t="shared" si="30"/>
        <v/>
      </c>
      <c r="N2601" s="1" t="s">
        <v>29</v>
      </c>
      <c r="O2601" s="1"/>
      <c r="P2601" s="11"/>
      <c r="Q2601" s="11"/>
      <c r="R2601" s="11"/>
      <c r="S2601" s="11"/>
      <c r="T2601" s="1"/>
      <c r="U2601" s="1"/>
      <c r="V2601" s="1"/>
      <c r="W2601" s="1"/>
      <c r="X2601" s="1"/>
      <c r="Y2601" s="1"/>
      <c r="Z2601" s="1"/>
    </row>
    <row r="2602" ht="18.0" hidden="1" customHeight="1" outlineLevel="1">
      <c r="A2602" s="26">
        <v>10.0</v>
      </c>
      <c r="B2602" s="26" t="s">
        <v>2434</v>
      </c>
      <c r="C2602" s="26" t="s">
        <v>29</v>
      </c>
      <c r="D2602" s="26" t="s">
        <v>2429</v>
      </c>
      <c r="E2602" s="29" t="s">
        <v>55</v>
      </c>
      <c r="F2602" s="34" t="s">
        <v>29</v>
      </c>
      <c r="G2602" s="30" t="s">
        <v>29</v>
      </c>
      <c r="H2602" s="22" t="s">
        <v>2435</v>
      </c>
      <c r="I2602" s="7"/>
      <c r="J2602" s="7" t="str">
        <f>IFERROR(LET(_xlpm.v,
VLOOKUP($I2602,'用語辞書'!$A:$B,COLUMN('用語辞書'!B$1),FALSE),
IF(_xlpm.v=0,"",_xlpm.v)
),"")</f>
        <v/>
      </c>
      <c r="K2602" s="17"/>
      <c r="L2602" s="17" t="b">
        <f>IF(OR(COUNTIF('クラス'!$A$1:$A$1262,$B2602)&gt;0,$B2602="",$M2602=""),"",True)</f>
        <v>1</v>
      </c>
      <c r="M2602" s="1" t="str">
        <f t="shared" si="30"/>
        <v>存在しない</v>
      </c>
      <c r="N2602" s="1" t="s">
        <v>29</v>
      </c>
      <c r="O2602" s="1"/>
      <c r="P2602" s="11"/>
      <c r="Q2602" s="11"/>
      <c r="R2602" s="11"/>
      <c r="S2602" s="11"/>
      <c r="T2602" s="1"/>
      <c r="U2602" s="1"/>
      <c r="V2602" s="1"/>
      <c r="W2602" s="1"/>
      <c r="X2602" s="1"/>
      <c r="Y2602" s="1"/>
      <c r="Z2602" s="1"/>
    </row>
    <row r="2603" ht="18.0" customHeight="1" collapsed="1">
      <c r="A2603" s="1"/>
      <c r="B2603" s="1"/>
      <c r="C2603" s="1"/>
      <c r="D2603" s="1"/>
      <c r="E2603" s="14"/>
      <c r="F2603" s="15"/>
      <c r="G2603" s="16"/>
      <c r="H2603" s="11"/>
      <c r="I2603" s="7"/>
      <c r="J2603" s="7" t="str">
        <f>IFERROR(LET(_xlpm.v,
VLOOKUP($I2603,'用語辞書'!$A:$B,COLUMN('用語辞書'!B$1),FALSE),
IF(_xlpm.v=0,"",_xlpm.v)
),"")</f>
        <v/>
      </c>
      <c r="K2603" s="17"/>
      <c r="L2603" s="17" t="str">
        <f>IF(OR(COUNTIF('クラス'!$A$1:$A$1262,$B2603)&gt;0,$B2603="",$M2603=""),"",True)</f>
        <v/>
      </c>
      <c r="M2603" s="1" t="str">
        <f t="shared" si="30"/>
        <v>存在しない</v>
      </c>
      <c r="N2603" s="1" t="s">
        <v>29</v>
      </c>
      <c r="O2603" s="1"/>
      <c r="P2603" s="11"/>
      <c r="Q2603" s="11"/>
      <c r="R2603" s="11"/>
      <c r="S2603" s="11"/>
      <c r="T2603" s="1"/>
      <c r="U2603" s="1"/>
      <c r="V2603" s="1"/>
      <c r="W2603" s="1"/>
      <c r="X2603" s="1"/>
      <c r="Y2603" s="1"/>
      <c r="Z2603" s="1"/>
    </row>
    <row r="2604" ht="18.0" customHeight="1">
      <c r="A2604" s="1"/>
      <c r="B2604" s="26" t="s">
        <v>2436</v>
      </c>
      <c r="C2604" s="1"/>
      <c r="D2604" s="1"/>
      <c r="E2604" s="14"/>
      <c r="F2604" s="15"/>
      <c r="G2604" s="16"/>
      <c r="H2604" s="11"/>
      <c r="I2604" s="7"/>
      <c r="J2604" s="7" t="str">
        <f>IFERROR(LET(_xlpm.v,
VLOOKUP($I2604,'用語辞書'!$A:$B,COLUMN('用語辞書'!B$1),FALSE),
IF(_xlpm.v=0,"",_xlpm.v)
),"")</f>
        <v/>
      </c>
      <c r="K2604" s="17"/>
      <c r="L2604" s="17" t="str">
        <f>IF(OR(COUNTIF('クラス'!$A$1:$A$1262,$B2604)&gt;0,$B2604="",$M2604=""),"",True)</f>
        <v/>
      </c>
      <c r="M2604" s="1" t="str">
        <f t="shared" si="30"/>
        <v>存在しない</v>
      </c>
      <c r="N2604" s="1" t="s">
        <v>29</v>
      </c>
      <c r="O2604" s="1"/>
      <c r="P2604" s="11"/>
      <c r="Q2604" s="11"/>
      <c r="R2604" s="11"/>
      <c r="S2604" s="11"/>
      <c r="T2604" s="1"/>
      <c r="U2604" s="1"/>
      <c r="V2604" s="1"/>
      <c r="W2604" s="1"/>
      <c r="X2604" s="1"/>
      <c r="Y2604" s="1"/>
      <c r="Z2604" s="1"/>
    </row>
    <row r="2605" ht="18.0" hidden="1" customHeight="1" outlineLevel="1">
      <c r="A2605" s="26">
        <v>1.0</v>
      </c>
      <c r="B2605" s="26" t="s">
        <v>2437</v>
      </c>
      <c r="C2605" s="26" t="s">
        <v>29</v>
      </c>
      <c r="D2605" s="26" t="s">
        <v>711</v>
      </c>
      <c r="E2605" s="29" t="s">
        <v>33</v>
      </c>
      <c r="F2605" s="34" t="s">
        <v>29</v>
      </c>
      <c r="G2605" s="30">
        <v>60.0</v>
      </c>
      <c r="H2605" s="22" t="s">
        <v>2438</v>
      </c>
      <c r="I2605" s="7"/>
      <c r="J2605" s="7" t="str">
        <f>IFERROR(LET(_xlpm.v,
VLOOKUP($I2605,'用語辞書'!$A:$B,COLUMN('用語辞書'!B$1),FALSE),
IF(_xlpm.v=0,"",_xlpm.v)
),"")</f>
        <v/>
      </c>
      <c r="K2605" s="17"/>
      <c r="L2605" s="17" t="b">
        <f>IF(OR(COUNTIF('クラス'!$A$1:$A$1262,$B2605)&gt;0,$B2605="",$M2605=""),"",True)</f>
        <v>1</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2.0</v>
      </c>
      <c r="B2606" s="1"/>
      <c r="C2606" s="1"/>
      <c r="D2606" s="1"/>
      <c r="E2606" s="14"/>
      <c r="F2606" s="15"/>
      <c r="G2606" s="16"/>
      <c r="H2606" s="11"/>
      <c r="I2606" s="7"/>
      <c r="J2606" s="7" t="str">
        <f>IFERROR(LET(_xlpm.v,
VLOOKUP($I2606,'用語辞書'!$A:$B,COLUMN('用語辞書'!B$1),FALSE),
IF(_xlpm.v=0,"",_xlpm.v)
),"")</f>
        <v/>
      </c>
      <c r="K2606" s="17"/>
      <c r="L2606" s="17" t="str">
        <f>IF(OR(COUNTIF('クラス'!$A$1:$A$1262,$B2606)&gt;0,$B2606="",$M2606=""),"",True)</f>
        <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3.0</v>
      </c>
      <c r="B2607" s="26" t="s">
        <v>2439</v>
      </c>
      <c r="C2607" s="26" t="s">
        <v>29</v>
      </c>
      <c r="D2607" s="26" t="s">
        <v>711</v>
      </c>
      <c r="E2607" s="29" t="s">
        <v>33</v>
      </c>
      <c r="F2607" s="34" t="s">
        <v>29</v>
      </c>
      <c r="G2607" s="30">
        <v>60.0</v>
      </c>
      <c r="H2607" s="22" t="s">
        <v>2440</v>
      </c>
      <c r="I2607" s="7"/>
      <c r="J2607" s="7" t="str">
        <f>IFERROR(LET(_xlpm.v,
VLOOKUP($I2607,'用語辞書'!$A:$B,COLUMN('用語辞書'!B$1),FALSE),
IF(_xlpm.v=0,"",_xlpm.v)
),"")</f>
        <v/>
      </c>
      <c r="K2607" s="17"/>
      <c r="L2607" s="17" t="b">
        <f>IF(OR(COUNTIF('クラス'!$A$1:$A$1262,$B2607)&gt;0,$B2607="",$M2607=""),"",True)</f>
        <v>1</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4.0</v>
      </c>
      <c r="B2608" s="1"/>
      <c r="C2608" s="1"/>
      <c r="D2608" s="1"/>
      <c r="E2608" s="14"/>
      <c r="F2608" s="15"/>
      <c r="G2608" s="16"/>
      <c r="H2608" s="11"/>
      <c r="I2608" s="7"/>
      <c r="J2608" s="7" t="str">
        <f>IFERROR(LET(_xlpm.v,
VLOOKUP($I2608,'用語辞書'!$A:$B,COLUMN('用語辞書'!B$1),FALSE),
IF(_xlpm.v=0,"",_xlpm.v)
),"")</f>
        <v/>
      </c>
      <c r="K2608" s="17"/>
      <c r="L2608" s="17" t="str">
        <f>IF(OR(COUNTIF('クラス'!$A$1:$A$1262,$B2608)&gt;0,$B2608="",$M2608=""),"",True)</f>
        <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5.0</v>
      </c>
      <c r="B2609" s="26" t="s">
        <v>2441</v>
      </c>
      <c r="C2609" s="26" t="s">
        <v>29</v>
      </c>
      <c r="D2609" s="26" t="s">
        <v>711</v>
      </c>
      <c r="E2609" s="29" t="s">
        <v>33</v>
      </c>
      <c r="F2609" s="34" t="s">
        <v>29</v>
      </c>
      <c r="G2609" s="30">
        <v>60.0</v>
      </c>
      <c r="H2609" s="22" t="s">
        <v>2442</v>
      </c>
      <c r="I2609" s="7"/>
      <c r="J2609" s="7" t="str">
        <f>IFERROR(LET(_xlpm.v,
VLOOKUP($I2609,'用語辞書'!$A:$B,COLUMN('用語辞書'!B$1),FALSE),
IF(_xlpm.v=0,"",_xlpm.v)
),"")</f>
        <v/>
      </c>
      <c r="K2609" s="17"/>
      <c r="L2609" s="17" t="b">
        <f>IF(OR(COUNTIF('クラス'!$A$1:$A$1262,$B2609)&gt;0,$B2609="",$M2609=""),"",True)</f>
        <v>1</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6.0</v>
      </c>
      <c r="B2610" s="1"/>
      <c r="C2610" s="1"/>
      <c r="D2610" s="1"/>
      <c r="E2610" s="14"/>
      <c r="F2610" s="15"/>
      <c r="G2610" s="16"/>
      <c r="H2610" s="11"/>
      <c r="I2610" s="7"/>
      <c r="J2610" s="7" t="str">
        <f>IFERROR(LET(_xlpm.v,
VLOOKUP($I2610,'用語辞書'!$A:$B,COLUMN('用語辞書'!B$1),FALSE),
IF(_xlpm.v=0,"",_xlpm.v)
),"")</f>
        <v/>
      </c>
      <c r="K2610" s="17"/>
      <c r="L2610" s="17" t="str">
        <f>IF(OR(COUNTIF('クラス'!$A$1:$A$1262,$B2610)&gt;0,$B2610="",$M2610=""),"",True)</f>
        <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7.0</v>
      </c>
      <c r="B2611" s="26" t="s">
        <v>2443</v>
      </c>
      <c r="C2611" s="26" t="s">
        <v>29</v>
      </c>
      <c r="D2611" s="26" t="s">
        <v>711</v>
      </c>
      <c r="E2611" s="29" t="s">
        <v>33</v>
      </c>
      <c r="F2611" s="34" t="s">
        <v>29</v>
      </c>
      <c r="G2611" s="30">
        <v>60.0</v>
      </c>
      <c r="H2611" s="22" t="s">
        <v>2444</v>
      </c>
      <c r="I2611" s="7"/>
      <c r="J2611" s="7" t="str">
        <f>IFERROR(LET(_xlpm.v,
VLOOKUP($I2611,'用語辞書'!$A:$B,COLUMN('用語辞書'!B$1),FALSE),
IF(_xlpm.v=0,"",_xlpm.v)
),"")</f>
        <v/>
      </c>
      <c r="K2611" s="17"/>
      <c r="L2611" s="17" t="b">
        <f>IF(OR(COUNTIF('クラス'!$A$1:$A$1262,$B2611)&gt;0,$B2611="",$M2611=""),"",True)</f>
        <v>1</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8.0</v>
      </c>
      <c r="B2612" s="1"/>
      <c r="C2612" s="1"/>
      <c r="D2612" s="1"/>
      <c r="E2612" s="14"/>
      <c r="F2612" s="15"/>
      <c r="G2612" s="16"/>
      <c r="H2612" s="11"/>
      <c r="I2612" s="7"/>
      <c r="J2612" s="7" t="str">
        <f>IFERROR(LET(_xlpm.v,
VLOOKUP($I2612,'用語辞書'!$A:$B,COLUMN('用語辞書'!B$1),FALSE),
IF(_xlpm.v=0,"",_xlpm.v)
),"")</f>
        <v/>
      </c>
      <c r="K2612" s="17"/>
      <c r="L2612" s="17" t="str">
        <f>IF(OR(COUNTIF('クラス'!$A$1:$A$1262,$B2612)&gt;0,$B2612="",$M2612=""),"",True)</f>
        <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9.0</v>
      </c>
      <c r="B2613" s="26" t="s">
        <v>2445</v>
      </c>
      <c r="C2613" s="26" t="s">
        <v>29</v>
      </c>
      <c r="D2613" s="26" t="s">
        <v>711</v>
      </c>
      <c r="E2613" s="29" t="s">
        <v>55</v>
      </c>
      <c r="F2613" s="34" t="s">
        <v>29</v>
      </c>
      <c r="G2613" s="30" t="s">
        <v>29</v>
      </c>
      <c r="H2613" s="22" t="s">
        <v>2446</v>
      </c>
      <c r="I2613" s="7"/>
      <c r="J2613" s="7" t="str">
        <f>IFERROR(LET(_xlpm.v,
VLOOKUP($I2613,'用語辞書'!$A:$B,COLUMN('用語辞書'!B$1),FALSE),
IF(_xlpm.v=0,"",_xlpm.v)
),"")</f>
        <v/>
      </c>
      <c r="K2613" s="17"/>
      <c r="L2613" s="17" t="b">
        <f>IF(OR(COUNTIF('クラス'!$A$1:$A$1262,$B2613)&gt;0,$B2613="",$M2613=""),"",True)</f>
        <v>1</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10.0</v>
      </c>
      <c r="B2614" s="26" t="s">
        <v>710</v>
      </c>
      <c r="C2614" s="1"/>
      <c r="D2614" s="1"/>
      <c r="E2614" s="14"/>
      <c r="F2614" s="15"/>
      <c r="G2614" s="16"/>
      <c r="H2614" s="11"/>
      <c r="I2614" s="7"/>
      <c r="J2614" s="7" t="str">
        <f>IFERROR(LET(_xlpm.v,
VLOOKUP($I2614,'用語辞書'!$A:$B,COLUMN('用語辞書'!B$1),FALSE),
IF(_xlpm.v=0,"",_xlpm.v)
),"")</f>
        <v/>
      </c>
      <c r="K2614" s="17"/>
      <c r="L2614" s="17" t="str">
        <f>IF(OR(COUNTIF('クラス'!$A$1:$A$1262,$B2614)&gt;0,$B2614="",$M2614=""),"",True)</f>
        <v/>
      </c>
      <c r="M2614" s="1" t="str">
        <f t="shared" si="30"/>
        <v/>
      </c>
      <c r="N2614" s="1" t="s">
        <v>29</v>
      </c>
      <c r="O2614" s="1"/>
      <c r="P2614" s="11"/>
      <c r="Q2614" s="11"/>
      <c r="R2614" s="11"/>
      <c r="S2614" s="11"/>
      <c r="T2614" s="1"/>
      <c r="U2614" s="1"/>
      <c r="V2614" s="1"/>
      <c r="W2614" s="1"/>
      <c r="X2614" s="1"/>
      <c r="Y2614" s="1"/>
      <c r="Z2614" s="1"/>
    </row>
    <row r="2615" ht="18.0" customHeight="1" collapsed="1">
      <c r="A2615" s="1"/>
      <c r="B2615" s="1"/>
      <c r="C2615" s="26" t="s">
        <v>2447</v>
      </c>
      <c r="D2615" s="1"/>
      <c r="E2615" s="14"/>
      <c r="F2615" s="15"/>
      <c r="G2615" s="16"/>
      <c r="H2615" s="11"/>
      <c r="I2615" s="7"/>
      <c r="J2615" s="7" t="str">
        <f>IFERROR(LET(_xlpm.v,
VLOOKUP($I2615,'用語辞書'!$A:$B,COLUMN('用語辞書'!B$1),FALSE),
IF(_xlpm.v=0,"",_xlpm.v)
),"")</f>
        <v/>
      </c>
      <c r="K2615" s="17"/>
      <c r="L2615" s="17" t="str">
        <f>IF(OR(COUNTIF('クラス'!$A$1:$A$1262,$B2615)&gt;0,$B2615="",$M2615=""),"",True)</f>
        <v/>
      </c>
      <c r="M2615" s="1" t="str">
        <f t="shared" si="30"/>
        <v>存在しない</v>
      </c>
      <c r="N2615" s="1" t="s">
        <v>29</v>
      </c>
      <c r="O2615" s="1"/>
      <c r="P2615" s="11"/>
      <c r="Q2615" s="11"/>
      <c r="R2615" s="11"/>
      <c r="S2615" s="11"/>
      <c r="T2615" s="1"/>
      <c r="U2615" s="1"/>
      <c r="V2615" s="1"/>
      <c r="W2615" s="1"/>
      <c r="X2615" s="1"/>
      <c r="Y2615" s="1"/>
      <c r="Z2615" s="1"/>
    </row>
    <row r="2616" ht="18.0" customHeight="1" outlineLevel="1">
      <c r="A2616" s="1"/>
      <c r="B2616" s="26" t="s">
        <v>2448</v>
      </c>
      <c r="C2616" s="1"/>
      <c r="D2616" s="1"/>
      <c r="E2616" s="14"/>
      <c r="F2616" s="15"/>
      <c r="G2616" s="16"/>
      <c r="H2616" s="11"/>
      <c r="I2616" s="7"/>
      <c r="J2616" s="7" t="str">
        <f>IFERROR(LET(_xlpm.v,
VLOOKUP($I2616,'用語辞書'!$A:$B,COLUMN('用語辞書'!B$1),FALSE),
IF(_xlpm.v=0,"",_xlpm.v)
),"")</f>
        <v/>
      </c>
      <c r="K2616" s="17"/>
      <c r="L2616" s="17" t="str">
        <f>IF(OR(COUNTIF('クラス'!$A$1:$A$1262,$B2616)&gt;0,$B2616="",$M2616=""),"",True)</f>
        <v/>
      </c>
      <c r="M2616" s="1" t="str">
        <f t="shared" si="30"/>
        <v>存在しない</v>
      </c>
      <c r="N2616" s="1" t="s">
        <v>29</v>
      </c>
      <c r="O2616" s="1"/>
      <c r="P2616" s="11"/>
      <c r="Q2616" s="11"/>
      <c r="R2616" s="11"/>
      <c r="S2616" s="11"/>
      <c r="T2616" s="1"/>
      <c r="U2616" s="1"/>
      <c r="V2616" s="1"/>
      <c r="W2616" s="1"/>
      <c r="X2616" s="1"/>
      <c r="Y2616" s="1"/>
      <c r="Z2616" s="1"/>
    </row>
    <row r="2617" ht="18.0" hidden="1" customHeight="1" outlineLevel="2">
      <c r="A2617" s="26">
        <v>1.0</v>
      </c>
      <c r="B2617" s="26" t="s">
        <v>104</v>
      </c>
      <c r="C2617" s="1"/>
      <c r="D2617" s="1"/>
      <c r="E2617" s="14"/>
      <c r="F2617" s="15"/>
      <c r="G2617" s="16"/>
      <c r="H2617" s="11"/>
      <c r="I2617" s="7"/>
      <c r="J2617" s="7" t="str">
        <f>IFERROR(LET(_xlpm.v,
VLOOKUP($I2617,'用語辞書'!$A:$B,COLUMN('用語辞書'!B$1),FALSE),
IF(_xlpm.v=0,"",_xlpm.v)
),"")</f>
        <v/>
      </c>
      <c r="K2617" s="17"/>
      <c r="L2617" s="17" t="str">
        <f>IF(OR(COUNTIF('クラス'!$A$1:$A$1262,$B2617)&gt;0,$B2617="",$M2617=""),"",True)</f>
        <v/>
      </c>
      <c r="M2617" s="1" t="str">
        <f t="shared" si="30"/>
        <v/>
      </c>
      <c r="N2617" s="1" t="s">
        <v>29</v>
      </c>
      <c r="O2617" s="1"/>
      <c r="P2617" s="11"/>
      <c r="Q2617" s="11"/>
      <c r="R2617" s="11"/>
      <c r="S2617" s="11"/>
      <c r="T2617" s="1"/>
      <c r="U2617" s="1"/>
      <c r="V2617" s="1"/>
      <c r="W2617" s="1"/>
      <c r="X2617" s="1"/>
      <c r="Y2617" s="1"/>
      <c r="Z2617" s="1"/>
    </row>
    <row r="2618" ht="18.0" hidden="1" customHeight="1" outlineLevel="2">
      <c r="A2618" s="26">
        <v>2.0</v>
      </c>
      <c r="B2618" s="1"/>
      <c r="C2618" s="1"/>
      <c r="D2618" s="1"/>
      <c r="E2618" s="14"/>
      <c r="F2618" s="15"/>
      <c r="G2618" s="16"/>
      <c r="H2618" s="11"/>
      <c r="I2618" s="7"/>
      <c r="J2618" s="7" t="str">
        <f>IFERROR(LET(_xlpm.v,
VLOOKUP($I2618,'用語辞書'!$A:$B,COLUMN('用語辞書'!B$1),FALSE),
IF(_xlpm.v=0,"",_xlpm.v)
),"")</f>
        <v/>
      </c>
      <c r="K2618" s="17"/>
      <c r="L2618" s="17" t="str">
        <f>IF(OR(COUNTIF('クラス'!$A$1:$A$1262,$B2618)&gt;0,$B2618="",$M2618=""),"",True)</f>
        <v/>
      </c>
      <c r="M2618" s="1" t="str">
        <f t="shared" si="30"/>
        <v>存在しない</v>
      </c>
      <c r="N2618" s="1" t="s">
        <v>29</v>
      </c>
      <c r="O2618" s="1"/>
      <c r="P2618" s="11"/>
      <c r="Q2618" s="11"/>
      <c r="R2618" s="11"/>
      <c r="S2618" s="11"/>
      <c r="T2618" s="1"/>
      <c r="U2618" s="1"/>
      <c r="V2618" s="1"/>
      <c r="W2618" s="1"/>
      <c r="X2618" s="1"/>
      <c r="Y2618" s="1"/>
      <c r="Z2618" s="1"/>
    </row>
    <row r="2619" ht="18.0" hidden="1" customHeight="1" outlineLevel="2">
      <c r="A2619" s="26">
        <v>3.0</v>
      </c>
      <c r="B2619" s="26" t="s">
        <v>98</v>
      </c>
      <c r="C2619" s="1"/>
      <c r="D2619" s="1"/>
      <c r="E2619" s="14"/>
      <c r="F2619" s="15"/>
      <c r="G2619" s="16"/>
      <c r="H2619" s="11"/>
      <c r="I2619" s="7"/>
      <c r="J2619" s="7" t="str">
        <f>IFERROR(LET(_xlpm.v,
VLOOKUP($I2619,'用語辞書'!$A:$B,COLUMN('用語辞書'!B$1),FALSE),
IF(_xlpm.v=0,"",_xlpm.v)
),"")</f>
        <v/>
      </c>
      <c r="K2619" s="17"/>
      <c r="L2619" s="17" t="str">
        <f>IF(OR(COUNTIF('クラス'!$A$1:$A$1262,$B2619)&gt;0,$B2619="",$M2619=""),"",True)</f>
        <v/>
      </c>
      <c r="M2619" s="1" t="str">
        <f t="shared" si="30"/>
        <v/>
      </c>
      <c r="N2619" s="1" t="s">
        <v>29</v>
      </c>
      <c r="O2619" s="1"/>
      <c r="P2619" s="11"/>
      <c r="Q2619" s="11"/>
      <c r="R2619" s="11"/>
      <c r="S2619" s="11"/>
      <c r="T2619" s="1"/>
      <c r="U2619" s="1"/>
      <c r="V2619" s="1"/>
      <c r="W2619" s="1"/>
      <c r="X2619" s="1"/>
      <c r="Y2619" s="1"/>
      <c r="Z2619" s="1"/>
    </row>
    <row r="2620" ht="18.0" hidden="1" customHeight="1" outlineLevel="2">
      <c r="A2620" s="26">
        <v>4.0</v>
      </c>
      <c r="B2620" s="1"/>
      <c r="C2620" s="1"/>
      <c r="D2620" s="1"/>
      <c r="E2620" s="14"/>
      <c r="F2620" s="15"/>
      <c r="G2620" s="16"/>
      <c r="H2620" s="11"/>
      <c r="I2620" s="7"/>
      <c r="J2620" s="7" t="str">
        <f>IFERROR(LET(_xlpm.v,
VLOOKUP($I2620,'用語辞書'!$A:$B,COLUMN('用語辞書'!B$1),FALSE),
IF(_xlpm.v=0,"",_xlpm.v)
),"")</f>
        <v/>
      </c>
      <c r="K2620" s="17"/>
      <c r="L2620" s="17" t="str">
        <f>IF(OR(COUNTIF('クラス'!$A$1:$A$1262,$B2620)&gt;0,$B2620="",$M2620=""),"",True)</f>
        <v/>
      </c>
      <c r="M2620" s="1" t="str">
        <f t="shared" si="30"/>
        <v>存在しない</v>
      </c>
      <c r="N2620" s="1" t="s">
        <v>29</v>
      </c>
      <c r="O2620" s="1"/>
      <c r="P2620" s="11"/>
      <c r="Q2620" s="11"/>
      <c r="R2620" s="11"/>
      <c r="S2620" s="11"/>
      <c r="T2620" s="1"/>
      <c r="U2620" s="1"/>
      <c r="V2620" s="1"/>
      <c r="W2620" s="1"/>
      <c r="X2620" s="1"/>
      <c r="Y2620" s="1"/>
      <c r="Z2620" s="1"/>
    </row>
    <row r="2621" ht="18.0" hidden="1" customHeight="1" outlineLevel="2">
      <c r="A2621" s="26">
        <v>5.0</v>
      </c>
      <c r="B2621" s="26" t="s">
        <v>108</v>
      </c>
      <c r="C2621" s="1"/>
      <c r="D2621" s="1"/>
      <c r="E2621" s="14"/>
      <c r="F2621" s="15"/>
      <c r="G2621" s="16"/>
      <c r="H2621" s="11"/>
      <c r="I2621" s="7"/>
      <c r="J2621" s="7" t="str">
        <f>IFERROR(LET(_xlpm.v,
VLOOKUP($I2621,'用語辞書'!$A:$B,COLUMN('用語辞書'!B$1),FALSE),
IF(_xlpm.v=0,"",_xlpm.v)
),"")</f>
        <v/>
      </c>
      <c r="K2621" s="17"/>
      <c r="L2621" s="17" t="str">
        <f>IF(OR(COUNTIF('クラス'!$A$1:$A$1262,$B2621)&gt;0,$B2621="",$M2621=""),"",True)</f>
        <v/>
      </c>
      <c r="M2621" s="1" t="str">
        <f t="shared" si="30"/>
        <v/>
      </c>
      <c r="N2621" s="1" t="s">
        <v>29</v>
      </c>
      <c r="O2621" s="1"/>
      <c r="P2621" s="11"/>
      <c r="Q2621" s="11"/>
      <c r="R2621" s="11"/>
      <c r="S2621" s="11"/>
      <c r="T2621" s="1"/>
      <c r="U2621" s="1"/>
      <c r="V2621" s="1"/>
      <c r="W2621" s="1"/>
      <c r="X2621" s="1"/>
      <c r="Y2621" s="1"/>
      <c r="Z2621" s="1"/>
    </row>
    <row r="2622" ht="18.0" hidden="1" customHeight="1" outlineLevel="2">
      <c r="A2622" s="26">
        <v>6.0</v>
      </c>
      <c r="B2622" s="1"/>
      <c r="C2622" s="1"/>
      <c r="D2622" s="1"/>
      <c r="E2622" s="14"/>
      <c r="F2622" s="15"/>
      <c r="G2622" s="16"/>
      <c r="H2622" s="11"/>
      <c r="I2622" s="7"/>
      <c r="J2622" s="7" t="str">
        <f>IFERROR(LET(_xlpm.v,
VLOOKUP($I2622,'用語辞書'!$A:$B,COLUMN('用語辞書'!B$1),FALSE),
IF(_xlpm.v=0,"",_xlpm.v)
),"")</f>
        <v/>
      </c>
      <c r="K2622" s="17"/>
      <c r="L2622" s="17" t="str">
        <f>IF(OR(COUNTIF('クラス'!$A$1:$A$1262,$B2622)&gt;0,$B2622="",$M2622=""),"",True)</f>
        <v/>
      </c>
      <c r="M2622" s="1" t="str">
        <f t="shared" si="30"/>
        <v>存在しない</v>
      </c>
      <c r="N2622" s="1" t="s">
        <v>29</v>
      </c>
      <c r="O2622" s="1"/>
      <c r="P2622" s="11"/>
      <c r="Q2622" s="11"/>
      <c r="R2622" s="11"/>
      <c r="S2622" s="11"/>
      <c r="T2622" s="1"/>
      <c r="U2622" s="1"/>
      <c r="V2622" s="1"/>
      <c r="W2622" s="1"/>
      <c r="X2622" s="1"/>
      <c r="Y2622" s="1"/>
      <c r="Z2622" s="1"/>
    </row>
    <row r="2623" ht="18.0" hidden="1" customHeight="1" outlineLevel="2">
      <c r="A2623" s="26">
        <v>7.0</v>
      </c>
      <c r="B2623" s="26" t="s">
        <v>101</v>
      </c>
      <c r="C2623" s="1"/>
      <c r="D2623" s="1"/>
      <c r="E2623" s="14"/>
      <c r="F2623" s="15"/>
      <c r="G2623" s="16"/>
      <c r="H2623" s="11"/>
      <c r="I2623" s="7"/>
      <c r="J2623" s="7" t="str">
        <f>IFERROR(LET(_xlpm.v,
VLOOKUP($I2623,'用語辞書'!$A:$B,COLUMN('用語辞書'!B$1),FALSE),
IF(_xlpm.v=0,"",_xlpm.v)
),"")</f>
        <v/>
      </c>
      <c r="K2623" s="17"/>
      <c r="L2623" s="17" t="str">
        <f>IF(OR(COUNTIF('クラス'!$A$1:$A$1262,$B2623)&gt;0,$B2623="",$M2623=""),"",True)</f>
        <v/>
      </c>
      <c r="M2623" s="1" t="str">
        <f t="shared" si="30"/>
        <v/>
      </c>
      <c r="N2623" s="1" t="s">
        <v>29</v>
      </c>
      <c r="O2623" s="1"/>
      <c r="P2623" s="11"/>
      <c r="Q2623" s="11"/>
      <c r="R2623" s="11"/>
      <c r="S2623" s="11"/>
      <c r="T2623" s="1"/>
      <c r="U2623" s="1"/>
      <c r="V2623" s="1"/>
      <c r="W2623" s="1"/>
      <c r="X2623" s="1"/>
      <c r="Y2623" s="1"/>
      <c r="Z2623" s="1"/>
    </row>
    <row r="2624" ht="18.0" hidden="1" customHeight="1" outlineLevel="2">
      <c r="A2624" s="26">
        <v>8.0</v>
      </c>
      <c r="B2624" s="1"/>
      <c r="C2624" s="1"/>
      <c r="D2624" s="1"/>
      <c r="E2624" s="14"/>
      <c r="F2624" s="15"/>
      <c r="G2624" s="16"/>
      <c r="H2624" s="11"/>
      <c r="I2624" s="7"/>
      <c r="J2624" s="7" t="str">
        <f>IFERROR(LET(_xlpm.v,
VLOOKUP($I2624,'用語辞書'!$A:$B,COLUMN('用語辞書'!B$1),FALSE),
IF(_xlpm.v=0,"",_xlpm.v)
),"")</f>
        <v/>
      </c>
      <c r="K2624" s="17"/>
      <c r="L2624" s="17" t="str">
        <f>IF(OR(COUNTIF('クラス'!$A$1:$A$1262,$B2624)&gt;0,$B2624="",$M2624=""),"",True)</f>
        <v/>
      </c>
      <c r="M2624" s="1" t="str">
        <f t="shared" si="30"/>
        <v>存在しない</v>
      </c>
      <c r="N2624" s="1" t="s">
        <v>29</v>
      </c>
      <c r="O2624" s="1"/>
      <c r="P2624" s="11"/>
      <c r="Q2624" s="11"/>
      <c r="R2624" s="11"/>
      <c r="S2624" s="11"/>
      <c r="T2624" s="1"/>
      <c r="U2624" s="1"/>
      <c r="V2624" s="1"/>
      <c r="W2624" s="1"/>
      <c r="X2624" s="1"/>
      <c r="Y2624" s="1"/>
      <c r="Z2624" s="1"/>
    </row>
    <row r="2625" ht="18.0" hidden="1" customHeight="1" outlineLevel="2">
      <c r="A2625" s="26">
        <v>9.0</v>
      </c>
      <c r="B2625" s="26" t="s">
        <v>111</v>
      </c>
      <c r="C2625" s="1"/>
      <c r="D2625" s="1"/>
      <c r="E2625" s="14"/>
      <c r="F2625" s="15"/>
      <c r="G2625" s="16"/>
      <c r="H2625" s="11"/>
      <c r="I2625" s="7"/>
      <c r="J2625" s="7" t="str">
        <f>IFERROR(LET(_xlpm.v,
VLOOKUP($I2625,'用語辞書'!$A:$B,COLUMN('用語辞書'!B$1),FALSE),
IF(_xlpm.v=0,"",_xlpm.v)
),"")</f>
        <v/>
      </c>
      <c r="K2625" s="17"/>
      <c r="L2625" s="17" t="str">
        <f>IF(OR(COUNTIF('クラス'!$A$1:$A$1262,$B2625)&gt;0,$B2625="",$M2625=""),"",True)</f>
        <v/>
      </c>
      <c r="M2625" s="1" t="str">
        <f t="shared" si="30"/>
        <v/>
      </c>
      <c r="N2625" s="1" t="s">
        <v>29</v>
      </c>
      <c r="O2625" s="1"/>
      <c r="P2625" s="11"/>
      <c r="Q2625" s="11"/>
      <c r="R2625" s="11"/>
      <c r="S2625" s="11"/>
      <c r="T2625" s="1"/>
      <c r="U2625" s="1"/>
      <c r="V2625" s="1"/>
      <c r="W2625" s="1"/>
      <c r="X2625" s="1"/>
      <c r="Y2625" s="1"/>
      <c r="Z2625" s="1"/>
    </row>
    <row r="2626" ht="18.0" hidden="1" customHeight="1" outlineLevel="2">
      <c r="A2626" s="26">
        <v>10.0</v>
      </c>
      <c r="B2626" s="26" t="s">
        <v>118</v>
      </c>
      <c r="C2626" s="1"/>
      <c r="D2626" s="1"/>
      <c r="E2626" s="14"/>
      <c r="F2626" s="15"/>
      <c r="G2626" s="16"/>
      <c r="H2626" s="11"/>
      <c r="I2626" s="7"/>
      <c r="J2626" s="7" t="str">
        <f>IFERROR(LET(_xlpm.v,
VLOOKUP($I2626,'用語辞書'!$A:$B,COLUMN('用語辞書'!B$1),FALSE),
IF(_xlpm.v=0,"",_xlpm.v)
),"")</f>
        <v/>
      </c>
      <c r="K2626" s="17"/>
      <c r="L2626" s="17" t="str">
        <f>IF(OR(COUNTIF('クラス'!$A$1:$A$1262,$B2626)&gt;0,$B2626="",$M2626=""),"",True)</f>
        <v/>
      </c>
      <c r="M2626" s="1" t="str">
        <f t="shared" si="30"/>
        <v/>
      </c>
      <c r="N2626" s="1" t="s">
        <v>29</v>
      </c>
      <c r="O2626" s="1"/>
      <c r="P2626" s="11"/>
      <c r="Q2626" s="11"/>
      <c r="R2626" s="11"/>
      <c r="S2626" s="11"/>
      <c r="T2626" s="1"/>
      <c r="U2626" s="1"/>
      <c r="V2626" s="1"/>
      <c r="W2626" s="1"/>
      <c r="X2626" s="1"/>
      <c r="Y2626" s="1"/>
      <c r="Z2626" s="1"/>
    </row>
    <row r="2627" ht="18.0" customHeight="1" outlineLevel="1" collapsed="1">
      <c r="A2627" s="1"/>
      <c r="B2627" s="1"/>
      <c r="C2627" s="1"/>
      <c r="D2627" s="1"/>
      <c r="E2627" s="14"/>
      <c r="F2627" s="15"/>
      <c r="G2627" s="16"/>
      <c r="H2627" s="11"/>
      <c r="I2627" s="7"/>
      <c r="J2627" s="7" t="str">
        <f>IFERROR(LET(_xlpm.v,
VLOOKUP($I2627,'用語辞書'!$A:$B,COLUMN('用語辞書'!B$1),FALSE),
IF(_xlpm.v=0,"",_xlpm.v)
),"")</f>
        <v/>
      </c>
      <c r="K2627" s="17"/>
      <c r="L2627" s="17" t="str">
        <f>IF(OR(COUNTIF('クラス'!$A$1:$A$1262,$B2627)&gt;0,$B2627="",$M2627=""),"",True)</f>
        <v/>
      </c>
      <c r="M2627" s="1" t="str">
        <f t="shared" si="30"/>
        <v>存在しない</v>
      </c>
      <c r="N2627" s="1" t="s">
        <v>29</v>
      </c>
      <c r="O2627" s="1"/>
      <c r="P2627" s="11"/>
      <c r="Q2627" s="11"/>
      <c r="R2627" s="11"/>
      <c r="S2627" s="11"/>
      <c r="T2627" s="1"/>
      <c r="U2627" s="1"/>
      <c r="V2627" s="1"/>
      <c r="W2627" s="1"/>
      <c r="X2627" s="1"/>
      <c r="Y2627" s="1"/>
      <c r="Z2627" s="1"/>
    </row>
    <row r="2628" ht="18.0" customHeight="1" outlineLevel="1">
      <c r="A2628" s="1"/>
      <c r="B2628" s="26" t="s">
        <v>2449</v>
      </c>
      <c r="C2628" s="1"/>
      <c r="D2628" s="1"/>
      <c r="E2628" s="14"/>
      <c r="F2628" s="15"/>
      <c r="G2628" s="16"/>
      <c r="H2628" s="11"/>
      <c r="I2628" s="7"/>
      <c r="J2628" s="7" t="str">
        <f>IFERROR(LET(_xlpm.v,
VLOOKUP($I2628,'用語辞書'!$A:$B,COLUMN('用語辞書'!B$1),FALSE),
IF(_xlpm.v=0,"",_xlpm.v)
),"")</f>
        <v/>
      </c>
      <c r="K2628" s="17"/>
      <c r="L2628" s="17" t="str">
        <f>IF(OR(COUNTIF('クラス'!$A$1:$A$1262,$B2628)&gt;0,$B2628="",$M2628=""),"",True)</f>
        <v/>
      </c>
      <c r="M2628" s="1" t="str">
        <f t="shared" si="30"/>
        <v>存在しない</v>
      </c>
      <c r="N2628" s="1" t="s">
        <v>29</v>
      </c>
      <c r="O2628" s="1"/>
      <c r="P2628" s="11"/>
      <c r="Q2628" s="11"/>
      <c r="R2628" s="11"/>
      <c r="S2628" s="11"/>
      <c r="T2628" s="1"/>
      <c r="U2628" s="1"/>
      <c r="V2628" s="1"/>
      <c r="W2628" s="1"/>
      <c r="X2628" s="1"/>
      <c r="Y2628" s="1"/>
      <c r="Z2628" s="1"/>
    </row>
    <row r="2629" ht="18.0" hidden="1" customHeight="1" outlineLevel="2">
      <c r="A2629" s="26">
        <v>1.0</v>
      </c>
      <c r="B2629" s="26" t="s">
        <v>111</v>
      </c>
      <c r="C2629" s="1"/>
      <c r="D2629" s="1"/>
      <c r="E2629" s="14"/>
      <c r="F2629" s="15"/>
      <c r="G2629" s="16"/>
      <c r="H2629" s="11"/>
      <c r="I2629" s="7"/>
      <c r="J2629" s="7" t="str">
        <f>IFERROR(LET(_xlpm.v,
VLOOKUP($I2629,'用語辞書'!$A:$B,COLUMN('用語辞書'!B$1),FALSE),
IF(_xlpm.v=0,"",_xlpm.v)
),"")</f>
        <v/>
      </c>
      <c r="K2629" s="17"/>
      <c r="L2629" s="17" t="str">
        <f>IF(OR(COUNTIF('クラス'!$A$1:$A$1262,$B2629)&gt;0,$B2629="",$M2629=""),"",True)</f>
        <v/>
      </c>
      <c r="M2629" s="1" t="str">
        <f t="shared" si="30"/>
        <v/>
      </c>
      <c r="N2629" s="1" t="s">
        <v>29</v>
      </c>
      <c r="O2629" s="1"/>
      <c r="P2629" s="11"/>
      <c r="Q2629" s="11"/>
      <c r="R2629" s="11"/>
      <c r="S2629" s="11"/>
      <c r="T2629" s="1"/>
      <c r="U2629" s="1"/>
      <c r="V2629" s="1"/>
      <c r="W2629" s="1"/>
      <c r="X2629" s="1"/>
      <c r="Y2629" s="1"/>
      <c r="Z2629" s="1"/>
    </row>
    <row r="2630" ht="18.0" hidden="1" customHeight="1" outlineLevel="2">
      <c r="A2630" s="26">
        <v>2.0</v>
      </c>
      <c r="B2630" s="1"/>
      <c r="C2630" s="1"/>
      <c r="D2630" s="1"/>
      <c r="E2630" s="14"/>
      <c r="F2630" s="15"/>
      <c r="G2630" s="16"/>
      <c r="H2630" s="11"/>
      <c r="I2630" s="7"/>
      <c r="J2630" s="7" t="str">
        <f>IFERROR(LET(_xlpm.v,
VLOOKUP($I2630,'用語辞書'!$A:$B,COLUMN('用語辞書'!B$1),FALSE),
IF(_xlpm.v=0,"",_xlpm.v)
),"")</f>
        <v/>
      </c>
      <c r="K2630" s="17"/>
      <c r="L2630" s="17" t="str">
        <f>IF(OR(COUNTIF('クラス'!$A$1:$A$1262,$B2630)&gt;0,$B2630="",$M2630=""),"",True)</f>
        <v/>
      </c>
      <c r="M2630" s="1" t="str">
        <f t="shared" si="30"/>
        <v>存在しない</v>
      </c>
      <c r="N2630" s="1" t="s">
        <v>29</v>
      </c>
      <c r="O2630" s="1"/>
      <c r="P2630" s="11"/>
      <c r="Q2630" s="11"/>
      <c r="R2630" s="11"/>
      <c r="S2630" s="11"/>
      <c r="T2630" s="1"/>
      <c r="U2630" s="1"/>
      <c r="V2630" s="1"/>
      <c r="W2630" s="1"/>
      <c r="X2630" s="1"/>
      <c r="Y2630" s="1"/>
      <c r="Z2630" s="1"/>
    </row>
    <row r="2631" ht="18.0" hidden="1" customHeight="1" outlineLevel="2">
      <c r="A2631" s="26">
        <v>3.0</v>
      </c>
      <c r="B2631" s="26" t="s">
        <v>115</v>
      </c>
      <c r="C2631" s="1"/>
      <c r="D2631" s="1"/>
      <c r="E2631" s="14"/>
      <c r="F2631" s="15"/>
      <c r="G2631" s="16"/>
      <c r="H2631" s="11"/>
      <c r="I2631" s="7"/>
      <c r="J2631" s="7" t="str">
        <f>IFERROR(LET(_xlpm.v,
VLOOKUP($I2631,'用語辞書'!$A:$B,COLUMN('用語辞書'!B$1),FALSE),
IF(_xlpm.v=0,"",_xlpm.v)
),"")</f>
        <v/>
      </c>
      <c r="K2631" s="17"/>
      <c r="L2631" s="17" t="str">
        <f>IF(OR(COUNTIF('クラス'!$A$1:$A$1262,$B2631)&gt;0,$B2631="",$M2631=""),"",True)</f>
        <v/>
      </c>
      <c r="M2631" s="1" t="str">
        <f t="shared" si="30"/>
        <v/>
      </c>
      <c r="N2631" s="1" t="s">
        <v>29</v>
      </c>
      <c r="O2631" s="1"/>
      <c r="P2631" s="11"/>
      <c r="Q2631" s="11"/>
      <c r="R2631" s="11"/>
      <c r="S2631" s="11"/>
      <c r="T2631" s="1"/>
      <c r="U2631" s="1"/>
      <c r="V2631" s="1"/>
      <c r="W2631" s="1"/>
      <c r="X2631" s="1"/>
      <c r="Y2631" s="1"/>
      <c r="Z2631" s="1"/>
    </row>
    <row r="2632" ht="18.0" hidden="1" customHeight="1" outlineLevel="2">
      <c r="A2632" s="26">
        <v>4.0</v>
      </c>
      <c r="B2632" s="1"/>
      <c r="C2632" s="1"/>
      <c r="D2632" s="1"/>
      <c r="E2632" s="14"/>
      <c r="F2632" s="15"/>
      <c r="G2632" s="16"/>
      <c r="H2632" s="11"/>
      <c r="I2632" s="7"/>
      <c r="J2632" s="7" t="str">
        <f>IFERROR(LET(_xlpm.v,
VLOOKUP($I2632,'用語辞書'!$A:$B,COLUMN('用語辞書'!B$1),FALSE),
IF(_xlpm.v=0,"",_xlpm.v)
),"")</f>
        <v/>
      </c>
      <c r="K2632" s="17"/>
      <c r="L2632" s="17" t="str">
        <f>IF(OR(COUNTIF('クラス'!$A$1:$A$1262,$B2632)&gt;0,$B2632="",$M2632=""),"",True)</f>
        <v/>
      </c>
      <c r="M2632" s="1" t="str">
        <f t="shared" si="30"/>
        <v>存在しない</v>
      </c>
      <c r="N2632" s="1" t="s">
        <v>29</v>
      </c>
      <c r="O2632" s="1"/>
      <c r="P2632" s="11"/>
      <c r="Q2632" s="11"/>
      <c r="R2632" s="11"/>
      <c r="S2632" s="11"/>
      <c r="T2632" s="1"/>
      <c r="U2632" s="1"/>
      <c r="V2632" s="1"/>
      <c r="W2632" s="1"/>
      <c r="X2632" s="1"/>
      <c r="Y2632" s="1"/>
      <c r="Z2632" s="1"/>
    </row>
    <row r="2633" ht="18.0" hidden="1" customHeight="1" outlineLevel="2">
      <c r="A2633" s="26">
        <v>5.0</v>
      </c>
      <c r="B2633" s="26" t="s">
        <v>118</v>
      </c>
      <c r="C2633" s="1"/>
      <c r="D2633" s="1"/>
      <c r="E2633" s="14"/>
      <c r="F2633" s="15"/>
      <c r="G2633" s="16"/>
      <c r="H2633" s="11"/>
      <c r="I2633" s="7"/>
      <c r="J2633" s="7" t="str">
        <f>IFERROR(LET(_xlpm.v,
VLOOKUP($I2633,'用語辞書'!$A:$B,COLUMN('用語辞書'!B$1),FALSE),
IF(_xlpm.v=0,"",_xlpm.v)
),"")</f>
        <v/>
      </c>
      <c r="K2633" s="17"/>
      <c r="L2633" s="17" t="str">
        <f>IF(OR(COUNTIF('クラス'!$A$1:$A$1262,$B2633)&gt;0,$B2633="",$M2633=""),"",True)</f>
        <v/>
      </c>
      <c r="M2633" s="1" t="str">
        <f t="shared" si="30"/>
        <v/>
      </c>
      <c r="N2633" s="1" t="s">
        <v>29</v>
      </c>
      <c r="O2633" s="1"/>
      <c r="P2633" s="11"/>
      <c r="Q2633" s="11"/>
      <c r="R2633" s="11"/>
      <c r="S2633" s="11"/>
      <c r="T2633" s="1"/>
      <c r="U2633" s="1"/>
      <c r="V2633" s="1"/>
      <c r="W2633" s="1"/>
      <c r="X2633" s="1"/>
      <c r="Y2633" s="1"/>
      <c r="Z2633" s="1"/>
    </row>
    <row r="2634" ht="18.0" hidden="1" customHeight="1" outlineLevel="2">
      <c r="A2634" s="26">
        <v>6.0</v>
      </c>
      <c r="B2634" s="1"/>
      <c r="C2634" s="1"/>
      <c r="D2634" s="1"/>
      <c r="E2634" s="14"/>
      <c r="F2634" s="15"/>
      <c r="G2634" s="16"/>
      <c r="H2634" s="11"/>
      <c r="I2634" s="7"/>
      <c r="J2634" s="7" t="str">
        <f>IFERROR(LET(_xlpm.v,
VLOOKUP($I2634,'用語辞書'!$A:$B,COLUMN('用語辞書'!B$1),FALSE),
IF(_xlpm.v=0,"",_xlpm.v)
),"")</f>
        <v/>
      </c>
      <c r="K2634" s="17"/>
      <c r="L2634" s="17" t="str">
        <f>IF(OR(COUNTIF('クラス'!$A$1:$A$1262,$B2634)&gt;0,$B2634="",$M2634=""),"",True)</f>
        <v/>
      </c>
      <c r="M2634" s="1" t="str">
        <f t="shared" si="30"/>
        <v>存在しない</v>
      </c>
      <c r="N2634" s="1" t="s">
        <v>29</v>
      </c>
      <c r="O2634" s="1"/>
      <c r="P2634" s="11"/>
      <c r="Q2634" s="11"/>
      <c r="R2634" s="11"/>
      <c r="S2634" s="11"/>
      <c r="T2634" s="1"/>
      <c r="U2634" s="1"/>
      <c r="V2634" s="1"/>
      <c r="W2634" s="1"/>
      <c r="X2634" s="1"/>
      <c r="Y2634" s="1"/>
      <c r="Z2634" s="1"/>
    </row>
    <row r="2635" ht="18.0" hidden="1" customHeight="1" outlineLevel="2">
      <c r="A2635" s="26">
        <v>7.0</v>
      </c>
      <c r="B2635" s="26" t="s">
        <v>108</v>
      </c>
      <c r="C2635" s="1"/>
      <c r="D2635" s="1"/>
      <c r="E2635" s="14"/>
      <c r="F2635" s="15"/>
      <c r="G2635" s="16"/>
      <c r="H2635" s="11"/>
      <c r="I2635" s="7"/>
      <c r="J2635" s="7" t="str">
        <f>IFERROR(LET(_xlpm.v,
VLOOKUP($I2635,'用語辞書'!$A:$B,COLUMN('用語辞書'!B$1),FALSE),
IF(_xlpm.v=0,"",_xlpm.v)
),"")</f>
        <v/>
      </c>
      <c r="K2635" s="17"/>
      <c r="L2635" s="17" t="str">
        <f>IF(OR(COUNTIF('クラス'!$A$1:$A$1262,$B2635)&gt;0,$B2635="",$M2635=""),"",True)</f>
        <v/>
      </c>
      <c r="M2635" s="1" t="str">
        <f t="shared" si="30"/>
        <v/>
      </c>
      <c r="N2635" s="1" t="s">
        <v>29</v>
      </c>
      <c r="O2635" s="1"/>
      <c r="P2635" s="11"/>
      <c r="Q2635" s="11"/>
      <c r="R2635" s="11"/>
      <c r="S2635" s="11"/>
      <c r="T2635" s="1"/>
      <c r="U2635" s="1"/>
      <c r="V2635" s="1"/>
      <c r="W2635" s="1"/>
      <c r="X2635" s="1"/>
      <c r="Y2635" s="1"/>
      <c r="Z2635" s="1"/>
    </row>
    <row r="2636" ht="18.0" hidden="1" customHeight="1" outlineLevel="2">
      <c r="A2636" s="26">
        <v>8.0</v>
      </c>
      <c r="B2636" s="1"/>
      <c r="C2636" s="1"/>
      <c r="D2636" s="1"/>
      <c r="E2636" s="14"/>
      <c r="F2636" s="15"/>
      <c r="G2636" s="16"/>
      <c r="H2636" s="11"/>
      <c r="I2636" s="7"/>
      <c r="J2636" s="7" t="str">
        <f>IFERROR(LET(_xlpm.v,
VLOOKUP($I2636,'用語辞書'!$A:$B,COLUMN('用語辞書'!B$1),FALSE),
IF(_xlpm.v=0,"",_xlpm.v)
),"")</f>
        <v/>
      </c>
      <c r="K2636" s="17"/>
      <c r="L2636" s="17" t="str">
        <f>IF(OR(COUNTIF('クラス'!$A$1:$A$1262,$B2636)&gt;0,$B2636="",$M2636=""),"",True)</f>
        <v/>
      </c>
      <c r="M2636" s="1" t="str">
        <f t="shared" si="30"/>
        <v>存在しない</v>
      </c>
      <c r="N2636" s="1" t="s">
        <v>29</v>
      </c>
      <c r="O2636" s="1"/>
      <c r="P2636" s="11"/>
      <c r="Q2636" s="11"/>
      <c r="R2636" s="11"/>
      <c r="S2636" s="11"/>
      <c r="T2636" s="1"/>
      <c r="U2636" s="1"/>
      <c r="V2636" s="1"/>
      <c r="W2636" s="1"/>
      <c r="X2636" s="1"/>
      <c r="Y2636" s="1"/>
      <c r="Z2636" s="1"/>
    </row>
    <row r="2637" ht="18.0" hidden="1" customHeight="1" outlineLevel="2">
      <c r="A2637" s="26">
        <v>9.0</v>
      </c>
      <c r="B2637" s="26" t="s">
        <v>98</v>
      </c>
      <c r="C2637" s="1"/>
      <c r="D2637" s="1"/>
      <c r="E2637" s="14"/>
      <c r="F2637" s="15"/>
      <c r="G2637" s="16"/>
      <c r="H2637" s="11"/>
      <c r="I2637" s="7"/>
      <c r="J2637" s="7" t="str">
        <f>IFERROR(LET(_xlpm.v,
VLOOKUP($I2637,'用語辞書'!$A:$B,COLUMN('用語辞書'!B$1),FALSE),
IF(_xlpm.v=0,"",_xlpm.v)
),"")</f>
        <v/>
      </c>
      <c r="K2637" s="17"/>
      <c r="L2637" s="17" t="str">
        <f>IF(OR(COUNTIF('クラス'!$A$1:$A$1262,$B2637)&gt;0,$B2637="",$M2637=""),"",True)</f>
        <v/>
      </c>
      <c r="M2637" s="1" t="str">
        <f t="shared" si="30"/>
        <v/>
      </c>
      <c r="N2637" s="1" t="s">
        <v>29</v>
      </c>
      <c r="O2637" s="1"/>
      <c r="P2637" s="11"/>
      <c r="Q2637" s="11"/>
      <c r="R2637" s="11"/>
      <c r="S2637" s="11"/>
      <c r="T2637" s="1"/>
      <c r="U2637" s="1"/>
      <c r="V2637" s="1"/>
      <c r="W2637" s="1"/>
      <c r="X2637" s="1"/>
      <c r="Y2637" s="1"/>
      <c r="Z2637" s="1"/>
    </row>
    <row r="2638" ht="18.0" hidden="1" customHeight="1" outlineLevel="2">
      <c r="A2638" s="26">
        <v>10.0</v>
      </c>
      <c r="B2638" s="26" t="s">
        <v>2450</v>
      </c>
      <c r="C2638" s="26" t="s">
        <v>29</v>
      </c>
      <c r="D2638" s="26" t="s">
        <v>76</v>
      </c>
      <c r="E2638" s="29" t="s">
        <v>55</v>
      </c>
      <c r="F2638" s="34" t="s">
        <v>29</v>
      </c>
      <c r="G2638" s="30" t="s">
        <v>29</v>
      </c>
      <c r="H2638" s="22" t="s">
        <v>2451</v>
      </c>
      <c r="I2638" s="7"/>
      <c r="J2638" s="7" t="str">
        <f>IFERROR(LET(_xlpm.v,
VLOOKUP($I2638,'用語辞書'!$A:$B,COLUMN('用語辞書'!B$1),FALSE),
IF(_xlpm.v=0,"",_xlpm.v)
),"")</f>
        <v/>
      </c>
      <c r="K2638" s="17"/>
      <c r="L2638" s="17" t="b">
        <f>IF(OR(COUNTIF('クラス'!$A$1:$A$1262,$B2638)&gt;0,$B2638="",$M2638=""),"",True)</f>
        <v>1</v>
      </c>
      <c r="M2638" s="1" t="str">
        <f t="shared" si="30"/>
        <v>存在しない</v>
      </c>
      <c r="N2638" s="1" t="s">
        <v>29</v>
      </c>
      <c r="O2638" s="1"/>
      <c r="P2638" s="11"/>
      <c r="Q2638" s="11"/>
      <c r="R2638" s="11"/>
      <c r="S2638" s="11"/>
      <c r="T2638" s="1"/>
      <c r="U2638" s="1"/>
      <c r="V2638" s="1"/>
      <c r="W2638" s="1"/>
      <c r="X2638" s="1"/>
      <c r="Y2638" s="1"/>
      <c r="Z2638" s="1"/>
    </row>
    <row r="2639" ht="18.0" customHeight="1" collapsed="1">
      <c r="A2639" s="1"/>
      <c r="B2639" s="1"/>
      <c r="C2639" s="26" t="s">
        <v>2452</v>
      </c>
      <c r="D2639" s="1"/>
      <c r="E2639" s="14"/>
      <c r="F2639" s="15"/>
      <c r="G2639" s="16"/>
      <c r="H2639" s="11"/>
      <c r="I2639" s="7"/>
      <c r="J2639" s="7" t="str">
        <f>IFERROR(LET(_xlpm.v,
VLOOKUP($I2639,'用語辞書'!$A:$B,COLUMN('用語辞書'!B$1),FALSE),
IF(_xlpm.v=0,"",_xlpm.v)
),"")</f>
        <v/>
      </c>
      <c r="K2639" s="17"/>
      <c r="L2639" s="17" t="str">
        <f>IF(OR(COUNTIF('クラス'!$A$1:$A$1262,$B2639)&gt;0,$B2639="",$M2639=""),"",True)</f>
        <v/>
      </c>
      <c r="M2639" s="1" t="str">
        <f t="shared" si="30"/>
        <v>存在しない</v>
      </c>
      <c r="N2639" s="1" t="s">
        <v>29</v>
      </c>
      <c r="O2639" s="1"/>
      <c r="P2639" s="11"/>
      <c r="Q2639" s="11"/>
      <c r="R2639" s="11"/>
      <c r="S2639" s="11"/>
      <c r="T2639" s="1"/>
      <c r="U2639" s="1"/>
      <c r="V2639" s="1"/>
      <c r="W2639" s="1"/>
      <c r="X2639" s="1"/>
      <c r="Y2639" s="1"/>
      <c r="Z2639" s="1"/>
    </row>
    <row r="2640" ht="18.0" customHeight="1">
      <c r="A2640" s="1"/>
      <c r="B2640" s="26" t="s">
        <v>2453</v>
      </c>
      <c r="C2640" s="1"/>
      <c r="D2640" s="1"/>
      <c r="E2640" s="14"/>
      <c r="F2640" s="15"/>
      <c r="G2640" s="16"/>
      <c r="H2640" s="11"/>
      <c r="I2640" s="7"/>
      <c r="J2640" s="7" t="str">
        <f>IFERROR(LET(_xlpm.v,
VLOOKUP($I2640,'用語辞書'!$A:$B,COLUMN('用語辞書'!B$1),FALSE),
IF(_xlpm.v=0,"",_xlpm.v)
),"")</f>
        <v/>
      </c>
      <c r="K2640" s="17"/>
      <c r="L2640" s="17" t="str">
        <f>IF(OR(COUNTIF('クラス'!$A$1:$A$1262,$B2640)&gt;0,$B2640="",$M2640=""),"",True)</f>
        <v/>
      </c>
      <c r="M2640" s="1" t="str">
        <f t="shared" si="30"/>
        <v>存在しない</v>
      </c>
      <c r="N2640" s="1" t="s">
        <v>29</v>
      </c>
      <c r="O2640" s="1"/>
      <c r="P2640" s="11"/>
      <c r="Q2640" s="11"/>
      <c r="R2640" s="11"/>
      <c r="S2640" s="11"/>
      <c r="T2640" s="1"/>
      <c r="U2640" s="1"/>
      <c r="V2640" s="1"/>
      <c r="W2640" s="1"/>
      <c r="X2640" s="1"/>
      <c r="Y2640" s="1"/>
      <c r="Z2640" s="1"/>
    </row>
    <row r="2641" ht="18.0" hidden="1" customHeight="1" outlineLevel="1">
      <c r="A2641" s="1">
        <v>1.0</v>
      </c>
      <c r="B2641" s="26" t="s">
        <v>788</v>
      </c>
      <c r="C2641" s="1"/>
      <c r="D2641" s="1"/>
      <c r="E2641" s="14"/>
      <c r="F2641" s="15"/>
      <c r="G2641" s="16"/>
      <c r="H2641" s="11"/>
      <c r="I2641" s="7"/>
      <c r="J2641" s="7" t="str">
        <f>IFERROR(LET(_xlpm.v,
VLOOKUP($I2641,'用語辞書'!$A:$B,COLUMN('用語辞書'!B$1),FALSE),
IF(_xlpm.v=0,"",_xlpm.v)
),"")</f>
        <v/>
      </c>
      <c r="K2641" s="17"/>
      <c r="L2641" s="17" t="str">
        <f>IF(OR(COUNTIF('クラス'!$A$1:$A$1262,$B2641)&gt;0,$B2641="",$M2641=""),"",True)</f>
        <v/>
      </c>
      <c r="M2641" s="1" t="str">
        <f t="shared" si="30"/>
        <v/>
      </c>
      <c r="N2641" s="1" t="s">
        <v>29</v>
      </c>
      <c r="O2641" s="1"/>
      <c r="P2641" s="11"/>
      <c r="Q2641" s="11"/>
      <c r="R2641" s="11"/>
      <c r="S2641" s="11"/>
      <c r="T2641" s="1"/>
      <c r="U2641" s="1"/>
      <c r="V2641" s="1"/>
      <c r="W2641" s="1"/>
      <c r="X2641" s="1"/>
      <c r="Y2641" s="1"/>
      <c r="Z2641" s="1"/>
    </row>
    <row r="2642" ht="18.0" hidden="1" customHeight="1" outlineLevel="1">
      <c r="A2642" s="1">
        <v>2.0</v>
      </c>
      <c r="B2642" s="26" t="s">
        <v>854</v>
      </c>
      <c r="C2642" s="1"/>
      <c r="D2642" s="1"/>
      <c r="E2642" s="14"/>
      <c r="F2642" s="15"/>
      <c r="G2642" s="16"/>
      <c r="H2642" s="11"/>
      <c r="I2642" s="7"/>
      <c r="J2642" s="7" t="str">
        <f>IFERROR(LET(_xlpm.v,
VLOOKUP($I2642,'用語辞書'!$A:$B,COLUMN('用語辞書'!B$1),FALSE),
IF(_xlpm.v=0,"",_xlpm.v)
),"")</f>
        <v/>
      </c>
      <c r="K2642" s="17"/>
      <c r="L2642" s="17" t="str">
        <f>IF(OR(COUNTIF('クラス'!$A$1:$A$1262,$B2642)&gt;0,$B2642="",$M2642=""),"",True)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3.0</v>
      </c>
      <c r="B2643" s="26" t="s">
        <v>857</v>
      </c>
      <c r="C2643" s="1"/>
      <c r="D2643" s="1"/>
      <c r="E2643" s="14"/>
      <c r="F2643" s="15"/>
      <c r="G2643" s="16"/>
      <c r="H2643" s="11"/>
      <c r="I2643" s="7"/>
      <c r="J2643" s="7" t="str">
        <f>IFERROR(LET(_xlpm.v,
VLOOKUP($I2643,'用語辞書'!$A:$B,COLUMN('用語辞書'!B$1),FALSE),
IF(_xlpm.v=0,"",_xlpm.v)
),"")</f>
        <v/>
      </c>
      <c r="K2643" s="17"/>
      <c r="L2643" s="17" t="str">
        <f>IF(OR(COUNTIF('クラス'!$A$1:$A$1262,$B2643)&gt;0,$B2643="",$M2643=""),"",True)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4.0</v>
      </c>
      <c r="B2644" s="26" t="s">
        <v>860</v>
      </c>
      <c r="C2644" s="1"/>
      <c r="D2644" s="1"/>
      <c r="E2644" s="14"/>
      <c r="F2644" s="15"/>
      <c r="G2644" s="16"/>
      <c r="H2644" s="11"/>
      <c r="I2644" s="7"/>
      <c r="J2644" s="7" t="str">
        <f>IFERROR(LET(_xlpm.v,
VLOOKUP($I2644,'用語辞書'!$A:$B,COLUMN('用語辞書'!B$1),FALSE),
IF(_xlpm.v=0,"",_xlpm.v)
),"")</f>
        <v/>
      </c>
      <c r="K2644" s="17"/>
      <c r="L2644" s="17" t="str">
        <f>IF(OR(COUNTIF('クラス'!$A$1:$A$1262,$B2644)&gt;0,$B2644="",$M2644=""),"",True)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5.0</v>
      </c>
      <c r="B2645" s="26" t="s">
        <v>863</v>
      </c>
      <c r="C2645" s="1"/>
      <c r="D2645" s="1"/>
      <c r="E2645" s="14"/>
      <c r="F2645" s="15"/>
      <c r="G2645" s="16"/>
      <c r="H2645" s="11"/>
      <c r="I2645" s="7"/>
      <c r="J2645" s="7" t="str">
        <f>IFERROR(LET(_xlpm.v,
VLOOKUP($I2645,'用語辞書'!$A:$B,COLUMN('用語辞書'!B$1),FALSE),
IF(_xlpm.v=0,"",_xlpm.v)
),"")</f>
        <v/>
      </c>
      <c r="K2645" s="17"/>
      <c r="L2645" s="17" t="str">
        <f>IF(OR(COUNTIF('クラス'!$A$1:$A$1262,$B2645)&gt;0,$B2645="",$M2645=""),"",True)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6.0</v>
      </c>
      <c r="B2646" s="1"/>
      <c r="C2646" s="1"/>
      <c r="D2646" s="1"/>
      <c r="E2646" s="14"/>
      <c r="F2646" s="15"/>
      <c r="G2646" s="16"/>
      <c r="H2646" s="11"/>
      <c r="I2646" s="7"/>
      <c r="J2646" s="7" t="str">
        <f>IFERROR(LET(_xlpm.v,
VLOOKUP($I2646,'用語辞書'!$A:$B,COLUMN('用語辞書'!B$1),FALSE),
IF(_xlpm.v=0,"",_xlpm.v)
),"")</f>
        <v/>
      </c>
      <c r="K2646" s="17"/>
      <c r="L2646" s="17" t="str">
        <f>IF(OR(COUNTIF('クラス'!$A$1:$A$1262,$B2646)&gt;0,$B2646="",$M2646=""),"",True)</f>
        <v/>
      </c>
      <c r="M2646" s="1" t="str">
        <f t="shared" si="30"/>
        <v>存在しない</v>
      </c>
      <c r="N2646" s="1" t="s">
        <v>29</v>
      </c>
      <c r="O2646" s="1"/>
      <c r="P2646" s="11"/>
      <c r="Q2646" s="11"/>
      <c r="R2646" s="11"/>
      <c r="S2646" s="11"/>
      <c r="T2646" s="1"/>
      <c r="U2646" s="1"/>
      <c r="V2646" s="1"/>
      <c r="W2646" s="1"/>
      <c r="X2646" s="1"/>
      <c r="Y2646" s="1"/>
      <c r="Z2646" s="1"/>
    </row>
    <row r="2647" ht="18.0" hidden="1" customHeight="1" outlineLevel="1">
      <c r="A2647" s="1">
        <v>7.0</v>
      </c>
      <c r="B2647" s="26" t="s">
        <v>866</v>
      </c>
      <c r="C2647" s="1"/>
      <c r="D2647" s="1"/>
      <c r="E2647" s="14"/>
      <c r="F2647" s="15"/>
      <c r="G2647" s="16"/>
      <c r="H2647" s="11"/>
      <c r="I2647" s="7"/>
      <c r="J2647" s="7" t="str">
        <f>IFERROR(LET(_xlpm.v,
VLOOKUP($I2647,'用語辞書'!$A:$B,COLUMN('用語辞書'!B$1),FALSE),
IF(_xlpm.v=0,"",_xlpm.v)
),"")</f>
        <v/>
      </c>
      <c r="K2647" s="17"/>
      <c r="L2647" s="17" t="str">
        <f>IF(OR(COUNTIF('クラス'!$A$1:$A$1262,$B2647)&gt;0,$B2647="",$M2647=""),"",True)</f>
        <v/>
      </c>
      <c r="M2647" s="1" t="str">
        <f t="shared" si="30"/>
        <v/>
      </c>
      <c r="N2647" s="1" t="s">
        <v>29</v>
      </c>
      <c r="O2647" s="1"/>
      <c r="P2647" s="11"/>
      <c r="Q2647" s="11"/>
      <c r="R2647" s="11"/>
      <c r="S2647" s="11"/>
      <c r="T2647" s="1"/>
      <c r="U2647" s="1"/>
      <c r="V2647" s="1"/>
      <c r="W2647" s="1"/>
      <c r="X2647" s="1"/>
      <c r="Y2647" s="1"/>
      <c r="Z2647" s="1"/>
    </row>
    <row r="2648" ht="18.0" hidden="1" customHeight="1" outlineLevel="1">
      <c r="A2648" s="1">
        <v>8.0</v>
      </c>
      <c r="B2648" s="1"/>
      <c r="C2648" s="1"/>
      <c r="D2648" s="1"/>
      <c r="E2648" s="14"/>
      <c r="F2648" s="15"/>
      <c r="G2648" s="16"/>
      <c r="H2648" s="11"/>
      <c r="I2648" s="7"/>
      <c r="J2648" s="7" t="str">
        <f>IFERROR(LET(_xlpm.v,
VLOOKUP($I2648,'用語辞書'!$A:$B,COLUMN('用語辞書'!B$1),FALSE),
IF(_xlpm.v=0,"",_xlpm.v)
),"")</f>
        <v/>
      </c>
      <c r="K2648" s="17"/>
      <c r="L2648" s="17" t="str">
        <f>IF(OR(COUNTIF('クラス'!$A$1:$A$1262,$B2648)&gt;0,$B2648="",$M2648=""),"",True)</f>
        <v/>
      </c>
      <c r="M2648" s="1" t="str">
        <f t="shared" si="30"/>
        <v>存在しない</v>
      </c>
      <c r="N2648" s="1" t="s">
        <v>29</v>
      </c>
      <c r="O2648" s="1"/>
      <c r="P2648" s="11"/>
      <c r="Q2648" s="11"/>
      <c r="R2648" s="11"/>
      <c r="S2648" s="11"/>
      <c r="T2648" s="1"/>
      <c r="U2648" s="1"/>
      <c r="V2648" s="1"/>
      <c r="W2648" s="1"/>
      <c r="X2648" s="1"/>
      <c r="Y2648" s="1"/>
      <c r="Z2648" s="1"/>
    </row>
    <row r="2649" ht="18.0" hidden="1" customHeight="1" outlineLevel="1">
      <c r="A2649" s="1">
        <v>9.0</v>
      </c>
      <c r="B2649" s="26" t="s">
        <v>797</v>
      </c>
      <c r="C2649" s="1"/>
      <c r="D2649" s="1"/>
      <c r="E2649" s="14"/>
      <c r="F2649" s="15"/>
      <c r="G2649" s="16"/>
      <c r="H2649" s="11"/>
      <c r="I2649" s="7"/>
      <c r="J2649" s="7" t="str">
        <f>IFERROR(LET(_xlpm.v,
VLOOKUP($I2649,'用語辞書'!$A:$B,COLUMN('用語辞書'!B$1),FALSE),
IF(_xlpm.v=0,"",_xlpm.v)
),"")</f>
        <v/>
      </c>
      <c r="K2649" s="17"/>
      <c r="L2649" s="17" t="str">
        <f>IF(OR(COUNTIF('クラス'!$A$1:$A$1262,$B2649)&gt;0,$B2649="",$M2649=""),"",True)</f>
        <v/>
      </c>
      <c r="M2649" s="1" t="str">
        <f t="shared" si="30"/>
        <v/>
      </c>
      <c r="N2649" s="1" t="s">
        <v>29</v>
      </c>
      <c r="O2649" s="1"/>
      <c r="P2649" s="11"/>
      <c r="Q2649" s="11"/>
      <c r="R2649" s="11"/>
      <c r="S2649" s="11"/>
      <c r="T2649" s="1"/>
      <c r="U2649" s="1"/>
      <c r="V2649" s="1"/>
      <c r="W2649" s="1"/>
      <c r="X2649" s="1"/>
      <c r="Y2649" s="1"/>
      <c r="Z2649" s="1"/>
    </row>
    <row r="2650" ht="18.0" hidden="1" customHeight="1" outlineLevel="1">
      <c r="A2650" s="26">
        <v>10.0</v>
      </c>
      <c r="B2650" s="26" t="s">
        <v>202</v>
      </c>
      <c r="C2650" s="1"/>
      <c r="D2650" s="1"/>
      <c r="E2650" s="14"/>
      <c r="F2650" s="15"/>
      <c r="G2650" s="16"/>
      <c r="H2650" s="11"/>
      <c r="I2650" s="7"/>
      <c r="J2650" s="7" t="str">
        <f>IFERROR(LET(_xlpm.v,
VLOOKUP($I2650,'用語辞書'!$A:$B,COLUMN('用語辞書'!B$1),FALSE),
IF(_xlpm.v=0,"",_xlpm.v)
),"")</f>
        <v/>
      </c>
      <c r="K2650" s="17"/>
      <c r="L2650" s="17" t="str">
        <f>IF(OR(COUNTIF('クラス'!$A$1:$A$1262,$B2650)&gt;0,$B2650="",$M2650=""),"",True)</f>
        <v/>
      </c>
      <c r="M2650" s="1" t="str">
        <f t="shared" si="30"/>
        <v/>
      </c>
      <c r="N2650" s="1" t="s">
        <v>29</v>
      </c>
      <c r="O2650" s="1"/>
      <c r="P2650" s="11"/>
      <c r="Q2650" s="11"/>
      <c r="R2650" s="11"/>
      <c r="S2650" s="11"/>
      <c r="T2650" s="1"/>
      <c r="U2650" s="1"/>
      <c r="V2650" s="1"/>
      <c r="W2650" s="1"/>
      <c r="X2650" s="1"/>
      <c r="Y2650" s="1"/>
      <c r="Z2650" s="1"/>
    </row>
    <row r="2651" ht="18.0" customHeight="1" collapsed="1">
      <c r="A2651" s="1"/>
      <c r="B2651" s="1"/>
      <c r="C2651" s="1"/>
      <c r="D2651" s="1"/>
      <c r="E2651" s="14"/>
      <c r="F2651" s="15"/>
      <c r="G2651" s="16"/>
      <c r="H2651" s="11"/>
      <c r="I2651" s="7"/>
      <c r="J2651" s="7" t="str">
        <f>IFERROR(LET(_xlpm.v,
VLOOKUP($I2651,'用語辞書'!$A:$B,COLUMN('用語辞書'!B$1),FALSE),
IF(_xlpm.v=0,"",_xlpm.v)
),"")</f>
        <v/>
      </c>
      <c r="K2651" s="17"/>
      <c r="L2651" s="17" t="str">
        <f>IF(OR(COUNTIF('クラス'!$A$1:$A$1262,$B2651)&gt;0,$B2651="",$M2651=""),"",True)</f>
        <v/>
      </c>
      <c r="M2651" s="1" t="str">
        <f t="shared" si="30"/>
        <v>存在しない</v>
      </c>
      <c r="N2651" s="1" t="s">
        <v>29</v>
      </c>
      <c r="O2651" s="1"/>
      <c r="P2651" s="11"/>
      <c r="Q2651" s="11"/>
      <c r="R2651" s="11"/>
      <c r="S2651" s="11"/>
      <c r="T2651" s="1"/>
      <c r="U2651" s="1"/>
      <c r="V2651" s="1"/>
      <c r="W2651" s="1"/>
      <c r="X2651" s="1"/>
      <c r="Y2651" s="1"/>
      <c r="Z2651" s="1"/>
    </row>
    <row r="2652" ht="18.0" customHeight="1">
      <c r="A2652" s="1"/>
      <c r="B2652" s="26" t="s">
        <v>2454</v>
      </c>
      <c r="C2652" s="1"/>
      <c r="D2652" s="1"/>
      <c r="E2652" s="14"/>
      <c r="F2652" s="15"/>
      <c r="G2652" s="16"/>
      <c r="H2652" s="11"/>
      <c r="I2652" s="7"/>
      <c r="J2652" s="7" t="str">
        <f>IFERROR(LET(_xlpm.v,
VLOOKUP($I2652,'用語辞書'!$A:$B,COLUMN('用語辞書'!B$1),FALSE),
IF(_xlpm.v=0,"",_xlpm.v)
),"")</f>
        <v/>
      </c>
      <c r="K2652" s="17"/>
      <c r="L2652" s="17" t="str">
        <f>IF(OR(COUNTIF('クラス'!$A$1:$A$1262,$B2652)&gt;0,$B2652="",$M2652=""),"",True)</f>
        <v/>
      </c>
      <c r="M2652" s="1" t="str">
        <f t="shared" si="30"/>
        <v>存在しない</v>
      </c>
      <c r="N2652" s="1" t="s">
        <v>29</v>
      </c>
      <c r="O2652" s="1"/>
      <c r="P2652" s="11"/>
      <c r="Q2652" s="11"/>
      <c r="R2652" s="11"/>
      <c r="S2652" s="11"/>
      <c r="T2652" s="1"/>
      <c r="U2652" s="1"/>
      <c r="V2652" s="1"/>
      <c r="W2652" s="1"/>
      <c r="X2652" s="1"/>
      <c r="Y2652" s="1"/>
      <c r="Z2652" s="1"/>
    </row>
    <row r="2653" ht="18.0" hidden="1" customHeight="1" outlineLevel="1">
      <c r="A2653" s="26">
        <v>1.0</v>
      </c>
      <c r="B2653" s="26" t="s">
        <v>182</v>
      </c>
      <c r="C2653" s="1"/>
      <c r="D2653" s="1"/>
      <c r="E2653" s="14"/>
      <c r="F2653" s="15"/>
      <c r="G2653" s="16"/>
      <c r="H2653" s="11"/>
      <c r="I2653" s="7"/>
      <c r="J2653" s="7" t="str">
        <f>IFERROR(LET(_xlpm.v,
VLOOKUP($I2653,'用語辞書'!$A:$B,COLUMN('用語辞書'!B$1),FALSE),
IF(_xlpm.v=0,"",_xlpm.v)
),"")</f>
        <v/>
      </c>
      <c r="K2653" s="17"/>
      <c r="L2653" s="17" t="str">
        <f>IF(OR(COUNTIF('クラス'!$A$1:$A$1262,$B2653)&gt;0,$B2653="",$M2653=""),"",True)</f>
        <v/>
      </c>
      <c r="M2653" s="1" t="str">
        <f t="shared" si="30"/>
        <v/>
      </c>
      <c r="N2653" s="1" t="s">
        <v>29</v>
      </c>
      <c r="O2653" s="1"/>
      <c r="P2653" s="11"/>
      <c r="Q2653" s="11"/>
      <c r="R2653" s="11"/>
      <c r="S2653" s="11"/>
      <c r="T2653" s="1"/>
      <c r="U2653" s="1"/>
      <c r="V2653" s="1"/>
      <c r="W2653" s="1"/>
      <c r="X2653" s="1"/>
      <c r="Y2653" s="1"/>
      <c r="Z2653" s="1"/>
    </row>
    <row r="2654" ht="18.0" hidden="1" customHeight="1" outlineLevel="1">
      <c r="A2654" s="26">
        <v>2.0</v>
      </c>
      <c r="B2654" s="1"/>
      <c r="C2654" s="1"/>
      <c r="D2654" s="1"/>
      <c r="E2654" s="14"/>
      <c r="F2654" s="15"/>
      <c r="G2654" s="16"/>
      <c r="H2654" s="11"/>
      <c r="I2654" s="7"/>
      <c r="J2654" s="7" t="str">
        <f>IFERROR(LET(_xlpm.v,
VLOOKUP($I2654,'用語辞書'!$A:$B,COLUMN('用語辞書'!B$1),FALSE),
IF(_xlpm.v=0,"",_xlpm.v)
),"")</f>
        <v/>
      </c>
      <c r="K2654" s="17"/>
      <c r="L2654" s="17" t="str">
        <f>IF(OR(COUNTIF('クラス'!$A$1:$A$1262,$B2654)&gt;0,$B2654="",$M2654=""),"",True)</f>
        <v/>
      </c>
      <c r="M2654" s="1" t="str">
        <f t="shared" si="30"/>
        <v>存在しない</v>
      </c>
      <c r="N2654" s="1" t="s">
        <v>29</v>
      </c>
      <c r="O2654" s="1"/>
      <c r="P2654" s="11"/>
      <c r="Q2654" s="11"/>
      <c r="R2654" s="11"/>
      <c r="S2654" s="11"/>
      <c r="T2654" s="1"/>
      <c r="U2654" s="1"/>
      <c r="V2654" s="1"/>
      <c r="W2654" s="1"/>
      <c r="X2654" s="1"/>
      <c r="Y2654" s="1"/>
      <c r="Z2654" s="1"/>
    </row>
    <row r="2655" ht="18.0" hidden="1" customHeight="1" outlineLevel="1">
      <c r="A2655" s="26">
        <v>3.0</v>
      </c>
      <c r="B2655" s="26" t="s">
        <v>2182</v>
      </c>
      <c r="C2655" s="1"/>
      <c r="D2655" s="1"/>
      <c r="E2655" s="14"/>
      <c r="F2655" s="15"/>
      <c r="G2655" s="16"/>
      <c r="H2655" s="11"/>
      <c r="I2655" s="7"/>
      <c r="J2655" s="7" t="str">
        <f>IFERROR(LET(_xlpm.v,
VLOOKUP($I2655,'用語辞書'!$A:$B,COLUMN('用語辞書'!B$1),FALSE),
IF(_xlpm.v=0,"",_xlpm.v)
),"")</f>
        <v/>
      </c>
      <c r="K2655" s="17"/>
      <c r="L2655" s="17" t="str">
        <f>IF(OR(COUNTIF('クラス'!$A$1:$A$1262,$B2655)&gt;0,$B2655="",$M2655=""),"",True)</f>
        <v/>
      </c>
      <c r="M2655" s="1" t="str">
        <f t="shared" si="30"/>
        <v/>
      </c>
      <c r="N2655" s="1" t="s">
        <v>29</v>
      </c>
      <c r="O2655" s="1"/>
      <c r="P2655" s="11"/>
      <c r="Q2655" s="11"/>
      <c r="R2655" s="11"/>
      <c r="S2655" s="11"/>
      <c r="T2655" s="1"/>
      <c r="U2655" s="1"/>
      <c r="V2655" s="1"/>
      <c r="W2655" s="1"/>
      <c r="X2655" s="1"/>
      <c r="Y2655" s="1"/>
      <c r="Z2655" s="1"/>
    </row>
    <row r="2656" ht="18.0" hidden="1" customHeight="1" outlineLevel="1">
      <c r="A2656" s="26">
        <v>4.0</v>
      </c>
      <c r="B2656" s="1"/>
      <c r="C2656" s="1"/>
      <c r="D2656" s="1"/>
      <c r="E2656" s="14"/>
      <c r="F2656" s="15"/>
      <c r="G2656" s="16"/>
      <c r="H2656" s="11"/>
      <c r="I2656" s="7"/>
      <c r="J2656" s="7" t="str">
        <f>IFERROR(LET(_xlpm.v,
VLOOKUP($I2656,'用語辞書'!$A:$B,COLUMN('用語辞書'!B$1),FALSE),
IF(_xlpm.v=0,"",_xlpm.v)
),"")</f>
        <v/>
      </c>
      <c r="K2656" s="17"/>
      <c r="L2656" s="17" t="str">
        <f>IF(OR(COUNTIF('クラス'!$A$1:$A$1262,$B2656)&gt;0,$B2656="",$M2656=""),"",True)</f>
        <v/>
      </c>
      <c r="M2656" s="1" t="str">
        <f t="shared" si="30"/>
        <v>存在しない</v>
      </c>
      <c r="N2656" s="1" t="s">
        <v>29</v>
      </c>
      <c r="O2656" s="1"/>
      <c r="P2656" s="11"/>
      <c r="Q2656" s="11"/>
      <c r="R2656" s="11"/>
      <c r="S2656" s="11"/>
      <c r="T2656" s="1"/>
      <c r="U2656" s="1"/>
      <c r="V2656" s="1"/>
      <c r="W2656" s="1"/>
      <c r="X2656" s="1"/>
      <c r="Y2656" s="1"/>
      <c r="Z2656" s="1"/>
    </row>
    <row r="2657" ht="18.0" hidden="1" customHeight="1" outlineLevel="1">
      <c r="A2657" s="26">
        <v>5.0</v>
      </c>
      <c r="B2657" s="26" t="s">
        <v>202</v>
      </c>
      <c r="C2657" s="1"/>
      <c r="D2657" s="1"/>
      <c r="E2657" s="14"/>
      <c r="F2657" s="15"/>
      <c r="G2657" s="16"/>
      <c r="H2657" s="11"/>
      <c r="I2657" s="7"/>
      <c r="J2657" s="7" t="str">
        <f>IFERROR(LET(_xlpm.v,
VLOOKUP($I2657,'用語辞書'!$A:$B,COLUMN('用語辞書'!B$1),FALSE),
IF(_xlpm.v=0,"",_xlpm.v)
),"")</f>
        <v/>
      </c>
      <c r="K2657" s="17"/>
      <c r="L2657" s="17" t="str">
        <f>IF(OR(COUNTIF('クラス'!$A$1:$A$1262,$B2657)&gt;0,$B2657="",$M2657=""),"",True)</f>
        <v/>
      </c>
      <c r="M2657" s="1" t="str">
        <f t="shared" si="30"/>
        <v/>
      </c>
      <c r="N2657" s="1" t="s">
        <v>29</v>
      </c>
      <c r="O2657" s="1"/>
      <c r="P2657" s="11"/>
      <c r="Q2657" s="11"/>
      <c r="R2657" s="11"/>
      <c r="S2657" s="11"/>
      <c r="T2657" s="1"/>
      <c r="U2657" s="1"/>
      <c r="V2657" s="1"/>
      <c r="W2657" s="1"/>
      <c r="X2657" s="1"/>
      <c r="Y2657" s="1"/>
      <c r="Z2657" s="1"/>
    </row>
    <row r="2658" ht="18.0" hidden="1" customHeight="1" outlineLevel="1">
      <c r="A2658" s="26">
        <v>6.0</v>
      </c>
      <c r="B2658" s="1"/>
      <c r="C2658" s="1"/>
      <c r="D2658" s="1"/>
      <c r="E2658" s="14"/>
      <c r="F2658" s="15"/>
      <c r="G2658" s="16"/>
      <c r="H2658" s="11"/>
      <c r="I2658" s="7"/>
      <c r="J2658" s="7" t="str">
        <f>IFERROR(LET(_xlpm.v,
VLOOKUP($I2658,'用語辞書'!$A:$B,COLUMN('用語辞書'!B$1),FALSE),
IF(_xlpm.v=0,"",_xlpm.v)
),"")</f>
        <v/>
      </c>
      <c r="K2658" s="17"/>
      <c r="L2658" s="17" t="str">
        <f>IF(OR(COUNTIF('クラス'!$A$1:$A$1262,$B2658)&gt;0,$B2658="",$M2658=""),"",True)</f>
        <v/>
      </c>
      <c r="M2658" s="1" t="str">
        <f t="shared" si="30"/>
        <v>存在しない</v>
      </c>
      <c r="N2658" s="1" t="s">
        <v>29</v>
      </c>
      <c r="O2658" s="1"/>
      <c r="P2658" s="11"/>
      <c r="Q2658" s="11"/>
      <c r="R2658" s="11"/>
      <c r="S2658" s="11"/>
      <c r="T2658" s="1"/>
      <c r="U2658" s="1"/>
      <c r="V2658" s="1"/>
      <c r="W2658" s="1"/>
      <c r="X2658" s="1"/>
      <c r="Y2658" s="1"/>
      <c r="Z2658" s="1"/>
    </row>
    <row r="2659" ht="18.0" hidden="1" customHeight="1" outlineLevel="1">
      <c r="A2659" s="26">
        <v>7.0</v>
      </c>
      <c r="B2659" s="26" t="s">
        <v>2192</v>
      </c>
      <c r="C2659" s="1"/>
      <c r="D2659" s="1"/>
      <c r="E2659" s="14"/>
      <c r="F2659" s="15"/>
      <c r="G2659" s="16"/>
      <c r="H2659" s="11"/>
      <c r="I2659" s="7"/>
      <c r="J2659" s="7" t="str">
        <f>IFERROR(LET(_xlpm.v,
VLOOKUP($I2659,'用語辞書'!$A:$B,COLUMN('用語辞書'!B$1),FALSE),
IF(_xlpm.v=0,"",_xlpm.v)
),"")</f>
        <v/>
      </c>
      <c r="K2659" s="17"/>
      <c r="L2659" s="17" t="str">
        <f>IF(OR(COUNTIF('クラス'!$A$1:$A$1262,$B2659)&gt;0,$B2659="",$M2659=""),"",True)</f>
        <v/>
      </c>
      <c r="M2659" s="1" t="str">
        <f t="shared" si="30"/>
        <v/>
      </c>
      <c r="N2659" s="1" t="s">
        <v>29</v>
      </c>
      <c r="O2659" s="1"/>
      <c r="P2659" s="11"/>
      <c r="Q2659" s="11"/>
      <c r="R2659" s="11"/>
      <c r="S2659" s="11"/>
      <c r="T2659" s="1"/>
      <c r="U2659" s="1"/>
      <c r="V2659" s="1"/>
      <c r="W2659" s="1"/>
      <c r="X2659" s="1"/>
      <c r="Y2659" s="1"/>
      <c r="Z2659" s="1"/>
    </row>
    <row r="2660" ht="18.0" hidden="1" customHeight="1" outlineLevel="1">
      <c r="A2660" s="26">
        <v>8.0</v>
      </c>
      <c r="B2660" s="1"/>
      <c r="C2660" s="1"/>
      <c r="D2660" s="1"/>
      <c r="E2660" s="14"/>
      <c r="F2660" s="15"/>
      <c r="G2660" s="16"/>
      <c r="H2660" s="11"/>
      <c r="I2660" s="7"/>
      <c r="J2660" s="7" t="str">
        <f>IFERROR(LET(_xlpm.v,
VLOOKUP($I2660,'用語辞書'!$A:$B,COLUMN('用語辞書'!B$1),FALSE),
IF(_xlpm.v=0,"",_xlpm.v)
),"")</f>
        <v/>
      </c>
      <c r="K2660" s="17"/>
      <c r="L2660" s="17" t="str">
        <f>IF(OR(COUNTIF('クラス'!$A$1:$A$1262,$B2660)&gt;0,$B2660="",$M2660=""),"",True)</f>
        <v/>
      </c>
      <c r="M2660" s="1" t="str">
        <f t="shared" si="30"/>
        <v>存在しない</v>
      </c>
      <c r="N2660" s="1" t="s">
        <v>29</v>
      </c>
      <c r="O2660" s="1"/>
      <c r="P2660" s="11"/>
      <c r="Q2660" s="11"/>
      <c r="R2660" s="11"/>
      <c r="S2660" s="11"/>
      <c r="T2660" s="1"/>
      <c r="U2660" s="1"/>
      <c r="V2660" s="1"/>
      <c r="W2660" s="1"/>
      <c r="X2660" s="1"/>
      <c r="Y2660" s="1"/>
      <c r="Z2660" s="1"/>
    </row>
    <row r="2661" ht="18.0" hidden="1" customHeight="1" outlineLevel="1">
      <c r="A2661" s="26">
        <v>9.0</v>
      </c>
      <c r="B2661" s="26" t="s">
        <v>217</v>
      </c>
      <c r="C2661" s="1"/>
      <c r="D2661" s="1"/>
      <c r="E2661" s="14"/>
      <c r="F2661" s="15"/>
      <c r="G2661" s="16"/>
      <c r="H2661" s="11"/>
      <c r="I2661" s="7"/>
      <c r="J2661" s="7" t="str">
        <f>IFERROR(LET(_xlpm.v,
VLOOKUP($I2661,'用語辞書'!$A:$B,COLUMN('用語辞書'!B$1),FALSE),
IF(_xlpm.v=0,"",_xlpm.v)
),"")</f>
        <v/>
      </c>
      <c r="K2661" s="17"/>
      <c r="L2661" s="17" t="str">
        <f>IF(OR(COUNTIF('クラス'!$A$1:$A$1262,$B2661)&gt;0,$B2661="",$M2661=""),"",True)</f>
        <v/>
      </c>
      <c r="M2661" s="1" t="str">
        <f t="shared" si="30"/>
        <v/>
      </c>
      <c r="N2661" s="1" t="s">
        <v>29</v>
      </c>
      <c r="O2661" s="1"/>
      <c r="P2661" s="11"/>
      <c r="Q2661" s="11"/>
      <c r="R2661" s="11"/>
      <c r="S2661" s="11"/>
      <c r="T2661" s="1"/>
      <c r="U2661" s="1"/>
      <c r="V2661" s="1"/>
      <c r="W2661" s="1"/>
      <c r="X2661" s="1"/>
      <c r="Y2661" s="1"/>
      <c r="Z2661" s="1"/>
    </row>
    <row r="2662" ht="18.0" hidden="1" customHeight="1" outlineLevel="1">
      <c r="A2662" s="26">
        <v>10.0</v>
      </c>
      <c r="B2662" s="26" t="s">
        <v>2455</v>
      </c>
      <c r="C2662" s="26" t="s">
        <v>29</v>
      </c>
      <c r="D2662" s="26" t="s">
        <v>1179</v>
      </c>
      <c r="E2662" s="29" t="s">
        <v>55</v>
      </c>
      <c r="F2662" s="34" t="s">
        <v>29</v>
      </c>
      <c r="G2662" s="30" t="s">
        <v>29</v>
      </c>
      <c r="H2662" s="22" t="s">
        <v>2456</v>
      </c>
      <c r="I2662" s="7"/>
      <c r="J2662" s="7" t="str">
        <f>IFERROR(LET(_xlpm.v,
VLOOKUP($I2662,'用語辞書'!$A:$B,COLUMN('用語辞書'!B$1),FALSE),
IF(_xlpm.v=0,"",_xlpm.v)
),"")</f>
        <v/>
      </c>
      <c r="K2662" s="17"/>
      <c r="L2662" s="17" t="b">
        <f>IF(OR(COUNTIF('クラス'!$A$1:$A$1262,$B2662)&gt;0,$B2662="",$M2662=""),"",True)</f>
        <v>1</v>
      </c>
      <c r="M2662" s="1" t="str">
        <f t="shared" si="30"/>
        <v>存在しない</v>
      </c>
      <c r="N2662" s="1" t="s">
        <v>29</v>
      </c>
      <c r="O2662" s="1"/>
      <c r="P2662" s="11"/>
      <c r="Q2662" s="11"/>
      <c r="R2662" s="11"/>
      <c r="S2662" s="11"/>
      <c r="T2662" s="1"/>
      <c r="U2662" s="1"/>
      <c r="V2662" s="1"/>
      <c r="W2662" s="1"/>
      <c r="X2662" s="1"/>
      <c r="Y2662" s="1"/>
      <c r="Z2662" s="1"/>
    </row>
    <row r="2663" ht="18.0" customHeight="1" collapsed="1">
      <c r="A2663" s="1"/>
      <c r="B2663" s="1"/>
      <c r="C2663" s="1"/>
      <c r="D2663" s="1"/>
      <c r="E2663" s="14"/>
      <c r="F2663" s="15"/>
      <c r="G2663" s="16"/>
      <c r="H2663" s="11"/>
      <c r="I2663" s="7"/>
      <c r="J2663" s="7" t="str">
        <f>IFERROR(LET(_xlpm.v,
VLOOKUP($I2663,'用語辞書'!$A:$B,COLUMN('用語辞書'!B$1),FALSE),
IF(_xlpm.v=0,"",_xlpm.v)
),"")</f>
        <v/>
      </c>
      <c r="K2663" s="17"/>
      <c r="L2663" s="17" t="str">
        <f>IF(OR(COUNTIF('クラス'!$A$1:$A$1262,$B2663)&gt;0,$B2663="",$M2663=""),"",True)</f>
        <v/>
      </c>
      <c r="M2663" s="1" t="str">
        <f t="shared" si="30"/>
        <v>存在しない</v>
      </c>
      <c r="N2663" s="1" t="s">
        <v>29</v>
      </c>
      <c r="O2663" s="1"/>
      <c r="P2663" s="11"/>
      <c r="Q2663" s="11"/>
      <c r="R2663" s="11"/>
      <c r="S2663" s="11"/>
      <c r="T2663" s="1"/>
      <c r="U2663" s="1"/>
      <c r="V2663" s="1"/>
      <c r="W2663" s="1"/>
      <c r="X2663" s="1"/>
      <c r="Y2663" s="1"/>
      <c r="Z2663" s="1"/>
    </row>
    <row r="2664" ht="18.0" customHeight="1">
      <c r="A2664" s="1"/>
      <c r="B2664" s="26" t="s">
        <v>2457</v>
      </c>
      <c r="C2664" s="1"/>
      <c r="D2664" s="1"/>
      <c r="E2664" s="14"/>
      <c r="F2664" s="15"/>
      <c r="G2664" s="16"/>
      <c r="H2664" s="11"/>
      <c r="I2664" s="7"/>
      <c r="J2664" s="7" t="str">
        <f>IFERROR(LET(_xlpm.v,
VLOOKUP($I2664,'用語辞書'!$A:$B,COLUMN('用語辞書'!B$1),FALSE),
IF(_xlpm.v=0,"",_xlpm.v)
),"")</f>
        <v/>
      </c>
      <c r="K2664" s="17"/>
      <c r="L2664" s="17" t="str">
        <f>IF(OR(COUNTIF('クラス'!$A$1:$A$1262,$B2664)&gt;0,$B2664="",$M2664=""),"",True)</f>
        <v/>
      </c>
      <c r="M2664" s="1" t="str">
        <f t="shared" si="30"/>
        <v>存在しない</v>
      </c>
      <c r="N2664" s="1" t="s">
        <v>29</v>
      </c>
      <c r="O2664" s="1"/>
      <c r="P2664" s="11"/>
      <c r="Q2664" s="11"/>
      <c r="R2664" s="11"/>
      <c r="S2664" s="11"/>
      <c r="T2664" s="1"/>
      <c r="U2664" s="1"/>
      <c r="V2664" s="1"/>
      <c r="W2664" s="1"/>
      <c r="X2664" s="1"/>
      <c r="Y2664" s="1"/>
      <c r="Z2664" s="1"/>
    </row>
    <row r="2665" ht="18.0" hidden="1" customHeight="1" outlineLevel="1">
      <c r="A2665" s="26">
        <v>1.0</v>
      </c>
      <c r="B2665" s="26" t="s">
        <v>188</v>
      </c>
      <c r="C2665" s="1"/>
      <c r="D2665" s="1"/>
      <c r="E2665" s="14"/>
      <c r="F2665" s="15"/>
      <c r="G2665" s="16"/>
      <c r="H2665" s="11"/>
      <c r="I2665" s="7"/>
      <c r="J2665" s="7" t="str">
        <f>IFERROR(LET(_xlpm.v,
VLOOKUP($I2665,'用語辞書'!$A:$B,COLUMN('用語辞書'!B$1),FALSE),
IF(_xlpm.v=0,"",_xlpm.v)
),"")</f>
        <v/>
      </c>
      <c r="K2665" s="17"/>
      <c r="L2665" s="17" t="str">
        <f>IF(OR(COUNTIF('クラス'!$A$1:$A$1262,$B2665)&gt;0,$B2665="",$M2665=""),"",True)</f>
        <v/>
      </c>
      <c r="M2665" s="1" t="str">
        <f t="shared" si="30"/>
        <v/>
      </c>
      <c r="N2665" s="1" t="s">
        <v>29</v>
      </c>
      <c r="O2665" s="1"/>
      <c r="P2665" s="11"/>
      <c r="Q2665" s="11"/>
      <c r="R2665" s="11"/>
      <c r="S2665" s="11"/>
      <c r="T2665" s="1"/>
      <c r="U2665" s="1"/>
      <c r="V2665" s="1"/>
      <c r="W2665" s="1"/>
      <c r="X2665" s="1"/>
      <c r="Y2665" s="1"/>
      <c r="Z2665" s="1"/>
    </row>
    <row r="2666" ht="18.0" hidden="1" customHeight="1" outlineLevel="1">
      <c r="A2666" s="26">
        <v>2.0</v>
      </c>
      <c r="B2666" s="1"/>
      <c r="C2666" s="1"/>
      <c r="D2666" s="1"/>
      <c r="E2666" s="14"/>
      <c r="F2666" s="15"/>
      <c r="G2666" s="16"/>
      <c r="H2666" s="11"/>
      <c r="I2666" s="7"/>
      <c r="J2666" s="7" t="str">
        <f>IFERROR(LET(_xlpm.v,
VLOOKUP($I2666,'用語辞書'!$A:$B,COLUMN('用語辞書'!B$1),FALSE),
IF(_xlpm.v=0,"",_xlpm.v)
),"")</f>
        <v/>
      </c>
      <c r="K2666" s="17"/>
      <c r="L2666" s="17" t="str">
        <f>IF(OR(COUNTIF('クラス'!$A$1:$A$1262,$B2666)&gt;0,$B2666="",$M2666=""),"",True)</f>
        <v/>
      </c>
      <c r="M2666" s="1" t="str">
        <f t="shared" si="30"/>
        <v>存在しない</v>
      </c>
      <c r="N2666" s="1" t="s">
        <v>29</v>
      </c>
      <c r="O2666" s="1"/>
      <c r="P2666" s="11"/>
      <c r="Q2666" s="11"/>
      <c r="R2666" s="11"/>
      <c r="S2666" s="11"/>
      <c r="T2666" s="1"/>
      <c r="U2666" s="1"/>
      <c r="V2666" s="1"/>
      <c r="W2666" s="1"/>
      <c r="X2666" s="1"/>
      <c r="Y2666" s="1"/>
      <c r="Z2666" s="1"/>
    </row>
    <row r="2667" ht="18.0" hidden="1" customHeight="1" outlineLevel="1">
      <c r="A2667" s="26">
        <v>3.0</v>
      </c>
      <c r="B2667" s="26" t="s">
        <v>194</v>
      </c>
      <c r="C2667" s="1"/>
      <c r="D2667" s="1"/>
      <c r="E2667" s="14"/>
      <c r="F2667" s="15"/>
      <c r="G2667" s="16"/>
      <c r="H2667" s="11"/>
      <c r="I2667" s="7"/>
      <c r="J2667" s="7" t="str">
        <f>IFERROR(LET(_xlpm.v,
VLOOKUP($I2667,'用語辞書'!$A:$B,COLUMN('用語辞書'!B$1),FALSE),
IF(_xlpm.v=0,"",_xlpm.v)
),"")</f>
        <v/>
      </c>
      <c r="K2667" s="17"/>
      <c r="L2667" s="17" t="str">
        <f>IF(OR(COUNTIF('クラス'!$A$1:$A$1262,$B2667)&gt;0,$B2667="",$M2667=""),"",True)</f>
        <v/>
      </c>
      <c r="M2667" s="1" t="str">
        <f t="shared" si="30"/>
        <v/>
      </c>
      <c r="N2667" s="1" t="s">
        <v>29</v>
      </c>
      <c r="O2667" s="1"/>
      <c r="P2667" s="11"/>
      <c r="Q2667" s="11"/>
      <c r="R2667" s="11"/>
      <c r="S2667" s="11"/>
      <c r="T2667" s="1"/>
      <c r="U2667" s="1"/>
      <c r="V2667" s="1"/>
      <c r="W2667" s="1"/>
      <c r="X2667" s="1"/>
      <c r="Y2667" s="1"/>
      <c r="Z2667" s="1"/>
    </row>
    <row r="2668" ht="18.0" hidden="1" customHeight="1" outlineLevel="1">
      <c r="A2668" s="26">
        <v>4.0</v>
      </c>
      <c r="B2668" s="1"/>
      <c r="C2668" s="1"/>
      <c r="D2668" s="1"/>
      <c r="E2668" s="14"/>
      <c r="F2668" s="15"/>
      <c r="G2668" s="16"/>
      <c r="H2668" s="11"/>
      <c r="I2668" s="7"/>
      <c r="J2668" s="7" t="str">
        <f>IFERROR(LET(_xlpm.v,
VLOOKUP($I2668,'用語辞書'!$A:$B,COLUMN('用語辞書'!B$1),FALSE),
IF(_xlpm.v=0,"",_xlpm.v)
),"")</f>
        <v/>
      </c>
      <c r="K2668" s="17"/>
      <c r="L2668" s="17" t="str">
        <f>IF(OR(COUNTIF('クラス'!$A$1:$A$1262,$B2668)&gt;0,$B2668="",$M2668=""),"",True)</f>
        <v/>
      </c>
      <c r="M2668" s="1" t="str">
        <f t="shared" si="30"/>
        <v>存在しない</v>
      </c>
      <c r="N2668" s="1" t="s">
        <v>29</v>
      </c>
      <c r="O2668" s="1"/>
      <c r="P2668" s="11"/>
      <c r="Q2668" s="11"/>
      <c r="R2668" s="11"/>
      <c r="S2668" s="11"/>
      <c r="T2668" s="1"/>
      <c r="U2668" s="1"/>
      <c r="V2668" s="1"/>
      <c r="W2668" s="1"/>
      <c r="X2668" s="1"/>
      <c r="Y2668" s="1"/>
      <c r="Z2668" s="1"/>
    </row>
    <row r="2669" ht="18.0" hidden="1" customHeight="1" outlineLevel="1">
      <c r="A2669" s="26">
        <v>5.0</v>
      </c>
      <c r="B2669" s="26" t="s">
        <v>788</v>
      </c>
      <c r="C2669" s="1"/>
      <c r="D2669" s="1"/>
      <c r="E2669" s="14"/>
      <c r="F2669" s="15"/>
      <c r="G2669" s="16"/>
      <c r="H2669" s="11"/>
      <c r="I2669" s="7"/>
      <c r="J2669" s="7" t="str">
        <f>IFERROR(LET(_xlpm.v,
VLOOKUP($I2669,'用語辞書'!$A:$B,COLUMN('用語辞書'!B$1),FALSE),
IF(_xlpm.v=0,"",_xlpm.v)
),"")</f>
        <v/>
      </c>
      <c r="K2669" s="17"/>
      <c r="L2669" s="17" t="str">
        <f>IF(OR(COUNTIF('クラス'!$A$1:$A$1262,$B2669)&gt;0,$B2669="",$M2669=""),"",True)</f>
        <v/>
      </c>
      <c r="M2669" s="1" t="str">
        <f t="shared" si="30"/>
        <v/>
      </c>
      <c r="N2669" s="1" t="s">
        <v>29</v>
      </c>
      <c r="O2669" s="1"/>
      <c r="P2669" s="11"/>
      <c r="Q2669" s="11"/>
      <c r="R2669" s="11"/>
      <c r="S2669" s="11"/>
      <c r="T2669" s="1"/>
      <c r="U2669" s="1"/>
      <c r="V2669" s="1"/>
      <c r="W2669" s="1"/>
      <c r="X2669" s="1"/>
      <c r="Y2669" s="1"/>
      <c r="Z2669" s="1"/>
    </row>
    <row r="2670" ht="18.0" hidden="1" customHeight="1" outlineLevel="1">
      <c r="A2670" s="26">
        <v>6.0</v>
      </c>
      <c r="B2670" s="1"/>
      <c r="C2670" s="1"/>
      <c r="D2670" s="1"/>
      <c r="E2670" s="14"/>
      <c r="F2670" s="15"/>
      <c r="G2670" s="16"/>
      <c r="H2670" s="11"/>
      <c r="I2670" s="7"/>
      <c r="J2670" s="7" t="str">
        <f>IFERROR(LET(_xlpm.v,
VLOOKUP($I2670,'用語辞書'!$A:$B,COLUMN('用語辞書'!B$1),FALSE),
IF(_xlpm.v=0,"",_xlpm.v)
),"")</f>
        <v/>
      </c>
      <c r="K2670" s="17"/>
      <c r="L2670" s="17" t="str">
        <f>IF(OR(COUNTIF('クラス'!$A$1:$A$1262,$B2670)&gt;0,$B2670="",$M2670=""),"",True)</f>
        <v/>
      </c>
      <c r="M2670" s="1" t="str">
        <f t="shared" si="30"/>
        <v>存在しない</v>
      </c>
      <c r="N2670" s="1" t="s">
        <v>29</v>
      </c>
      <c r="O2670" s="1"/>
      <c r="P2670" s="11"/>
      <c r="Q2670" s="11"/>
      <c r="R2670" s="11"/>
      <c r="S2670" s="11"/>
      <c r="T2670" s="1"/>
      <c r="U2670" s="1"/>
      <c r="V2670" s="1"/>
      <c r="W2670" s="1"/>
      <c r="X2670" s="1"/>
      <c r="Y2670" s="1"/>
      <c r="Z2670" s="1"/>
    </row>
    <row r="2671" ht="18.0" hidden="1" customHeight="1" outlineLevel="1">
      <c r="A2671" s="26">
        <v>7.0</v>
      </c>
      <c r="B2671" s="26" t="s">
        <v>199</v>
      </c>
      <c r="C2671" s="1"/>
      <c r="D2671" s="1"/>
      <c r="E2671" s="14"/>
      <c r="F2671" s="15"/>
      <c r="G2671" s="16"/>
      <c r="H2671" s="11"/>
      <c r="I2671" s="7"/>
      <c r="J2671" s="7" t="str">
        <f>IFERROR(LET(_xlpm.v,
VLOOKUP($I2671,'用語辞書'!$A:$B,COLUMN('用語辞書'!B$1),FALSE),
IF(_xlpm.v=0,"",_xlpm.v)
),"")</f>
        <v/>
      </c>
      <c r="K2671" s="17"/>
      <c r="L2671" s="17" t="str">
        <f>IF(OR(COUNTIF('クラス'!$A$1:$A$1262,$B2671)&gt;0,$B2671="",$M2671=""),"",True)</f>
        <v/>
      </c>
      <c r="M2671" s="1" t="str">
        <f t="shared" si="30"/>
        <v/>
      </c>
      <c r="N2671" s="1" t="s">
        <v>29</v>
      </c>
      <c r="O2671" s="1"/>
      <c r="P2671" s="11"/>
      <c r="Q2671" s="11"/>
      <c r="R2671" s="11"/>
      <c r="S2671" s="11"/>
      <c r="T2671" s="1"/>
      <c r="U2671" s="1"/>
      <c r="V2671" s="1"/>
      <c r="W2671" s="1"/>
      <c r="X2671" s="1"/>
      <c r="Y2671" s="1"/>
      <c r="Z2671" s="1"/>
    </row>
    <row r="2672" ht="18.0" hidden="1" customHeight="1" outlineLevel="1">
      <c r="A2672" s="26">
        <v>8.0</v>
      </c>
      <c r="B2672" s="1"/>
      <c r="C2672" s="1"/>
      <c r="D2672" s="1"/>
      <c r="E2672" s="14"/>
      <c r="F2672" s="15"/>
      <c r="G2672" s="16"/>
      <c r="H2672" s="11"/>
      <c r="I2672" s="7"/>
      <c r="J2672" s="7" t="str">
        <f>IFERROR(LET(_xlpm.v,
VLOOKUP($I2672,'用語辞書'!$A:$B,COLUMN('用語辞書'!B$1),FALSE),
IF(_xlpm.v=0,"",_xlpm.v)
),"")</f>
        <v/>
      </c>
      <c r="K2672" s="17"/>
      <c r="L2672" s="17" t="str">
        <f>IF(OR(COUNTIF('クラス'!$A$1:$A$1262,$B2672)&gt;0,$B2672="",$M2672=""),"",True)</f>
        <v/>
      </c>
      <c r="M2672" s="1" t="str">
        <f t="shared" si="30"/>
        <v>存在しない</v>
      </c>
      <c r="N2672" s="1" t="s">
        <v>29</v>
      </c>
      <c r="O2672" s="1"/>
      <c r="P2672" s="11"/>
      <c r="Q2672" s="11"/>
      <c r="R2672" s="11"/>
      <c r="S2672" s="11"/>
      <c r="T2672" s="1"/>
      <c r="U2672" s="1"/>
      <c r="V2672" s="1"/>
      <c r="W2672" s="1"/>
      <c r="X2672" s="1"/>
      <c r="Y2672" s="1"/>
      <c r="Z2672" s="1"/>
    </row>
    <row r="2673" ht="18.0" hidden="1" customHeight="1" outlineLevel="1">
      <c r="A2673" s="26">
        <v>9.0</v>
      </c>
      <c r="B2673" s="26" t="s">
        <v>143</v>
      </c>
      <c r="C2673" s="1"/>
      <c r="D2673" s="1"/>
      <c r="E2673" s="14"/>
      <c r="F2673" s="15"/>
      <c r="G2673" s="16"/>
      <c r="H2673" s="11"/>
      <c r="I2673" s="7"/>
      <c r="J2673" s="7" t="str">
        <f>IFERROR(LET(_xlpm.v,
VLOOKUP($I2673,'用語辞書'!$A:$B,COLUMN('用語辞書'!B$1),FALSE),
IF(_xlpm.v=0,"",_xlpm.v)
),"")</f>
        <v/>
      </c>
      <c r="K2673" s="17"/>
      <c r="L2673" s="17" t="str">
        <f>IF(OR(COUNTIF('クラス'!$A$1:$A$1262,$B2673)&gt;0,$B2673="",$M2673=""),"",True)</f>
        <v/>
      </c>
      <c r="M2673" s="1" t="str">
        <f t="shared" si="30"/>
        <v/>
      </c>
      <c r="N2673" s="1" t="s">
        <v>29</v>
      </c>
      <c r="O2673" s="1"/>
      <c r="P2673" s="11"/>
      <c r="Q2673" s="11"/>
      <c r="R2673" s="11"/>
      <c r="S2673" s="11"/>
      <c r="T2673" s="1"/>
      <c r="U2673" s="1"/>
      <c r="V2673" s="1"/>
      <c r="W2673" s="1"/>
      <c r="X2673" s="1"/>
      <c r="Y2673" s="1"/>
      <c r="Z2673" s="1"/>
    </row>
    <row r="2674" ht="18.0" hidden="1" customHeight="1" outlineLevel="1">
      <c r="A2674" s="26">
        <v>10.0</v>
      </c>
      <c r="B2674" s="26" t="s">
        <v>2458</v>
      </c>
      <c r="C2674" s="26" t="s">
        <v>29</v>
      </c>
      <c r="D2674" s="26" t="s">
        <v>1179</v>
      </c>
      <c r="E2674" s="29" t="s">
        <v>33</v>
      </c>
      <c r="F2674" s="34" t="s">
        <v>29</v>
      </c>
      <c r="G2674" s="30">
        <v>60.0</v>
      </c>
      <c r="H2674" s="22" t="s">
        <v>2459</v>
      </c>
      <c r="I2674" s="7"/>
      <c r="J2674" s="7" t="str">
        <f>IFERROR(LET(_xlpm.v,
VLOOKUP($I2674,'用語辞書'!$A:$B,COLUMN('用語辞書'!B$1),FALSE),
IF(_xlpm.v=0,"",_xlpm.v)
),"")</f>
        <v/>
      </c>
      <c r="K2674" s="17"/>
      <c r="L2674" s="17" t="b">
        <f>IF(OR(COUNTIF('クラス'!$A$1:$A$1262,$B2674)&gt;0,$B2674="",$M2674=""),"",True)</f>
        <v>1</v>
      </c>
      <c r="M2674" s="1" t="str">
        <f t="shared" si="30"/>
        <v>存在しない</v>
      </c>
      <c r="N2674" s="1" t="s">
        <v>29</v>
      </c>
      <c r="O2674" s="1"/>
      <c r="P2674" s="11"/>
      <c r="Q2674" s="11"/>
      <c r="R2674" s="11"/>
      <c r="S2674" s="11"/>
      <c r="T2674" s="1"/>
      <c r="U2674" s="1"/>
      <c r="V2674" s="1"/>
      <c r="W2674" s="1"/>
      <c r="X2674" s="1"/>
      <c r="Y2674" s="1"/>
      <c r="Z2674" s="1"/>
    </row>
    <row r="2675" ht="18.0" customHeight="1" collapsed="1">
      <c r="A2675" s="1"/>
      <c r="B2675" s="1"/>
      <c r="C2675" s="1"/>
      <c r="D2675" s="1"/>
      <c r="E2675" s="14"/>
      <c r="F2675" s="15"/>
      <c r="G2675" s="16"/>
      <c r="H2675" s="11"/>
      <c r="I2675" s="7"/>
      <c r="J2675" s="7" t="str">
        <f>IFERROR(LET(_xlpm.v,
VLOOKUP($I2675,'用語辞書'!$A:$B,COLUMN('用語辞書'!B$1),FALSE),
IF(_xlpm.v=0,"",_xlpm.v)
),"")</f>
        <v/>
      </c>
      <c r="K2675" s="17"/>
      <c r="L2675" s="17" t="str">
        <f>IF(OR(COUNTIF('クラス'!$A$1:$A$1262,$B2675)&gt;0,$B2675="",$M2675=""),"",True)</f>
        <v/>
      </c>
      <c r="M2675" s="1" t="str">
        <f t="shared" si="30"/>
        <v>存在しない</v>
      </c>
      <c r="N2675" s="1" t="s">
        <v>29</v>
      </c>
      <c r="O2675" s="1"/>
      <c r="P2675" s="11"/>
      <c r="Q2675" s="11"/>
      <c r="R2675" s="11"/>
      <c r="S2675" s="11"/>
      <c r="T2675" s="1"/>
      <c r="U2675" s="1"/>
      <c r="V2675" s="1"/>
      <c r="W2675" s="1"/>
      <c r="X2675" s="1"/>
      <c r="Y2675" s="1"/>
      <c r="Z2675" s="1"/>
    </row>
    <row r="2676" ht="18.0" customHeight="1">
      <c r="A2676" s="1"/>
      <c r="B2676" s="26" t="s">
        <v>2460</v>
      </c>
      <c r="C2676" s="1"/>
      <c r="D2676" s="1"/>
      <c r="E2676" s="14"/>
      <c r="F2676" s="15"/>
      <c r="G2676" s="16"/>
      <c r="H2676" s="11"/>
      <c r="I2676" s="7"/>
      <c r="J2676" s="7" t="str">
        <f>IFERROR(LET(_xlpm.v,
VLOOKUP($I2676,'用語辞書'!$A:$B,COLUMN('用語辞書'!B$1),FALSE),
IF(_xlpm.v=0,"",_xlpm.v)
),"")</f>
        <v/>
      </c>
      <c r="K2676" s="17"/>
      <c r="L2676" s="17" t="str">
        <f>IF(OR(COUNTIF('クラス'!$A$1:$A$1262,$B2676)&gt;0,$B2676="",$M2676=""),"",True)</f>
        <v/>
      </c>
      <c r="M2676" s="1" t="str">
        <f t="shared" si="30"/>
        <v>存在しない</v>
      </c>
      <c r="N2676" s="1" t="s">
        <v>29</v>
      </c>
      <c r="O2676" s="1"/>
      <c r="P2676" s="11"/>
      <c r="Q2676" s="11"/>
      <c r="R2676" s="11"/>
      <c r="S2676" s="11"/>
      <c r="T2676" s="1"/>
      <c r="U2676" s="1"/>
      <c r="V2676" s="1"/>
      <c r="W2676" s="1"/>
      <c r="X2676" s="1"/>
      <c r="Y2676" s="1"/>
      <c r="Z2676" s="1"/>
    </row>
    <row r="2677" ht="18.0" hidden="1" customHeight="1" outlineLevel="1">
      <c r="A2677" s="26">
        <v>1.0</v>
      </c>
      <c r="B2677" s="26" t="s">
        <v>857</v>
      </c>
      <c r="C2677" s="1"/>
      <c r="D2677" s="1"/>
      <c r="E2677" s="14"/>
      <c r="F2677" s="15"/>
      <c r="G2677" s="16"/>
      <c r="H2677" s="11"/>
      <c r="I2677" s="7"/>
      <c r="J2677" s="7" t="str">
        <f>IFERROR(LET(_xlpm.v,
VLOOKUP($I2677,'用語辞書'!$A:$B,COLUMN('用語辞書'!B$1),FALSE),
IF(_xlpm.v=0,"",_xlpm.v)
),"")</f>
        <v/>
      </c>
      <c r="K2677" s="17"/>
      <c r="L2677" s="17" t="str">
        <f>IF(OR(COUNTIF('クラス'!$A$1:$A$1262,$B2677)&gt;0,$B2677="",$M2677=""),"",True)</f>
        <v/>
      </c>
      <c r="M2677" s="1" t="str">
        <f t="shared" si="30"/>
        <v/>
      </c>
      <c r="N2677" s="1" t="s">
        <v>29</v>
      </c>
      <c r="O2677" s="1"/>
      <c r="P2677" s="11"/>
      <c r="Q2677" s="11"/>
      <c r="R2677" s="11"/>
      <c r="S2677" s="11"/>
      <c r="T2677" s="1"/>
      <c r="U2677" s="1"/>
      <c r="V2677" s="1"/>
      <c r="W2677" s="1"/>
      <c r="X2677" s="1"/>
      <c r="Y2677" s="1"/>
      <c r="Z2677" s="1"/>
    </row>
    <row r="2678" ht="18.0" hidden="1" customHeight="1" outlineLevel="1">
      <c r="A2678" s="26">
        <v>2.0</v>
      </c>
      <c r="B2678" s="1"/>
      <c r="C2678" s="1"/>
      <c r="D2678" s="1"/>
      <c r="E2678" s="14"/>
      <c r="F2678" s="15"/>
      <c r="G2678" s="16"/>
      <c r="H2678" s="11"/>
      <c r="I2678" s="7"/>
      <c r="J2678" s="7" t="str">
        <f>IFERROR(LET(_xlpm.v,
VLOOKUP($I2678,'用語辞書'!$A:$B,COLUMN('用語辞書'!B$1),FALSE),
IF(_xlpm.v=0,"",_xlpm.v)
),"")</f>
        <v/>
      </c>
      <c r="K2678" s="17"/>
      <c r="L2678" s="17" t="str">
        <f>IF(OR(COUNTIF('クラス'!$A$1:$A$1262,$B2678)&gt;0,$B2678="",$M2678=""),"",True)</f>
        <v/>
      </c>
      <c r="M2678" s="1" t="str">
        <f t="shared" si="30"/>
        <v>存在しない</v>
      </c>
      <c r="N2678" s="1" t="s">
        <v>29</v>
      </c>
      <c r="O2678" s="1"/>
      <c r="P2678" s="11"/>
      <c r="Q2678" s="11"/>
      <c r="R2678" s="11"/>
      <c r="S2678" s="11"/>
      <c r="T2678" s="1"/>
      <c r="U2678" s="1"/>
      <c r="V2678" s="1"/>
      <c r="W2678" s="1"/>
      <c r="X2678" s="1"/>
      <c r="Y2678" s="1"/>
      <c r="Z2678" s="1"/>
    </row>
    <row r="2679" ht="18.0" hidden="1" customHeight="1" outlineLevel="1">
      <c r="A2679" s="26">
        <v>3.0</v>
      </c>
      <c r="B2679" s="26" t="s">
        <v>860</v>
      </c>
      <c r="C2679" s="1"/>
      <c r="D2679" s="1"/>
      <c r="E2679" s="14"/>
      <c r="F2679" s="15"/>
      <c r="G2679" s="16"/>
      <c r="H2679" s="11"/>
      <c r="I2679" s="7"/>
      <c r="J2679" s="7" t="str">
        <f>IFERROR(LET(_xlpm.v,
VLOOKUP($I2679,'用語辞書'!$A:$B,COLUMN('用語辞書'!B$1),FALSE),
IF(_xlpm.v=0,"",_xlpm.v)
),"")</f>
        <v/>
      </c>
      <c r="K2679" s="17"/>
      <c r="L2679" s="17" t="str">
        <f>IF(OR(COUNTIF('クラス'!$A$1:$A$1262,$B2679)&gt;0,$B2679="",$M2679=""),"",True)</f>
        <v/>
      </c>
      <c r="M2679" s="1" t="str">
        <f t="shared" si="30"/>
        <v/>
      </c>
      <c r="N2679" s="1" t="s">
        <v>29</v>
      </c>
      <c r="O2679" s="1"/>
      <c r="P2679" s="11"/>
      <c r="Q2679" s="11"/>
      <c r="R2679" s="11"/>
      <c r="S2679" s="11"/>
      <c r="T2679" s="1"/>
      <c r="U2679" s="1"/>
      <c r="V2679" s="1"/>
      <c r="W2679" s="1"/>
      <c r="X2679" s="1"/>
      <c r="Y2679" s="1"/>
      <c r="Z2679" s="1"/>
    </row>
    <row r="2680" ht="18.0" hidden="1" customHeight="1" outlineLevel="1">
      <c r="A2680" s="26">
        <v>4.0</v>
      </c>
      <c r="B2680" s="1"/>
      <c r="C2680" s="1"/>
      <c r="D2680" s="1"/>
      <c r="E2680" s="14"/>
      <c r="F2680" s="15"/>
      <c r="G2680" s="16"/>
      <c r="H2680" s="11"/>
      <c r="I2680" s="7"/>
      <c r="J2680" s="7" t="str">
        <f>IFERROR(LET(_xlpm.v,
VLOOKUP($I2680,'用語辞書'!$A:$B,COLUMN('用語辞書'!B$1),FALSE),
IF(_xlpm.v=0,"",_xlpm.v)
),"")</f>
        <v/>
      </c>
      <c r="K2680" s="17"/>
      <c r="L2680" s="17" t="str">
        <f>IF(OR(COUNTIF('クラス'!$A$1:$A$1262,$B2680)&gt;0,$B2680="",$M2680=""),"",True)</f>
        <v/>
      </c>
      <c r="M2680" s="1" t="str">
        <f t="shared" si="30"/>
        <v>存在しない</v>
      </c>
      <c r="N2680" s="1" t="s">
        <v>29</v>
      </c>
      <c r="O2680" s="1"/>
      <c r="P2680" s="11"/>
      <c r="Q2680" s="11"/>
      <c r="R2680" s="11"/>
      <c r="S2680" s="11"/>
      <c r="T2680" s="1"/>
      <c r="U2680" s="1"/>
      <c r="V2680" s="1"/>
      <c r="W2680" s="1"/>
      <c r="X2680" s="1"/>
      <c r="Y2680" s="1"/>
      <c r="Z2680" s="1"/>
    </row>
    <row r="2681" ht="18.0" hidden="1" customHeight="1" outlineLevel="1">
      <c r="A2681" s="26">
        <v>5.0</v>
      </c>
      <c r="B2681" s="26" t="s">
        <v>851</v>
      </c>
      <c r="C2681" s="1"/>
      <c r="D2681" s="1"/>
      <c r="E2681" s="14"/>
      <c r="F2681" s="15"/>
      <c r="G2681" s="16"/>
      <c r="H2681" s="11"/>
      <c r="I2681" s="7"/>
      <c r="J2681" s="7" t="str">
        <f>IFERROR(LET(_xlpm.v,
VLOOKUP($I2681,'用語辞書'!$A:$B,COLUMN('用語辞書'!B$1),FALSE),
IF(_xlpm.v=0,"",_xlpm.v)
),"")</f>
        <v/>
      </c>
      <c r="K2681" s="17"/>
      <c r="L2681" s="17" t="str">
        <f>IF(OR(COUNTIF('クラス'!$A$1:$A$1262,$B2681)&gt;0,$B2681="",$M2681=""),"",True)</f>
        <v/>
      </c>
      <c r="M2681" s="1" t="str">
        <f t="shared" si="30"/>
        <v/>
      </c>
      <c r="N2681" s="1" t="s">
        <v>29</v>
      </c>
      <c r="O2681" s="1"/>
      <c r="P2681" s="11"/>
      <c r="Q2681" s="11"/>
      <c r="R2681" s="11"/>
      <c r="S2681" s="11"/>
      <c r="T2681" s="1"/>
      <c r="U2681" s="1"/>
      <c r="V2681" s="1"/>
      <c r="W2681" s="1"/>
      <c r="X2681" s="1"/>
      <c r="Y2681" s="1"/>
      <c r="Z2681" s="1"/>
    </row>
    <row r="2682" ht="18.0" hidden="1" customHeight="1" outlineLevel="1">
      <c r="A2682" s="26">
        <v>6.0</v>
      </c>
      <c r="B2682" s="1"/>
      <c r="C2682" s="1"/>
      <c r="D2682" s="1"/>
      <c r="E2682" s="14"/>
      <c r="F2682" s="15"/>
      <c r="G2682" s="16"/>
      <c r="H2682" s="11"/>
      <c r="I2682" s="7"/>
      <c r="J2682" s="7" t="str">
        <f>IFERROR(LET(_xlpm.v,
VLOOKUP($I2682,'用語辞書'!$A:$B,COLUMN('用語辞書'!B$1),FALSE),
IF(_xlpm.v=0,"",_xlpm.v)
),"")</f>
        <v/>
      </c>
      <c r="K2682" s="17"/>
      <c r="L2682" s="17" t="str">
        <f>IF(OR(COUNTIF('クラス'!$A$1:$A$1262,$B2682)&gt;0,$B2682="",$M2682=""),"",True)</f>
        <v/>
      </c>
      <c r="M2682" s="1" t="str">
        <f t="shared" si="30"/>
        <v>存在しない</v>
      </c>
      <c r="N2682" s="1" t="s">
        <v>29</v>
      </c>
      <c r="O2682" s="1"/>
      <c r="P2682" s="11"/>
      <c r="Q2682" s="11"/>
      <c r="R2682" s="11"/>
      <c r="S2682" s="11"/>
      <c r="T2682" s="1"/>
      <c r="U2682" s="1"/>
      <c r="V2682" s="1"/>
      <c r="W2682" s="1"/>
      <c r="X2682" s="1"/>
      <c r="Y2682" s="1"/>
      <c r="Z2682" s="1"/>
    </row>
    <row r="2683" ht="18.0" hidden="1" customHeight="1" outlineLevel="1">
      <c r="A2683" s="26">
        <v>7.0</v>
      </c>
      <c r="B2683" s="26" t="s">
        <v>876</v>
      </c>
      <c r="C2683" s="1"/>
      <c r="D2683" s="1"/>
      <c r="E2683" s="14"/>
      <c r="F2683" s="15"/>
      <c r="G2683" s="16"/>
      <c r="H2683" s="11"/>
      <c r="I2683" s="7"/>
      <c r="J2683" s="7" t="str">
        <f>IFERROR(LET(_xlpm.v,
VLOOKUP($I2683,'用語辞書'!$A:$B,COLUMN('用語辞書'!B$1),FALSE),
IF(_xlpm.v=0,"",_xlpm.v)
),"")</f>
        <v/>
      </c>
      <c r="K2683" s="17"/>
      <c r="L2683" s="17" t="str">
        <f>IF(OR(COUNTIF('クラス'!$A$1:$A$1262,$B2683)&gt;0,$B2683="",$M2683=""),"",True)</f>
        <v/>
      </c>
      <c r="M2683" s="1" t="str">
        <f t="shared" si="30"/>
        <v/>
      </c>
      <c r="N2683" s="1" t="s">
        <v>29</v>
      </c>
      <c r="O2683" s="1"/>
      <c r="P2683" s="11"/>
      <c r="Q2683" s="11"/>
      <c r="R2683" s="11"/>
      <c r="S2683" s="11"/>
      <c r="T2683" s="1"/>
      <c r="U2683" s="1"/>
      <c r="V2683" s="1"/>
      <c r="W2683" s="1"/>
      <c r="X2683" s="1"/>
      <c r="Y2683" s="1"/>
      <c r="Z2683" s="1"/>
    </row>
    <row r="2684" ht="18.0" hidden="1" customHeight="1" outlineLevel="1">
      <c r="A2684" s="26">
        <v>8.0</v>
      </c>
      <c r="B2684" s="1"/>
      <c r="C2684" s="1"/>
      <c r="D2684" s="1"/>
      <c r="E2684" s="14"/>
      <c r="F2684" s="15"/>
      <c r="G2684" s="16"/>
      <c r="H2684" s="11"/>
      <c r="I2684" s="7"/>
      <c r="J2684" s="7" t="str">
        <f>IFERROR(LET(_xlpm.v,
VLOOKUP($I2684,'用語辞書'!$A:$B,COLUMN('用語辞書'!B$1),FALSE),
IF(_xlpm.v=0,"",_xlpm.v)
),"")</f>
        <v/>
      </c>
      <c r="K2684" s="17"/>
      <c r="L2684" s="17" t="str">
        <f>IF(OR(COUNTIF('クラス'!$A$1:$A$1262,$B2684)&gt;0,$B2684="",$M2684=""),"",True)</f>
        <v/>
      </c>
      <c r="M2684" s="1" t="str">
        <f t="shared" si="30"/>
        <v>存在しない</v>
      </c>
      <c r="N2684" s="1" t="s">
        <v>29</v>
      </c>
      <c r="O2684" s="1"/>
      <c r="P2684" s="11"/>
      <c r="Q2684" s="11"/>
      <c r="R2684" s="11"/>
      <c r="S2684" s="11"/>
      <c r="T2684" s="1"/>
      <c r="U2684" s="1"/>
      <c r="V2684" s="1"/>
      <c r="W2684" s="1"/>
      <c r="X2684" s="1"/>
      <c r="Y2684" s="1"/>
      <c r="Z2684" s="1"/>
    </row>
    <row r="2685" ht="18.0" hidden="1" customHeight="1" outlineLevel="1">
      <c r="A2685" s="26">
        <v>9.0</v>
      </c>
      <c r="B2685" s="26" t="s">
        <v>873</v>
      </c>
      <c r="C2685" s="1"/>
      <c r="D2685" s="1"/>
      <c r="E2685" s="14"/>
      <c r="F2685" s="15"/>
      <c r="G2685" s="16"/>
      <c r="H2685" s="11"/>
      <c r="I2685" s="7"/>
      <c r="J2685" s="7" t="str">
        <f>IFERROR(LET(_xlpm.v,
VLOOKUP($I2685,'用語辞書'!$A:$B,COLUMN('用語辞書'!B$1),FALSE),
IF(_xlpm.v=0,"",_xlpm.v)
),"")</f>
        <v/>
      </c>
      <c r="K2685" s="17"/>
      <c r="L2685" s="17" t="str">
        <f>IF(OR(COUNTIF('クラス'!$A$1:$A$1262,$B2685)&gt;0,$B2685="",$M2685=""),"",True)</f>
        <v/>
      </c>
      <c r="M2685" s="1" t="str">
        <f t="shared" si="30"/>
        <v/>
      </c>
      <c r="N2685" s="1" t="s">
        <v>29</v>
      </c>
      <c r="O2685" s="1"/>
      <c r="P2685" s="11"/>
      <c r="Q2685" s="11"/>
      <c r="R2685" s="11"/>
      <c r="S2685" s="11"/>
      <c r="T2685" s="1"/>
      <c r="U2685" s="1"/>
      <c r="V2685" s="1"/>
      <c r="W2685" s="1"/>
      <c r="X2685" s="1"/>
      <c r="Y2685" s="1"/>
      <c r="Z2685" s="1"/>
    </row>
    <row r="2686" ht="18.0" hidden="1" customHeight="1" outlineLevel="1">
      <c r="A2686" s="26">
        <v>10.0</v>
      </c>
      <c r="B2686" s="26" t="s">
        <v>892</v>
      </c>
      <c r="C2686" s="1"/>
      <c r="D2686" s="1"/>
      <c r="E2686" s="14"/>
      <c r="F2686" s="15"/>
      <c r="G2686" s="16"/>
      <c r="H2686" s="11"/>
      <c r="I2686" s="7"/>
      <c r="J2686" s="7" t="str">
        <f>IFERROR(LET(_xlpm.v,
VLOOKUP($I2686,'用語辞書'!$A:$B,COLUMN('用語辞書'!B$1),FALSE),
IF(_xlpm.v=0,"",_xlpm.v)
),"")</f>
        <v/>
      </c>
      <c r="K2686" s="17"/>
      <c r="L2686" s="17" t="str">
        <f>IF(OR(COUNTIF('クラス'!$A$1:$A$1262,$B2686)&gt;0,$B2686="",$M2686=""),"",True)</f>
        <v/>
      </c>
      <c r="M2686" s="1" t="str">
        <f t="shared" si="30"/>
        <v/>
      </c>
      <c r="N2686" s="1" t="s">
        <v>29</v>
      </c>
      <c r="O2686" s="1"/>
      <c r="P2686" s="11"/>
      <c r="Q2686" s="11"/>
      <c r="R2686" s="11"/>
      <c r="S2686" s="11"/>
      <c r="T2686" s="1"/>
      <c r="U2686" s="1"/>
      <c r="V2686" s="1"/>
      <c r="W2686" s="1"/>
      <c r="X2686" s="1"/>
      <c r="Y2686" s="1"/>
      <c r="Z2686" s="1"/>
    </row>
    <row r="2687" ht="18.0" customHeight="1" collapsed="1">
      <c r="A2687" s="1"/>
      <c r="B2687" s="1"/>
      <c r="C2687" s="1"/>
      <c r="D2687" s="1"/>
      <c r="E2687" s="14"/>
      <c r="F2687" s="15"/>
      <c r="G2687" s="16"/>
      <c r="H2687" s="11"/>
      <c r="I2687" s="7"/>
      <c r="J2687" s="7" t="str">
        <f>IFERROR(LET(_xlpm.v,
VLOOKUP($I2687,'用語辞書'!$A:$B,COLUMN('用語辞書'!B$1),FALSE),
IF(_xlpm.v=0,"",_xlpm.v)
),"")</f>
        <v/>
      </c>
      <c r="K2687" s="17"/>
      <c r="L2687" s="17" t="str">
        <f>IF(OR(COUNTIF('クラス'!$A$1:$A$1262,$B2687)&gt;0,$B2687="",$M2687=""),"",True)</f>
        <v/>
      </c>
      <c r="M2687" s="1" t="str">
        <f t="shared" si="30"/>
        <v>存在しない</v>
      </c>
      <c r="N2687" s="1" t="s">
        <v>29</v>
      </c>
      <c r="O2687" s="1"/>
      <c r="P2687" s="11"/>
      <c r="Q2687" s="11"/>
      <c r="R2687" s="11"/>
      <c r="S2687" s="11"/>
      <c r="T2687" s="1"/>
      <c r="U2687" s="1"/>
      <c r="V2687" s="1"/>
      <c r="W2687" s="1"/>
      <c r="X2687" s="1"/>
      <c r="Y2687" s="1"/>
      <c r="Z2687" s="1"/>
    </row>
    <row r="2688" ht="18.0" customHeight="1">
      <c r="A2688" s="1"/>
      <c r="B2688" s="26" t="s">
        <v>2461</v>
      </c>
      <c r="C2688" s="1"/>
      <c r="D2688" s="1"/>
      <c r="E2688" s="14"/>
      <c r="F2688" s="15"/>
      <c r="G2688" s="16"/>
      <c r="H2688" s="11"/>
      <c r="I2688" s="7"/>
      <c r="J2688" s="7" t="str">
        <f>IFERROR(LET(_xlpm.v,
VLOOKUP($I2688,'用語辞書'!$A:$B,COLUMN('用語辞書'!B$1),FALSE),
IF(_xlpm.v=0,"",_xlpm.v)
),"")</f>
        <v/>
      </c>
      <c r="K2688" s="17"/>
      <c r="L2688" s="17" t="str">
        <f>IF(OR(COUNTIF('クラス'!$A$1:$A$1262,$B2688)&gt;0,$B2688="",$M2688=""),"",True)</f>
        <v/>
      </c>
      <c r="M2688" s="1" t="str">
        <f t="shared" si="30"/>
        <v>存在しない</v>
      </c>
      <c r="N2688" s="1" t="s">
        <v>29</v>
      </c>
      <c r="O2688" s="1"/>
      <c r="P2688" s="11"/>
      <c r="Q2688" s="11"/>
      <c r="R2688" s="11"/>
      <c r="S2688" s="11"/>
      <c r="T2688" s="1"/>
      <c r="U2688" s="1"/>
      <c r="V2688" s="1"/>
      <c r="W2688" s="1"/>
      <c r="X2688" s="1"/>
      <c r="Y2688" s="1"/>
      <c r="Z2688" s="1"/>
    </row>
    <row r="2689" ht="18.0" hidden="1" customHeight="1" outlineLevel="1">
      <c r="A2689" s="26">
        <v>1.0</v>
      </c>
      <c r="B2689" s="26" t="s">
        <v>188</v>
      </c>
      <c r="C2689" s="1"/>
      <c r="D2689" s="1"/>
      <c r="E2689" s="14"/>
      <c r="F2689" s="15"/>
      <c r="G2689" s="16"/>
      <c r="H2689" s="11"/>
      <c r="I2689" s="7"/>
      <c r="J2689" s="7" t="str">
        <f>IFERROR(LET(_xlpm.v,
VLOOKUP($I2689,'用語辞書'!$A:$B,COLUMN('用語辞書'!B$1),FALSE),
IF(_xlpm.v=0,"",_xlpm.v)
),"")</f>
        <v/>
      </c>
      <c r="K2689" s="17"/>
      <c r="L2689" s="17" t="str">
        <f>IF(OR(COUNTIF('クラス'!$A$1:$A$1262,$B2689)&gt;0,$B2689="",$M2689=""),"",True)</f>
        <v/>
      </c>
      <c r="M2689" s="1" t="str">
        <f t="shared" si="30"/>
        <v/>
      </c>
      <c r="N2689" s="1" t="s">
        <v>29</v>
      </c>
      <c r="O2689" s="1"/>
      <c r="P2689" s="11"/>
      <c r="Q2689" s="11"/>
      <c r="R2689" s="11"/>
      <c r="S2689" s="11"/>
      <c r="T2689" s="1"/>
      <c r="U2689" s="1"/>
      <c r="V2689" s="1"/>
      <c r="W2689" s="1"/>
      <c r="X2689" s="1"/>
      <c r="Y2689" s="1"/>
      <c r="Z2689" s="1"/>
    </row>
    <row r="2690" ht="18.0" hidden="1" customHeight="1" outlineLevel="1">
      <c r="A2690" s="26">
        <v>2.0</v>
      </c>
      <c r="B2690" s="1"/>
      <c r="C2690" s="1"/>
      <c r="D2690" s="1"/>
      <c r="E2690" s="14"/>
      <c r="F2690" s="15"/>
      <c r="G2690" s="16"/>
      <c r="H2690" s="11"/>
      <c r="I2690" s="7"/>
      <c r="J2690" s="7" t="str">
        <f>IFERROR(LET(_xlpm.v,
VLOOKUP($I2690,'用語辞書'!$A:$B,COLUMN('用語辞書'!B$1),FALSE),
IF(_xlpm.v=0,"",_xlpm.v)
),"")</f>
        <v/>
      </c>
      <c r="K2690" s="17"/>
      <c r="L2690" s="17" t="str">
        <f>IF(OR(COUNTIF('クラス'!$A$1:$A$1262,$B2690)&gt;0,$B2690="",$M2690=""),"",True)</f>
        <v/>
      </c>
      <c r="M2690" s="1" t="str">
        <f t="shared" si="30"/>
        <v>存在しない</v>
      </c>
      <c r="N2690" s="1" t="s">
        <v>29</v>
      </c>
      <c r="O2690" s="1"/>
      <c r="P2690" s="11"/>
      <c r="Q2690" s="11"/>
      <c r="R2690" s="11"/>
      <c r="S2690" s="11"/>
      <c r="T2690" s="1"/>
      <c r="U2690" s="1"/>
      <c r="V2690" s="1"/>
      <c r="W2690" s="1"/>
      <c r="X2690" s="1"/>
      <c r="Y2690" s="1"/>
      <c r="Z2690" s="1"/>
    </row>
    <row r="2691" ht="18.0" hidden="1" customHeight="1" outlineLevel="1">
      <c r="A2691" s="26">
        <v>3.0</v>
      </c>
      <c r="B2691" s="26" t="s">
        <v>206</v>
      </c>
      <c r="C2691" s="1"/>
      <c r="D2691" s="1"/>
      <c r="E2691" s="14"/>
      <c r="F2691" s="15"/>
      <c r="G2691" s="16"/>
      <c r="H2691" s="11"/>
      <c r="I2691" s="7"/>
      <c r="J2691" s="7" t="str">
        <f>IFERROR(LET(_xlpm.v,
VLOOKUP($I2691,'用語辞書'!$A:$B,COLUMN('用語辞書'!B$1),FALSE),
IF(_xlpm.v=0,"",_xlpm.v)
),"")</f>
        <v/>
      </c>
      <c r="K2691" s="17"/>
      <c r="L2691" s="17" t="str">
        <f>IF(OR(COUNTIF('クラス'!$A$1:$A$1262,$B2691)&gt;0,$B2691="",$M2691=""),"",True)</f>
        <v/>
      </c>
      <c r="M2691" s="1" t="str">
        <f t="shared" si="30"/>
        <v/>
      </c>
      <c r="N2691" s="1" t="s">
        <v>29</v>
      </c>
      <c r="O2691" s="1"/>
      <c r="P2691" s="11"/>
      <c r="Q2691" s="11"/>
      <c r="R2691" s="11"/>
      <c r="S2691" s="11"/>
      <c r="T2691" s="1"/>
      <c r="U2691" s="1"/>
      <c r="V2691" s="1"/>
      <c r="W2691" s="1"/>
      <c r="X2691" s="1"/>
      <c r="Y2691" s="1"/>
      <c r="Z2691" s="1"/>
    </row>
    <row r="2692" ht="18.0" hidden="1" customHeight="1" outlineLevel="1">
      <c r="A2692" s="26">
        <v>4.0</v>
      </c>
      <c r="B2692" s="1"/>
      <c r="C2692" s="1"/>
      <c r="D2692" s="1"/>
      <c r="E2692" s="14"/>
      <c r="F2692" s="15"/>
      <c r="G2692" s="16"/>
      <c r="H2692" s="11"/>
      <c r="I2692" s="7"/>
      <c r="J2692" s="7" t="str">
        <f>IFERROR(LET(_xlpm.v,
VLOOKUP($I2692,'用語辞書'!$A:$B,COLUMN('用語辞書'!B$1),FALSE),
IF(_xlpm.v=0,"",_xlpm.v)
),"")</f>
        <v/>
      </c>
      <c r="K2692" s="17"/>
      <c r="L2692" s="17" t="str">
        <f>IF(OR(COUNTIF('クラス'!$A$1:$A$1262,$B2692)&gt;0,$B2692="",$M2692=""),"",True)</f>
        <v/>
      </c>
      <c r="M2692" s="1" t="str">
        <f t="shared" si="30"/>
        <v>存在しない</v>
      </c>
      <c r="N2692" s="1" t="s">
        <v>29</v>
      </c>
      <c r="O2692" s="1"/>
      <c r="P2692" s="11"/>
      <c r="Q2692" s="11"/>
      <c r="R2692" s="11"/>
      <c r="S2692" s="11"/>
      <c r="T2692" s="1"/>
      <c r="U2692" s="1"/>
      <c r="V2692" s="1"/>
      <c r="W2692" s="1"/>
      <c r="X2692" s="1"/>
      <c r="Y2692" s="1"/>
      <c r="Z2692" s="1"/>
    </row>
    <row r="2693" ht="18.0" hidden="1" customHeight="1" outlineLevel="1">
      <c r="A2693" s="26">
        <v>5.0</v>
      </c>
      <c r="B2693" s="26" t="s">
        <v>208</v>
      </c>
      <c r="C2693" s="1"/>
      <c r="D2693" s="1"/>
      <c r="E2693" s="14"/>
      <c r="F2693" s="15"/>
      <c r="G2693" s="16"/>
      <c r="H2693" s="11"/>
      <c r="I2693" s="7"/>
      <c r="J2693" s="7" t="str">
        <f>IFERROR(LET(_xlpm.v,
VLOOKUP($I2693,'用語辞書'!$A:$B,COLUMN('用語辞書'!B$1),FALSE),
IF(_xlpm.v=0,"",_xlpm.v)
),"")</f>
        <v/>
      </c>
      <c r="K2693" s="17"/>
      <c r="L2693" s="17" t="str">
        <f>IF(OR(COUNTIF('クラス'!$A$1:$A$1262,$B2693)&gt;0,$B2693="",$M2693=""),"",True)</f>
        <v/>
      </c>
      <c r="M2693" s="1" t="str">
        <f t="shared" si="30"/>
        <v/>
      </c>
      <c r="N2693" s="1" t="s">
        <v>29</v>
      </c>
      <c r="O2693" s="1"/>
      <c r="P2693" s="11"/>
      <c r="Q2693" s="11"/>
      <c r="R2693" s="11"/>
      <c r="S2693" s="11"/>
      <c r="T2693" s="1"/>
      <c r="U2693" s="1"/>
      <c r="V2693" s="1"/>
      <c r="W2693" s="1"/>
      <c r="X2693" s="1"/>
      <c r="Y2693" s="1"/>
      <c r="Z2693" s="1"/>
    </row>
    <row r="2694" ht="18.0" hidden="1" customHeight="1" outlineLevel="1">
      <c r="A2694" s="26">
        <v>6.0</v>
      </c>
      <c r="B2694" s="1"/>
      <c r="C2694" s="1"/>
      <c r="D2694" s="1"/>
      <c r="E2694" s="14"/>
      <c r="F2694" s="15"/>
      <c r="G2694" s="16"/>
      <c r="H2694" s="11"/>
      <c r="I2694" s="7"/>
      <c r="J2694" s="7" t="str">
        <f>IFERROR(LET(_xlpm.v,
VLOOKUP($I2694,'用語辞書'!$A:$B,COLUMN('用語辞書'!B$1),FALSE),
IF(_xlpm.v=0,"",_xlpm.v)
),"")</f>
        <v/>
      </c>
      <c r="K2694" s="17"/>
      <c r="L2694" s="17" t="str">
        <f>IF(OR(COUNTIF('クラス'!$A$1:$A$1262,$B2694)&gt;0,$B2694="",$M2694=""),"",True)</f>
        <v/>
      </c>
      <c r="M2694" s="1" t="str">
        <f t="shared" si="30"/>
        <v>存在しない</v>
      </c>
      <c r="N2694" s="1" t="s">
        <v>29</v>
      </c>
      <c r="O2694" s="1"/>
      <c r="P2694" s="11"/>
      <c r="Q2694" s="11"/>
      <c r="R2694" s="11"/>
      <c r="S2694" s="11"/>
      <c r="T2694" s="1"/>
      <c r="U2694" s="1"/>
      <c r="V2694" s="1"/>
      <c r="W2694" s="1"/>
      <c r="X2694" s="1"/>
      <c r="Y2694" s="1"/>
      <c r="Z2694" s="1"/>
    </row>
    <row r="2695" ht="18.0" hidden="1" customHeight="1" outlineLevel="1">
      <c r="A2695" s="26">
        <v>7.0</v>
      </c>
      <c r="B2695" s="26" t="s">
        <v>194</v>
      </c>
      <c r="C2695" s="1"/>
      <c r="D2695" s="1"/>
      <c r="E2695" s="14"/>
      <c r="F2695" s="15"/>
      <c r="G2695" s="16"/>
      <c r="H2695" s="11"/>
      <c r="I2695" s="7"/>
      <c r="J2695" s="7" t="str">
        <f>IFERROR(LET(_xlpm.v,
VLOOKUP($I2695,'用語辞書'!$A:$B,COLUMN('用語辞書'!B$1),FALSE),
IF(_xlpm.v=0,"",_xlpm.v)
),"")</f>
        <v/>
      </c>
      <c r="K2695" s="17"/>
      <c r="L2695" s="17" t="str">
        <f>IF(OR(COUNTIF('クラス'!$A$1:$A$1262,$B2695)&gt;0,$B2695="",$M2695=""),"",True)</f>
        <v/>
      </c>
      <c r="M2695" s="1" t="str">
        <f t="shared" si="30"/>
        <v/>
      </c>
      <c r="N2695" s="1" t="s">
        <v>29</v>
      </c>
      <c r="O2695" s="1"/>
      <c r="P2695" s="11"/>
      <c r="Q2695" s="11"/>
      <c r="R2695" s="11"/>
      <c r="S2695" s="11"/>
      <c r="T2695" s="1"/>
      <c r="U2695" s="1"/>
      <c r="V2695" s="1"/>
      <c r="W2695" s="1"/>
      <c r="X2695" s="1"/>
      <c r="Y2695" s="1"/>
      <c r="Z2695" s="1"/>
    </row>
    <row r="2696" ht="18.0" hidden="1" customHeight="1" outlineLevel="1">
      <c r="A2696" s="26">
        <v>8.0</v>
      </c>
      <c r="B2696" s="1"/>
      <c r="C2696" s="1"/>
      <c r="D2696" s="1"/>
      <c r="E2696" s="14"/>
      <c r="F2696" s="15"/>
      <c r="G2696" s="16"/>
      <c r="H2696" s="11"/>
      <c r="I2696" s="7"/>
      <c r="J2696" s="7" t="str">
        <f>IFERROR(LET(_xlpm.v,
VLOOKUP($I2696,'用語辞書'!$A:$B,COLUMN('用語辞書'!B$1),FALSE),
IF(_xlpm.v=0,"",_xlpm.v)
),"")</f>
        <v/>
      </c>
      <c r="K2696" s="17"/>
      <c r="L2696" s="17" t="str">
        <f>IF(OR(COUNTIF('クラス'!$A$1:$A$1262,$B2696)&gt;0,$B2696="",$M2696=""),"",True)</f>
        <v/>
      </c>
      <c r="M2696" s="1" t="str">
        <f t="shared" si="30"/>
        <v>存在しない</v>
      </c>
      <c r="N2696" s="1" t="s">
        <v>29</v>
      </c>
      <c r="O2696" s="1"/>
      <c r="P2696" s="11"/>
      <c r="Q2696" s="11"/>
      <c r="R2696" s="11"/>
      <c r="S2696" s="11"/>
      <c r="T2696" s="1"/>
      <c r="U2696" s="1"/>
      <c r="V2696" s="1"/>
      <c r="W2696" s="1"/>
      <c r="X2696" s="1"/>
      <c r="Y2696" s="1"/>
      <c r="Z2696" s="1"/>
    </row>
    <row r="2697" ht="18.0" hidden="1" customHeight="1" outlineLevel="1">
      <c r="A2697" s="26">
        <v>9.0</v>
      </c>
      <c r="B2697" s="26" t="s">
        <v>143</v>
      </c>
      <c r="C2697" s="1"/>
      <c r="D2697" s="1"/>
      <c r="E2697" s="14"/>
      <c r="F2697" s="15"/>
      <c r="G2697" s="16"/>
      <c r="H2697" s="11"/>
      <c r="I2697" s="7"/>
      <c r="J2697" s="7" t="str">
        <f>IFERROR(LET(_xlpm.v,
VLOOKUP($I2697,'用語辞書'!$A:$B,COLUMN('用語辞書'!B$1),FALSE),
IF(_xlpm.v=0,"",_xlpm.v)
),"")</f>
        <v/>
      </c>
      <c r="K2697" s="17"/>
      <c r="L2697" s="17" t="str">
        <f>IF(OR(COUNTIF('クラス'!$A$1:$A$1262,$B2697)&gt;0,$B2697="",$M2697=""),"",True)</f>
        <v/>
      </c>
      <c r="M2697" s="1" t="str">
        <f t="shared" si="30"/>
        <v/>
      </c>
      <c r="N2697" s="1" t="s">
        <v>29</v>
      </c>
      <c r="O2697" s="1"/>
      <c r="P2697" s="11"/>
      <c r="Q2697" s="11"/>
      <c r="R2697" s="11"/>
      <c r="S2697" s="11"/>
      <c r="T2697" s="1"/>
      <c r="U2697" s="1"/>
      <c r="V2697" s="1"/>
      <c r="W2697" s="1"/>
      <c r="X2697" s="1"/>
      <c r="Y2697" s="1"/>
      <c r="Z2697" s="1"/>
    </row>
    <row r="2698" ht="18.0" hidden="1" customHeight="1" outlineLevel="1">
      <c r="A2698" s="26">
        <v>10.0</v>
      </c>
      <c r="B2698" s="26" t="s">
        <v>2462</v>
      </c>
      <c r="C2698" s="26" t="s">
        <v>29</v>
      </c>
      <c r="D2698" s="26" t="s">
        <v>1179</v>
      </c>
      <c r="E2698" s="29" t="s">
        <v>33</v>
      </c>
      <c r="F2698" s="34" t="s">
        <v>29</v>
      </c>
      <c r="G2698" s="30">
        <v>60.0</v>
      </c>
      <c r="H2698" s="22" t="s">
        <v>2463</v>
      </c>
      <c r="I2698" s="7"/>
      <c r="J2698" s="7" t="str">
        <f>IFERROR(LET(_xlpm.v,
VLOOKUP($I2698,'用語辞書'!$A:$B,COLUMN('用語辞書'!B$1),FALSE),
IF(_xlpm.v=0,"",_xlpm.v)
),"")</f>
        <v/>
      </c>
      <c r="K2698" s="17"/>
      <c r="L2698" s="17" t="b">
        <f>IF(OR(COUNTIF('クラス'!$A$1:$A$1262,$B2698)&gt;0,$B2698="",$M2698=""),"",True)</f>
        <v>1</v>
      </c>
      <c r="M2698" s="1" t="str">
        <f t="shared" si="30"/>
        <v>存在しない</v>
      </c>
      <c r="N2698" s="1" t="s">
        <v>29</v>
      </c>
      <c r="O2698" s="1"/>
      <c r="P2698" s="11"/>
      <c r="Q2698" s="11"/>
      <c r="R2698" s="11"/>
      <c r="S2698" s="11"/>
      <c r="T2698" s="1"/>
      <c r="U2698" s="1"/>
      <c r="V2698" s="1"/>
      <c r="W2698" s="1"/>
      <c r="X2698" s="1"/>
      <c r="Y2698" s="1"/>
      <c r="Z2698" s="1"/>
    </row>
    <row r="2699" ht="18.0" customHeight="1" collapsed="1">
      <c r="A2699" s="1"/>
      <c r="B2699" s="1"/>
      <c r="C2699" s="1"/>
      <c r="D2699" s="1"/>
      <c r="E2699" s="14"/>
      <c r="F2699" s="15"/>
      <c r="G2699" s="16"/>
      <c r="H2699" s="11"/>
      <c r="I2699" s="7"/>
      <c r="J2699" s="7" t="str">
        <f>IFERROR(LET(_xlpm.v,
VLOOKUP($I2699,'用語辞書'!$A:$B,COLUMN('用語辞書'!B$1),FALSE),
IF(_xlpm.v=0,"",_xlpm.v)
),"")</f>
        <v/>
      </c>
      <c r="K2699" s="17"/>
      <c r="L2699" s="17" t="str">
        <f>IF(OR(COUNTIF('クラス'!$A$1:$A$1262,$B2699)&gt;0,$B2699="",$M2699=""),"",True)</f>
        <v/>
      </c>
      <c r="M2699" s="1" t="str">
        <f t="shared" si="30"/>
        <v>存在しない</v>
      </c>
      <c r="N2699" s="1" t="s">
        <v>29</v>
      </c>
      <c r="O2699" s="1"/>
      <c r="P2699" s="11"/>
      <c r="Q2699" s="11"/>
      <c r="R2699" s="11"/>
      <c r="S2699" s="11"/>
      <c r="T2699" s="1"/>
      <c r="U2699" s="1"/>
      <c r="V2699" s="1"/>
      <c r="W2699" s="1"/>
      <c r="X2699" s="1"/>
      <c r="Y2699" s="1"/>
      <c r="Z2699" s="1"/>
    </row>
    <row r="2700" ht="18.0" customHeight="1">
      <c r="A2700" s="1"/>
      <c r="B2700" s="26" t="s">
        <v>2464</v>
      </c>
      <c r="C2700" s="1"/>
      <c r="D2700" s="1"/>
      <c r="E2700" s="14"/>
      <c r="F2700" s="15"/>
      <c r="G2700" s="16"/>
      <c r="H2700" s="11"/>
      <c r="I2700" s="7"/>
      <c r="J2700" s="7" t="str">
        <f>IFERROR(LET(_xlpm.v,
VLOOKUP($I2700,'用語辞書'!$A:$B,COLUMN('用語辞書'!B$1),FALSE),
IF(_xlpm.v=0,"",_xlpm.v)
),"")</f>
        <v/>
      </c>
      <c r="K2700" s="17"/>
      <c r="L2700" s="17" t="str">
        <f>IF(OR(COUNTIF('クラス'!$A$1:$A$1262,$B2700)&gt;0,$B2700="",$M2700=""),"",True)</f>
        <v/>
      </c>
      <c r="M2700" s="1" t="str">
        <f t="shared" si="30"/>
        <v>存在しない</v>
      </c>
      <c r="N2700" s="1" t="s">
        <v>29</v>
      </c>
      <c r="O2700" s="1"/>
      <c r="P2700" s="11"/>
      <c r="Q2700" s="11"/>
      <c r="R2700" s="11"/>
      <c r="S2700" s="11"/>
      <c r="T2700" s="1"/>
      <c r="U2700" s="1"/>
      <c r="V2700" s="1"/>
      <c r="W2700" s="1"/>
      <c r="X2700" s="1"/>
      <c r="Y2700" s="1"/>
      <c r="Z2700" s="1"/>
    </row>
    <row r="2701" ht="18.0" hidden="1" customHeight="1" outlineLevel="1">
      <c r="A2701" s="26">
        <v>1.0</v>
      </c>
      <c r="B2701" s="26" t="s">
        <v>797</v>
      </c>
      <c r="C2701" s="1"/>
      <c r="D2701" s="1"/>
      <c r="E2701" s="14"/>
      <c r="F2701" s="15"/>
      <c r="G2701" s="16"/>
      <c r="H2701" s="11"/>
      <c r="I2701" s="7"/>
      <c r="J2701" s="7" t="str">
        <f>IFERROR(LET(_xlpm.v,
VLOOKUP($I2701,'用語辞書'!$A:$B,COLUMN('用語辞書'!B$1),FALSE),
IF(_xlpm.v=0,"",_xlpm.v)
),"")</f>
        <v/>
      </c>
      <c r="K2701" s="17"/>
      <c r="L2701" s="17" t="str">
        <f>IF(OR(COUNTIF('クラス'!$A$1:$A$1262,$B2701)&gt;0,$B2701="",$M2701=""),"",True)</f>
        <v/>
      </c>
      <c r="M2701" s="1" t="str">
        <f t="shared" si="30"/>
        <v/>
      </c>
      <c r="N2701" s="1" t="s">
        <v>29</v>
      </c>
      <c r="O2701" s="1"/>
      <c r="P2701" s="11"/>
      <c r="Q2701" s="11"/>
      <c r="R2701" s="11"/>
      <c r="S2701" s="11"/>
      <c r="T2701" s="1"/>
      <c r="U2701" s="1"/>
      <c r="V2701" s="1"/>
      <c r="W2701" s="1"/>
      <c r="X2701" s="1"/>
      <c r="Y2701" s="1"/>
      <c r="Z2701" s="1"/>
    </row>
    <row r="2702" ht="18.0" hidden="1" customHeight="1" outlineLevel="1">
      <c r="A2702" s="26">
        <v>2.0</v>
      </c>
      <c r="B2702" s="1"/>
      <c r="C2702" s="1"/>
      <c r="D2702" s="1"/>
      <c r="E2702" s="14"/>
      <c r="F2702" s="15"/>
      <c r="G2702" s="16"/>
      <c r="H2702" s="11"/>
      <c r="I2702" s="7"/>
      <c r="J2702" s="7" t="str">
        <f>IFERROR(LET(_xlpm.v,
VLOOKUP($I2702,'用語辞書'!$A:$B,COLUMN('用語辞書'!B$1),FALSE),
IF(_xlpm.v=0,"",_xlpm.v)
),"")</f>
        <v/>
      </c>
      <c r="K2702" s="17"/>
      <c r="L2702" s="17" t="str">
        <f>IF(OR(COUNTIF('クラス'!$A$1:$A$1262,$B2702)&gt;0,$B2702="",$M2702=""),"",True)</f>
        <v/>
      </c>
      <c r="M2702" s="1" t="str">
        <f t="shared" si="30"/>
        <v>存在しない</v>
      </c>
      <c r="N2702" s="1" t="s">
        <v>29</v>
      </c>
      <c r="O2702" s="1"/>
      <c r="P2702" s="11"/>
      <c r="Q2702" s="11"/>
      <c r="R2702" s="11"/>
      <c r="S2702" s="11"/>
      <c r="T2702" s="1"/>
      <c r="U2702" s="1"/>
      <c r="V2702" s="1"/>
      <c r="W2702" s="1"/>
      <c r="X2702" s="1"/>
      <c r="Y2702" s="1"/>
      <c r="Z2702" s="1"/>
    </row>
    <row r="2703" ht="18.0" hidden="1" customHeight="1" outlineLevel="1">
      <c r="A2703" s="26">
        <v>3.0</v>
      </c>
      <c r="B2703" s="26" t="s">
        <v>817</v>
      </c>
      <c r="C2703" s="1"/>
      <c r="D2703" s="1"/>
      <c r="E2703" s="14"/>
      <c r="F2703" s="15"/>
      <c r="G2703" s="16"/>
      <c r="H2703" s="11"/>
      <c r="I2703" s="7"/>
      <c r="J2703" s="7" t="str">
        <f>IFERROR(LET(_xlpm.v,
VLOOKUP($I2703,'用語辞書'!$A:$B,COLUMN('用語辞書'!B$1),FALSE),
IF(_xlpm.v=0,"",_xlpm.v)
),"")</f>
        <v/>
      </c>
      <c r="K2703" s="17"/>
      <c r="L2703" s="17" t="str">
        <f>IF(OR(COUNTIF('クラス'!$A$1:$A$1262,$B2703)&gt;0,$B2703="",$M2703=""),"",True)</f>
        <v/>
      </c>
      <c r="M2703" s="1" t="str">
        <f t="shared" si="30"/>
        <v/>
      </c>
      <c r="N2703" s="1" t="s">
        <v>29</v>
      </c>
      <c r="O2703" s="1"/>
      <c r="P2703" s="11"/>
      <c r="Q2703" s="11"/>
      <c r="R2703" s="11"/>
      <c r="S2703" s="11"/>
      <c r="T2703" s="1"/>
      <c r="U2703" s="1"/>
      <c r="V2703" s="1"/>
      <c r="W2703" s="1"/>
      <c r="X2703" s="1"/>
      <c r="Y2703" s="1"/>
      <c r="Z2703" s="1"/>
    </row>
    <row r="2704" ht="18.0" hidden="1" customHeight="1" outlineLevel="1">
      <c r="A2704" s="26">
        <v>4.0</v>
      </c>
      <c r="B2704" s="1"/>
      <c r="C2704" s="1"/>
      <c r="D2704" s="1"/>
      <c r="E2704" s="14"/>
      <c r="F2704" s="15"/>
      <c r="G2704" s="16"/>
      <c r="H2704" s="11"/>
      <c r="I2704" s="7"/>
      <c r="J2704" s="7" t="str">
        <f>IFERROR(LET(_xlpm.v,
VLOOKUP($I2704,'用語辞書'!$A:$B,COLUMN('用語辞書'!B$1),FALSE),
IF(_xlpm.v=0,"",_xlpm.v)
),"")</f>
        <v/>
      </c>
      <c r="K2704" s="17"/>
      <c r="L2704" s="17" t="str">
        <f>IF(OR(COUNTIF('クラス'!$A$1:$A$1262,$B2704)&gt;0,$B2704="",$M2704=""),"",True)</f>
        <v/>
      </c>
      <c r="M2704" s="1" t="str">
        <f t="shared" si="30"/>
        <v>存在しない</v>
      </c>
      <c r="N2704" s="1" t="s">
        <v>29</v>
      </c>
      <c r="O2704" s="1"/>
      <c r="P2704" s="11"/>
      <c r="Q2704" s="11"/>
      <c r="R2704" s="11"/>
      <c r="S2704" s="11"/>
      <c r="T2704" s="1"/>
      <c r="U2704" s="1"/>
      <c r="V2704" s="1"/>
      <c r="W2704" s="1"/>
      <c r="X2704" s="1"/>
      <c r="Y2704" s="1"/>
      <c r="Z2704" s="1"/>
    </row>
    <row r="2705" ht="18.0" hidden="1" customHeight="1" outlineLevel="1">
      <c r="A2705" s="26">
        <v>5.0</v>
      </c>
      <c r="B2705" s="26" t="s">
        <v>212</v>
      </c>
      <c r="C2705" s="1"/>
      <c r="D2705" s="1"/>
      <c r="E2705" s="14"/>
      <c r="F2705" s="15"/>
      <c r="G2705" s="16"/>
      <c r="H2705" s="11"/>
      <c r="I2705" s="7"/>
      <c r="J2705" s="7" t="str">
        <f>IFERROR(LET(_xlpm.v,
VLOOKUP($I2705,'用語辞書'!$A:$B,COLUMN('用語辞書'!B$1),FALSE),
IF(_xlpm.v=0,"",_xlpm.v)
),"")</f>
        <v/>
      </c>
      <c r="K2705" s="17"/>
      <c r="L2705" s="17" t="str">
        <f>IF(OR(COUNTIF('クラス'!$A$1:$A$1262,$B2705)&gt;0,$B2705="",$M2705=""),"",True)</f>
        <v/>
      </c>
      <c r="M2705" s="1" t="str">
        <f t="shared" si="30"/>
        <v/>
      </c>
      <c r="N2705" s="1" t="s">
        <v>29</v>
      </c>
      <c r="O2705" s="1"/>
      <c r="P2705" s="11"/>
      <c r="Q2705" s="11"/>
      <c r="R2705" s="11"/>
      <c r="S2705" s="11"/>
      <c r="T2705" s="1"/>
      <c r="U2705" s="1"/>
      <c r="V2705" s="1"/>
      <c r="W2705" s="1"/>
      <c r="X2705" s="1"/>
      <c r="Y2705" s="1"/>
      <c r="Z2705" s="1"/>
    </row>
    <row r="2706" ht="18.0" hidden="1" customHeight="1" outlineLevel="1">
      <c r="A2706" s="26">
        <v>6.0</v>
      </c>
      <c r="B2706" s="1"/>
      <c r="C2706" s="1"/>
      <c r="D2706" s="1"/>
      <c r="E2706" s="14"/>
      <c r="F2706" s="15"/>
      <c r="G2706" s="16"/>
      <c r="H2706" s="11"/>
      <c r="I2706" s="7"/>
      <c r="J2706" s="7" t="str">
        <f>IFERROR(LET(_xlpm.v,
VLOOKUP($I2706,'用語辞書'!$A:$B,COLUMN('用語辞書'!B$1),FALSE),
IF(_xlpm.v=0,"",_xlpm.v)
),"")</f>
        <v/>
      </c>
      <c r="K2706" s="17"/>
      <c r="L2706" s="17" t="str">
        <f>IF(OR(COUNTIF('クラス'!$A$1:$A$1262,$B2706)&gt;0,$B2706="",$M2706=""),"",True)</f>
        <v/>
      </c>
      <c r="M2706" s="1" t="str">
        <f t="shared" si="30"/>
        <v>存在しない</v>
      </c>
      <c r="N2706" s="1" t="s">
        <v>29</v>
      </c>
      <c r="O2706" s="1"/>
      <c r="P2706" s="11"/>
      <c r="Q2706" s="11"/>
      <c r="R2706" s="11"/>
      <c r="S2706" s="11"/>
      <c r="T2706" s="1"/>
      <c r="U2706" s="1"/>
      <c r="V2706" s="1"/>
      <c r="W2706" s="1"/>
      <c r="X2706" s="1"/>
      <c r="Y2706" s="1"/>
      <c r="Z2706" s="1"/>
    </row>
    <row r="2707" ht="18.0" hidden="1" customHeight="1" outlineLevel="1">
      <c r="A2707" s="26">
        <v>7.0</v>
      </c>
      <c r="B2707" s="26" t="s">
        <v>827</v>
      </c>
      <c r="C2707" s="1"/>
      <c r="D2707" s="1"/>
      <c r="E2707" s="14"/>
      <c r="F2707" s="15"/>
      <c r="G2707" s="16"/>
      <c r="H2707" s="11"/>
      <c r="I2707" s="7"/>
      <c r="J2707" s="7" t="str">
        <f>IFERROR(LET(_xlpm.v,
VLOOKUP($I2707,'用語辞書'!$A:$B,COLUMN('用語辞書'!B$1),FALSE),
IF(_xlpm.v=0,"",_xlpm.v)
),"")</f>
        <v/>
      </c>
      <c r="K2707" s="17"/>
      <c r="L2707" s="17" t="str">
        <f>IF(OR(COUNTIF('クラス'!$A$1:$A$1262,$B2707)&gt;0,$B2707="",$M2707=""),"",True)</f>
        <v/>
      </c>
      <c r="M2707" s="1" t="str">
        <f t="shared" si="30"/>
        <v/>
      </c>
      <c r="N2707" s="1" t="s">
        <v>29</v>
      </c>
      <c r="O2707" s="1"/>
      <c r="P2707" s="11"/>
      <c r="Q2707" s="11"/>
      <c r="R2707" s="11"/>
      <c r="S2707" s="11"/>
      <c r="T2707" s="1"/>
      <c r="U2707" s="1"/>
      <c r="V2707" s="1"/>
      <c r="W2707" s="1"/>
      <c r="X2707" s="1"/>
      <c r="Y2707" s="1"/>
      <c r="Z2707" s="1"/>
    </row>
    <row r="2708" ht="18.0" hidden="1" customHeight="1" outlineLevel="1">
      <c r="A2708" s="26">
        <v>8.0</v>
      </c>
      <c r="B2708" s="1"/>
      <c r="C2708" s="1"/>
      <c r="D2708" s="1"/>
      <c r="E2708" s="14"/>
      <c r="F2708" s="15"/>
      <c r="G2708" s="16"/>
      <c r="H2708" s="11"/>
      <c r="I2708" s="7"/>
      <c r="J2708" s="7" t="str">
        <f>IFERROR(LET(_xlpm.v,
VLOOKUP($I2708,'用語辞書'!$A:$B,COLUMN('用語辞書'!B$1),FALSE),
IF(_xlpm.v=0,"",_xlpm.v)
),"")</f>
        <v/>
      </c>
      <c r="K2708" s="17"/>
      <c r="L2708" s="17" t="str">
        <f>IF(OR(COUNTIF('クラス'!$A$1:$A$1262,$B2708)&gt;0,$B2708="",$M2708=""),"",True)</f>
        <v/>
      </c>
      <c r="M2708" s="1" t="str">
        <f t="shared" si="30"/>
        <v>存在しない</v>
      </c>
      <c r="N2708" s="1" t="s">
        <v>29</v>
      </c>
      <c r="O2708" s="1"/>
      <c r="P2708" s="11"/>
      <c r="Q2708" s="11"/>
      <c r="R2708" s="11"/>
      <c r="S2708" s="11"/>
      <c r="T2708" s="1"/>
      <c r="U2708" s="1"/>
      <c r="V2708" s="1"/>
      <c r="W2708" s="1"/>
      <c r="X2708" s="1"/>
      <c r="Y2708" s="1"/>
      <c r="Z2708" s="1"/>
    </row>
    <row r="2709" ht="18.0" hidden="1" customHeight="1" outlineLevel="1">
      <c r="A2709" s="26">
        <v>9.0</v>
      </c>
      <c r="B2709" s="26" t="s">
        <v>194</v>
      </c>
      <c r="C2709" s="1"/>
      <c r="D2709" s="1"/>
      <c r="E2709" s="14"/>
      <c r="F2709" s="15"/>
      <c r="G2709" s="16"/>
      <c r="H2709" s="11"/>
      <c r="I2709" s="7"/>
      <c r="J2709" s="7" t="str">
        <f>IFERROR(LET(_xlpm.v,
VLOOKUP($I2709,'用語辞書'!$A:$B,COLUMN('用語辞書'!B$1),FALSE),
IF(_xlpm.v=0,"",_xlpm.v)
),"")</f>
        <v/>
      </c>
      <c r="K2709" s="17"/>
      <c r="L2709" s="17" t="str">
        <f>IF(OR(COUNTIF('クラス'!$A$1:$A$1262,$B2709)&gt;0,$B2709="",$M2709=""),"",True)</f>
        <v/>
      </c>
      <c r="M2709" s="1" t="str">
        <f t="shared" si="30"/>
        <v/>
      </c>
      <c r="N2709" s="1" t="s">
        <v>29</v>
      </c>
      <c r="O2709" s="1"/>
      <c r="P2709" s="11"/>
      <c r="Q2709" s="11"/>
      <c r="R2709" s="11"/>
      <c r="S2709" s="11"/>
      <c r="T2709" s="1"/>
      <c r="U2709" s="1"/>
      <c r="V2709" s="1"/>
      <c r="W2709" s="1"/>
      <c r="X2709" s="1"/>
      <c r="Y2709" s="1"/>
      <c r="Z2709" s="1"/>
    </row>
    <row r="2710" ht="18.0" hidden="1" customHeight="1" outlineLevel="1">
      <c r="A2710" s="26">
        <v>10.0</v>
      </c>
      <c r="B2710" s="26" t="s">
        <v>2465</v>
      </c>
      <c r="C2710" s="26" t="s">
        <v>29</v>
      </c>
      <c r="D2710" s="26" t="s">
        <v>1179</v>
      </c>
      <c r="E2710" s="29" t="s">
        <v>33</v>
      </c>
      <c r="F2710" s="34" t="s">
        <v>29</v>
      </c>
      <c r="G2710" s="30">
        <v>60.0</v>
      </c>
      <c r="H2710" s="22" t="s">
        <v>2466</v>
      </c>
      <c r="I2710" s="7"/>
      <c r="J2710" s="7" t="str">
        <f>IFERROR(LET(_xlpm.v,
VLOOKUP($I2710,'用語辞書'!$A:$B,COLUMN('用語辞書'!B$1),FALSE),
IF(_xlpm.v=0,"",_xlpm.v)
),"")</f>
        <v/>
      </c>
      <c r="K2710" s="17"/>
      <c r="L2710" s="17" t="b">
        <f>IF(OR(COUNTIF('クラス'!$A$1:$A$1262,$B2710)&gt;0,$B2710="",$M2710=""),"",True)</f>
        <v>1</v>
      </c>
      <c r="M2710" s="1" t="str">
        <f t="shared" si="30"/>
        <v>存在しない</v>
      </c>
      <c r="N2710" s="1" t="s">
        <v>29</v>
      </c>
      <c r="O2710" s="1"/>
      <c r="P2710" s="11"/>
      <c r="Q2710" s="11"/>
      <c r="R2710" s="11"/>
      <c r="S2710" s="11"/>
      <c r="T2710" s="1"/>
      <c r="U2710" s="1"/>
      <c r="V2710" s="1"/>
      <c r="W2710" s="1"/>
      <c r="X2710" s="1"/>
      <c r="Y2710" s="1"/>
      <c r="Z2710" s="1"/>
    </row>
    <row r="2711" ht="18.0" customHeight="1" collapsed="1">
      <c r="A2711" s="1"/>
      <c r="B2711" s="1"/>
      <c r="C2711" s="26" t="s">
        <v>2467</v>
      </c>
      <c r="D2711" s="1"/>
      <c r="E2711" s="14"/>
      <c r="F2711" s="15"/>
      <c r="G2711" s="16"/>
      <c r="H2711" s="11"/>
      <c r="I2711" s="7"/>
      <c r="J2711" s="7" t="str">
        <f>IFERROR(LET(_xlpm.v,
VLOOKUP($I2711,'用語辞書'!$A:$B,COLUMN('用語辞書'!B$1),FALSE),
IF(_xlpm.v=0,"",_xlpm.v)
),"")</f>
        <v/>
      </c>
      <c r="K2711" s="17"/>
      <c r="L2711" s="17" t="str">
        <f>IF(OR(COUNTIF('クラス'!$A$1:$A$1262,$B2711)&gt;0,$B2711="",$M2711=""),"",True)</f>
        <v/>
      </c>
      <c r="M2711" s="1" t="str">
        <f t="shared" si="30"/>
        <v>存在しない</v>
      </c>
      <c r="N2711" s="1" t="s">
        <v>29</v>
      </c>
      <c r="O2711" s="1"/>
      <c r="P2711" s="11"/>
      <c r="Q2711" s="11"/>
      <c r="R2711" s="11"/>
      <c r="S2711" s="11"/>
      <c r="T2711" s="1"/>
      <c r="U2711" s="1"/>
      <c r="V2711" s="1"/>
      <c r="W2711" s="1"/>
      <c r="X2711" s="1"/>
      <c r="Y2711" s="1"/>
      <c r="Z2711" s="1"/>
    </row>
    <row r="2712" ht="18.0" customHeight="1" outlineLevel="1">
      <c r="A2712" s="1"/>
      <c r="B2712" s="26" t="s">
        <v>2468</v>
      </c>
      <c r="C2712" s="1"/>
      <c r="D2712" s="1"/>
      <c r="E2712" s="14"/>
      <c r="F2712" s="15"/>
      <c r="G2712" s="16"/>
      <c r="H2712" s="11"/>
      <c r="I2712" s="7"/>
      <c r="J2712" s="7" t="str">
        <f>IFERROR(LET(_xlpm.v,
VLOOKUP($I2712,'用語辞書'!$A:$B,COLUMN('用語辞書'!B$1),FALSE),
IF(_xlpm.v=0,"",_xlpm.v)
),"")</f>
        <v/>
      </c>
      <c r="K2712" s="17"/>
      <c r="L2712" s="17" t="str">
        <f>IF(OR(COUNTIF('クラス'!$A$1:$A$1262,$B2712)&gt;0,$B2712="",$M2712=""),"",True)</f>
        <v/>
      </c>
      <c r="M2712" s="1" t="str">
        <f t="shared" si="30"/>
        <v>存在しない</v>
      </c>
      <c r="N2712" s="1" t="s">
        <v>29</v>
      </c>
      <c r="O2712" s="1"/>
      <c r="P2712" s="11"/>
      <c r="Q2712" s="11"/>
      <c r="R2712" s="11"/>
      <c r="S2712" s="11"/>
      <c r="T2712" s="1"/>
      <c r="U2712" s="1"/>
      <c r="V2712" s="1"/>
      <c r="W2712" s="1"/>
      <c r="X2712" s="1"/>
      <c r="Y2712" s="1"/>
      <c r="Z2712" s="1"/>
    </row>
    <row r="2713" ht="18.0" hidden="1" customHeight="1" outlineLevel="2">
      <c r="A2713" s="1">
        <v>1.0</v>
      </c>
      <c r="B2713" s="26" t="s">
        <v>2469</v>
      </c>
      <c r="C2713" s="1"/>
      <c r="D2713" s="26" t="s">
        <v>783</v>
      </c>
      <c r="E2713" s="29" t="s">
        <v>125</v>
      </c>
      <c r="F2713" s="15"/>
      <c r="G2713" s="30">
        <v>60.0</v>
      </c>
      <c r="H2713" s="22" t="s">
        <v>2470</v>
      </c>
      <c r="I2713" s="7"/>
      <c r="J2713" s="7" t="str">
        <f>IFERROR(LET(_xlpm.v,
VLOOKUP($I2713,'用語辞書'!$A:$B,COLUMN('用語辞書'!B$1),FALSE),
IF(_xlpm.v=0,"",_xlpm.v)
),"")</f>
        <v/>
      </c>
      <c r="K2713" s="17"/>
      <c r="L2713" s="17" t="b">
        <f>IF(OR(COUNTIF('クラス'!$A$1:$A$1262,$B2713)&gt;0,$B2713="",$M2713=""),"",True)</f>
        <v>1</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2.0</v>
      </c>
      <c r="B2714" s="1"/>
      <c r="C2714" s="1"/>
      <c r="D2714" s="1"/>
      <c r="E2714" s="14"/>
      <c r="F2714" s="15"/>
      <c r="G2714" s="16"/>
      <c r="H2714" s="11"/>
      <c r="I2714" s="7"/>
      <c r="J2714" s="7" t="str">
        <f>IFERROR(LET(_xlpm.v,
VLOOKUP($I2714,'用語辞書'!$A:$B,COLUMN('用語辞書'!B$1),FALSE),
IF(_xlpm.v=0,"",_xlpm.v)
),"")</f>
        <v/>
      </c>
      <c r="K2714" s="17"/>
      <c r="L2714" s="17" t="str">
        <f>IF(OR(COUNTIF('クラス'!$A$1:$A$1262,$B2714)&gt;0,$B2714="",$M2714=""),"",True)</f>
        <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3.0</v>
      </c>
      <c r="B2715" s="26" t="s">
        <v>2471</v>
      </c>
      <c r="C2715" s="1"/>
      <c r="D2715" s="26" t="s">
        <v>783</v>
      </c>
      <c r="E2715" s="29" t="s">
        <v>33</v>
      </c>
      <c r="F2715" s="15"/>
      <c r="G2715" s="30">
        <v>60.0</v>
      </c>
      <c r="H2715" s="22" t="s">
        <v>2472</v>
      </c>
      <c r="I2715" s="7"/>
      <c r="J2715" s="7" t="str">
        <f>IFERROR(LET(_xlpm.v,
VLOOKUP($I2715,'用語辞書'!$A:$B,COLUMN('用語辞書'!B$1),FALSE),
IF(_xlpm.v=0,"",_xlpm.v)
),"")</f>
        <v/>
      </c>
      <c r="K2715" s="17"/>
      <c r="L2715" s="17" t="b">
        <f>IF(OR(COUNTIF('クラス'!$A$1:$A$1262,$B2715)&gt;0,$B2715="",$M2715=""),"",True)</f>
        <v>1</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4.0</v>
      </c>
      <c r="B2716" s="1"/>
      <c r="C2716" s="1"/>
      <c r="D2716" s="1"/>
      <c r="E2716" s="14"/>
      <c r="F2716" s="15"/>
      <c r="G2716" s="16"/>
      <c r="H2716" s="11"/>
      <c r="I2716" s="7"/>
      <c r="J2716" s="7" t="str">
        <f>IFERROR(LET(_xlpm.v,
VLOOKUP($I2716,'用語辞書'!$A:$B,COLUMN('用語辞書'!B$1),FALSE),
IF(_xlpm.v=0,"",_xlpm.v)
),"")</f>
        <v/>
      </c>
      <c r="K2716" s="17"/>
      <c r="L2716" s="17" t="str">
        <f>IF(OR(COUNTIF('クラス'!$A$1:$A$1262,$B2716)&gt;0,$B2716="",$M2716=""),"",True)</f>
        <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5.0</v>
      </c>
      <c r="B2717" s="26" t="s">
        <v>1114</v>
      </c>
      <c r="C2717" s="1"/>
      <c r="D2717" s="1"/>
      <c r="E2717" s="14"/>
      <c r="F2717" s="15"/>
      <c r="G2717" s="16"/>
      <c r="H2717" s="11"/>
      <c r="I2717" s="7"/>
      <c r="J2717" s="7" t="str">
        <f>IFERROR(LET(_xlpm.v,
VLOOKUP($I2717,'用語辞書'!$A:$B,COLUMN('用語辞書'!B$1),FALSE),
IF(_xlpm.v=0,"",_xlpm.v)
),"")</f>
        <v/>
      </c>
      <c r="K2717" s="17"/>
      <c r="L2717" s="17" t="str">
        <f>IF(OR(COUNTIF('クラス'!$A$1:$A$1262,$B2717)&gt;0,$B2717="",$M2717=""),"",True)</f>
        <v/>
      </c>
      <c r="M2717" s="1" t="str">
        <f t="shared" si="30"/>
        <v/>
      </c>
      <c r="N2717" s="1" t="s">
        <v>29</v>
      </c>
      <c r="O2717" s="1"/>
      <c r="P2717" s="11"/>
      <c r="Q2717" s="11"/>
      <c r="R2717" s="11"/>
      <c r="S2717" s="11"/>
      <c r="T2717" s="1"/>
      <c r="U2717" s="1"/>
      <c r="V2717" s="1"/>
      <c r="W2717" s="1"/>
      <c r="X2717" s="1"/>
      <c r="Y2717" s="1"/>
      <c r="Z2717" s="1"/>
    </row>
    <row r="2718" ht="18.0" hidden="1" customHeight="1" outlineLevel="2">
      <c r="A2718" s="1">
        <v>6.0</v>
      </c>
      <c r="B2718" s="1"/>
      <c r="C2718" s="1"/>
      <c r="D2718" s="1"/>
      <c r="E2718" s="14"/>
      <c r="F2718" s="15"/>
      <c r="G2718" s="16"/>
      <c r="H2718" s="11"/>
      <c r="I2718" s="7"/>
      <c r="J2718" s="7" t="str">
        <f>IFERROR(LET(_xlpm.v,
VLOOKUP($I2718,'用語辞書'!$A:$B,COLUMN('用語辞書'!B$1),FALSE),
IF(_xlpm.v=0,"",_xlpm.v)
),"")</f>
        <v/>
      </c>
      <c r="K2718" s="17"/>
      <c r="L2718" s="17" t="str">
        <f>IF(OR(COUNTIF('クラス'!$A$1:$A$1262,$B2718)&gt;0,$B2718="",$M2718=""),"",True)</f>
        <v/>
      </c>
      <c r="M2718" s="1" t="str">
        <f t="shared" si="30"/>
        <v>存在しない</v>
      </c>
      <c r="N2718" s="1" t="s">
        <v>29</v>
      </c>
      <c r="O2718" s="1"/>
      <c r="P2718" s="11"/>
      <c r="Q2718" s="11"/>
      <c r="R2718" s="11"/>
      <c r="S2718" s="11"/>
      <c r="T2718" s="1"/>
      <c r="U2718" s="1"/>
      <c r="V2718" s="1"/>
      <c r="W2718" s="1"/>
      <c r="X2718" s="1"/>
      <c r="Y2718" s="1"/>
      <c r="Z2718" s="1"/>
    </row>
    <row r="2719" ht="18.0" hidden="1" customHeight="1" outlineLevel="2">
      <c r="A2719" s="1">
        <v>7.0</v>
      </c>
      <c r="B2719" s="26" t="s">
        <v>1120</v>
      </c>
      <c r="C2719" s="1"/>
      <c r="D2719" s="1"/>
      <c r="E2719" s="14"/>
      <c r="F2719" s="15"/>
      <c r="G2719" s="16"/>
      <c r="H2719" s="11"/>
      <c r="I2719" s="7"/>
      <c r="J2719" s="7" t="str">
        <f>IFERROR(LET(_xlpm.v,
VLOOKUP($I2719,'用語辞書'!$A:$B,COLUMN('用語辞書'!B$1),FALSE),
IF(_xlpm.v=0,"",_xlpm.v)
),"")</f>
        <v/>
      </c>
      <c r="K2719" s="17"/>
      <c r="L2719" s="17" t="str">
        <f>IF(OR(COUNTIF('クラス'!$A$1:$A$1262,$B2719)&gt;0,$B2719="",$M2719=""),"",True)</f>
        <v/>
      </c>
      <c r="M2719" s="1" t="str">
        <f t="shared" si="30"/>
        <v/>
      </c>
      <c r="N2719" s="1" t="s">
        <v>29</v>
      </c>
      <c r="O2719" s="1"/>
      <c r="P2719" s="11"/>
      <c r="Q2719" s="11"/>
      <c r="R2719" s="11"/>
      <c r="S2719" s="11"/>
      <c r="T2719" s="1"/>
      <c r="U2719" s="1"/>
      <c r="V2719" s="1"/>
      <c r="W2719" s="1"/>
      <c r="X2719" s="1"/>
      <c r="Y2719" s="1"/>
      <c r="Z2719" s="1"/>
    </row>
    <row r="2720" ht="18.0" hidden="1" customHeight="1" outlineLevel="2">
      <c r="A2720" s="1">
        <v>8.0</v>
      </c>
      <c r="B2720" s="1"/>
      <c r="C2720" s="1"/>
      <c r="D2720" s="1"/>
      <c r="E2720" s="14"/>
      <c r="F2720" s="15"/>
      <c r="G2720" s="16"/>
      <c r="H2720" s="11"/>
      <c r="I2720" s="7"/>
      <c r="J2720" s="7" t="str">
        <f>IFERROR(LET(_xlpm.v,
VLOOKUP($I2720,'用語辞書'!$A:$B,COLUMN('用語辞書'!B$1),FALSE),
IF(_xlpm.v=0,"",_xlpm.v)
),"")</f>
        <v/>
      </c>
      <c r="K2720" s="17"/>
      <c r="L2720" s="17" t="str">
        <f>IF(OR(COUNTIF('クラス'!$A$1:$A$1262,$B2720)&gt;0,$B2720="",$M2720=""),"",True)</f>
        <v/>
      </c>
      <c r="M2720" s="1" t="str">
        <f t="shared" si="30"/>
        <v>存在しない</v>
      </c>
      <c r="N2720" s="1" t="s">
        <v>29</v>
      </c>
      <c r="O2720" s="1"/>
      <c r="P2720" s="11"/>
      <c r="Q2720" s="11"/>
      <c r="R2720" s="11"/>
      <c r="S2720" s="11"/>
      <c r="T2720" s="1"/>
      <c r="U2720" s="1"/>
      <c r="V2720" s="1"/>
      <c r="W2720" s="1"/>
      <c r="X2720" s="1"/>
      <c r="Y2720" s="1"/>
      <c r="Z2720" s="1"/>
    </row>
    <row r="2721" ht="18.0" hidden="1" customHeight="1" outlineLevel="2">
      <c r="A2721" s="1">
        <v>9.0</v>
      </c>
      <c r="B2721" s="26" t="s">
        <v>1116</v>
      </c>
      <c r="C2721" s="1"/>
      <c r="D2721" s="1"/>
      <c r="E2721" s="14"/>
      <c r="F2721" s="15"/>
      <c r="G2721" s="16"/>
      <c r="H2721" s="11"/>
      <c r="I2721" s="7"/>
      <c r="J2721" s="7" t="str">
        <f>IFERROR(LET(_xlpm.v,
VLOOKUP($I2721,'用語辞書'!$A:$B,COLUMN('用語辞書'!B$1),FALSE),
IF(_xlpm.v=0,"",_xlpm.v)
),"")</f>
        <v/>
      </c>
      <c r="K2721" s="17"/>
      <c r="L2721" s="17" t="str">
        <f>IF(OR(COUNTIF('クラス'!$A$1:$A$1262,$B2721)&gt;0,$B2721="",$M2721=""),"",True)</f>
        <v/>
      </c>
      <c r="M2721" s="1" t="str">
        <f t="shared" si="30"/>
        <v/>
      </c>
      <c r="N2721" s="1" t="s">
        <v>29</v>
      </c>
      <c r="O2721" s="1"/>
      <c r="P2721" s="11"/>
      <c r="Q2721" s="11"/>
      <c r="R2721" s="11"/>
      <c r="S2721" s="11"/>
      <c r="T2721" s="1"/>
      <c r="U2721" s="1"/>
      <c r="V2721" s="1"/>
      <c r="W2721" s="1"/>
      <c r="X2721" s="1"/>
      <c r="Y2721" s="1"/>
      <c r="Z2721" s="1"/>
    </row>
    <row r="2722" ht="18.0" hidden="1" customHeight="1" outlineLevel="2">
      <c r="A2722" s="1">
        <v>10.0</v>
      </c>
      <c r="B2722" s="26" t="s">
        <v>2473</v>
      </c>
      <c r="C2722" s="1"/>
      <c r="D2722" s="26" t="s">
        <v>783</v>
      </c>
      <c r="E2722" s="29" t="s">
        <v>33</v>
      </c>
      <c r="F2722" s="15"/>
      <c r="G2722" s="30">
        <v>60.0</v>
      </c>
      <c r="H2722" s="22" t="s">
        <v>2474</v>
      </c>
      <c r="I2722" s="7"/>
      <c r="J2722" s="7" t="str">
        <f>IFERROR(LET(_xlpm.v,
VLOOKUP($I2722,'用語辞書'!$A:$B,COLUMN('用語辞書'!B$1),FALSE),
IF(_xlpm.v=0,"",_xlpm.v)
),"")</f>
        <v/>
      </c>
      <c r="K2722" s="17"/>
      <c r="L2722" s="17" t="b">
        <f>IF(OR(COUNTIF('クラス'!$A$1:$A$1262,$B2722)&gt;0,$B2722="",$M2722=""),"",True)</f>
        <v>1</v>
      </c>
      <c r="M2722" s="1" t="str">
        <f t="shared" si="30"/>
        <v>存在しない</v>
      </c>
      <c r="N2722" s="1" t="s">
        <v>29</v>
      </c>
      <c r="O2722" s="1"/>
      <c r="P2722" s="11"/>
      <c r="Q2722" s="11"/>
      <c r="R2722" s="11"/>
      <c r="S2722" s="11"/>
      <c r="T2722" s="1"/>
      <c r="U2722" s="1"/>
      <c r="V2722" s="1"/>
      <c r="W2722" s="1"/>
      <c r="X2722" s="1"/>
      <c r="Y2722" s="1"/>
      <c r="Z2722" s="1"/>
    </row>
    <row r="2723" ht="18.0" customHeight="1" outlineLevel="1" collapsed="1">
      <c r="A2723" s="1"/>
      <c r="B2723" s="1"/>
      <c r="C2723" s="1"/>
      <c r="D2723" s="1"/>
      <c r="E2723" s="14"/>
      <c r="F2723" s="15"/>
      <c r="G2723" s="16"/>
      <c r="H2723" s="11"/>
      <c r="I2723" s="7"/>
      <c r="J2723" s="7" t="str">
        <f>IFERROR(LET(_xlpm.v,
VLOOKUP($I2723,'用語辞書'!$A:$B,COLUMN('用語辞書'!B$1),FALSE),
IF(_xlpm.v=0,"",_xlpm.v)
),"")</f>
        <v/>
      </c>
      <c r="K2723" s="17"/>
      <c r="L2723" s="17" t="str">
        <f>IF(OR(COUNTIF('クラス'!$A$1:$A$1262,$B2723)&gt;0,$B2723="",$M2723=""),"",True)</f>
        <v/>
      </c>
      <c r="M2723" s="1" t="str">
        <f t="shared" si="30"/>
        <v>存在しない</v>
      </c>
      <c r="N2723" s="1" t="s">
        <v>29</v>
      </c>
      <c r="O2723" s="1"/>
      <c r="P2723" s="11"/>
      <c r="Q2723" s="11"/>
      <c r="R2723" s="11"/>
      <c r="S2723" s="11"/>
      <c r="T2723" s="1"/>
      <c r="U2723" s="1"/>
      <c r="V2723" s="1"/>
      <c r="W2723" s="1"/>
      <c r="X2723" s="1"/>
      <c r="Y2723" s="1"/>
      <c r="Z2723" s="1"/>
    </row>
    <row r="2724" ht="18.0" customHeight="1" outlineLevel="1">
      <c r="A2724" s="1"/>
      <c r="B2724" s="26" t="s">
        <v>2475</v>
      </c>
      <c r="C2724" s="1"/>
      <c r="D2724" s="1"/>
      <c r="E2724" s="14"/>
      <c r="F2724" s="15"/>
      <c r="G2724" s="16"/>
      <c r="H2724" s="11"/>
      <c r="I2724" s="7"/>
      <c r="J2724" s="7" t="str">
        <f>IFERROR(LET(_xlpm.v,
VLOOKUP($I2724,'用語辞書'!$A:$B,COLUMN('用語辞書'!B$1),FALSE),
IF(_xlpm.v=0,"",_xlpm.v)
),"")</f>
        <v/>
      </c>
      <c r="K2724" s="17"/>
      <c r="L2724" s="17" t="str">
        <f>IF(OR(COUNTIF('クラス'!$A$1:$A$1262,$B2724)&gt;0,$B2724="",$M2724=""),"",True)</f>
        <v/>
      </c>
      <c r="M2724" s="1" t="str">
        <f t="shared" si="30"/>
        <v>存在しない</v>
      </c>
      <c r="N2724" s="1" t="s">
        <v>29</v>
      </c>
      <c r="O2724" s="1"/>
      <c r="P2724" s="11"/>
      <c r="Q2724" s="11"/>
      <c r="R2724" s="11"/>
      <c r="S2724" s="11"/>
      <c r="T2724" s="1"/>
      <c r="U2724" s="1"/>
      <c r="V2724" s="1"/>
      <c r="W2724" s="1"/>
      <c r="X2724" s="1"/>
      <c r="Y2724" s="1"/>
      <c r="Z2724" s="1"/>
    </row>
    <row r="2725" ht="18.0" hidden="1" customHeight="1" outlineLevel="2">
      <c r="A2725" s="1">
        <v>1.0</v>
      </c>
      <c r="B2725" s="26" t="s">
        <v>2476</v>
      </c>
      <c r="C2725" s="1"/>
      <c r="D2725" s="26" t="s">
        <v>783</v>
      </c>
      <c r="E2725" s="29" t="s">
        <v>33</v>
      </c>
      <c r="F2725" s="15"/>
      <c r="G2725" s="30">
        <v>60.0</v>
      </c>
      <c r="H2725" s="22" t="s">
        <v>2477</v>
      </c>
      <c r="I2725" s="7"/>
      <c r="J2725" s="7" t="str">
        <f>IFERROR(LET(_xlpm.v,
VLOOKUP($I2725,'用語辞書'!$A:$B,COLUMN('用語辞書'!B$1),FALSE),
IF(_xlpm.v=0,"",_xlpm.v)
),"")</f>
        <v/>
      </c>
      <c r="K2725" s="17"/>
      <c r="L2725" s="17" t="b">
        <f>IF(OR(COUNTIF('クラス'!$A$1:$A$1262,$B2725)&gt;0,$B2725="",$M2725=""),"",True)</f>
        <v>1</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2.0</v>
      </c>
      <c r="B2726" s="1"/>
      <c r="C2726" s="1"/>
      <c r="D2726" s="1"/>
      <c r="E2726" s="14"/>
      <c r="F2726" s="15"/>
      <c r="G2726" s="16"/>
      <c r="H2726" s="11"/>
      <c r="I2726" s="7"/>
      <c r="J2726" s="7" t="str">
        <f>IFERROR(LET(_xlpm.v,
VLOOKUP($I2726,'用語辞書'!$A:$B,COLUMN('用語辞書'!B$1),FALSE),
IF(_xlpm.v=0,"",_xlpm.v)
),"")</f>
        <v/>
      </c>
      <c r="K2726" s="17"/>
      <c r="L2726" s="17" t="str">
        <f>IF(OR(COUNTIF('クラス'!$A$1:$A$1262,$B2726)&gt;0,$B2726="",$M2726=""),"",True)</f>
        <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3.0</v>
      </c>
      <c r="B2727" s="26" t="s">
        <v>2478</v>
      </c>
      <c r="C2727" s="1"/>
      <c r="D2727" s="26" t="s">
        <v>1179</v>
      </c>
      <c r="E2727" s="29" t="s">
        <v>55</v>
      </c>
      <c r="F2727" s="15"/>
      <c r="G2727" s="16"/>
      <c r="H2727" s="22" t="s">
        <v>2479</v>
      </c>
      <c r="I2727" s="7"/>
      <c r="J2727" s="7" t="str">
        <f>IFERROR(LET(_xlpm.v,
VLOOKUP($I2727,'用語辞書'!$A:$B,COLUMN('用語辞書'!B$1),FALSE),
IF(_xlpm.v=0,"",_xlpm.v)
),"")</f>
        <v/>
      </c>
      <c r="K2727" s="17"/>
      <c r="L2727" s="17" t="b">
        <f>IF(OR(COUNTIF('クラス'!$A$1:$A$1262,$B2727)&gt;0,$B2727="",$M2727=""),"",True)</f>
        <v>1</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4.0</v>
      </c>
      <c r="B2728" s="1"/>
      <c r="C2728" s="1"/>
      <c r="D2728" s="1"/>
      <c r="E2728" s="14"/>
      <c r="F2728" s="15"/>
      <c r="G2728" s="16"/>
      <c r="H2728" s="11"/>
      <c r="I2728" s="7"/>
      <c r="J2728" s="7" t="str">
        <f>IFERROR(LET(_xlpm.v,
VLOOKUP($I2728,'用語辞書'!$A:$B,COLUMN('用語辞書'!B$1),FALSE),
IF(_xlpm.v=0,"",_xlpm.v)
),"")</f>
        <v/>
      </c>
      <c r="K2728" s="17"/>
      <c r="L2728" s="17" t="str">
        <f>IF(OR(COUNTIF('クラス'!$A$1:$A$1262,$B2728)&gt;0,$B2728="",$M2728=""),"",True)</f>
        <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5.0</v>
      </c>
      <c r="B2729" s="26" t="s">
        <v>1120</v>
      </c>
      <c r="C2729" s="1"/>
      <c r="D2729" s="1"/>
      <c r="E2729" s="14"/>
      <c r="F2729" s="15"/>
      <c r="G2729" s="16"/>
      <c r="H2729" s="11"/>
      <c r="I2729" s="7"/>
      <c r="J2729" s="7" t="str">
        <f>IFERROR(LET(_xlpm.v,
VLOOKUP($I2729,'用語辞書'!$A:$B,COLUMN('用語辞書'!B$1),FALSE),
IF(_xlpm.v=0,"",_xlpm.v)
),"")</f>
        <v/>
      </c>
      <c r="K2729" s="17"/>
      <c r="L2729" s="17" t="str">
        <f>IF(OR(COUNTIF('クラス'!$A$1:$A$1262,$B2729)&gt;0,$B2729="",$M2729=""),"",True)</f>
        <v/>
      </c>
      <c r="M2729" s="1" t="str">
        <f t="shared" si="30"/>
        <v/>
      </c>
      <c r="N2729" s="1" t="s">
        <v>29</v>
      </c>
      <c r="O2729" s="1"/>
      <c r="P2729" s="11"/>
      <c r="Q2729" s="11"/>
      <c r="R2729" s="11"/>
      <c r="S2729" s="11"/>
      <c r="T2729" s="1"/>
      <c r="U2729" s="1"/>
      <c r="V2729" s="1"/>
      <c r="W2729" s="1"/>
      <c r="X2729" s="1"/>
      <c r="Y2729" s="1"/>
      <c r="Z2729" s="1"/>
    </row>
    <row r="2730" ht="18.0" hidden="1" customHeight="1" outlineLevel="2">
      <c r="A2730" s="1">
        <v>6.0</v>
      </c>
      <c r="B2730" s="1"/>
      <c r="C2730" s="1"/>
      <c r="D2730" s="1"/>
      <c r="E2730" s="14"/>
      <c r="F2730" s="15"/>
      <c r="G2730" s="16"/>
      <c r="H2730" s="11"/>
      <c r="I2730" s="7"/>
      <c r="J2730" s="7" t="str">
        <f>IFERROR(LET(_xlpm.v,
VLOOKUP($I2730,'用語辞書'!$A:$B,COLUMN('用語辞書'!B$1),FALSE),
IF(_xlpm.v=0,"",_xlpm.v)
),"")</f>
        <v/>
      </c>
      <c r="K2730" s="17"/>
      <c r="L2730" s="17" t="str">
        <f>IF(OR(COUNTIF('クラス'!$A$1:$A$1262,$B2730)&gt;0,$B2730="",$M2730=""),"",True)</f>
        <v/>
      </c>
      <c r="M2730" s="1" t="str">
        <f t="shared" si="30"/>
        <v>存在しない</v>
      </c>
      <c r="N2730" s="1" t="s">
        <v>29</v>
      </c>
      <c r="O2730" s="1"/>
      <c r="P2730" s="11"/>
      <c r="Q2730" s="11"/>
      <c r="R2730" s="11"/>
      <c r="S2730" s="11"/>
      <c r="T2730" s="1"/>
      <c r="U2730" s="1"/>
      <c r="V2730" s="1"/>
      <c r="W2730" s="1"/>
      <c r="X2730" s="1"/>
      <c r="Y2730" s="1"/>
      <c r="Z2730" s="1"/>
    </row>
    <row r="2731" ht="18.0" hidden="1" customHeight="1" outlineLevel="2">
      <c r="A2731" s="1">
        <v>7.0</v>
      </c>
      <c r="B2731" s="26" t="s">
        <v>196</v>
      </c>
      <c r="C2731" s="1"/>
      <c r="D2731" s="1"/>
      <c r="E2731" s="14"/>
      <c r="F2731" s="15"/>
      <c r="G2731" s="16"/>
      <c r="H2731" s="11"/>
      <c r="I2731" s="7"/>
      <c r="J2731" s="7" t="str">
        <f>IFERROR(LET(_xlpm.v,
VLOOKUP($I2731,'用語辞書'!$A:$B,COLUMN('用語辞書'!B$1),FALSE),
IF(_xlpm.v=0,"",_xlpm.v)
),"")</f>
        <v/>
      </c>
      <c r="K2731" s="17"/>
      <c r="L2731" s="17" t="str">
        <f>IF(OR(COUNTIF('クラス'!$A$1:$A$1262,$B2731)&gt;0,$B2731="",$M2731=""),"",True)</f>
        <v/>
      </c>
      <c r="M2731" s="1" t="str">
        <f t="shared" si="30"/>
        <v/>
      </c>
      <c r="N2731" s="1" t="s">
        <v>29</v>
      </c>
      <c r="O2731" s="1"/>
      <c r="P2731" s="11"/>
      <c r="Q2731" s="11"/>
      <c r="R2731" s="11"/>
      <c r="S2731" s="11"/>
      <c r="T2731" s="1"/>
      <c r="U2731" s="1"/>
      <c r="V2731" s="1"/>
      <c r="W2731" s="1"/>
      <c r="X2731" s="1"/>
      <c r="Y2731" s="1"/>
      <c r="Z2731" s="1"/>
    </row>
    <row r="2732" ht="18.0" hidden="1" customHeight="1" outlineLevel="2">
      <c r="A2732" s="1">
        <v>8.0</v>
      </c>
      <c r="B2732" s="1"/>
      <c r="C2732" s="1"/>
      <c r="D2732" s="1"/>
      <c r="E2732" s="14"/>
      <c r="F2732" s="15"/>
      <c r="G2732" s="16"/>
      <c r="H2732" s="11"/>
      <c r="I2732" s="7"/>
      <c r="J2732" s="7" t="str">
        <f>IFERROR(LET(_xlpm.v,
VLOOKUP($I2732,'用語辞書'!$A:$B,COLUMN('用語辞書'!B$1),FALSE),
IF(_xlpm.v=0,"",_xlpm.v)
),"")</f>
        <v/>
      </c>
      <c r="K2732" s="17"/>
      <c r="L2732" s="17" t="str">
        <f>IF(OR(COUNTIF('クラス'!$A$1:$A$1262,$B2732)&gt;0,$B2732="",$M2732=""),"",True)</f>
        <v/>
      </c>
      <c r="M2732" s="1" t="str">
        <f t="shared" si="30"/>
        <v>存在しない</v>
      </c>
      <c r="N2732" s="1" t="s">
        <v>29</v>
      </c>
      <c r="O2732" s="1"/>
      <c r="P2732" s="11"/>
      <c r="Q2732" s="11"/>
      <c r="R2732" s="11"/>
      <c r="S2732" s="11"/>
      <c r="T2732" s="1"/>
      <c r="U2732" s="1"/>
      <c r="V2732" s="1"/>
      <c r="W2732" s="1"/>
      <c r="X2732" s="1"/>
      <c r="Y2732" s="1"/>
      <c r="Z2732" s="1"/>
    </row>
    <row r="2733" ht="18.0" hidden="1" customHeight="1" outlineLevel="2">
      <c r="A2733" s="1">
        <v>9.0</v>
      </c>
      <c r="B2733" s="26" t="s">
        <v>2480</v>
      </c>
      <c r="C2733" s="1"/>
      <c r="D2733" s="26" t="s">
        <v>783</v>
      </c>
      <c r="E2733" s="29" t="s">
        <v>33</v>
      </c>
      <c r="F2733" s="15"/>
      <c r="G2733" s="30">
        <v>60.0</v>
      </c>
      <c r="H2733" s="22" t="s">
        <v>2481</v>
      </c>
      <c r="I2733" s="7"/>
      <c r="J2733" s="7" t="str">
        <f>IFERROR(LET(_xlpm.v,
VLOOKUP($I2733,'用語辞書'!$A:$B,COLUMN('用語辞書'!B$1),FALSE),
IF(_xlpm.v=0,"",_xlpm.v)
),"")</f>
        <v/>
      </c>
      <c r="K2733" s="17"/>
      <c r="L2733" s="17" t="b">
        <f>IF(OR(COUNTIF('クラス'!$A$1:$A$1262,$B2733)&gt;0,$B2733="",$M2733=""),"",True)</f>
        <v>1</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10.0</v>
      </c>
      <c r="B2734" s="26" t="s">
        <v>2482</v>
      </c>
      <c r="C2734" s="1"/>
      <c r="D2734" s="26" t="s">
        <v>783</v>
      </c>
      <c r="E2734" s="29" t="s">
        <v>33</v>
      </c>
      <c r="F2734" s="15"/>
      <c r="G2734" s="30">
        <v>60.0</v>
      </c>
      <c r="H2734" s="22" t="s">
        <v>2483</v>
      </c>
      <c r="I2734" s="7"/>
      <c r="J2734" s="7" t="str">
        <f>IFERROR(LET(_xlpm.v,
VLOOKUP($I2734,'用語辞書'!$A:$B,COLUMN('用語辞書'!B$1),FALSE),
IF(_xlpm.v=0,"",_xlpm.v)
),"")</f>
        <v/>
      </c>
      <c r="K2734" s="17"/>
      <c r="L2734" s="17" t="b">
        <f>IF(OR(COUNTIF('クラス'!$A$1:$A$1262,$B2734)&gt;0,$B2734="",$M2734=""),"",True)</f>
        <v>1</v>
      </c>
      <c r="M2734" s="1" t="str">
        <f t="shared" si="30"/>
        <v>存在しない</v>
      </c>
      <c r="N2734" s="1" t="s">
        <v>29</v>
      </c>
      <c r="O2734" s="1"/>
      <c r="P2734" s="11"/>
      <c r="Q2734" s="11"/>
      <c r="R2734" s="11"/>
      <c r="S2734" s="11"/>
      <c r="T2734" s="1"/>
      <c r="U2734" s="1"/>
      <c r="V2734" s="1"/>
      <c r="W2734" s="1"/>
      <c r="X2734" s="1"/>
      <c r="Y2734" s="1"/>
      <c r="Z2734" s="1"/>
    </row>
    <row r="2735" ht="18.0" customHeight="1" outlineLevel="1" collapsed="1">
      <c r="A2735" s="1"/>
      <c r="B2735" s="1"/>
      <c r="C2735" s="1"/>
      <c r="D2735" s="1"/>
      <c r="E2735" s="14"/>
      <c r="F2735" s="15"/>
      <c r="G2735" s="16"/>
      <c r="H2735" s="11"/>
      <c r="I2735" s="7"/>
      <c r="J2735" s="7" t="str">
        <f>IFERROR(LET(_xlpm.v,
VLOOKUP($I2735,'用語辞書'!$A:$B,COLUMN('用語辞書'!B$1),FALSE),
IF(_xlpm.v=0,"",_xlpm.v)
),"")</f>
        <v/>
      </c>
      <c r="K2735" s="17"/>
      <c r="L2735" s="17" t="str">
        <f>IF(OR(COUNTIF('クラス'!$A$1:$A$1262,$B2735)&gt;0,$B2735="",$M2735=""),"",True)</f>
        <v/>
      </c>
      <c r="M2735" s="1" t="str">
        <f t="shared" si="30"/>
        <v>存在しない</v>
      </c>
      <c r="N2735" s="1" t="s">
        <v>29</v>
      </c>
      <c r="O2735" s="1"/>
      <c r="P2735" s="11"/>
      <c r="Q2735" s="11"/>
      <c r="R2735" s="11"/>
      <c r="S2735" s="11"/>
      <c r="T2735" s="1"/>
      <c r="U2735" s="1"/>
      <c r="V2735" s="1"/>
      <c r="W2735" s="1"/>
      <c r="X2735" s="1"/>
      <c r="Y2735" s="1"/>
      <c r="Z2735" s="1"/>
    </row>
    <row r="2736" ht="18.0" customHeight="1" outlineLevel="1">
      <c r="A2736" s="1"/>
      <c r="B2736" s="26" t="s">
        <v>2484</v>
      </c>
      <c r="C2736" s="1"/>
      <c r="D2736" s="1"/>
      <c r="E2736" s="14"/>
      <c r="F2736" s="15"/>
      <c r="G2736" s="16"/>
      <c r="H2736" s="11"/>
      <c r="I2736" s="7"/>
      <c r="J2736" s="7" t="str">
        <f>IFERROR(LET(_xlpm.v,
VLOOKUP($I2736,'用語辞書'!$A:$B,COLUMN('用語辞書'!B$1),FALSE),
IF(_xlpm.v=0,"",_xlpm.v)
),"")</f>
        <v/>
      </c>
      <c r="K2736" s="17"/>
      <c r="L2736" s="17" t="str">
        <f>IF(OR(COUNTIF('クラス'!$A$1:$A$1262,$B2736)&gt;0,$B2736="",$M2736=""),"",True)</f>
        <v/>
      </c>
      <c r="M2736" s="1" t="str">
        <f t="shared" si="30"/>
        <v>存在しない</v>
      </c>
      <c r="N2736" s="1" t="s">
        <v>29</v>
      </c>
      <c r="O2736" s="1"/>
      <c r="P2736" s="11"/>
      <c r="Q2736" s="11"/>
      <c r="R2736" s="11"/>
      <c r="S2736" s="11"/>
      <c r="T2736" s="1"/>
      <c r="U2736" s="1"/>
      <c r="V2736" s="1"/>
      <c r="W2736" s="1"/>
      <c r="X2736" s="1"/>
      <c r="Y2736" s="1"/>
      <c r="Z2736" s="1"/>
    </row>
    <row r="2737" ht="18.0" hidden="1" customHeight="1" outlineLevel="2">
      <c r="A2737" s="1">
        <v>1.0</v>
      </c>
      <c r="B2737" s="26" t="s">
        <v>2038</v>
      </c>
      <c r="C2737" s="1"/>
      <c r="D2737" s="1"/>
      <c r="E2737" s="14"/>
      <c r="F2737" s="15"/>
      <c r="G2737" s="16"/>
      <c r="H2737" s="11"/>
      <c r="I2737" s="7"/>
      <c r="J2737" s="7" t="str">
        <f>IFERROR(LET(_xlpm.v,
VLOOKUP($I2737,'用語辞書'!$A:$B,COLUMN('用語辞書'!B$1),FALSE),
IF(_xlpm.v=0,"",_xlpm.v)
),"")</f>
        <v/>
      </c>
      <c r="K2737" s="17"/>
      <c r="L2737" s="17" t="str">
        <f>IF(OR(COUNTIF('クラス'!$A$1:$A$1262,$B2737)&gt;0,$B2737="",$M2737=""),"",True)</f>
        <v/>
      </c>
      <c r="M2737" s="1" t="str">
        <f t="shared" si="30"/>
        <v/>
      </c>
      <c r="N2737" s="1" t="s">
        <v>29</v>
      </c>
      <c r="O2737" s="1"/>
      <c r="P2737" s="11"/>
      <c r="Q2737" s="11"/>
      <c r="R2737" s="11"/>
      <c r="S2737" s="11"/>
      <c r="T2737" s="1"/>
      <c r="U2737" s="1"/>
      <c r="V2737" s="1"/>
      <c r="W2737" s="1"/>
      <c r="X2737" s="1"/>
      <c r="Y2737" s="1"/>
      <c r="Z2737" s="1"/>
    </row>
    <row r="2738" ht="18.0" hidden="1" customHeight="1" outlineLevel="2">
      <c r="A2738" s="1">
        <v>2.0</v>
      </c>
      <c r="B2738" s="1"/>
      <c r="C2738" s="1"/>
      <c r="D2738" s="1"/>
      <c r="E2738" s="14"/>
      <c r="F2738" s="15"/>
      <c r="G2738" s="16"/>
      <c r="H2738" s="11"/>
      <c r="I2738" s="7"/>
      <c r="J2738" s="7" t="str">
        <f>IFERROR(LET(_xlpm.v,
VLOOKUP($I2738,'用語辞書'!$A:$B,COLUMN('用語辞書'!B$1),FALSE),
IF(_xlpm.v=0,"",_xlpm.v)
),"")</f>
        <v/>
      </c>
      <c r="K2738" s="17"/>
      <c r="L2738" s="17" t="str">
        <f>IF(OR(COUNTIF('クラス'!$A$1:$A$1262,$B2738)&gt;0,$B2738="",$M2738=""),"",True)</f>
        <v/>
      </c>
      <c r="M2738" s="1" t="str">
        <f t="shared" si="30"/>
        <v>存在しない</v>
      </c>
      <c r="N2738" s="1" t="s">
        <v>29</v>
      </c>
      <c r="O2738" s="1"/>
      <c r="P2738" s="11"/>
      <c r="Q2738" s="11"/>
      <c r="R2738" s="11"/>
      <c r="S2738" s="11"/>
      <c r="T2738" s="1"/>
      <c r="U2738" s="1"/>
      <c r="V2738" s="1"/>
      <c r="W2738" s="1"/>
      <c r="X2738" s="1"/>
      <c r="Y2738" s="1"/>
      <c r="Z2738" s="1"/>
    </row>
    <row r="2739" ht="18.0" hidden="1" customHeight="1" outlineLevel="2">
      <c r="A2739" s="1">
        <v>3.0</v>
      </c>
      <c r="B2739" s="26" t="s">
        <v>1120</v>
      </c>
      <c r="C2739" s="1"/>
      <c r="D2739" s="1"/>
      <c r="E2739" s="14"/>
      <c r="F2739" s="15"/>
      <c r="G2739" s="16"/>
      <c r="H2739" s="11"/>
      <c r="I2739" s="7"/>
      <c r="J2739" s="7" t="str">
        <f>IFERROR(LET(_xlpm.v,
VLOOKUP($I2739,'用語辞書'!$A:$B,COLUMN('用語辞書'!B$1),FALSE),
IF(_xlpm.v=0,"",_xlpm.v)
),"")</f>
        <v/>
      </c>
      <c r="K2739" s="17"/>
      <c r="L2739" s="17" t="str">
        <f>IF(OR(COUNTIF('クラス'!$A$1:$A$1262,$B2739)&gt;0,$B2739="",$M2739=""),"",True)</f>
        <v/>
      </c>
      <c r="M2739" s="1" t="str">
        <f t="shared" si="30"/>
        <v/>
      </c>
      <c r="N2739" s="1" t="s">
        <v>29</v>
      </c>
      <c r="O2739" s="1"/>
      <c r="P2739" s="11"/>
      <c r="Q2739" s="11"/>
      <c r="R2739" s="11"/>
      <c r="S2739" s="11"/>
      <c r="T2739" s="1"/>
      <c r="U2739" s="1"/>
      <c r="V2739" s="1"/>
      <c r="W2739" s="1"/>
      <c r="X2739" s="1"/>
      <c r="Y2739" s="1"/>
      <c r="Z2739" s="1"/>
    </row>
    <row r="2740" ht="18.0" hidden="1" customHeight="1" outlineLevel="2">
      <c r="A2740" s="1">
        <v>4.0</v>
      </c>
      <c r="B2740" s="1"/>
      <c r="C2740" s="1"/>
      <c r="D2740" s="1"/>
      <c r="E2740" s="14"/>
      <c r="F2740" s="15"/>
      <c r="G2740" s="16"/>
      <c r="H2740" s="11"/>
      <c r="I2740" s="7"/>
      <c r="J2740" s="7" t="str">
        <f>IFERROR(LET(_xlpm.v,
VLOOKUP($I2740,'用語辞書'!$A:$B,COLUMN('用語辞書'!B$1),FALSE),
IF(_xlpm.v=0,"",_xlpm.v)
),"")</f>
        <v/>
      </c>
      <c r="K2740" s="17"/>
      <c r="L2740" s="17" t="str">
        <f>IF(OR(COUNTIF('クラス'!$A$1:$A$1262,$B2740)&gt;0,$B2740="",$M2740=""),"",True)</f>
        <v/>
      </c>
      <c r="M2740" s="1" t="str">
        <f t="shared" si="30"/>
        <v>存在しない</v>
      </c>
      <c r="N2740" s="1" t="s">
        <v>29</v>
      </c>
      <c r="O2740" s="1"/>
      <c r="P2740" s="11"/>
      <c r="Q2740" s="11"/>
      <c r="R2740" s="11"/>
      <c r="S2740" s="11"/>
      <c r="T2740" s="1"/>
      <c r="U2740" s="1"/>
      <c r="V2740" s="1"/>
      <c r="W2740" s="1"/>
      <c r="X2740" s="1"/>
      <c r="Y2740" s="1"/>
      <c r="Z2740" s="1"/>
    </row>
    <row r="2741" ht="18.0" hidden="1" customHeight="1" outlineLevel="2">
      <c r="A2741" s="1">
        <v>5.0</v>
      </c>
      <c r="B2741" s="26" t="s">
        <v>182</v>
      </c>
      <c r="C2741" s="1"/>
      <c r="D2741" s="1"/>
      <c r="E2741" s="14"/>
      <c r="F2741" s="15"/>
      <c r="G2741" s="16"/>
      <c r="H2741" s="11"/>
      <c r="I2741" s="7"/>
      <c r="J2741" s="7" t="str">
        <f>IFERROR(LET(_xlpm.v,
VLOOKUP($I2741,'用語辞書'!$A:$B,COLUMN('用語辞書'!B$1),FALSE),
IF(_xlpm.v=0,"",_xlpm.v)
),"")</f>
        <v/>
      </c>
      <c r="K2741" s="17"/>
      <c r="L2741" s="17" t="str">
        <f>IF(OR(COUNTIF('クラス'!$A$1:$A$1262,$B2741)&gt;0,$B2741="",$M2741=""),"",True)</f>
        <v/>
      </c>
      <c r="M2741" s="1" t="str">
        <f t="shared" si="30"/>
        <v/>
      </c>
      <c r="N2741" s="1" t="s">
        <v>29</v>
      </c>
      <c r="O2741" s="1"/>
      <c r="P2741" s="11"/>
      <c r="Q2741" s="11"/>
      <c r="R2741" s="11"/>
      <c r="S2741" s="11"/>
      <c r="T2741" s="1"/>
      <c r="U2741" s="1"/>
      <c r="V2741" s="1"/>
      <c r="W2741" s="1"/>
      <c r="X2741" s="1"/>
      <c r="Y2741" s="1"/>
      <c r="Z2741" s="1"/>
    </row>
    <row r="2742" ht="18.0" hidden="1" customHeight="1" outlineLevel="2">
      <c r="A2742" s="1">
        <v>6.0</v>
      </c>
      <c r="B2742" s="1"/>
      <c r="C2742" s="1"/>
      <c r="D2742" s="1"/>
      <c r="E2742" s="14"/>
      <c r="F2742" s="15"/>
      <c r="G2742" s="16"/>
      <c r="H2742" s="11"/>
      <c r="I2742" s="7"/>
      <c r="J2742" s="7" t="str">
        <f>IFERROR(LET(_xlpm.v,
VLOOKUP($I2742,'用語辞書'!$A:$B,COLUMN('用語辞書'!B$1),FALSE),
IF(_xlpm.v=0,"",_xlpm.v)
),"")</f>
        <v/>
      </c>
      <c r="K2742" s="17"/>
      <c r="L2742" s="17" t="str">
        <f>IF(OR(COUNTIF('クラス'!$A$1:$A$1262,$B2742)&gt;0,$B2742="",$M2742=""),"",True)</f>
        <v/>
      </c>
      <c r="M2742" s="1" t="str">
        <f t="shared" si="30"/>
        <v>存在しない</v>
      </c>
      <c r="N2742" s="1" t="s">
        <v>29</v>
      </c>
      <c r="O2742" s="1"/>
      <c r="P2742" s="11"/>
      <c r="Q2742" s="11"/>
      <c r="R2742" s="11"/>
      <c r="S2742" s="11"/>
      <c r="T2742" s="1"/>
      <c r="U2742" s="1"/>
      <c r="V2742" s="1"/>
      <c r="W2742" s="1"/>
      <c r="X2742" s="1"/>
      <c r="Y2742" s="1"/>
      <c r="Z2742" s="1"/>
    </row>
    <row r="2743" ht="18.0" hidden="1" customHeight="1" outlineLevel="2">
      <c r="A2743" s="1">
        <v>7.0</v>
      </c>
      <c r="B2743" s="26" t="s">
        <v>2485</v>
      </c>
      <c r="C2743" s="1"/>
      <c r="D2743" s="26" t="s">
        <v>1179</v>
      </c>
      <c r="E2743" s="29" t="s">
        <v>55</v>
      </c>
      <c r="F2743" s="15"/>
      <c r="G2743" s="16"/>
      <c r="H2743" s="22" t="s">
        <v>2486</v>
      </c>
      <c r="I2743" s="7"/>
      <c r="J2743" s="7" t="str">
        <f>IFERROR(LET(_xlpm.v,
VLOOKUP($I2743,'用語辞書'!$A:$B,COLUMN('用語辞書'!B$1),FALSE),
IF(_xlpm.v=0,"",_xlpm.v)
),"")</f>
        <v/>
      </c>
      <c r="K2743" s="17"/>
      <c r="L2743" s="17" t="b">
        <f>IF(OR(COUNTIF('クラス'!$A$1:$A$1262,$B2743)&gt;0,$B2743="",$M2743=""),"",True)</f>
        <v>1</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8.0</v>
      </c>
      <c r="B2744" s="1"/>
      <c r="C2744" s="1"/>
      <c r="D2744" s="1"/>
      <c r="E2744" s="14"/>
      <c r="F2744" s="15"/>
      <c r="G2744" s="16"/>
      <c r="H2744" s="11"/>
      <c r="I2744" s="7"/>
      <c r="J2744" s="7" t="str">
        <f>IFERROR(LET(_xlpm.v,
VLOOKUP($I2744,'用語辞書'!$A:$B,COLUMN('用語辞書'!B$1),FALSE),
IF(_xlpm.v=0,"",_xlpm.v)
),"")</f>
        <v/>
      </c>
      <c r="K2744" s="17"/>
      <c r="L2744" s="17" t="str">
        <f>IF(OR(COUNTIF('クラス'!$A$1:$A$1262,$B2744)&gt;0,$B2744="",$M2744=""),"",True)</f>
        <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9.0</v>
      </c>
      <c r="B2745" s="26" t="s">
        <v>196</v>
      </c>
      <c r="C2745" s="1"/>
      <c r="D2745" s="1"/>
      <c r="E2745" s="14"/>
      <c r="F2745" s="15"/>
      <c r="G2745" s="16"/>
      <c r="H2745" s="11"/>
      <c r="I2745" s="7"/>
      <c r="J2745" s="7" t="str">
        <f>IFERROR(LET(_xlpm.v,
VLOOKUP($I2745,'用語辞書'!$A:$B,COLUMN('用語辞書'!B$1),FALSE),
IF(_xlpm.v=0,"",_xlpm.v)
),"")</f>
        <v/>
      </c>
      <c r="K2745" s="17"/>
      <c r="L2745" s="17" t="str">
        <f>IF(OR(COUNTIF('クラス'!$A$1:$A$1262,$B2745)&gt;0,$B2745="",$M2745=""),"",True)</f>
        <v/>
      </c>
      <c r="M2745" s="1" t="str">
        <f t="shared" si="30"/>
        <v/>
      </c>
      <c r="N2745" s="1" t="s">
        <v>29</v>
      </c>
      <c r="O2745" s="1"/>
      <c r="P2745" s="11"/>
      <c r="Q2745" s="11"/>
      <c r="R2745" s="11"/>
      <c r="S2745" s="11"/>
      <c r="T2745" s="1"/>
      <c r="U2745" s="1"/>
      <c r="V2745" s="1"/>
      <c r="W2745" s="1"/>
      <c r="X2745" s="1"/>
      <c r="Y2745" s="1"/>
      <c r="Z2745" s="1"/>
    </row>
    <row r="2746" ht="18.0" hidden="1" customHeight="1" outlineLevel="2">
      <c r="A2746" s="1">
        <v>10.0</v>
      </c>
      <c r="B2746" s="26" t="s">
        <v>2487</v>
      </c>
      <c r="C2746" s="1"/>
      <c r="D2746" s="26" t="s">
        <v>1179</v>
      </c>
      <c r="E2746" s="29" t="s">
        <v>33</v>
      </c>
      <c r="F2746" s="15"/>
      <c r="G2746" s="30">
        <v>60.0</v>
      </c>
      <c r="H2746" s="22" t="s">
        <v>2488</v>
      </c>
      <c r="I2746" s="7"/>
      <c r="J2746" s="7" t="str">
        <f>IFERROR(LET(_xlpm.v,
VLOOKUP($I2746,'用語辞書'!$A:$B,COLUMN('用語辞書'!B$1),FALSE),
IF(_xlpm.v=0,"",_xlpm.v)
),"")</f>
        <v/>
      </c>
      <c r="K2746" s="17"/>
      <c r="L2746" s="17" t="b">
        <f>IF(OR(COUNTIF('クラス'!$A$1:$A$1262,$B2746)&gt;0,$B2746="",$M2746=""),"",True)</f>
        <v>1</v>
      </c>
      <c r="M2746" s="1" t="str">
        <f t="shared" si="30"/>
        <v>存在しない</v>
      </c>
      <c r="N2746" s="1" t="s">
        <v>29</v>
      </c>
      <c r="O2746" s="1"/>
      <c r="P2746" s="11"/>
      <c r="Q2746" s="11"/>
      <c r="R2746" s="11"/>
      <c r="S2746" s="11"/>
      <c r="T2746" s="1"/>
      <c r="U2746" s="1"/>
      <c r="V2746" s="1"/>
      <c r="W2746" s="1"/>
      <c r="X2746" s="1"/>
      <c r="Y2746" s="1"/>
      <c r="Z2746" s="1"/>
    </row>
    <row r="2747" ht="18.0" customHeight="1" outlineLevel="1" collapsed="1">
      <c r="A2747" s="1"/>
      <c r="B2747" s="1"/>
      <c r="C2747" s="1"/>
      <c r="D2747" s="1"/>
      <c r="E2747" s="14"/>
      <c r="F2747" s="15"/>
      <c r="G2747" s="16"/>
      <c r="H2747" s="11"/>
      <c r="I2747" s="7"/>
      <c r="J2747" s="7" t="str">
        <f>IFERROR(LET(_xlpm.v,
VLOOKUP($I2747,'用語辞書'!$A:$B,COLUMN('用語辞書'!B$1),FALSE),
IF(_xlpm.v=0,"",_xlpm.v)
),"")</f>
        <v/>
      </c>
      <c r="K2747" s="17"/>
      <c r="L2747" s="17" t="str">
        <f>IF(OR(COUNTIF('クラス'!$A$1:$A$1262,$B2747)&gt;0,$B2747="",$M2747=""),"",True)</f>
        <v/>
      </c>
      <c r="M2747" s="1" t="str">
        <f t="shared" si="30"/>
        <v>存在しない</v>
      </c>
      <c r="N2747" s="1" t="s">
        <v>29</v>
      </c>
      <c r="O2747" s="1"/>
      <c r="P2747" s="11"/>
      <c r="Q2747" s="11"/>
      <c r="R2747" s="11"/>
      <c r="S2747" s="11"/>
      <c r="T2747" s="1"/>
      <c r="U2747" s="1"/>
      <c r="V2747" s="1"/>
      <c r="W2747" s="1"/>
      <c r="X2747" s="1"/>
      <c r="Y2747" s="1"/>
      <c r="Z2747" s="1"/>
    </row>
    <row r="2748" ht="18.0" customHeight="1" outlineLevel="1">
      <c r="A2748" s="1"/>
      <c r="B2748" s="26" t="s">
        <v>2489</v>
      </c>
      <c r="C2748" s="1"/>
      <c r="D2748" s="1"/>
      <c r="E2748" s="14"/>
      <c r="F2748" s="15"/>
      <c r="G2748" s="16"/>
      <c r="H2748" s="11"/>
      <c r="I2748" s="7"/>
      <c r="J2748" s="7" t="str">
        <f>IFERROR(LET(_xlpm.v,
VLOOKUP($I2748,'用語辞書'!$A:$B,COLUMN('用語辞書'!B$1),FALSE),
IF(_xlpm.v=0,"",_xlpm.v)
),"")</f>
        <v/>
      </c>
      <c r="K2748" s="17"/>
      <c r="L2748" s="17" t="str">
        <f>IF(OR(COUNTIF('クラス'!$A$1:$A$1262,$B2748)&gt;0,$B2748="",$M2748=""),"",True)</f>
        <v/>
      </c>
      <c r="M2748" s="1" t="str">
        <f t="shared" si="30"/>
        <v>存在しない</v>
      </c>
      <c r="N2748" s="1" t="s">
        <v>29</v>
      </c>
      <c r="O2748" s="1"/>
      <c r="P2748" s="11"/>
      <c r="Q2748" s="11"/>
      <c r="R2748" s="11"/>
      <c r="S2748" s="11"/>
      <c r="T2748" s="1"/>
      <c r="U2748" s="1"/>
      <c r="V2748" s="1"/>
      <c r="W2748" s="1"/>
      <c r="X2748" s="1"/>
      <c r="Y2748" s="1"/>
      <c r="Z2748" s="1"/>
    </row>
    <row r="2749" ht="18.0" hidden="1" customHeight="1" outlineLevel="2">
      <c r="A2749" s="1">
        <v>1.0</v>
      </c>
      <c r="B2749" s="26" t="s">
        <v>2046</v>
      </c>
      <c r="C2749" s="1"/>
      <c r="D2749" s="1"/>
      <c r="E2749" s="14"/>
      <c r="F2749" s="15"/>
      <c r="G2749" s="16"/>
      <c r="H2749" s="11"/>
      <c r="I2749" s="7"/>
      <c r="J2749" s="7" t="str">
        <f>IFERROR(LET(_xlpm.v,
VLOOKUP($I2749,'用語辞書'!$A:$B,COLUMN('用語辞書'!B$1),FALSE),
IF(_xlpm.v=0,"",_xlpm.v)
),"")</f>
        <v/>
      </c>
      <c r="K2749" s="17"/>
      <c r="L2749" s="17" t="str">
        <f>IF(OR(COUNTIF('クラス'!$A$1:$A$1262,$B2749)&gt;0,$B2749="",$M2749=""),"",True)</f>
        <v/>
      </c>
      <c r="M2749" s="1" t="str">
        <f t="shared" si="30"/>
        <v/>
      </c>
      <c r="N2749" s="1" t="s">
        <v>29</v>
      </c>
      <c r="O2749" s="1"/>
      <c r="P2749" s="11"/>
      <c r="Q2749" s="11"/>
      <c r="R2749" s="11"/>
      <c r="S2749" s="11"/>
      <c r="T2749" s="1"/>
      <c r="U2749" s="1"/>
      <c r="V2749" s="1"/>
      <c r="W2749" s="1"/>
      <c r="X2749" s="1"/>
      <c r="Y2749" s="1"/>
      <c r="Z2749" s="1"/>
    </row>
    <row r="2750" ht="18.0" hidden="1" customHeight="1" outlineLevel="2">
      <c r="A2750" s="1">
        <v>2.0</v>
      </c>
      <c r="B2750" s="1"/>
      <c r="C2750" s="1"/>
      <c r="D2750" s="1"/>
      <c r="E2750" s="14"/>
      <c r="F2750" s="15"/>
      <c r="G2750" s="16"/>
      <c r="H2750" s="11"/>
      <c r="I2750" s="7"/>
      <c r="J2750" s="7" t="str">
        <f>IFERROR(LET(_xlpm.v,
VLOOKUP($I2750,'用語辞書'!$A:$B,COLUMN('用語辞書'!B$1),FALSE),
IF(_xlpm.v=0,"",_xlpm.v)
),"")</f>
        <v/>
      </c>
      <c r="K2750" s="17"/>
      <c r="L2750" s="17" t="str">
        <f>IF(OR(COUNTIF('クラス'!$A$1:$A$1262,$B2750)&gt;0,$B2750="",$M2750=""),"",True)</f>
        <v/>
      </c>
      <c r="M2750" s="1" t="str">
        <f t="shared" si="30"/>
        <v>存在しない</v>
      </c>
      <c r="N2750" s="1" t="s">
        <v>29</v>
      </c>
      <c r="O2750" s="1"/>
      <c r="P2750" s="11"/>
      <c r="Q2750" s="11"/>
      <c r="R2750" s="11"/>
      <c r="S2750" s="11"/>
      <c r="T2750" s="1"/>
      <c r="U2750" s="1"/>
      <c r="V2750" s="1"/>
      <c r="W2750" s="1"/>
      <c r="X2750" s="1"/>
      <c r="Y2750" s="1"/>
      <c r="Z2750" s="1"/>
    </row>
    <row r="2751" ht="18.0" hidden="1" customHeight="1" outlineLevel="2">
      <c r="A2751" s="1">
        <v>3.0</v>
      </c>
      <c r="B2751" s="26" t="s">
        <v>2184</v>
      </c>
      <c r="C2751" s="1"/>
      <c r="D2751" s="1"/>
      <c r="E2751" s="14"/>
      <c r="F2751" s="15"/>
      <c r="G2751" s="16"/>
      <c r="H2751" s="11"/>
      <c r="I2751" s="7"/>
      <c r="J2751" s="7" t="str">
        <f>IFERROR(LET(_xlpm.v,
VLOOKUP($I2751,'用語辞書'!$A:$B,COLUMN('用語辞書'!B$1),FALSE),
IF(_xlpm.v=0,"",_xlpm.v)
),"")</f>
        <v/>
      </c>
      <c r="K2751" s="17"/>
      <c r="L2751" s="17" t="str">
        <f>IF(OR(COUNTIF('クラス'!$A$1:$A$1262,$B2751)&gt;0,$B2751="",$M2751=""),"",True)</f>
        <v/>
      </c>
      <c r="M2751" s="1" t="str">
        <f t="shared" si="30"/>
        <v/>
      </c>
      <c r="N2751" s="1" t="s">
        <v>29</v>
      </c>
      <c r="O2751" s="1"/>
      <c r="P2751" s="11"/>
      <c r="Q2751" s="11"/>
      <c r="R2751" s="11"/>
      <c r="S2751" s="11"/>
      <c r="T2751" s="1"/>
      <c r="U2751" s="1"/>
      <c r="V2751" s="1"/>
      <c r="W2751" s="1"/>
      <c r="X2751" s="1"/>
      <c r="Y2751" s="1"/>
      <c r="Z2751" s="1"/>
    </row>
    <row r="2752" ht="18.0" hidden="1" customHeight="1" outlineLevel="2">
      <c r="A2752" s="1">
        <v>4.0</v>
      </c>
      <c r="B2752" s="1"/>
      <c r="C2752" s="1"/>
      <c r="D2752" s="1"/>
      <c r="E2752" s="14"/>
      <c r="F2752" s="15"/>
      <c r="G2752" s="16"/>
      <c r="H2752" s="11"/>
      <c r="I2752" s="7"/>
      <c r="J2752" s="7" t="str">
        <f>IFERROR(LET(_xlpm.v,
VLOOKUP($I2752,'用語辞書'!$A:$B,COLUMN('用語辞書'!B$1),FALSE),
IF(_xlpm.v=0,"",_xlpm.v)
),"")</f>
        <v/>
      </c>
      <c r="K2752" s="17"/>
      <c r="L2752" s="17" t="str">
        <f>IF(OR(COUNTIF('クラス'!$A$1:$A$1262,$B2752)&gt;0,$B2752="",$M2752=""),"",True)</f>
        <v/>
      </c>
      <c r="M2752" s="1" t="str">
        <f t="shared" si="30"/>
        <v>存在しない</v>
      </c>
      <c r="N2752" s="1" t="s">
        <v>29</v>
      </c>
      <c r="O2752" s="1"/>
      <c r="P2752" s="11"/>
      <c r="Q2752" s="11"/>
      <c r="R2752" s="11"/>
      <c r="S2752" s="11"/>
      <c r="T2752" s="1"/>
      <c r="U2752" s="1"/>
      <c r="V2752" s="1"/>
      <c r="W2752" s="1"/>
      <c r="X2752" s="1"/>
      <c r="Y2752" s="1"/>
      <c r="Z2752" s="1"/>
    </row>
    <row r="2753" ht="18.0" hidden="1" customHeight="1" outlineLevel="2">
      <c r="A2753" s="1">
        <v>5.0</v>
      </c>
      <c r="B2753" s="26" t="s">
        <v>2192</v>
      </c>
      <c r="C2753" s="1"/>
      <c r="D2753" s="1"/>
      <c r="E2753" s="14"/>
      <c r="F2753" s="15"/>
      <c r="G2753" s="16"/>
      <c r="H2753" s="11"/>
      <c r="I2753" s="7"/>
      <c r="J2753" s="7" t="str">
        <f>IFERROR(LET(_xlpm.v,
VLOOKUP($I2753,'用語辞書'!$A:$B,COLUMN('用語辞書'!B$1),FALSE),
IF(_xlpm.v=0,"",_xlpm.v)
),"")</f>
        <v/>
      </c>
      <c r="K2753" s="17"/>
      <c r="L2753" s="17" t="str">
        <f>IF(OR(COUNTIF('クラス'!$A$1:$A$1262,$B2753)&gt;0,$B2753="",$M2753=""),"",True)</f>
        <v/>
      </c>
      <c r="M2753" s="1" t="str">
        <f t="shared" si="30"/>
        <v/>
      </c>
      <c r="N2753" s="1" t="s">
        <v>29</v>
      </c>
      <c r="O2753" s="1"/>
      <c r="P2753" s="11"/>
      <c r="Q2753" s="11"/>
      <c r="R2753" s="11"/>
      <c r="S2753" s="11"/>
      <c r="T2753" s="1"/>
      <c r="U2753" s="1"/>
      <c r="V2753" s="1"/>
      <c r="W2753" s="1"/>
      <c r="X2753" s="1"/>
      <c r="Y2753" s="1"/>
      <c r="Z2753" s="1"/>
    </row>
    <row r="2754" ht="18.0" hidden="1" customHeight="1" outlineLevel="2">
      <c r="A2754" s="1">
        <v>6.0</v>
      </c>
      <c r="B2754" s="1"/>
      <c r="C2754" s="1"/>
      <c r="D2754" s="1"/>
      <c r="E2754" s="14"/>
      <c r="F2754" s="15"/>
      <c r="G2754" s="16"/>
      <c r="H2754" s="11"/>
      <c r="I2754" s="7"/>
      <c r="J2754" s="7" t="str">
        <f>IFERROR(LET(_xlpm.v,
VLOOKUP($I2754,'用語辞書'!$A:$B,COLUMN('用語辞書'!B$1),FALSE),
IF(_xlpm.v=0,"",_xlpm.v)
),"")</f>
        <v/>
      </c>
      <c r="K2754" s="17"/>
      <c r="L2754" s="17" t="str">
        <f>IF(OR(COUNTIF('クラス'!$A$1:$A$1262,$B2754)&gt;0,$B2754="",$M2754=""),"",True)</f>
        <v/>
      </c>
      <c r="M2754" s="1" t="str">
        <f t="shared" si="30"/>
        <v>存在しない</v>
      </c>
      <c r="N2754" s="1" t="s">
        <v>29</v>
      </c>
      <c r="O2754" s="1"/>
      <c r="P2754" s="11"/>
      <c r="Q2754" s="11"/>
      <c r="R2754" s="11"/>
      <c r="S2754" s="11"/>
      <c r="T2754" s="1"/>
      <c r="U2754" s="1"/>
      <c r="V2754" s="1"/>
      <c r="W2754" s="1"/>
      <c r="X2754" s="1"/>
      <c r="Y2754" s="1"/>
      <c r="Z2754" s="1"/>
    </row>
    <row r="2755" ht="18.0" hidden="1" customHeight="1" outlineLevel="2">
      <c r="A2755" s="1">
        <v>7.0</v>
      </c>
      <c r="B2755" s="26" t="s">
        <v>217</v>
      </c>
      <c r="C2755" s="1"/>
      <c r="D2755" s="1"/>
      <c r="E2755" s="14"/>
      <c r="F2755" s="15"/>
      <c r="G2755" s="16"/>
      <c r="H2755" s="11"/>
      <c r="I2755" s="7"/>
      <c r="J2755" s="7" t="str">
        <f>IFERROR(LET(_xlpm.v,
VLOOKUP($I2755,'用語辞書'!$A:$B,COLUMN('用語辞書'!B$1),FALSE),
IF(_xlpm.v=0,"",_xlpm.v)
),"")</f>
        <v/>
      </c>
      <c r="K2755" s="17"/>
      <c r="L2755" s="17" t="str">
        <f>IF(OR(COUNTIF('クラス'!$A$1:$A$1262,$B2755)&gt;0,$B2755="",$M2755=""),"",True)</f>
        <v/>
      </c>
      <c r="M2755" s="1" t="str">
        <f t="shared" si="30"/>
        <v/>
      </c>
      <c r="N2755" s="1" t="s">
        <v>29</v>
      </c>
      <c r="O2755" s="1"/>
      <c r="P2755" s="11"/>
      <c r="Q2755" s="11"/>
      <c r="R2755" s="11"/>
      <c r="S2755" s="11"/>
      <c r="T2755" s="1"/>
      <c r="U2755" s="1"/>
      <c r="V2755" s="1"/>
      <c r="W2755" s="1"/>
      <c r="X2755" s="1"/>
      <c r="Y2755" s="1"/>
      <c r="Z2755" s="1"/>
    </row>
    <row r="2756" ht="18.0" hidden="1" customHeight="1" outlineLevel="2">
      <c r="A2756" s="1">
        <v>8.0</v>
      </c>
      <c r="B2756" s="1"/>
      <c r="C2756" s="1"/>
      <c r="D2756" s="1"/>
      <c r="E2756" s="14"/>
      <c r="F2756" s="15"/>
      <c r="G2756" s="16"/>
      <c r="H2756" s="11"/>
      <c r="I2756" s="7"/>
      <c r="J2756" s="7" t="str">
        <f>IFERROR(LET(_xlpm.v,
VLOOKUP($I2756,'用語辞書'!$A:$B,COLUMN('用語辞書'!B$1),FALSE),
IF(_xlpm.v=0,"",_xlpm.v)
),"")</f>
        <v/>
      </c>
      <c r="K2756" s="17"/>
      <c r="L2756" s="17" t="str">
        <f>IF(OR(COUNTIF('クラス'!$A$1:$A$1262,$B2756)&gt;0,$B2756="",$M2756=""),"",True)</f>
        <v/>
      </c>
      <c r="M2756" s="1" t="str">
        <f t="shared" si="30"/>
        <v>存在しない</v>
      </c>
      <c r="N2756" s="1" t="s">
        <v>29</v>
      </c>
      <c r="O2756" s="1"/>
      <c r="P2756" s="11"/>
      <c r="Q2756" s="11"/>
      <c r="R2756" s="11"/>
      <c r="S2756" s="11"/>
      <c r="T2756" s="1"/>
      <c r="U2756" s="1"/>
      <c r="V2756" s="1"/>
      <c r="W2756" s="1"/>
      <c r="X2756" s="1"/>
      <c r="Y2756" s="1"/>
      <c r="Z2756" s="1"/>
    </row>
    <row r="2757" ht="18.0" hidden="1" customHeight="1" outlineLevel="2">
      <c r="A2757" s="1">
        <v>9.0</v>
      </c>
      <c r="B2757" s="26" t="s">
        <v>2490</v>
      </c>
      <c r="C2757" s="1"/>
      <c r="D2757" s="26" t="s">
        <v>1179</v>
      </c>
      <c r="E2757" s="29" t="s">
        <v>55</v>
      </c>
      <c r="F2757" s="15"/>
      <c r="G2757" s="16"/>
      <c r="H2757" s="22" t="s">
        <v>2491</v>
      </c>
      <c r="I2757" s="7"/>
      <c r="J2757" s="7" t="str">
        <f>IFERROR(LET(_xlpm.v,
VLOOKUP($I2757,'用語辞書'!$A:$B,COLUMN('用語辞書'!B$1),FALSE),
IF(_xlpm.v=0,"",_xlpm.v)
),"")</f>
        <v/>
      </c>
      <c r="K2757" s="17"/>
      <c r="L2757" s="17" t="b">
        <f>IF(OR(COUNTIF('クラス'!$A$1:$A$1262,$B2757)&gt;0,$B2757="",$M2757=""),"",True)</f>
        <v>1</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10.0</v>
      </c>
      <c r="B2758" s="26" t="s">
        <v>2492</v>
      </c>
      <c r="C2758" s="1"/>
      <c r="D2758" s="26" t="s">
        <v>1179</v>
      </c>
      <c r="E2758" s="29" t="s">
        <v>33</v>
      </c>
      <c r="F2758" s="15"/>
      <c r="G2758" s="30">
        <v>60.0</v>
      </c>
      <c r="H2758" s="22" t="s">
        <v>2493</v>
      </c>
      <c r="I2758" s="7"/>
      <c r="J2758" s="7" t="str">
        <f>IFERROR(LET(_xlpm.v,
VLOOKUP($I2758,'用語辞書'!$A:$B,COLUMN('用語辞書'!B$1),FALSE),
IF(_xlpm.v=0,"",_xlpm.v)
),"")</f>
        <v/>
      </c>
      <c r="K2758" s="17"/>
      <c r="L2758" s="17" t="b">
        <f>IF(OR(COUNTIF('クラス'!$A$1:$A$1262,$B2758)&gt;0,$B2758="",$M2758=""),"",True)</f>
        <v>1</v>
      </c>
      <c r="M2758" s="1" t="str">
        <f t="shared" si="30"/>
        <v>存在しない</v>
      </c>
      <c r="N2758" s="1" t="s">
        <v>29</v>
      </c>
      <c r="O2758" s="1"/>
      <c r="P2758" s="11"/>
      <c r="Q2758" s="11"/>
      <c r="R2758" s="11"/>
      <c r="S2758" s="11"/>
      <c r="T2758" s="1"/>
      <c r="U2758" s="1"/>
      <c r="V2758" s="1"/>
      <c r="W2758" s="1"/>
      <c r="X2758" s="1"/>
      <c r="Y2758" s="1"/>
      <c r="Z2758" s="1"/>
    </row>
    <row r="2759" ht="18.0" customHeight="1" outlineLevel="1" collapsed="1">
      <c r="A2759" s="1"/>
      <c r="B2759" s="1"/>
      <c r="C2759" s="1"/>
      <c r="D2759" s="1"/>
      <c r="E2759" s="14"/>
      <c r="F2759" s="15"/>
      <c r="G2759" s="16"/>
      <c r="H2759" s="11"/>
      <c r="I2759" s="7"/>
      <c r="J2759" s="7" t="str">
        <f>IFERROR(LET(_xlpm.v,
VLOOKUP($I2759,'用語辞書'!$A:$B,COLUMN('用語辞書'!B$1),FALSE),
IF(_xlpm.v=0,"",_xlpm.v)
),"")</f>
        <v/>
      </c>
      <c r="K2759" s="17"/>
      <c r="L2759" s="17" t="str">
        <f>IF(OR(COUNTIF('クラス'!$A$1:$A$1262,$B2759)&gt;0,$B2759="",$M2759=""),"",True)</f>
        <v/>
      </c>
      <c r="M2759" s="1" t="str">
        <f t="shared" si="30"/>
        <v>存在しない</v>
      </c>
      <c r="N2759" s="1" t="s">
        <v>29</v>
      </c>
      <c r="O2759" s="1"/>
      <c r="P2759" s="11"/>
      <c r="Q2759" s="11"/>
      <c r="R2759" s="11"/>
      <c r="S2759" s="11"/>
      <c r="T2759" s="1"/>
      <c r="U2759" s="1"/>
      <c r="V2759" s="1"/>
      <c r="W2759" s="1"/>
      <c r="X2759" s="1"/>
      <c r="Y2759" s="1"/>
      <c r="Z2759" s="1"/>
    </row>
    <row r="2760" ht="18.0" customHeight="1" outlineLevel="1">
      <c r="A2760" s="1"/>
      <c r="B2760" s="26" t="s">
        <v>2494</v>
      </c>
      <c r="C2760" s="1"/>
      <c r="D2760" s="1"/>
      <c r="E2760" s="14"/>
      <c r="F2760" s="15"/>
      <c r="G2760" s="16"/>
      <c r="H2760" s="11"/>
      <c r="I2760" s="7"/>
      <c r="J2760" s="7" t="str">
        <f>IFERROR(LET(_xlpm.v,
VLOOKUP($I2760,'用語辞書'!$A:$B,COLUMN('用語辞書'!B$1),FALSE),
IF(_xlpm.v=0,"",_xlpm.v)
),"")</f>
        <v/>
      </c>
      <c r="K2760" s="17"/>
      <c r="L2760" s="17" t="str">
        <f>IF(OR(COUNTIF('クラス'!$A$1:$A$1262,$B2760)&gt;0,$B2760="",$M2760=""),"",True)</f>
        <v/>
      </c>
      <c r="M2760" s="1" t="str">
        <f t="shared" si="30"/>
        <v>存在しない</v>
      </c>
      <c r="N2760" s="1" t="s">
        <v>29</v>
      </c>
      <c r="O2760" s="1"/>
      <c r="P2760" s="11"/>
      <c r="Q2760" s="11"/>
      <c r="R2760" s="11"/>
      <c r="S2760" s="11"/>
      <c r="T2760" s="1"/>
      <c r="U2760" s="1"/>
      <c r="V2760" s="1"/>
      <c r="W2760" s="1"/>
      <c r="X2760" s="1"/>
      <c r="Y2760" s="1"/>
      <c r="Z2760" s="1"/>
    </row>
    <row r="2761" ht="18.0" hidden="1" customHeight="1" outlineLevel="2">
      <c r="A2761" s="1">
        <v>1.0</v>
      </c>
      <c r="B2761" s="26" t="s">
        <v>2495</v>
      </c>
      <c r="C2761" s="1"/>
      <c r="D2761" s="26" t="s">
        <v>716</v>
      </c>
      <c r="E2761" s="29" t="s">
        <v>125</v>
      </c>
      <c r="F2761" s="15"/>
      <c r="G2761" s="30">
        <v>60.0</v>
      </c>
      <c r="H2761" s="22" t="s">
        <v>2496</v>
      </c>
      <c r="I2761" s="7"/>
      <c r="J2761" s="7" t="str">
        <f>IFERROR(LET(_xlpm.v,
VLOOKUP($I2761,'用語辞書'!$A:$B,COLUMN('用語辞書'!B$1),FALSE),
IF(_xlpm.v=0,"",_xlpm.v)
),"")</f>
        <v/>
      </c>
      <c r="K2761" s="17"/>
      <c r="L2761" s="17" t="b">
        <f>IF(OR(COUNTIF('クラス'!$A$1:$A$1262,$B2761)&gt;0,$B2761="",$M2761=""),"",True)</f>
        <v>1</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2.0</v>
      </c>
      <c r="B2762" s="1"/>
      <c r="C2762" s="1"/>
      <c r="D2762" s="1"/>
      <c r="E2762" s="14"/>
      <c r="F2762" s="15"/>
      <c r="G2762" s="16"/>
      <c r="H2762" s="11"/>
      <c r="I2762" s="7"/>
      <c r="J2762" s="7" t="str">
        <f>IFERROR(LET(_xlpm.v,
VLOOKUP($I2762,'用語辞書'!$A:$B,COLUMN('用語辞書'!B$1),FALSE),
IF(_xlpm.v=0,"",_xlpm.v)
),"")</f>
        <v/>
      </c>
      <c r="K2762" s="17"/>
      <c r="L2762" s="17" t="str">
        <f>IF(OR(COUNTIF('クラス'!$A$1:$A$1262,$B2762)&gt;0,$B2762="",$M2762=""),"",True)</f>
        <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3.0</v>
      </c>
      <c r="B2763" s="26" t="s">
        <v>2497</v>
      </c>
      <c r="C2763" s="1"/>
      <c r="D2763" s="26" t="s">
        <v>716</v>
      </c>
      <c r="E2763" s="29" t="s">
        <v>33</v>
      </c>
      <c r="F2763" s="15"/>
      <c r="G2763" s="30">
        <v>60.0</v>
      </c>
      <c r="H2763" s="22" t="s">
        <v>2498</v>
      </c>
      <c r="I2763" s="7"/>
      <c r="J2763" s="7" t="str">
        <f>IFERROR(LET(_xlpm.v,
VLOOKUP($I2763,'用語辞書'!$A:$B,COLUMN('用語辞書'!B$1),FALSE),
IF(_xlpm.v=0,"",_xlpm.v)
),"")</f>
        <v/>
      </c>
      <c r="K2763" s="17"/>
      <c r="L2763" s="17" t="b">
        <f>IF(OR(COUNTIF('クラス'!$A$1:$A$1262,$B2763)&gt;0,$B2763="",$M2763=""),"",True)</f>
        <v>1</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4.0</v>
      </c>
      <c r="B2764" s="1"/>
      <c r="C2764" s="1"/>
      <c r="D2764" s="1"/>
      <c r="E2764" s="14"/>
      <c r="F2764" s="15"/>
      <c r="G2764" s="16"/>
      <c r="H2764" s="11"/>
      <c r="I2764" s="7"/>
      <c r="J2764" s="7" t="str">
        <f>IFERROR(LET(_xlpm.v,
VLOOKUP($I2764,'用語辞書'!$A:$B,COLUMN('用語辞書'!B$1),FALSE),
IF(_xlpm.v=0,"",_xlpm.v)
),"")</f>
        <v/>
      </c>
      <c r="K2764" s="17"/>
      <c r="L2764" s="17" t="str">
        <f>IF(OR(COUNTIF('クラス'!$A$1:$A$1262,$B2764)&gt;0,$B2764="",$M2764=""),"",True)</f>
        <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5.0</v>
      </c>
      <c r="B2765" s="26" t="s">
        <v>1114</v>
      </c>
      <c r="C2765" s="1"/>
      <c r="D2765" s="1"/>
      <c r="E2765" s="14"/>
      <c r="F2765" s="15"/>
      <c r="G2765" s="16"/>
      <c r="H2765" s="11"/>
      <c r="I2765" s="7"/>
      <c r="J2765" s="7" t="str">
        <f>IFERROR(LET(_xlpm.v,
VLOOKUP($I2765,'用語辞書'!$A:$B,COLUMN('用語辞書'!B$1),FALSE),
IF(_xlpm.v=0,"",_xlpm.v)
),"")</f>
        <v/>
      </c>
      <c r="K2765" s="17"/>
      <c r="L2765" s="17" t="str">
        <f>IF(OR(COUNTIF('クラス'!$A$1:$A$1262,$B2765)&gt;0,$B2765="",$M2765=""),"",True)</f>
        <v/>
      </c>
      <c r="M2765" s="1" t="str">
        <f t="shared" si="30"/>
        <v/>
      </c>
      <c r="N2765" s="1" t="s">
        <v>29</v>
      </c>
      <c r="O2765" s="1"/>
      <c r="P2765" s="11"/>
      <c r="Q2765" s="11"/>
      <c r="R2765" s="11"/>
      <c r="S2765" s="11"/>
      <c r="T2765" s="1"/>
      <c r="U2765" s="1"/>
      <c r="V2765" s="1"/>
      <c r="W2765" s="1"/>
      <c r="X2765" s="1"/>
      <c r="Y2765" s="1"/>
      <c r="Z2765" s="1"/>
    </row>
    <row r="2766" ht="18.0" hidden="1" customHeight="1" outlineLevel="2">
      <c r="A2766" s="1">
        <v>6.0</v>
      </c>
      <c r="B2766" s="1"/>
      <c r="C2766" s="1"/>
      <c r="D2766" s="1"/>
      <c r="E2766" s="14"/>
      <c r="F2766" s="15"/>
      <c r="G2766" s="16"/>
      <c r="H2766" s="11"/>
      <c r="I2766" s="7"/>
      <c r="J2766" s="7" t="str">
        <f>IFERROR(LET(_xlpm.v,
VLOOKUP($I2766,'用語辞書'!$A:$B,COLUMN('用語辞書'!B$1),FALSE),
IF(_xlpm.v=0,"",_xlpm.v)
),"")</f>
        <v/>
      </c>
      <c r="K2766" s="17"/>
      <c r="L2766" s="17" t="str">
        <f>IF(OR(COUNTIF('クラス'!$A$1:$A$1262,$B2766)&gt;0,$B2766="",$M2766=""),"",True)</f>
        <v/>
      </c>
      <c r="M2766" s="1" t="str">
        <f t="shared" si="30"/>
        <v>存在しない</v>
      </c>
      <c r="N2766" s="1" t="s">
        <v>29</v>
      </c>
      <c r="O2766" s="1"/>
      <c r="P2766" s="11"/>
      <c r="Q2766" s="11"/>
      <c r="R2766" s="11"/>
      <c r="S2766" s="11"/>
      <c r="T2766" s="1"/>
      <c r="U2766" s="1"/>
      <c r="V2766" s="1"/>
      <c r="W2766" s="1"/>
      <c r="X2766" s="1"/>
      <c r="Y2766" s="1"/>
      <c r="Z2766" s="1"/>
    </row>
    <row r="2767" ht="18.0" hidden="1" customHeight="1" outlineLevel="2">
      <c r="A2767" s="1">
        <v>7.0</v>
      </c>
      <c r="B2767" s="26" t="s">
        <v>1120</v>
      </c>
      <c r="C2767" s="1"/>
      <c r="D2767" s="1"/>
      <c r="E2767" s="14"/>
      <c r="F2767" s="15"/>
      <c r="G2767" s="16"/>
      <c r="H2767" s="11"/>
      <c r="I2767" s="7"/>
      <c r="J2767" s="7" t="str">
        <f>IFERROR(LET(_xlpm.v,
VLOOKUP($I2767,'用語辞書'!$A:$B,COLUMN('用語辞書'!B$1),FALSE),
IF(_xlpm.v=0,"",_xlpm.v)
),"")</f>
        <v/>
      </c>
      <c r="K2767" s="17"/>
      <c r="L2767" s="17" t="str">
        <f>IF(OR(COUNTIF('クラス'!$A$1:$A$1262,$B2767)&gt;0,$B2767="",$M2767=""),"",True)</f>
        <v/>
      </c>
      <c r="M2767" s="1" t="str">
        <f t="shared" si="30"/>
        <v/>
      </c>
      <c r="N2767" s="1" t="s">
        <v>29</v>
      </c>
      <c r="O2767" s="1"/>
      <c r="P2767" s="11"/>
      <c r="Q2767" s="11"/>
      <c r="R2767" s="11"/>
      <c r="S2767" s="11"/>
      <c r="T2767" s="1"/>
      <c r="U2767" s="1"/>
      <c r="V2767" s="1"/>
      <c r="W2767" s="1"/>
      <c r="X2767" s="1"/>
      <c r="Y2767" s="1"/>
      <c r="Z2767" s="1"/>
    </row>
    <row r="2768" ht="18.0" hidden="1" customHeight="1" outlineLevel="2">
      <c r="A2768" s="1">
        <v>8.0</v>
      </c>
      <c r="B2768" s="1"/>
      <c r="C2768" s="1"/>
      <c r="D2768" s="1"/>
      <c r="E2768" s="14"/>
      <c r="F2768" s="15"/>
      <c r="G2768" s="16"/>
      <c r="H2768" s="11"/>
      <c r="I2768" s="7"/>
      <c r="J2768" s="7" t="str">
        <f>IFERROR(LET(_xlpm.v,
VLOOKUP($I2768,'用語辞書'!$A:$B,COLUMN('用語辞書'!B$1),FALSE),
IF(_xlpm.v=0,"",_xlpm.v)
),"")</f>
        <v/>
      </c>
      <c r="K2768" s="17"/>
      <c r="L2768" s="17" t="str">
        <f>IF(OR(COUNTIF('クラス'!$A$1:$A$1262,$B2768)&gt;0,$B2768="",$M2768=""),"",True)</f>
        <v/>
      </c>
      <c r="M2768" s="1" t="str">
        <f t="shared" si="30"/>
        <v>存在しない</v>
      </c>
      <c r="N2768" s="1" t="s">
        <v>29</v>
      </c>
      <c r="O2768" s="1"/>
      <c r="P2768" s="11"/>
      <c r="Q2768" s="11"/>
      <c r="R2768" s="11"/>
      <c r="S2768" s="11"/>
      <c r="T2768" s="1"/>
      <c r="U2768" s="1"/>
      <c r="V2768" s="1"/>
      <c r="W2768" s="1"/>
      <c r="X2768" s="1"/>
      <c r="Y2768" s="1"/>
      <c r="Z2768" s="1"/>
    </row>
    <row r="2769" ht="18.0" hidden="1" customHeight="1" outlineLevel="2">
      <c r="A2769" s="1">
        <v>9.0</v>
      </c>
      <c r="B2769" s="26" t="s">
        <v>1116</v>
      </c>
      <c r="C2769" s="1"/>
      <c r="D2769" s="1"/>
      <c r="E2769" s="14"/>
      <c r="F2769" s="15"/>
      <c r="G2769" s="16"/>
      <c r="H2769" s="11"/>
      <c r="I2769" s="7"/>
      <c r="J2769" s="7" t="str">
        <f>IFERROR(LET(_xlpm.v,
VLOOKUP($I2769,'用語辞書'!$A:$B,COLUMN('用語辞書'!B$1),FALSE),
IF(_xlpm.v=0,"",_xlpm.v)
),"")</f>
        <v/>
      </c>
      <c r="K2769" s="17"/>
      <c r="L2769" s="17" t="str">
        <f>IF(OR(COUNTIF('クラス'!$A$1:$A$1262,$B2769)&gt;0,$B2769="",$M2769=""),"",True)</f>
        <v/>
      </c>
      <c r="M2769" s="1" t="str">
        <f t="shared" si="30"/>
        <v/>
      </c>
      <c r="N2769" s="1" t="s">
        <v>29</v>
      </c>
      <c r="O2769" s="1"/>
      <c r="P2769" s="11"/>
      <c r="Q2769" s="11"/>
      <c r="R2769" s="11"/>
      <c r="S2769" s="11"/>
      <c r="T2769" s="1"/>
      <c r="U2769" s="1"/>
      <c r="V2769" s="1"/>
      <c r="W2769" s="1"/>
      <c r="X2769" s="1"/>
      <c r="Y2769" s="1"/>
      <c r="Z2769" s="1"/>
    </row>
    <row r="2770" ht="18.0" hidden="1" customHeight="1" outlineLevel="2">
      <c r="A2770" s="1">
        <v>10.0</v>
      </c>
      <c r="B2770" s="26" t="s">
        <v>2499</v>
      </c>
      <c r="C2770" s="1"/>
      <c r="D2770" s="26" t="s">
        <v>716</v>
      </c>
      <c r="E2770" s="29" t="s">
        <v>33</v>
      </c>
      <c r="F2770" s="15"/>
      <c r="G2770" s="30">
        <v>60.0</v>
      </c>
      <c r="H2770" s="22" t="s">
        <v>2500</v>
      </c>
      <c r="I2770" s="7"/>
      <c r="J2770" s="7" t="str">
        <f>IFERROR(LET(_xlpm.v,
VLOOKUP($I2770,'用語辞書'!$A:$B,COLUMN('用語辞書'!B$1),FALSE),
IF(_xlpm.v=0,"",_xlpm.v)
),"")</f>
        <v/>
      </c>
      <c r="K2770" s="17"/>
      <c r="L2770" s="17" t="b">
        <f>IF(OR(COUNTIF('クラス'!$A$1:$A$1262,$B2770)&gt;0,$B2770="",$M2770=""),"",True)</f>
        <v>1</v>
      </c>
      <c r="M2770" s="1" t="str">
        <f t="shared" si="30"/>
        <v>存在しない</v>
      </c>
      <c r="N2770" s="1" t="s">
        <v>29</v>
      </c>
      <c r="O2770" s="1"/>
      <c r="P2770" s="11"/>
      <c r="Q2770" s="11"/>
      <c r="R2770" s="11"/>
      <c r="S2770" s="11"/>
      <c r="T2770" s="1"/>
      <c r="U2770" s="1"/>
      <c r="V2770" s="1"/>
      <c r="W2770" s="1"/>
      <c r="X2770" s="1"/>
      <c r="Y2770" s="1"/>
      <c r="Z2770" s="1"/>
    </row>
    <row r="2771" ht="18.0" customHeight="1" collapsed="1">
      <c r="A2771" s="1"/>
      <c r="B2771" s="1"/>
      <c r="C2771" s="26" t="s">
        <v>2501</v>
      </c>
      <c r="D2771" s="1"/>
      <c r="E2771" s="14"/>
      <c r="F2771" s="15"/>
      <c r="G2771" s="16"/>
      <c r="H2771" s="11"/>
      <c r="I2771" s="7"/>
      <c r="J2771" s="7" t="str">
        <f>IFERROR(LET(_xlpm.v,
VLOOKUP($I2771,'用語辞書'!$A:$B,COLUMN('用語辞書'!B$1),FALSE),
IF(_xlpm.v=0,"",_xlpm.v)
),"")</f>
        <v/>
      </c>
      <c r="K2771" s="17"/>
      <c r="L2771" s="17" t="str">
        <f>IF(OR(COUNTIF('クラス'!$A$1:$A$1262,$B2771)&gt;0,$B2771="",$M2771=""),"",True)</f>
        <v/>
      </c>
      <c r="M2771" s="1" t="str">
        <f t="shared" si="30"/>
        <v>存在しない</v>
      </c>
      <c r="N2771" s="1" t="s">
        <v>29</v>
      </c>
      <c r="O2771" s="1"/>
      <c r="P2771" s="11"/>
      <c r="Q2771" s="11"/>
      <c r="R2771" s="11"/>
      <c r="S2771" s="11"/>
      <c r="T2771" s="1"/>
      <c r="U2771" s="1"/>
      <c r="V2771" s="1"/>
      <c r="W2771" s="1"/>
      <c r="X2771" s="1"/>
      <c r="Y2771" s="1"/>
      <c r="Z2771" s="1"/>
    </row>
    <row r="2772" ht="18.0" customHeight="1" outlineLevel="1">
      <c r="A2772" s="1"/>
      <c r="B2772" s="26" t="s">
        <v>2502</v>
      </c>
      <c r="C2772" s="1"/>
      <c r="D2772" s="1"/>
      <c r="E2772" s="14"/>
      <c r="F2772" s="15"/>
      <c r="G2772" s="16"/>
      <c r="H2772" s="11"/>
      <c r="I2772" s="7"/>
      <c r="J2772" s="7" t="str">
        <f>IFERROR(LET(_xlpm.v,
VLOOKUP($I2772,'用語辞書'!$A:$B,COLUMN('用語辞書'!B$1),FALSE),
IF(_xlpm.v=0,"",_xlpm.v)
),"")</f>
        <v/>
      </c>
      <c r="K2772" s="17"/>
      <c r="L2772" s="17" t="str">
        <f>IF(OR(COUNTIF('クラス'!$A$1:$A$1262,$B2772)&gt;0,$B2772="",$M2772=""),"",True)</f>
        <v/>
      </c>
      <c r="M2772" s="1" t="str">
        <f t="shared" si="30"/>
        <v>存在しない</v>
      </c>
      <c r="N2772" s="1" t="s">
        <v>29</v>
      </c>
      <c r="O2772" s="1"/>
      <c r="P2772" s="11"/>
      <c r="Q2772" s="11"/>
      <c r="R2772" s="11"/>
      <c r="S2772" s="11"/>
      <c r="T2772" s="1"/>
      <c r="U2772" s="1"/>
      <c r="V2772" s="1"/>
      <c r="W2772" s="1"/>
      <c r="X2772" s="1"/>
      <c r="Y2772" s="1"/>
      <c r="Z2772" s="1"/>
    </row>
    <row r="2773" ht="18.0" hidden="1" customHeight="1" outlineLevel="2">
      <c r="A2773" s="1">
        <v>1.0</v>
      </c>
      <c r="B2773" s="1"/>
      <c r="C2773" s="1"/>
      <c r="D2773" s="1"/>
      <c r="E2773" s="14"/>
      <c r="F2773" s="15"/>
      <c r="G2773" s="16"/>
      <c r="H2773" s="11"/>
      <c r="I2773" s="7"/>
      <c r="J2773" s="7" t="str">
        <f>IFERROR(LET(_xlpm.v,
VLOOKUP($I2773,'用語辞書'!$A:$B,COLUMN('用語辞書'!B$1),FALSE),
IF(_xlpm.v=0,"",_xlpm.v)
),"")</f>
        <v/>
      </c>
      <c r="K2773" s="17"/>
      <c r="L2773" s="17" t="str">
        <f>IF(OR(COUNTIF('クラス'!$A$1:$A$1262,$B2773)&gt;0,$B2773="",$M2773=""),"",True)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2.0</v>
      </c>
      <c r="B2774" s="1"/>
      <c r="C2774" s="1"/>
      <c r="D2774" s="1"/>
      <c r="E2774" s="14"/>
      <c r="F2774" s="15"/>
      <c r="G2774" s="16"/>
      <c r="H2774" s="11"/>
      <c r="I2774" s="7"/>
      <c r="J2774" s="7" t="str">
        <f>IFERROR(LET(_xlpm.v,
VLOOKUP($I2774,'用語辞書'!$A:$B,COLUMN('用語辞書'!B$1),FALSE),
IF(_xlpm.v=0,"",_xlpm.v)
),"")</f>
        <v/>
      </c>
      <c r="K2774" s="17"/>
      <c r="L2774" s="17" t="str">
        <f>IF(OR(COUNTIF('クラス'!$A$1:$A$1262,$B2774)&gt;0,$B2774="",$M2774=""),"",True)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3.0</v>
      </c>
      <c r="B2775" s="1"/>
      <c r="C2775" s="1"/>
      <c r="D2775" s="1"/>
      <c r="E2775" s="14"/>
      <c r="F2775" s="15"/>
      <c r="G2775" s="16"/>
      <c r="H2775" s="11"/>
      <c r="I2775" s="7"/>
      <c r="J2775" s="7" t="str">
        <f>IFERROR(LET(_xlpm.v,
VLOOKUP($I2775,'用語辞書'!$A:$B,COLUMN('用語辞書'!B$1),FALSE),
IF(_xlpm.v=0,"",_xlpm.v)
),"")</f>
        <v/>
      </c>
      <c r="K2775" s="17"/>
      <c r="L2775" s="17" t="str">
        <f>IF(OR(COUNTIF('クラス'!$A$1:$A$1262,$B2775)&gt;0,$B2775="",$M2775=""),"",True)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4.0</v>
      </c>
      <c r="B2776" s="1"/>
      <c r="C2776" s="1"/>
      <c r="D2776" s="1"/>
      <c r="E2776" s="14"/>
      <c r="F2776" s="15"/>
      <c r="G2776" s="16"/>
      <c r="H2776" s="11"/>
      <c r="I2776" s="7"/>
      <c r="J2776" s="7" t="str">
        <f>IFERROR(LET(_xlpm.v,
VLOOKUP($I2776,'用語辞書'!$A:$B,COLUMN('用語辞書'!B$1),FALSE),
IF(_xlpm.v=0,"",_xlpm.v)
),"")</f>
        <v/>
      </c>
      <c r="K2776" s="17"/>
      <c r="L2776" s="17" t="str">
        <f>IF(OR(COUNTIF('クラス'!$A$1:$A$1262,$B2776)&gt;0,$B2776="",$M2776=""),"",True)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5.0</v>
      </c>
      <c r="B2777" s="1"/>
      <c r="C2777" s="1"/>
      <c r="D2777" s="1"/>
      <c r="E2777" s="14"/>
      <c r="F2777" s="15"/>
      <c r="G2777" s="16"/>
      <c r="H2777" s="11"/>
      <c r="I2777" s="7"/>
      <c r="J2777" s="7" t="str">
        <f>IFERROR(LET(_xlpm.v,
VLOOKUP($I2777,'用語辞書'!$A:$B,COLUMN('用語辞書'!B$1),FALSE),
IF(_xlpm.v=0,"",_xlpm.v)
),"")</f>
        <v/>
      </c>
      <c r="K2777" s="17"/>
      <c r="L2777" s="17" t="str">
        <f>IF(OR(COUNTIF('クラス'!$A$1:$A$1262,$B2777)&gt;0,$B2777="",$M2777=""),"",True)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6.0</v>
      </c>
      <c r="B2778" s="1"/>
      <c r="C2778" s="1"/>
      <c r="D2778" s="1"/>
      <c r="E2778" s="14"/>
      <c r="F2778" s="15"/>
      <c r="G2778" s="16"/>
      <c r="H2778" s="11"/>
      <c r="I2778" s="7"/>
      <c r="J2778" s="7" t="str">
        <f>IFERROR(LET(_xlpm.v,
VLOOKUP($I2778,'用語辞書'!$A:$B,COLUMN('用語辞書'!B$1),FALSE),
IF(_xlpm.v=0,"",_xlpm.v)
),"")</f>
        <v/>
      </c>
      <c r="K2778" s="17"/>
      <c r="L2778" s="17" t="str">
        <f>IF(OR(COUNTIF('クラス'!$A$1:$A$1262,$B2778)&gt;0,$B2778="",$M2778=""),"",True)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7.0</v>
      </c>
      <c r="B2779" s="1"/>
      <c r="C2779" s="1"/>
      <c r="D2779" s="1"/>
      <c r="E2779" s="14"/>
      <c r="F2779" s="15"/>
      <c r="G2779" s="16"/>
      <c r="H2779" s="11"/>
      <c r="I2779" s="7"/>
      <c r="J2779" s="7" t="str">
        <f>IFERROR(LET(_xlpm.v,
VLOOKUP($I2779,'用語辞書'!$A:$B,COLUMN('用語辞書'!B$1),FALSE),
IF(_xlpm.v=0,"",_xlpm.v)
),"")</f>
        <v/>
      </c>
      <c r="K2779" s="17"/>
      <c r="L2779" s="17" t="str">
        <f>IF(OR(COUNTIF('クラス'!$A$1:$A$1262,$B2779)&gt;0,$B2779="",$M2779=""),"",True)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8.0</v>
      </c>
      <c r="B2780" s="1"/>
      <c r="C2780" s="1"/>
      <c r="D2780" s="1"/>
      <c r="E2780" s="14"/>
      <c r="F2780" s="15"/>
      <c r="G2780" s="16"/>
      <c r="H2780" s="11"/>
      <c r="I2780" s="7"/>
      <c r="J2780" s="7" t="str">
        <f>IFERROR(LET(_xlpm.v,
VLOOKUP($I2780,'用語辞書'!$A:$B,COLUMN('用語辞書'!B$1),FALSE),
IF(_xlpm.v=0,"",_xlpm.v)
),"")</f>
        <v/>
      </c>
      <c r="K2780" s="17"/>
      <c r="L2780" s="17" t="str">
        <f>IF(OR(COUNTIF('クラス'!$A$1:$A$1262,$B2780)&gt;0,$B2780="",$M2780=""),"",True)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9.0</v>
      </c>
      <c r="B2781" s="1"/>
      <c r="C2781" s="1"/>
      <c r="D2781" s="1"/>
      <c r="E2781" s="14"/>
      <c r="F2781" s="15"/>
      <c r="G2781" s="16"/>
      <c r="H2781" s="11"/>
      <c r="I2781" s="7"/>
      <c r="J2781" s="7" t="str">
        <f>IFERROR(LET(_xlpm.v,
VLOOKUP($I2781,'用語辞書'!$A:$B,COLUMN('用語辞書'!B$1),FALSE),
IF(_xlpm.v=0,"",_xlpm.v)
),"")</f>
        <v/>
      </c>
      <c r="K2781" s="17"/>
      <c r="L2781" s="17" t="str">
        <f>IF(OR(COUNTIF('クラス'!$A$1:$A$1262,$B2781)&gt;0,$B2781="",$M2781=""),"",True)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10.0</v>
      </c>
      <c r="B2782" s="1"/>
      <c r="C2782" s="1"/>
      <c r="D2782" s="1"/>
      <c r="E2782" s="14"/>
      <c r="F2782" s="15"/>
      <c r="G2782" s="16"/>
      <c r="H2782" s="11"/>
      <c r="I2782" s="7"/>
      <c r="J2782" s="7" t="str">
        <f>IFERROR(LET(_xlpm.v,
VLOOKUP($I2782,'用語辞書'!$A:$B,COLUMN('用語辞書'!B$1),FALSE),
IF(_xlpm.v=0,"",_xlpm.v)
),"")</f>
        <v/>
      </c>
      <c r="K2782" s="17"/>
      <c r="L2782" s="17" t="str">
        <f>IF(OR(COUNTIF('クラス'!$A$1:$A$1262,$B2782)&gt;0,$B2782="",$M2782=""),"",True)</f>
        <v/>
      </c>
      <c r="M2782" s="1" t="str">
        <f t="shared" si="30"/>
        <v>存在しない</v>
      </c>
      <c r="N2782" s="1" t="s">
        <v>29</v>
      </c>
      <c r="O2782" s="1"/>
      <c r="P2782" s="11"/>
      <c r="Q2782" s="11"/>
      <c r="R2782" s="11"/>
      <c r="S2782" s="11"/>
      <c r="T2782" s="1"/>
      <c r="U2782" s="1"/>
      <c r="V2782" s="1"/>
      <c r="W2782" s="1"/>
      <c r="X2782" s="1"/>
      <c r="Y2782" s="1"/>
      <c r="Z2782" s="1"/>
    </row>
    <row r="2783" ht="18.0" customHeight="1" outlineLevel="1" collapsed="1">
      <c r="A2783" s="1"/>
      <c r="B2783" s="1"/>
      <c r="C2783" s="1"/>
      <c r="D2783" s="1"/>
      <c r="E2783" s="14"/>
      <c r="F2783" s="15"/>
      <c r="G2783" s="16"/>
      <c r="H2783" s="11"/>
      <c r="I2783" s="7"/>
      <c r="J2783" s="7" t="str">
        <f>IFERROR(LET(_xlpm.v,
VLOOKUP($I2783,'用語辞書'!$A:$B,COLUMN('用語辞書'!B$1),FALSE),
IF(_xlpm.v=0,"",_xlpm.v)
),"")</f>
        <v/>
      </c>
      <c r="K2783" s="17"/>
      <c r="L2783" s="17" t="str">
        <f>IF(OR(COUNTIF('クラス'!$A$1:$A$1262,$B2783)&gt;0,$B2783="",$M2783=""),"",True)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 r="A2784" s="1"/>
      <c r="B2784" s="26" t="s">
        <v>2503</v>
      </c>
      <c r="C2784" s="1"/>
      <c r="D2784" s="1"/>
      <c r="E2784" s="14"/>
      <c r="F2784" s="15"/>
      <c r="G2784" s="16"/>
      <c r="H2784" s="11"/>
      <c r="I2784" s="7"/>
      <c r="J2784" s="7" t="str">
        <f>IFERROR(LET(_xlpm.v,
VLOOKUP($I2784,'用語辞書'!$A:$B,COLUMN('用語辞書'!B$1),FALSE),
IF(_xlpm.v=0,"",_xlpm.v)
),"")</f>
        <v/>
      </c>
      <c r="K2784" s="17"/>
      <c r="L2784" s="17" t="str">
        <f>IF(OR(COUNTIF('クラス'!$A$1:$A$1262,$B2784)&gt;0,$B2784="",$M2784=""),"",True)</f>
        <v/>
      </c>
      <c r="M2784" s="1" t="str">
        <f t="shared" si="30"/>
        <v>存在しない</v>
      </c>
      <c r="N2784" s="1" t="s">
        <v>29</v>
      </c>
      <c r="O2784" s="1"/>
      <c r="P2784" s="11"/>
      <c r="Q2784" s="11"/>
      <c r="R2784" s="11"/>
      <c r="S2784" s="11"/>
      <c r="T2784" s="1"/>
      <c r="U2784" s="1"/>
      <c r="V2784" s="1"/>
      <c r="W2784" s="1"/>
      <c r="X2784" s="1"/>
      <c r="Y2784" s="1"/>
      <c r="Z2784" s="1"/>
    </row>
    <row r="2785" ht="18.0" hidden="1" customHeight="1" outlineLevel="2">
      <c r="A2785" s="1">
        <v>1.0</v>
      </c>
      <c r="B2785" s="1"/>
      <c r="C2785" s="1"/>
      <c r="D2785" s="1"/>
      <c r="E2785" s="14"/>
      <c r="F2785" s="15"/>
      <c r="G2785" s="16"/>
      <c r="H2785" s="11"/>
      <c r="I2785" s="7"/>
      <c r="J2785" s="7" t="str">
        <f>IFERROR(LET(_xlpm.v,
VLOOKUP($I2785,'用語辞書'!$A:$B,COLUMN('用語辞書'!B$1),FALSE),
IF(_xlpm.v=0,"",_xlpm.v)
),"")</f>
        <v/>
      </c>
      <c r="K2785" s="17"/>
      <c r="L2785" s="17" t="str">
        <f>IF(OR(COUNTIF('クラス'!$A$1:$A$1262,$B2785)&gt;0,$B2785="",$M2785=""),"",True)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2.0</v>
      </c>
      <c r="B2786" s="1"/>
      <c r="C2786" s="1"/>
      <c r="D2786" s="1"/>
      <c r="E2786" s="14"/>
      <c r="F2786" s="15"/>
      <c r="G2786" s="16"/>
      <c r="H2786" s="11"/>
      <c r="I2786" s="7"/>
      <c r="J2786" s="7" t="str">
        <f>IFERROR(LET(_xlpm.v,
VLOOKUP($I2786,'用語辞書'!$A:$B,COLUMN('用語辞書'!B$1),FALSE),
IF(_xlpm.v=0,"",_xlpm.v)
),"")</f>
        <v/>
      </c>
      <c r="K2786" s="17"/>
      <c r="L2786" s="17" t="str">
        <f>IF(OR(COUNTIF('クラス'!$A$1:$A$1262,$B2786)&gt;0,$B2786="",$M2786=""),"",True)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3.0</v>
      </c>
      <c r="B2787" s="1"/>
      <c r="C2787" s="1"/>
      <c r="D2787" s="1"/>
      <c r="E2787" s="14"/>
      <c r="F2787" s="15"/>
      <c r="G2787" s="16"/>
      <c r="H2787" s="11"/>
      <c r="I2787" s="7"/>
      <c r="J2787" s="7" t="str">
        <f>IFERROR(LET(_xlpm.v,
VLOOKUP($I2787,'用語辞書'!$A:$B,COLUMN('用語辞書'!B$1),FALSE),
IF(_xlpm.v=0,"",_xlpm.v)
),"")</f>
        <v/>
      </c>
      <c r="K2787" s="17"/>
      <c r="L2787" s="17" t="str">
        <f>IF(OR(COUNTIF('クラス'!$A$1:$A$1262,$B2787)&gt;0,$B2787="",$M2787=""),"",True)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4.0</v>
      </c>
      <c r="B2788" s="1"/>
      <c r="C2788" s="1"/>
      <c r="D2788" s="1"/>
      <c r="E2788" s="14"/>
      <c r="F2788" s="15"/>
      <c r="G2788" s="16"/>
      <c r="H2788" s="11"/>
      <c r="I2788" s="7"/>
      <c r="J2788" s="7" t="str">
        <f>IFERROR(LET(_xlpm.v,
VLOOKUP($I2788,'用語辞書'!$A:$B,COLUMN('用語辞書'!B$1),FALSE),
IF(_xlpm.v=0,"",_xlpm.v)
),"")</f>
        <v/>
      </c>
      <c r="K2788" s="17"/>
      <c r="L2788" s="17" t="str">
        <f>IF(OR(COUNTIF('クラス'!$A$1:$A$1262,$B2788)&gt;0,$B2788="",$M2788=""),"",True)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5.0</v>
      </c>
      <c r="B2789" s="1"/>
      <c r="C2789" s="1"/>
      <c r="D2789" s="1"/>
      <c r="E2789" s="14"/>
      <c r="F2789" s="15"/>
      <c r="G2789" s="16"/>
      <c r="H2789" s="11"/>
      <c r="I2789" s="7"/>
      <c r="J2789" s="7" t="str">
        <f>IFERROR(LET(_xlpm.v,
VLOOKUP($I2789,'用語辞書'!$A:$B,COLUMN('用語辞書'!B$1),FALSE),
IF(_xlpm.v=0,"",_xlpm.v)
),"")</f>
        <v/>
      </c>
      <c r="K2789" s="17"/>
      <c r="L2789" s="17" t="str">
        <f>IF(OR(COUNTIF('クラス'!$A$1:$A$1262,$B2789)&gt;0,$B2789="",$M2789=""),"",True)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6.0</v>
      </c>
      <c r="B2790" s="1"/>
      <c r="C2790" s="1"/>
      <c r="D2790" s="1"/>
      <c r="E2790" s="14"/>
      <c r="F2790" s="15"/>
      <c r="G2790" s="16"/>
      <c r="H2790" s="11"/>
      <c r="I2790" s="7"/>
      <c r="J2790" s="7" t="str">
        <f>IFERROR(LET(_xlpm.v,
VLOOKUP($I2790,'用語辞書'!$A:$B,COLUMN('用語辞書'!B$1),FALSE),
IF(_xlpm.v=0,"",_xlpm.v)
),"")</f>
        <v/>
      </c>
      <c r="K2790" s="17"/>
      <c r="L2790" s="17" t="str">
        <f>IF(OR(COUNTIF('クラス'!$A$1:$A$1262,$B2790)&gt;0,$B2790="",$M2790=""),"",True)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7.0</v>
      </c>
      <c r="B2791" s="1"/>
      <c r="C2791" s="1"/>
      <c r="D2791" s="1"/>
      <c r="E2791" s="14"/>
      <c r="F2791" s="15"/>
      <c r="G2791" s="16"/>
      <c r="H2791" s="11"/>
      <c r="I2791" s="7"/>
      <c r="J2791" s="7" t="str">
        <f>IFERROR(LET(_xlpm.v,
VLOOKUP($I2791,'用語辞書'!$A:$B,COLUMN('用語辞書'!B$1),FALSE),
IF(_xlpm.v=0,"",_xlpm.v)
),"")</f>
        <v/>
      </c>
      <c r="K2791" s="17"/>
      <c r="L2791" s="17" t="str">
        <f>IF(OR(COUNTIF('クラス'!$A$1:$A$1262,$B2791)&gt;0,$B2791="",$M2791=""),"",True)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8.0</v>
      </c>
      <c r="B2792" s="1"/>
      <c r="C2792" s="1"/>
      <c r="D2792" s="1"/>
      <c r="E2792" s="14"/>
      <c r="F2792" s="15"/>
      <c r="G2792" s="16"/>
      <c r="H2792" s="11"/>
      <c r="I2792" s="7"/>
      <c r="J2792" s="7" t="str">
        <f>IFERROR(LET(_xlpm.v,
VLOOKUP($I2792,'用語辞書'!$A:$B,COLUMN('用語辞書'!B$1),FALSE),
IF(_xlpm.v=0,"",_xlpm.v)
),"")</f>
        <v/>
      </c>
      <c r="K2792" s="17"/>
      <c r="L2792" s="17" t="str">
        <f>IF(OR(COUNTIF('クラス'!$A$1:$A$1262,$B2792)&gt;0,$B2792="",$M2792=""),"",True)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9.0</v>
      </c>
      <c r="B2793" s="1"/>
      <c r="C2793" s="1"/>
      <c r="D2793" s="1"/>
      <c r="E2793" s="14"/>
      <c r="F2793" s="15"/>
      <c r="G2793" s="16"/>
      <c r="H2793" s="11"/>
      <c r="I2793" s="7"/>
      <c r="J2793" s="7" t="str">
        <f>IFERROR(LET(_xlpm.v,
VLOOKUP($I2793,'用語辞書'!$A:$B,COLUMN('用語辞書'!B$1),FALSE),
IF(_xlpm.v=0,"",_xlpm.v)
),"")</f>
        <v/>
      </c>
      <c r="K2793" s="17"/>
      <c r="L2793" s="17" t="str">
        <f>IF(OR(COUNTIF('クラス'!$A$1:$A$1262,$B2793)&gt;0,$B2793="",$M2793=""),"",True)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10.0</v>
      </c>
      <c r="B2794" s="1"/>
      <c r="C2794" s="1"/>
      <c r="D2794" s="1"/>
      <c r="E2794" s="14"/>
      <c r="F2794" s="15"/>
      <c r="G2794" s="16"/>
      <c r="H2794" s="11"/>
      <c r="I2794" s="7"/>
      <c r="J2794" s="7" t="str">
        <f>IFERROR(LET(_xlpm.v,
VLOOKUP($I2794,'用語辞書'!$A:$B,COLUMN('用語辞書'!B$1),FALSE),
IF(_xlpm.v=0,"",_xlpm.v)
),"")</f>
        <v/>
      </c>
      <c r="K2794" s="17"/>
      <c r="L2794" s="17" t="str">
        <f>IF(OR(COUNTIF('クラス'!$A$1:$A$1262,$B2794)&gt;0,$B2794="",$M2794=""),"",True)</f>
        <v/>
      </c>
      <c r="M2794" s="1" t="str">
        <f t="shared" si="30"/>
        <v>存在しない</v>
      </c>
      <c r="N2794" s="1" t="s">
        <v>29</v>
      </c>
      <c r="O2794" s="1"/>
      <c r="P2794" s="11"/>
      <c r="Q2794" s="11"/>
      <c r="R2794" s="11"/>
      <c r="S2794" s="11"/>
      <c r="T2794" s="1"/>
      <c r="U2794" s="1"/>
      <c r="V2794" s="1"/>
      <c r="W2794" s="1"/>
      <c r="X2794" s="1"/>
      <c r="Y2794" s="1"/>
      <c r="Z2794" s="1"/>
    </row>
    <row r="2795" ht="18.0" customHeight="1" collapsed="1">
      <c r="A2795" s="1"/>
      <c r="B2795" s="1"/>
      <c r="C2795" s="26" t="s">
        <v>2504</v>
      </c>
      <c r="D2795" s="1"/>
      <c r="E2795" s="14"/>
      <c r="F2795" s="15"/>
      <c r="G2795" s="16"/>
      <c r="H2795" s="11"/>
      <c r="I2795" s="7"/>
      <c r="J2795" s="7" t="str">
        <f>IFERROR(LET(_xlpm.v,
VLOOKUP($I2795,'用語辞書'!$A:$B,COLUMN('用語辞書'!B$1),FALSE),
IF(_xlpm.v=0,"",_xlpm.v)
),"")</f>
        <v/>
      </c>
      <c r="K2795" s="17"/>
      <c r="L2795" s="17" t="str">
        <f>IF(OR(COUNTIF('クラス'!$A$1:$A$1262,$B2795)&gt;0,$B2795="",$M2795=""),"",True)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 r="A2796" s="1"/>
      <c r="B2796" s="26" t="s">
        <v>2505</v>
      </c>
      <c r="C2796" s="1"/>
      <c r="D2796" s="1"/>
      <c r="E2796" s="14"/>
      <c r="F2796" s="15"/>
      <c r="G2796" s="16"/>
      <c r="H2796" s="11"/>
      <c r="I2796" s="7"/>
      <c r="J2796" s="7" t="str">
        <f>IFERROR(LET(_xlpm.v,
VLOOKUP($I2796,'用語辞書'!$A:$B,COLUMN('用語辞書'!B$1),FALSE),
IF(_xlpm.v=0,"",_xlpm.v)
),"")</f>
        <v/>
      </c>
      <c r="K2796" s="17"/>
      <c r="L2796" s="17" t="str">
        <f>IF(OR(COUNTIF('クラス'!$A$1:$A$1262,$B2796)&gt;0,$B2796="",$M2796=""),"",True)</f>
        <v/>
      </c>
      <c r="M2796" s="1" t="str">
        <f t="shared" si="30"/>
        <v>存在しない</v>
      </c>
      <c r="N2796" s="1" t="s">
        <v>29</v>
      </c>
      <c r="O2796" s="1"/>
      <c r="P2796" s="11"/>
      <c r="Q2796" s="11"/>
      <c r="R2796" s="11"/>
      <c r="S2796" s="11"/>
      <c r="T2796" s="1"/>
      <c r="U2796" s="1"/>
      <c r="V2796" s="1"/>
      <c r="W2796" s="1"/>
      <c r="X2796" s="1"/>
      <c r="Y2796" s="1"/>
      <c r="Z2796" s="1"/>
    </row>
    <row r="2797" ht="18.0" hidden="1" customHeight="1" outlineLevel="1">
      <c r="A2797" s="1">
        <v>1.0</v>
      </c>
      <c r="B2797" s="26" t="s">
        <v>902</v>
      </c>
      <c r="C2797" s="1"/>
      <c r="D2797" s="1"/>
      <c r="E2797" s="14"/>
      <c r="F2797" s="15"/>
      <c r="G2797" s="16"/>
      <c r="H2797" s="11"/>
      <c r="I2797" s="7"/>
      <c r="J2797" s="7" t="str">
        <f>IFERROR(LET(_xlpm.v,
VLOOKUP($I2797,'用語辞書'!$A:$B,COLUMN('用語辞書'!B$1),FALSE),
IF(_xlpm.v=0,"",_xlpm.v)
),"")</f>
        <v/>
      </c>
      <c r="K2797" s="17"/>
      <c r="L2797" s="17" t="str">
        <f>IF(OR(COUNTIF('クラス'!$A$1:$A$1262,$B2797)&gt;0,$B2797="",$M2797=""),"",True)</f>
        <v/>
      </c>
      <c r="M2797" s="1" t="str">
        <f t="shared" si="30"/>
        <v/>
      </c>
      <c r="N2797" s="1" t="s">
        <v>29</v>
      </c>
      <c r="O2797" s="1"/>
      <c r="P2797" s="11"/>
      <c r="Q2797" s="11"/>
      <c r="R2797" s="11"/>
      <c r="S2797" s="11"/>
      <c r="T2797" s="1"/>
      <c r="U2797" s="1"/>
      <c r="V2797" s="1"/>
      <c r="W2797" s="1"/>
      <c r="X2797" s="1"/>
      <c r="Y2797" s="1"/>
      <c r="Z2797" s="1"/>
    </row>
    <row r="2798" ht="18.0" hidden="1" customHeight="1" outlineLevel="1">
      <c r="A2798" s="1">
        <v>2.0</v>
      </c>
      <c r="B2798" s="26" t="s">
        <v>465</v>
      </c>
      <c r="C2798" s="1"/>
      <c r="D2798" s="1"/>
      <c r="E2798" s="14"/>
      <c r="F2798" s="15"/>
      <c r="G2798" s="16"/>
      <c r="H2798" s="11"/>
      <c r="I2798" s="7"/>
      <c r="J2798" s="7" t="str">
        <f>IFERROR(LET(_xlpm.v,
VLOOKUP($I2798,'用語辞書'!$A:$B,COLUMN('用語辞書'!B$1),FALSE),
IF(_xlpm.v=0,"",_xlpm.v)
),"")</f>
        <v/>
      </c>
      <c r="K2798" s="17"/>
      <c r="L2798" s="17" t="str">
        <f>IF(OR(COUNTIF('クラス'!$A$1:$A$1262,$B2798)&gt;0,$B2798="",$M2798=""),"",True)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3.0</v>
      </c>
      <c r="B2799" s="26" t="s">
        <v>1186</v>
      </c>
      <c r="C2799" s="1"/>
      <c r="D2799" s="1"/>
      <c r="E2799" s="14"/>
      <c r="F2799" s="15"/>
      <c r="G2799" s="16"/>
      <c r="H2799" s="11"/>
      <c r="I2799" s="7"/>
      <c r="J2799" s="7" t="str">
        <f>IFERROR(LET(_xlpm.v,
VLOOKUP($I2799,'用語辞書'!$A:$B,COLUMN('用語辞書'!B$1),FALSE),
IF(_xlpm.v=0,"",_xlpm.v)
),"")</f>
        <v/>
      </c>
      <c r="K2799" s="17"/>
      <c r="L2799" s="17" t="str">
        <f>IF(OR(COUNTIF('クラス'!$A$1:$A$1262,$B2799)&gt;0,$B2799="",$M2799=""),"",True)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4.0</v>
      </c>
      <c r="B2800" s="26" t="s">
        <v>978</v>
      </c>
      <c r="C2800" s="1"/>
      <c r="D2800" s="1"/>
      <c r="E2800" s="14"/>
      <c r="F2800" s="15"/>
      <c r="G2800" s="16"/>
      <c r="H2800" s="11"/>
      <c r="I2800" s="7"/>
      <c r="J2800" s="7" t="str">
        <f>IFERROR(LET(_xlpm.v,
VLOOKUP($I2800,'用語辞書'!$A:$B,COLUMN('用語辞書'!B$1),FALSE),
IF(_xlpm.v=0,"",_xlpm.v)
),"")</f>
        <v/>
      </c>
      <c r="K2800" s="17"/>
      <c r="L2800" s="17" t="str">
        <f>IF(OR(COUNTIF('クラス'!$A$1:$A$1262,$B2800)&gt;0,$B2800="",$M2800=""),"",True)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5.0</v>
      </c>
      <c r="B2801" s="26" t="s">
        <v>904</v>
      </c>
      <c r="C2801" s="1"/>
      <c r="D2801" s="1"/>
      <c r="E2801" s="14"/>
      <c r="F2801" s="15"/>
      <c r="G2801" s="16"/>
      <c r="H2801" s="11"/>
      <c r="I2801" s="7"/>
      <c r="J2801" s="7" t="str">
        <f>IFERROR(LET(_xlpm.v,
VLOOKUP($I2801,'用語辞書'!$A:$B,COLUMN('用語辞書'!B$1),FALSE),
IF(_xlpm.v=0,"",_xlpm.v)
),"")</f>
        <v/>
      </c>
      <c r="K2801" s="17"/>
      <c r="L2801" s="17" t="str">
        <f>IF(OR(COUNTIF('クラス'!$A$1:$A$1262,$B2801)&gt;0,$B2801="",$M2801=""),"",True)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6.0</v>
      </c>
      <c r="B2802" s="1"/>
      <c r="C2802" s="1"/>
      <c r="D2802" s="1"/>
      <c r="E2802" s="14"/>
      <c r="F2802" s="15"/>
      <c r="G2802" s="16"/>
      <c r="H2802" s="11"/>
      <c r="I2802" s="7"/>
      <c r="J2802" s="7" t="str">
        <f>IFERROR(LET(_xlpm.v,
VLOOKUP($I2802,'用語辞書'!$A:$B,COLUMN('用語辞書'!B$1),FALSE),
IF(_xlpm.v=0,"",_xlpm.v)
),"")</f>
        <v/>
      </c>
      <c r="K2802" s="17"/>
      <c r="L2802" s="17" t="str">
        <f>IF(OR(COUNTIF('クラス'!$A$1:$A$1262,$B2802)&gt;0,$B2802="",$M2802=""),"",True)</f>
        <v/>
      </c>
      <c r="M2802" s="1" t="str">
        <f t="shared" si="30"/>
        <v>存在しない</v>
      </c>
      <c r="N2802" s="1" t="s">
        <v>29</v>
      </c>
      <c r="O2802" s="1"/>
      <c r="P2802" s="11"/>
      <c r="Q2802" s="11"/>
      <c r="R2802" s="11"/>
      <c r="S2802" s="11"/>
      <c r="T2802" s="1"/>
      <c r="U2802" s="1"/>
      <c r="V2802" s="1"/>
      <c r="W2802" s="1"/>
      <c r="X2802" s="1"/>
      <c r="Y2802" s="1"/>
      <c r="Z2802" s="1"/>
    </row>
    <row r="2803" ht="18.0" hidden="1" customHeight="1" outlineLevel="1">
      <c r="A2803" s="1">
        <v>7.0</v>
      </c>
      <c r="B2803" s="26" t="s">
        <v>451</v>
      </c>
      <c r="C2803" s="1"/>
      <c r="D2803" s="1"/>
      <c r="E2803" s="14"/>
      <c r="F2803" s="15"/>
      <c r="G2803" s="16"/>
      <c r="H2803" s="11"/>
      <c r="I2803" s="7"/>
      <c r="J2803" s="7" t="str">
        <f>IFERROR(LET(_xlpm.v,
VLOOKUP($I2803,'用語辞書'!$A:$B,COLUMN('用語辞書'!B$1),FALSE),
IF(_xlpm.v=0,"",_xlpm.v)
),"")</f>
        <v/>
      </c>
      <c r="K2803" s="17"/>
      <c r="L2803" s="17" t="str">
        <f>IF(OR(COUNTIF('クラス'!$A$1:$A$1262,$B2803)&gt;0,$B2803="",$M2803=""),"",True)</f>
        <v/>
      </c>
      <c r="M2803" s="1" t="str">
        <f t="shared" si="30"/>
        <v/>
      </c>
      <c r="N2803" s="1" t="s">
        <v>29</v>
      </c>
      <c r="O2803" s="1"/>
      <c r="P2803" s="11"/>
      <c r="Q2803" s="11"/>
      <c r="R2803" s="11"/>
      <c r="S2803" s="11"/>
      <c r="T2803" s="1"/>
      <c r="U2803" s="1"/>
      <c r="V2803" s="1"/>
      <c r="W2803" s="1"/>
      <c r="X2803" s="1"/>
      <c r="Y2803" s="1"/>
      <c r="Z2803" s="1"/>
    </row>
    <row r="2804" ht="18.0" hidden="1" customHeight="1" outlineLevel="1">
      <c r="A2804" s="1">
        <v>8.0</v>
      </c>
      <c r="B2804" s="1"/>
      <c r="C2804" s="1"/>
      <c r="D2804" s="1"/>
      <c r="E2804" s="14"/>
      <c r="F2804" s="15"/>
      <c r="G2804" s="16"/>
      <c r="H2804" s="11"/>
      <c r="I2804" s="7"/>
      <c r="J2804" s="7" t="str">
        <f>IFERROR(LET(_xlpm.v,
VLOOKUP($I2804,'用語辞書'!$A:$B,COLUMN('用語辞書'!B$1),FALSE),
IF(_xlpm.v=0,"",_xlpm.v)
),"")</f>
        <v/>
      </c>
      <c r="K2804" s="17"/>
      <c r="L2804" s="17" t="str">
        <f>IF(OR(COUNTIF('クラス'!$A$1:$A$1262,$B2804)&gt;0,$B2804="",$M2804=""),"",True)</f>
        <v/>
      </c>
      <c r="M2804" s="1" t="str">
        <f t="shared" si="30"/>
        <v>存在しない</v>
      </c>
      <c r="N2804" s="1" t="s">
        <v>29</v>
      </c>
      <c r="O2804" s="1"/>
      <c r="P2804" s="11"/>
      <c r="Q2804" s="11"/>
      <c r="R2804" s="11"/>
      <c r="S2804" s="11"/>
      <c r="T2804" s="1"/>
      <c r="U2804" s="1"/>
      <c r="V2804" s="1"/>
      <c r="W2804" s="1"/>
      <c r="X2804" s="1"/>
      <c r="Y2804" s="1"/>
      <c r="Z2804" s="1"/>
    </row>
    <row r="2805" ht="18.0" hidden="1" customHeight="1" outlineLevel="1">
      <c r="A2805" s="1">
        <v>9.0</v>
      </c>
      <c r="B2805" s="26" t="s">
        <v>384</v>
      </c>
      <c r="C2805" s="1"/>
      <c r="D2805" s="1"/>
      <c r="E2805" s="14"/>
      <c r="F2805" s="15"/>
      <c r="G2805" s="16"/>
      <c r="H2805" s="11"/>
      <c r="I2805" s="7"/>
      <c r="J2805" s="7" t="str">
        <f>IFERROR(LET(_xlpm.v,
VLOOKUP($I2805,'用語辞書'!$A:$B,COLUMN('用語辞書'!B$1),FALSE),
IF(_xlpm.v=0,"",_xlpm.v)
),"")</f>
        <v/>
      </c>
      <c r="K2805" s="17"/>
      <c r="L2805" s="17" t="str">
        <f>IF(OR(COUNTIF('クラス'!$A$1:$A$1262,$B2805)&gt;0,$B2805="",$M2805=""),"",True)</f>
        <v/>
      </c>
      <c r="M2805" s="1" t="str">
        <f t="shared" si="30"/>
        <v/>
      </c>
      <c r="N2805" s="1" t="s">
        <v>29</v>
      </c>
      <c r="O2805" s="1"/>
      <c r="P2805" s="11"/>
      <c r="Q2805" s="11"/>
      <c r="R2805" s="11"/>
      <c r="S2805" s="11"/>
      <c r="T2805" s="1"/>
      <c r="U2805" s="1"/>
      <c r="V2805" s="1"/>
      <c r="W2805" s="1"/>
      <c r="X2805" s="1"/>
      <c r="Y2805" s="1"/>
      <c r="Z2805" s="1"/>
    </row>
    <row r="2806" ht="18.0" hidden="1" customHeight="1" outlineLevel="1">
      <c r="A2806" s="1">
        <v>10.0</v>
      </c>
      <c r="B2806" s="1"/>
      <c r="C2806" s="1"/>
      <c r="D2806" s="1"/>
      <c r="E2806" s="14"/>
      <c r="F2806" s="15"/>
      <c r="G2806" s="16"/>
      <c r="H2806" s="11"/>
      <c r="I2806" s="7"/>
      <c r="J2806" s="7" t="str">
        <f>IFERROR(LET(_xlpm.v,
VLOOKUP($I2806,'用語辞書'!$A:$B,COLUMN('用語辞書'!B$1),FALSE),
IF(_xlpm.v=0,"",_xlpm.v)
),"")</f>
        <v/>
      </c>
      <c r="K2806" s="17"/>
      <c r="L2806" s="17" t="str">
        <f>IF(OR(COUNTIF('クラス'!$A$1:$A$1262,$B2806)&gt;0,$B2806="",$M2806=""),"",True)</f>
        <v/>
      </c>
      <c r="M2806" s="1" t="str">
        <f t="shared" si="30"/>
        <v>存在しない</v>
      </c>
      <c r="N2806" s="1" t="s">
        <v>29</v>
      </c>
      <c r="O2806" s="1"/>
      <c r="P2806" s="11"/>
      <c r="Q2806" s="11"/>
      <c r="R2806" s="11"/>
      <c r="S2806" s="11"/>
      <c r="T2806" s="1"/>
      <c r="U2806" s="1"/>
      <c r="V2806" s="1"/>
      <c r="W2806" s="1"/>
      <c r="X2806" s="1"/>
      <c r="Y2806" s="1"/>
      <c r="Z2806" s="1"/>
    </row>
    <row r="2807" ht="18.0" customHeight="1" collapsed="1">
      <c r="A2807" s="1"/>
      <c r="B2807" s="1"/>
      <c r="C2807" s="1"/>
      <c r="D2807" s="1"/>
      <c r="E2807" s="14"/>
      <c r="F2807" s="15"/>
      <c r="G2807" s="16"/>
      <c r="H2807" s="11"/>
      <c r="I2807" s="7"/>
      <c r="J2807" s="7" t="str">
        <f>IFERROR(LET(_xlpm.v,
VLOOKUP($I2807,'用語辞書'!$A:$B,COLUMN('用語辞書'!B$1),FALSE),
IF(_xlpm.v=0,"",_xlpm.v)
),"")</f>
        <v/>
      </c>
      <c r="K2807" s="17"/>
      <c r="L2807" s="17" t="str">
        <f>IF(OR(COUNTIF('クラス'!$A$1:$A$1262,$B2807)&gt;0,$B2807="",$M2807=""),"",True)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 r="A2808" s="1"/>
      <c r="B2808" s="26" t="s">
        <v>2506</v>
      </c>
      <c r="C2808" s="1"/>
      <c r="D2808" s="1"/>
      <c r="E2808" s="14"/>
      <c r="F2808" s="15"/>
      <c r="G2808" s="16"/>
      <c r="H2808" s="11"/>
      <c r="I2808" s="7"/>
      <c r="J2808" s="7" t="str">
        <f>IFERROR(LET(_xlpm.v,
VLOOKUP($I2808,'用語辞書'!$A:$B,COLUMN('用語辞書'!B$1),FALSE),
IF(_xlpm.v=0,"",_xlpm.v)
),"")</f>
        <v/>
      </c>
      <c r="K2808" s="17"/>
      <c r="L2808" s="17" t="str">
        <f>IF(OR(COUNTIF('クラス'!$A$1:$A$1262,$B2808)&gt;0,$B2808="",$M2808=""),"",True)</f>
        <v/>
      </c>
      <c r="M2808" s="1" t="str">
        <f t="shared" si="30"/>
        <v>存在しない</v>
      </c>
      <c r="N2808" s="1" t="s">
        <v>29</v>
      </c>
      <c r="O2808" s="1"/>
      <c r="P2808" s="11"/>
      <c r="Q2808" s="11"/>
      <c r="R2808" s="11"/>
      <c r="S2808" s="11"/>
      <c r="T2808" s="1"/>
      <c r="U2808" s="1"/>
      <c r="V2808" s="1"/>
      <c r="W2808" s="1"/>
      <c r="X2808" s="1"/>
      <c r="Y2808" s="1"/>
      <c r="Z2808" s="1"/>
    </row>
    <row r="2809" ht="18.0" hidden="1" customHeight="1" outlineLevel="1">
      <c r="A2809" s="1">
        <v>1.0</v>
      </c>
      <c r="B2809" s="1"/>
      <c r="C2809" s="1"/>
      <c r="D2809" s="1"/>
      <c r="E2809" s="14"/>
      <c r="F2809" s="15"/>
      <c r="G2809" s="16"/>
      <c r="H2809" s="11"/>
      <c r="I2809" s="7"/>
      <c r="J2809" s="7" t="str">
        <f>IFERROR(LET(_xlpm.v,
VLOOKUP($I2809,'用語辞書'!$A:$B,COLUMN('用語辞書'!B$1),FALSE),
IF(_xlpm.v=0,"",_xlpm.v)
),"")</f>
        <v/>
      </c>
      <c r="K2809" s="17"/>
      <c r="L2809" s="17" t="str">
        <f>IF(OR(COUNTIF('クラス'!$A$1:$A$1262,$B2809)&gt;0,$B2809="",$M2809=""),"",True)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2.0</v>
      </c>
      <c r="B2810" s="1"/>
      <c r="C2810" s="1"/>
      <c r="D2810" s="1"/>
      <c r="E2810" s="14"/>
      <c r="F2810" s="15"/>
      <c r="G2810" s="16"/>
      <c r="H2810" s="11"/>
      <c r="I2810" s="7"/>
      <c r="J2810" s="7" t="str">
        <f>IFERROR(LET(_xlpm.v,
VLOOKUP($I2810,'用語辞書'!$A:$B,COLUMN('用語辞書'!B$1),FALSE),
IF(_xlpm.v=0,"",_xlpm.v)
),"")</f>
        <v/>
      </c>
      <c r="K2810" s="17"/>
      <c r="L2810" s="17" t="str">
        <f>IF(OR(COUNTIF('クラス'!$A$1:$A$1262,$B2810)&gt;0,$B2810="",$M2810=""),"",True)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3.0</v>
      </c>
      <c r="B2811" s="1"/>
      <c r="C2811" s="1"/>
      <c r="D2811" s="1"/>
      <c r="E2811" s="14"/>
      <c r="F2811" s="15"/>
      <c r="G2811" s="16"/>
      <c r="H2811" s="11"/>
      <c r="I2811" s="7"/>
      <c r="J2811" s="7" t="str">
        <f>IFERROR(LET(_xlpm.v,
VLOOKUP($I2811,'用語辞書'!$A:$B,COLUMN('用語辞書'!B$1),FALSE),
IF(_xlpm.v=0,"",_xlpm.v)
),"")</f>
        <v/>
      </c>
      <c r="K2811" s="17"/>
      <c r="L2811" s="17" t="str">
        <f>IF(OR(COUNTIF('クラス'!$A$1:$A$1262,$B2811)&gt;0,$B2811="",$M2811=""),"",True)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4.0</v>
      </c>
      <c r="B2812" s="1"/>
      <c r="C2812" s="1"/>
      <c r="D2812" s="1"/>
      <c r="E2812" s="14"/>
      <c r="F2812" s="15"/>
      <c r="G2812" s="16"/>
      <c r="H2812" s="11"/>
      <c r="I2812" s="7"/>
      <c r="J2812" s="7" t="str">
        <f>IFERROR(LET(_xlpm.v,
VLOOKUP($I2812,'用語辞書'!$A:$B,COLUMN('用語辞書'!B$1),FALSE),
IF(_xlpm.v=0,"",_xlpm.v)
),"")</f>
        <v/>
      </c>
      <c r="K2812" s="17"/>
      <c r="L2812" s="17" t="str">
        <f>IF(OR(COUNTIF('クラス'!$A$1:$A$1262,$B2812)&gt;0,$B2812="",$M2812=""),"",True)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5.0</v>
      </c>
      <c r="B2813" s="1"/>
      <c r="C2813" s="1"/>
      <c r="D2813" s="1"/>
      <c r="E2813" s="14"/>
      <c r="F2813" s="15"/>
      <c r="G2813" s="16"/>
      <c r="H2813" s="11"/>
      <c r="I2813" s="7"/>
      <c r="J2813" s="7" t="str">
        <f>IFERROR(LET(_xlpm.v,
VLOOKUP($I2813,'用語辞書'!$A:$B,COLUMN('用語辞書'!B$1),FALSE),
IF(_xlpm.v=0,"",_xlpm.v)
),"")</f>
        <v/>
      </c>
      <c r="K2813" s="17"/>
      <c r="L2813" s="17" t="str">
        <f>IF(OR(COUNTIF('クラス'!$A$1:$A$1262,$B2813)&gt;0,$B2813="",$M2813=""),"",True)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6.0</v>
      </c>
      <c r="B2814" s="1"/>
      <c r="C2814" s="1"/>
      <c r="D2814" s="1"/>
      <c r="E2814" s="14"/>
      <c r="F2814" s="15"/>
      <c r="G2814" s="16"/>
      <c r="H2814" s="11"/>
      <c r="I2814" s="7"/>
      <c r="J2814" s="7" t="str">
        <f>IFERROR(LET(_xlpm.v,
VLOOKUP($I2814,'用語辞書'!$A:$B,COLUMN('用語辞書'!B$1),FALSE),
IF(_xlpm.v=0,"",_xlpm.v)
),"")</f>
        <v/>
      </c>
      <c r="K2814" s="17"/>
      <c r="L2814" s="17" t="str">
        <f>IF(OR(COUNTIF('クラス'!$A$1:$A$1262,$B2814)&gt;0,$B2814="",$M2814=""),"",True)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7.0</v>
      </c>
      <c r="B2815" s="1"/>
      <c r="C2815" s="1"/>
      <c r="D2815" s="1"/>
      <c r="E2815" s="14"/>
      <c r="F2815" s="15"/>
      <c r="G2815" s="16"/>
      <c r="H2815" s="11"/>
      <c r="I2815" s="7"/>
      <c r="J2815" s="7" t="str">
        <f>IFERROR(LET(_xlpm.v,
VLOOKUP($I2815,'用語辞書'!$A:$B,COLUMN('用語辞書'!B$1),FALSE),
IF(_xlpm.v=0,"",_xlpm.v)
),"")</f>
        <v/>
      </c>
      <c r="K2815" s="17"/>
      <c r="L2815" s="17" t="str">
        <f>IF(OR(COUNTIF('クラス'!$A$1:$A$1262,$B2815)&gt;0,$B2815="",$M2815=""),"",True)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8.0</v>
      </c>
      <c r="B2816" s="1"/>
      <c r="C2816" s="1"/>
      <c r="D2816" s="1"/>
      <c r="E2816" s="14"/>
      <c r="F2816" s="15"/>
      <c r="G2816" s="16"/>
      <c r="H2816" s="11"/>
      <c r="I2816" s="7"/>
      <c r="J2816" s="7" t="str">
        <f>IFERROR(LET(_xlpm.v,
VLOOKUP($I2816,'用語辞書'!$A:$B,COLUMN('用語辞書'!B$1),FALSE),
IF(_xlpm.v=0,"",_xlpm.v)
),"")</f>
        <v/>
      </c>
      <c r="K2816" s="17"/>
      <c r="L2816" s="17" t="str">
        <f>IF(OR(COUNTIF('クラス'!$A$1:$A$1262,$B2816)&gt;0,$B2816="",$M2816=""),"",True)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9.0</v>
      </c>
      <c r="B2817" s="1"/>
      <c r="C2817" s="1"/>
      <c r="D2817" s="1"/>
      <c r="E2817" s="14"/>
      <c r="F2817" s="15"/>
      <c r="G2817" s="16"/>
      <c r="H2817" s="11"/>
      <c r="I2817" s="7"/>
      <c r="J2817" s="7" t="str">
        <f>IFERROR(LET(_xlpm.v,
VLOOKUP($I2817,'用語辞書'!$A:$B,COLUMN('用語辞書'!B$1),FALSE),
IF(_xlpm.v=0,"",_xlpm.v)
),"")</f>
        <v/>
      </c>
      <c r="K2817" s="17"/>
      <c r="L2817" s="17" t="str">
        <f>IF(OR(COUNTIF('クラス'!$A$1:$A$1262,$B2817)&gt;0,$B2817="",$M2817=""),"",True)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10.0</v>
      </c>
      <c r="B2818" s="1"/>
      <c r="C2818" s="1"/>
      <c r="D2818" s="1"/>
      <c r="E2818" s="14"/>
      <c r="F2818" s="15"/>
      <c r="G2818" s="16"/>
      <c r="H2818" s="11"/>
      <c r="I2818" s="7"/>
      <c r="J2818" s="7" t="str">
        <f>IFERROR(LET(_xlpm.v,
VLOOKUP($I2818,'用語辞書'!$A:$B,COLUMN('用語辞書'!B$1),FALSE),
IF(_xlpm.v=0,"",_xlpm.v)
),"")</f>
        <v/>
      </c>
      <c r="K2818" s="17"/>
      <c r="L2818" s="17" t="str">
        <f>IF(OR(COUNTIF('クラス'!$A$1:$A$1262,$B2818)&gt;0,$B2818="",$M2818=""),"",True)</f>
        <v/>
      </c>
      <c r="M2818" s="1" t="str">
        <f t="shared" si="30"/>
        <v>存在しない</v>
      </c>
      <c r="N2818" s="1" t="s">
        <v>29</v>
      </c>
      <c r="O2818" s="1"/>
      <c r="P2818" s="11"/>
      <c r="Q2818" s="11"/>
      <c r="R2818" s="11"/>
      <c r="S2818" s="11"/>
      <c r="T2818" s="1"/>
      <c r="U2818" s="1"/>
      <c r="V2818" s="1"/>
      <c r="W2818" s="1"/>
      <c r="X2818" s="1"/>
      <c r="Y2818" s="1"/>
      <c r="Z2818" s="1"/>
    </row>
    <row r="2819" ht="18.0" customHeight="1" collapsed="1">
      <c r="A2819" s="1"/>
      <c r="B2819" s="1"/>
      <c r="C2819" s="1"/>
      <c r="D2819" s="1"/>
      <c r="E2819" s="14"/>
      <c r="F2819" s="15"/>
      <c r="G2819" s="16"/>
      <c r="H2819" s="11"/>
      <c r="I2819" s="7"/>
      <c r="J2819" s="7" t="str">
        <f>IFERROR(LET(_xlpm.v,
VLOOKUP($I2819,'用語辞書'!$A:$B,COLUMN('用語辞書'!B$1),FALSE),
IF(_xlpm.v=0,"",_xlpm.v)
),"")</f>
        <v/>
      </c>
      <c r="K2819" s="17"/>
      <c r="L2819" s="17" t="str">
        <f>IF(OR(COUNTIF('クラス'!$A$1:$A$1262,$B2819)&gt;0,$B2819="",$M2819=""),"",True)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 r="A2820" s="1"/>
      <c r="B2820" s="26" t="s">
        <v>2507</v>
      </c>
      <c r="C2820" s="1"/>
      <c r="D2820" s="1"/>
      <c r="E2820" s="14"/>
      <c r="F2820" s="15"/>
      <c r="G2820" s="16"/>
      <c r="H2820" s="11"/>
      <c r="I2820" s="7"/>
      <c r="J2820" s="7" t="str">
        <f>IFERROR(LET(_xlpm.v,
VLOOKUP($I2820,'用語辞書'!$A:$B,COLUMN('用語辞書'!B$1),FALSE),
IF(_xlpm.v=0,"",_xlpm.v)
),"")</f>
        <v/>
      </c>
      <c r="K2820" s="17"/>
      <c r="L2820" s="17" t="str">
        <f>IF(OR(COUNTIF('クラス'!$A$1:$A$1262,$B2820)&gt;0,$B2820="",$M2820=""),"",True)</f>
        <v/>
      </c>
      <c r="M2820" s="1" t="str">
        <f t="shared" si="30"/>
        <v>存在しない</v>
      </c>
      <c r="N2820" s="1" t="s">
        <v>29</v>
      </c>
      <c r="O2820" s="1"/>
      <c r="P2820" s="11"/>
      <c r="Q2820" s="11"/>
      <c r="R2820" s="11"/>
      <c r="S2820" s="11"/>
      <c r="T2820" s="1"/>
      <c r="U2820" s="1"/>
      <c r="V2820" s="1"/>
      <c r="W2820" s="1"/>
      <c r="X2820" s="1"/>
      <c r="Y2820" s="1"/>
      <c r="Z2820" s="1"/>
    </row>
    <row r="2821" ht="18.0" hidden="1" customHeight="1" outlineLevel="1">
      <c r="A2821" s="1">
        <v>1.0</v>
      </c>
      <c r="B2821" s="1"/>
      <c r="C2821" s="1"/>
      <c r="D2821" s="1"/>
      <c r="E2821" s="14"/>
      <c r="F2821" s="15"/>
      <c r="G2821" s="16"/>
      <c r="H2821" s="11"/>
      <c r="I2821" s="7"/>
      <c r="J2821" s="7" t="str">
        <f>IFERROR(LET(_xlpm.v,
VLOOKUP($I2821,'用語辞書'!$A:$B,COLUMN('用語辞書'!B$1),FALSE),
IF(_xlpm.v=0,"",_xlpm.v)
),"")</f>
        <v/>
      </c>
      <c r="K2821" s="17"/>
      <c r="L2821" s="17" t="str">
        <f>IF(OR(COUNTIF('クラス'!$A$1:$A$1262,$B2821)&gt;0,$B2821="",$M2821=""),"",True)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2.0</v>
      </c>
      <c r="B2822" s="1"/>
      <c r="C2822" s="1"/>
      <c r="D2822" s="1"/>
      <c r="E2822" s="14"/>
      <c r="F2822" s="15"/>
      <c r="G2822" s="16"/>
      <c r="H2822" s="11"/>
      <c r="I2822" s="7"/>
      <c r="J2822" s="7" t="str">
        <f>IFERROR(LET(_xlpm.v,
VLOOKUP($I2822,'用語辞書'!$A:$B,COLUMN('用語辞書'!B$1),FALSE),
IF(_xlpm.v=0,"",_xlpm.v)
),"")</f>
        <v/>
      </c>
      <c r="K2822" s="17"/>
      <c r="L2822" s="17" t="str">
        <f>IF(OR(COUNTIF('クラス'!$A$1:$A$1262,$B2822)&gt;0,$B2822="",$M2822=""),"",True)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3.0</v>
      </c>
      <c r="B2823" s="1"/>
      <c r="C2823" s="1"/>
      <c r="D2823" s="1"/>
      <c r="E2823" s="14"/>
      <c r="F2823" s="15"/>
      <c r="G2823" s="16"/>
      <c r="H2823" s="11"/>
      <c r="I2823" s="7"/>
      <c r="J2823" s="7" t="str">
        <f>IFERROR(LET(_xlpm.v,
VLOOKUP($I2823,'用語辞書'!$A:$B,COLUMN('用語辞書'!B$1),FALSE),
IF(_xlpm.v=0,"",_xlpm.v)
),"")</f>
        <v/>
      </c>
      <c r="K2823" s="17"/>
      <c r="L2823" s="17" t="str">
        <f>IF(OR(COUNTIF('クラス'!$A$1:$A$1262,$B2823)&gt;0,$B2823="",$M2823=""),"",True)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4.0</v>
      </c>
      <c r="B2824" s="1"/>
      <c r="C2824" s="1"/>
      <c r="D2824" s="1"/>
      <c r="E2824" s="14"/>
      <c r="F2824" s="15"/>
      <c r="G2824" s="16"/>
      <c r="H2824" s="11"/>
      <c r="I2824" s="7"/>
      <c r="J2824" s="7" t="str">
        <f>IFERROR(LET(_xlpm.v,
VLOOKUP($I2824,'用語辞書'!$A:$B,COLUMN('用語辞書'!B$1),FALSE),
IF(_xlpm.v=0,"",_xlpm.v)
),"")</f>
        <v/>
      </c>
      <c r="K2824" s="17"/>
      <c r="L2824" s="17" t="str">
        <f>IF(OR(COUNTIF('クラス'!$A$1:$A$1262,$B2824)&gt;0,$B2824="",$M2824=""),"",True)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5.0</v>
      </c>
      <c r="B2825" s="1"/>
      <c r="C2825" s="1"/>
      <c r="D2825" s="1"/>
      <c r="E2825" s="14"/>
      <c r="F2825" s="15"/>
      <c r="G2825" s="16"/>
      <c r="H2825" s="11"/>
      <c r="I2825" s="7"/>
      <c r="J2825" s="7" t="str">
        <f>IFERROR(LET(_xlpm.v,
VLOOKUP($I2825,'用語辞書'!$A:$B,COLUMN('用語辞書'!B$1),FALSE),
IF(_xlpm.v=0,"",_xlpm.v)
),"")</f>
        <v/>
      </c>
      <c r="K2825" s="17"/>
      <c r="L2825" s="17" t="str">
        <f>IF(OR(COUNTIF('クラス'!$A$1:$A$1262,$B2825)&gt;0,$B2825="",$M2825=""),"",True)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6.0</v>
      </c>
      <c r="B2826" s="1"/>
      <c r="C2826" s="1"/>
      <c r="D2826" s="1"/>
      <c r="E2826" s="14"/>
      <c r="F2826" s="15"/>
      <c r="G2826" s="16"/>
      <c r="H2826" s="11"/>
      <c r="I2826" s="7"/>
      <c r="J2826" s="7" t="str">
        <f>IFERROR(LET(_xlpm.v,
VLOOKUP($I2826,'用語辞書'!$A:$B,COLUMN('用語辞書'!B$1),FALSE),
IF(_xlpm.v=0,"",_xlpm.v)
),"")</f>
        <v/>
      </c>
      <c r="K2826" s="17"/>
      <c r="L2826" s="17" t="str">
        <f>IF(OR(COUNTIF('クラス'!$A$1:$A$1262,$B2826)&gt;0,$B2826="",$M2826=""),"",True)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7.0</v>
      </c>
      <c r="B2827" s="1"/>
      <c r="C2827" s="1"/>
      <c r="D2827" s="1"/>
      <c r="E2827" s="14"/>
      <c r="F2827" s="15"/>
      <c r="G2827" s="16"/>
      <c r="H2827" s="11"/>
      <c r="I2827" s="7"/>
      <c r="J2827" s="7" t="str">
        <f>IFERROR(LET(_xlpm.v,
VLOOKUP($I2827,'用語辞書'!$A:$B,COLUMN('用語辞書'!B$1),FALSE),
IF(_xlpm.v=0,"",_xlpm.v)
),"")</f>
        <v/>
      </c>
      <c r="K2827" s="17"/>
      <c r="L2827" s="17" t="str">
        <f>IF(OR(COUNTIF('クラス'!$A$1:$A$1262,$B2827)&gt;0,$B2827="",$M2827=""),"",True)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8.0</v>
      </c>
      <c r="B2828" s="1"/>
      <c r="C2828" s="1"/>
      <c r="D2828" s="1"/>
      <c r="E2828" s="14"/>
      <c r="F2828" s="15"/>
      <c r="G2828" s="16"/>
      <c r="H2828" s="11"/>
      <c r="I2828" s="7"/>
      <c r="J2828" s="7" t="str">
        <f>IFERROR(LET(_xlpm.v,
VLOOKUP($I2828,'用語辞書'!$A:$B,COLUMN('用語辞書'!B$1),FALSE),
IF(_xlpm.v=0,"",_xlpm.v)
),"")</f>
        <v/>
      </c>
      <c r="K2828" s="17"/>
      <c r="L2828" s="17" t="str">
        <f>IF(OR(COUNTIF('クラス'!$A$1:$A$1262,$B2828)&gt;0,$B2828="",$M2828=""),"",True)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9.0</v>
      </c>
      <c r="B2829" s="1"/>
      <c r="C2829" s="1"/>
      <c r="D2829" s="1"/>
      <c r="E2829" s="14"/>
      <c r="F2829" s="15"/>
      <c r="G2829" s="16"/>
      <c r="H2829" s="11"/>
      <c r="I2829" s="7"/>
      <c r="J2829" s="7" t="str">
        <f>IFERROR(LET(_xlpm.v,
VLOOKUP($I2829,'用語辞書'!$A:$B,COLUMN('用語辞書'!B$1),FALSE),
IF(_xlpm.v=0,"",_xlpm.v)
),"")</f>
        <v/>
      </c>
      <c r="K2829" s="17"/>
      <c r="L2829" s="17" t="str">
        <f>IF(OR(COUNTIF('クラス'!$A$1:$A$1262,$B2829)&gt;0,$B2829="",$M2829=""),"",True)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10.0</v>
      </c>
      <c r="B2830" s="1"/>
      <c r="C2830" s="1"/>
      <c r="D2830" s="1"/>
      <c r="E2830" s="14"/>
      <c r="F2830" s="15"/>
      <c r="G2830" s="16"/>
      <c r="H2830" s="11"/>
      <c r="I2830" s="7"/>
      <c r="J2830" s="7" t="str">
        <f>IFERROR(LET(_xlpm.v,
VLOOKUP($I2830,'用語辞書'!$A:$B,COLUMN('用語辞書'!B$1),FALSE),
IF(_xlpm.v=0,"",_xlpm.v)
),"")</f>
        <v/>
      </c>
      <c r="K2830" s="17"/>
      <c r="L2830" s="17" t="str">
        <f>IF(OR(COUNTIF('クラス'!$A$1:$A$1262,$B2830)&gt;0,$B2830="",$M2830=""),"",True)</f>
        <v/>
      </c>
      <c r="M2830" s="1" t="str">
        <f t="shared" si="30"/>
        <v>存在しない</v>
      </c>
      <c r="N2830" s="1" t="s">
        <v>29</v>
      </c>
      <c r="O2830" s="1"/>
      <c r="P2830" s="11"/>
      <c r="Q2830" s="11"/>
      <c r="R2830" s="11"/>
      <c r="S2830" s="11"/>
      <c r="T2830" s="1"/>
      <c r="U2830" s="1"/>
      <c r="V2830" s="1"/>
      <c r="W2830" s="1"/>
      <c r="X2830" s="1"/>
      <c r="Y2830" s="1"/>
      <c r="Z2830" s="1"/>
    </row>
    <row r="2831" ht="18.0" customHeight="1" collapsed="1">
      <c r="A2831" s="1"/>
      <c r="B2831" s="1"/>
      <c r="C2831" s="1"/>
      <c r="D2831" s="1"/>
      <c r="E2831" s="14"/>
      <c r="F2831" s="15"/>
      <c r="G2831" s="16"/>
      <c r="H2831" s="11"/>
      <c r="I2831" s="7"/>
      <c r="J2831" s="7" t="str">
        <f>IFERROR(LET(_xlpm.v,
VLOOKUP($I2831,'用語辞書'!$A:$B,COLUMN('用語辞書'!B$1),FALSE),
IF(_xlpm.v=0,"",_xlpm.v)
),"")</f>
        <v/>
      </c>
      <c r="K2831" s="17"/>
      <c r="L2831" s="17" t="str">
        <f>IF(OR(COUNTIF('クラス'!$A$1:$A$1262,$B2831)&gt;0,$B2831="",$M2831=""),"",True)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 r="A2832" s="1"/>
      <c r="B2832" s="26" t="s">
        <v>2508</v>
      </c>
      <c r="C2832" s="1"/>
      <c r="D2832" s="1"/>
      <c r="E2832" s="14"/>
      <c r="F2832" s="15"/>
      <c r="G2832" s="16"/>
      <c r="H2832" s="11"/>
      <c r="I2832" s="7"/>
      <c r="J2832" s="7" t="str">
        <f>IFERROR(LET(_xlpm.v,
VLOOKUP($I2832,'用語辞書'!$A:$B,COLUMN('用語辞書'!B$1),FALSE),
IF(_xlpm.v=0,"",_xlpm.v)
),"")</f>
        <v/>
      </c>
      <c r="K2832" s="17"/>
      <c r="L2832" s="17" t="str">
        <f>IF(OR(COUNTIF('クラス'!$A$1:$A$1262,$B2832)&gt;0,$B2832="",$M2832=""),"",True)</f>
        <v/>
      </c>
      <c r="M2832" s="1" t="str">
        <f t="shared" si="30"/>
        <v>存在しない</v>
      </c>
      <c r="N2832" s="1" t="s">
        <v>29</v>
      </c>
      <c r="O2832" s="1"/>
      <c r="P2832" s="11"/>
      <c r="Q2832" s="11"/>
      <c r="R2832" s="11"/>
      <c r="S2832" s="11"/>
      <c r="T2832" s="1"/>
      <c r="U2832" s="1"/>
      <c r="V2832" s="1"/>
      <c r="W2832" s="1"/>
      <c r="X2832" s="1"/>
      <c r="Y2832" s="1"/>
      <c r="Z2832" s="1"/>
    </row>
    <row r="2833" ht="18.0" hidden="1" customHeight="1" outlineLevel="1">
      <c r="A2833" s="1">
        <v>1.0</v>
      </c>
      <c r="B2833" s="1"/>
      <c r="C2833" s="1"/>
      <c r="D2833" s="1"/>
      <c r="E2833" s="14"/>
      <c r="F2833" s="15"/>
      <c r="G2833" s="16"/>
      <c r="H2833" s="11"/>
      <c r="I2833" s="7"/>
      <c r="J2833" s="7" t="str">
        <f>IFERROR(LET(_xlpm.v,
VLOOKUP($I2833,'用語辞書'!$A:$B,COLUMN('用語辞書'!B$1),FALSE),
IF(_xlpm.v=0,"",_xlpm.v)
),"")</f>
        <v/>
      </c>
      <c r="K2833" s="17"/>
      <c r="L2833" s="17" t="str">
        <f>IF(OR(COUNTIF('クラス'!$A$1:$A$1262,$B2833)&gt;0,$B2833="",$M2833=""),"",True)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2.0</v>
      </c>
      <c r="B2834" s="1"/>
      <c r="C2834" s="1"/>
      <c r="D2834" s="1"/>
      <c r="E2834" s="14"/>
      <c r="F2834" s="15"/>
      <c r="G2834" s="16"/>
      <c r="H2834" s="11"/>
      <c r="I2834" s="7"/>
      <c r="J2834" s="7" t="str">
        <f>IFERROR(LET(_xlpm.v,
VLOOKUP($I2834,'用語辞書'!$A:$B,COLUMN('用語辞書'!B$1),FALSE),
IF(_xlpm.v=0,"",_xlpm.v)
),"")</f>
        <v/>
      </c>
      <c r="K2834" s="17"/>
      <c r="L2834" s="17" t="str">
        <f>IF(OR(COUNTIF('クラス'!$A$1:$A$1262,$B2834)&gt;0,$B2834="",$M2834=""),"",True)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3.0</v>
      </c>
      <c r="B2835" s="1"/>
      <c r="C2835" s="1"/>
      <c r="D2835" s="1"/>
      <c r="E2835" s="14"/>
      <c r="F2835" s="15"/>
      <c r="G2835" s="16"/>
      <c r="H2835" s="11"/>
      <c r="I2835" s="7"/>
      <c r="J2835" s="7" t="str">
        <f>IFERROR(LET(_xlpm.v,
VLOOKUP($I2835,'用語辞書'!$A:$B,COLUMN('用語辞書'!B$1),FALSE),
IF(_xlpm.v=0,"",_xlpm.v)
),"")</f>
        <v/>
      </c>
      <c r="K2835" s="17"/>
      <c r="L2835" s="17" t="str">
        <f>IF(OR(COUNTIF('クラス'!$A$1:$A$1262,$B2835)&gt;0,$B2835="",$M2835=""),"",True)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4.0</v>
      </c>
      <c r="B2836" s="1"/>
      <c r="C2836" s="1"/>
      <c r="D2836" s="1"/>
      <c r="E2836" s="14"/>
      <c r="F2836" s="15"/>
      <c r="G2836" s="16"/>
      <c r="H2836" s="11"/>
      <c r="I2836" s="7"/>
      <c r="J2836" s="7" t="str">
        <f>IFERROR(LET(_xlpm.v,
VLOOKUP($I2836,'用語辞書'!$A:$B,COLUMN('用語辞書'!B$1),FALSE),
IF(_xlpm.v=0,"",_xlpm.v)
),"")</f>
        <v/>
      </c>
      <c r="K2836" s="17"/>
      <c r="L2836" s="17" t="str">
        <f>IF(OR(COUNTIF('クラス'!$A$1:$A$1262,$B2836)&gt;0,$B2836="",$M2836=""),"",True)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5.0</v>
      </c>
      <c r="B2837" s="1"/>
      <c r="C2837" s="1"/>
      <c r="D2837" s="1"/>
      <c r="E2837" s="14"/>
      <c r="F2837" s="15"/>
      <c r="G2837" s="16"/>
      <c r="H2837" s="11"/>
      <c r="I2837" s="7"/>
      <c r="J2837" s="7" t="str">
        <f>IFERROR(LET(_xlpm.v,
VLOOKUP($I2837,'用語辞書'!$A:$B,COLUMN('用語辞書'!B$1),FALSE),
IF(_xlpm.v=0,"",_xlpm.v)
),"")</f>
        <v/>
      </c>
      <c r="K2837" s="17"/>
      <c r="L2837" s="17" t="str">
        <f>IF(OR(COUNTIF('クラス'!$A$1:$A$1262,$B2837)&gt;0,$B2837="",$M2837=""),"",True)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6.0</v>
      </c>
      <c r="B2838" s="1"/>
      <c r="C2838" s="1"/>
      <c r="D2838" s="1"/>
      <c r="E2838" s="14"/>
      <c r="F2838" s="15"/>
      <c r="G2838" s="16"/>
      <c r="H2838" s="11"/>
      <c r="I2838" s="7"/>
      <c r="J2838" s="7" t="str">
        <f>IFERROR(LET(_xlpm.v,
VLOOKUP($I2838,'用語辞書'!$A:$B,COLUMN('用語辞書'!B$1),FALSE),
IF(_xlpm.v=0,"",_xlpm.v)
),"")</f>
        <v/>
      </c>
      <c r="K2838" s="17"/>
      <c r="L2838" s="17" t="str">
        <f>IF(OR(COUNTIF('クラス'!$A$1:$A$1262,$B2838)&gt;0,$B2838="",$M2838=""),"",True)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7.0</v>
      </c>
      <c r="B2839" s="1"/>
      <c r="C2839" s="1"/>
      <c r="D2839" s="1"/>
      <c r="E2839" s="14"/>
      <c r="F2839" s="15"/>
      <c r="G2839" s="16"/>
      <c r="H2839" s="11"/>
      <c r="I2839" s="7"/>
      <c r="J2839" s="7" t="str">
        <f>IFERROR(LET(_xlpm.v,
VLOOKUP($I2839,'用語辞書'!$A:$B,COLUMN('用語辞書'!B$1),FALSE),
IF(_xlpm.v=0,"",_xlpm.v)
),"")</f>
        <v/>
      </c>
      <c r="K2839" s="17"/>
      <c r="L2839" s="17" t="str">
        <f>IF(OR(COUNTIF('クラス'!$A$1:$A$1262,$B2839)&gt;0,$B2839="",$M2839=""),"",True)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8.0</v>
      </c>
      <c r="B2840" s="1"/>
      <c r="C2840" s="1"/>
      <c r="D2840" s="1"/>
      <c r="E2840" s="14"/>
      <c r="F2840" s="15"/>
      <c r="G2840" s="16"/>
      <c r="H2840" s="11"/>
      <c r="I2840" s="7"/>
      <c r="J2840" s="7" t="str">
        <f>IFERROR(LET(_xlpm.v,
VLOOKUP($I2840,'用語辞書'!$A:$B,COLUMN('用語辞書'!B$1),FALSE),
IF(_xlpm.v=0,"",_xlpm.v)
),"")</f>
        <v/>
      </c>
      <c r="K2840" s="17"/>
      <c r="L2840" s="17" t="str">
        <f>IF(OR(COUNTIF('クラス'!$A$1:$A$1262,$B2840)&gt;0,$B2840="",$M2840=""),"",True)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9.0</v>
      </c>
      <c r="B2841" s="1"/>
      <c r="C2841" s="1"/>
      <c r="D2841" s="1"/>
      <c r="E2841" s="14"/>
      <c r="F2841" s="15"/>
      <c r="G2841" s="16"/>
      <c r="H2841" s="11"/>
      <c r="I2841" s="7"/>
      <c r="J2841" s="7" t="str">
        <f>IFERROR(LET(_xlpm.v,
VLOOKUP($I2841,'用語辞書'!$A:$B,COLUMN('用語辞書'!B$1),FALSE),
IF(_xlpm.v=0,"",_xlpm.v)
),"")</f>
        <v/>
      </c>
      <c r="K2841" s="17"/>
      <c r="L2841" s="17" t="str">
        <f>IF(OR(COUNTIF('クラス'!$A$1:$A$1262,$B2841)&gt;0,$B2841="",$M2841=""),"",True)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10.0</v>
      </c>
      <c r="B2842" s="1"/>
      <c r="C2842" s="1"/>
      <c r="D2842" s="1"/>
      <c r="E2842" s="14"/>
      <c r="F2842" s="15"/>
      <c r="G2842" s="16"/>
      <c r="H2842" s="11"/>
      <c r="I2842" s="7"/>
      <c r="J2842" s="7" t="str">
        <f>IFERROR(LET(_xlpm.v,
VLOOKUP($I2842,'用語辞書'!$A:$B,COLUMN('用語辞書'!B$1),FALSE),
IF(_xlpm.v=0,"",_xlpm.v)
),"")</f>
        <v/>
      </c>
      <c r="K2842" s="17"/>
      <c r="L2842" s="17" t="str">
        <f>IF(OR(COUNTIF('クラス'!$A$1:$A$1262,$B2842)&gt;0,$B2842="",$M2842=""),"",True)</f>
        <v/>
      </c>
      <c r="M2842" s="1" t="str">
        <f t="shared" si="30"/>
        <v>存在しない</v>
      </c>
      <c r="N2842" s="1" t="s">
        <v>29</v>
      </c>
      <c r="O2842" s="1"/>
      <c r="P2842" s="11"/>
      <c r="Q2842" s="11"/>
      <c r="R2842" s="11"/>
      <c r="S2842" s="11"/>
      <c r="T2842" s="1"/>
      <c r="U2842" s="1"/>
      <c r="V2842" s="1"/>
      <c r="W2842" s="1"/>
      <c r="X2842" s="1"/>
      <c r="Y2842" s="1"/>
      <c r="Z2842" s="1"/>
    </row>
    <row r="2843" ht="18.0" customHeight="1" collapsed="1">
      <c r="A2843" s="1"/>
      <c r="B2843" s="1"/>
      <c r="C2843" s="1"/>
      <c r="D2843" s="1"/>
      <c r="E2843" s="14"/>
      <c r="F2843" s="15"/>
      <c r="G2843" s="16"/>
      <c r="H2843" s="11"/>
      <c r="I2843" s="7"/>
      <c r="J2843" s="7" t="str">
        <f>IFERROR(LET(_xlpm.v,
VLOOKUP($I2843,'用語辞書'!$A:$B,COLUMN('用語辞書'!B$1),FALSE),
IF(_xlpm.v=0,"",_xlpm.v)
),"")</f>
        <v/>
      </c>
      <c r="K2843" s="17"/>
      <c r="L2843" s="17" t="str">
        <f>IF(OR(COUNTIF('クラス'!$A$1:$A$1262,$B2843)&gt;0,$B2843="",$M2843=""),"",True)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 r="A2844" s="1"/>
      <c r="B2844" s="26" t="s">
        <v>2509</v>
      </c>
      <c r="C2844" s="1"/>
      <c r="D2844" s="1"/>
      <c r="E2844" s="14"/>
      <c r="F2844" s="15"/>
      <c r="G2844" s="16"/>
      <c r="H2844" s="11"/>
      <c r="I2844" s="7"/>
      <c r="J2844" s="7" t="str">
        <f>IFERROR(LET(_xlpm.v,
VLOOKUP($I2844,'用語辞書'!$A:$B,COLUMN('用語辞書'!B$1),FALSE),
IF(_xlpm.v=0,"",_xlpm.v)
),"")</f>
        <v/>
      </c>
      <c r="K2844" s="17"/>
      <c r="L2844" s="17" t="str">
        <f>IF(OR(COUNTIF('クラス'!$A$1:$A$1262,$B2844)&gt;0,$B2844="",$M2844=""),"",True)</f>
        <v/>
      </c>
      <c r="M2844" s="1" t="str">
        <f t="shared" si="30"/>
        <v>存在しない</v>
      </c>
      <c r="N2844" s="1" t="s">
        <v>29</v>
      </c>
      <c r="O2844" s="1"/>
      <c r="P2844" s="11"/>
      <c r="Q2844" s="11"/>
      <c r="R2844" s="11"/>
      <c r="S2844" s="11"/>
      <c r="T2844" s="1"/>
      <c r="U2844" s="1"/>
      <c r="V2844" s="1"/>
      <c r="W2844" s="1"/>
      <c r="X2844" s="1"/>
      <c r="Y2844" s="1"/>
      <c r="Z2844" s="1"/>
    </row>
    <row r="2845" ht="18.0" hidden="1" customHeight="1" outlineLevel="1">
      <c r="A2845" s="1">
        <v>1.0</v>
      </c>
      <c r="B2845" s="1"/>
      <c r="C2845" s="1"/>
      <c r="D2845" s="1"/>
      <c r="E2845" s="14"/>
      <c r="F2845" s="15"/>
      <c r="G2845" s="16"/>
      <c r="H2845" s="11"/>
      <c r="I2845" s="7"/>
      <c r="J2845" s="7" t="str">
        <f>IFERROR(LET(_xlpm.v,
VLOOKUP($I2845,'用語辞書'!$A:$B,COLUMN('用語辞書'!B$1),FALSE),
IF(_xlpm.v=0,"",_xlpm.v)
),"")</f>
        <v/>
      </c>
      <c r="K2845" s="17"/>
      <c r="L2845" s="17" t="str">
        <f>IF(OR(COUNTIF('クラス'!$A$1:$A$1262,$B2845)&gt;0,$B2845="",$M2845=""),"",True)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2.0</v>
      </c>
      <c r="B2846" s="1"/>
      <c r="C2846" s="1"/>
      <c r="D2846" s="1"/>
      <c r="E2846" s="14"/>
      <c r="F2846" s="15"/>
      <c r="G2846" s="16"/>
      <c r="H2846" s="11"/>
      <c r="I2846" s="7"/>
      <c r="J2846" s="7" t="str">
        <f>IFERROR(LET(_xlpm.v,
VLOOKUP($I2846,'用語辞書'!$A:$B,COLUMN('用語辞書'!B$1),FALSE),
IF(_xlpm.v=0,"",_xlpm.v)
),"")</f>
        <v/>
      </c>
      <c r="K2846" s="17"/>
      <c r="L2846" s="17" t="str">
        <f>IF(OR(COUNTIF('クラス'!$A$1:$A$1262,$B2846)&gt;0,$B2846="",$M2846=""),"",True)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3.0</v>
      </c>
      <c r="B2847" s="1"/>
      <c r="C2847" s="1"/>
      <c r="D2847" s="1"/>
      <c r="E2847" s="14"/>
      <c r="F2847" s="15"/>
      <c r="G2847" s="16"/>
      <c r="H2847" s="11"/>
      <c r="I2847" s="7"/>
      <c r="J2847" s="7" t="str">
        <f>IFERROR(LET(_xlpm.v,
VLOOKUP($I2847,'用語辞書'!$A:$B,COLUMN('用語辞書'!B$1),FALSE),
IF(_xlpm.v=0,"",_xlpm.v)
),"")</f>
        <v/>
      </c>
      <c r="K2847" s="17"/>
      <c r="L2847" s="17" t="str">
        <f>IF(OR(COUNTIF('クラス'!$A$1:$A$1262,$B2847)&gt;0,$B2847="",$M2847=""),"",True)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4.0</v>
      </c>
      <c r="B2848" s="1"/>
      <c r="C2848" s="1"/>
      <c r="D2848" s="1"/>
      <c r="E2848" s="14"/>
      <c r="F2848" s="15"/>
      <c r="G2848" s="16"/>
      <c r="H2848" s="11"/>
      <c r="I2848" s="7"/>
      <c r="J2848" s="7" t="str">
        <f>IFERROR(LET(_xlpm.v,
VLOOKUP($I2848,'用語辞書'!$A:$B,COLUMN('用語辞書'!B$1),FALSE),
IF(_xlpm.v=0,"",_xlpm.v)
),"")</f>
        <v/>
      </c>
      <c r="K2848" s="17"/>
      <c r="L2848" s="17" t="str">
        <f>IF(OR(COUNTIF('クラス'!$A$1:$A$1262,$B2848)&gt;0,$B2848="",$M2848=""),"",True)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5.0</v>
      </c>
      <c r="B2849" s="1"/>
      <c r="C2849" s="1"/>
      <c r="D2849" s="1"/>
      <c r="E2849" s="14"/>
      <c r="F2849" s="15"/>
      <c r="G2849" s="16"/>
      <c r="H2849" s="11"/>
      <c r="I2849" s="7"/>
      <c r="J2849" s="7" t="str">
        <f>IFERROR(LET(_xlpm.v,
VLOOKUP($I2849,'用語辞書'!$A:$B,COLUMN('用語辞書'!B$1),FALSE),
IF(_xlpm.v=0,"",_xlpm.v)
),"")</f>
        <v/>
      </c>
      <c r="K2849" s="17"/>
      <c r="L2849" s="17" t="str">
        <f>IF(OR(COUNTIF('クラス'!$A$1:$A$1262,$B2849)&gt;0,$B2849="",$M2849=""),"",True)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6.0</v>
      </c>
      <c r="B2850" s="1"/>
      <c r="C2850" s="1"/>
      <c r="D2850" s="1"/>
      <c r="E2850" s="14"/>
      <c r="F2850" s="15"/>
      <c r="G2850" s="16"/>
      <c r="H2850" s="11"/>
      <c r="I2850" s="7"/>
      <c r="J2850" s="7" t="str">
        <f>IFERROR(LET(_xlpm.v,
VLOOKUP($I2850,'用語辞書'!$A:$B,COLUMN('用語辞書'!B$1),FALSE),
IF(_xlpm.v=0,"",_xlpm.v)
),"")</f>
        <v/>
      </c>
      <c r="K2850" s="17"/>
      <c r="L2850" s="17" t="str">
        <f>IF(OR(COUNTIF('クラス'!$A$1:$A$1262,$B2850)&gt;0,$B2850="",$M2850=""),"",True)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7.0</v>
      </c>
      <c r="B2851" s="1"/>
      <c r="C2851" s="1"/>
      <c r="D2851" s="1"/>
      <c r="E2851" s="14"/>
      <c r="F2851" s="15"/>
      <c r="G2851" s="16"/>
      <c r="H2851" s="11"/>
      <c r="I2851" s="7"/>
      <c r="J2851" s="7" t="str">
        <f>IFERROR(LET(_xlpm.v,
VLOOKUP($I2851,'用語辞書'!$A:$B,COLUMN('用語辞書'!B$1),FALSE),
IF(_xlpm.v=0,"",_xlpm.v)
),"")</f>
        <v/>
      </c>
      <c r="K2851" s="17"/>
      <c r="L2851" s="17" t="str">
        <f>IF(OR(COUNTIF('クラス'!$A$1:$A$1262,$B2851)&gt;0,$B2851="",$M2851=""),"",True)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8.0</v>
      </c>
      <c r="B2852" s="1"/>
      <c r="C2852" s="1"/>
      <c r="D2852" s="1"/>
      <c r="E2852" s="14"/>
      <c r="F2852" s="15"/>
      <c r="G2852" s="16"/>
      <c r="H2852" s="11"/>
      <c r="I2852" s="7"/>
      <c r="J2852" s="7" t="str">
        <f>IFERROR(LET(_xlpm.v,
VLOOKUP($I2852,'用語辞書'!$A:$B,COLUMN('用語辞書'!B$1),FALSE),
IF(_xlpm.v=0,"",_xlpm.v)
),"")</f>
        <v/>
      </c>
      <c r="K2852" s="17"/>
      <c r="L2852" s="17" t="str">
        <f>IF(OR(COUNTIF('クラス'!$A$1:$A$1262,$B2852)&gt;0,$B2852="",$M2852=""),"",True)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9.0</v>
      </c>
      <c r="B2853" s="1"/>
      <c r="C2853" s="1"/>
      <c r="D2853" s="1"/>
      <c r="E2853" s="14"/>
      <c r="F2853" s="15"/>
      <c r="G2853" s="16"/>
      <c r="H2853" s="11"/>
      <c r="I2853" s="7"/>
      <c r="J2853" s="7" t="str">
        <f>IFERROR(LET(_xlpm.v,
VLOOKUP($I2853,'用語辞書'!$A:$B,COLUMN('用語辞書'!B$1),FALSE),
IF(_xlpm.v=0,"",_xlpm.v)
),"")</f>
        <v/>
      </c>
      <c r="K2853" s="17"/>
      <c r="L2853" s="17" t="str">
        <f>IF(OR(COUNTIF('クラス'!$A$1:$A$1262,$B2853)&gt;0,$B2853="",$M2853=""),"",True)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10.0</v>
      </c>
      <c r="B2854" s="1"/>
      <c r="C2854" s="1"/>
      <c r="D2854" s="1"/>
      <c r="E2854" s="14"/>
      <c r="F2854" s="15"/>
      <c r="G2854" s="16"/>
      <c r="H2854" s="11"/>
      <c r="I2854" s="7"/>
      <c r="J2854" s="7" t="str">
        <f>IFERROR(LET(_xlpm.v,
VLOOKUP($I2854,'用語辞書'!$A:$B,COLUMN('用語辞書'!B$1),FALSE),
IF(_xlpm.v=0,"",_xlpm.v)
),"")</f>
        <v/>
      </c>
      <c r="K2854" s="17"/>
      <c r="L2854" s="17" t="str">
        <f>IF(OR(COUNTIF('クラス'!$A$1:$A$1262,$B2854)&gt;0,$B2854="",$M2854=""),"",True)</f>
        <v/>
      </c>
      <c r="M2854" s="1" t="str">
        <f t="shared" si="30"/>
        <v>存在しない</v>
      </c>
      <c r="N2854" s="1" t="s">
        <v>29</v>
      </c>
      <c r="O2854" s="1"/>
      <c r="P2854" s="11"/>
      <c r="Q2854" s="11"/>
      <c r="R2854" s="11"/>
      <c r="S2854" s="11"/>
      <c r="T2854" s="1"/>
      <c r="U2854" s="1"/>
      <c r="V2854" s="1"/>
      <c r="W2854" s="1"/>
      <c r="X2854" s="1"/>
      <c r="Y2854" s="1"/>
      <c r="Z2854" s="1"/>
    </row>
    <row r="2855" ht="18.0" customHeight="1" collapsed="1">
      <c r="A2855" s="1"/>
      <c r="B2855" s="1"/>
      <c r="C2855" s="1"/>
      <c r="D2855" s="1"/>
      <c r="E2855" s="14"/>
      <c r="F2855" s="15"/>
      <c r="G2855" s="16"/>
      <c r="H2855" s="11"/>
      <c r="I2855" s="7"/>
      <c r="J2855" s="7" t="str">
        <f>IFERROR(LET(_xlpm.v,
VLOOKUP($I2855,'用語辞書'!$A:$B,COLUMN('用語辞書'!B$1),FALSE),
IF(_xlpm.v=0,"",_xlpm.v)
),"")</f>
        <v/>
      </c>
      <c r="K2855" s="17"/>
      <c r="L2855" s="17" t="str">
        <f>IF(OR(COUNTIF('クラス'!$A$1:$A$1262,$B2855)&gt;0,$B2855="",$M2855=""),"",True)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 r="A2856" s="1"/>
      <c r="B2856" s="26" t="s">
        <v>2510</v>
      </c>
      <c r="C2856" s="1"/>
      <c r="D2856" s="1"/>
      <c r="E2856" s="14"/>
      <c r="F2856" s="15"/>
      <c r="G2856" s="16"/>
      <c r="H2856" s="11"/>
      <c r="I2856" s="7"/>
      <c r="J2856" s="7" t="str">
        <f>IFERROR(LET(_xlpm.v,
VLOOKUP($I2856,'用語辞書'!$A:$B,COLUMN('用語辞書'!B$1),FALSE),
IF(_xlpm.v=0,"",_xlpm.v)
),"")</f>
        <v/>
      </c>
      <c r="K2856" s="17"/>
      <c r="L2856" s="17" t="str">
        <f>IF(OR(COUNTIF('クラス'!$A$1:$A$1262,$B2856)&gt;0,$B2856="",$M2856=""),"",True)</f>
        <v/>
      </c>
      <c r="M2856" s="1" t="str">
        <f t="shared" si="30"/>
        <v>存在しない</v>
      </c>
      <c r="N2856" s="1" t="s">
        <v>29</v>
      </c>
      <c r="O2856" s="1"/>
      <c r="P2856" s="11"/>
      <c r="Q2856" s="11"/>
      <c r="R2856" s="11"/>
      <c r="S2856" s="11"/>
      <c r="T2856" s="1"/>
      <c r="U2856" s="1"/>
      <c r="V2856" s="1"/>
      <c r="W2856" s="1"/>
      <c r="X2856" s="1"/>
      <c r="Y2856" s="1"/>
      <c r="Z2856" s="1"/>
    </row>
    <row r="2857" ht="18.0" hidden="1" customHeight="1" outlineLevel="1">
      <c r="A2857" s="1">
        <v>1.0</v>
      </c>
      <c r="B2857" s="1"/>
      <c r="C2857" s="1"/>
      <c r="D2857" s="1"/>
      <c r="E2857" s="14"/>
      <c r="F2857" s="15"/>
      <c r="G2857" s="16"/>
      <c r="H2857" s="11"/>
      <c r="I2857" s="7"/>
      <c r="J2857" s="7" t="str">
        <f>IFERROR(LET(_xlpm.v,
VLOOKUP($I2857,'用語辞書'!$A:$B,COLUMN('用語辞書'!B$1),FALSE),
IF(_xlpm.v=0,"",_xlpm.v)
),"")</f>
        <v/>
      </c>
      <c r="K2857" s="17"/>
      <c r="L2857" s="17" t="str">
        <f>IF(OR(COUNTIF('クラス'!$A$1:$A$1262,$B2857)&gt;0,$B2857="",$M2857=""),"",True)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2.0</v>
      </c>
      <c r="B2858" s="1"/>
      <c r="C2858" s="1"/>
      <c r="D2858" s="1"/>
      <c r="E2858" s="14"/>
      <c r="F2858" s="15"/>
      <c r="G2858" s="16"/>
      <c r="H2858" s="11"/>
      <c r="I2858" s="7"/>
      <c r="J2858" s="7" t="str">
        <f>IFERROR(LET(_xlpm.v,
VLOOKUP($I2858,'用語辞書'!$A:$B,COLUMN('用語辞書'!B$1),FALSE),
IF(_xlpm.v=0,"",_xlpm.v)
),"")</f>
        <v/>
      </c>
      <c r="K2858" s="17"/>
      <c r="L2858" s="17" t="str">
        <f>IF(OR(COUNTIF('クラス'!$A$1:$A$1262,$B2858)&gt;0,$B2858="",$M2858=""),"",True)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3.0</v>
      </c>
      <c r="B2859" s="1"/>
      <c r="C2859" s="1"/>
      <c r="D2859" s="1"/>
      <c r="E2859" s="14"/>
      <c r="F2859" s="15"/>
      <c r="G2859" s="16"/>
      <c r="H2859" s="11"/>
      <c r="I2859" s="7"/>
      <c r="J2859" s="7" t="str">
        <f>IFERROR(LET(_xlpm.v,
VLOOKUP($I2859,'用語辞書'!$A:$B,COLUMN('用語辞書'!B$1),FALSE),
IF(_xlpm.v=0,"",_xlpm.v)
),"")</f>
        <v/>
      </c>
      <c r="K2859" s="17"/>
      <c r="L2859" s="17" t="str">
        <f>IF(OR(COUNTIF('クラス'!$A$1:$A$1262,$B2859)&gt;0,$B2859="",$M2859=""),"",True)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4.0</v>
      </c>
      <c r="B2860" s="1"/>
      <c r="C2860" s="1"/>
      <c r="D2860" s="1"/>
      <c r="E2860" s="14"/>
      <c r="F2860" s="15"/>
      <c r="G2860" s="16"/>
      <c r="H2860" s="11"/>
      <c r="I2860" s="7"/>
      <c r="J2860" s="7" t="str">
        <f>IFERROR(LET(_xlpm.v,
VLOOKUP($I2860,'用語辞書'!$A:$B,COLUMN('用語辞書'!B$1),FALSE),
IF(_xlpm.v=0,"",_xlpm.v)
),"")</f>
        <v/>
      </c>
      <c r="K2860" s="17"/>
      <c r="L2860" s="17" t="str">
        <f>IF(OR(COUNTIF('クラス'!$A$1:$A$1262,$B2860)&gt;0,$B2860="",$M2860=""),"",True)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5.0</v>
      </c>
      <c r="B2861" s="1"/>
      <c r="C2861" s="1"/>
      <c r="D2861" s="1"/>
      <c r="E2861" s="14"/>
      <c r="F2861" s="15"/>
      <c r="G2861" s="16"/>
      <c r="H2861" s="11"/>
      <c r="I2861" s="7"/>
      <c r="J2861" s="7" t="str">
        <f>IFERROR(LET(_xlpm.v,
VLOOKUP($I2861,'用語辞書'!$A:$B,COLUMN('用語辞書'!B$1),FALSE),
IF(_xlpm.v=0,"",_xlpm.v)
),"")</f>
        <v/>
      </c>
      <c r="K2861" s="17"/>
      <c r="L2861" s="17" t="str">
        <f>IF(OR(COUNTIF('クラス'!$A$1:$A$1262,$B2861)&gt;0,$B2861="",$M2861=""),"",True)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6.0</v>
      </c>
      <c r="B2862" s="1"/>
      <c r="C2862" s="1"/>
      <c r="D2862" s="1"/>
      <c r="E2862" s="14"/>
      <c r="F2862" s="15"/>
      <c r="G2862" s="16"/>
      <c r="H2862" s="11"/>
      <c r="I2862" s="7"/>
      <c r="J2862" s="7" t="str">
        <f>IFERROR(LET(_xlpm.v,
VLOOKUP($I2862,'用語辞書'!$A:$B,COLUMN('用語辞書'!B$1),FALSE),
IF(_xlpm.v=0,"",_xlpm.v)
),"")</f>
        <v/>
      </c>
      <c r="K2862" s="17"/>
      <c r="L2862" s="17" t="str">
        <f>IF(OR(COUNTIF('クラス'!$A$1:$A$1262,$B2862)&gt;0,$B2862="",$M2862=""),"",True)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7.0</v>
      </c>
      <c r="B2863" s="1"/>
      <c r="C2863" s="1"/>
      <c r="D2863" s="1"/>
      <c r="E2863" s="14"/>
      <c r="F2863" s="15"/>
      <c r="G2863" s="16"/>
      <c r="H2863" s="11"/>
      <c r="I2863" s="7"/>
      <c r="J2863" s="7" t="str">
        <f>IFERROR(LET(_xlpm.v,
VLOOKUP($I2863,'用語辞書'!$A:$B,COLUMN('用語辞書'!B$1),FALSE),
IF(_xlpm.v=0,"",_xlpm.v)
),"")</f>
        <v/>
      </c>
      <c r="K2863" s="17"/>
      <c r="L2863" s="17" t="str">
        <f>IF(OR(COUNTIF('クラス'!$A$1:$A$1262,$B2863)&gt;0,$B2863="",$M2863=""),"",True)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8.0</v>
      </c>
      <c r="B2864" s="1"/>
      <c r="C2864" s="1"/>
      <c r="D2864" s="1"/>
      <c r="E2864" s="14"/>
      <c r="F2864" s="15"/>
      <c r="G2864" s="16"/>
      <c r="H2864" s="11"/>
      <c r="I2864" s="7"/>
      <c r="J2864" s="7" t="str">
        <f>IFERROR(LET(_xlpm.v,
VLOOKUP($I2864,'用語辞書'!$A:$B,COLUMN('用語辞書'!B$1),FALSE),
IF(_xlpm.v=0,"",_xlpm.v)
),"")</f>
        <v/>
      </c>
      <c r="K2864" s="17"/>
      <c r="L2864" s="17" t="str">
        <f>IF(OR(COUNTIF('クラス'!$A$1:$A$1262,$B2864)&gt;0,$B2864="",$M2864=""),"",True)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9.0</v>
      </c>
      <c r="B2865" s="1"/>
      <c r="C2865" s="1"/>
      <c r="D2865" s="1"/>
      <c r="E2865" s="14"/>
      <c r="F2865" s="15"/>
      <c r="G2865" s="16"/>
      <c r="H2865" s="11"/>
      <c r="I2865" s="7"/>
      <c r="J2865" s="7" t="str">
        <f>IFERROR(LET(_xlpm.v,
VLOOKUP($I2865,'用語辞書'!$A:$B,COLUMN('用語辞書'!B$1),FALSE),
IF(_xlpm.v=0,"",_xlpm.v)
),"")</f>
        <v/>
      </c>
      <c r="K2865" s="17"/>
      <c r="L2865" s="17" t="str">
        <f>IF(OR(COUNTIF('クラス'!$A$1:$A$1262,$B2865)&gt;0,$B2865="",$M2865=""),"",True)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10.0</v>
      </c>
      <c r="B2866" s="1"/>
      <c r="C2866" s="1"/>
      <c r="D2866" s="1"/>
      <c r="E2866" s="14"/>
      <c r="F2866" s="15"/>
      <c r="G2866" s="16"/>
      <c r="H2866" s="11"/>
      <c r="I2866" s="7"/>
      <c r="J2866" s="7" t="str">
        <f>IFERROR(LET(_xlpm.v,
VLOOKUP($I2866,'用語辞書'!$A:$B,COLUMN('用語辞書'!B$1),FALSE),
IF(_xlpm.v=0,"",_xlpm.v)
),"")</f>
        <v/>
      </c>
      <c r="K2866" s="17"/>
      <c r="L2866" s="17" t="str">
        <f>IF(OR(COUNTIF('クラス'!$A$1:$A$1262,$B2866)&gt;0,$B2866="",$M2866=""),"",True)</f>
        <v/>
      </c>
      <c r="M2866" s="1" t="str">
        <f t="shared" si="30"/>
        <v>存在しない</v>
      </c>
      <c r="N2866" s="1" t="s">
        <v>29</v>
      </c>
      <c r="O2866" s="1"/>
      <c r="P2866" s="11"/>
      <c r="Q2866" s="11"/>
      <c r="R2866" s="11"/>
      <c r="S2866" s="11"/>
      <c r="T2866" s="1"/>
      <c r="U2866" s="1"/>
      <c r="V2866" s="1"/>
      <c r="W2866" s="1"/>
      <c r="X2866" s="1"/>
      <c r="Y2866" s="1"/>
      <c r="Z2866" s="1"/>
    </row>
    <row r="2867" ht="18.0" customHeight="1" collapsed="1">
      <c r="A2867" s="1"/>
      <c r="B2867" s="1"/>
      <c r="C2867" s="1"/>
      <c r="D2867" s="1"/>
      <c r="E2867" s="14"/>
      <c r="F2867" s="15"/>
      <c r="G2867" s="16"/>
      <c r="H2867" s="11"/>
      <c r="I2867" s="7"/>
      <c r="J2867" s="7" t="str">
        <f>IFERROR(LET(_xlpm.v,
VLOOKUP($I2867,'用語辞書'!$A:$B,COLUMN('用語辞書'!B$1),FALSE),
IF(_xlpm.v=0,"",_xlpm.v)
),"")</f>
        <v/>
      </c>
      <c r="K2867" s="17"/>
      <c r="L2867" s="17" t="str">
        <f>IF(OR(COUNTIF('クラス'!$A$1:$A$1262,$B2867)&gt;0,$B2867="",$M2867=""),"",True)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 r="A2868" s="1"/>
      <c r="B2868" s="26" t="s">
        <v>2511</v>
      </c>
      <c r="C2868" s="1"/>
      <c r="D2868" s="1"/>
      <c r="E2868" s="14"/>
      <c r="F2868" s="15"/>
      <c r="G2868" s="16"/>
      <c r="H2868" s="11"/>
      <c r="I2868" s="7"/>
      <c r="J2868" s="7" t="str">
        <f>IFERROR(LET(_xlpm.v,
VLOOKUP($I2868,'用語辞書'!$A:$B,COLUMN('用語辞書'!B$1),FALSE),
IF(_xlpm.v=0,"",_xlpm.v)
),"")</f>
        <v/>
      </c>
      <c r="K2868" s="17"/>
      <c r="L2868" s="17" t="str">
        <f>IF(OR(COUNTIF('クラス'!$A$1:$A$1262,$B2868)&gt;0,$B2868="",$M2868=""),"",True)</f>
        <v/>
      </c>
      <c r="M2868" s="1" t="str">
        <f t="shared" si="30"/>
        <v>存在しない</v>
      </c>
      <c r="N2868" s="1" t="s">
        <v>29</v>
      </c>
      <c r="O2868" s="1"/>
      <c r="P2868" s="11"/>
      <c r="Q2868" s="11"/>
      <c r="R2868" s="11"/>
      <c r="S2868" s="11"/>
      <c r="T2868" s="1"/>
      <c r="U2868" s="1"/>
      <c r="V2868" s="1"/>
      <c r="W2868" s="1"/>
      <c r="X2868" s="1"/>
      <c r="Y2868" s="1"/>
      <c r="Z2868" s="1"/>
    </row>
    <row r="2869" ht="18.0" hidden="1" customHeight="1" outlineLevel="1">
      <c r="A2869" s="1">
        <v>1.0</v>
      </c>
      <c r="B2869" s="1"/>
      <c r="C2869" s="1"/>
      <c r="D2869" s="1"/>
      <c r="E2869" s="14"/>
      <c r="F2869" s="15"/>
      <c r="G2869" s="16"/>
      <c r="H2869" s="11"/>
      <c r="I2869" s="7"/>
      <c r="J2869" s="7" t="str">
        <f>IFERROR(LET(_xlpm.v,
VLOOKUP($I2869,'用語辞書'!$A:$B,COLUMN('用語辞書'!B$1),FALSE),
IF(_xlpm.v=0,"",_xlpm.v)
),"")</f>
        <v/>
      </c>
      <c r="K2869" s="17"/>
      <c r="L2869" s="17" t="str">
        <f>IF(OR(COUNTIF('クラス'!$A$1:$A$1262,$B2869)&gt;0,$B2869="",$M2869=""),"",True)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2.0</v>
      </c>
      <c r="B2870" s="1"/>
      <c r="C2870" s="1"/>
      <c r="D2870" s="1"/>
      <c r="E2870" s="14"/>
      <c r="F2870" s="15"/>
      <c r="G2870" s="16"/>
      <c r="H2870" s="11"/>
      <c r="I2870" s="7"/>
      <c r="J2870" s="7" t="str">
        <f>IFERROR(LET(_xlpm.v,
VLOOKUP($I2870,'用語辞書'!$A:$B,COLUMN('用語辞書'!B$1),FALSE),
IF(_xlpm.v=0,"",_xlpm.v)
),"")</f>
        <v/>
      </c>
      <c r="K2870" s="17"/>
      <c r="L2870" s="17" t="str">
        <f>IF(OR(COUNTIF('クラス'!$A$1:$A$1262,$B2870)&gt;0,$B2870="",$M2870=""),"",True)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3.0</v>
      </c>
      <c r="B2871" s="1"/>
      <c r="C2871" s="1"/>
      <c r="D2871" s="1"/>
      <c r="E2871" s="14"/>
      <c r="F2871" s="15"/>
      <c r="G2871" s="16"/>
      <c r="H2871" s="11"/>
      <c r="I2871" s="7"/>
      <c r="J2871" s="7" t="str">
        <f>IFERROR(LET(_xlpm.v,
VLOOKUP($I2871,'用語辞書'!$A:$B,COLUMN('用語辞書'!B$1),FALSE),
IF(_xlpm.v=0,"",_xlpm.v)
),"")</f>
        <v/>
      </c>
      <c r="K2871" s="17"/>
      <c r="L2871" s="17" t="str">
        <f>IF(OR(COUNTIF('クラス'!$A$1:$A$1262,$B2871)&gt;0,$B2871="",$M2871=""),"",True)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4.0</v>
      </c>
      <c r="B2872" s="1"/>
      <c r="C2872" s="1"/>
      <c r="D2872" s="1"/>
      <c r="E2872" s="14"/>
      <c r="F2872" s="15"/>
      <c r="G2872" s="16"/>
      <c r="H2872" s="11"/>
      <c r="I2872" s="7"/>
      <c r="J2872" s="7" t="str">
        <f>IFERROR(LET(_xlpm.v,
VLOOKUP($I2872,'用語辞書'!$A:$B,COLUMN('用語辞書'!B$1),FALSE),
IF(_xlpm.v=0,"",_xlpm.v)
),"")</f>
        <v/>
      </c>
      <c r="K2872" s="17"/>
      <c r="L2872" s="17" t="str">
        <f>IF(OR(COUNTIF('クラス'!$A$1:$A$1262,$B2872)&gt;0,$B2872="",$M2872=""),"",True)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5.0</v>
      </c>
      <c r="B2873" s="1"/>
      <c r="C2873" s="1"/>
      <c r="D2873" s="1"/>
      <c r="E2873" s="14"/>
      <c r="F2873" s="15"/>
      <c r="G2873" s="16"/>
      <c r="H2873" s="11"/>
      <c r="I2873" s="7"/>
      <c r="J2873" s="7" t="str">
        <f>IFERROR(LET(_xlpm.v,
VLOOKUP($I2873,'用語辞書'!$A:$B,COLUMN('用語辞書'!B$1),FALSE),
IF(_xlpm.v=0,"",_xlpm.v)
),"")</f>
        <v/>
      </c>
      <c r="K2873" s="17"/>
      <c r="L2873" s="17" t="str">
        <f>IF(OR(COUNTIF('クラス'!$A$1:$A$1262,$B2873)&gt;0,$B2873="",$M2873=""),"",True)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6.0</v>
      </c>
      <c r="B2874" s="1"/>
      <c r="C2874" s="1"/>
      <c r="D2874" s="1"/>
      <c r="E2874" s="14"/>
      <c r="F2874" s="15"/>
      <c r="G2874" s="16"/>
      <c r="H2874" s="11"/>
      <c r="I2874" s="7"/>
      <c r="J2874" s="7" t="str">
        <f>IFERROR(LET(_xlpm.v,
VLOOKUP($I2874,'用語辞書'!$A:$B,COLUMN('用語辞書'!B$1),FALSE),
IF(_xlpm.v=0,"",_xlpm.v)
),"")</f>
        <v/>
      </c>
      <c r="K2874" s="17"/>
      <c r="L2874" s="17" t="str">
        <f>IF(OR(COUNTIF('クラス'!$A$1:$A$1262,$B2874)&gt;0,$B2874="",$M2874=""),"",True)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7.0</v>
      </c>
      <c r="B2875" s="1"/>
      <c r="C2875" s="1"/>
      <c r="D2875" s="1"/>
      <c r="E2875" s="14"/>
      <c r="F2875" s="15"/>
      <c r="G2875" s="16"/>
      <c r="H2875" s="11"/>
      <c r="I2875" s="7"/>
      <c r="J2875" s="7" t="str">
        <f>IFERROR(LET(_xlpm.v,
VLOOKUP($I2875,'用語辞書'!$A:$B,COLUMN('用語辞書'!B$1),FALSE),
IF(_xlpm.v=0,"",_xlpm.v)
),"")</f>
        <v/>
      </c>
      <c r="K2875" s="17"/>
      <c r="L2875" s="17" t="str">
        <f>IF(OR(COUNTIF('クラス'!$A$1:$A$1262,$B2875)&gt;0,$B2875="",$M2875=""),"",True)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8.0</v>
      </c>
      <c r="B2876" s="1"/>
      <c r="C2876" s="1"/>
      <c r="D2876" s="1"/>
      <c r="E2876" s="14"/>
      <c r="F2876" s="15"/>
      <c r="G2876" s="16"/>
      <c r="H2876" s="11"/>
      <c r="I2876" s="7"/>
      <c r="J2876" s="7" t="str">
        <f>IFERROR(LET(_xlpm.v,
VLOOKUP($I2876,'用語辞書'!$A:$B,COLUMN('用語辞書'!B$1),FALSE),
IF(_xlpm.v=0,"",_xlpm.v)
),"")</f>
        <v/>
      </c>
      <c r="K2876" s="17"/>
      <c r="L2876" s="17" t="str">
        <f>IF(OR(COUNTIF('クラス'!$A$1:$A$1262,$B2876)&gt;0,$B2876="",$M2876=""),"",True)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9.0</v>
      </c>
      <c r="B2877" s="1"/>
      <c r="C2877" s="1"/>
      <c r="D2877" s="1"/>
      <c r="E2877" s="14"/>
      <c r="F2877" s="15"/>
      <c r="G2877" s="16"/>
      <c r="H2877" s="11"/>
      <c r="I2877" s="7"/>
      <c r="J2877" s="7" t="str">
        <f>IFERROR(LET(_xlpm.v,
VLOOKUP($I2877,'用語辞書'!$A:$B,COLUMN('用語辞書'!B$1),FALSE),
IF(_xlpm.v=0,"",_xlpm.v)
),"")</f>
        <v/>
      </c>
      <c r="K2877" s="17"/>
      <c r="L2877" s="17" t="str">
        <f>IF(OR(COUNTIF('クラス'!$A$1:$A$1262,$B2877)&gt;0,$B2877="",$M2877=""),"",True)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10.0</v>
      </c>
      <c r="B2878" s="1"/>
      <c r="C2878" s="1"/>
      <c r="D2878" s="1"/>
      <c r="E2878" s="14"/>
      <c r="F2878" s="15"/>
      <c r="G2878" s="16"/>
      <c r="H2878" s="11"/>
      <c r="I2878" s="7"/>
      <c r="J2878" s="7" t="str">
        <f>IFERROR(LET(_xlpm.v,
VLOOKUP($I2878,'用語辞書'!$A:$B,COLUMN('用語辞書'!B$1),FALSE),
IF(_xlpm.v=0,"",_xlpm.v)
),"")</f>
        <v/>
      </c>
      <c r="K2878" s="17"/>
      <c r="L2878" s="17" t="str">
        <f>IF(OR(COUNTIF('クラス'!$A$1:$A$1262,$B2878)&gt;0,$B2878="",$M2878=""),"",True)</f>
        <v/>
      </c>
      <c r="M2878" s="1" t="str">
        <f t="shared" si="30"/>
        <v>存在しない</v>
      </c>
      <c r="N2878" s="1" t="s">
        <v>29</v>
      </c>
      <c r="O2878" s="1"/>
      <c r="P2878" s="11"/>
      <c r="Q2878" s="11"/>
      <c r="R2878" s="11"/>
      <c r="S2878" s="11"/>
      <c r="T2878" s="1"/>
      <c r="U2878" s="1"/>
      <c r="V2878" s="1"/>
      <c r="W2878" s="1"/>
      <c r="X2878" s="1"/>
      <c r="Y2878" s="1"/>
      <c r="Z2878" s="1"/>
    </row>
    <row r="2879" ht="18.0" customHeight="1" collapsed="1">
      <c r="A2879" s="1"/>
      <c r="B2879" s="1"/>
      <c r="C2879" s="26" t="s">
        <v>2512</v>
      </c>
      <c r="D2879" s="1"/>
      <c r="E2879" s="14"/>
      <c r="F2879" s="15"/>
      <c r="G2879" s="16"/>
      <c r="H2879" s="11"/>
      <c r="I2879" s="7"/>
      <c r="J2879" s="7" t="str">
        <f>IFERROR(LET(_xlpm.v,
VLOOKUP($I2879,'用語辞書'!$A:$B,COLUMN('用語辞書'!B$1),FALSE),
IF(_xlpm.v=0,"",_xlpm.v)
),"")</f>
        <v/>
      </c>
      <c r="K2879" s="17"/>
      <c r="L2879" s="17" t="str">
        <f>IF(OR(COUNTIF('クラス'!$A$1:$A$1262,$B2879)&gt;0,$B2879="",$M2879=""),"",True)</f>
        <v/>
      </c>
      <c r="M2879" s="1" t="str">
        <f t="shared" si="30"/>
        <v>存在しない</v>
      </c>
      <c r="N2879" s="1" t="s">
        <v>29</v>
      </c>
      <c r="O2879" s="1"/>
      <c r="P2879" s="11"/>
      <c r="Q2879" s="11"/>
      <c r="R2879" s="11"/>
      <c r="S2879" s="11"/>
      <c r="T2879" s="1"/>
      <c r="U2879" s="1"/>
      <c r="V2879" s="1"/>
      <c r="W2879" s="1"/>
      <c r="X2879" s="1"/>
      <c r="Y2879" s="1"/>
      <c r="Z2879" s="1"/>
    </row>
    <row r="2880" ht="18.0" hidden="1" customHeight="1" outlineLevel="1">
      <c r="A2880" s="1"/>
      <c r="B2880" s="26" t="s">
        <v>2513</v>
      </c>
      <c r="C2880" s="1"/>
      <c r="D2880" s="1"/>
      <c r="E2880" s="14"/>
      <c r="F2880" s="15"/>
      <c r="G2880" s="16"/>
      <c r="H2880" s="11"/>
      <c r="I2880" s="7"/>
      <c r="J2880" s="7" t="str">
        <f>IFERROR(LET(_xlpm.v,
VLOOKUP($I2880,'用語辞書'!$A:$B,COLUMN('用語辞書'!B$1),FALSE),
IF(_xlpm.v=0,"",_xlpm.v)
),"")</f>
        <v/>
      </c>
      <c r="K2880" s="17"/>
      <c r="L2880" s="17" t="str">
        <f>IF(OR(COUNTIF('クラス'!$A$1:$A$1262,$B2880)&gt;0,$B2880="",$M2880=""),"",True)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2">
      <c r="A2881" s="1">
        <v>1.0</v>
      </c>
      <c r="B2881" s="1"/>
      <c r="C2881" s="1"/>
      <c r="D2881" s="1"/>
      <c r="E2881" s="14"/>
      <c r="F2881" s="15"/>
      <c r="G2881" s="16"/>
      <c r="H2881" s="11"/>
      <c r="I2881" s="7"/>
      <c r="J2881" s="7" t="str">
        <f>IFERROR(LET(_xlpm.v,
VLOOKUP($I2881,'用語辞書'!$A:$B,COLUMN('用語辞書'!B$1),FALSE),
IF(_xlpm.v=0,"",_xlpm.v)
),"")</f>
        <v/>
      </c>
      <c r="K2881" s="17"/>
      <c r="L2881" s="17" t="str">
        <f>IF(OR(COUNTIF('クラス'!$A$1:$A$1262,$B2881)&gt;0,$B2881="",$M2881=""),"",True)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2.0</v>
      </c>
      <c r="B2882" s="1"/>
      <c r="C2882" s="1"/>
      <c r="D2882" s="1"/>
      <c r="E2882" s="14"/>
      <c r="F2882" s="15"/>
      <c r="G2882" s="16"/>
      <c r="H2882" s="11"/>
      <c r="I2882" s="7"/>
      <c r="J2882" s="7" t="str">
        <f>IFERROR(LET(_xlpm.v,
VLOOKUP($I2882,'用語辞書'!$A:$B,COLUMN('用語辞書'!B$1),FALSE),
IF(_xlpm.v=0,"",_xlpm.v)
),"")</f>
        <v/>
      </c>
      <c r="K2882" s="17"/>
      <c r="L2882" s="17" t="str">
        <f>IF(OR(COUNTIF('クラス'!$A$1:$A$1262,$B2882)&gt;0,$B2882="",$M2882=""),"",True)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3.0</v>
      </c>
      <c r="B2883" s="1"/>
      <c r="C2883" s="1"/>
      <c r="D2883" s="1"/>
      <c r="E2883" s="14"/>
      <c r="F2883" s="15"/>
      <c r="G2883" s="16"/>
      <c r="H2883" s="11"/>
      <c r="I2883" s="7"/>
      <c r="J2883" s="7" t="str">
        <f>IFERROR(LET(_xlpm.v,
VLOOKUP($I2883,'用語辞書'!$A:$B,COLUMN('用語辞書'!B$1),FALSE),
IF(_xlpm.v=0,"",_xlpm.v)
),"")</f>
        <v/>
      </c>
      <c r="K2883" s="17"/>
      <c r="L2883" s="17" t="str">
        <f>IF(OR(COUNTIF('クラス'!$A$1:$A$1262,$B2883)&gt;0,$B2883="",$M2883=""),"",True)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4.0</v>
      </c>
      <c r="B2884" s="1"/>
      <c r="C2884" s="1"/>
      <c r="D2884" s="1"/>
      <c r="E2884" s="14"/>
      <c r="F2884" s="15"/>
      <c r="G2884" s="16"/>
      <c r="H2884" s="11"/>
      <c r="I2884" s="7"/>
      <c r="J2884" s="7" t="str">
        <f>IFERROR(LET(_xlpm.v,
VLOOKUP($I2884,'用語辞書'!$A:$B,COLUMN('用語辞書'!B$1),FALSE),
IF(_xlpm.v=0,"",_xlpm.v)
),"")</f>
        <v/>
      </c>
      <c r="K2884" s="17"/>
      <c r="L2884" s="17" t="str">
        <f>IF(OR(COUNTIF('クラス'!$A$1:$A$1262,$B2884)&gt;0,$B2884="",$M2884=""),"",True)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5.0</v>
      </c>
      <c r="B2885" s="1"/>
      <c r="C2885" s="1"/>
      <c r="D2885" s="1"/>
      <c r="E2885" s="14"/>
      <c r="F2885" s="15"/>
      <c r="G2885" s="16"/>
      <c r="H2885" s="11"/>
      <c r="I2885" s="7"/>
      <c r="J2885" s="7" t="str">
        <f>IFERROR(LET(_xlpm.v,
VLOOKUP($I2885,'用語辞書'!$A:$B,COLUMN('用語辞書'!B$1),FALSE),
IF(_xlpm.v=0,"",_xlpm.v)
),"")</f>
        <v/>
      </c>
      <c r="K2885" s="17"/>
      <c r="L2885" s="17" t="str">
        <f>IF(OR(COUNTIF('クラス'!$A$1:$A$1262,$B2885)&gt;0,$B2885="",$M2885=""),"",True)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6.0</v>
      </c>
      <c r="B2886" s="1"/>
      <c r="C2886" s="1"/>
      <c r="D2886" s="1"/>
      <c r="E2886" s="14"/>
      <c r="F2886" s="15"/>
      <c r="G2886" s="16"/>
      <c r="H2886" s="11"/>
      <c r="I2886" s="7"/>
      <c r="J2886" s="7" t="str">
        <f>IFERROR(LET(_xlpm.v,
VLOOKUP($I2886,'用語辞書'!$A:$B,COLUMN('用語辞書'!B$1),FALSE),
IF(_xlpm.v=0,"",_xlpm.v)
),"")</f>
        <v/>
      </c>
      <c r="K2886" s="17"/>
      <c r="L2886" s="17" t="str">
        <f>IF(OR(COUNTIF('クラス'!$A$1:$A$1262,$B2886)&gt;0,$B2886="",$M2886=""),"",True)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7.0</v>
      </c>
      <c r="B2887" s="1"/>
      <c r="C2887" s="1"/>
      <c r="D2887" s="1"/>
      <c r="E2887" s="14"/>
      <c r="F2887" s="15"/>
      <c r="G2887" s="16"/>
      <c r="H2887" s="11"/>
      <c r="I2887" s="7"/>
      <c r="J2887" s="7" t="str">
        <f>IFERROR(LET(_xlpm.v,
VLOOKUP($I2887,'用語辞書'!$A:$B,COLUMN('用語辞書'!B$1),FALSE),
IF(_xlpm.v=0,"",_xlpm.v)
),"")</f>
        <v/>
      </c>
      <c r="K2887" s="17"/>
      <c r="L2887" s="17" t="str">
        <f>IF(OR(COUNTIF('クラス'!$A$1:$A$1262,$B2887)&gt;0,$B2887="",$M2887=""),"",True)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8.0</v>
      </c>
      <c r="B2888" s="1"/>
      <c r="C2888" s="1"/>
      <c r="D2888" s="1"/>
      <c r="E2888" s="14"/>
      <c r="F2888" s="15"/>
      <c r="G2888" s="16"/>
      <c r="H2888" s="11"/>
      <c r="I2888" s="7"/>
      <c r="J2888" s="7" t="str">
        <f>IFERROR(LET(_xlpm.v,
VLOOKUP($I2888,'用語辞書'!$A:$B,COLUMN('用語辞書'!B$1),FALSE),
IF(_xlpm.v=0,"",_xlpm.v)
),"")</f>
        <v/>
      </c>
      <c r="K2888" s="17"/>
      <c r="L2888" s="17" t="str">
        <f>IF(OR(COUNTIF('クラス'!$A$1:$A$1262,$B2888)&gt;0,$B2888="",$M2888=""),"",True)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9.0</v>
      </c>
      <c r="B2889" s="1"/>
      <c r="C2889" s="1"/>
      <c r="D2889" s="1"/>
      <c r="E2889" s="14"/>
      <c r="F2889" s="15"/>
      <c r="G2889" s="16"/>
      <c r="H2889" s="11"/>
      <c r="I2889" s="7"/>
      <c r="J2889" s="7" t="str">
        <f>IFERROR(LET(_xlpm.v,
VLOOKUP($I2889,'用語辞書'!$A:$B,COLUMN('用語辞書'!B$1),FALSE),
IF(_xlpm.v=0,"",_xlpm.v)
),"")</f>
        <v/>
      </c>
      <c r="K2889" s="17"/>
      <c r="L2889" s="17" t="str">
        <f>IF(OR(COUNTIF('クラス'!$A$1:$A$1262,$B2889)&gt;0,$B2889="",$M2889=""),"",True)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10.0</v>
      </c>
      <c r="B2890" s="1"/>
      <c r="C2890" s="1"/>
      <c r="D2890" s="1"/>
      <c r="E2890" s="14"/>
      <c r="F2890" s="15"/>
      <c r="G2890" s="16"/>
      <c r="H2890" s="11"/>
      <c r="I2890" s="7"/>
      <c r="J2890" s="7" t="str">
        <f>IFERROR(LET(_xlpm.v,
VLOOKUP($I2890,'用語辞書'!$A:$B,COLUMN('用語辞書'!B$1),FALSE),
IF(_xlpm.v=0,"",_xlpm.v)
),"")</f>
        <v/>
      </c>
      <c r="K2890" s="17"/>
      <c r="L2890" s="17" t="str">
        <f>IF(OR(COUNTIF('クラス'!$A$1:$A$1262,$B2890)&gt;0,$B2890="",$M2890=""),"",True)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1">
      <c r="A2891" s="1"/>
      <c r="B2891" s="1"/>
      <c r="C2891" s="1"/>
      <c r="D2891" s="1"/>
      <c r="E2891" s="14"/>
      <c r="F2891" s="15"/>
      <c r="G2891" s="16"/>
      <c r="H2891" s="11"/>
      <c r="I2891" s="7"/>
      <c r="J2891" s="7" t="str">
        <f>IFERROR(LET(_xlpm.v,
VLOOKUP($I2891,'用語辞書'!$A:$B,COLUMN('用語辞書'!B$1),FALSE),
IF(_xlpm.v=0,"",_xlpm.v)
),"")</f>
        <v/>
      </c>
      <c r="K2891" s="17"/>
      <c r="L2891" s="17" t="str">
        <f>IF(OR(COUNTIF('クラス'!$A$1:$A$1262,$B2891)&gt;0,$B2891="",$M2891=""),"",True)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26" t="s">
        <v>2514</v>
      </c>
      <c r="C2892" s="1"/>
      <c r="D2892" s="1"/>
      <c r="E2892" s="14"/>
      <c r="F2892" s="15"/>
      <c r="G2892" s="16"/>
      <c r="H2892" s="11"/>
      <c r="I2892" s="7"/>
      <c r="J2892" s="7" t="str">
        <f>IFERROR(LET(_xlpm.v,
VLOOKUP($I2892,'用語辞書'!$A:$B,COLUMN('用語辞書'!B$1),FALSE),
IF(_xlpm.v=0,"",_xlpm.v)
),"")</f>
        <v/>
      </c>
      <c r="K2892" s="17"/>
      <c r="L2892" s="17" t="str">
        <f>IF(OR(COUNTIF('クラス'!$A$1:$A$1262,$B2892)&gt;0,$B2892="",$M2892=""),"",True)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2">
      <c r="A2893" s="1">
        <v>1.0</v>
      </c>
      <c r="B2893" s="1"/>
      <c r="C2893" s="1"/>
      <c r="D2893" s="1"/>
      <c r="E2893" s="14"/>
      <c r="F2893" s="15"/>
      <c r="G2893" s="16"/>
      <c r="H2893" s="11"/>
      <c r="I2893" s="7"/>
      <c r="J2893" s="7" t="str">
        <f>IFERROR(LET(_xlpm.v,
VLOOKUP($I2893,'用語辞書'!$A:$B,COLUMN('用語辞書'!B$1),FALSE),
IF(_xlpm.v=0,"",_xlpm.v)
),"")</f>
        <v/>
      </c>
      <c r="K2893" s="17"/>
      <c r="L2893" s="17" t="str">
        <f>IF(OR(COUNTIF('クラス'!$A$1:$A$1262,$B2893)&gt;0,$B2893="",$M2893=""),"",True)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2.0</v>
      </c>
      <c r="B2894" s="1"/>
      <c r="C2894" s="1"/>
      <c r="D2894" s="1"/>
      <c r="E2894" s="14"/>
      <c r="F2894" s="15"/>
      <c r="G2894" s="16"/>
      <c r="H2894" s="11"/>
      <c r="I2894" s="7"/>
      <c r="J2894" s="7" t="str">
        <f>IFERROR(LET(_xlpm.v,
VLOOKUP($I2894,'用語辞書'!$A:$B,COLUMN('用語辞書'!B$1),FALSE),
IF(_xlpm.v=0,"",_xlpm.v)
),"")</f>
        <v/>
      </c>
      <c r="K2894" s="17"/>
      <c r="L2894" s="17" t="str">
        <f>IF(OR(COUNTIF('クラス'!$A$1:$A$1262,$B2894)&gt;0,$B2894="",$M2894=""),"",True)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3.0</v>
      </c>
      <c r="B2895" s="1"/>
      <c r="C2895" s="1"/>
      <c r="D2895" s="1"/>
      <c r="E2895" s="14"/>
      <c r="F2895" s="15"/>
      <c r="G2895" s="16"/>
      <c r="H2895" s="11"/>
      <c r="I2895" s="7"/>
      <c r="J2895" s="7" t="str">
        <f>IFERROR(LET(_xlpm.v,
VLOOKUP($I2895,'用語辞書'!$A:$B,COLUMN('用語辞書'!B$1),FALSE),
IF(_xlpm.v=0,"",_xlpm.v)
),"")</f>
        <v/>
      </c>
      <c r="K2895" s="17"/>
      <c r="L2895" s="17" t="str">
        <f>IF(OR(COUNTIF('クラス'!$A$1:$A$1262,$B2895)&gt;0,$B2895="",$M2895=""),"",True)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4.0</v>
      </c>
      <c r="B2896" s="1"/>
      <c r="C2896" s="1"/>
      <c r="D2896" s="1"/>
      <c r="E2896" s="14"/>
      <c r="F2896" s="15"/>
      <c r="G2896" s="16"/>
      <c r="H2896" s="11"/>
      <c r="I2896" s="7"/>
      <c r="J2896" s="7" t="str">
        <f>IFERROR(LET(_xlpm.v,
VLOOKUP($I2896,'用語辞書'!$A:$B,COLUMN('用語辞書'!B$1),FALSE),
IF(_xlpm.v=0,"",_xlpm.v)
),"")</f>
        <v/>
      </c>
      <c r="K2896" s="17"/>
      <c r="L2896" s="17" t="str">
        <f>IF(OR(COUNTIF('クラス'!$A$1:$A$1262,$B2896)&gt;0,$B2896="",$M2896=""),"",True)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5.0</v>
      </c>
      <c r="B2897" s="1"/>
      <c r="C2897" s="1"/>
      <c r="D2897" s="1"/>
      <c r="E2897" s="14"/>
      <c r="F2897" s="15"/>
      <c r="G2897" s="16"/>
      <c r="H2897" s="11"/>
      <c r="I2897" s="7"/>
      <c r="J2897" s="7" t="str">
        <f>IFERROR(LET(_xlpm.v,
VLOOKUP($I2897,'用語辞書'!$A:$B,COLUMN('用語辞書'!B$1),FALSE),
IF(_xlpm.v=0,"",_xlpm.v)
),"")</f>
        <v/>
      </c>
      <c r="K2897" s="17"/>
      <c r="L2897" s="17" t="str">
        <f>IF(OR(COUNTIF('クラス'!$A$1:$A$1262,$B2897)&gt;0,$B2897="",$M2897=""),"",True)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6.0</v>
      </c>
      <c r="B2898" s="1"/>
      <c r="C2898" s="1"/>
      <c r="D2898" s="1"/>
      <c r="E2898" s="14"/>
      <c r="F2898" s="15"/>
      <c r="G2898" s="16"/>
      <c r="H2898" s="11"/>
      <c r="I2898" s="7"/>
      <c r="J2898" s="7" t="str">
        <f>IFERROR(LET(_xlpm.v,
VLOOKUP($I2898,'用語辞書'!$A:$B,COLUMN('用語辞書'!B$1),FALSE),
IF(_xlpm.v=0,"",_xlpm.v)
),"")</f>
        <v/>
      </c>
      <c r="K2898" s="17"/>
      <c r="L2898" s="17" t="str">
        <f>IF(OR(COUNTIF('クラス'!$A$1:$A$1262,$B2898)&gt;0,$B2898="",$M2898=""),"",True)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7.0</v>
      </c>
      <c r="B2899" s="1"/>
      <c r="C2899" s="1"/>
      <c r="D2899" s="1"/>
      <c r="E2899" s="14"/>
      <c r="F2899" s="15"/>
      <c r="G2899" s="16"/>
      <c r="H2899" s="11"/>
      <c r="I2899" s="7"/>
      <c r="J2899" s="7" t="str">
        <f>IFERROR(LET(_xlpm.v,
VLOOKUP($I2899,'用語辞書'!$A:$B,COLUMN('用語辞書'!B$1),FALSE),
IF(_xlpm.v=0,"",_xlpm.v)
),"")</f>
        <v/>
      </c>
      <c r="K2899" s="17"/>
      <c r="L2899" s="17" t="str">
        <f>IF(OR(COUNTIF('クラス'!$A$1:$A$1262,$B2899)&gt;0,$B2899="",$M2899=""),"",True)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8.0</v>
      </c>
      <c r="B2900" s="1"/>
      <c r="C2900" s="1"/>
      <c r="D2900" s="1"/>
      <c r="E2900" s="14"/>
      <c r="F2900" s="15"/>
      <c r="G2900" s="16"/>
      <c r="H2900" s="11"/>
      <c r="I2900" s="7"/>
      <c r="J2900" s="7" t="str">
        <f>IFERROR(LET(_xlpm.v,
VLOOKUP($I2900,'用語辞書'!$A:$B,COLUMN('用語辞書'!B$1),FALSE),
IF(_xlpm.v=0,"",_xlpm.v)
),"")</f>
        <v/>
      </c>
      <c r="K2900" s="17"/>
      <c r="L2900" s="17" t="str">
        <f>IF(OR(COUNTIF('クラス'!$A$1:$A$1262,$B2900)&gt;0,$B2900="",$M2900=""),"",True)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9.0</v>
      </c>
      <c r="B2901" s="1"/>
      <c r="C2901" s="1"/>
      <c r="D2901" s="1"/>
      <c r="E2901" s="14"/>
      <c r="F2901" s="15"/>
      <c r="G2901" s="16"/>
      <c r="H2901" s="11"/>
      <c r="I2901" s="7"/>
      <c r="J2901" s="7" t="str">
        <f>IFERROR(LET(_xlpm.v,
VLOOKUP($I2901,'用語辞書'!$A:$B,COLUMN('用語辞書'!B$1),FALSE),
IF(_xlpm.v=0,"",_xlpm.v)
),"")</f>
        <v/>
      </c>
      <c r="K2901" s="17"/>
      <c r="L2901" s="17" t="str">
        <f>IF(OR(COUNTIF('クラス'!$A$1:$A$1262,$B2901)&gt;0,$B2901="",$M2901=""),"",True)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10.0</v>
      </c>
      <c r="B2902" s="1"/>
      <c r="C2902" s="1"/>
      <c r="D2902" s="1"/>
      <c r="E2902" s="14"/>
      <c r="F2902" s="15"/>
      <c r="G2902" s="16"/>
      <c r="H2902" s="11"/>
      <c r="I2902" s="7"/>
      <c r="J2902" s="7" t="str">
        <f>IFERROR(LET(_xlpm.v,
VLOOKUP($I2902,'用語辞書'!$A:$B,COLUMN('用語辞書'!B$1),FALSE),
IF(_xlpm.v=0,"",_xlpm.v)
),"")</f>
        <v/>
      </c>
      <c r="K2902" s="17"/>
      <c r="L2902" s="17" t="str">
        <f>IF(OR(COUNTIF('クラス'!$A$1:$A$1262,$B2902)&gt;0,$B2902="",$M2902=""),"",True)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1">
      <c r="A2903" s="1"/>
      <c r="B2903" s="1"/>
      <c r="C2903" s="1"/>
      <c r="D2903" s="1"/>
      <c r="E2903" s="14"/>
      <c r="F2903" s="15"/>
      <c r="G2903" s="16"/>
      <c r="H2903" s="11"/>
      <c r="I2903" s="7"/>
      <c r="J2903" s="7" t="str">
        <f>IFERROR(LET(_xlpm.v,
VLOOKUP($I2903,'用語辞書'!$A:$B,COLUMN('用語辞書'!B$1),FALSE),
IF(_xlpm.v=0,"",_xlpm.v)
),"")</f>
        <v/>
      </c>
      <c r="K2903" s="17"/>
      <c r="L2903" s="17" t="str">
        <f>IF(OR(COUNTIF('クラス'!$A$1:$A$1262,$B2903)&gt;0,$B2903="",$M2903=""),"",True)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26" t="s">
        <v>2515</v>
      </c>
      <c r="C2904" s="1"/>
      <c r="D2904" s="1"/>
      <c r="E2904" s="14"/>
      <c r="F2904" s="15"/>
      <c r="G2904" s="16"/>
      <c r="H2904" s="11"/>
      <c r="I2904" s="7"/>
      <c r="J2904" s="7" t="str">
        <f>IFERROR(LET(_xlpm.v,
VLOOKUP($I2904,'用語辞書'!$A:$B,COLUMN('用語辞書'!B$1),FALSE),
IF(_xlpm.v=0,"",_xlpm.v)
),"")</f>
        <v/>
      </c>
      <c r="K2904" s="17"/>
      <c r="L2904" s="17" t="str">
        <f>IF(OR(COUNTIF('クラス'!$A$1:$A$1262,$B2904)&gt;0,$B2904="",$M2904=""),"",True)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2">
      <c r="A2905" s="1">
        <v>1.0</v>
      </c>
      <c r="B2905" s="1"/>
      <c r="C2905" s="1"/>
      <c r="D2905" s="1"/>
      <c r="E2905" s="14"/>
      <c r="F2905" s="15"/>
      <c r="G2905" s="16"/>
      <c r="H2905" s="11"/>
      <c r="I2905" s="7"/>
      <c r="J2905" s="7" t="str">
        <f>IFERROR(LET(_xlpm.v,
VLOOKUP($I2905,'用語辞書'!$A:$B,COLUMN('用語辞書'!B$1),FALSE),
IF(_xlpm.v=0,"",_xlpm.v)
),"")</f>
        <v/>
      </c>
      <c r="K2905" s="17"/>
      <c r="L2905" s="17" t="str">
        <f>IF(OR(COUNTIF('クラス'!$A$1:$A$1262,$B2905)&gt;0,$B2905="",$M2905=""),"",True)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2.0</v>
      </c>
      <c r="B2906" s="1"/>
      <c r="C2906" s="1"/>
      <c r="D2906" s="1"/>
      <c r="E2906" s="14"/>
      <c r="F2906" s="15"/>
      <c r="G2906" s="16"/>
      <c r="H2906" s="11"/>
      <c r="I2906" s="7"/>
      <c r="J2906" s="7" t="str">
        <f>IFERROR(LET(_xlpm.v,
VLOOKUP($I2906,'用語辞書'!$A:$B,COLUMN('用語辞書'!B$1),FALSE),
IF(_xlpm.v=0,"",_xlpm.v)
),"")</f>
        <v/>
      </c>
      <c r="K2906" s="17"/>
      <c r="L2906" s="17" t="str">
        <f>IF(OR(COUNTIF('クラス'!$A$1:$A$1262,$B2906)&gt;0,$B2906="",$M2906=""),"",True)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3.0</v>
      </c>
      <c r="B2907" s="1"/>
      <c r="C2907" s="1"/>
      <c r="D2907" s="1"/>
      <c r="E2907" s="14"/>
      <c r="F2907" s="15"/>
      <c r="G2907" s="16"/>
      <c r="H2907" s="11"/>
      <c r="I2907" s="7"/>
      <c r="J2907" s="7" t="str">
        <f>IFERROR(LET(_xlpm.v,
VLOOKUP($I2907,'用語辞書'!$A:$B,COLUMN('用語辞書'!B$1),FALSE),
IF(_xlpm.v=0,"",_xlpm.v)
),"")</f>
        <v/>
      </c>
      <c r="K2907" s="17"/>
      <c r="L2907" s="17" t="str">
        <f>IF(OR(COUNTIF('クラス'!$A$1:$A$1262,$B2907)&gt;0,$B2907="",$M2907=""),"",True)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4.0</v>
      </c>
      <c r="B2908" s="1"/>
      <c r="C2908" s="1"/>
      <c r="D2908" s="1"/>
      <c r="E2908" s="14"/>
      <c r="F2908" s="15"/>
      <c r="G2908" s="16"/>
      <c r="H2908" s="11"/>
      <c r="I2908" s="7"/>
      <c r="J2908" s="7" t="str">
        <f>IFERROR(LET(_xlpm.v,
VLOOKUP($I2908,'用語辞書'!$A:$B,COLUMN('用語辞書'!B$1),FALSE),
IF(_xlpm.v=0,"",_xlpm.v)
),"")</f>
        <v/>
      </c>
      <c r="K2908" s="17"/>
      <c r="L2908" s="17" t="str">
        <f>IF(OR(COUNTIF('クラス'!$A$1:$A$1262,$B2908)&gt;0,$B2908="",$M2908=""),"",True)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5.0</v>
      </c>
      <c r="B2909" s="1"/>
      <c r="C2909" s="1"/>
      <c r="D2909" s="1"/>
      <c r="E2909" s="14"/>
      <c r="F2909" s="15"/>
      <c r="G2909" s="16"/>
      <c r="H2909" s="11"/>
      <c r="I2909" s="7"/>
      <c r="J2909" s="7" t="str">
        <f>IFERROR(LET(_xlpm.v,
VLOOKUP($I2909,'用語辞書'!$A:$B,COLUMN('用語辞書'!B$1),FALSE),
IF(_xlpm.v=0,"",_xlpm.v)
),"")</f>
        <v/>
      </c>
      <c r="K2909" s="17"/>
      <c r="L2909" s="17" t="str">
        <f>IF(OR(COUNTIF('クラス'!$A$1:$A$1262,$B2909)&gt;0,$B2909="",$M2909=""),"",True)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6.0</v>
      </c>
      <c r="B2910" s="1"/>
      <c r="C2910" s="1"/>
      <c r="D2910" s="1"/>
      <c r="E2910" s="14"/>
      <c r="F2910" s="15"/>
      <c r="G2910" s="16"/>
      <c r="H2910" s="11"/>
      <c r="I2910" s="7"/>
      <c r="J2910" s="7" t="str">
        <f>IFERROR(LET(_xlpm.v,
VLOOKUP($I2910,'用語辞書'!$A:$B,COLUMN('用語辞書'!B$1),FALSE),
IF(_xlpm.v=0,"",_xlpm.v)
),"")</f>
        <v/>
      </c>
      <c r="K2910" s="17"/>
      <c r="L2910" s="17" t="str">
        <f>IF(OR(COUNTIF('クラス'!$A$1:$A$1262,$B2910)&gt;0,$B2910="",$M2910=""),"",True)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7.0</v>
      </c>
      <c r="B2911" s="1"/>
      <c r="C2911" s="1"/>
      <c r="D2911" s="1"/>
      <c r="E2911" s="14"/>
      <c r="F2911" s="15"/>
      <c r="G2911" s="16"/>
      <c r="H2911" s="11"/>
      <c r="I2911" s="7"/>
      <c r="J2911" s="7" t="str">
        <f>IFERROR(LET(_xlpm.v,
VLOOKUP($I2911,'用語辞書'!$A:$B,COLUMN('用語辞書'!B$1),FALSE),
IF(_xlpm.v=0,"",_xlpm.v)
),"")</f>
        <v/>
      </c>
      <c r="K2911" s="17"/>
      <c r="L2911" s="17" t="str">
        <f>IF(OR(COUNTIF('クラス'!$A$1:$A$1262,$B2911)&gt;0,$B2911="",$M2911=""),"",True)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8.0</v>
      </c>
      <c r="B2912" s="1"/>
      <c r="C2912" s="1"/>
      <c r="D2912" s="1"/>
      <c r="E2912" s="14"/>
      <c r="F2912" s="15"/>
      <c r="G2912" s="16"/>
      <c r="H2912" s="11"/>
      <c r="I2912" s="7"/>
      <c r="J2912" s="7" t="str">
        <f>IFERROR(LET(_xlpm.v,
VLOOKUP($I2912,'用語辞書'!$A:$B,COLUMN('用語辞書'!B$1),FALSE),
IF(_xlpm.v=0,"",_xlpm.v)
),"")</f>
        <v/>
      </c>
      <c r="K2912" s="17"/>
      <c r="L2912" s="17" t="str">
        <f>IF(OR(COUNTIF('クラス'!$A$1:$A$1262,$B2912)&gt;0,$B2912="",$M2912=""),"",True)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9.0</v>
      </c>
      <c r="B2913" s="1"/>
      <c r="C2913" s="1"/>
      <c r="D2913" s="1"/>
      <c r="E2913" s="14"/>
      <c r="F2913" s="15"/>
      <c r="G2913" s="16"/>
      <c r="H2913" s="11"/>
      <c r="I2913" s="7"/>
      <c r="J2913" s="7" t="str">
        <f>IFERROR(LET(_xlpm.v,
VLOOKUP($I2913,'用語辞書'!$A:$B,COLUMN('用語辞書'!B$1),FALSE),
IF(_xlpm.v=0,"",_xlpm.v)
),"")</f>
        <v/>
      </c>
      <c r="K2913" s="17"/>
      <c r="L2913" s="17" t="str">
        <f>IF(OR(COUNTIF('クラス'!$A$1:$A$1262,$B2913)&gt;0,$B2913="",$M2913=""),"",True)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10.0</v>
      </c>
      <c r="B2914" s="1"/>
      <c r="C2914" s="1"/>
      <c r="D2914" s="1"/>
      <c r="E2914" s="14"/>
      <c r="F2914" s="15"/>
      <c r="G2914" s="16"/>
      <c r="H2914" s="11"/>
      <c r="I2914" s="7"/>
      <c r="J2914" s="7" t="str">
        <f>IFERROR(LET(_xlpm.v,
VLOOKUP($I2914,'用語辞書'!$A:$B,COLUMN('用語辞書'!B$1),FALSE),
IF(_xlpm.v=0,"",_xlpm.v)
),"")</f>
        <v/>
      </c>
      <c r="K2914" s="17"/>
      <c r="L2914" s="17" t="str">
        <f>IF(OR(COUNTIF('クラス'!$A$1:$A$1262,$B2914)&gt;0,$B2914="",$M2914=""),"",True)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1">
      <c r="A2915" s="1"/>
      <c r="B2915" s="1"/>
      <c r="C2915" s="1"/>
      <c r="D2915" s="1"/>
      <c r="E2915" s="14"/>
      <c r="F2915" s="15"/>
      <c r="G2915" s="16"/>
      <c r="H2915" s="11"/>
      <c r="I2915" s="7"/>
      <c r="J2915" s="7" t="str">
        <f>IFERROR(LET(_xlpm.v,
VLOOKUP($I2915,'用語辞書'!$A:$B,COLUMN('用語辞書'!B$1),FALSE),
IF(_xlpm.v=0,"",_xlpm.v)
),"")</f>
        <v/>
      </c>
      <c r="K2915" s="17"/>
      <c r="L2915" s="17" t="str">
        <f>IF(OR(COUNTIF('クラス'!$A$1:$A$1262,$B2915)&gt;0,$B2915="",$M2915=""),"",True)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26" t="s">
        <v>2516</v>
      </c>
      <c r="C2916" s="1"/>
      <c r="D2916" s="1"/>
      <c r="E2916" s="14"/>
      <c r="F2916" s="15"/>
      <c r="G2916" s="16"/>
      <c r="H2916" s="11"/>
      <c r="I2916" s="7"/>
      <c r="J2916" s="7" t="str">
        <f>IFERROR(LET(_xlpm.v,
VLOOKUP($I2916,'用語辞書'!$A:$B,COLUMN('用語辞書'!B$1),FALSE),
IF(_xlpm.v=0,"",_xlpm.v)
),"")</f>
        <v/>
      </c>
      <c r="K2916" s="17"/>
      <c r="L2916" s="17" t="str">
        <f>IF(OR(COUNTIF('クラス'!$A$1:$A$1262,$B2916)&gt;0,$B2916="",$M2916=""),"",True)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2">
      <c r="A2917" s="1">
        <v>1.0</v>
      </c>
      <c r="B2917" s="1"/>
      <c r="C2917" s="1"/>
      <c r="D2917" s="1"/>
      <c r="E2917" s="14"/>
      <c r="F2917" s="15"/>
      <c r="G2917" s="16"/>
      <c r="H2917" s="11"/>
      <c r="I2917" s="7"/>
      <c r="J2917" s="7" t="str">
        <f>IFERROR(LET(_xlpm.v,
VLOOKUP($I2917,'用語辞書'!$A:$B,COLUMN('用語辞書'!B$1),FALSE),
IF(_xlpm.v=0,"",_xlpm.v)
),"")</f>
        <v/>
      </c>
      <c r="K2917" s="17"/>
      <c r="L2917" s="17" t="str">
        <f>IF(OR(COUNTIF('クラス'!$A$1:$A$1262,$B2917)&gt;0,$B2917="",$M2917=""),"",True)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2.0</v>
      </c>
      <c r="B2918" s="1"/>
      <c r="C2918" s="1"/>
      <c r="D2918" s="1"/>
      <c r="E2918" s="14"/>
      <c r="F2918" s="15"/>
      <c r="G2918" s="16"/>
      <c r="H2918" s="11"/>
      <c r="I2918" s="7"/>
      <c r="J2918" s="7" t="str">
        <f>IFERROR(LET(_xlpm.v,
VLOOKUP($I2918,'用語辞書'!$A:$B,COLUMN('用語辞書'!B$1),FALSE),
IF(_xlpm.v=0,"",_xlpm.v)
),"")</f>
        <v/>
      </c>
      <c r="K2918" s="17"/>
      <c r="L2918" s="17" t="str">
        <f>IF(OR(COUNTIF('クラス'!$A$1:$A$1262,$B2918)&gt;0,$B2918="",$M2918=""),"",True)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3.0</v>
      </c>
      <c r="B2919" s="1"/>
      <c r="C2919" s="1"/>
      <c r="D2919" s="1"/>
      <c r="E2919" s="14"/>
      <c r="F2919" s="15"/>
      <c r="G2919" s="16"/>
      <c r="H2919" s="11"/>
      <c r="I2919" s="7"/>
      <c r="J2919" s="7" t="str">
        <f>IFERROR(LET(_xlpm.v,
VLOOKUP($I2919,'用語辞書'!$A:$B,COLUMN('用語辞書'!B$1),FALSE),
IF(_xlpm.v=0,"",_xlpm.v)
),"")</f>
        <v/>
      </c>
      <c r="K2919" s="17"/>
      <c r="L2919" s="17" t="str">
        <f>IF(OR(COUNTIF('クラス'!$A$1:$A$1262,$B2919)&gt;0,$B2919="",$M2919=""),"",True)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4.0</v>
      </c>
      <c r="B2920" s="1"/>
      <c r="C2920" s="1"/>
      <c r="D2920" s="1"/>
      <c r="E2920" s="14"/>
      <c r="F2920" s="15"/>
      <c r="G2920" s="16"/>
      <c r="H2920" s="11"/>
      <c r="I2920" s="7"/>
      <c r="J2920" s="7" t="str">
        <f>IFERROR(LET(_xlpm.v,
VLOOKUP($I2920,'用語辞書'!$A:$B,COLUMN('用語辞書'!B$1),FALSE),
IF(_xlpm.v=0,"",_xlpm.v)
),"")</f>
        <v/>
      </c>
      <c r="K2920" s="17"/>
      <c r="L2920" s="17" t="str">
        <f>IF(OR(COUNTIF('クラス'!$A$1:$A$1262,$B2920)&gt;0,$B2920="",$M2920=""),"",True)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5.0</v>
      </c>
      <c r="B2921" s="1"/>
      <c r="C2921" s="1"/>
      <c r="D2921" s="1"/>
      <c r="E2921" s="14"/>
      <c r="F2921" s="15"/>
      <c r="G2921" s="16"/>
      <c r="H2921" s="11"/>
      <c r="I2921" s="7"/>
      <c r="J2921" s="7" t="str">
        <f>IFERROR(LET(_xlpm.v,
VLOOKUP($I2921,'用語辞書'!$A:$B,COLUMN('用語辞書'!B$1),FALSE),
IF(_xlpm.v=0,"",_xlpm.v)
),"")</f>
        <v/>
      </c>
      <c r="K2921" s="17"/>
      <c r="L2921" s="17" t="str">
        <f>IF(OR(COUNTIF('クラス'!$A$1:$A$1262,$B2921)&gt;0,$B2921="",$M2921=""),"",True)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6.0</v>
      </c>
      <c r="B2922" s="1"/>
      <c r="C2922" s="1"/>
      <c r="D2922" s="1"/>
      <c r="E2922" s="14"/>
      <c r="F2922" s="15"/>
      <c r="G2922" s="16"/>
      <c r="H2922" s="11"/>
      <c r="I2922" s="7"/>
      <c r="J2922" s="7" t="str">
        <f>IFERROR(LET(_xlpm.v,
VLOOKUP($I2922,'用語辞書'!$A:$B,COLUMN('用語辞書'!B$1),FALSE),
IF(_xlpm.v=0,"",_xlpm.v)
),"")</f>
        <v/>
      </c>
      <c r="K2922" s="17"/>
      <c r="L2922" s="17" t="str">
        <f>IF(OR(COUNTIF('クラス'!$A$1:$A$1262,$B2922)&gt;0,$B2922="",$M2922=""),"",True)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7.0</v>
      </c>
      <c r="B2923" s="1"/>
      <c r="C2923" s="1"/>
      <c r="D2923" s="1"/>
      <c r="E2923" s="14"/>
      <c r="F2923" s="15"/>
      <c r="G2923" s="16"/>
      <c r="H2923" s="11"/>
      <c r="I2923" s="7"/>
      <c r="J2923" s="7" t="str">
        <f>IFERROR(LET(_xlpm.v,
VLOOKUP($I2923,'用語辞書'!$A:$B,COLUMN('用語辞書'!B$1),FALSE),
IF(_xlpm.v=0,"",_xlpm.v)
),"")</f>
        <v/>
      </c>
      <c r="K2923" s="17"/>
      <c r="L2923" s="17" t="str">
        <f>IF(OR(COUNTIF('クラス'!$A$1:$A$1262,$B2923)&gt;0,$B2923="",$M2923=""),"",True)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8.0</v>
      </c>
      <c r="B2924" s="1"/>
      <c r="C2924" s="1"/>
      <c r="D2924" s="1"/>
      <c r="E2924" s="14"/>
      <c r="F2924" s="15"/>
      <c r="G2924" s="16"/>
      <c r="H2924" s="11"/>
      <c r="I2924" s="7"/>
      <c r="J2924" s="7" t="str">
        <f>IFERROR(LET(_xlpm.v,
VLOOKUP($I2924,'用語辞書'!$A:$B,COLUMN('用語辞書'!B$1),FALSE),
IF(_xlpm.v=0,"",_xlpm.v)
),"")</f>
        <v/>
      </c>
      <c r="K2924" s="17"/>
      <c r="L2924" s="17" t="str">
        <f>IF(OR(COUNTIF('クラス'!$A$1:$A$1262,$B2924)&gt;0,$B2924="",$M2924=""),"",True)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9.0</v>
      </c>
      <c r="B2925" s="1"/>
      <c r="C2925" s="1"/>
      <c r="D2925" s="1"/>
      <c r="E2925" s="14"/>
      <c r="F2925" s="15"/>
      <c r="G2925" s="16"/>
      <c r="H2925" s="11"/>
      <c r="I2925" s="7"/>
      <c r="J2925" s="7" t="str">
        <f>IFERROR(LET(_xlpm.v,
VLOOKUP($I2925,'用語辞書'!$A:$B,COLUMN('用語辞書'!B$1),FALSE),
IF(_xlpm.v=0,"",_xlpm.v)
),"")</f>
        <v/>
      </c>
      <c r="K2925" s="17"/>
      <c r="L2925" s="17" t="str">
        <f>IF(OR(COUNTIF('クラス'!$A$1:$A$1262,$B2925)&gt;0,$B2925="",$M2925=""),"",True)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10.0</v>
      </c>
      <c r="B2926" s="1"/>
      <c r="C2926" s="1"/>
      <c r="D2926" s="1"/>
      <c r="E2926" s="14"/>
      <c r="F2926" s="15"/>
      <c r="G2926" s="16"/>
      <c r="H2926" s="11"/>
      <c r="I2926" s="7"/>
      <c r="J2926" s="7" t="str">
        <f>IFERROR(LET(_xlpm.v,
VLOOKUP($I2926,'用語辞書'!$A:$B,COLUMN('用語辞書'!B$1),FALSE),
IF(_xlpm.v=0,"",_xlpm.v)
),"")</f>
        <v/>
      </c>
      <c r="K2926" s="17"/>
      <c r="L2926" s="17" t="str">
        <f>IF(OR(COUNTIF('クラス'!$A$1:$A$1262,$B2926)&gt;0,$B2926="",$M2926=""),"",True)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1">
      <c r="A2927" s="1"/>
      <c r="B2927" s="1"/>
      <c r="C2927" s="1"/>
      <c r="D2927" s="1"/>
      <c r="E2927" s="14"/>
      <c r="F2927" s="15"/>
      <c r="G2927" s="16"/>
      <c r="H2927" s="11"/>
      <c r="I2927" s="7"/>
      <c r="J2927" s="7" t="str">
        <f>IFERROR(LET(_xlpm.v,
VLOOKUP($I2927,'用語辞書'!$A:$B,COLUMN('用語辞書'!B$1),FALSE),
IF(_xlpm.v=0,"",_xlpm.v)
),"")</f>
        <v/>
      </c>
      <c r="K2927" s="17"/>
      <c r="L2927" s="17" t="str">
        <f>IF(OR(COUNTIF('クラス'!$A$1:$A$1262,$B2927)&gt;0,$B2927="",$M2927=""),"",True)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26" t="s">
        <v>2517</v>
      </c>
      <c r="C2928" s="1"/>
      <c r="D2928" s="1"/>
      <c r="E2928" s="14"/>
      <c r="F2928" s="15"/>
      <c r="G2928" s="16"/>
      <c r="H2928" s="11"/>
      <c r="I2928" s="7"/>
      <c r="J2928" s="7" t="str">
        <f>IFERROR(LET(_xlpm.v,
VLOOKUP($I2928,'用語辞書'!$A:$B,COLUMN('用語辞書'!B$1),FALSE),
IF(_xlpm.v=0,"",_xlpm.v)
),"")</f>
        <v/>
      </c>
      <c r="K2928" s="17"/>
      <c r="L2928" s="17" t="str">
        <f>IF(OR(COUNTIF('クラス'!$A$1:$A$1262,$B2928)&gt;0,$B2928="",$M2928=""),"",True)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2">
      <c r="A2929" s="1">
        <v>1.0</v>
      </c>
      <c r="B2929" s="1"/>
      <c r="C2929" s="1"/>
      <c r="D2929" s="1"/>
      <c r="E2929" s="14"/>
      <c r="F2929" s="15"/>
      <c r="G2929" s="16"/>
      <c r="H2929" s="11"/>
      <c r="I2929" s="7"/>
      <c r="J2929" s="7" t="str">
        <f>IFERROR(LET(_xlpm.v,
VLOOKUP($I2929,'用語辞書'!$A:$B,COLUMN('用語辞書'!B$1),FALSE),
IF(_xlpm.v=0,"",_xlpm.v)
),"")</f>
        <v/>
      </c>
      <c r="K2929" s="17"/>
      <c r="L2929" s="17" t="str">
        <f>IF(OR(COUNTIF('クラス'!$A$1:$A$1262,$B2929)&gt;0,$B2929="",$M2929=""),"",True)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2.0</v>
      </c>
      <c r="B2930" s="1"/>
      <c r="C2930" s="1"/>
      <c r="D2930" s="1"/>
      <c r="E2930" s="14"/>
      <c r="F2930" s="15"/>
      <c r="G2930" s="16"/>
      <c r="H2930" s="11"/>
      <c r="I2930" s="7"/>
      <c r="J2930" s="7" t="str">
        <f>IFERROR(LET(_xlpm.v,
VLOOKUP($I2930,'用語辞書'!$A:$B,COLUMN('用語辞書'!B$1),FALSE),
IF(_xlpm.v=0,"",_xlpm.v)
),"")</f>
        <v/>
      </c>
      <c r="K2930" s="17"/>
      <c r="L2930" s="17" t="str">
        <f>IF(OR(COUNTIF('クラス'!$A$1:$A$1262,$B2930)&gt;0,$B2930="",$M2930=""),"",True)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3.0</v>
      </c>
      <c r="B2931" s="1"/>
      <c r="C2931" s="1"/>
      <c r="D2931" s="1"/>
      <c r="E2931" s="14"/>
      <c r="F2931" s="15"/>
      <c r="G2931" s="16"/>
      <c r="H2931" s="11"/>
      <c r="I2931" s="7"/>
      <c r="J2931" s="7" t="str">
        <f>IFERROR(LET(_xlpm.v,
VLOOKUP($I2931,'用語辞書'!$A:$B,COLUMN('用語辞書'!B$1),FALSE),
IF(_xlpm.v=0,"",_xlpm.v)
),"")</f>
        <v/>
      </c>
      <c r="K2931" s="17"/>
      <c r="L2931" s="17" t="str">
        <f>IF(OR(COUNTIF('クラス'!$A$1:$A$1262,$B2931)&gt;0,$B2931="",$M2931=""),"",True)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4.0</v>
      </c>
      <c r="B2932" s="1"/>
      <c r="C2932" s="1"/>
      <c r="D2932" s="1"/>
      <c r="E2932" s="14"/>
      <c r="F2932" s="15"/>
      <c r="G2932" s="16"/>
      <c r="H2932" s="11"/>
      <c r="I2932" s="7"/>
      <c r="J2932" s="7" t="str">
        <f>IFERROR(LET(_xlpm.v,
VLOOKUP($I2932,'用語辞書'!$A:$B,COLUMN('用語辞書'!B$1),FALSE),
IF(_xlpm.v=0,"",_xlpm.v)
),"")</f>
        <v/>
      </c>
      <c r="K2932" s="17"/>
      <c r="L2932" s="17" t="str">
        <f>IF(OR(COUNTIF('クラス'!$A$1:$A$1262,$B2932)&gt;0,$B2932="",$M2932=""),"",True)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5.0</v>
      </c>
      <c r="B2933" s="1"/>
      <c r="C2933" s="1"/>
      <c r="D2933" s="1"/>
      <c r="E2933" s="14"/>
      <c r="F2933" s="15"/>
      <c r="G2933" s="16"/>
      <c r="H2933" s="11"/>
      <c r="I2933" s="7"/>
      <c r="J2933" s="7" t="str">
        <f>IFERROR(LET(_xlpm.v,
VLOOKUP($I2933,'用語辞書'!$A:$B,COLUMN('用語辞書'!B$1),FALSE),
IF(_xlpm.v=0,"",_xlpm.v)
),"")</f>
        <v/>
      </c>
      <c r="K2933" s="17"/>
      <c r="L2933" s="17" t="str">
        <f>IF(OR(COUNTIF('クラス'!$A$1:$A$1262,$B2933)&gt;0,$B2933="",$M2933=""),"",True)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6.0</v>
      </c>
      <c r="B2934" s="1"/>
      <c r="C2934" s="1"/>
      <c r="D2934" s="1"/>
      <c r="E2934" s="14"/>
      <c r="F2934" s="15"/>
      <c r="G2934" s="16"/>
      <c r="H2934" s="11"/>
      <c r="I2934" s="7"/>
      <c r="J2934" s="7" t="str">
        <f>IFERROR(LET(_xlpm.v,
VLOOKUP($I2934,'用語辞書'!$A:$B,COLUMN('用語辞書'!B$1),FALSE),
IF(_xlpm.v=0,"",_xlpm.v)
),"")</f>
        <v/>
      </c>
      <c r="K2934" s="17"/>
      <c r="L2934" s="17" t="str">
        <f>IF(OR(COUNTIF('クラス'!$A$1:$A$1262,$B2934)&gt;0,$B2934="",$M2934=""),"",True)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7.0</v>
      </c>
      <c r="B2935" s="1"/>
      <c r="C2935" s="1"/>
      <c r="D2935" s="1"/>
      <c r="E2935" s="14"/>
      <c r="F2935" s="15"/>
      <c r="G2935" s="16"/>
      <c r="H2935" s="11"/>
      <c r="I2935" s="7"/>
      <c r="J2935" s="7" t="str">
        <f>IFERROR(LET(_xlpm.v,
VLOOKUP($I2935,'用語辞書'!$A:$B,COLUMN('用語辞書'!B$1),FALSE),
IF(_xlpm.v=0,"",_xlpm.v)
),"")</f>
        <v/>
      </c>
      <c r="K2935" s="17"/>
      <c r="L2935" s="17" t="str">
        <f>IF(OR(COUNTIF('クラス'!$A$1:$A$1262,$B2935)&gt;0,$B2935="",$M2935=""),"",True)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8.0</v>
      </c>
      <c r="B2936" s="1"/>
      <c r="C2936" s="1"/>
      <c r="D2936" s="1"/>
      <c r="E2936" s="14"/>
      <c r="F2936" s="15"/>
      <c r="G2936" s="16"/>
      <c r="H2936" s="11"/>
      <c r="I2936" s="7"/>
      <c r="J2936" s="7" t="str">
        <f>IFERROR(LET(_xlpm.v,
VLOOKUP($I2936,'用語辞書'!$A:$B,COLUMN('用語辞書'!B$1),FALSE),
IF(_xlpm.v=0,"",_xlpm.v)
),"")</f>
        <v/>
      </c>
      <c r="K2936" s="17"/>
      <c r="L2936" s="17" t="str">
        <f>IF(OR(COUNTIF('クラス'!$A$1:$A$1262,$B2936)&gt;0,$B2936="",$M2936=""),"",True)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9.0</v>
      </c>
      <c r="B2937" s="1"/>
      <c r="C2937" s="1"/>
      <c r="D2937" s="1"/>
      <c r="E2937" s="14"/>
      <c r="F2937" s="15"/>
      <c r="G2937" s="16"/>
      <c r="H2937" s="11"/>
      <c r="I2937" s="7"/>
      <c r="J2937" s="7" t="str">
        <f>IFERROR(LET(_xlpm.v,
VLOOKUP($I2937,'用語辞書'!$A:$B,COLUMN('用語辞書'!B$1),FALSE),
IF(_xlpm.v=0,"",_xlpm.v)
),"")</f>
        <v/>
      </c>
      <c r="K2937" s="17"/>
      <c r="L2937" s="17" t="str">
        <f>IF(OR(COUNTIF('クラス'!$A$1:$A$1262,$B2937)&gt;0,$B2937="",$M2937=""),"",True)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10.0</v>
      </c>
      <c r="B2938" s="1"/>
      <c r="C2938" s="1"/>
      <c r="D2938" s="1"/>
      <c r="E2938" s="14"/>
      <c r="F2938" s="15"/>
      <c r="G2938" s="16"/>
      <c r="H2938" s="11"/>
      <c r="I2938" s="7"/>
      <c r="J2938" s="7" t="str">
        <f>IFERROR(LET(_xlpm.v,
VLOOKUP($I2938,'用語辞書'!$A:$B,COLUMN('用語辞書'!B$1),FALSE),
IF(_xlpm.v=0,"",_xlpm.v)
),"")</f>
        <v/>
      </c>
      <c r="K2938" s="17"/>
      <c r="L2938" s="17" t="str">
        <f>IF(OR(COUNTIF('クラス'!$A$1:$A$1262,$B2938)&gt;0,$B2938="",$M2938=""),"",True)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1">
      <c r="A2939" s="1"/>
      <c r="B2939" s="1"/>
      <c r="C2939" s="1"/>
      <c r="D2939" s="1"/>
      <c r="E2939" s="14"/>
      <c r="F2939" s="15"/>
      <c r="G2939" s="16"/>
      <c r="H2939" s="11"/>
      <c r="I2939" s="7"/>
      <c r="J2939" s="7" t="str">
        <f>IFERROR(LET(_xlpm.v,
VLOOKUP($I2939,'用語辞書'!$A:$B,COLUMN('用語辞書'!B$1),FALSE),
IF(_xlpm.v=0,"",_xlpm.v)
),"")</f>
        <v/>
      </c>
      <c r="K2939" s="17"/>
      <c r="L2939" s="17" t="str">
        <f>IF(OR(COUNTIF('クラス'!$A$1:$A$1262,$B2939)&gt;0,$B2939="",$M2939=""),"",True)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26" t="s">
        <v>2518</v>
      </c>
      <c r="C2940" s="1"/>
      <c r="D2940" s="1"/>
      <c r="E2940" s="14"/>
      <c r="F2940" s="15"/>
      <c r="G2940" s="16"/>
      <c r="H2940" s="11"/>
      <c r="I2940" s="7"/>
      <c r="J2940" s="7" t="str">
        <f>IFERROR(LET(_xlpm.v,
VLOOKUP($I2940,'用語辞書'!$A:$B,COLUMN('用語辞書'!B$1),FALSE),
IF(_xlpm.v=0,"",_xlpm.v)
),"")</f>
        <v/>
      </c>
      <c r="K2940" s="17"/>
      <c r="L2940" s="17" t="str">
        <f>IF(OR(COUNTIF('クラス'!$A$1:$A$1262,$B2940)&gt;0,$B2940="",$M2940=""),"",True)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2">
      <c r="A2941" s="1">
        <v>1.0</v>
      </c>
      <c r="B2941" s="1"/>
      <c r="C2941" s="1"/>
      <c r="D2941" s="1"/>
      <c r="E2941" s="14"/>
      <c r="F2941" s="15"/>
      <c r="G2941" s="16"/>
      <c r="H2941" s="11"/>
      <c r="I2941" s="7"/>
      <c r="J2941" s="7" t="str">
        <f>IFERROR(LET(_xlpm.v,
VLOOKUP($I2941,'用語辞書'!$A:$B,COLUMN('用語辞書'!B$1),FALSE),
IF(_xlpm.v=0,"",_xlpm.v)
),"")</f>
        <v/>
      </c>
      <c r="K2941" s="17"/>
      <c r="L2941" s="17" t="str">
        <f>IF(OR(COUNTIF('クラス'!$A$1:$A$1262,$B2941)&gt;0,$B2941="",$M2941=""),"",True)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2.0</v>
      </c>
      <c r="B2942" s="1"/>
      <c r="C2942" s="1"/>
      <c r="D2942" s="1"/>
      <c r="E2942" s="14"/>
      <c r="F2942" s="15"/>
      <c r="G2942" s="16"/>
      <c r="H2942" s="11"/>
      <c r="I2942" s="7"/>
      <c r="J2942" s="7" t="str">
        <f>IFERROR(LET(_xlpm.v,
VLOOKUP($I2942,'用語辞書'!$A:$B,COLUMN('用語辞書'!B$1),FALSE),
IF(_xlpm.v=0,"",_xlpm.v)
),"")</f>
        <v/>
      </c>
      <c r="K2942" s="17"/>
      <c r="L2942" s="17" t="str">
        <f>IF(OR(COUNTIF('クラス'!$A$1:$A$1262,$B2942)&gt;0,$B2942="",$M2942=""),"",True)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3.0</v>
      </c>
      <c r="B2943" s="1"/>
      <c r="C2943" s="1"/>
      <c r="D2943" s="1"/>
      <c r="E2943" s="14"/>
      <c r="F2943" s="15"/>
      <c r="G2943" s="16"/>
      <c r="H2943" s="11"/>
      <c r="I2943" s="7"/>
      <c r="J2943" s="7" t="str">
        <f>IFERROR(LET(_xlpm.v,
VLOOKUP($I2943,'用語辞書'!$A:$B,COLUMN('用語辞書'!B$1),FALSE),
IF(_xlpm.v=0,"",_xlpm.v)
),"")</f>
        <v/>
      </c>
      <c r="K2943" s="17"/>
      <c r="L2943" s="17" t="str">
        <f>IF(OR(COUNTIF('クラス'!$A$1:$A$1262,$B2943)&gt;0,$B2943="",$M2943=""),"",True)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4.0</v>
      </c>
      <c r="B2944" s="1"/>
      <c r="C2944" s="1"/>
      <c r="D2944" s="1"/>
      <c r="E2944" s="14"/>
      <c r="F2944" s="15"/>
      <c r="G2944" s="16"/>
      <c r="H2944" s="11"/>
      <c r="I2944" s="7"/>
      <c r="J2944" s="7" t="str">
        <f>IFERROR(LET(_xlpm.v,
VLOOKUP($I2944,'用語辞書'!$A:$B,COLUMN('用語辞書'!B$1),FALSE),
IF(_xlpm.v=0,"",_xlpm.v)
),"")</f>
        <v/>
      </c>
      <c r="K2944" s="17"/>
      <c r="L2944" s="17" t="str">
        <f>IF(OR(COUNTIF('クラス'!$A$1:$A$1262,$B2944)&gt;0,$B2944="",$M2944=""),"",True)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5.0</v>
      </c>
      <c r="B2945" s="1"/>
      <c r="C2945" s="1"/>
      <c r="D2945" s="1"/>
      <c r="E2945" s="14"/>
      <c r="F2945" s="15"/>
      <c r="G2945" s="16"/>
      <c r="H2945" s="11"/>
      <c r="I2945" s="7"/>
      <c r="J2945" s="7" t="str">
        <f>IFERROR(LET(_xlpm.v,
VLOOKUP($I2945,'用語辞書'!$A:$B,COLUMN('用語辞書'!B$1),FALSE),
IF(_xlpm.v=0,"",_xlpm.v)
),"")</f>
        <v/>
      </c>
      <c r="K2945" s="17"/>
      <c r="L2945" s="17" t="str">
        <f>IF(OR(COUNTIF('クラス'!$A$1:$A$1262,$B2945)&gt;0,$B2945="",$M2945=""),"",True)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6.0</v>
      </c>
      <c r="B2946" s="1"/>
      <c r="C2946" s="1"/>
      <c r="D2946" s="1"/>
      <c r="E2946" s="14"/>
      <c r="F2946" s="15"/>
      <c r="G2946" s="16"/>
      <c r="H2946" s="11"/>
      <c r="I2946" s="7"/>
      <c r="J2946" s="7" t="str">
        <f>IFERROR(LET(_xlpm.v,
VLOOKUP($I2946,'用語辞書'!$A:$B,COLUMN('用語辞書'!B$1),FALSE),
IF(_xlpm.v=0,"",_xlpm.v)
),"")</f>
        <v/>
      </c>
      <c r="K2946" s="17"/>
      <c r="L2946" s="17" t="str">
        <f>IF(OR(COUNTIF('クラス'!$A$1:$A$1262,$B2946)&gt;0,$B2946="",$M2946=""),"",True)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7.0</v>
      </c>
      <c r="B2947" s="1"/>
      <c r="C2947" s="1"/>
      <c r="D2947" s="1"/>
      <c r="E2947" s="14"/>
      <c r="F2947" s="15"/>
      <c r="G2947" s="16"/>
      <c r="H2947" s="11"/>
      <c r="I2947" s="7"/>
      <c r="J2947" s="7" t="str">
        <f>IFERROR(LET(_xlpm.v,
VLOOKUP($I2947,'用語辞書'!$A:$B,COLUMN('用語辞書'!B$1),FALSE),
IF(_xlpm.v=0,"",_xlpm.v)
),"")</f>
        <v/>
      </c>
      <c r="K2947" s="17"/>
      <c r="L2947" s="17" t="str">
        <f>IF(OR(COUNTIF('クラス'!$A$1:$A$1262,$B2947)&gt;0,$B2947="",$M2947=""),"",True)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8.0</v>
      </c>
      <c r="B2948" s="1"/>
      <c r="C2948" s="1"/>
      <c r="D2948" s="1"/>
      <c r="E2948" s="14"/>
      <c r="F2948" s="15"/>
      <c r="G2948" s="16"/>
      <c r="H2948" s="11"/>
      <c r="I2948" s="7"/>
      <c r="J2948" s="7" t="str">
        <f>IFERROR(LET(_xlpm.v,
VLOOKUP($I2948,'用語辞書'!$A:$B,COLUMN('用語辞書'!B$1),FALSE),
IF(_xlpm.v=0,"",_xlpm.v)
),"")</f>
        <v/>
      </c>
      <c r="K2948" s="17"/>
      <c r="L2948" s="17" t="str">
        <f>IF(OR(COUNTIF('クラス'!$A$1:$A$1262,$B2948)&gt;0,$B2948="",$M2948=""),"",True)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9.0</v>
      </c>
      <c r="B2949" s="1"/>
      <c r="C2949" s="1"/>
      <c r="D2949" s="1"/>
      <c r="E2949" s="14"/>
      <c r="F2949" s="15"/>
      <c r="G2949" s="16"/>
      <c r="H2949" s="11"/>
      <c r="I2949" s="7"/>
      <c r="J2949" s="7" t="str">
        <f>IFERROR(LET(_xlpm.v,
VLOOKUP($I2949,'用語辞書'!$A:$B,COLUMN('用語辞書'!B$1),FALSE),
IF(_xlpm.v=0,"",_xlpm.v)
),"")</f>
        <v/>
      </c>
      <c r="K2949" s="17"/>
      <c r="L2949" s="17" t="str">
        <f>IF(OR(COUNTIF('クラス'!$A$1:$A$1262,$B2949)&gt;0,$B2949="",$M2949=""),"",True)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10.0</v>
      </c>
      <c r="B2950" s="1"/>
      <c r="C2950" s="1"/>
      <c r="D2950" s="1"/>
      <c r="E2950" s="14"/>
      <c r="F2950" s="15"/>
      <c r="G2950" s="16"/>
      <c r="H2950" s="11"/>
      <c r="I2950" s="7"/>
      <c r="J2950" s="7" t="str">
        <f>IFERROR(LET(_xlpm.v,
VLOOKUP($I2950,'用語辞書'!$A:$B,COLUMN('用語辞書'!B$1),FALSE),
IF(_xlpm.v=0,"",_xlpm.v)
),"")</f>
        <v/>
      </c>
      <c r="K2950" s="17"/>
      <c r="L2950" s="17" t="str">
        <f>IF(OR(COUNTIF('クラス'!$A$1:$A$1262,$B2950)&gt;0,$B2950="",$M2950=""),"",True)</f>
        <v/>
      </c>
      <c r="M2950" s="1" t="str">
        <f t="shared" si="30"/>
        <v>存在しない</v>
      </c>
      <c r="N2950" s="1" t="s">
        <v>29</v>
      </c>
      <c r="O2950" s="1"/>
      <c r="P2950" s="11"/>
      <c r="Q2950" s="11"/>
      <c r="R2950" s="11"/>
      <c r="S2950" s="11"/>
      <c r="T2950" s="1"/>
      <c r="U2950" s="1"/>
      <c r="V2950" s="1"/>
      <c r="W2950" s="1"/>
      <c r="X2950" s="1"/>
      <c r="Y2950" s="1"/>
      <c r="Z2950" s="1"/>
    </row>
    <row r="2951" ht="18.0" customHeight="1" collapsed="1">
      <c r="A2951" s="1"/>
      <c r="B2951" s="1"/>
      <c r="C2951" s="1"/>
      <c r="D2951" s="1"/>
      <c r="E2951" s="14"/>
      <c r="F2951" s="15"/>
      <c r="G2951" s="16"/>
      <c r="H2951" s="11"/>
      <c r="I2951" s="7"/>
      <c r="J2951" s="7" t="str">
        <f>IFERROR(LET(_xlpm.v,
VLOOKUP($I2951,'用語辞書'!$A:$B,COLUMN('用語辞書'!B$1),FALSE),
IF(_xlpm.v=0,"",_xlpm.v)
),"")</f>
        <v/>
      </c>
      <c r="K2951" s="17"/>
      <c r="L2951" s="17" t="str">
        <f>IF(OR(COUNTIF('クラス'!$A$1:$A$1262,$B2951)&gt;0,$B2951="",$M2951=""),"",True)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 r="A2952" s="1"/>
      <c r="B2952" s="26" t="s">
        <v>2519</v>
      </c>
      <c r="C2952" s="1"/>
      <c r="D2952" s="1"/>
      <c r="E2952" s="14"/>
      <c r="F2952" s="15"/>
      <c r="G2952" s="16"/>
      <c r="H2952" s="11"/>
      <c r="I2952" s="7"/>
      <c r="J2952" s="7" t="str">
        <f>IFERROR(LET(_xlpm.v,
VLOOKUP($I2952,'用語辞書'!$A:$B,COLUMN('用語辞書'!B$1),FALSE),
IF(_xlpm.v=0,"",_xlpm.v)
),"")</f>
        <v/>
      </c>
      <c r="K2952" s="17"/>
      <c r="L2952" s="17" t="str">
        <f>IF(OR(COUNTIF('クラス'!$A$1:$A$1262,$B2952)&gt;0,$B2952="",$M2952=""),"",True)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v>1.0</v>
      </c>
      <c r="B2953" s="26" t="s">
        <v>261</v>
      </c>
      <c r="C2953" s="1"/>
      <c r="D2953" s="1"/>
      <c r="E2953" s="14"/>
      <c r="F2953" s="15"/>
      <c r="G2953" s="16"/>
      <c r="H2953" s="11"/>
      <c r="I2953" s="7"/>
      <c r="J2953" s="7" t="str">
        <f>IFERROR(LET(_xlpm.v,
VLOOKUP($I2953,'用語辞書'!$A:$B,COLUMN('用語辞書'!B$1),FALSE),
IF(_xlpm.v=0,"",_xlpm.v)
),"")</f>
        <v/>
      </c>
      <c r="K2953" s="17"/>
      <c r="L2953" s="17" t="str">
        <f>IF(OR(COUNTIF('クラス'!$A$1:$A$1262,$B2953)&gt;0,$B2953="",$M2953=""),"",True)</f>
        <v/>
      </c>
      <c r="M2953" s="1" t="str">
        <f t="shared" si="30"/>
        <v/>
      </c>
      <c r="N2953" s="1" t="s">
        <v>29</v>
      </c>
      <c r="O2953" s="1"/>
      <c r="P2953" s="11"/>
      <c r="Q2953" s="11"/>
      <c r="R2953" s="11"/>
      <c r="S2953" s="11"/>
      <c r="T2953" s="1"/>
      <c r="U2953" s="1"/>
      <c r="V2953" s="1"/>
      <c r="W2953" s="1"/>
      <c r="X2953" s="1"/>
      <c r="Y2953" s="1"/>
      <c r="Z2953" s="1"/>
    </row>
    <row r="2954" ht="18.0" customHeight="1">
      <c r="A2954" s="1">
        <v>2.0</v>
      </c>
      <c r="B2954" s="26" t="s">
        <v>1064</v>
      </c>
      <c r="C2954" s="1"/>
      <c r="D2954" s="1"/>
      <c r="E2954" s="14"/>
      <c r="F2954" s="15"/>
      <c r="G2954" s="16"/>
      <c r="H2954" s="11"/>
      <c r="I2954" s="7"/>
      <c r="J2954" s="7" t="str">
        <f>IFERROR(LET(_xlpm.v,
VLOOKUP($I2954,'用語辞書'!$A:$B,COLUMN('用語辞書'!B$1),FALSE),
IF(_xlpm.v=0,"",_xlpm.v)
),"")</f>
        <v/>
      </c>
      <c r="K2954" s="17"/>
      <c r="L2954" s="17" t="str">
        <f>IF(OR(COUNTIF('クラス'!$A$1:$A$1262,$B2954)&gt;0,$B2954="",$M2954=""),"",True)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3.0</v>
      </c>
      <c r="B2955" s="26" t="s">
        <v>512</v>
      </c>
      <c r="C2955" s="1"/>
      <c r="D2955" s="1"/>
      <c r="E2955" s="14"/>
      <c r="F2955" s="15"/>
      <c r="G2955" s="16"/>
      <c r="H2955" s="11"/>
      <c r="I2955" s="7"/>
      <c r="J2955" s="7" t="str">
        <f>IFERROR(LET(_xlpm.v,
VLOOKUP($I2955,'用語辞書'!$A:$B,COLUMN('用語辞書'!B$1),FALSE),
IF(_xlpm.v=0,"",_xlpm.v)
),"")</f>
        <v/>
      </c>
      <c r="K2955" s="17"/>
      <c r="L2955" s="17" t="str">
        <f>IF(OR(COUNTIF('クラス'!$A$1:$A$1262,$B2955)&gt;0,$B2955="",$M2955=""),"",True)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4.0</v>
      </c>
      <c r="B2956" s="1"/>
      <c r="C2956" s="1"/>
      <c r="D2956" s="1"/>
      <c r="E2956" s="14"/>
      <c r="F2956" s="15"/>
      <c r="G2956" s="16"/>
      <c r="H2956" s="11"/>
      <c r="I2956" s="7"/>
      <c r="J2956" s="7" t="str">
        <f>IFERROR(LET(_xlpm.v,
VLOOKUP($I2956,'用語辞書'!$A:$B,COLUMN('用語辞書'!B$1),FALSE),
IF(_xlpm.v=0,"",_xlpm.v)
),"")</f>
        <v/>
      </c>
      <c r="K2956" s="17"/>
      <c r="L2956" s="17" t="str">
        <f>IF(OR(COUNTIF('クラス'!$A$1:$A$1262,$B2956)&gt;0,$B2956="",$M2956=""),"",True)</f>
        <v/>
      </c>
      <c r="M2956" s="1" t="str">
        <f t="shared" si="30"/>
        <v>存在しない</v>
      </c>
      <c r="N2956" s="1" t="s">
        <v>29</v>
      </c>
      <c r="O2956" s="1"/>
      <c r="P2956" s="11"/>
      <c r="Q2956" s="11"/>
      <c r="R2956" s="11"/>
      <c r="S2956" s="11"/>
      <c r="T2956" s="1"/>
      <c r="U2956" s="1"/>
      <c r="V2956" s="1"/>
      <c r="W2956" s="1"/>
      <c r="X2956" s="1"/>
      <c r="Y2956" s="1"/>
      <c r="Z2956" s="1"/>
    </row>
    <row r="2957" ht="18.0" customHeight="1">
      <c r="A2957" s="1">
        <v>5.0</v>
      </c>
      <c r="B2957" s="26" t="s">
        <v>1073</v>
      </c>
      <c r="C2957" s="1"/>
      <c r="D2957" s="1"/>
      <c r="E2957" s="14"/>
      <c r="F2957" s="15"/>
      <c r="G2957" s="16"/>
      <c r="H2957" s="11"/>
      <c r="I2957" s="7"/>
      <c r="J2957" s="7" t="str">
        <f>IFERROR(LET(_xlpm.v,
VLOOKUP($I2957,'用語辞書'!$A:$B,COLUMN('用語辞書'!B$1),FALSE),
IF(_xlpm.v=0,"",_xlpm.v)
),"")</f>
        <v/>
      </c>
      <c r="K2957" s="17"/>
      <c r="L2957" s="17" t="str">
        <f>IF(OR(COUNTIF('クラス'!$A$1:$A$1262,$B2957)&gt;0,$B2957="",$M2957=""),"",True)</f>
        <v/>
      </c>
      <c r="M2957" s="1" t="str">
        <f t="shared" si="30"/>
        <v/>
      </c>
      <c r="N2957" s="1" t="s">
        <v>29</v>
      </c>
      <c r="O2957" s="1"/>
      <c r="P2957" s="11"/>
      <c r="Q2957" s="11"/>
      <c r="R2957" s="11"/>
      <c r="S2957" s="11"/>
      <c r="T2957" s="1"/>
      <c r="U2957" s="1"/>
      <c r="V2957" s="1"/>
      <c r="W2957" s="1"/>
      <c r="X2957" s="1"/>
      <c r="Y2957" s="1"/>
      <c r="Z2957" s="1"/>
    </row>
    <row r="2958" ht="18.0" customHeight="1">
      <c r="A2958" s="1">
        <v>6.0</v>
      </c>
      <c r="B2958" s="1"/>
      <c r="C2958" s="1"/>
      <c r="D2958" s="1"/>
      <c r="E2958" s="14"/>
      <c r="F2958" s="15"/>
      <c r="G2958" s="16"/>
      <c r="H2958" s="11"/>
      <c r="I2958" s="7"/>
      <c r="J2958" s="7" t="str">
        <f>IFERROR(LET(_xlpm.v,
VLOOKUP($I2958,'用語辞書'!$A:$B,COLUMN('用語辞書'!B$1),FALSE),
IF(_xlpm.v=0,"",_xlpm.v)
),"")</f>
        <v/>
      </c>
      <c r="K2958" s="17"/>
      <c r="L2958" s="17" t="str">
        <f>IF(OR(COUNTIF('クラス'!$A$1:$A$1262,$B2958)&gt;0,$B2958="",$M2958=""),"",True)</f>
        <v/>
      </c>
      <c r="M2958" s="1" t="str">
        <f t="shared" si="30"/>
        <v>存在しない</v>
      </c>
      <c r="N2958" s="1" t="s">
        <v>29</v>
      </c>
      <c r="O2958" s="1"/>
      <c r="P2958" s="11"/>
      <c r="Q2958" s="11"/>
      <c r="R2958" s="11"/>
      <c r="S2958" s="11"/>
      <c r="T2958" s="1"/>
      <c r="U2958" s="1"/>
      <c r="V2958" s="1"/>
      <c r="W2958" s="1"/>
      <c r="X2958" s="1"/>
      <c r="Y2958" s="1"/>
      <c r="Z2958" s="1"/>
    </row>
    <row r="2959" ht="18.0" customHeight="1">
      <c r="A2959" s="1">
        <v>7.0</v>
      </c>
      <c r="B2959" s="26" t="s">
        <v>446</v>
      </c>
      <c r="C2959" s="1"/>
      <c r="D2959" s="1"/>
      <c r="E2959" s="14"/>
      <c r="F2959" s="15"/>
      <c r="G2959" s="16"/>
      <c r="H2959" s="11"/>
      <c r="I2959" s="7"/>
      <c r="J2959" s="7" t="str">
        <f>IFERROR(LET(_xlpm.v,
VLOOKUP($I2959,'用語辞書'!$A:$B,COLUMN('用語辞書'!B$1),FALSE),
IF(_xlpm.v=0,"",_xlpm.v)
),"")</f>
        <v/>
      </c>
      <c r="K2959" s="17"/>
      <c r="L2959" s="17" t="str">
        <f>IF(OR(COUNTIF('クラス'!$A$1:$A$1262,$B2959)&gt;0,$B2959="",$M2959=""),"",True)</f>
        <v/>
      </c>
      <c r="M2959" s="1" t="str">
        <f t="shared" si="30"/>
        <v/>
      </c>
      <c r="N2959" s="1" t="s">
        <v>29</v>
      </c>
      <c r="O2959" s="1"/>
      <c r="P2959" s="11"/>
      <c r="Q2959" s="11"/>
      <c r="R2959" s="11"/>
      <c r="S2959" s="11"/>
      <c r="T2959" s="1"/>
      <c r="U2959" s="1"/>
      <c r="V2959" s="1"/>
      <c r="W2959" s="1"/>
      <c r="X2959" s="1"/>
      <c r="Y2959" s="1"/>
      <c r="Z2959" s="1"/>
    </row>
    <row r="2960" ht="18.0" customHeight="1">
      <c r="A2960" s="1">
        <v>8.0</v>
      </c>
      <c r="B2960" s="1"/>
      <c r="C2960" s="1"/>
      <c r="D2960" s="1"/>
      <c r="E2960" s="14"/>
      <c r="F2960" s="15"/>
      <c r="G2960" s="16"/>
      <c r="H2960" s="11"/>
      <c r="I2960" s="7"/>
      <c r="J2960" s="7" t="str">
        <f>IFERROR(LET(_xlpm.v,
VLOOKUP($I2960,'用語辞書'!$A:$B,COLUMN('用語辞書'!B$1),FALSE),
IF(_xlpm.v=0,"",_xlpm.v)
),"")</f>
        <v/>
      </c>
      <c r="K2960" s="17"/>
      <c r="L2960" s="17" t="str">
        <f>IF(OR(COUNTIF('クラス'!$A$1:$A$1262,$B2960)&gt;0,$B2960="",$M2960=""),"",True)</f>
        <v/>
      </c>
      <c r="M2960" s="1" t="str">
        <f t="shared" si="30"/>
        <v>存在しない</v>
      </c>
      <c r="N2960" s="1" t="s">
        <v>29</v>
      </c>
      <c r="O2960" s="1"/>
      <c r="P2960" s="11"/>
      <c r="Q2960" s="11"/>
      <c r="R2960" s="11"/>
      <c r="S2960" s="11"/>
      <c r="T2960" s="1"/>
      <c r="U2960" s="1"/>
      <c r="V2960" s="1"/>
      <c r="W2960" s="1"/>
      <c r="X2960" s="1"/>
      <c r="Y2960" s="1"/>
      <c r="Z2960" s="1"/>
    </row>
    <row r="2961" ht="18.0" customHeight="1">
      <c r="A2961" s="1">
        <v>9.0</v>
      </c>
      <c r="B2961" s="26" t="s">
        <v>364</v>
      </c>
      <c r="C2961" s="1"/>
      <c r="D2961" s="1"/>
      <c r="E2961" s="14"/>
      <c r="F2961" s="15"/>
      <c r="G2961" s="16"/>
      <c r="H2961" s="11"/>
      <c r="I2961" s="7"/>
      <c r="J2961" s="7" t="str">
        <f>IFERROR(LET(_xlpm.v,
VLOOKUP($I2961,'用語辞書'!$A:$B,COLUMN('用語辞書'!B$1),FALSE),
IF(_xlpm.v=0,"",_xlpm.v)
),"")</f>
        <v/>
      </c>
      <c r="K2961" s="17"/>
      <c r="L2961" s="17" t="str">
        <f>IF(OR(COUNTIF('クラス'!$A$1:$A$1262,$B2961)&gt;0,$B2961="",$M2961=""),"",True)</f>
        <v/>
      </c>
      <c r="M2961" s="1" t="str">
        <f t="shared" si="30"/>
        <v/>
      </c>
      <c r="N2961" s="1" t="s">
        <v>29</v>
      </c>
      <c r="O2961" s="1"/>
      <c r="P2961" s="11"/>
      <c r="Q2961" s="11"/>
      <c r="R2961" s="11"/>
      <c r="S2961" s="11"/>
      <c r="T2961" s="1"/>
      <c r="U2961" s="1"/>
      <c r="V2961" s="1"/>
      <c r="W2961" s="1"/>
      <c r="X2961" s="1"/>
      <c r="Y2961" s="1"/>
      <c r="Z2961" s="1"/>
    </row>
    <row r="2962" ht="18.0" customHeight="1">
      <c r="A2962" s="1">
        <v>10.0</v>
      </c>
      <c r="B2962" s="26" t="s">
        <v>2520</v>
      </c>
      <c r="C2962" s="1"/>
      <c r="D2962" s="1"/>
      <c r="E2962" s="29" t="s">
        <v>55</v>
      </c>
      <c r="F2962" s="15"/>
      <c r="G2962" s="16"/>
      <c r="H2962" s="22" t="s">
        <v>2521</v>
      </c>
      <c r="I2962" s="7"/>
      <c r="J2962" s="7" t="str">
        <f>IFERROR(LET(_xlpm.v,
VLOOKUP($I2962,'用語辞書'!$A:$B,COLUMN('用語辞書'!B$1),FALSE),
IF(_xlpm.v=0,"",_xlpm.v)
),"")</f>
        <v/>
      </c>
      <c r="K2962" s="17"/>
      <c r="L2962" s="17" t="b">
        <f>IF(OR(COUNTIF('クラス'!$A$1:$A$1262,$B2962)&gt;0,$B2962="",$M2962=""),"",True)</f>
        <v>1</v>
      </c>
      <c r="M2962" s="1" t="str">
        <f t="shared" si="30"/>
        <v>存在しない</v>
      </c>
      <c r="N2962" s="1" t="s">
        <v>29</v>
      </c>
      <c r="O2962" s="1"/>
      <c r="P2962" s="11"/>
      <c r="Q2962" s="11"/>
      <c r="R2962" s="11"/>
      <c r="S2962" s="11"/>
      <c r="T2962" s="1"/>
      <c r="U2962" s="1"/>
      <c r="V2962" s="1"/>
      <c r="W2962" s="1"/>
      <c r="X2962" s="1"/>
      <c r="Y2962" s="1"/>
      <c r="Z2962" s="1"/>
    </row>
    <row r="2963" ht="18.0" customHeight="1">
      <c r="A2963" s="1"/>
      <c r="B2963" s="1"/>
      <c r="C2963" s="1"/>
      <c r="D2963" s="1"/>
      <c r="E2963" s="14"/>
      <c r="F2963" s="15"/>
      <c r="G2963" s="16"/>
      <c r="H2963" s="11"/>
      <c r="I2963" s="7"/>
      <c r="J2963" s="7" t="str">
        <f>IFERROR(LET(_xlpm.v,
VLOOKUP($I2963,'用語辞書'!$A:$B,COLUMN('用語辞書'!B$1),FALSE),
IF(_xlpm.v=0,"",_xlpm.v)
),"")</f>
        <v/>
      </c>
      <c r="K2963" s="17"/>
      <c r="L2963" s="17" t="str">
        <f>IF(OR(COUNTIF('クラス'!$A$1:$A$1262,$B2963)&gt;0,$B2963="",$M2963=""),"",True)</f>
        <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26" t="s">
        <v>2522</v>
      </c>
      <c r="C2964" s="1"/>
      <c r="D2964" s="1"/>
      <c r="E2964" s="14"/>
      <c r="F2964" s="15"/>
      <c r="G2964" s="16"/>
      <c r="H2964" s="11"/>
      <c r="I2964" s="7"/>
      <c r="J2964" s="7" t="str">
        <f>IFERROR(LET(_xlpm.v,
VLOOKUP($I2964,'用語辞書'!$A:$B,COLUMN('用語辞書'!B$1),FALSE),
IF(_xlpm.v=0,"",_xlpm.v)
),"")</f>
        <v/>
      </c>
      <c r="K2964" s="17"/>
      <c r="L2964" s="17" t="str">
        <f>IF(OR(COUNTIF('クラス'!$A$1:$A$1262,$B2964)&gt;0,$B2964="",$M2964=""),"",True)</f>
        <v/>
      </c>
      <c r="M2964" s="1" t="str">
        <f>IF(COUNTIF($B$1:$C2951, $B2964), "", "存在しない")</f>
        <v>存在しない</v>
      </c>
      <c r="N2964" s="1" t="s">
        <v>29</v>
      </c>
      <c r="O2964" s="1"/>
      <c r="P2964" s="11"/>
      <c r="Q2964" s="11"/>
      <c r="R2964" s="11"/>
      <c r="S2964" s="11"/>
      <c r="T2964" s="1"/>
      <c r="U2964" s="1"/>
      <c r="V2964" s="1"/>
      <c r="W2964" s="1"/>
      <c r="X2964" s="1"/>
      <c r="Y2964" s="1"/>
      <c r="Z2964" s="1"/>
    </row>
    <row r="2965" ht="18.0" hidden="1" customHeight="1" outlineLevel="1">
      <c r="A2965" s="1">
        <v>1.0</v>
      </c>
      <c r="B2965" s="1"/>
      <c r="C2965" s="1"/>
      <c r="D2965" s="1"/>
      <c r="E2965" s="14"/>
      <c r="F2965" s="15"/>
      <c r="G2965" s="16"/>
      <c r="H2965" s="11"/>
      <c r="I2965" s="7"/>
      <c r="J2965" s="7" t="str">
        <f>IFERROR(LET(_xlpm.v,
VLOOKUP($I2965,'用語辞書'!$A:$B,COLUMN('用語辞書'!B$1),FALSE),
IF(_xlpm.v=0,"",_xlpm.v)
),"")</f>
        <v/>
      </c>
      <c r="K2965" s="17"/>
      <c r="L2965" s="17" t="str">
        <f>IF(OR(COUNTIF('クラス'!$A$1:$A$1262,$B2965)&gt;0,$B2965="",$M2965=""),"",True)</f>
        <v/>
      </c>
      <c r="M2965" s="1" t="str">
        <f t="shared" ref="M2965:M3084" si="31">IF(COUNTIF($B$1:$C2964,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2.0</v>
      </c>
      <c r="B2966" s="1"/>
      <c r="C2966" s="1"/>
      <c r="D2966" s="1"/>
      <c r="E2966" s="14"/>
      <c r="F2966" s="15"/>
      <c r="G2966" s="16"/>
      <c r="H2966" s="11"/>
      <c r="I2966" s="7"/>
      <c r="J2966" s="7" t="str">
        <f>IFERROR(LET(_xlpm.v,
VLOOKUP($I2966,'用語辞書'!$A:$B,COLUMN('用語辞書'!B$1),FALSE),
IF(_xlpm.v=0,"",_xlpm.v)
),"")</f>
        <v/>
      </c>
      <c r="K2966" s="17"/>
      <c r="L2966" s="17" t="str">
        <f>IF(OR(COUNTIF('クラス'!$A$1:$A$1262,$B2966)&gt;0,$B2966="",$M2966=""),"",True)</f>
        <v/>
      </c>
      <c r="M2966" s="1" t="str">
        <f t="shared" si="31"/>
        <v>存在しない</v>
      </c>
      <c r="N2966" s="1" t="s">
        <v>29</v>
      </c>
      <c r="O2966" s="1"/>
      <c r="P2966" s="11"/>
      <c r="Q2966" s="11"/>
      <c r="R2966" s="11"/>
      <c r="S2966" s="11"/>
      <c r="T2966" s="1"/>
      <c r="U2966" s="1"/>
      <c r="V2966" s="1"/>
      <c r="W2966" s="1"/>
      <c r="X2966" s="1"/>
      <c r="Y2966" s="1"/>
      <c r="Z2966" s="1"/>
    </row>
    <row r="2967" ht="18.0" hidden="1" customHeight="1" outlineLevel="1">
      <c r="A2967" s="1">
        <v>3.0</v>
      </c>
      <c r="B2967" s="1"/>
      <c r="C2967" s="1"/>
      <c r="D2967" s="1"/>
      <c r="E2967" s="14"/>
      <c r="F2967" s="15"/>
      <c r="G2967" s="16"/>
      <c r="H2967" s="11"/>
      <c r="I2967" s="7"/>
      <c r="J2967" s="7" t="str">
        <f>IFERROR(LET(_xlpm.v,
VLOOKUP($I2967,'用語辞書'!$A:$B,COLUMN('用語辞書'!B$1),FALSE),
IF(_xlpm.v=0,"",_xlpm.v)
),"")</f>
        <v/>
      </c>
      <c r="K2967" s="17"/>
      <c r="L2967" s="17" t="str">
        <f>IF(OR(COUNTIF('クラス'!$A$1:$A$1262,$B2967)&gt;0,$B2967="",$M2967=""),"",True)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4.0</v>
      </c>
      <c r="B2968" s="1"/>
      <c r="C2968" s="1"/>
      <c r="D2968" s="1"/>
      <c r="E2968" s="14"/>
      <c r="F2968" s="15"/>
      <c r="G2968" s="16"/>
      <c r="H2968" s="11"/>
      <c r="I2968" s="7"/>
      <c r="J2968" s="7" t="str">
        <f>IFERROR(LET(_xlpm.v,
VLOOKUP($I2968,'用語辞書'!$A:$B,COLUMN('用語辞書'!B$1),FALSE),
IF(_xlpm.v=0,"",_xlpm.v)
),"")</f>
        <v/>
      </c>
      <c r="K2968" s="17"/>
      <c r="L2968" s="17" t="str">
        <f>IF(OR(COUNTIF('クラス'!$A$1:$A$1262,$B2968)&gt;0,$B2968="",$M2968=""),"",True)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5.0</v>
      </c>
      <c r="B2969" s="1"/>
      <c r="C2969" s="1"/>
      <c r="D2969" s="1"/>
      <c r="E2969" s="14"/>
      <c r="F2969" s="15"/>
      <c r="G2969" s="16"/>
      <c r="H2969" s="11"/>
      <c r="I2969" s="7"/>
      <c r="J2969" s="7" t="str">
        <f>IFERROR(LET(_xlpm.v,
VLOOKUP($I2969,'用語辞書'!$A:$B,COLUMN('用語辞書'!B$1),FALSE),
IF(_xlpm.v=0,"",_xlpm.v)
),"")</f>
        <v/>
      </c>
      <c r="K2969" s="17"/>
      <c r="L2969" s="17" t="str">
        <f>IF(OR(COUNTIF('クラス'!$A$1:$A$1262,$B2969)&gt;0,$B2969="",$M2969=""),"",True)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6.0</v>
      </c>
      <c r="B2970" s="1"/>
      <c r="C2970" s="1"/>
      <c r="D2970" s="1"/>
      <c r="E2970" s="14"/>
      <c r="F2970" s="15"/>
      <c r="G2970" s="16"/>
      <c r="H2970" s="11"/>
      <c r="I2970" s="7"/>
      <c r="J2970" s="7" t="str">
        <f>IFERROR(LET(_xlpm.v,
VLOOKUP($I2970,'用語辞書'!$A:$B,COLUMN('用語辞書'!B$1),FALSE),
IF(_xlpm.v=0,"",_xlpm.v)
),"")</f>
        <v/>
      </c>
      <c r="K2970" s="17"/>
      <c r="L2970" s="17" t="str">
        <f>IF(OR(COUNTIF('クラス'!$A$1:$A$1262,$B2970)&gt;0,$B2970="",$M2970=""),"",True)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7.0</v>
      </c>
      <c r="B2971" s="1"/>
      <c r="C2971" s="1"/>
      <c r="D2971" s="1"/>
      <c r="E2971" s="14"/>
      <c r="F2971" s="15"/>
      <c r="G2971" s="16"/>
      <c r="H2971" s="11"/>
      <c r="I2971" s="7"/>
      <c r="J2971" s="7" t="str">
        <f>IFERROR(LET(_xlpm.v,
VLOOKUP($I2971,'用語辞書'!$A:$B,COLUMN('用語辞書'!B$1),FALSE),
IF(_xlpm.v=0,"",_xlpm.v)
),"")</f>
        <v/>
      </c>
      <c r="K2971" s="17"/>
      <c r="L2971" s="17" t="str">
        <f>IF(OR(COUNTIF('クラス'!$A$1:$A$1262,$B2971)&gt;0,$B2971="",$M2971=""),"",True)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8.0</v>
      </c>
      <c r="B2972" s="1"/>
      <c r="C2972" s="1"/>
      <c r="D2972" s="1"/>
      <c r="E2972" s="14"/>
      <c r="F2972" s="15"/>
      <c r="G2972" s="16"/>
      <c r="H2972" s="11"/>
      <c r="I2972" s="7"/>
      <c r="J2972" s="7" t="str">
        <f>IFERROR(LET(_xlpm.v,
VLOOKUP($I2972,'用語辞書'!$A:$B,COLUMN('用語辞書'!B$1),FALSE),
IF(_xlpm.v=0,"",_xlpm.v)
),"")</f>
        <v/>
      </c>
      <c r="K2972" s="17"/>
      <c r="L2972" s="17" t="str">
        <f>IF(OR(COUNTIF('クラス'!$A$1:$A$1262,$B2972)&gt;0,$B2972="",$M2972=""),"",True)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9.0</v>
      </c>
      <c r="B2973" s="1"/>
      <c r="C2973" s="1"/>
      <c r="D2973" s="1"/>
      <c r="E2973" s="14"/>
      <c r="F2973" s="15"/>
      <c r="G2973" s="16"/>
      <c r="H2973" s="11"/>
      <c r="I2973" s="7"/>
      <c r="J2973" s="7" t="str">
        <f>IFERROR(LET(_xlpm.v,
VLOOKUP($I2973,'用語辞書'!$A:$B,COLUMN('用語辞書'!B$1),FALSE),
IF(_xlpm.v=0,"",_xlpm.v)
),"")</f>
        <v/>
      </c>
      <c r="K2973" s="17"/>
      <c r="L2973" s="17" t="str">
        <f>IF(OR(COUNTIF('クラス'!$A$1:$A$1262,$B2973)&gt;0,$B2973="",$M2973=""),"",True)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10.0</v>
      </c>
      <c r="B2974" s="1"/>
      <c r="C2974" s="1"/>
      <c r="D2974" s="1"/>
      <c r="E2974" s="14"/>
      <c r="F2974" s="15"/>
      <c r="G2974" s="16"/>
      <c r="H2974" s="11"/>
      <c r="I2974" s="7"/>
      <c r="J2974" s="7" t="str">
        <f>IFERROR(LET(_xlpm.v,
VLOOKUP($I2974,'用語辞書'!$A:$B,COLUMN('用語辞書'!B$1),FALSE),
IF(_xlpm.v=0,"",_xlpm.v)
),"")</f>
        <v/>
      </c>
      <c r="K2974" s="17"/>
      <c r="L2974" s="17" t="str">
        <f>IF(OR(COUNTIF('クラス'!$A$1:$A$1262,$B2974)&gt;0,$B2974="",$M2974=""),"",True)</f>
        <v/>
      </c>
      <c r="M2974" s="1" t="str">
        <f t="shared" si="31"/>
        <v>存在しない</v>
      </c>
      <c r="N2974" s="1" t="s">
        <v>29</v>
      </c>
      <c r="O2974" s="1"/>
      <c r="P2974" s="11"/>
      <c r="Q2974" s="11"/>
      <c r="R2974" s="11"/>
      <c r="S2974" s="11"/>
      <c r="T2974" s="1"/>
      <c r="U2974" s="1"/>
      <c r="V2974" s="1"/>
      <c r="W2974" s="1"/>
      <c r="X2974" s="1"/>
      <c r="Y2974" s="1"/>
      <c r="Z2974" s="1"/>
    </row>
    <row r="2975" ht="18.0" customHeight="1" collapsed="1">
      <c r="A2975" s="1"/>
      <c r="B2975" s="1"/>
      <c r="C2975" s="26" t="s">
        <v>2523</v>
      </c>
      <c r="D2975" s="1"/>
      <c r="E2975" s="14"/>
      <c r="F2975" s="15"/>
      <c r="G2975" s="16"/>
      <c r="H2975" s="11"/>
      <c r="I2975" s="7"/>
      <c r="J2975" s="7" t="str">
        <f>IFERROR(LET(_xlpm.v,
VLOOKUP($I2975,'用語辞書'!$A:$B,COLUMN('用語辞書'!B$1),FALSE),
IF(_xlpm.v=0,"",_xlpm.v)
),"")</f>
        <v/>
      </c>
      <c r="K2975" s="17"/>
      <c r="L2975" s="17" t="str">
        <f>IF(OR(COUNTIF('クラス'!$A$1:$A$1262,$B2975)&gt;0,$B2975="",$M2975=""),"",True)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 r="A2976" s="1"/>
      <c r="B2976" s="26" t="s">
        <v>2524</v>
      </c>
      <c r="C2976" s="1"/>
      <c r="D2976" s="1"/>
      <c r="E2976" s="14"/>
      <c r="F2976" s="15"/>
      <c r="G2976" s="16"/>
      <c r="H2976" s="11"/>
      <c r="I2976" s="7"/>
      <c r="J2976" s="7" t="str">
        <f>IFERROR(LET(_xlpm.v,
VLOOKUP($I2976,'用語辞書'!$A:$B,COLUMN('用語辞書'!B$1),FALSE),
IF(_xlpm.v=0,"",_xlpm.v)
),"")</f>
        <v/>
      </c>
      <c r="K2976" s="17"/>
      <c r="L2976" s="17" t="str">
        <f>IF(OR(COUNTIF('クラス'!$A$1:$A$1262,$B2976)&gt;0,$B2976="",$M2976=""),"",True)</f>
        <v/>
      </c>
      <c r="M2976" s="1" t="str">
        <f t="shared" si="31"/>
        <v>存在しない</v>
      </c>
      <c r="N2976" s="1" t="s">
        <v>29</v>
      </c>
      <c r="O2976" s="1"/>
      <c r="P2976" s="11"/>
      <c r="Q2976" s="11"/>
      <c r="R2976" s="11"/>
      <c r="S2976" s="11"/>
      <c r="T2976" s="1"/>
      <c r="U2976" s="1"/>
      <c r="V2976" s="1"/>
      <c r="W2976" s="1"/>
      <c r="X2976" s="1"/>
      <c r="Y2976" s="1"/>
      <c r="Z2976" s="1"/>
    </row>
    <row r="2977" ht="18.0" hidden="1" customHeight="1" outlineLevel="1">
      <c r="A2977" s="26">
        <v>1.0</v>
      </c>
      <c r="B2977" s="26" t="s">
        <v>2525</v>
      </c>
      <c r="C2977" s="26" t="s">
        <v>33</v>
      </c>
      <c r="D2977" s="26">
        <v>50.0</v>
      </c>
      <c r="E2977" s="29" t="s">
        <v>2526</v>
      </c>
      <c r="F2977" s="15"/>
      <c r="G2977" s="16"/>
      <c r="H2977" s="11"/>
      <c r="I2977" s="7"/>
      <c r="J2977" s="7" t="str">
        <f>IFERROR(LET(_xlpm.v,
VLOOKUP($I2977,'用語辞書'!$A:$B,COLUMN('用語辞書'!B$1),FALSE),
IF(_xlpm.v=0,"",_xlpm.v)
),"")</f>
        <v/>
      </c>
      <c r="K2977" s="17"/>
      <c r="L2977" s="17" t="b">
        <f>IF(OR(COUNTIF('クラス'!$A$1:$A$1262,$B2977)&gt;0,$B2977="",$M2977=""),"",True)</f>
        <v>1</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2.0</v>
      </c>
      <c r="B2978" s="26" t="s">
        <v>2527</v>
      </c>
      <c r="C2978" s="26" t="s">
        <v>33</v>
      </c>
      <c r="D2978" s="26">
        <v>50.0</v>
      </c>
      <c r="E2978" s="29" t="s">
        <v>2528</v>
      </c>
      <c r="F2978" s="15"/>
      <c r="G2978" s="16"/>
      <c r="H2978" s="11"/>
      <c r="I2978" s="7"/>
      <c r="J2978" s="7" t="str">
        <f>IFERROR(LET(_xlpm.v,
VLOOKUP($I2978,'用語辞書'!$A:$B,COLUMN('用語辞書'!B$1),FALSE),
IF(_xlpm.v=0,"",_xlpm.v)
),"")</f>
        <v/>
      </c>
      <c r="K2978" s="17"/>
      <c r="L2978" s="17" t="b">
        <f>IF(OR(COUNTIF('クラス'!$A$1:$A$1262,$B2978)&gt;0,$B2978="",$M2978=""),"",True)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3.0</v>
      </c>
      <c r="B2979" s="26" t="s">
        <v>2529</v>
      </c>
      <c r="C2979" s="26" t="s">
        <v>55</v>
      </c>
      <c r="D2979" s="26" t="s">
        <v>2530</v>
      </c>
      <c r="E2979" s="14"/>
      <c r="F2979" s="15"/>
      <c r="G2979" s="16"/>
      <c r="H2979" s="11"/>
      <c r="I2979" s="7"/>
      <c r="J2979" s="7" t="str">
        <f>IFERROR(LET(_xlpm.v,
VLOOKUP($I2979,'用語辞書'!$A:$B,COLUMN('用語辞書'!B$1),FALSE),
IF(_xlpm.v=0,"",_xlpm.v)
),"")</f>
        <v/>
      </c>
      <c r="K2979" s="17"/>
      <c r="L2979" s="17" t="b">
        <f>IF(OR(COUNTIF('クラス'!$A$1:$A$1262,$B2979)&gt;0,$B2979="",$M2979=""),"",True)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4.0</v>
      </c>
      <c r="B2980" s="1"/>
      <c r="C2980" s="1"/>
      <c r="D2980" s="1"/>
      <c r="E2980" s="14"/>
      <c r="F2980" s="15"/>
      <c r="G2980" s="16"/>
      <c r="H2980" s="11"/>
      <c r="I2980" s="7"/>
      <c r="J2980" s="7" t="str">
        <f>IFERROR(LET(_xlpm.v,
VLOOKUP($I2980,'用語辞書'!$A:$B,COLUMN('用語辞書'!B$1),FALSE),
IF(_xlpm.v=0,"",_xlpm.v)
),"")</f>
        <v/>
      </c>
      <c r="K2980" s="17"/>
      <c r="L2980" s="17" t="str">
        <f>IF(OR(COUNTIF('クラス'!$A$1:$A$1262,$B2980)&gt;0,$B2980="",$M2980=""),"",True)</f>
        <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5.0</v>
      </c>
      <c r="B2981" s="26" t="s">
        <v>2531</v>
      </c>
      <c r="C2981" s="26" t="s">
        <v>33</v>
      </c>
      <c r="D2981" s="26">
        <v>50.0</v>
      </c>
      <c r="E2981" s="29" t="s">
        <v>2532</v>
      </c>
      <c r="F2981" s="15"/>
      <c r="G2981" s="16"/>
      <c r="H2981" s="11"/>
      <c r="I2981" s="7"/>
      <c r="J2981" s="7" t="str">
        <f>IFERROR(LET(_xlpm.v,
VLOOKUP($I2981,'用語辞書'!$A:$B,COLUMN('用語辞書'!B$1),FALSE),
IF(_xlpm.v=0,"",_xlpm.v)
),"")</f>
        <v/>
      </c>
      <c r="K2981" s="17"/>
      <c r="L2981" s="17" t="b">
        <f>IF(OR(COUNTIF('クラス'!$A$1:$A$1262,$B2981)&gt;0,$B2981="",$M2981=""),"",True)</f>
        <v>1</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6.0</v>
      </c>
      <c r="B2982" s="1"/>
      <c r="C2982" s="1"/>
      <c r="D2982" s="1"/>
      <c r="E2982" s="14"/>
      <c r="F2982" s="15"/>
      <c r="G2982" s="16"/>
      <c r="H2982" s="11"/>
      <c r="I2982" s="7"/>
      <c r="J2982" s="7" t="str">
        <f>IFERROR(LET(_xlpm.v,
VLOOKUP($I2982,'用語辞書'!$A:$B,COLUMN('用語辞書'!B$1),FALSE),
IF(_xlpm.v=0,"",_xlpm.v)
),"")</f>
        <v/>
      </c>
      <c r="K2982" s="17"/>
      <c r="L2982" s="17" t="str">
        <f>IF(OR(COUNTIF('クラス'!$A$1:$A$1262,$B2982)&gt;0,$B2982="",$M2982=""),"",True)</f>
        <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7.0</v>
      </c>
      <c r="B2983" s="26" t="s">
        <v>2533</v>
      </c>
      <c r="C2983" s="26" t="s">
        <v>33</v>
      </c>
      <c r="D2983" s="26">
        <v>60.0</v>
      </c>
      <c r="E2983" s="29" t="s">
        <v>2534</v>
      </c>
      <c r="F2983" s="15"/>
      <c r="G2983" s="16"/>
      <c r="H2983" s="11"/>
      <c r="I2983" s="7"/>
      <c r="J2983" s="7" t="str">
        <f>IFERROR(LET(_xlpm.v,
VLOOKUP($I2983,'用語辞書'!$A:$B,COLUMN('用語辞書'!B$1),FALSE),
IF(_xlpm.v=0,"",_xlpm.v)
),"")</f>
        <v/>
      </c>
      <c r="K2983" s="17"/>
      <c r="L2983" s="17" t="b">
        <f>IF(OR(COUNTIF('クラス'!$A$1:$A$1262,$B2983)&gt;0,$B2983="",$M2983=""),"",True)</f>
        <v>1</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8.0</v>
      </c>
      <c r="B2984" s="1"/>
      <c r="C2984" s="1"/>
      <c r="D2984" s="1"/>
      <c r="E2984" s="14"/>
      <c r="F2984" s="15"/>
      <c r="G2984" s="16"/>
      <c r="H2984" s="11"/>
      <c r="I2984" s="7"/>
      <c r="J2984" s="7" t="str">
        <f>IFERROR(LET(_xlpm.v,
VLOOKUP($I2984,'用語辞書'!$A:$B,COLUMN('用語辞書'!B$1),FALSE),
IF(_xlpm.v=0,"",_xlpm.v)
),"")</f>
        <v/>
      </c>
      <c r="K2984" s="17"/>
      <c r="L2984" s="17" t="str">
        <f>IF(OR(COUNTIF('クラス'!$A$1:$A$1262,$B2984)&gt;0,$B2984="",$M2984=""),"",True)</f>
        <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9.0</v>
      </c>
      <c r="B2985" s="26" t="s">
        <v>2535</v>
      </c>
      <c r="C2985" s="26" t="s">
        <v>33</v>
      </c>
      <c r="D2985" s="26">
        <v>60.0</v>
      </c>
      <c r="E2985" s="29" t="s">
        <v>2536</v>
      </c>
      <c r="F2985" s="15"/>
      <c r="G2985" s="16"/>
      <c r="H2985" s="11"/>
      <c r="I2985" s="7"/>
      <c r="J2985" s="7" t="str">
        <f>IFERROR(LET(_xlpm.v,
VLOOKUP($I2985,'用語辞書'!$A:$B,COLUMN('用語辞書'!B$1),FALSE),
IF(_xlpm.v=0,"",_xlpm.v)
),"")</f>
        <v/>
      </c>
      <c r="K2985" s="17"/>
      <c r="L2985" s="17" t="b">
        <f>IF(OR(COUNTIF('クラス'!$A$1:$A$1262,$B2985)&gt;0,$B2985="",$M2985=""),"",True)</f>
        <v>1</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10.0</v>
      </c>
      <c r="B2986" s="1"/>
      <c r="C2986" s="1"/>
      <c r="D2986" s="1"/>
      <c r="E2986" s="14"/>
      <c r="F2986" s="15"/>
      <c r="G2986" s="16"/>
      <c r="H2986" s="11"/>
      <c r="I2986" s="7"/>
      <c r="J2986" s="7" t="str">
        <f>IFERROR(LET(_xlpm.v,
VLOOKUP($I2986,'用語辞書'!$A:$B,COLUMN('用語辞書'!B$1),FALSE),
IF(_xlpm.v=0,"",_xlpm.v)
),"")</f>
        <v/>
      </c>
      <c r="K2986" s="17"/>
      <c r="L2986" s="17" t="str">
        <f>IF(OR(COUNTIF('クラス'!$A$1:$A$1262,$B2986)&gt;0,$B2986="",$M2986=""),"",True)</f>
        <v/>
      </c>
      <c r="M2986" s="1" t="str">
        <f t="shared" si="31"/>
        <v>存在しない</v>
      </c>
      <c r="N2986" s="1" t="s">
        <v>29</v>
      </c>
      <c r="O2986" s="1"/>
      <c r="P2986" s="11"/>
      <c r="Q2986" s="11"/>
      <c r="R2986" s="11"/>
      <c r="S2986" s="11"/>
      <c r="T2986" s="1"/>
      <c r="U2986" s="1"/>
      <c r="V2986" s="1"/>
      <c r="W2986" s="1"/>
      <c r="X2986" s="1"/>
      <c r="Y2986" s="1"/>
      <c r="Z2986" s="1"/>
    </row>
    <row r="2987" ht="18.0" customHeight="1" collapsed="1">
      <c r="A2987" s="1"/>
      <c r="B2987" s="1"/>
      <c r="C2987" s="1"/>
      <c r="D2987" s="1"/>
      <c r="E2987" s="14"/>
      <c r="F2987" s="15"/>
      <c r="G2987" s="16"/>
      <c r="H2987" s="11"/>
      <c r="I2987" s="7"/>
      <c r="J2987" s="7" t="str">
        <f>IFERROR(LET(_xlpm.v,
VLOOKUP($I2987,'用語辞書'!$A:$B,COLUMN('用語辞書'!B$1),FALSE),
IF(_xlpm.v=0,"",_xlpm.v)
),"")</f>
        <v/>
      </c>
      <c r="K2987" s="17"/>
      <c r="L2987" s="17" t="str">
        <f>IF(OR(COUNTIF('クラス'!$A$1:$A$1262,$B2987)&gt;0,$B2987="",$M2987=""),"",True)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 r="A2988" s="1"/>
      <c r="B2988" s="26" t="s">
        <v>2537</v>
      </c>
      <c r="C2988" s="1"/>
      <c r="D2988" s="1"/>
      <c r="E2988" s="14"/>
      <c r="F2988" s="15"/>
      <c r="G2988" s="16"/>
      <c r="H2988" s="11"/>
      <c r="I2988" s="7"/>
      <c r="J2988" s="7" t="str">
        <f>IFERROR(LET(_xlpm.v,
VLOOKUP($I2988,'用語辞書'!$A:$B,COLUMN('用語辞書'!B$1),FALSE),
IF(_xlpm.v=0,"",_xlpm.v)
),"")</f>
        <v/>
      </c>
      <c r="K2988" s="17"/>
      <c r="L2988" s="17" t="str">
        <f>IF(OR(COUNTIF('クラス'!$A$1:$A$1262,$B2988)&gt;0,$B2988="",$M2988=""),"",True)</f>
        <v/>
      </c>
      <c r="M2988" s="1" t="str">
        <f t="shared" si="31"/>
        <v>存在しない</v>
      </c>
      <c r="N2988" s="1" t="s">
        <v>29</v>
      </c>
      <c r="O2988" s="1"/>
      <c r="P2988" s="11"/>
      <c r="Q2988" s="11"/>
      <c r="R2988" s="11"/>
      <c r="S2988" s="11"/>
      <c r="T2988" s="1"/>
      <c r="U2988" s="1"/>
      <c r="V2988" s="1"/>
      <c r="W2988" s="1"/>
      <c r="X2988" s="1"/>
      <c r="Y2988" s="1"/>
      <c r="Z2988" s="1"/>
    </row>
    <row r="2989" ht="18.0" hidden="1" customHeight="1" outlineLevel="1">
      <c r="A2989" s="1">
        <v>1.0</v>
      </c>
      <c r="B2989" s="1"/>
      <c r="C2989" s="1"/>
      <c r="D2989" s="1"/>
      <c r="E2989" s="14"/>
      <c r="F2989" s="15"/>
      <c r="G2989" s="16"/>
      <c r="H2989" s="11"/>
      <c r="I2989" s="7"/>
      <c r="J2989" s="7" t="str">
        <f>IFERROR(LET(_xlpm.v,
VLOOKUP($I2989,'用語辞書'!$A:$B,COLUMN('用語辞書'!B$1),FALSE),
IF(_xlpm.v=0,"",_xlpm.v)
),"")</f>
        <v/>
      </c>
      <c r="K2989" s="17"/>
      <c r="L2989" s="17" t="str">
        <f>IF(OR(COUNTIF('クラス'!$A$1:$A$1262,$B2989)&gt;0,$B2989="",$M2989=""),"",True)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2.0</v>
      </c>
      <c r="B2990" s="1"/>
      <c r="C2990" s="1"/>
      <c r="D2990" s="1"/>
      <c r="E2990" s="14"/>
      <c r="F2990" s="15"/>
      <c r="G2990" s="16"/>
      <c r="H2990" s="11"/>
      <c r="I2990" s="7"/>
      <c r="J2990" s="7" t="str">
        <f>IFERROR(LET(_xlpm.v,
VLOOKUP($I2990,'用語辞書'!$A:$B,COLUMN('用語辞書'!B$1),FALSE),
IF(_xlpm.v=0,"",_xlpm.v)
),"")</f>
        <v/>
      </c>
      <c r="K2990" s="17"/>
      <c r="L2990" s="17" t="str">
        <f>IF(OR(COUNTIF('クラス'!$A$1:$A$1262,$B2990)&gt;0,$B2990="",$M2990=""),"",True)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3.0</v>
      </c>
      <c r="B2991" s="1"/>
      <c r="C2991" s="1"/>
      <c r="D2991" s="1"/>
      <c r="E2991" s="14"/>
      <c r="F2991" s="15"/>
      <c r="G2991" s="16"/>
      <c r="H2991" s="11"/>
      <c r="I2991" s="7"/>
      <c r="J2991" s="7" t="str">
        <f>IFERROR(LET(_xlpm.v,
VLOOKUP($I2991,'用語辞書'!$A:$B,COLUMN('用語辞書'!B$1),FALSE),
IF(_xlpm.v=0,"",_xlpm.v)
),"")</f>
        <v/>
      </c>
      <c r="K2991" s="17"/>
      <c r="L2991" s="17" t="str">
        <f>IF(OR(COUNTIF('クラス'!$A$1:$A$1262,$B2991)&gt;0,$B2991="",$M2991=""),"",True)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4.0</v>
      </c>
      <c r="B2992" s="1"/>
      <c r="C2992" s="1"/>
      <c r="D2992" s="1"/>
      <c r="E2992" s="14"/>
      <c r="F2992" s="15"/>
      <c r="G2992" s="16"/>
      <c r="H2992" s="11"/>
      <c r="I2992" s="7"/>
      <c r="J2992" s="7" t="str">
        <f>IFERROR(LET(_xlpm.v,
VLOOKUP($I2992,'用語辞書'!$A:$B,COLUMN('用語辞書'!B$1),FALSE),
IF(_xlpm.v=0,"",_xlpm.v)
),"")</f>
        <v/>
      </c>
      <c r="K2992" s="17"/>
      <c r="L2992" s="17" t="str">
        <f>IF(OR(COUNTIF('クラス'!$A$1:$A$1262,$B2992)&gt;0,$B2992="",$M2992=""),"",True)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5.0</v>
      </c>
      <c r="B2993" s="1"/>
      <c r="C2993" s="1"/>
      <c r="D2993" s="1"/>
      <c r="E2993" s="14"/>
      <c r="F2993" s="15"/>
      <c r="G2993" s="16"/>
      <c r="H2993" s="11"/>
      <c r="I2993" s="7"/>
      <c r="J2993" s="7" t="str">
        <f>IFERROR(LET(_xlpm.v,
VLOOKUP($I2993,'用語辞書'!$A:$B,COLUMN('用語辞書'!B$1),FALSE),
IF(_xlpm.v=0,"",_xlpm.v)
),"")</f>
        <v/>
      </c>
      <c r="K2993" s="17"/>
      <c r="L2993" s="17" t="str">
        <f>IF(OR(COUNTIF('クラス'!$A$1:$A$1262,$B2993)&gt;0,$B2993="",$M2993=""),"",True)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6.0</v>
      </c>
      <c r="B2994" s="1"/>
      <c r="C2994" s="1"/>
      <c r="D2994" s="1"/>
      <c r="E2994" s="14"/>
      <c r="F2994" s="15"/>
      <c r="G2994" s="16"/>
      <c r="H2994" s="11"/>
      <c r="I2994" s="7"/>
      <c r="J2994" s="7" t="str">
        <f>IFERROR(LET(_xlpm.v,
VLOOKUP($I2994,'用語辞書'!$A:$B,COLUMN('用語辞書'!B$1),FALSE),
IF(_xlpm.v=0,"",_xlpm.v)
),"")</f>
        <v/>
      </c>
      <c r="K2994" s="17"/>
      <c r="L2994" s="17" t="str">
        <f>IF(OR(COUNTIF('クラス'!$A$1:$A$1262,$B2994)&gt;0,$B2994="",$M2994=""),"",True)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7.0</v>
      </c>
      <c r="B2995" s="1"/>
      <c r="C2995" s="1"/>
      <c r="D2995" s="1"/>
      <c r="E2995" s="14"/>
      <c r="F2995" s="15"/>
      <c r="G2995" s="16"/>
      <c r="H2995" s="11"/>
      <c r="I2995" s="7"/>
      <c r="J2995" s="7" t="str">
        <f>IFERROR(LET(_xlpm.v,
VLOOKUP($I2995,'用語辞書'!$A:$B,COLUMN('用語辞書'!B$1),FALSE),
IF(_xlpm.v=0,"",_xlpm.v)
),"")</f>
        <v/>
      </c>
      <c r="K2995" s="17"/>
      <c r="L2995" s="17" t="str">
        <f>IF(OR(COUNTIF('クラス'!$A$1:$A$1262,$B2995)&gt;0,$B2995="",$M2995=""),"",True)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8.0</v>
      </c>
      <c r="B2996" s="1"/>
      <c r="C2996" s="1"/>
      <c r="D2996" s="1"/>
      <c r="E2996" s="14"/>
      <c r="F2996" s="15"/>
      <c r="G2996" s="16"/>
      <c r="H2996" s="11"/>
      <c r="I2996" s="7"/>
      <c r="J2996" s="7" t="str">
        <f>IFERROR(LET(_xlpm.v,
VLOOKUP($I2996,'用語辞書'!$A:$B,COLUMN('用語辞書'!B$1),FALSE),
IF(_xlpm.v=0,"",_xlpm.v)
),"")</f>
        <v/>
      </c>
      <c r="K2996" s="17"/>
      <c r="L2996" s="17" t="str">
        <f>IF(OR(COUNTIF('クラス'!$A$1:$A$1262,$B2996)&gt;0,$B2996="",$M2996=""),"",True)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9.0</v>
      </c>
      <c r="B2997" s="1"/>
      <c r="C2997" s="1"/>
      <c r="D2997" s="1"/>
      <c r="E2997" s="14"/>
      <c r="F2997" s="15"/>
      <c r="G2997" s="16"/>
      <c r="H2997" s="11"/>
      <c r="I2997" s="7"/>
      <c r="J2997" s="7" t="str">
        <f>IFERROR(LET(_xlpm.v,
VLOOKUP($I2997,'用語辞書'!$A:$B,COLUMN('用語辞書'!B$1),FALSE),
IF(_xlpm.v=0,"",_xlpm.v)
),"")</f>
        <v/>
      </c>
      <c r="K2997" s="17"/>
      <c r="L2997" s="17" t="str">
        <f>IF(OR(COUNTIF('クラス'!$A$1:$A$1262,$B2997)&gt;0,$B2997="",$M2997=""),"",True)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10.0</v>
      </c>
      <c r="B2998" s="1"/>
      <c r="C2998" s="1"/>
      <c r="D2998" s="1"/>
      <c r="E2998" s="14"/>
      <c r="F2998" s="15"/>
      <c r="G2998" s="16"/>
      <c r="H2998" s="11"/>
      <c r="I2998" s="7"/>
      <c r="J2998" s="7" t="str">
        <f>IFERROR(LET(_xlpm.v,
VLOOKUP($I2998,'用語辞書'!$A:$B,COLUMN('用語辞書'!B$1),FALSE),
IF(_xlpm.v=0,"",_xlpm.v)
),"")</f>
        <v/>
      </c>
      <c r="K2998" s="17"/>
      <c r="L2998" s="17" t="str">
        <f>IF(OR(COUNTIF('クラス'!$A$1:$A$1262,$B2998)&gt;0,$B2998="",$M2998=""),"",True)</f>
        <v/>
      </c>
      <c r="M2998" s="1" t="str">
        <f t="shared" si="31"/>
        <v>存在しない</v>
      </c>
      <c r="N2998" s="1" t="s">
        <v>29</v>
      </c>
      <c r="O2998" s="1"/>
      <c r="P2998" s="11"/>
      <c r="Q2998" s="11"/>
      <c r="R2998" s="11"/>
      <c r="S2998" s="11"/>
      <c r="T2998" s="1"/>
      <c r="U2998" s="1"/>
      <c r="V2998" s="1"/>
      <c r="W2998" s="1"/>
      <c r="X2998" s="1"/>
      <c r="Y2998" s="1"/>
      <c r="Z2998" s="1"/>
    </row>
    <row r="2999" ht="18.0" customHeight="1" collapsed="1">
      <c r="A2999" s="1"/>
      <c r="B2999" s="1"/>
      <c r="C2999" s="1"/>
      <c r="D2999" s="1"/>
      <c r="E2999" s="14"/>
      <c r="F2999" s="15"/>
      <c r="G2999" s="16"/>
      <c r="H2999" s="11"/>
      <c r="I2999" s="7"/>
      <c r="J2999" s="7" t="str">
        <f>IFERROR(LET(_xlpm.v,
VLOOKUP($I2999,'用語辞書'!$A:$B,COLUMN('用語辞書'!B$1),FALSE),
IF(_xlpm.v=0,"",_xlpm.v)
),"")</f>
        <v/>
      </c>
      <c r="K2999" s="17"/>
      <c r="L2999" s="17" t="str">
        <f>IF(OR(COUNTIF('クラス'!$A$1:$A$1262,$B2999)&gt;0,$B2999="",$M2999=""),"",True)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 r="A3000" s="1"/>
      <c r="B3000" s="26" t="s">
        <v>2538</v>
      </c>
      <c r="C3000" s="1"/>
      <c r="D3000" s="1"/>
      <c r="E3000" s="14"/>
      <c r="F3000" s="15"/>
      <c r="G3000" s="16"/>
      <c r="H3000" s="11"/>
      <c r="I3000" s="7"/>
      <c r="J3000" s="7" t="str">
        <f>IFERROR(LET(_xlpm.v,
VLOOKUP($I3000,'用語辞書'!$A:$B,COLUMN('用語辞書'!B$1),FALSE),
IF(_xlpm.v=0,"",_xlpm.v)
),"")</f>
        <v/>
      </c>
      <c r="K3000" s="17"/>
      <c r="L3000" s="17" t="str">
        <f>IF(OR(COUNTIF('クラス'!$A$1:$A$1262,$B3000)&gt;0,$B3000="",$M3000=""),"",True)</f>
        <v/>
      </c>
      <c r="M3000" s="1" t="str">
        <f t="shared" si="31"/>
        <v>存在しない</v>
      </c>
      <c r="N3000" s="1" t="s">
        <v>29</v>
      </c>
      <c r="O3000" s="1"/>
      <c r="P3000" s="11"/>
      <c r="Q3000" s="11"/>
      <c r="R3000" s="11"/>
      <c r="S3000" s="11"/>
      <c r="T3000" s="1"/>
      <c r="U3000" s="1"/>
      <c r="V3000" s="1"/>
      <c r="W3000" s="1"/>
      <c r="X3000" s="1"/>
      <c r="Y3000" s="1"/>
      <c r="Z3000" s="1"/>
    </row>
    <row r="3001" ht="18.0" hidden="1" customHeight="1" outlineLevel="1">
      <c r="A3001" s="1">
        <v>1.0</v>
      </c>
      <c r="B3001" s="1"/>
      <c r="C3001" s="1"/>
      <c r="D3001" s="1"/>
      <c r="E3001" s="14"/>
      <c r="F3001" s="15"/>
      <c r="G3001" s="16"/>
      <c r="H3001" s="11"/>
      <c r="I3001" s="7"/>
      <c r="J3001" s="7" t="str">
        <f>IFERROR(LET(_xlpm.v,
VLOOKUP($I3001,'用語辞書'!$A:$B,COLUMN('用語辞書'!B$1),FALSE),
IF(_xlpm.v=0,"",_xlpm.v)
),"")</f>
        <v/>
      </c>
      <c r="K3001" s="17"/>
      <c r="L3001" s="17" t="str">
        <f>IF(OR(COUNTIF('クラス'!$A$1:$A$1262,$B3001)&gt;0,$B3001="",$M3001=""),"",True)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2.0</v>
      </c>
      <c r="B3002" s="1"/>
      <c r="C3002" s="1"/>
      <c r="D3002" s="1"/>
      <c r="E3002" s="14"/>
      <c r="F3002" s="15"/>
      <c r="G3002" s="16"/>
      <c r="H3002" s="11"/>
      <c r="I3002" s="7"/>
      <c r="J3002" s="7" t="str">
        <f>IFERROR(LET(_xlpm.v,
VLOOKUP($I3002,'用語辞書'!$A:$B,COLUMN('用語辞書'!B$1),FALSE),
IF(_xlpm.v=0,"",_xlpm.v)
),"")</f>
        <v/>
      </c>
      <c r="K3002" s="17"/>
      <c r="L3002" s="17" t="str">
        <f>IF(OR(COUNTIF('クラス'!$A$1:$A$1262,$B3002)&gt;0,$B3002="",$M3002=""),"",True)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3.0</v>
      </c>
      <c r="B3003" s="1"/>
      <c r="C3003" s="1"/>
      <c r="D3003" s="1"/>
      <c r="E3003" s="14"/>
      <c r="F3003" s="15"/>
      <c r="G3003" s="16"/>
      <c r="H3003" s="11"/>
      <c r="I3003" s="7"/>
      <c r="J3003" s="7" t="str">
        <f>IFERROR(LET(_xlpm.v,
VLOOKUP($I3003,'用語辞書'!$A:$B,COLUMN('用語辞書'!B$1),FALSE),
IF(_xlpm.v=0,"",_xlpm.v)
),"")</f>
        <v/>
      </c>
      <c r="K3003" s="17"/>
      <c r="L3003" s="17" t="str">
        <f>IF(OR(COUNTIF('クラス'!$A$1:$A$1262,$B3003)&gt;0,$B3003="",$M3003=""),"",True)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4.0</v>
      </c>
      <c r="B3004" s="1"/>
      <c r="C3004" s="1"/>
      <c r="D3004" s="1"/>
      <c r="E3004" s="14"/>
      <c r="F3004" s="15"/>
      <c r="G3004" s="16"/>
      <c r="H3004" s="11"/>
      <c r="I3004" s="7"/>
      <c r="J3004" s="7" t="str">
        <f>IFERROR(LET(_xlpm.v,
VLOOKUP($I3004,'用語辞書'!$A:$B,COLUMN('用語辞書'!B$1),FALSE),
IF(_xlpm.v=0,"",_xlpm.v)
),"")</f>
        <v/>
      </c>
      <c r="K3004" s="17"/>
      <c r="L3004" s="17" t="str">
        <f>IF(OR(COUNTIF('クラス'!$A$1:$A$1262,$B3004)&gt;0,$B3004="",$M3004=""),"",True)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5.0</v>
      </c>
      <c r="B3005" s="1"/>
      <c r="C3005" s="1"/>
      <c r="D3005" s="1"/>
      <c r="E3005" s="14"/>
      <c r="F3005" s="15"/>
      <c r="G3005" s="16"/>
      <c r="H3005" s="11"/>
      <c r="I3005" s="7"/>
      <c r="J3005" s="7" t="str">
        <f>IFERROR(LET(_xlpm.v,
VLOOKUP($I3005,'用語辞書'!$A:$B,COLUMN('用語辞書'!B$1),FALSE),
IF(_xlpm.v=0,"",_xlpm.v)
),"")</f>
        <v/>
      </c>
      <c r="K3005" s="17"/>
      <c r="L3005" s="17" t="str">
        <f>IF(OR(COUNTIF('クラス'!$A$1:$A$1262,$B3005)&gt;0,$B3005="",$M3005=""),"",True)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6.0</v>
      </c>
      <c r="B3006" s="1"/>
      <c r="C3006" s="1"/>
      <c r="D3006" s="1"/>
      <c r="E3006" s="14"/>
      <c r="F3006" s="15"/>
      <c r="G3006" s="16"/>
      <c r="H3006" s="11"/>
      <c r="I3006" s="7"/>
      <c r="J3006" s="7" t="str">
        <f>IFERROR(LET(_xlpm.v,
VLOOKUP($I3006,'用語辞書'!$A:$B,COLUMN('用語辞書'!B$1),FALSE),
IF(_xlpm.v=0,"",_xlpm.v)
),"")</f>
        <v/>
      </c>
      <c r="K3006" s="17"/>
      <c r="L3006" s="17" t="str">
        <f>IF(OR(COUNTIF('クラス'!$A$1:$A$1262,$B3006)&gt;0,$B3006="",$M3006=""),"",True)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7.0</v>
      </c>
      <c r="B3007" s="1"/>
      <c r="C3007" s="1"/>
      <c r="D3007" s="1"/>
      <c r="E3007" s="14"/>
      <c r="F3007" s="15"/>
      <c r="G3007" s="16"/>
      <c r="H3007" s="11"/>
      <c r="I3007" s="7"/>
      <c r="J3007" s="7" t="str">
        <f>IFERROR(LET(_xlpm.v,
VLOOKUP($I3007,'用語辞書'!$A:$B,COLUMN('用語辞書'!B$1),FALSE),
IF(_xlpm.v=0,"",_xlpm.v)
),"")</f>
        <v/>
      </c>
      <c r="K3007" s="17"/>
      <c r="L3007" s="17" t="str">
        <f>IF(OR(COUNTIF('クラス'!$A$1:$A$1262,$B3007)&gt;0,$B3007="",$M3007=""),"",True)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8.0</v>
      </c>
      <c r="B3008" s="1"/>
      <c r="C3008" s="1"/>
      <c r="D3008" s="1"/>
      <c r="E3008" s="14"/>
      <c r="F3008" s="15"/>
      <c r="G3008" s="16"/>
      <c r="H3008" s="11"/>
      <c r="I3008" s="7"/>
      <c r="J3008" s="7" t="str">
        <f>IFERROR(LET(_xlpm.v,
VLOOKUP($I3008,'用語辞書'!$A:$B,COLUMN('用語辞書'!B$1),FALSE),
IF(_xlpm.v=0,"",_xlpm.v)
),"")</f>
        <v/>
      </c>
      <c r="K3008" s="17"/>
      <c r="L3008" s="17" t="str">
        <f>IF(OR(COUNTIF('クラス'!$A$1:$A$1262,$B3008)&gt;0,$B3008="",$M3008=""),"",True)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9.0</v>
      </c>
      <c r="B3009" s="1"/>
      <c r="C3009" s="1"/>
      <c r="D3009" s="1"/>
      <c r="E3009" s="14"/>
      <c r="F3009" s="15"/>
      <c r="G3009" s="16"/>
      <c r="H3009" s="11"/>
      <c r="I3009" s="7"/>
      <c r="J3009" s="7" t="str">
        <f>IFERROR(LET(_xlpm.v,
VLOOKUP($I3009,'用語辞書'!$A:$B,COLUMN('用語辞書'!B$1),FALSE),
IF(_xlpm.v=0,"",_xlpm.v)
),"")</f>
        <v/>
      </c>
      <c r="K3009" s="17"/>
      <c r="L3009" s="17" t="str">
        <f>IF(OR(COUNTIF('クラス'!$A$1:$A$1262,$B3009)&gt;0,$B3009="",$M3009=""),"",True)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10.0</v>
      </c>
      <c r="B3010" s="1"/>
      <c r="C3010" s="1"/>
      <c r="D3010" s="1"/>
      <c r="E3010" s="14"/>
      <c r="F3010" s="15"/>
      <c r="G3010" s="16"/>
      <c r="H3010" s="11"/>
      <c r="I3010" s="7"/>
      <c r="J3010" s="7" t="str">
        <f>IFERROR(LET(_xlpm.v,
VLOOKUP($I3010,'用語辞書'!$A:$B,COLUMN('用語辞書'!B$1),FALSE),
IF(_xlpm.v=0,"",_xlpm.v)
),"")</f>
        <v/>
      </c>
      <c r="K3010" s="17"/>
      <c r="L3010" s="17" t="str">
        <f>IF(OR(COUNTIF('クラス'!$A$1:$A$1262,$B3010)&gt;0,$B3010="",$M3010=""),"",True)</f>
        <v/>
      </c>
      <c r="M3010" s="1" t="str">
        <f t="shared" si="31"/>
        <v>存在しない</v>
      </c>
      <c r="N3010" s="1" t="s">
        <v>29</v>
      </c>
      <c r="O3010" s="1"/>
      <c r="P3010" s="11"/>
      <c r="Q3010" s="11"/>
      <c r="R3010" s="11"/>
      <c r="S3010" s="11"/>
      <c r="T3010" s="1"/>
      <c r="U3010" s="1"/>
      <c r="V3010" s="1"/>
      <c r="W3010" s="1"/>
      <c r="X3010" s="1"/>
      <c r="Y3010" s="1"/>
      <c r="Z3010" s="1"/>
    </row>
    <row r="3011" ht="18.0" customHeight="1" collapsed="1">
      <c r="A3011" s="1"/>
      <c r="B3011" s="1"/>
      <c r="C3011" s="26" t="s">
        <v>2539</v>
      </c>
      <c r="D3011" s="1"/>
      <c r="E3011" s="14"/>
      <c r="F3011" s="15"/>
      <c r="G3011" s="16"/>
      <c r="H3011" s="11"/>
      <c r="I3011" s="7"/>
      <c r="J3011" s="7" t="str">
        <f>IFERROR(LET(_xlpm.v,
VLOOKUP($I3011,'用語辞書'!$A:$B,COLUMN('用語辞書'!B$1),FALSE),
IF(_xlpm.v=0,"",_xlpm.v)
),"")</f>
        <v/>
      </c>
      <c r="K3011" s="17"/>
      <c r="L3011" s="17" t="str">
        <f>IF(OR(COUNTIF('クラス'!$A$1:$A$1262,$B3011)&gt;0,$B3011="",$M3011=""),"",True)</f>
        <v/>
      </c>
      <c r="M3011" s="1" t="str">
        <f t="shared" si="31"/>
        <v>存在しない</v>
      </c>
      <c r="N3011" s="1" t="s">
        <v>29</v>
      </c>
      <c r="O3011" s="1"/>
      <c r="P3011" s="11"/>
      <c r="Q3011" s="11"/>
      <c r="R3011" s="11"/>
      <c r="S3011" s="11"/>
      <c r="T3011" s="1"/>
      <c r="U3011" s="1"/>
      <c r="V3011" s="1"/>
      <c r="W3011" s="1"/>
      <c r="X3011" s="1"/>
      <c r="Y3011" s="1"/>
      <c r="Z3011" s="1"/>
    </row>
    <row r="3012" ht="18.0" hidden="1" customHeight="1" outlineLevel="1">
      <c r="A3012" s="1"/>
      <c r="B3012" s="26" t="s">
        <v>2540</v>
      </c>
      <c r="C3012" s="1"/>
      <c r="D3012" s="1"/>
      <c r="E3012" s="14"/>
      <c r="F3012" s="15"/>
      <c r="G3012" s="16"/>
      <c r="H3012" s="11"/>
      <c r="I3012" s="7"/>
      <c r="J3012" s="7" t="str">
        <f>IFERROR(LET(_xlpm.v,
VLOOKUP($I3012,'用語辞書'!$A:$B,COLUMN('用語辞書'!B$1),FALSE),
IF(_xlpm.v=0,"",_xlpm.v)
),"")</f>
        <v/>
      </c>
      <c r="K3012" s="17"/>
      <c r="L3012" s="17" t="str">
        <f>IF(OR(COUNTIF('クラス'!$A$1:$A$1262,$B3012)&gt;0,$B3012="",$M3012=""),"",True)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2">
      <c r="A3013" s="1">
        <v>1.0</v>
      </c>
      <c r="B3013" s="1"/>
      <c r="C3013" s="1"/>
      <c r="D3013" s="1"/>
      <c r="E3013" s="14"/>
      <c r="F3013" s="15"/>
      <c r="G3013" s="16"/>
      <c r="H3013" s="11"/>
      <c r="I3013" s="7"/>
      <c r="J3013" s="7" t="str">
        <f>IFERROR(LET(_xlpm.v,
VLOOKUP($I3013,'用語辞書'!$A:$B,COLUMN('用語辞書'!B$1),FALSE),
IF(_xlpm.v=0,"",_xlpm.v)
),"")</f>
        <v/>
      </c>
      <c r="K3013" s="17"/>
      <c r="L3013" s="17" t="str">
        <f>IF(OR(COUNTIF('クラス'!$A$1:$A$1262,$B3013)&gt;0,$B3013="",$M3013=""),"",True)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2.0</v>
      </c>
      <c r="B3014" s="1"/>
      <c r="C3014" s="1"/>
      <c r="D3014" s="1"/>
      <c r="E3014" s="14"/>
      <c r="F3014" s="15"/>
      <c r="G3014" s="16"/>
      <c r="H3014" s="11"/>
      <c r="I3014" s="7"/>
      <c r="J3014" s="7" t="str">
        <f>IFERROR(LET(_xlpm.v,
VLOOKUP($I3014,'用語辞書'!$A:$B,COLUMN('用語辞書'!B$1),FALSE),
IF(_xlpm.v=0,"",_xlpm.v)
),"")</f>
        <v/>
      </c>
      <c r="K3014" s="17"/>
      <c r="L3014" s="17" t="str">
        <f>IF(OR(COUNTIF('クラス'!$A$1:$A$1262,$B3014)&gt;0,$B3014="",$M3014=""),"",True)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3.0</v>
      </c>
      <c r="B3015" s="1"/>
      <c r="C3015" s="1"/>
      <c r="D3015" s="1"/>
      <c r="E3015" s="14"/>
      <c r="F3015" s="15"/>
      <c r="G3015" s="16"/>
      <c r="H3015" s="11"/>
      <c r="I3015" s="7"/>
      <c r="J3015" s="7" t="str">
        <f>IFERROR(LET(_xlpm.v,
VLOOKUP($I3015,'用語辞書'!$A:$B,COLUMN('用語辞書'!B$1),FALSE),
IF(_xlpm.v=0,"",_xlpm.v)
),"")</f>
        <v/>
      </c>
      <c r="K3015" s="17"/>
      <c r="L3015" s="17" t="str">
        <f>IF(OR(COUNTIF('クラス'!$A$1:$A$1262,$B3015)&gt;0,$B3015="",$M3015=""),"",True)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4.0</v>
      </c>
      <c r="B3016" s="1"/>
      <c r="C3016" s="1"/>
      <c r="D3016" s="1"/>
      <c r="E3016" s="14"/>
      <c r="F3016" s="15"/>
      <c r="G3016" s="16"/>
      <c r="H3016" s="11"/>
      <c r="I3016" s="7"/>
      <c r="J3016" s="7" t="str">
        <f>IFERROR(LET(_xlpm.v,
VLOOKUP($I3016,'用語辞書'!$A:$B,COLUMN('用語辞書'!B$1),FALSE),
IF(_xlpm.v=0,"",_xlpm.v)
),"")</f>
        <v/>
      </c>
      <c r="K3016" s="17"/>
      <c r="L3016" s="17" t="str">
        <f>IF(OR(COUNTIF('クラス'!$A$1:$A$1262,$B3016)&gt;0,$B3016="",$M3016=""),"",True)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5.0</v>
      </c>
      <c r="B3017" s="1"/>
      <c r="C3017" s="1"/>
      <c r="D3017" s="1"/>
      <c r="E3017" s="14"/>
      <c r="F3017" s="15"/>
      <c r="G3017" s="16"/>
      <c r="H3017" s="11"/>
      <c r="I3017" s="7"/>
      <c r="J3017" s="7" t="str">
        <f>IFERROR(LET(_xlpm.v,
VLOOKUP($I3017,'用語辞書'!$A:$B,COLUMN('用語辞書'!B$1),FALSE),
IF(_xlpm.v=0,"",_xlpm.v)
),"")</f>
        <v/>
      </c>
      <c r="K3017" s="17"/>
      <c r="L3017" s="17" t="str">
        <f>IF(OR(COUNTIF('クラス'!$A$1:$A$1262,$B3017)&gt;0,$B3017="",$M3017=""),"",True)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6.0</v>
      </c>
      <c r="B3018" s="1"/>
      <c r="C3018" s="1"/>
      <c r="D3018" s="1"/>
      <c r="E3018" s="14"/>
      <c r="F3018" s="15"/>
      <c r="G3018" s="16"/>
      <c r="H3018" s="11"/>
      <c r="I3018" s="7"/>
      <c r="J3018" s="7" t="str">
        <f>IFERROR(LET(_xlpm.v,
VLOOKUP($I3018,'用語辞書'!$A:$B,COLUMN('用語辞書'!B$1),FALSE),
IF(_xlpm.v=0,"",_xlpm.v)
),"")</f>
        <v/>
      </c>
      <c r="K3018" s="17"/>
      <c r="L3018" s="17" t="str">
        <f>IF(OR(COUNTIF('クラス'!$A$1:$A$1262,$B3018)&gt;0,$B3018="",$M3018=""),"",True)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7.0</v>
      </c>
      <c r="B3019" s="1"/>
      <c r="C3019" s="1"/>
      <c r="D3019" s="1"/>
      <c r="E3019" s="14"/>
      <c r="F3019" s="15"/>
      <c r="G3019" s="16"/>
      <c r="H3019" s="11"/>
      <c r="I3019" s="7"/>
      <c r="J3019" s="7" t="str">
        <f>IFERROR(LET(_xlpm.v,
VLOOKUP($I3019,'用語辞書'!$A:$B,COLUMN('用語辞書'!B$1),FALSE),
IF(_xlpm.v=0,"",_xlpm.v)
),"")</f>
        <v/>
      </c>
      <c r="K3019" s="17"/>
      <c r="L3019" s="17" t="str">
        <f>IF(OR(COUNTIF('クラス'!$A$1:$A$1262,$B3019)&gt;0,$B3019="",$M3019=""),"",True)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8.0</v>
      </c>
      <c r="B3020" s="1"/>
      <c r="C3020" s="1"/>
      <c r="D3020" s="1"/>
      <c r="E3020" s="14"/>
      <c r="F3020" s="15"/>
      <c r="G3020" s="16"/>
      <c r="H3020" s="11"/>
      <c r="I3020" s="7"/>
      <c r="J3020" s="7" t="str">
        <f>IFERROR(LET(_xlpm.v,
VLOOKUP($I3020,'用語辞書'!$A:$B,COLUMN('用語辞書'!B$1),FALSE),
IF(_xlpm.v=0,"",_xlpm.v)
),"")</f>
        <v/>
      </c>
      <c r="K3020" s="17"/>
      <c r="L3020" s="17" t="str">
        <f>IF(OR(COUNTIF('クラス'!$A$1:$A$1262,$B3020)&gt;0,$B3020="",$M3020=""),"",True)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9.0</v>
      </c>
      <c r="B3021" s="1"/>
      <c r="C3021" s="1"/>
      <c r="D3021" s="1"/>
      <c r="E3021" s="14"/>
      <c r="F3021" s="15"/>
      <c r="G3021" s="16"/>
      <c r="H3021" s="11"/>
      <c r="I3021" s="7"/>
      <c r="J3021" s="7" t="str">
        <f>IFERROR(LET(_xlpm.v,
VLOOKUP($I3021,'用語辞書'!$A:$B,COLUMN('用語辞書'!B$1),FALSE),
IF(_xlpm.v=0,"",_xlpm.v)
),"")</f>
        <v/>
      </c>
      <c r="K3021" s="17"/>
      <c r="L3021" s="17" t="str">
        <f>IF(OR(COUNTIF('クラス'!$A$1:$A$1262,$B3021)&gt;0,$B3021="",$M3021=""),"",True)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10.0</v>
      </c>
      <c r="B3022" s="1"/>
      <c r="C3022" s="1"/>
      <c r="D3022" s="1"/>
      <c r="E3022" s="14"/>
      <c r="F3022" s="15"/>
      <c r="G3022" s="16"/>
      <c r="H3022" s="11"/>
      <c r="I3022" s="7"/>
      <c r="J3022" s="7" t="str">
        <f>IFERROR(LET(_xlpm.v,
VLOOKUP($I3022,'用語辞書'!$A:$B,COLUMN('用語辞書'!B$1),FALSE),
IF(_xlpm.v=0,"",_xlpm.v)
),"")</f>
        <v/>
      </c>
      <c r="K3022" s="17"/>
      <c r="L3022" s="17" t="str">
        <f>IF(OR(COUNTIF('クラス'!$A$1:$A$1262,$B3022)&gt;0,$B3022="",$M3022=""),"",True)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1">
      <c r="A3023" s="1"/>
      <c r="B3023" s="1"/>
      <c r="C3023" s="1"/>
      <c r="D3023" s="1"/>
      <c r="E3023" s="14"/>
      <c r="F3023" s="15"/>
      <c r="G3023" s="16"/>
      <c r="H3023" s="11"/>
      <c r="I3023" s="7"/>
      <c r="J3023" s="7" t="str">
        <f>IFERROR(LET(_xlpm.v,
VLOOKUP($I3023,'用語辞書'!$A:$B,COLUMN('用語辞書'!B$1),FALSE),
IF(_xlpm.v=0,"",_xlpm.v)
),"")</f>
        <v/>
      </c>
      <c r="K3023" s="17"/>
      <c r="L3023" s="17" t="str">
        <f>IF(OR(COUNTIF('クラス'!$A$1:$A$1262,$B3023)&gt;0,$B3023="",$M3023=""),"",True)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26" t="s">
        <v>2541</v>
      </c>
      <c r="C3024" s="1"/>
      <c r="D3024" s="1"/>
      <c r="E3024" s="14"/>
      <c r="F3024" s="15"/>
      <c r="G3024" s="16"/>
      <c r="H3024" s="11"/>
      <c r="I3024" s="7"/>
      <c r="J3024" s="7" t="str">
        <f>IFERROR(LET(_xlpm.v,
VLOOKUP($I3024,'用語辞書'!$A:$B,COLUMN('用語辞書'!B$1),FALSE),
IF(_xlpm.v=0,"",_xlpm.v)
),"")</f>
        <v/>
      </c>
      <c r="K3024" s="17"/>
      <c r="L3024" s="17" t="str">
        <f>IF(OR(COUNTIF('クラス'!$A$1:$A$1262,$B3024)&gt;0,$B3024="",$M3024=""),"",True)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2">
      <c r="A3025" s="1">
        <v>1.0</v>
      </c>
      <c r="B3025" s="1"/>
      <c r="C3025" s="1"/>
      <c r="D3025" s="1"/>
      <c r="E3025" s="14"/>
      <c r="F3025" s="15"/>
      <c r="G3025" s="16"/>
      <c r="H3025" s="11"/>
      <c r="I3025" s="7"/>
      <c r="J3025" s="7" t="str">
        <f>IFERROR(LET(_xlpm.v,
VLOOKUP($I3025,'用語辞書'!$A:$B,COLUMN('用語辞書'!B$1),FALSE),
IF(_xlpm.v=0,"",_xlpm.v)
),"")</f>
        <v/>
      </c>
      <c r="K3025" s="17"/>
      <c r="L3025" s="17" t="str">
        <f>IF(OR(COUNTIF('クラス'!$A$1:$A$1262,$B3025)&gt;0,$B3025="",$M3025=""),"",True)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2.0</v>
      </c>
      <c r="B3026" s="1"/>
      <c r="C3026" s="1"/>
      <c r="D3026" s="1"/>
      <c r="E3026" s="14"/>
      <c r="F3026" s="15"/>
      <c r="G3026" s="16"/>
      <c r="H3026" s="11"/>
      <c r="I3026" s="7"/>
      <c r="J3026" s="7" t="str">
        <f>IFERROR(LET(_xlpm.v,
VLOOKUP($I3026,'用語辞書'!$A:$B,COLUMN('用語辞書'!B$1),FALSE),
IF(_xlpm.v=0,"",_xlpm.v)
),"")</f>
        <v/>
      </c>
      <c r="K3026" s="17"/>
      <c r="L3026" s="17" t="str">
        <f>IF(OR(COUNTIF('クラス'!$A$1:$A$1262,$B3026)&gt;0,$B3026="",$M3026=""),"",True)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3.0</v>
      </c>
      <c r="B3027" s="1"/>
      <c r="C3027" s="1"/>
      <c r="D3027" s="1"/>
      <c r="E3027" s="14"/>
      <c r="F3027" s="15"/>
      <c r="G3027" s="16"/>
      <c r="H3027" s="11"/>
      <c r="I3027" s="7"/>
      <c r="J3027" s="7" t="str">
        <f>IFERROR(LET(_xlpm.v,
VLOOKUP($I3027,'用語辞書'!$A:$B,COLUMN('用語辞書'!B$1),FALSE),
IF(_xlpm.v=0,"",_xlpm.v)
),"")</f>
        <v/>
      </c>
      <c r="K3027" s="17"/>
      <c r="L3027" s="17" t="str">
        <f>IF(OR(COUNTIF('クラス'!$A$1:$A$1262,$B3027)&gt;0,$B3027="",$M3027=""),"",True)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4.0</v>
      </c>
      <c r="B3028" s="1"/>
      <c r="C3028" s="1"/>
      <c r="D3028" s="1"/>
      <c r="E3028" s="14"/>
      <c r="F3028" s="15"/>
      <c r="G3028" s="16"/>
      <c r="H3028" s="11"/>
      <c r="I3028" s="7"/>
      <c r="J3028" s="7" t="str">
        <f>IFERROR(LET(_xlpm.v,
VLOOKUP($I3028,'用語辞書'!$A:$B,COLUMN('用語辞書'!B$1),FALSE),
IF(_xlpm.v=0,"",_xlpm.v)
),"")</f>
        <v/>
      </c>
      <c r="K3028" s="17"/>
      <c r="L3028" s="17" t="str">
        <f>IF(OR(COUNTIF('クラス'!$A$1:$A$1262,$B3028)&gt;0,$B3028="",$M3028=""),"",True)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5.0</v>
      </c>
      <c r="B3029" s="1"/>
      <c r="C3029" s="1"/>
      <c r="D3029" s="1"/>
      <c r="E3029" s="14"/>
      <c r="F3029" s="15"/>
      <c r="G3029" s="16"/>
      <c r="H3029" s="11"/>
      <c r="I3029" s="7"/>
      <c r="J3029" s="7" t="str">
        <f>IFERROR(LET(_xlpm.v,
VLOOKUP($I3029,'用語辞書'!$A:$B,COLUMN('用語辞書'!B$1),FALSE),
IF(_xlpm.v=0,"",_xlpm.v)
),"")</f>
        <v/>
      </c>
      <c r="K3029" s="17"/>
      <c r="L3029" s="17" t="str">
        <f>IF(OR(COUNTIF('クラス'!$A$1:$A$1262,$B3029)&gt;0,$B3029="",$M3029=""),"",True)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6.0</v>
      </c>
      <c r="B3030" s="1"/>
      <c r="C3030" s="1"/>
      <c r="D3030" s="1"/>
      <c r="E3030" s="14"/>
      <c r="F3030" s="15"/>
      <c r="G3030" s="16"/>
      <c r="H3030" s="11"/>
      <c r="I3030" s="7"/>
      <c r="J3030" s="7" t="str">
        <f>IFERROR(LET(_xlpm.v,
VLOOKUP($I3030,'用語辞書'!$A:$B,COLUMN('用語辞書'!B$1),FALSE),
IF(_xlpm.v=0,"",_xlpm.v)
),"")</f>
        <v/>
      </c>
      <c r="K3030" s="17"/>
      <c r="L3030" s="17" t="str">
        <f>IF(OR(COUNTIF('クラス'!$A$1:$A$1262,$B3030)&gt;0,$B3030="",$M3030=""),"",True)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7.0</v>
      </c>
      <c r="B3031" s="1"/>
      <c r="C3031" s="1"/>
      <c r="D3031" s="1"/>
      <c r="E3031" s="14"/>
      <c r="F3031" s="15"/>
      <c r="G3031" s="16"/>
      <c r="H3031" s="11"/>
      <c r="I3031" s="7"/>
      <c r="J3031" s="7" t="str">
        <f>IFERROR(LET(_xlpm.v,
VLOOKUP($I3031,'用語辞書'!$A:$B,COLUMN('用語辞書'!B$1),FALSE),
IF(_xlpm.v=0,"",_xlpm.v)
),"")</f>
        <v/>
      </c>
      <c r="K3031" s="17"/>
      <c r="L3031" s="17" t="str">
        <f>IF(OR(COUNTIF('クラス'!$A$1:$A$1262,$B3031)&gt;0,$B3031="",$M3031=""),"",True)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8.0</v>
      </c>
      <c r="B3032" s="1"/>
      <c r="C3032" s="1"/>
      <c r="D3032" s="1"/>
      <c r="E3032" s="14"/>
      <c r="F3032" s="15"/>
      <c r="G3032" s="16"/>
      <c r="H3032" s="11"/>
      <c r="I3032" s="7"/>
      <c r="J3032" s="7" t="str">
        <f>IFERROR(LET(_xlpm.v,
VLOOKUP($I3032,'用語辞書'!$A:$B,COLUMN('用語辞書'!B$1),FALSE),
IF(_xlpm.v=0,"",_xlpm.v)
),"")</f>
        <v/>
      </c>
      <c r="K3032" s="17"/>
      <c r="L3032" s="17" t="str">
        <f>IF(OR(COUNTIF('クラス'!$A$1:$A$1262,$B3032)&gt;0,$B3032="",$M3032=""),"",True)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9.0</v>
      </c>
      <c r="B3033" s="1"/>
      <c r="C3033" s="1"/>
      <c r="D3033" s="1"/>
      <c r="E3033" s="14"/>
      <c r="F3033" s="15"/>
      <c r="G3033" s="16"/>
      <c r="H3033" s="11"/>
      <c r="I3033" s="7"/>
      <c r="J3033" s="7" t="str">
        <f>IFERROR(LET(_xlpm.v,
VLOOKUP($I3033,'用語辞書'!$A:$B,COLUMN('用語辞書'!B$1),FALSE),
IF(_xlpm.v=0,"",_xlpm.v)
),"")</f>
        <v/>
      </c>
      <c r="K3033" s="17"/>
      <c r="L3033" s="17" t="str">
        <f>IF(OR(COUNTIF('クラス'!$A$1:$A$1262,$B3033)&gt;0,$B3033="",$M3033=""),"",True)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10.0</v>
      </c>
      <c r="B3034" s="1"/>
      <c r="C3034" s="1"/>
      <c r="D3034" s="1"/>
      <c r="E3034" s="14"/>
      <c r="F3034" s="15"/>
      <c r="G3034" s="16"/>
      <c r="H3034" s="11"/>
      <c r="I3034" s="7"/>
      <c r="J3034" s="7" t="str">
        <f>IFERROR(LET(_xlpm.v,
VLOOKUP($I3034,'用語辞書'!$A:$B,COLUMN('用語辞書'!B$1),FALSE),
IF(_xlpm.v=0,"",_xlpm.v)
),"")</f>
        <v/>
      </c>
      <c r="K3034" s="17"/>
      <c r="L3034" s="17" t="str">
        <f>IF(OR(COUNTIF('クラス'!$A$1:$A$1262,$B3034)&gt;0,$B3034="",$M3034=""),"",True)</f>
        <v/>
      </c>
      <c r="M3034" s="1" t="str">
        <f t="shared" si="31"/>
        <v>存在しない</v>
      </c>
      <c r="N3034" s="1" t="s">
        <v>29</v>
      </c>
      <c r="O3034" s="1"/>
      <c r="P3034" s="11"/>
      <c r="Q3034" s="11"/>
      <c r="R3034" s="11"/>
      <c r="S3034" s="11"/>
      <c r="T3034" s="1"/>
      <c r="U3034" s="1"/>
      <c r="V3034" s="1"/>
      <c r="W3034" s="1"/>
      <c r="X3034" s="1"/>
      <c r="Y3034" s="1"/>
      <c r="Z3034" s="1"/>
    </row>
    <row r="3035" ht="18.0" customHeight="1" collapsed="1">
      <c r="A3035" s="1"/>
      <c r="B3035" s="1"/>
      <c r="C3035" s="26" t="s">
        <v>2542</v>
      </c>
      <c r="D3035" s="1"/>
      <c r="E3035" s="14"/>
      <c r="F3035" s="15"/>
      <c r="G3035" s="16"/>
      <c r="H3035" s="11"/>
      <c r="I3035" s="7"/>
      <c r="J3035" s="7" t="str">
        <f>IFERROR(LET(_xlpm.v,
VLOOKUP($I3035,'用語辞書'!$A:$B,COLUMN('用語辞書'!B$1),FALSE),
IF(_xlpm.v=0,"",_xlpm.v)
),"")</f>
        <v/>
      </c>
      <c r="K3035" s="17"/>
      <c r="L3035" s="17" t="str">
        <f>IF(OR(COUNTIF('クラス'!$A$1:$A$1262,$B3035)&gt;0,$B3035="",$M3035=""),"",True)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outlineLevel="1">
      <c r="A3036" s="1"/>
      <c r="B3036" s="26" t="s">
        <v>2543</v>
      </c>
      <c r="C3036" s="1"/>
      <c r="D3036" s="1"/>
      <c r="E3036" s="14"/>
      <c r="F3036" s="15"/>
      <c r="G3036" s="16"/>
      <c r="H3036" s="11"/>
      <c r="I3036" s="7"/>
      <c r="J3036" s="7" t="str">
        <f>IFERROR(LET(_xlpm.v,
VLOOKUP($I3036,'用語辞書'!$A:$B,COLUMN('用語辞書'!B$1),FALSE),
IF(_xlpm.v=0,"",_xlpm.v)
),"")</f>
        <v/>
      </c>
      <c r="K3036" s="17"/>
      <c r="L3036" s="17" t="str">
        <f>IF(OR(COUNTIF('クラス'!$A$1:$A$1262,$B3036)&gt;0,$B3036="",$M3036=""),"",True)</f>
        <v/>
      </c>
      <c r="M3036" s="1" t="str">
        <f t="shared" si="31"/>
        <v>存在しない</v>
      </c>
      <c r="N3036" s="1" t="s">
        <v>29</v>
      </c>
      <c r="O3036" s="1"/>
      <c r="P3036" s="11"/>
      <c r="Q3036" s="11"/>
      <c r="R3036" s="11"/>
      <c r="S3036" s="11"/>
      <c r="T3036" s="1"/>
      <c r="U3036" s="1"/>
      <c r="V3036" s="1"/>
      <c r="W3036" s="1"/>
      <c r="X3036" s="1"/>
      <c r="Y3036" s="1"/>
      <c r="Z3036" s="1"/>
    </row>
    <row r="3037" ht="18.0" hidden="1" customHeight="1" outlineLevel="2">
      <c r="A3037" s="1">
        <v>1.0</v>
      </c>
      <c r="B3037" s="1"/>
      <c r="C3037" s="1"/>
      <c r="D3037" s="1"/>
      <c r="E3037" s="14"/>
      <c r="F3037" s="15"/>
      <c r="G3037" s="16"/>
      <c r="H3037" s="11"/>
      <c r="I3037" s="7"/>
      <c r="J3037" s="7" t="str">
        <f>IFERROR(LET(_xlpm.v,
VLOOKUP($I3037,'用語辞書'!$A:$B,COLUMN('用語辞書'!B$1),FALSE),
IF(_xlpm.v=0,"",_xlpm.v)
),"")</f>
        <v/>
      </c>
      <c r="K3037" s="17"/>
      <c r="L3037" s="17" t="str">
        <f>IF(OR(COUNTIF('クラス'!$A$1:$A$1262,$B3037)&gt;0,$B3037="",$M3037=""),"",True)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2.0</v>
      </c>
      <c r="B3038" s="1"/>
      <c r="C3038" s="1"/>
      <c r="D3038" s="1"/>
      <c r="E3038" s="14"/>
      <c r="F3038" s="15"/>
      <c r="G3038" s="16"/>
      <c r="H3038" s="11"/>
      <c r="I3038" s="7"/>
      <c r="J3038" s="7" t="str">
        <f>IFERROR(LET(_xlpm.v,
VLOOKUP($I3038,'用語辞書'!$A:$B,COLUMN('用語辞書'!B$1),FALSE),
IF(_xlpm.v=0,"",_xlpm.v)
),"")</f>
        <v/>
      </c>
      <c r="K3038" s="17"/>
      <c r="L3038" s="17" t="str">
        <f>IF(OR(COUNTIF('クラス'!$A$1:$A$1262,$B3038)&gt;0,$B3038="",$M3038=""),"",True)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3.0</v>
      </c>
      <c r="B3039" s="1"/>
      <c r="C3039" s="1"/>
      <c r="D3039" s="1"/>
      <c r="E3039" s="14"/>
      <c r="F3039" s="15"/>
      <c r="G3039" s="16"/>
      <c r="H3039" s="11"/>
      <c r="I3039" s="7"/>
      <c r="J3039" s="7" t="str">
        <f>IFERROR(LET(_xlpm.v,
VLOOKUP($I3039,'用語辞書'!$A:$B,COLUMN('用語辞書'!B$1),FALSE),
IF(_xlpm.v=0,"",_xlpm.v)
),"")</f>
        <v/>
      </c>
      <c r="K3039" s="17"/>
      <c r="L3039" s="17" t="str">
        <f>IF(OR(COUNTIF('クラス'!$A$1:$A$1262,$B3039)&gt;0,$B3039="",$M3039=""),"",True)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4.0</v>
      </c>
      <c r="B3040" s="1"/>
      <c r="C3040" s="1"/>
      <c r="D3040" s="1"/>
      <c r="E3040" s="14"/>
      <c r="F3040" s="15"/>
      <c r="G3040" s="16"/>
      <c r="H3040" s="11"/>
      <c r="I3040" s="7"/>
      <c r="J3040" s="7" t="str">
        <f>IFERROR(LET(_xlpm.v,
VLOOKUP($I3040,'用語辞書'!$A:$B,COLUMN('用語辞書'!B$1),FALSE),
IF(_xlpm.v=0,"",_xlpm.v)
),"")</f>
        <v/>
      </c>
      <c r="K3040" s="17"/>
      <c r="L3040" s="17" t="str">
        <f>IF(OR(COUNTIF('クラス'!$A$1:$A$1262,$B3040)&gt;0,$B3040="",$M3040=""),"",True)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5.0</v>
      </c>
      <c r="B3041" s="1"/>
      <c r="C3041" s="1"/>
      <c r="D3041" s="1"/>
      <c r="E3041" s="14"/>
      <c r="F3041" s="15"/>
      <c r="G3041" s="16"/>
      <c r="H3041" s="11"/>
      <c r="I3041" s="7"/>
      <c r="J3041" s="7" t="str">
        <f>IFERROR(LET(_xlpm.v,
VLOOKUP($I3041,'用語辞書'!$A:$B,COLUMN('用語辞書'!B$1),FALSE),
IF(_xlpm.v=0,"",_xlpm.v)
),"")</f>
        <v/>
      </c>
      <c r="K3041" s="17"/>
      <c r="L3041" s="17" t="str">
        <f>IF(OR(COUNTIF('クラス'!$A$1:$A$1262,$B3041)&gt;0,$B3041="",$M3041=""),"",True)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6.0</v>
      </c>
      <c r="B3042" s="1"/>
      <c r="C3042" s="1"/>
      <c r="D3042" s="1"/>
      <c r="E3042" s="14"/>
      <c r="F3042" s="15"/>
      <c r="G3042" s="16"/>
      <c r="H3042" s="11"/>
      <c r="I3042" s="7"/>
      <c r="J3042" s="7" t="str">
        <f>IFERROR(LET(_xlpm.v,
VLOOKUP($I3042,'用語辞書'!$A:$B,COLUMN('用語辞書'!B$1),FALSE),
IF(_xlpm.v=0,"",_xlpm.v)
),"")</f>
        <v/>
      </c>
      <c r="K3042" s="17"/>
      <c r="L3042" s="17" t="str">
        <f>IF(OR(COUNTIF('クラス'!$A$1:$A$1262,$B3042)&gt;0,$B3042="",$M3042=""),"",True)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7.0</v>
      </c>
      <c r="B3043" s="1"/>
      <c r="C3043" s="1"/>
      <c r="D3043" s="1"/>
      <c r="E3043" s="14"/>
      <c r="F3043" s="15"/>
      <c r="G3043" s="16"/>
      <c r="H3043" s="11"/>
      <c r="I3043" s="7"/>
      <c r="J3043" s="7" t="str">
        <f>IFERROR(LET(_xlpm.v,
VLOOKUP($I3043,'用語辞書'!$A:$B,COLUMN('用語辞書'!B$1),FALSE),
IF(_xlpm.v=0,"",_xlpm.v)
),"")</f>
        <v/>
      </c>
      <c r="K3043" s="17"/>
      <c r="L3043" s="17" t="str">
        <f>IF(OR(COUNTIF('クラス'!$A$1:$A$1262,$B3043)&gt;0,$B3043="",$M3043=""),"",True)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8.0</v>
      </c>
      <c r="B3044" s="1"/>
      <c r="C3044" s="1"/>
      <c r="D3044" s="1"/>
      <c r="E3044" s="14"/>
      <c r="F3044" s="15"/>
      <c r="G3044" s="16"/>
      <c r="H3044" s="11"/>
      <c r="I3044" s="7"/>
      <c r="J3044" s="7" t="str">
        <f>IFERROR(LET(_xlpm.v,
VLOOKUP($I3044,'用語辞書'!$A:$B,COLUMN('用語辞書'!B$1),FALSE),
IF(_xlpm.v=0,"",_xlpm.v)
),"")</f>
        <v/>
      </c>
      <c r="K3044" s="17"/>
      <c r="L3044" s="17" t="str">
        <f>IF(OR(COUNTIF('クラス'!$A$1:$A$1262,$B3044)&gt;0,$B3044="",$M3044=""),"",True)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9.0</v>
      </c>
      <c r="B3045" s="1"/>
      <c r="C3045" s="1"/>
      <c r="D3045" s="1"/>
      <c r="E3045" s="14"/>
      <c r="F3045" s="15"/>
      <c r="G3045" s="16"/>
      <c r="H3045" s="11"/>
      <c r="I3045" s="7"/>
      <c r="J3045" s="7" t="str">
        <f>IFERROR(LET(_xlpm.v,
VLOOKUP($I3045,'用語辞書'!$A:$B,COLUMN('用語辞書'!B$1),FALSE),
IF(_xlpm.v=0,"",_xlpm.v)
),"")</f>
        <v/>
      </c>
      <c r="K3045" s="17"/>
      <c r="L3045" s="17" t="str">
        <f>IF(OR(COUNTIF('クラス'!$A$1:$A$1262,$B3045)&gt;0,$B3045="",$M3045=""),"",True)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10.0</v>
      </c>
      <c r="B3046" s="1"/>
      <c r="C3046" s="1"/>
      <c r="D3046" s="1"/>
      <c r="E3046" s="14"/>
      <c r="F3046" s="15"/>
      <c r="G3046" s="16"/>
      <c r="H3046" s="11"/>
      <c r="I3046" s="7"/>
      <c r="J3046" s="7" t="str">
        <f>IFERROR(LET(_xlpm.v,
VLOOKUP($I3046,'用語辞書'!$A:$B,COLUMN('用語辞書'!B$1),FALSE),
IF(_xlpm.v=0,"",_xlpm.v)
),"")</f>
        <v/>
      </c>
      <c r="K3046" s="17"/>
      <c r="L3046" s="17" t="str">
        <f>IF(OR(COUNTIF('クラス'!$A$1:$A$1262,$B3046)&gt;0,$B3046="",$M3046=""),"",True)</f>
        <v/>
      </c>
      <c r="M3046" s="1" t="str">
        <f t="shared" si="31"/>
        <v>存在しない</v>
      </c>
      <c r="N3046" s="1" t="s">
        <v>29</v>
      </c>
      <c r="O3046" s="1"/>
      <c r="P3046" s="11"/>
      <c r="Q3046" s="11"/>
      <c r="R3046" s="11"/>
      <c r="S3046" s="11"/>
      <c r="T3046" s="1"/>
      <c r="U3046" s="1"/>
      <c r="V3046" s="1"/>
      <c r="W3046" s="1"/>
      <c r="X3046" s="1"/>
      <c r="Y3046" s="1"/>
      <c r="Z3046" s="1"/>
    </row>
    <row r="3047" ht="18.0" customHeight="1" outlineLevel="1" collapsed="1">
      <c r="A3047" s="1"/>
      <c r="B3047" s="1"/>
      <c r="C3047" s="1"/>
      <c r="D3047" s="1"/>
      <c r="E3047" s="14"/>
      <c r="F3047" s="15"/>
      <c r="G3047" s="16"/>
      <c r="H3047" s="11"/>
      <c r="I3047" s="7"/>
      <c r="J3047" s="7" t="str">
        <f>IFERROR(LET(_xlpm.v,
VLOOKUP($I3047,'用語辞書'!$A:$B,COLUMN('用語辞書'!B$1),FALSE),
IF(_xlpm.v=0,"",_xlpm.v)
),"")</f>
        <v/>
      </c>
      <c r="K3047" s="17"/>
      <c r="L3047" s="17" t="str">
        <f>IF(OR(COUNTIF('クラス'!$A$1:$A$1262,$B3047)&gt;0,$B3047="",$M3047=""),"",True)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 r="A3048" s="1"/>
      <c r="B3048" s="26" t="s">
        <v>2544</v>
      </c>
      <c r="C3048" s="1"/>
      <c r="D3048" s="1"/>
      <c r="E3048" s="14"/>
      <c r="F3048" s="15"/>
      <c r="G3048" s="16"/>
      <c r="H3048" s="11"/>
      <c r="I3048" s="7"/>
      <c r="J3048" s="7" t="str">
        <f>IFERROR(LET(_xlpm.v,
VLOOKUP($I3048,'用語辞書'!$A:$B,COLUMN('用語辞書'!B$1),FALSE),
IF(_xlpm.v=0,"",_xlpm.v)
),"")</f>
        <v/>
      </c>
      <c r="K3048" s="17"/>
      <c r="L3048" s="17" t="str">
        <f>IF(OR(COUNTIF('クラス'!$A$1:$A$1262,$B3048)&gt;0,$B3048="",$M3048=""),"",True)</f>
        <v/>
      </c>
      <c r="M3048" s="1" t="str">
        <f t="shared" si="31"/>
        <v>存在しない</v>
      </c>
      <c r="N3048" s="1" t="s">
        <v>29</v>
      </c>
      <c r="O3048" s="1"/>
      <c r="P3048" s="11"/>
      <c r="Q3048" s="11"/>
      <c r="R3048" s="11"/>
      <c r="S3048" s="11"/>
      <c r="T3048" s="1"/>
      <c r="U3048" s="1"/>
      <c r="V3048" s="1"/>
      <c r="W3048" s="1"/>
      <c r="X3048" s="1"/>
      <c r="Y3048" s="1"/>
      <c r="Z3048" s="1"/>
    </row>
    <row r="3049" ht="18.0" hidden="1" customHeight="1" outlineLevel="2">
      <c r="A3049" s="1">
        <v>1.0</v>
      </c>
      <c r="B3049" s="1"/>
      <c r="C3049" s="1"/>
      <c r="D3049" s="1"/>
      <c r="E3049" s="14"/>
      <c r="F3049" s="15"/>
      <c r="G3049" s="16"/>
      <c r="H3049" s="11"/>
      <c r="I3049" s="7"/>
      <c r="J3049" s="7" t="str">
        <f>IFERROR(LET(_xlpm.v,
VLOOKUP($I3049,'用語辞書'!$A:$B,COLUMN('用語辞書'!B$1),FALSE),
IF(_xlpm.v=0,"",_xlpm.v)
),"")</f>
        <v/>
      </c>
      <c r="K3049" s="17"/>
      <c r="L3049" s="17" t="str">
        <f>IF(OR(COUNTIF('クラス'!$A$1:$A$1262,$B3049)&gt;0,$B3049="",$M3049=""),"",True)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2.0</v>
      </c>
      <c r="B3050" s="1"/>
      <c r="C3050" s="1"/>
      <c r="D3050" s="1"/>
      <c r="E3050" s="14"/>
      <c r="F3050" s="15"/>
      <c r="G3050" s="16"/>
      <c r="H3050" s="11"/>
      <c r="I3050" s="7"/>
      <c r="J3050" s="7" t="str">
        <f>IFERROR(LET(_xlpm.v,
VLOOKUP($I3050,'用語辞書'!$A:$B,COLUMN('用語辞書'!B$1),FALSE),
IF(_xlpm.v=0,"",_xlpm.v)
),"")</f>
        <v/>
      </c>
      <c r="K3050" s="17"/>
      <c r="L3050" s="17" t="str">
        <f>IF(OR(COUNTIF('クラス'!$A$1:$A$1262,$B3050)&gt;0,$B3050="",$M3050=""),"",True)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3.0</v>
      </c>
      <c r="B3051" s="1"/>
      <c r="C3051" s="1"/>
      <c r="D3051" s="1"/>
      <c r="E3051" s="14"/>
      <c r="F3051" s="15"/>
      <c r="G3051" s="16"/>
      <c r="H3051" s="11"/>
      <c r="I3051" s="7"/>
      <c r="J3051" s="7" t="str">
        <f>IFERROR(LET(_xlpm.v,
VLOOKUP($I3051,'用語辞書'!$A:$B,COLUMN('用語辞書'!B$1),FALSE),
IF(_xlpm.v=0,"",_xlpm.v)
),"")</f>
        <v/>
      </c>
      <c r="K3051" s="17"/>
      <c r="L3051" s="17" t="str">
        <f>IF(OR(COUNTIF('クラス'!$A$1:$A$1262,$B3051)&gt;0,$B3051="",$M3051=""),"",True)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4.0</v>
      </c>
      <c r="B3052" s="1"/>
      <c r="C3052" s="1"/>
      <c r="D3052" s="1"/>
      <c r="E3052" s="14"/>
      <c r="F3052" s="15"/>
      <c r="G3052" s="16"/>
      <c r="H3052" s="11"/>
      <c r="I3052" s="7"/>
      <c r="J3052" s="7" t="str">
        <f>IFERROR(LET(_xlpm.v,
VLOOKUP($I3052,'用語辞書'!$A:$B,COLUMN('用語辞書'!B$1),FALSE),
IF(_xlpm.v=0,"",_xlpm.v)
),"")</f>
        <v/>
      </c>
      <c r="K3052" s="17"/>
      <c r="L3052" s="17" t="str">
        <f>IF(OR(COUNTIF('クラス'!$A$1:$A$1262,$B3052)&gt;0,$B3052="",$M3052=""),"",True)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5.0</v>
      </c>
      <c r="B3053" s="1"/>
      <c r="C3053" s="1"/>
      <c r="D3053" s="1"/>
      <c r="E3053" s="14"/>
      <c r="F3053" s="15"/>
      <c r="G3053" s="16"/>
      <c r="H3053" s="11"/>
      <c r="I3053" s="7"/>
      <c r="J3053" s="7" t="str">
        <f>IFERROR(LET(_xlpm.v,
VLOOKUP($I3053,'用語辞書'!$A:$B,COLUMN('用語辞書'!B$1),FALSE),
IF(_xlpm.v=0,"",_xlpm.v)
),"")</f>
        <v/>
      </c>
      <c r="K3053" s="17"/>
      <c r="L3053" s="17" t="str">
        <f>IF(OR(COUNTIF('クラス'!$A$1:$A$1262,$B3053)&gt;0,$B3053="",$M3053=""),"",True)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6.0</v>
      </c>
      <c r="B3054" s="1"/>
      <c r="C3054" s="1"/>
      <c r="D3054" s="1"/>
      <c r="E3054" s="14"/>
      <c r="F3054" s="15"/>
      <c r="G3054" s="16"/>
      <c r="H3054" s="11"/>
      <c r="I3054" s="7"/>
      <c r="J3054" s="7" t="str">
        <f>IFERROR(LET(_xlpm.v,
VLOOKUP($I3054,'用語辞書'!$A:$B,COLUMN('用語辞書'!B$1),FALSE),
IF(_xlpm.v=0,"",_xlpm.v)
),"")</f>
        <v/>
      </c>
      <c r="K3054" s="17"/>
      <c r="L3054" s="17" t="str">
        <f>IF(OR(COUNTIF('クラス'!$A$1:$A$1262,$B3054)&gt;0,$B3054="",$M3054=""),"",True)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7.0</v>
      </c>
      <c r="B3055" s="1"/>
      <c r="C3055" s="1"/>
      <c r="D3055" s="1"/>
      <c r="E3055" s="14"/>
      <c r="F3055" s="15"/>
      <c r="G3055" s="16"/>
      <c r="H3055" s="11"/>
      <c r="I3055" s="7"/>
      <c r="J3055" s="7" t="str">
        <f>IFERROR(LET(_xlpm.v,
VLOOKUP($I3055,'用語辞書'!$A:$B,COLUMN('用語辞書'!B$1),FALSE),
IF(_xlpm.v=0,"",_xlpm.v)
),"")</f>
        <v/>
      </c>
      <c r="K3055" s="17"/>
      <c r="L3055" s="17" t="str">
        <f>IF(OR(COUNTIF('クラス'!$A$1:$A$1262,$B3055)&gt;0,$B3055="",$M3055=""),"",True)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8.0</v>
      </c>
      <c r="B3056" s="1"/>
      <c r="C3056" s="1"/>
      <c r="D3056" s="1"/>
      <c r="E3056" s="14"/>
      <c r="F3056" s="15"/>
      <c r="G3056" s="16"/>
      <c r="H3056" s="11"/>
      <c r="I3056" s="7"/>
      <c r="J3056" s="7" t="str">
        <f>IFERROR(LET(_xlpm.v,
VLOOKUP($I3056,'用語辞書'!$A:$B,COLUMN('用語辞書'!B$1),FALSE),
IF(_xlpm.v=0,"",_xlpm.v)
),"")</f>
        <v/>
      </c>
      <c r="K3056" s="17"/>
      <c r="L3056" s="17" t="str">
        <f>IF(OR(COUNTIF('クラス'!$A$1:$A$1262,$B3056)&gt;0,$B3056="",$M3056=""),"",True)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9.0</v>
      </c>
      <c r="B3057" s="1"/>
      <c r="C3057" s="1"/>
      <c r="D3057" s="1"/>
      <c r="E3057" s="14"/>
      <c r="F3057" s="15"/>
      <c r="G3057" s="16"/>
      <c r="H3057" s="11"/>
      <c r="I3057" s="7"/>
      <c r="J3057" s="7" t="str">
        <f>IFERROR(LET(_xlpm.v,
VLOOKUP($I3057,'用語辞書'!$A:$B,COLUMN('用語辞書'!B$1),FALSE),
IF(_xlpm.v=0,"",_xlpm.v)
),"")</f>
        <v/>
      </c>
      <c r="K3057" s="17"/>
      <c r="L3057" s="17" t="str">
        <f>IF(OR(COUNTIF('クラス'!$A$1:$A$1262,$B3057)&gt;0,$B3057="",$M3057=""),"",True)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10.0</v>
      </c>
      <c r="B3058" s="1"/>
      <c r="C3058" s="1"/>
      <c r="D3058" s="1"/>
      <c r="E3058" s="14"/>
      <c r="F3058" s="15"/>
      <c r="G3058" s="16"/>
      <c r="H3058" s="11"/>
      <c r="I3058" s="7"/>
      <c r="J3058" s="7" t="str">
        <f>IFERROR(LET(_xlpm.v,
VLOOKUP($I3058,'用語辞書'!$A:$B,COLUMN('用語辞書'!B$1),FALSE),
IF(_xlpm.v=0,"",_xlpm.v)
),"")</f>
        <v/>
      </c>
      <c r="K3058" s="17"/>
      <c r="L3058" s="17" t="str">
        <f>IF(OR(COUNTIF('クラス'!$A$1:$A$1262,$B3058)&gt;0,$B3058="",$M3058=""),"",True)</f>
        <v/>
      </c>
      <c r="M3058" s="1" t="str">
        <f t="shared" si="31"/>
        <v>存在しない</v>
      </c>
      <c r="N3058" s="1" t="s">
        <v>29</v>
      </c>
      <c r="O3058" s="1"/>
      <c r="P3058" s="11"/>
      <c r="Q3058" s="11"/>
      <c r="R3058" s="11"/>
      <c r="S3058" s="11"/>
      <c r="T3058" s="1"/>
      <c r="U3058" s="1"/>
      <c r="V3058" s="1"/>
      <c r="W3058" s="1"/>
      <c r="X3058" s="1"/>
      <c r="Y3058" s="1"/>
      <c r="Z3058" s="1"/>
    </row>
    <row r="3059" ht="18.0" customHeight="1" outlineLevel="1" collapsed="1">
      <c r="A3059" s="1"/>
      <c r="B3059" s="1"/>
      <c r="C3059" s="1"/>
      <c r="D3059" s="1"/>
      <c r="E3059" s="14"/>
      <c r="F3059" s="15"/>
      <c r="G3059" s="16"/>
      <c r="H3059" s="11"/>
      <c r="I3059" s="7"/>
      <c r="J3059" s="7" t="str">
        <f>IFERROR(LET(_xlpm.v,
VLOOKUP($I3059,'用語辞書'!$A:$B,COLUMN('用語辞書'!B$1),FALSE),
IF(_xlpm.v=0,"",_xlpm.v)
),"")</f>
        <v/>
      </c>
      <c r="K3059" s="17"/>
      <c r="L3059" s="17" t="str">
        <f>IF(OR(COUNTIF('クラス'!$A$1:$A$1262,$B3059)&gt;0,$B3059="",$M3059=""),"",True)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 r="A3060" s="1"/>
      <c r="B3060" s="26" t="s">
        <v>2545</v>
      </c>
      <c r="C3060" s="1"/>
      <c r="D3060" s="1"/>
      <c r="E3060" s="14"/>
      <c r="F3060" s="15"/>
      <c r="G3060" s="16"/>
      <c r="H3060" s="11"/>
      <c r="I3060" s="7"/>
      <c r="J3060" s="7" t="str">
        <f>IFERROR(LET(_xlpm.v,
VLOOKUP($I3060,'用語辞書'!$A:$B,COLUMN('用語辞書'!B$1),FALSE),
IF(_xlpm.v=0,"",_xlpm.v)
),"")</f>
        <v/>
      </c>
      <c r="K3060" s="17"/>
      <c r="L3060" s="17" t="str">
        <f>IF(OR(COUNTIF('クラス'!$A$1:$A$1262,$B3060)&gt;0,$B3060="",$M3060=""),"",True)</f>
        <v/>
      </c>
      <c r="M3060" s="1" t="str">
        <f t="shared" si="31"/>
        <v>存在しない</v>
      </c>
      <c r="N3060" s="1" t="s">
        <v>29</v>
      </c>
      <c r="O3060" s="1"/>
      <c r="P3060" s="11"/>
      <c r="Q3060" s="11"/>
      <c r="R3060" s="11"/>
      <c r="S3060" s="11"/>
      <c r="T3060" s="1"/>
      <c r="U3060" s="1"/>
      <c r="V3060" s="1"/>
      <c r="W3060" s="1"/>
      <c r="X3060" s="1"/>
      <c r="Y3060" s="1"/>
      <c r="Z3060" s="1"/>
    </row>
    <row r="3061" ht="18.0" hidden="1" customHeight="1" outlineLevel="2">
      <c r="A3061" s="1">
        <v>1.0</v>
      </c>
      <c r="B3061" s="1"/>
      <c r="C3061" s="1"/>
      <c r="D3061" s="1"/>
      <c r="E3061" s="14"/>
      <c r="F3061" s="15"/>
      <c r="G3061" s="16"/>
      <c r="H3061" s="11"/>
      <c r="I3061" s="7"/>
      <c r="J3061" s="7" t="str">
        <f>IFERROR(LET(_xlpm.v,
VLOOKUP($I3061,'用語辞書'!$A:$B,COLUMN('用語辞書'!B$1),FALSE),
IF(_xlpm.v=0,"",_xlpm.v)
),"")</f>
        <v/>
      </c>
      <c r="K3061" s="17"/>
      <c r="L3061" s="17" t="str">
        <f>IF(OR(COUNTIF('クラス'!$A$1:$A$1262,$B3061)&gt;0,$B3061="",$M3061=""),"",True)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2.0</v>
      </c>
      <c r="B3062" s="1"/>
      <c r="C3062" s="1"/>
      <c r="D3062" s="1"/>
      <c r="E3062" s="14"/>
      <c r="F3062" s="15"/>
      <c r="G3062" s="16"/>
      <c r="H3062" s="11"/>
      <c r="I3062" s="7"/>
      <c r="J3062" s="7" t="str">
        <f>IFERROR(LET(_xlpm.v,
VLOOKUP($I3062,'用語辞書'!$A:$B,COLUMN('用語辞書'!B$1),FALSE),
IF(_xlpm.v=0,"",_xlpm.v)
),"")</f>
        <v/>
      </c>
      <c r="K3062" s="17"/>
      <c r="L3062" s="17" t="str">
        <f>IF(OR(COUNTIF('クラス'!$A$1:$A$1262,$B3062)&gt;0,$B3062="",$M3062=""),"",True)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3.0</v>
      </c>
      <c r="B3063" s="1"/>
      <c r="C3063" s="1"/>
      <c r="D3063" s="1"/>
      <c r="E3063" s="14"/>
      <c r="F3063" s="15"/>
      <c r="G3063" s="16"/>
      <c r="H3063" s="11"/>
      <c r="I3063" s="7"/>
      <c r="J3063" s="7" t="str">
        <f>IFERROR(LET(_xlpm.v,
VLOOKUP($I3063,'用語辞書'!$A:$B,COLUMN('用語辞書'!B$1),FALSE),
IF(_xlpm.v=0,"",_xlpm.v)
),"")</f>
        <v/>
      </c>
      <c r="K3063" s="17"/>
      <c r="L3063" s="17" t="str">
        <f>IF(OR(COUNTIF('クラス'!$A$1:$A$1262,$B3063)&gt;0,$B3063="",$M3063=""),"",True)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4.0</v>
      </c>
      <c r="B3064" s="1"/>
      <c r="C3064" s="1"/>
      <c r="D3064" s="1"/>
      <c r="E3064" s="14"/>
      <c r="F3064" s="15"/>
      <c r="G3064" s="16"/>
      <c r="H3064" s="11"/>
      <c r="I3064" s="7"/>
      <c r="J3064" s="7" t="str">
        <f>IFERROR(LET(_xlpm.v,
VLOOKUP($I3064,'用語辞書'!$A:$B,COLUMN('用語辞書'!B$1),FALSE),
IF(_xlpm.v=0,"",_xlpm.v)
),"")</f>
        <v/>
      </c>
      <c r="K3064" s="17"/>
      <c r="L3064" s="17" t="str">
        <f>IF(OR(COUNTIF('クラス'!$A$1:$A$1262,$B3064)&gt;0,$B3064="",$M3064=""),"",True)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5.0</v>
      </c>
      <c r="B3065" s="1"/>
      <c r="C3065" s="1"/>
      <c r="D3065" s="1"/>
      <c r="E3065" s="14"/>
      <c r="F3065" s="15"/>
      <c r="G3065" s="16"/>
      <c r="H3065" s="11"/>
      <c r="I3065" s="7"/>
      <c r="J3065" s="7" t="str">
        <f>IFERROR(LET(_xlpm.v,
VLOOKUP($I3065,'用語辞書'!$A:$B,COLUMN('用語辞書'!B$1),FALSE),
IF(_xlpm.v=0,"",_xlpm.v)
),"")</f>
        <v/>
      </c>
      <c r="K3065" s="17"/>
      <c r="L3065" s="17" t="str">
        <f>IF(OR(COUNTIF('クラス'!$A$1:$A$1262,$B3065)&gt;0,$B3065="",$M3065=""),"",True)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6.0</v>
      </c>
      <c r="B3066" s="1"/>
      <c r="C3066" s="1"/>
      <c r="D3066" s="1"/>
      <c r="E3066" s="14"/>
      <c r="F3066" s="15"/>
      <c r="G3066" s="16"/>
      <c r="H3066" s="11"/>
      <c r="I3066" s="7"/>
      <c r="J3066" s="7" t="str">
        <f>IFERROR(LET(_xlpm.v,
VLOOKUP($I3066,'用語辞書'!$A:$B,COLUMN('用語辞書'!B$1),FALSE),
IF(_xlpm.v=0,"",_xlpm.v)
),"")</f>
        <v/>
      </c>
      <c r="K3066" s="17"/>
      <c r="L3066" s="17" t="str">
        <f>IF(OR(COUNTIF('クラス'!$A$1:$A$1262,$B3066)&gt;0,$B3066="",$M3066=""),"",True)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7.0</v>
      </c>
      <c r="B3067" s="1"/>
      <c r="C3067" s="1"/>
      <c r="D3067" s="1"/>
      <c r="E3067" s="14"/>
      <c r="F3067" s="15"/>
      <c r="G3067" s="16"/>
      <c r="H3067" s="11"/>
      <c r="I3067" s="7"/>
      <c r="J3067" s="7" t="str">
        <f>IFERROR(LET(_xlpm.v,
VLOOKUP($I3067,'用語辞書'!$A:$B,COLUMN('用語辞書'!B$1),FALSE),
IF(_xlpm.v=0,"",_xlpm.v)
),"")</f>
        <v/>
      </c>
      <c r="K3067" s="17"/>
      <c r="L3067" s="17" t="str">
        <f>IF(OR(COUNTIF('クラス'!$A$1:$A$1262,$B3067)&gt;0,$B3067="",$M3067=""),"",True)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8.0</v>
      </c>
      <c r="B3068" s="1"/>
      <c r="C3068" s="1"/>
      <c r="D3068" s="1"/>
      <c r="E3068" s="14"/>
      <c r="F3068" s="15"/>
      <c r="G3068" s="16"/>
      <c r="H3068" s="11"/>
      <c r="I3068" s="7"/>
      <c r="J3068" s="7" t="str">
        <f>IFERROR(LET(_xlpm.v,
VLOOKUP($I3068,'用語辞書'!$A:$B,COLUMN('用語辞書'!B$1),FALSE),
IF(_xlpm.v=0,"",_xlpm.v)
),"")</f>
        <v/>
      </c>
      <c r="K3068" s="17"/>
      <c r="L3068" s="17" t="str">
        <f>IF(OR(COUNTIF('クラス'!$A$1:$A$1262,$B3068)&gt;0,$B3068="",$M3068=""),"",True)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9.0</v>
      </c>
      <c r="B3069" s="1"/>
      <c r="C3069" s="1"/>
      <c r="D3069" s="1"/>
      <c r="E3069" s="14"/>
      <c r="F3069" s="15"/>
      <c r="G3069" s="16"/>
      <c r="H3069" s="11"/>
      <c r="I3069" s="7"/>
      <c r="J3069" s="7" t="str">
        <f>IFERROR(LET(_xlpm.v,
VLOOKUP($I3069,'用語辞書'!$A:$B,COLUMN('用語辞書'!B$1),FALSE),
IF(_xlpm.v=0,"",_xlpm.v)
),"")</f>
        <v/>
      </c>
      <c r="K3069" s="17"/>
      <c r="L3069" s="17" t="str">
        <f>IF(OR(COUNTIF('クラス'!$A$1:$A$1262,$B3069)&gt;0,$B3069="",$M3069=""),"",True)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10.0</v>
      </c>
      <c r="B3070" s="1"/>
      <c r="C3070" s="1"/>
      <c r="D3070" s="1"/>
      <c r="E3070" s="14"/>
      <c r="F3070" s="15"/>
      <c r="G3070" s="16"/>
      <c r="H3070" s="11"/>
      <c r="I3070" s="7"/>
      <c r="J3070" s="7" t="str">
        <f>IFERROR(LET(_xlpm.v,
VLOOKUP($I3070,'用語辞書'!$A:$B,COLUMN('用語辞書'!B$1),FALSE),
IF(_xlpm.v=0,"",_xlpm.v)
),"")</f>
        <v/>
      </c>
      <c r="K3070" s="17"/>
      <c r="L3070" s="17" t="str">
        <f>IF(OR(COUNTIF('クラス'!$A$1:$A$1262,$B3070)&gt;0,$B3070="",$M3070=""),"",True)</f>
        <v/>
      </c>
      <c r="M3070" s="1" t="str">
        <f t="shared" si="31"/>
        <v>存在しない</v>
      </c>
      <c r="N3070" s="1" t="s">
        <v>29</v>
      </c>
      <c r="O3070" s="1"/>
      <c r="P3070" s="11"/>
      <c r="Q3070" s="11"/>
      <c r="R3070" s="11"/>
      <c r="S3070" s="11"/>
      <c r="T3070" s="1"/>
      <c r="U3070" s="1"/>
      <c r="V3070" s="1"/>
      <c r="W3070" s="1"/>
      <c r="X3070" s="1"/>
      <c r="Y3070" s="1"/>
      <c r="Z3070" s="1"/>
    </row>
    <row r="3071" ht="18.0" customHeight="1" collapsed="1">
      <c r="A3071" s="1"/>
      <c r="B3071" s="1"/>
      <c r="C3071" s="1"/>
      <c r="D3071" s="1"/>
      <c r="E3071" s="14"/>
      <c r="F3071" s="15"/>
      <c r="G3071" s="16"/>
      <c r="H3071" s="11"/>
      <c r="I3071" s="7"/>
      <c r="J3071" s="7" t="str">
        <f>IFERROR(LET(_xlpm.v,
VLOOKUP($I3071,'用語辞書'!$A:$B,COLUMN('用語辞書'!B$1),FALSE),
IF(_xlpm.v=0,"",_xlpm.v)
),"")</f>
        <v/>
      </c>
      <c r="K3071" s="17"/>
      <c r="L3071" s="17" t="str">
        <f>IF(OR(COUNTIF('クラス'!$A$1:$A$1262,$B3071)&gt;0,$B3071="",$M3071=""),"",True)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 r="A3072" s="1"/>
      <c r="B3072" s="1"/>
      <c r="C3072" s="1"/>
      <c r="D3072" s="1"/>
      <c r="E3072" s="14"/>
      <c r="F3072" s="15"/>
      <c r="G3072" s="16"/>
      <c r="H3072" s="11"/>
      <c r="I3072" s="7"/>
      <c r="J3072" s="7" t="str">
        <f>IFERROR(LET(_xlpm.v,
VLOOKUP($I3072,'用語辞書'!$A:$B,COLUMN('用語辞書'!B$1),FALSE),
IF(_xlpm.v=0,"",_xlpm.v)
),"")</f>
        <v/>
      </c>
      <c r="K3072" s="17"/>
      <c r="L3072" s="17" t="str">
        <f>IF(OR(COUNTIF('クラス'!$A$1:$A$1262,$B3072)&gt;0,$B3072="",$M3072=""),"",True)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42"/>
      <c r="G3073" s="43"/>
      <c r="H3073" s="11"/>
      <c r="I3073" s="44"/>
      <c r="J3073" s="44"/>
      <c r="K3073" s="17"/>
      <c r="L3073" s="17" t="str">
        <f>IF(OR(COUNTIF('クラス'!$A$1:$A$1262,$B3073)&gt;0,$B3073="",$M3073=""),"",True)</f>
        <v/>
      </c>
      <c r="M3073" s="1" t="str">
        <f t="shared" si="31"/>
        <v>存在しない</v>
      </c>
      <c r="N3073" s="1"/>
      <c r="O3073" s="1"/>
      <c r="P3073" s="11"/>
      <c r="Q3073" s="11"/>
      <c r="R3073" s="11"/>
      <c r="S3073" s="11"/>
      <c r="T3073" s="1"/>
      <c r="U3073" s="1"/>
      <c r="V3073" s="1"/>
      <c r="W3073" s="1"/>
      <c r="X3073" s="1"/>
      <c r="Y3073" s="1"/>
      <c r="Z3073" s="1"/>
    </row>
    <row r="3074" ht="18.0" customHeight="1">
      <c r="A3074" s="1"/>
      <c r="B3074" s="26" t="s">
        <v>2546</v>
      </c>
      <c r="C3074" s="1"/>
      <c r="D3074" s="1"/>
      <c r="E3074" s="14"/>
      <c r="F3074" s="15"/>
      <c r="G3074" s="16"/>
      <c r="H3074" s="11"/>
      <c r="I3074" s="7"/>
      <c r="J3074" s="7" t="str">
        <f>IFERROR(LET(_xlpm.v,
VLOOKUP($I3074,'用語辞書'!$A:$B,COLUMN('用語辞書'!B$1),FALSE),
IF(_xlpm.v=0,"",_xlpm.v)
),"")</f>
        <v/>
      </c>
      <c r="K3074" s="17"/>
      <c r="L3074" s="17" t="str">
        <f>IF(OR(COUNTIF('クラス'!$A$1:$A$1262,$B3074)&gt;0,$B3074="",$M3074=""),"",True)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26">
        <v>1.0</v>
      </c>
      <c r="B3075" s="26" t="s">
        <v>2547</v>
      </c>
      <c r="C3075" s="1"/>
      <c r="D3075" s="26"/>
      <c r="E3075" s="29" t="s">
        <v>55</v>
      </c>
      <c r="F3075" s="15"/>
      <c r="G3075" s="30"/>
      <c r="H3075" s="22" t="s">
        <v>1291</v>
      </c>
      <c r="I3075" s="7"/>
      <c r="J3075" s="7" t="str">
        <f>IFERROR(LET(_xlpm.v,
VLOOKUP($I3075,'用語辞書'!$A:$B,COLUMN('用語辞書'!B$1),FALSE),
IF(_xlpm.v=0,"",_xlpm.v)
),"")</f>
        <v/>
      </c>
      <c r="K3075" s="17"/>
      <c r="L3075" s="17" t="b">
        <f>IF(OR(COUNTIF('クラス'!$A$1:$A$1262,$B3075)&gt;0,$B3075="",$M3075=""),"",True)</f>
        <v>1</v>
      </c>
      <c r="M3075" s="1" t="str">
        <f t="shared" si="31"/>
        <v>存在しない</v>
      </c>
      <c r="N3075" s="1"/>
      <c r="O3075" s="1"/>
      <c r="P3075" s="11"/>
      <c r="Q3075" s="11"/>
      <c r="R3075" s="11"/>
      <c r="S3075" s="11"/>
      <c r="T3075" s="1"/>
      <c r="U3075" s="1"/>
      <c r="V3075" s="1"/>
      <c r="W3075" s="1"/>
      <c r="X3075" s="1"/>
      <c r="Y3075" s="1"/>
      <c r="Z3075" s="1"/>
    </row>
    <row r="3076" ht="18.0" customHeight="1">
      <c r="A3076" s="26">
        <v>2.0</v>
      </c>
      <c r="B3076" s="1"/>
      <c r="C3076" s="1"/>
      <c r="D3076" s="1"/>
      <c r="E3076" s="14"/>
      <c r="F3076" s="15"/>
      <c r="G3076" s="16"/>
      <c r="H3076" s="11"/>
      <c r="I3076" s="7"/>
      <c r="J3076" s="7" t="str">
        <f>IFERROR(LET(_xlpm.v,
VLOOKUP($I3076,'用語辞書'!$A:$B,COLUMN('用語辞書'!B$1),FALSE),
IF(_xlpm.v=0,"",_xlpm.v)
),"")</f>
        <v/>
      </c>
      <c r="K3076" s="17"/>
      <c r="L3076" s="17" t="str">
        <f>IF(OR(COUNTIF('クラス'!$A$1:$A$1262,$B3076)&gt;0,$B3076="",$M3076=""),"",True)</f>
        <v/>
      </c>
      <c r="M3076" s="1" t="str">
        <f t="shared" si="31"/>
        <v>存在しない</v>
      </c>
      <c r="N3076" s="1"/>
      <c r="O3076" s="1"/>
      <c r="P3076" s="11"/>
      <c r="Q3076" s="11"/>
      <c r="R3076" s="11"/>
      <c r="S3076" s="11"/>
      <c r="T3076" s="1"/>
      <c r="U3076" s="1"/>
      <c r="V3076" s="1"/>
      <c r="W3076" s="1"/>
      <c r="X3076" s="1"/>
      <c r="Y3076" s="1"/>
      <c r="Z3076" s="1"/>
    </row>
    <row r="3077" ht="18.0" customHeight="1">
      <c r="A3077" s="26">
        <v>3.0</v>
      </c>
      <c r="B3077" s="26" t="s">
        <v>2548</v>
      </c>
      <c r="C3077" s="1"/>
      <c r="D3077" s="26" t="s">
        <v>644</v>
      </c>
      <c r="E3077" s="29" t="s">
        <v>33</v>
      </c>
      <c r="F3077" s="15"/>
      <c r="G3077" s="30">
        <v>60.0</v>
      </c>
      <c r="H3077" s="22" t="s">
        <v>2549</v>
      </c>
      <c r="I3077" s="7"/>
      <c r="J3077" s="7" t="str">
        <f>IFERROR(LET(_xlpm.v,
VLOOKUP($I3077,'用語辞書'!$A:$B,COLUMN('用語辞書'!B$1),FALSE),
IF(_xlpm.v=0,"",_xlpm.v)
),"")</f>
        <v/>
      </c>
      <c r="K3077" s="17"/>
      <c r="L3077" s="17" t="b">
        <f>IF(OR(COUNTIF('クラス'!$A$1:$A$1262,$B3077)&gt;0,$B3077="",$M3077=""),"",True)</f>
        <v>1</v>
      </c>
      <c r="M3077" s="1" t="str">
        <f t="shared" si="31"/>
        <v>存在しない</v>
      </c>
      <c r="N3077" s="1"/>
      <c r="O3077" s="1"/>
      <c r="P3077" s="11"/>
      <c r="Q3077" s="11"/>
      <c r="R3077" s="11"/>
      <c r="S3077" s="11"/>
      <c r="T3077" s="1"/>
      <c r="U3077" s="1"/>
      <c r="V3077" s="1"/>
      <c r="W3077" s="1"/>
      <c r="X3077" s="1"/>
      <c r="Y3077" s="1"/>
      <c r="Z3077" s="1"/>
    </row>
    <row r="3078" ht="18.0" customHeight="1">
      <c r="A3078" s="26">
        <v>4.0</v>
      </c>
      <c r="B3078" s="1"/>
      <c r="C3078" s="1"/>
      <c r="D3078" s="1"/>
      <c r="E3078" s="14"/>
      <c r="F3078" s="15"/>
      <c r="G3078" s="16"/>
      <c r="H3078" s="11"/>
      <c r="I3078" s="7"/>
      <c r="J3078" s="7" t="str">
        <f>IFERROR(LET(_xlpm.v,
VLOOKUP($I3078,'用語辞書'!$A:$B,COLUMN('用語辞書'!B$1),FALSE),
IF(_xlpm.v=0,"",_xlpm.v)
),"")</f>
        <v/>
      </c>
      <c r="K3078" s="17"/>
      <c r="L3078" s="17" t="str">
        <f>IF(OR(COUNTIF('クラス'!$A$1:$A$1262,$B3078)&gt;0,$B3078="",$M3078=""),"",True)</f>
        <v/>
      </c>
      <c r="M3078" s="1" t="str">
        <f t="shared" si="31"/>
        <v>存在しない</v>
      </c>
      <c r="N3078" s="1"/>
      <c r="O3078" s="1"/>
      <c r="P3078" s="11"/>
      <c r="Q3078" s="11"/>
      <c r="R3078" s="11"/>
      <c r="S3078" s="11"/>
      <c r="T3078" s="1"/>
      <c r="U3078" s="1"/>
      <c r="V3078" s="1"/>
      <c r="W3078" s="1"/>
      <c r="X3078" s="1"/>
      <c r="Y3078" s="1"/>
      <c r="Z3078" s="1"/>
    </row>
    <row r="3079" ht="18.0" customHeight="1">
      <c r="A3079" s="26">
        <v>5.0</v>
      </c>
      <c r="B3079" s="26" t="s">
        <v>2550</v>
      </c>
      <c r="C3079" s="1"/>
      <c r="D3079" s="26"/>
      <c r="E3079" s="29" t="s">
        <v>33</v>
      </c>
      <c r="F3079" s="15"/>
      <c r="G3079" s="30">
        <v>60.0</v>
      </c>
      <c r="H3079" s="22" t="s">
        <v>2551</v>
      </c>
      <c r="I3079" s="7"/>
      <c r="J3079" s="7" t="str">
        <f>IFERROR(LET(_xlpm.v,
VLOOKUP($I3079,'用語辞書'!$A:$B,COLUMN('用語辞書'!B$1),FALSE),
IF(_xlpm.v=0,"",_xlpm.v)
),"")</f>
        <v/>
      </c>
      <c r="K3079" s="17"/>
      <c r="L3079" s="17" t="b">
        <f>IF(OR(COUNTIF('クラス'!$A$1:$A$1262,$B3079)&gt;0,$B3079="",$M3079=""),"",True)</f>
        <v>1</v>
      </c>
      <c r="M3079" s="1" t="str">
        <f t="shared" si="31"/>
        <v>存在しない</v>
      </c>
      <c r="N3079" s="1"/>
      <c r="O3079" s="1"/>
      <c r="P3079" s="11"/>
      <c r="Q3079" s="11"/>
      <c r="R3079" s="11"/>
      <c r="S3079" s="11"/>
      <c r="T3079" s="1"/>
      <c r="U3079" s="1"/>
      <c r="V3079" s="1"/>
      <c r="W3079" s="1"/>
      <c r="X3079" s="1"/>
      <c r="Y3079" s="1"/>
      <c r="Z3079" s="1"/>
    </row>
    <row r="3080" ht="18.0" customHeight="1">
      <c r="A3080" s="26">
        <v>6.0</v>
      </c>
      <c r="B3080" s="1"/>
      <c r="C3080" s="1"/>
      <c r="D3080" s="1"/>
      <c r="E3080" s="14"/>
      <c r="F3080" s="15"/>
      <c r="G3080" s="16"/>
      <c r="H3080" s="11"/>
      <c r="I3080" s="7"/>
      <c r="J3080" s="7" t="str">
        <f>IFERROR(LET(_xlpm.v,
VLOOKUP($I3080,'用語辞書'!$A:$B,COLUMN('用語辞書'!B$1),FALSE),
IF(_xlpm.v=0,"",_xlpm.v)
),"")</f>
        <v/>
      </c>
      <c r="K3080" s="17"/>
      <c r="L3080" s="17" t="str">
        <f>IF(OR(COUNTIF('クラス'!$A$1:$A$1262,$B3080)&gt;0,$B3080="",$M3080=""),"",True)</f>
        <v/>
      </c>
      <c r="M3080" s="1" t="str">
        <f t="shared" si="31"/>
        <v>存在しない</v>
      </c>
      <c r="N3080" s="1"/>
      <c r="O3080" s="1"/>
      <c r="P3080" s="11"/>
      <c r="Q3080" s="11"/>
      <c r="R3080" s="11"/>
      <c r="S3080" s="11"/>
      <c r="T3080" s="1"/>
      <c r="U3080" s="1"/>
      <c r="V3080" s="1"/>
      <c r="W3080" s="1"/>
      <c r="X3080" s="1"/>
      <c r="Y3080" s="1"/>
      <c r="Z3080" s="1"/>
    </row>
    <row r="3081" ht="18.0" customHeight="1">
      <c r="A3081" s="26">
        <v>7.0</v>
      </c>
      <c r="B3081" s="26" t="s">
        <v>2552</v>
      </c>
      <c r="C3081" s="1"/>
      <c r="D3081" s="1"/>
      <c r="E3081" s="29" t="s">
        <v>55</v>
      </c>
      <c r="F3081" s="15"/>
      <c r="G3081" s="30"/>
      <c r="H3081" s="22" t="s">
        <v>2553</v>
      </c>
      <c r="I3081" s="7"/>
      <c r="J3081" s="7" t="str">
        <f>IFERROR(LET(_xlpm.v,
VLOOKUP($I3081,'用語辞書'!$A:$B,COLUMN('用語辞書'!B$1),FALSE),
IF(_xlpm.v=0,"",_xlpm.v)
),"")</f>
        <v/>
      </c>
      <c r="K3081" s="17"/>
      <c r="L3081" s="17" t="b">
        <f>IF(OR(COUNTIF('クラス'!$A$1:$A$1262,$B3081)&gt;0,$B3081="",$M3081=""),"",True)</f>
        <v>1</v>
      </c>
      <c r="M3081" s="1" t="str">
        <f t="shared" si="31"/>
        <v>存在しない</v>
      </c>
      <c r="N3081" s="1"/>
      <c r="O3081" s="1"/>
      <c r="P3081" s="11"/>
      <c r="Q3081" s="11"/>
      <c r="R3081" s="11"/>
      <c r="S3081" s="11"/>
      <c r="T3081" s="1"/>
      <c r="U3081" s="1"/>
      <c r="V3081" s="1"/>
      <c r="W3081" s="1"/>
      <c r="X3081" s="1"/>
      <c r="Y3081" s="1"/>
      <c r="Z3081" s="1"/>
    </row>
    <row r="3082" ht="18.0" customHeight="1">
      <c r="A3082" s="26">
        <v>8.0</v>
      </c>
      <c r="B3082" s="1"/>
      <c r="C3082" s="1"/>
      <c r="D3082" s="1"/>
      <c r="E3082" s="14"/>
      <c r="F3082" s="15"/>
      <c r="G3082" s="16"/>
      <c r="H3082" s="11"/>
      <c r="I3082" s="7"/>
      <c r="J3082" s="7" t="str">
        <f>IFERROR(LET(_xlpm.v,
VLOOKUP($I3082,'用語辞書'!$A:$B,COLUMN('用語辞書'!B$1),FALSE),
IF(_xlpm.v=0,"",_xlpm.v)
),"")</f>
        <v/>
      </c>
      <c r="K3082" s="17"/>
      <c r="L3082" s="17" t="str">
        <f>IF(OR(COUNTIF('クラス'!$A$1:$A$1262,$B3082)&gt;0,$B3082="",$M3082=""),"",True)</f>
        <v/>
      </c>
      <c r="M3082" s="1" t="str">
        <f t="shared" si="31"/>
        <v>存在しない</v>
      </c>
      <c r="N3082" s="1"/>
      <c r="O3082" s="1"/>
      <c r="P3082" s="11"/>
      <c r="Q3082" s="11"/>
      <c r="R3082" s="11"/>
      <c r="S3082" s="11"/>
      <c r="T3082" s="1"/>
      <c r="U3082" s="1"/>
      <c r="V3082" s="1"/>
      <c r="W3082" s="1"/>
      <c r="X3082" s="1"/>
      <c r="Y3082" s="1"/>
      <c r="Z3082" s="1"/>
    </row>
    <row r="3083" ht="18.0" customHeight="1">
      <c r="A3083" s="26">
        <v>9.0</v>
      </c>
      <c r="B3083" s="26" t="s">
        <v>2554</v>
      </c>
      <c r="C3083" s="1"/>
      <c r="D3083" s="1"/>
      <c r="E3083" s="29" t="s">
        <v>55</v>
      </c>
      <c r="F3083" s="15"/>
      <c r="G3083" s="16"/>
      <c r="H3083" s="22" t="s">
        <v>2555</v>
      </c>
      <c r="I3083" s="7"/>
      <c r="J3083" s="7" t="str">
        <f>IFERROR(LET(_xlpm.v,
VLOOKUP($I3083,'用語辞書'!$A:$B,COLUMN('用語辞書'!B$1),FALSE),
IF(_xlpm.v=0,"",_xlpm.v)
),"")</f>
        <v/>
      </c>
      <c r="K3083" s="17"/>
      <c r="L3083" s="17" t="b">
        <f>IF(OR(COUNTIF('クラス'!$A$1:$A$1262,$B3083)&gt;0,$B3083="",$M3083=""),"",True)</f>
        <v>1</v>
      </c>
      <c r="M3083" s="1" t="str">
        <f t="shared" si="31"/>
        <v>存在しない</v>
      </c>
      <c r="N3083" s="1"/>
      <c r="O3083" s="1"/>
      <c r="P3083" s="11"/>
      <c r="Q3083" s="11"/>
      <c r="R3083" s="11"/>
      <c r="S3083" s="11"/>
      <c r="T3083" s="1"/>
      <c r="U3083" s="1"/>
      <c r="V3083" s="1"/>
      <c r="W3083" s="1"/>
      <c r="X3083" s="1"/>
      <c r="Y3083" s="1"/>
      <c r="Z3083" s="1"/>
    </row>
    <row r="3084" ht="18.0" customHeight="1">
      <c r="A3084" s="26">
        <v>10.0</v>
      </c>
      <c r="B3084" s="26" t="s">
        <v>2556</v>
      </c>
      <c r="C3084" s="1"/>
      <c r="D3084" s="1"/>
      <c r="E3084" s="29" t="s">
        <v>33</v>
      </c>
      <c r="F3084" s="15"/>
      <c r="G3084" s="30">
        <v>80.0</v>
      </c>
      <c r="H3084" s="22" t="s">
        <v>2557</v>
      </c>
      <c r="I3084" s="32"/>
      <c r="J3084" s="7" t="str">
        <f>IFERROR(LET(_xlpm.v,
VLOOKUP($I3084,'用語辞書'!$A:$B,COLUMN('用語辞書'!B$1),FALSE),
IF(_xlpm.v=0,"",_xlpm.v)
),"")</f>
        <v/>
      </c>
      <c r="K3084" s="17"/>
      <c r="L3084" s="17" t="b">
        <f>IF(OR(COUNTIF('クラス'!$A$1:$A$1262,$B3084)&gt;0,$B3084="",$M3084=""),"",True)</f>
        <v>1</v>
      </c>
      <c r="M3084" s="1" t="str">
        <f t="shared" si="31"/>
        <v>存在しない</v>
      </c>
      <c r="N3084" s="1"/>
      <c r="O3084" s="1"/>
      <c r="P3084" s="11"/>
      <c r="Q3084" s="11"/>
      <c r="R3084" s="11"/>
      <c r="S3084" s="11"/>
      <c r="T3084" s="1"/>
      <c r="U3084" s="1"/>
      <c r="V3084" s="1"/>
      <c r="W3084" s="1"/>
      <c r="X3084" s="1"/>
      <c r="Y3084" s="1"/>
      <c r="Z3084" s="1"/>
    </row>
    <row r="3085">
      <c r="A3085" s="26"/>
      <c r="B3085" s="26" t="s">
        <v>2558</v>
      </c>
      <c r="C3085" s="1"/>
      <c r="D3085" s="1"/>
      <c r="E3085" s="29"/>
      <c r="F3085" s="15"/>
      <c r="G3085" s="30"/>
      <c r="H3085" s="22"/>
      <c r="I3085" s="32"/>
      <c r="J3085" s="7"/>
      <c r="K3085" s="17"/>
      <c r="L3085" s="17"/>
      <c r="M3085" s="1"/>
      <c r="N3085" s="1"/>
      <c r="O3085" s="1"/>
      <c r="P3085" s="11"/>
      <c r="Q3085" s="11"/>
      <c r="R3085" s="11"/>
      <c r="S3085" s="11"/>
      <c r="T3085" s="1"/>
      <c r="U3085" s="1"/>
      <c r="V3085" s="1"/>
      <c r="W3085" s="1"/>
      <c r="X3085" s="1"/>
      <c r="Y3085" s="1"/>
      <c r="Z3085" s="1"/>
    </row>
    <row r="3086">
      <c r="A3086" s="26">
        <v>1.0</v>
      </c>
      <c r="B3086" s="26" t="s">
        <v>2559</v>
      </c>
      <c r="C3086" s="1"/>
      <c r="D3086" s="26" t="s">
        <v>1342</v>
      </c>
      <c r="E3086" s="29" t="s">
        <v>33</v>
      </c>
      <c r="F3086" s="15"/>
      <c r="G3086" s="30">
        <v>20.0</v>
      </c>
      <c r="H3086" s="22" t="s">
        <v>2560</v>
      </c>
      <c r="I3086" s="32"/>
      <c r="J3086" s="7" t="str">
        <f>IFERROR(LET(_xlpm.v,
VLOOKUP($I3086,'用語辞書'!$A:$B,COLUMN('用語辞書'!B$1),FALSE),
IF(_xlpm.v=0,"",_xlpm.v)
),"")</f>
        <v/>
      </c>
      <c r="K3086" s="17"/>
      <c r="L3086" s="33" t="b">
        <v>1</v>
      </c>
      <c r="M3086" s="1" t="str">
        <f>IF(COUNTIF($B$1:$C3085, $B3086), "", "存在しない")</f>
        <v>存在しない</v>
      </c>
      <c r="N3086" s="1"/>
      <c r="O3086" s="1"/>
      <c r="P3086" s="11"/>
      <c r="Q3086" s="11"/>
      <c r="R3086" s="11"/>
      <c r="S3086" s="11"/>
      <c r="T3086" s="1"/>
      <c r="U3086" s="1"/>
      <c r="V3086" s="1"/>
      <c r="W3086" s="1"/>
      <c r="X3086" s="1"/>
      <c r="Y3086" s="1"/>
      <c r="Z3086" s="1"/>
    </row>
  </sheetData>
  <autoFilter ref="$A$4:$T$1661"/>
  <dataValidations>
    <dataValidation type="list" allowBlank="1" showErrorMessage="1" sqref="I5:I3072 I3074:I3086">
      <formula1>'用語辞書'!$A:$A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hidden="1" min="7" max="8" width="3.88" outlineLevel="1"/>
    <col customWidth="1" hidden="1" min="9" max="16" width="4.63" outlineLevel="1"/>
    <col collapsed="1" customWidth="1" min="17" max="17" width="4.25"/>
    <col customWidth="1" min="18" max="33" width="4.25" outlineLevel="1"/>
    <col customWidth="1" min="34" max="34" width="4.38" outlineLevel="1"/>
    <col customWidth="1" min="35" max="35" width="5.75" outlineLevel="1"/>
    <col customWidth="1" min="36" max="36" width="4.63"/>
    <col customWidth="1" hidden="1" min="37" max="44" width="4.63" outlineLevel="1"/>
    <col collapsed="1"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min="75" max="75" width="7.88" outlineLevel="1"/>
    <col customWidth="1" min="76" max="77" width="4.75" outlineLevel="1"/>
    <col customWidth="1" min="78" max="78" width="3.88" outlineLevel="1"/>
    <col customWidth="1" min="79" max="81" width="3.13" outlineLevel="1"/>
    <col customWidth="1" min="82" max="83" width="7.25" outlineLevel="1"/>
    <col customWidth="1" min="84" max="84" width="7.88"/>
    <col customWidth="1" min="85" max="92" width="7.63"/>
    <col customWidth="1" min="93" max="94" width="10.5"/>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2642</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2643</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2644</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2645</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2646</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2647</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2648</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2649</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2650</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2651</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2652</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2653</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2654</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2655</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2656</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row>
    <row r="17" ht="18.75" customHeight="1" collapsed="1">
      <c r="B17" s="71"/>
      <c r="D17" s="72"/>
      <c r="K17" s="73"/>
      <c r="Q17" s="64"/>
      <c r="R17" s="64"/>
      <c r="S17" s="64"/>
      <c r="T17" s="64"/>
      <c r="U17" s="64"/>
      <c r="V17" s="64"/>
      <c r="W17" s="64"/>
      <c r="X17" s="64"/>
      <c r="Y17" s="64"/>
      <c r="Z17" s="64"/>
      <c r="AA17" s="64"/>
      <c r="BS17" s="74"/>
      <c r="BW17" s="2" t="s">
        <v>2657</v>
      </c>
      <c r="BX17" s="57" t="s">
        <v>2623</v>
      </c>
      <c r="BY17" s="57" t="s">
        <v>2624</v>
      </c>
      <c r="BZ17" s="57" t="s">
        <v>2625</v>
      </c>
      <c r="CA17" s="57" t="s">
        <v>2626</v>
      </c>
    </row>
    <row r="18" ht="18.75" customHeight="1">
      <c r="A18" s="37" t="s">
        <v>1204</v>
      </c>
      <c r="B18" s="71"/>
      <c r="C18" s="37" t="s">
        <v>2658</v>
      </c>
      <c r="D18" s="72" t="str">
        <f t="shared" ref="D18:D107"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INDEX(CS!$B$1:$B$15025,MATCH($A18,CS!$B:$B,0)+COLUMN(A$1),1))</f>
        <v/>
      </c>
      <c r="BH18" s="37" t="str">
        <f t="array" ref="BH18">IF($A18="","", INDEX(CS!$B$1:$B$15025,MATCH($A18,CS!$B:$B,0)+COLUMN(B$1),1))</f>
        <v/>
      </c>
      <c r="BI18" s="37" t="str">
        <f t="array" ref="BI18">IF($A18="","", INDEX(CS!$B$1:$B$15025,MATCH($A18,CS!$B:$B,0)+COLUMN(C$1),1))</f>
        <v/>
      </c>
      <c r="BJ18" s="37" t="str">
        <f t="array" ref="BJ18">IF($A18="","", INDEX(CS!$B$1:$B$15025,MATCH($A18,CS!$B:$B,0)+COLUMN(D$1),1))</f>
        <v/>
      </c>
      <c r="BK18" s="37" t="str">
        <f t="array" ref="BK18">IF($A18="","", INDEX(CS!$B$1:$B$15025,MATCH($A18,CS!$B:$B,0)+COLUMN(E$1),1))</f>
        <v/>
      </c>
      <c r="BL18" s="37" t="str">
        <f t="array" ref="BL18">IF($A18="","", INDEX(CS!$B$1:$B$15025,MATCH($A18,CS!$B:$B,0)+COLUMN(F$1),1))</f>
        <v/>
      </c>
      <c r="BM18" s="37" t="str">
        <f t="array" ref="BM18">IF($A18="","", INDEX(CS!$B$1:$B$15025,MATCH($A18,CS!$B:$B,0)+COLUMN(G$1),1))</f>
        <v/>
      </c>
      <c r="BN18" s="37" t="str">
        <f t="array" ref="BN18">IF($A18="","", INDEX(CS!$B$1:$B$15025,MATCH($A18,CS!$B:$B,0)+COLUMN(H$1),1))</f>
        <v/>
      </c>
      <c r="BO18" s="37" t="str">
        <f t="array" ref="BO18">IF($A18="","", INDEX(CS!$B$1:$B$15025,MATCH($A18,CS!$B:$B,0)+COLUMN(I$1),1))</f>
        <v/>
      </c>
      <c r="BP18" s="37" t="str">
        <f t="array" ref="BP18">IF($A18="","", INDEX(CS!$B$1:$B$15025,MATCH($A18,CS!$B:$B,0)+COLUMN(J$1),1))</f>
        <v/>
      </c>
      <c r="BS18" s="74"/>
      <c r="BV18" s="37" t="s">
        <v>2659</v>
      </c>
      <c r="BW18" s="57">
        <v>100.0</v>
      </c>
      <c r="BX18" s="75">
        <v>40.0</v>
      </c>
      <c r="BY18" s="75">
        <v>30.0</v>
      </c>
      <c r="BZ18" s="75">
        <v>20.0</v>
      </c>
      <c r="CA18" s="75">
        <v>10.0</v>
      </c>
      <c r="CD18" s="75">
        <v>2.0</v>
      </c>
      <c r="CE18" s="75"/>
      <c r="CN18" s="37" t="s">
        <v>2660</v>
      </c>
      <c r="CO18" s="39" t="s">
        <v>2661</v>
      </c>
    </row>
    <row r="19" ht="18.75" customHeight="1" outlineLevel="1">
      <c r="A19" s="37" t="s">
        <v>1205</v>
      </c>
      <c r="B19" s="71"/>
      <c r="C19" s="37" t="s">
        <v>2658</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INDEX(CS!$B$1:$B$15025,MATCH($A19,CS!$B:$B,0)+COLUMN(A$1),1))</f>
        <v/>
      </c>
      <c r="BH19" s="37" t="str">
        <f t="array" ref="BH19">IF($A19="","", INDEX(CS!$B$1:$B$15025,MATCH($A19,CS!$B:$B,0)+COLUMN(B$1),1))</f>
        <v/>
      </c>
      <c r="BI19" s="37" t="str">
        <f t="array" ref="BI19">IF($A19="","", INDEX(CS!$B$1:$B$15025,MATCH($A19,CS!$B:$B,0)+COLUMN(C$1),1))</f>
        <v/>
      </c>
      <c r="BJ19" s="37" t="str">
        <f t="array" ref="BJ19">IF($A19="","", INDEX(CS!$B$1:$B$15025,MATCH($A19,CS!$B:$B,0)+COLUMN(D$1),1))</f>
        <v/>
      </c>
      <c r="BK19" s="37" t="str">
        <f t="array" ref="BK19">IF($A19="","", INDEX(CS!$B$1:$B$15025,MATCH($A19,CS!$B:$B,0)+COLUMN(E$1),1))</f>
        <v/>
      </c>
      <c r="BL19" s="37" t="str">
        <f t="array" ref="BL19">IF($A19="","", INDEX(CS!$B$1:$B$15025,MATCH($A19,CS!$B:$B,0)+COLUMN(F$1),1))</f>
        <v/>
      </c>
      <c r="BM19" s="37" t="str">
        <f t="array" ref="BM19">IF($A19="","", INDEX(CS!$B$1:$B$15025,MATCH($A19,CS!$B:$B,0)+COLUMN(G$1),1))</f>
        <v/>
      </c>
      <c r="BN19" s="37" t="str">
        <f t="array" ref="BN19">IF($A19="","", INDEX(CS!$B$1:$B$15025,MATCH($A19,CS!$B:$B,0)+COLUMN(H$1),1))</f>
        <v/>
      </c>
      <c r="BO19" s="37" t="str">
        <f t="array" ref="BO19">IF($A19="","", INDEX(CS!$B$1:$B$15025,MATCH($A19,CS!$B:$B,0)+COLUMN(I$1),1))</f>
        <v/>
      </c>
      <c r="BP19" s="37" t="str">
        <f t="array" ref="BP19">IF($A19="","", INDEX(CS!$B$1:$B$15025,MATCH($A19,CS!$B:$B,0)+COLUMN(J$1),1))</f>
        <v/>
      </c>
      <c r="BS19" s="74"/>
      <c r="BV19" s="37" t="s">
        <v>2659</v>
      </c>
      <c r="BW19" s="57">
        <v>100.0</v>
      </c>
      <c r="BX19" s="75">
        <v>20.0</v>
      </c>
      <c r="BY19" s="75">
        <v>50.0</v>
      </c>
      <c r="BZ19" s="75">
        <v>10.0</v>
      </c>
      <c r="CA19" s="75">
        <v>20.0</v>
      </c>
      <c r="CD19" s="75">
        <v>2.0</v>
      </c>
      <c r="CE19" s="75"/>
      <c r="CN19" s="37" t="s">
        <v>2662</v>
      </c>
      <c r="CO19" s="39" t="s">
        <v>2663</v>
      </c>
      <c r="CP19" s="39" t="s">
        <v>2664</v>
      </c>
    </row>
    <row r="20" ht="18.75" customHeight="1" outlineLevel="1">
      <c r="A20" s="37" t="s">
        <v>1206</v>
      </c>
      <c r="B20" s="71"/>
      <c r="C20" s="37" t="s">
        <v>2658</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INDEX(CS!$B$1:$B$15025,MATCH($A20,CS!$B:$B,0)+COLUMN(A$1),1))</f>
        <v/>
      </c>
      <c r="BH20" s="37" t="str">
        <f t="array" ref="BH20">IF($A20="","", INDEX(CS!$B$1:$B$15025,MATCH($A20,CS!$B:$B,0)+COLUMN(B$1),1))</f>
        <v/>
      </c>
      <c r="BI20" s="37" t="str">
        <f t="array" ref="BI20">IF($A20="","", INDEX(CS!$B$1:$B$15025,MATCH($A20,CS!$B:$B,0)+COLUMN(C$1),1))</f>
        <v/>
      </c>
      <c r="BJ20" s="37" t="str">
        <f t="array" ref="BJ20">IF($A20="","", INDEX(CS!$B$1:$B$15025,MATCH($A20,CS!$B:$B,0)+COLUMN(D$1),1))</f>
        <v/>
      </c>
      <c r="BK20" s="37" t="str">
        <f t="array" ref="BK20">IF($A20="","", INDEX(CS!$B$1:$B$15025,MATCH($A20,CS!$B:$B,0)+COLUMN(E$1),1))</f>
        <v/>
      </c>
      <c r="BL20" s="37" t="str">
        <f t="array" ref="BL20">IF($A20="","", INDEX(CS!$B$1:$B$15025,MATCH($A20,CS!$B:$B,0)+COLUMN(F$1),1))</f>
        <v/>
      </c>
      <c r="BM20" s="37" t="str">
        <f t="array" ref="BM20">IF($A20="","", INDEX(CS!$B$1:$B$15025,MATCH($A20,CS!$B:$B,0)+COLUMN(G$1),1))</f>
        <v/>
      </c>
      <c r="BN20" s="37" t="str">
        <f t="array" ref="BN20">IF($A20="","", INDEX(CS!$B$1:$B$15025,MATCH($A20,CS!$B:$B,0)+COLUMN(H$1),1))</f>
        <v/>
      </c>
      <c r="BO20" s="37" t="str">
        <f t="array" ref="BO20">IF($A20="","", INDEX(CS!$B$1:$B$15025,MATCH($A20,CS!$B:$B,0)+COLUMN(I$1),1))</f>
        <v/>
      </c>
      <c r="BP20" s="37" t="str">
        <f t="array" ref="BP20">IF($A20="","", INDEX(CS!$B$1:$B$15025,MATCH($A20,CS!$B:$B,0)+COLUMN(J$1),1))</f>
        <v/>
      </c>
      <c r="BS20" s="74"/>
      <c r="BV20" s="37" t="s">
        <v>2659</v>
      </c>
      <c r="BW20" s="57">
        <v>100.0</v>
      </c>
      <c r="BX20" s="75">
        <v>30.0</v>
      </c>
      <c r="BY20" s="75">
        <v>20.0</v>
      </c>
      <c r="BZ20" s="75">
        <v>40.0</v>
      </c>
      <c r="CA20" s="75">
        <v>10.0</v>
      </c>
      <c r="CD20" s="75">
        <v>2.0</v>
      </c>
      <c r="CE20" s="75"/>
      <c r="CN20" s="37" t="s">
        <v>2665</v>
      </c>
      <c r="CO20" s="39" t="s">
        <v>2666</v>
      </c>
      <c r="CP20" s="39" t="s">
        <v>2667</v>
      </c>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INDEX(CS!$B$1:$B$15025,MATCH($A21,CS!$B:$B,0)+COLUMN(A$1),1))</f>
        <v/>
      </c>
      <c r="BH21" s="37" t="str">
        <f t="array" ref="BH21">IF($A21="","", INDEX(CS!$B$1:$B$15025,MATCH($A21,CS!$B:$B,0)+COLUMN(B$1),1))</f>
        <v/>
      </c>
      <c r="BI21" s="37" t="str">
        <f t="array" ref="BI21">IF($A21="","", INDEX(CS!$B$1:$B$15025,MATCH($A21,CS!$B:$B,0)+COLUMN(C$1),1))</f>
        <v/>
      </c>
      <c r="BJ21" s="37" t="str">
        <f t="array" ref="BJ21">IF($A21="","", INDEX(CS!$B$1:$B$15025,MATCH($A21,CS!$B:$B,0)+COLUMN(D$1),1))</f>
        <v/>
      </c>
      <c r="BK21" s="37" t="str">
        <f t="array" ref="BK21">IF($A21="","", INDEX(CS!$B$1:$B$15025,MATCH($A21,CS!$B:$B,0)+COLUMN(E$1),1))</f>
        <v/>
      </c>
      <c r="BL21" s="37" t="str">
        <f t="array" ref="BL21">IF($A21="","", INDEX(CS!$B$1:$B$15025,MATCH($A21,CS!$B:$B,0)+COLUMN(F$1),1))</f>
        <v/>
      </c>
      <c r="BM21" s="37" t="str">
        <f t="array" ref="BM21">IF($A21="","", INDEX(CS!$B$1:$B$15025,MATCH($A21,CS!$B:$B,0)+COLUMN(G$1),1))</f>
        <v/>
      </c>
      <c r="BN21" s="37" t="str">
        <f t="array" ref="BN21">IF($A21="","", INDEX(CS!$B$1:$B$15025,MATCH($A21,CS!$B:$B,0)+COLUMN(H$1),1))</f>
        <v/>
      </c>
      <c r="BO21" s="37" t="str">
        <f t="array" ref="BO21">IF($A21="","", INDEX(CS!$B$1:$B$15025,MATCH($A21,CS!$B:$B,0)+COLUMN(I$1),1))</f>
        <v/>
      </c>
      <c r="BP21" s="37" t="str">
        <f t="array" ref="BP21">IF($A21="","", INDEX(CS!$B$1:$B$15025,MATCH($A21,CS!$B:$B,0)+COLUMN(J$1),1))</f>
        <v/>
      </c>
      <c r="BS21" s="74"/>
      <c r="BW21" s="57"/>
      <c r="BX21" s="75"/>
      <c r="BY21" s="75"/>
      <c r="BZ21" s="75"/>
      <c r="CA21" s="75"/>
    </row>
    <row r="22" ht="18.75" customHeight="1" outlineLevel="1">
      <c r="A22" s="37" t="s">
        <v>1208</v>
      </c>
      <c r="B22" s="71"/>
      <c r="C22" s="37" t="s">
        <v>2668</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INDEX(CS!$B$1:$B$15025,MATCH($A22,CS!$B:$B,0)+COLUMN(A$1),1))</f>
        <v>爪</v>
      </c>
      <c r="BH22" s="37" t="str">
        <f t="array" ref="BH22">IF($A22="","", INDEX(CS!$B$1:$B$15025,MATCH($A22,CS!$B:$B,0)+COLUMN(B$1),1))</f>
        <v>牙</v>
      </c>
      <c r="BI22" s="37" t="str">
        <f t="array" ref="BI22">IF($A22="","", INDEX(CS!$B$1:$B$15025,MATCH($A22,CS!$B:$B,0)+COLUMN(C$1),1))</f>
        <v>野生感覚</v>
      </c>
      <c r="BJ22" s="37" t="str">
        <f t="array" ref="BJ22">IF($A22="","", INDEX(CS!$B$1:$B$15025,MATCH($A22,CS!$B:$B,0)+COLUMN(D$1),1))</f>
        <v/>
      </c>
      <c r="BK22" s="37" t="str">
        <f t="array" ref="BK22">IF($A22="","", INDEX(CS!$B$1:$B$15025,MATCH($A22,CS!$B:$B,0)+COLUMN(E$1),1))</f>
        <v>獣の身軽さ</v>
      </c>
      <c r="BL22" s="37" t="str">
        <f t="array" ref="BL22">IF($A22="","", INDEX(CS!$B$1:$B$15025,MATCH($A22,CS!$B:$B,0)+COLUMN(F$1),1))</f>
        <v/>
      </c>
      <c r="BM22" s="37" t="str">
        <f t="array" ref="BM22">IF($A22="","", INDEX(CS!$B$1:$B$15025,MATCH($A22,CS!$B:$B,0)+COLUMN(G$1),1))</f>
        <v>獣性</v>
      </c>
      <c r="BN22" s="37" t="str">
        <f t="array" ref="BN22">IF($A22="","", INDEX(CS!$B$1:$B$15025,MATCH($A22,CS!$B:$B,0)+COLUMN(H$1),1))</f>
        <v/>
      </c>
      <c r="BO22" s="37" t="str">
        <f t="array" ref="BO22">IF($A22="","", INDEX(CS!$B$1:$B$15025,MATCH($A22,CS!$B:$B,0)+COLUMN(I$1),1))</f>
        <v/>
      </c>
      <c r="BP22" s="37" t="str">
        <f t="array" ref="BP22">IF($A22="","", INDEX(CS!$B$1:$B$15025,MATCH($A22,CS!$B:$B,0)+COLUMN(J$1),1))</f>
        <v>獣の本能</v>
      </c>
      <c r="BS22" s="74"/>
      <c r="BV22" s="37" t="s">
        <v>2659</v>
      </c>
      <c r="BW22" s="57">
        <v>110.0</v>
      </c>
      <c r="BX22" s="75">
        <v>20.0</v>
      </c>
      <c r="BY22" s="75">
        <v>20.0</v>
      </c>
      <c r="BZ22" s="75">
        <v>50.0</v>
      </c>
      <c r="CA22" s="75">
        <v>20.0</v>
      </c>
      <c r="CD22" s="75">
        <v>2.0</v>
      </c>
      <c r="CE22" s="75"/>
      <c r="CN22" s="37" t="s">
        <v>2669</v>
      </c>
      <c r="CO22" s="39" t="s">
        <v>2670</v>
      </c>
    </row>
    <row r="23" ht="18.75" customHeight="1" outlineLevel="1">
      <c r="A23" s="41" t="s">
        <v>1217</v>
      </c>
      <c r="B23" s="71"/>
      <c r="C23" s="37" t="s">
        <v>2668</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INDEX(CS!$B$1:$B$15025,MATCH($A23,CS!$B:$B,0)+COLUMN(A$1),1))</f>
        <v>牙</v>
      </c>
      <c r="BH23" s="37" t="str">
        <f t="array" ref="BH23">IF($A23="","", INDEX(CS!$B$1:$B$15025,MATCH($A23,CS!$B:$B,0)+COLUMN(B$1),1))</f>
        <v>爪</v>
      </c>
      <c r="BI23" s="37" t="str">
        <f t="array" ref="BI23">IF($A23="","", INDEX(CS!$B$1:$B$15025,MATCH($A23,CS!$B:$B,0)+COLUMN(C$1),1))</f>
        <v>尾</v>
      </c>
      <c r="BJ23" s="37" t="str">
        <f t="array" ref="BJ23">IF($A23="","", INDEX(CS!$B$1:$B$15025,MATCH($A23,CS!$B:$B,0)+COLUMN(D$1),1))</f>
        <v/>
      </c>
      <c r="BK23" s="37" t="str">
        <f t="array" ref="BK23">IF($A23="","", INDEX(CS!$B$1:$B$15025,MATCH($A23,CS!$B:$B,0)+COLUMN(E$1),1))</f>
        <v>竜鱗</v>
      </c>
      <c r="BL23" s="37" t="str">
        <f t="array" ref="BL23">IF($A23="","", INDEX(CS!$B$1:$B$15025,MATCH($A23,CS!$B:$B,0)+COLUMN(F$1),1))</f>
        <v/>
      </c>
      <c r="BM23" s="37" t="str">
        <f t="array" ref="BM23">IF($A23="","", INDEX(CS!$B$1:$B$15025,MATCH($A23,CS!$B:$B,0)+COLUMN(G$1),1))</f>
        <v>竜人の咆哮</v>
      </c>
      <c r="BN23" s="37" t="str">
        <f t="array" ref="BN23">IF($A23="","", INDEX(CS!$B$1:$B$15025,MATCH($A23,CS!$B:$B,0)+COLUMN(H$1),1))</f>
        <v/>
      </c>
      <c r="BO23" s="37" t="str">
        <f t="array" ref="BO23">IF($A23="","", INDEX(CS!$B$1:$B$15025,MATCH($A23,CS!$B:$B,0)+COLUMN(I$1),1))</f>
        <v/>
      </c>
      <c r="BP23" s="37" t="str">
        <f t="array" ref="BP23">IF($A23="","", INDEX(CS!$B$1:$B$15025,MATCH($A23,CS!$B:$B,0)+COLUMN(J$1),1))</f>
        <v>竜の肉体</v>
      </c>
      <c r="BS23" s="74"/>
      <c r="BV23" s="37" t="s">
        <v>2659</v>
      </c>
      <c r="BW23" s="57">
        <v>110.0</v>
      </c>
      <c r="BX23" s="75">
        <v>15.0</v>
      </c>
      <c r="BY23" s="75">
        <v>10.0</v>
      </c>
      <c r="BZ23" s="75">
        <v>70.0</v>
      </c>
      <c r="CA23" s="75">
        <v>15.0</v>
      </c>
      <c r="CD23" s="75">
        <v>2.0</v>
      </c>
      <c r="CE23" s="75"/>
      <c r="CN23" s="37" t="s">
        <v>2671</v>
      </c>
      <c r="CO23" s="39" t="s">
        <v>2672</v>
      </c>
      <c r="CP23" s="39" t="s">
        <v>2673</v>
      </c>
    </row>
    <row r="24" ht="18.75" customHeight="1" outlineLevel="1">
      <c r="A24" s="37" t="s">
        <v>1225</v>
      </c>
      <c r="B24" s="71"/>
      <c r="C24" s="37" t="s">
        <v>2668</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INDEX(CS!$B$1:$B$15025,MATCH($A24,CS!$B:$B,0)+COLUMN(A$1),1))</f>
        <v>豪腕</v>
      </c>
      <c r="BH24" s="37" t="str">
        <f t="array" ref="BH24">IF($A24="","", INDEX(CS!$B$1:$B$15025,MATCH($A24,CS!$B:$B,0)+COLUMN(B$1),1))</f>
        <v/>
      </c>
      <c r="BI24" s="37" t="str">
        <f t="array" ref="BI24">IF($A24="","", INDEX(CS!$B$1:$B$15025,MATCH($A24,CS!$B:$B,0)+COLUMN(C$1),1))</f>
        <v>強靭な肉体</v>
      </c>
      <c r="BJ24" s="37" t="str">
        <f t="array" ref="BJ24">IF($A24="","", INDEX(CS!$B$1:$B$15025,MATCH($A24,CS!$B:$B,0)+COLUMN(D$1),1))</f>
        <v/>
      </c>
      <c r="BK24" s="37" t="str">
        <f t="array" ref="BK24">IF($A24="","", INDEX(CS!$B$1:$B$15025,MATCH($A24,CS!$B:$B,0)+COLUMN(E$1),1))</f>
        <v>叩き潰し</v>
      </c>
      <c r="BL24" s="37" t="str">
        <f t="array" ref="BL24">IF($A24="","", INDEX(CS!$B$1:$B$15025,MATCH($A24,CS!$B:$B,0)+COLUMN(F$1),1))</f>
        <v/>
      </c>
      <c r="BM24" s="37" t="str">
        <f t="array" ref="BM24">IF($A24="","", INDEX(CS!$B$1:$B$15025,MATCH($A24,CS!$B:$B,0)+COLUMN(G$1),1))</f>
        <v>大鬼の咆哮</v>
      </c>
      <c r="BN24" s="37" t="str">
        <f t="array" ref="BN24">IF($A24="","", INDEX(CS!$B$1:$B$15025,MATCH($A24,CS!$B:$B,0)+COLUMN(H$1),1))</f>
        <v/>
      </c>
      <c r="BO24" s="37" t="str">
        <f t="array" ref="BO24">IF($A24="","", INDEX(CS!$B$1:$B$15025,MATCH($A24,CS!$B:$B,0)+COLUMN(I$1),1))</f>
        <v>圧砕撃</v>
      </c>
      <c r="BP24" s="37" t="str">
        <f t="array" ref="BP24">IF($A24="","", INDEX(CS!$B$1:$B$15025,MATCH($A24,CS!$B:$B,0)+COLUMN(J$1),1))</f>
        <v>鬼の怪力</v>
      </c>
      <c r="BS24" s="74"/>
      <c r="BV24" s="37" t="s">
        <v>2659</v>
      </c>
      <c r="BW24" s="57">
        <v>200.0</v>
      </c>
      <c r="BX24" s="75">
        <v>40.0</v>
      </c>
      <c r="BY24" s="75">
        <v>10.0</v>
      </c>
      <c r="BZ24" s="75">
        <v>100.0</v>
      </c>
      <c r="CA24" s="75">
        <v>10.0</v>
      </c>
      <c r="CD24" s="75">
        <v>2.0</v>
      </c>
      <c r="CE24" s="75"/>
      <c r="CN24" s="37" t="s">
        <v>2674</v>
      </c>
      <c r="CO24" s="39" t="s">
        <v>2675</v>
      </c>
      <c r="CP24" s="39" t="s">
        <v>2667</v>
      </c>
    </row>
    <row r="25" ht="18.75" customHeight="1" outlineLevel="1">
      <c r="A25" s="37" t="s">
        <v>1238</v>
      </c>
      <c r="B25" s="71"/>
      <c r="C25" s="37" t="s">
        <v>2668</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INDEX(CS!$B$1:$B$15025,MATCH($A25,CS!$B:$B,0)+COLUMN(A$1),1))</f>
        <v>巨人の膂力</v>
      </c>
      <c r="BH25" s="37" t="str">
        <f t="array" ref="BH25">IF($A25="","", INDEX(CS!$B$1:$B$15025,MATCH($A25,CS!$B:$B,0)+COLUMN(B$1),1))</f>
        <v/>
      </c>
      <c r="BI25" s="37" t="str">
        <f t="array" ref="BI25">IF($A25="","", INDEX(CS!$B$1:$B$15025,MATCH($A25,CS!$B:$B,0)+COLUMN(C$1),1))</f>
        <v>巨大な体躯</v>
      </c>
      <c r="BJ25" s="37" t="str">
        <f t="array" ref="BJ25">IF($A25="","", INDEX(CS!$B$1:$B$15025,MATCH($A25,CS!$B:$B,0)+COLUMN(D$1),1))</f>
        <v/>
      </c>
      <c r="BK25" s="37" t="str">
        <f t="array" ref="BK25">IF($A25="","", INDEX(CS!$B$1:$B$15025,MATCH($A25,CS!$B:$B,0)+COLUMN(E$1),1))</f>
        <v>踏みつけ</v>
      </c>
      <c r="BL25" s="37" t="str">
        <f t="array" ref="BL25">IF($A25="","", INDEX(CS!$B$1:$B$15025,MATCH($A25,CS!$B:$B,0)+COLUMN(F$1),1))</f>
        <v/>
      </c>
      <c r="BM25" s="37" t="str">
        <f t="array" ref="BM25">IF($A25="","", INDEX(CS!$B$1:$B$15025,MATCH($A25,CS!$B:$B,0)+COLUMN(G$1),1))</f>
        <v>巨腕薙ぎ</v>
      </c>
      <c r="BN25" s="37" t="str">
        <f t="array" ref="BN25">IF($A25="","", INDEX(CS!$B$1:$B$15025,MATCH($A25,CS!$B:$B,0)+COLUMN(H$1),1))</f>
        <v/>
      </c>
      <c r="BO25" s="37" t="str">
        <f t="array" ref="BO25">IF($A25="","", INDEX(CS!$B$1:$B$15025,MATCH($A25,CS!$B:$B,0)+COLUMN(I$1),1))</f>
        <v>地踏み</v>
      </c>
      <c r="BP25" s="37" t="str">
        <f t="array" ref="BP25">IF($A25="","", INDEX(CS!$B$1:$B$15025,MATCH($A25,CS!$B:$B,0)+COLUMN(J$1),1))</f>
        <v>巨躯</v>
      </c>
      <c r="BS25" s="74"/>
      <c r="BV25" s="37" t="s">
        <v>2659</v>
      </c>
      <c r="BW25" s="57">
        <v>250.0</v>
      </c>
      <c r="BX25" s="75">
        <v>60.0</v>
      </c>
      <c r="BY25" s="75">
        <v>30.0</v>
      </c>
      <c r="BZ25" s="75">
        <v>200.0</v>
      </c>
      <c r="CA25" s="75">
        <v>30.0</v>
      </c>
      <c r="CD25" s="75">
        <v>2.0</v>
      </c>
      <c r="CE25" s="75"/>
      <c r="CN25" s="37" t="s">
        <v>2676</v>
      </c>
      <c r="CO25" s="39" t="s">
        <v>2677</v>
      </c>
      <c r="CP25" s="39" t="s">
        <v>2678</v>
      </c>
    </row>
    <row r="26" ht="18.75" customHeight="1" outlineLevel="1">
      <c r="A26" s="37" t="s">
        <v>1252</v>
      </c>
      <c r="B26" s="71"/>
      <c r="C26" s="37" t="s">
        <v>2668</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INDEX(CS!$B$1:$B$15025,MATCH($A26,CS!$B:$B,0)+COLUMN(A$1),1))</f>
        <v>小柄</v>
      </c>
      <c r="BH26" s="37" t="str">
        <f t="array" ref="BH26">IF($A26="","", INDEX(CS!$B$1:$B$15025,MATCH($A26,CS!$B:$B,0)+COLUMN(B$1),1))</f>
        <v/>
      </c>
      <c r="BI26" s="37" t="str">
        <f t="array" ref="BI26">IF($A26="","", INDEX(CS!$B$1:$B$15025,MATCH($A26,CS!$B:$B,0)+COLUMN(C$1),1))</f>
        <v>悪知恵</v>
      </c>
      <c r="BJ26" s="37" t="str">
        <f t="array" ref="BJ26">IF($A26="","", INDEX(CS!$B$1:$B$15025,MATCH($A26,CS!$B:$B,0)+COLUMN(D$1),1))</f>
        <v/>
      </c>
      <c r="BK26" s="37" t="str">
        <f t="array" ref="BK26">IF($A26="","", INDEX(CS!$B$1:$B$15025,MATCH($A26,CS!$B:$B,0)+COLUMN(E$1),1))</f>
        <v>逃げ足</v>
      </c>
      <c r="BL26" s="37" t="str">
        <f t="array" ref="BL26">IF($A26="","", INDEX(CS!$B$1:$B$15025,MATCH($A26,CS!$B:$B,0)+COLUMN(F$1),1))</f>
        <v/>
      </c>
      <c r="BM26" s="37" t="str">
        <f t="array" ref="BM26">IF($A26="","", INDEX(CS!$B$1:$B$15025,MATCH($A26,CS!$B:$B,0)+COLUMN(G$1),1))</f>
        <v>奇襲</v>
      </c>
      <c r="BN26" s="37" t="str">
        <f t="array" ref="BN26">IF($A26="","", INDEX(CS!$B$1:$B$15025,MATCH($A26,CS!$B:$B,0)+COLUMN(H$1),1))</f>
        <v/>
      </c>
      <c r="BO26" s="37" t="str">
        <f t="array" ref="BO26">IF($A26="","", INDEX(CS!$B$1:$B$15025,MATCH($A26,CS!$B:$B,0)+COLUMN(I$1),1))</f>
        <v>罠師</v>
      </c>
      <c r="BP26" s="37" t="str">
        <f t="array" ref="BP26">IF($A26="","", INDEX(CS!$B$1:$B$15025,MATCH($A26,CS!$B:$B,0)+COLUMN(J$1),1))</f>
        <v>狡猾</v>
      </c>
      <c r="BS26" s="74"/>
      <c r="BV26" s="37" t="s">
        <v>2659</v>
      </c>
      <c r="BW26" s="57">
        <v>70.0</v>
      </c>
      <c r="BX26" s="75">
        <v>30.0</v>
      </c>
      <c r="BY26" s="75">
        <v>20.0</v>
      </c>
      <c r="BZ26" s="75">
        <v>10.0</v>
      </c>
      <c r="CA26" s="75">
        <v>10.0</v>
      </c>
      <c r="CD26" s="75">
        <v>2.0</v>
      </c>
      <c r="CE26" s="75"/>
      <c r="CN26" s="37" t="s">
        <v>2679</v>
      </c>
      <c r="CO26" s="39" t="s">
        <v>2680</v>
      </c>
      <c r="CP26" s="39" t="s">
        <v>2673</v>
      </c>
    </row>
    <row r="27" ht="18.75" customHeight="1" outlineLevel="1">
      <c r="A27" s="37" t="s">
        <v>1265</v>
      </c>
      <c r="B27" s="71"/>
      <c r="C27" s="37" t="s">
        <v>2668</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INDEX(CS!$B$1:$B$15025,MATCH($A27,CS!$B:$B,0)+COLUMN(A$1),1))</f>
        <v>樹皮</v>
      </c>
      <c r="BH27" s="37" t="str">
        <f t="array" ref="BH27">IF($A27="","", INDEX(CS!$B$1:$B$15025,MATCH($A27,CS!$B:$B,0)+COLUMN(B$1),1))</f>
        <v/>
      </c>
      <c r="BI27" s="37" t="str">
        <f t="array" ref="BI27">IF($A27="","", INDEX(CS!$B$1:$B$15025,MATCH($A27,CS!$B:$B,0)+COLUMN(C$1),1))</f>
        <v>根張り</v>
      </c>
      <c r="BJ27" s="37" t="str">
        <f t="array" ref="BJ27">IF($A27="","", INDEX(CS!$B$1:$B$15025,MATCH($A27,CS!$B:$B,0)+COLUMN(D$1),1))</f>
        <v/>
      </c>
      <c r="BK27" s="37" t="str">
        <f t="array" ref="BK27">IF($A27="","", INDEX(CS!$B$1:$B$15025,MATCH($A27,CS!$B:$B,0)+COLUMN(E$1),1))</f>
        <v>枝打ち</v>
      </c>
      <c r="BL27" s="37" t="str">
        <f t="array" ref="BL27">IF($A27="","", INDEX(CS!$B$1:$B$15025,MATCH($A27,CS!$B:$B,0)+COLUMN(F$1),1))</f>
        <v/>
      </c>
      <c r="BM27" s="37" t="str">
        <f t="array" ref="BM27">IF($A27="","", INDEX(CS!$B$1:$B$15025,MATCH($A27,CS!$B:$B,0)+COLUMN(G$1),1))</f>
        <v>森との同化</v>
      </c>
      <c r="BN27" s="37" t="str">
        <f t="array" ref="BN27">IF($A27="","", INDEX(CS!$B$1:$B$15025,MATCH($A27,CS!$B:$B,0)+COLUMN(H$1),1))</f>
        <v/>
      </c>
      <c r="BO27" s="37" t="str">
        <f t="array" ref="BO27">IF($A27="","", INDEX(CS!$B$1:$B$15025,MATCH($A27,CS!$B:$B,0)+COLUMN(I$1),1))</f>
        <v>生命樹液</v>
      </c>
      <c r="BP27" s="37" t="str">
        <f t="array" ref="BP27">IF($A27="","", INDEX(CS!$B$1:$B$15025,MATCH($A27,CS!$B:$B,0)+COLUMN(J$1),1))</f>
        <v>古木の生命力</v>
      </c>
      <c r="BS27" s="74"/>
      <c r="BV27" s="37" t="s">
        <v>2659</v>
      </c>
      <c r="BW27" s="57">
        <v>70.0</v>
      </c>
      <c r="BX27" s="75">
        <v>30.0</v>
      </c>
      <c r="BY27" s="75">
        <v>20.0</v>
      </c>
      <c r="BZ27" s="75">
        <v>10.0</v>
      </c>
      <c r="CA27" s="75">
        <v>10.0</v>
      </c>
      <c r="CD27" s="75">
        <v>2.0</v>
      </c>
      <c r="CE27" s="75"/>
      <c r="CN27" s="37" t="s">
        <v>2679</v>
      </c>
      <c r="CO27" s="39" t="s">
        <v>2681</v>
      </c>
      <c r="CP27" s="39" t="s">
        <v>2682</v>
      </c>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INDEX(CS!$B$1:$B$15025,MATCH($A28,CS!$B:$B,0)+COLUMN(A$1),1))</f>
        <v/>
      </c>
      <c r="BH28" s="37" t="str">
        <f t="array" ref="BH28">IF($A28="","", INDEX(CS!$B$1:$B$15025,MATCH($A28,CS!$B:$B,0)+COLUMN(B$1),1))</f>
        <v/>
      </c>
      <c r="BI28" s="37" t="str">
        <f t="array" ref="BI28">IF($A28="","", INDEX(CS!$B$1:$B$15025,MATCH($A28,CS!$B:$B,0)+COLUMN(C$1),1))</f>
        <v/>
      </c>
      <c r="BJ28" s="37" t="str">
        <f t="array" ref="BJ28">IF($A28="","", INDEX(CS!$B$1:$B$15025,MATCH($A28,CS!$B:$B,0)+COLUMN(D$1),1))</f>
        <v/>
      </c>
      <c r="BK28" s="37" t="str">
        <f t="array" ref="BK28">IF($A28="","", INDEX(CS!$B$1:$B$15025,MATCH($A28,CS!$B:$B,0)+COLUMN(E$1),1))</f>
        <v/>
      </c>
      <c r="BL28" s="37" t="str">
        <f t="array" ref="BL28">IF($A28="","", INDEX(CS!$B$1:$B$15025,MATCH($A28,CS!$B:$B,0)+COLUMN(F$1),1))</f>
        <v/>
      </c>
      <c r="BM28" s="37" t="str">
        <f t="array" ref="BM28">IF($A28="","", INDEX(CS!$B$1:$B$15025,MATCH($A28,CS!$B:$B,0)+COLUMN(G$1),1))</f>
        <v/>
      </c>
      <c r="BN28" s="37" t="str">
        <f t="array" ref="BN28">IF($A28="","", INDEX(CS!$B$1:$B$15025,MATCH($A28,CS!$B:$B,0)+COLUMN(H$1),1))</f>
        <v/>
      </c>
      <c r="BO28" s="37" t="str">
        <f t="array" ref="BO28">IF($A28="","", INDEX(CS!$B$1:$B$15025,MATCH($A28,CS!$B:$B,0)+COLUMN(I$1),1))</f>
        <v/>
      </c>
      <c r="BP28" s="37" t="str">
        <f t="array" ref="BP28">IF($A28="","", INDEX(CS!$B$1:$B$15025,MATCH($A28,CS!$B:$B,0)+COLUMN(J$1),1))</f>
        <v/>
      </c>
      <c r="BS28" s="74"/>
      <c r="BW28" s="57"/>
      <c r="BX28" s="75"/>
      <c r="BY28" s="75"/>
      <c r="BZ28" s="75"/>
      <c r="CA28" s="75"/>
    </row>
    <row r="29" ht="18.75" customHeight="1" outlineLevel="1">
      <c r="A29" s="77"/>
      <c r="B29" s="78" t="s">
        <v>2683</v>
      </c>
      <c r="C29" s="79"/>
      <c r="D29" s="80" t="str">
        <f t="shared" si="1"/>
        <v>0/0/0</v>
      </c>
      <c r="E29" s="79"/>
      <c r="F29" s="79"/>
      <c r="G29" s="79"/>
      <c r="H29" s="79"/>
      <c r="I29" s="79"/>
      <c r="J29" s="79"/>
      <c r="K29" s="81"/>
      <c r="L29" s="79"/>
      <c r="M29" s="79"/>
      <c r="N29" s="79"/>
      <c r="O29" s="79"/>
      <c r="P29" s="79" t="s">
        <v>29</v>
      </c>
      <c r="Q29" s="82"/>
      <c r="R29" s="82"/>
      <c r="S29" s="82"/>
      <c r="T29" s="82"/>
      <c r="U29" s="82"/>
      <c r="V29" s="82"/>
      <c r="W29" s="82"/>
      <c r="X29" s="82"/>
      <c r="Y29" s="82"/>
      <c r="Z29" s="82"/>
      <c r="AA29" s="82"/>
      <c r="AB29" s="79"/>
      <c r="AC29" s="79"/>
      <c r="AD29" s="79"/>
      <c r="AE29" s="79"/>
      <c r="AF29" s="79"/>
      <c r="AG29" s="79"/>
      <c r="AH29" s="79"/>
      <c r="AI29" s="79"/>
      <c r="AJ29" s="77"/>
      <c r="AK29" s="77"/>
      <c r="AL29" s="77"/>
      <c r="AM29" s="77"/>
      <c r="AN29" s="79"/>
      <c r="AO29" s="77"/>
      <c r="AP29" s="77"/>
      <c r="AQ29" s="77"/>
      <c r="AR29" s="77"/>
      <c r="AS29" s="77"/>
      <c r="AT29" s="77"/>
      <c r="AU29" s="77"/>
      <c r="AV29" s="77"/>
      <c r="AW29" s="79"/>
      <c r="AX29" s="79"/>
      <c r="AY29" s="77"/>
      <c r="AZ29" s="79"/>
      <c r="BA29" s="79"/>
      <c r="BB29" s="79"/>
      <c r="BC29" s="79"/>
      <c r="BD29" s="79"/>
      <c r="BE29" s="79"/>
      <c r="BF29" s="79"/>
      <c r="BG29" s="79" t="str">
        <f t="array" ref="BG29">IF($A29="","", INDEX(CS!$B$1:$B$15025,MATCH($A29,CS!$B:$B,0)+COLUMN(A$1),1))</f>
        <v/>
      </c>
      <c r="BH29" s="79" t="str">
        <f t="array" ref="BH29">IF($A29="","", INDEX(CS!$B$1:$B$15025,MATCH($A29,CS!$B:$B,0)+COLUMN(B$1),1))</f>
        <v/>
      </c>
      <c r="BI29" s="79" t="str">
        <f t="array" ref="BI29">IF($A29="","", INDEX(CS!$B$1:$B$15025,MATCH($A29,CS!$B:$B,0)+COLUMN(C$1),1))</f>
        <v/>
      </c>
      <c r="BJ29" s="79" t="str">
        <f t="array" ref="BJ29">IF($A29="","", INDEX(CS!$B$1:$B$15025,MATCH($A29,CS!$B:$B,0)+COLUMN(D$1),1))</f>
        <v/>
      </c>
      <c r="BK29" s="79" t="str">
        <f t="array" ref="BK29">IF($A29="","", INDEX(CS!$B$1:$B$15025,MATCH($A29,CS!$B:$B,0)+COLUMN(E$1),1))</f>
        <v/>
      </c>
      <c r="BL29" s="79" t="str">
        <f t="array" ref="BL29">IF($A29="","", INDEX(CS!$B$1:$B$15025,MATCH($A29,CS!$B:$B,0)+COLUMN(F$1),1))</f>
        <v/>
      </c>
      <c r="BM29" s="79" t="str">
        <f t="array" ref="BM29">IF($A29="","", INDEX(CS!$B$1:$B$15025,MATCH($A29,CS!$B:$B,0)+COLUMN(G$1),1))</f>
        <v/>
      </c>
      <c r="BN29" s="79" t="str">
        <f t="array" ref="BN29">IF($A29="","", INDEX(CS!$B$1:$B$15025,MATCH($A29,CS!$B:$B,0)+COLUMN(H$1),1))</f>
        <v/>
      </c>
      <c r="BO29" s="79" t="str">
        <f t="array" ref="BO29">IF($A29="","", INDEX(CS!$B$1:$B$15025,MATCH($A29,CS!$B:$B,0)+COLUMN(I$1),1))</f>
        <v/>
      </c>
      <c r="BP29" s="79" t="str">
        <f t="array" ref="BP29">IF($A29="","", INDEX(CS!$B$1:$B$15025,MATCH($A29,CS!$B:$B,0)+COLUMN(J$1),1))</f>
        <v/>
      </c>
      <c r="BQ29" s="79"/>
      <c r="BR29" s="79"/>
      <c r="BS29" s="83"/>
      <c r="BT29" s="79"/>
      <c r="BU29" s="79"/>
      <c r="BV29" s="79"/>
      <c r="BW29" s="82"/>
      <c r="BX29" s="82"/>
      <c r="BY29" s="82"/>
      <c r="BZ29" s="77"/>
      <c r="CA29" s="77"/>
      <c r="CB29" s="82"/>
      <c r="CC29" s="79"/>
      <c r="CD29" s="82"/>
      <c r="CE29" s="82"/>
      <c r="CF29" s="79"/>
      <c r="CG29" s="79"/>
      <c r="CH29" s="79"/>
      <c r="CI29" s="79"/>
      <c r="CJ29" s="79"/>
      <c r="CK29" s="79"/>
      <c r="CL29" s="79"/>
      <c r="CM29" s="79"/>
      <c r="CN29" s="79"/>
      <c r="CO29" s="79"/>
      <c r="CP29" s="79"/>
    </row>
    <row r="30" ht="18.75" customHeight="1" outlineLevel="1">
      <c r="A30" s="41" t="s">
        <v>1280</v>
      </c>
      <c r="B30" s="71"/>
      <c r="C30" s="37" t="s">
        <v>2684</v>
      </c>
      <c r="D30" s="72" t="str">
        <f t="shared" si="1"/>
        <v>710/515/195</v>
      </c>
      <c r="E30" s="37">
        <v>1.0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G30" s="37" t="str">
        <f t="array" ref="BG30">IF($A30="","", INDEX(CS!$B$1:$B$15025,MATCH($A30,CS!$B:$B,0)+COLUMN(A$1),1))</f>
        <v>牙</v>
      </c>
      <c r="BH30" s="37" t="str">
        <f t="array" ref="BH30">IF($A30="","", INDEX(CS!$B$1:$B$15025,MATCH($A30,CS!$B:$B,0)+COLUMN(B$1),1))</f>
        <v>邪視</v>
      </c>
      <c r="BI30" s="37" t="str">
        <f t="array" ref="BI30">IF($A30="","", INDEX(CS!$B$1:$B$15025,MATCH($A30,CS!$B:$B,0)+COLUMN(C$1),1))</f>
        <v>爪</v>
      </c>
      <c r="BJ30" s="37" t="str">
        <f t="array" ref="BJ30">IF($A30="","", INDEX(CS!$B$1:$B$15025,MATCH($A30,CS!$B:$B,0)+COLUMN(D$1),1))</f>
        <v/>
      </c>
      <c r="BK30" s="37" t="str">
        <f t="array" ref="BK30">IF($A30="","", INDEX(CS!$B$1:$B$15025,MATCH($A30,CS!$B:$B,0)+COLUMN(E$1),1))</f>
        <v>悪魔の槍</v>
      </c>
      <c r="BL30" s="37" t="str">
        <f t="array" ref="BL30">IF($A30="","", INDEX(CS!$B$1:$B$15025,MATCH($A30,CS!$B:$B,0)+COLUMN(F$1),1))</f>
        <v>悪の魔力</v>
      </c>
      <c r="BM30" s="37" t="str">
        <f t="array" ref="BM30">IF($A30="","", INDEX(CS!$B$1:$B$15025,MATCH($A30,CS!$B:$B,0)+COLUMN(G$1),1))</f>
        <v>悪魔の外皮</v>
      </c>
      <c r="BN30" s="37" t="str">
        <f t="array" ref="BN30">IF($A30="","", INDEX(CS!$B$1:$B$15025,MATCH($A30,CS!$B:$B,0)+COLUMN(H$1),1))</f>
        <v/>
      </c>
      <c r="BO30" s="37" t="str">
        <f t="array" ref="BO30">IF($A30="","", INDEX(CS!$B$1:$B$15025,MATCH($A30,CS!$B:$B,0)+COLUMN(I$1),1))</f>
        <v>悪魔の威圧</v>
      </c>
      <c r="BP30" s="37" t="str">
        <f t="array" ref="BP30">IF($A30="","", INDEX(CS!$B$1:$B$15025,MATCH($A30,CS!$B:$B,0)+COLUMN(J$1),1))</f>
        <v>次元の扉</v>
      </c>
      <c r="BS30" s="74"/>
      <c r="BV30" s="37" t="s">
        <v>2627</v>
      </c>
      <c r="BW30" s="57">
        <v>30.0</v>
      </c>
      <c r="BX30" s="75">
        <v>0.0</v>
      </c>
      <c r="BY30" s="75">
        <v>0.0</v>
      </c>
      <c r="BZ30" s="84">
        <v>35.0</v>
      </c>
      <c r="CA30" s="84">
        <v>15.0</v>
      </c>
      <c r="CB30" s="75">
        <v>10.0</v>
      </c>
      <c r="CD30" s="75">
        <v>2.0</v>
      </c>
      <c r="CE30" s="75"/>
      <c r="CN30" s="37" t="s">
        <v>2685</v>
      </c>
      <c r="CO30" s="39" t="s">
        <v>2686</v>
      </c>
      <c r="CP30" s="39" t="s">
        <v>2673</v>
      </c>
    </row>
    <row r="31" ht="18.75" customHeight="1" outlineLevel="1">
      <c r="A31" s="39" t="s">
        <v>2687</v>
      </c>
      <c r="B31" s="71"/>
      <c r="C31" s="37" t="s">
        <v>2684</v>
      </c>
      <c r="D31" s="72" t="str">
        <f t="shared" si="1"/>
        <v>710/515/195</v>
      </c>
      <c r="E31" s="39">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R31" s="39" t="s">
        <v>2688</v>
      </c>
      <c r="BS31" s="74"/>
      <c r="BU31" s="39" t="s">
        <v>2689</v>
      </c>
      <c r="BV31" s="37" t="s">
        <v>2627</v>
      </c>
      <c r="BW31" s="57">
        <v>30.0</v>
      </c>
      <c r="BX31" s="75">
        <v>0.0</v>
      </c>
      <c r="BY31" s="75">
        <v>0.0</v>
      </c>
      <c r="BZ31" s="84">
        <v>35.0</v>
      </c>
      <c r="CA31" s="84">
        <v>15.0</v>
      </c>
      <c r="CB31" s="75">
        <v>10.0</v>
      </c>
      <c r="CD31" s="75">
        <v>2.0</v>
      </c>
      <c r="CE31" s="75"/>
      <c r="CN31" s="37" t="s">
        <v>2685</v>
      </c>
      <c r="CO31" s="39" t="s">
        <v>2686</v>
      </c>
      <c r="CP31" s="39" t="s">
        <v>2673</v>
      </c>
    </row>
    <row r="32" ht="18.75" customHeight="1" outlineLevel="1">
      <c r="A32" s="39" t="s">
        <v>2690</v>
      </c>
      <c r="B32" s="71"/>
      <c r="C32" s="37" t="s">
        <v>2684</v>
      </c>
      <c r="D32" s="72" t="str">
        <f t="shared" si="1"/>
        <v>710/515/195</v>
      </c>
      <c r="E32" s="39">
        <v>2.0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R32" s="39" t="s">
        <v>2688</v>
      </c>
      <c r="BS32" s="74"/>
      <c r="BU32" s="39" t="s">
        <v>2689</v>
      </c>
      <c r="BV32" s="37" t="s">
        <v>2627</v>
      </c>
      <c r="BW32" s="57">
        <v>30.0</v>
      </c>
      <c r="BX32" s="75">
        <v>0.0</v>
      </c>
      <c r="BY32" s="75">
        <v>0.0</v>
      </c>
      <c r="BZ32" s="84">
        <v>35.0</v>
      </c>
      <c r="CA32" s="84">
        <v>15.0</v>
      </c>
      <c r="CB32" s="75">
        <v>10.0</v>
      </c>
      <c r="CD32" s="75">
        <v>2.0</v>
      </c>
      <c r="CE32" s="75"/>
      <c r="CN32" s="37" t="s">
        <v>2685</v>
      </c>
      <c r="CO32" s="39" t="s">
        <v>2686</v>
      </c>
      <c r="CP32" s="39" t="s">
        <v>2673</v>
      </c>
    </row>
    <row r="33" ht="18.75" customHeight="1" outlineLevel="1">
      <c r="A33" s="39" t="s">
        <v>2691</v>
      </c>
      <c r="B33" s="71"/>
      <c r="C33" s="37" t="s">
        <v>2684</v>
      </c>
      <c r="D33" s="72" t="str">
        <f t="shared" si="1"/>
        <v>710/515/195</v>
      </c>
      <c r="E33" s="39">
        <v>2.0</v>
      </c>
      <c r="F33" s="37">
        <v>90.0</v>
      </c>
      <c r="I33" s="37">
        <v>80.0</v>
      </c>
      <c r="J33" s="37">
        <v>70.0</v>
      </c>
      <c r="K33" s="73">
        <v>80.0</v>
      </c>
      <c r="L33" s="37">
        <v>60.0</v>
      </c>
      <c r="M33" s="37">
        <v>70.0</v>
      </c>
      <c r="N33" s="37">
        <v>65.0</v>
      </c>
      <c r="O33" s="37">
        <v>170.0</v>
      </c>
      <c r="P33" s="39">
        <v>-100.0</v>
      </c>
      <c r="Q33" s="64">
        <v>10.0</v>
      </c>
      <c r="R33" s="64">
        <v>5.0</v>
      </c>
      <c r="S33" s="64"/>
      <c r="T33" s="64"/>
      <c r="U33" s="64"/>
      <c r="V33" s="64"/>
      <c r="W33" s="64">
        <v>15.0</v>
      </c>
      <c r="X33" s="64">
        <v>15.0</v>
      </c>
      <c r="Y33" s="64"/>
      <c r="Z33" s="64"/>
      <c r="AA33" s="64">
        <v>-30.0</v>
      </c>
      <c r="AB33" s="37">
        <v>15.0</v>
      </c>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R33" s="39" t="s">
        <v>2688</v>
      </c>
      <c r="BS33" s="74"/>
      <c r="BU33" s="39" t="s">
        <v>2689</v>
      </c>
      <c r="BV33" s="37" t="s">
        <v>2627</v>
      </c>
      <c r="BW33" s="57">
        <v>30.0</v>
      </c>
      <c r="BX33" s="75">
        <v>0.0</v>
      </c>
      <c r="BY33" s="75">
        <v>0.0</v>
      </c>
      <c r="BZ33" s="84">
        <v>35.0</v>
      </c>
      <c r="CA33" s="84">
        <v>15.0</v>
      </c>
      <c r="CB33" s="75">
        <v>10.0</v>
      </c>
      <c r="CD33" s="75">
        <v>2.0</v>
      </c>
      <c r="CE33" s="75"/>
      <c r="CN33" s="37" t="s">
        <v>2685</v>
      </c>
      <c r="CO33" s="39" t="s">
        <v>2686</v>
      </c>
      <c r="CP33" s="39" t="s">
        <v>2673</v>
      </c>
    </row>
    <row r="34" ht="18.75" customHeight="1" outlineLevel="1">
      <c r="A34" s="39" t="s">
        <v>2692</v>
      </c>
      <c r="B34" s="71"/>
      <c r="C34" s="37" t="s">
        <v>2684</v>
      </c>
      <c r="D34" s="72" t="str">
        <f t="shared" si="1"/>
        <v>710/515/195</v>
      </c>
      <c r="E34" s="39">
        <v>2.0</v>
      </c>
      <c r="F34" s="37">
        <v>90.0</v>
      </c>
      <c r="I34" s="37">
        <v>80.0</v>
      </c>
      <c r="J34" s="37">
        <v>70.0</v>
      </c>
      <c r="K34" s="73">
        <v>80.0</v>
      </c>
      <c r="L34" s="37">
        <v>60.0</v>
      </c>
      <c r="M34" s="37">
        <v>70.0</v>
      </c>
      <c r="N34" s="37">
        <v>65.0</v>
      </c>
      <c r="O34" s="37">
        <v>170.0</v>
      </c>
      <c r="P34" s="39">
        <v>-100.0</v>
      </c>
      <c r="Q34" s="64">
        <v>10.0</v>
      </c>
      <c r="R34" s="64">
        <v>5.0</v>
      </c>
      <c r="S34" s="64"/>
      <c r="T34" s="64"/>
      <c r="U34" s="64"/>
      <c r="V34" s="64"/>
      <c r="W34" s="64">
        <v>15.0</v>
      </c>
      <c r="X34" s="64">
        <v>15.0</v>
      </c>
      <c r="Y34" s="64"/>
      <c r="Z34" s="64"/>
      <c r="AA34" s="64">
        <v>-30.0</v>
      </c>
      <c r="AB34" s="37">
        <v>15.0</v>
      </c>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2688</v>
      </c>
      <c r="BS34" s="74"/>
      <c r="BU34" s="39" t="s">
        <v>2689</v>
      </c>
      <c r="BV34" s="37" t="s">
        <v>2627</v>
      </c>
      <c r="BW34" s="57">
        <v>30.0</v>
      </c>
      <c r="BX34" s="75">
        <v>0.0</v>
      </c>
      <c r="BY34" s="75">
        <v>0.0</v>
      </c>
      <c r="BZ34" s="84">
        <v>35.0</v>
      </c>
      <c r="CA34" s="84">
        <v>15.0</v>
      </c>
      <c r="CB34" s="75">
        <v>10.0</v>
      </c>
      <c r="CD34" s="75">
        <v>2.0</v>
      </c>
      <c r="CE34" s="75"/>
      <c r="CN34" s="37" t="s">
        <v>2685</v>
      </c>
      <c r="CO34" s="39" t="s">
        <v>2686</v>
      </c>
      <c r="CP34" s="39" t="s">
        <v>2673</v>
      </c>
    </row>
    <row r="35" ht="18.75" customHeight="1" outlineLevel="1">
      <c r="A35" s="39" t="s">
        <v>2693</v>
      </c>
      <c r="B35" s="71"/>
      <c r="C35" s="37" t="s">
        <v>2684</v>
      </c>
      <c r="D35" s="72" t="str">
        <f t="shared" si="1"/>
        <v>710/515/195</v>
      </c>
      <c r="E35" s="39">
        <v>2.0</v>
      </c>
      <c r="F35" s="37">
        <v>90.0</v>
      </c>
      <c r="I35" s="37">
        <v>80.0</v>
      </c>
      <c r="J35" s="37">
        <v>70.0</v>
      </c>
      <c r="K35" s="73">
        <v>80.0</v>
      </c>
      <c r="L35" s="37">
        <v>60.0</v>
      </c>
      <c r="M35" s="37">
        <v>70.0</v>
      </c>
      <c r="N35" s="37">
        <v>65.0</v>
      </c>
      <c r="O35" s="37">
        <v>170.0</v>
      </c>
      <c r="P35" s="39">
        <v>-100.0</v>
      </c>
      <c r="Q35" s="64">
        <v>10.0</v>
      </c>
      <c r="R35" s="64">
        <v>5.0</v>
      </c>
      <c r="S35" s="64"/>
      <c r="T35" s="64"/>
      <c r="U35" s="64"/>
      <c r="V35" s="64"/>
      <c r="W35" s="64">
        <v>15.0</v>
      </c>
      <c r="X35" s="64">
        <v>15.0</v>
      </c>
      <c r="Y35" s="64"/>
      <c r="Z35" s="64"/>
      <c r="AA35" s="64">
        <v>-30.0</v>
      </c>
      <c r="AB35" s="37">
        <v>15.0</v>
      </c>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2688</v>
      </c>
      <c r="BS35" s="74"/>
      <c r="BU35" s="39" t="s">
        <v>2689</v>
      </c>
      <c r="BV35" s="37" t="s">
        <v>2627</v>
      </c>
      <c r="BW35" s="57">
        <v>30.0</v>
      </c>
      <c r="BX35" s="75">
        <v>0.0</v>
      </c>
      <c r="BY35" s="75">
        <v>0.0</v>
      </c>
      <c r="BZ35" s="84">
        <v>35.0</v>
      </c>
      <c r="CA35" s="84">
        <v>15.0</v>
      </c>
      <c r="CB35" s="75">
        <v>10.0</v>
      </c>
      <c r="CD35" s="75">
        <v>2.0</v>
      </c>
      <c r="CE35" s="75"/>
      <c r="CN35" s="37" t="s">
        <v>2685</v>
      </c>
      <c r="CO35" s="39" t="s">
        <v>2686</v>
      </c>
      <c r="CP35" s="39" t="s">
        <v>2673</v>
      </c>
    </row>
    <row r="36" ht="18.75" customHeight="1" outlineLevel="1">
      <c r="A36" s="39" t="s">
        <v>2694</v>
      </c>
      <c r="B36" s="71"/>
      <c r="C36" s="37" t="s">
        <v>2684</v>
      </c>
      <c r="D36" s="72" t="str">
        <f t="shared" si="1"/>
        <v>710/515/195</v>
      </c>
      <c r="E36" s="39">
        <v>2.0</v>
      </c>
      <c r="F36" s="37">
        <v>90.0</v>
      </c>
      <c r="I36" s="37">
        <v>80.0</v>
      </c>
      <c r="J36" s="37">
        <v>70.0</v>
      </c>
      <c r="K36" s="73">
        <v>80.0</v>
      </c>
      <c r="L36" s="37">
        <v>60.0</v>
      </c>
      <c r="M36" s="37">
        <v>70.0</v>
      </c>
      <c r="N36" s="37">
        <v>65.0</v>
      </c>
      <c r="O36" s="37">
        <v>170.0</v>
      </c>
      <c r="P36" s="39">
        <v>-100.0</v>
      </c>
      <c r="Q36" s="64">
        <v>10.0</v>
      </c>
      <c r="R36" s="64">
        <v>5.0</v>
      </c>
      <c r="S36" s="64"/>
      <c r="T36" s="64"/>
      <c r="U36" s="64"/>
      <c r="V36" s="64"/>
      <c r="W36" s="64">
        <v>15.0</v>
      </c>
      <c r="X36" s="64">
        <v>15.0</v>
      </c>
      <c r="Y36" s="64"/>
      <c r="Z36" s="64"/>
      <c r="AA36" s="64">
        <v>-30.0</v>
      </c>
      <c r="AB36" s="37">
        <v>15.0</v>
      </c>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2688</v>
      </c>
      <c r="BS36" s="74"/>
      <c r="BU36" s="39" t="s">
        <v>2695</v>
      </c>
      <c r="BV36" s="37" t="s">
        <v>2627</v>
      </c>
      <c r="BW36" s="57">
        <v>30.0</v>
      </c>
      <c r="BX36" s="75">
        <v>0.0</v>
      </c>
      <c r="BY36" s="75">
        <v>0.0</v>
      </c>
      <c r="BZ36" s="84">
        <v>35.0</v>
      </c>
      <c r="CA36" s="84">
        <v>15.0</v>
      </c>
      <c r="CB36" s="75">
        <v>10.0</v>
      </c>
      <c r="CD36" s="75">
        <v>2.0</v>
      </c>
      <c r="CE36" s="75"/>
      <c r="CN36" s="37" t="s">
        <v>2685</v>
      </c>
      <c r="CO36" s="39" t="s">
        <v>2686</v>
      </c>
      <c r="CP36" s="39" t="s">
        <v>2673</v>
      </c>
    </row>
    <row r="37" ht="18.75" customHeight="1" outlineLevel="1">
      <c r="A37" s="39" t="s">
        <v>147</v>
      </c>
      <c r="B37" s="71"/>
      <c r="C37" s="37" t="s">
        <v>2684</v>
      </c>
      <c r="D37" s="72" t="str">
        <f t="shared" si="1"/>
        <v>710/515/195</v>
      </c>
      <c r="E37" s="39">
        <v>2.0</v>
      </c>
      <c r="F37" s="37">
        <v>90.0</v>
      </c>
      <c r="I37" s="37">
        <v>80.0</v>
      </c>
      <c r="J37" s="37">
        <v>70.0</v>
      </c>
      <c r="K37" s="73">
        <v>80.0</v>
      </c>
      <c r="L37" s="37">
        <v>60.0</v>
      </c>
      <c r="M37" s="37">
        <v>70.0</v>
      </c>
      <c r="N37" s="37">
        <v>65.0</v>
      </c>
      <c r="O37" s="37">
        <v>170.0</v>
      </c>
      <c r="P37" s="39">
        <v>-100.0</v>
      </c>
      <c r="Q37" s="64">
        <v>10.0</v>
      </c>
      <c r="R37" s="64">
        <v>5.0</v>
      </c>
      <c r="S37" s="64"/>
      <c r="T37" s="64"/>
      <c r="U37" s="64"/>
      <c r="V37" s="64"/>
      <c r="W37" s="64">
        <v>15.0</v>
      </c>
      <c r="X37" s="64">
        <v>15.0</v>
      </c>
      <c r="Y37" s="64"/>
      <c r="Z37" s="64"/>
      <c r="AA37" s="64">
        <v>-30.0</v>
      </c>
      <c r="AB37" s="37">
        <v>15.0</v>
      </c>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2688</v>
      </c>
      <c r="BS37" s="74"/>
      <c r="BU37" s="39" t="s">
        <v>2695</v>
      </c>
      <c r="BV37" s="37" t="s">
        <v>2627</v>
      </c>
      <c r="BW37" s="57">
        <v>30.0</v>
      </c>
      <c r="BX37" s="75">
        <v>0.0</v>
      </c>
      <c r="BY37" s="75">
        <v>0.0</v>
      </c>
      <c r="BZ37" s="84">
        <v>35.0</v>
      </c>
      <c r="CA37" s="84">
        <v>15.0</v>
      </c>
      <c r="CB37" s="75">
        <v>10.0</v>
      </c>
      <c r="CD37" s="75">
        <v>2.0</v>
      </c>
      <c r="CE37" s="75"/>
      <c r="CN37" s="37" t="s">
        <v>2685</v>
      </c>
      <c r="CO37" s="39" t="s">
        <v>2686</v>
      </c>
      <c r="CP37" s="39" t="s">
        <v>2673</v>
      </c>
    </row>
    <row r="38" ht="18.75" customHeight="1" outlineLevel="1">
      <c r="A38" s="39" t="s">
        <v>2696</v>
      </c>
      <c r="B38" s="71"/>
      <c r="C38" s="37" t="s">
        <v>2684</v>
      </c>
      <c r="D38" s="72" t="str">
        <f t="shared" si="1"/>
        <v>710/515/195</v>
      </c>
      <c r="E38" s="39">
        <v>2.0</v>
      </c>
      <c r="F38" s="37">
        <v>90.0</v>
      </c>
      <c r="I38" s="37">
        <v>80.0</v>
      </c>
      <c r="J38" s="37">
        <v>70.0</v>
      </c>
      <c r="K38" s="73">
        <v>80.0</v>
      </c>
      <c r="L38" s="37">
        <v>60.0</v>
      </c>
      <c r="M38" s="37">
        <v>70.0</v>
      </c>
      <c r="N38" s="37">
        <v>65.0</v>
      </c>
      <c r="O38" s="37">
        <v>170.0</v>
      </c>
      <c r="P38" s="39">
        <v>-100.0</v>
      </c>
      <c r="Q38" s="64">
        <v>10.0</v>
      </c>
      <c r="R38" s="64">
        <v>5.0</v>
      </c>
      <c r="S38" s="64"/>
      <c r="T38" s="64"/>
      <c r="U38" s="64"/>
      <c r="V38" s="64"/>
      <c r="W38" s="64">
        <v>15.0</v>
      </c>
      <c r="X38" s="64">
        <v>15.0</v>
      </c>
      <c r="Y38" s="64"/>
      <c r="Z38" s="64"/>
      <c r="AA38" s="64">
        <v>-30.0</v>
      </c>
      <c r="AB38" s="37">
        <v>15.0</v>
      </c>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2688</v>
      </c>
      <c r="BS38" s="74"/>
      <c r="BU38" s="39" t="s">
        <v>2695</v>
      </c>
      <c r="BV38" s="37" t="s">
        <v>2627</v>
      </c>
      <c r="BW38" s="57">
        <v>30.0</v>
      </c>
      <c r="BX38" s="75">
        <v>0.0</v>
      </c>
      <c r="BY38" s="75">
        <v>0.0</v>
      </c>
      <c r="BZ38" s="84">
        <v>35.0</v>
      </c>
      <c r="CA38" s="84">
        <v>15.0</v>
      </c>
      <c r="CB38" s="75">
        <v>10.0</v>
      </c>
      <c r="CD38" s="75">
        <v>2.0</v>
      </c>
      <c r="CE38" s="75"/>
      <c r="CN38" s="37" t="s">
        <v>2685</v>
      </c>
      <c r="CO38" s="39" t="s">
        <v>2686</v>
      </c>
      <c r="CP38" s="39" t="s">
        <v>2673</v>
      </c>
    </row>
    <row r="39" ht="18.75" customHeight="1" outlineLevel="1">
      <c r="A39" s="39" t="s">
        <v>2697</v>
      </c>
      <c r="B39" s="71"/>
      <c r="C39" s="37" t="s">
        <v>2684</v>
      </c>
      <c r="D39" s="72" t="str">
        <f t="shared" si="1"/>
        <v>710/515/195</v>
      </c>
      <c r="E39" s="39">
        <v>2.0</v>
      </c>
      <c r="F39" s="37">
        <v>90.0</v>
      </c>
      <c r="I39" s="37">
        <v>80.0</v>
      </c>
      <c r="J39" s="37">
        <v>70.0</v>
      </c>
      <c r="K39" s="73">
        <v>80.0</v>
      </c>
      <c r="L39" s="37">
        <v>60.0</v>
      </c>
      <c r="M39" s="37">
        <v>70.0</v>
      </c>
      <c r="N39" s="37">
        <v>65.0</v>
      </c>
      <c r="O39" s="37">
        <v>170.0</v>
      </c>
      <c r="P39" s="39">
        <v>-100.0</v>
      </c>
      <c r="Q39" s="64">
        <v>10.0</v>
      </c>
      <c r="R39" s="64">
        <v>5.0</v>
      </c>
      <c r="S39" s="64"/>
      <c r="T39" s="64"/>
      <c r="U39" s="64"/>
      <c r="V39" s="64"/>
      <c r="W39" s="64">
        <v>15.0</v>
      </c>
      <c r="X39" s="64">
        <v>15.0</v>
      </c>
      <c r="Y39" s="64"/>
      <c r="Z39" s="64"/>
      <c r="AA39" s="64">
        <v>-30.0</v>
      </c>
      <c r="AB39" s="37">
        <v>15.0</v>
      </c>
      <c r="AJ39" s="41">
        <v>50.0</v>
      </c>
      <c r="AK39" s="41">
        <v>50.0</v>
      </c>
      <c r="AL39" s="41">
        <v>35.0</v>
      </c>
      <c r="AM39" s="41">
        <v>15.0</v>
      </c>
      <c r="AN39" s="39">
        <v>0.0</v>
      </c>
      <c r="AO39" s="41">
        <v>0.0</v>
      </c>
      <c r="AP39" s="41">
        <v>0.0</v>
      </c>
      <c r="AQ39" s="41">
        <v>35.0</v>
      </c>
      <c r="AR39" s="41">
        <v>35.0</v>
      </c>
      <c r="AS39" s="41">
        <v>-25.0</v>
      </c>
      <c r="AT39" s="41">
        <v>-25.0</v>
      </c>
      <c r="AU39" s="41">
        <v>-25.0</v>
      </c>
      <c r="AV39" s="41">
        <v>-25.0</v>
      </c>
      <c r="AW39" s="39">
        <v>0.0</v>
      </c>
      <c r="AX39" s="39">
        <v>0.0</v>
      </c>
      <c r="AY39" s="41">
        <v>75.0</v>
      </c>
      <c r="AZ39" s="39">
        <v>0.0</v>
      </c>
      <c r="BA39" s="39">
        <v>0.0</v>
      </c>
      <c r="BB39" s="39">
        <v>100.0</v>
      </c>
      <c r="BC39" s="39">
        <v>100.0</v>
      </c>
      <c r="BD39" s="39">
        <v>0.0</v>
      </c>
      <c r="BE39" s="39">
        <v>0.0</v>
      </c>
      <c r="BF39" s="39">
        <v>50.0</v>
      </c>
      <c r="BR39" s="39" t="s">
        <v>2688</v>
      </c>
      <c r="BS39" s="74"/>
      <c r="BU39" s="39" t="s">
        <v>2695</v>
      </c>
      <c r="BV39" s="37" t="s">
        <v>2627</v>
      </c>
      <c r="BW39" s="57">
        <v>30.0</v>
      </c>
      <c r="BX39" s="75">
        <v>0.0</v>
      </c>
      <c r="BY39" s="75">
        <v>0.0</v>
      </c>
      <c r="BZ39" s="84">
        <v>35.0</v>
      </c>
      <c r="CA39" s="84">
        <v>15.0</v>
      </c>
      <c r="CB39" s="75">
        <v>10.0</v>
      </c>
      <c r="CD39" s="75">
        <v>2.0</v>
      </c>
      <c r="CE39" s="75"/>
      <c r="CN39" s="37" t="s">
        <v>2685</v>
      </c>
      <c r="CO39" s="39" t="s">
        <v>2686</v>
      </c>
      <c r="CP39" s="39" t="s">
        <v>2673</v>
      </c>
    </row>
    <row r="40" ht="18.75" customHeight="1" outlineLevel="1">
      <c r="A40" s="39"/>
      <c r="B40" s="71"/>
      <c r="C40" s="39"/>
      <c r="D40" s="72" t="str">
        <f t="shared" si="1"/>
        <v>0/0/0</v>
      </c>
      <c r="E40" s="37">
        <v>1.0</v>
      </c>
      <c r="K40" s="73"/>
      <c r="P40" s="37" t="s">
        <v>29</v>
      </c>
      <c r="Q40" s="64"/>
      <c r="R40" s="64"/>
      <c r="S40" s="64"/>
      <c r="T40" s="64"/>
      <c r="U40" s="64"/>
      <c r="V40" s="64"/>
      <c r="W40" s="64"/>
      <c r="X40" s="64"/>
      <c r="Y40" s="64"/>
      <c r="Z40" s="64"/>
      <c r="AA40" s="64"/>
      <c r="BG40" s="37" t="str">
        <f t="array" ref="BG40">IF($A40="","", INDEX(CS!$B$1:$B$15025,MATCH($A40,CS!$B:$B,0)+COLUMN(A$1),1))</f>
        <v/>
      </c>
      <c r="BH40" s="37" t="str">
        <f t="array" ref="BH40">IF($A40="","", INDEX(CS!$B$1:$B$15025,MATCH($A40,CS!$B:$B,0)+COLUMN(B$1),1))</f>
        <v/>
      </c>
      <c r="BI40" s="37" t="str">
        <f t="array" ref="BI40">IF($A40="","", INDEX(CS!$B$1:$B$15025,MATCH($A40,CS!$B:$B,0)+COLUMN(C$1),1))</f>
        <v/>
      </c>
      <c r="BJ40" s="37" t="str">
        <f t="array" ref="BJ40">IF($A40="","", INDEX(CS!$B$1:$B$15025,MATCH($A40,CS!$B:$B,0)+COLUMN(D$1),1))</f>
        <v/>
      </c>
      <c r="BK40" s="37" t="str">
        <f t="array" ref="BK40">IF($A40="","", INDEX(CS!$B$1:$B$15025,MATCH($A40,CS!$B:$B,0)+COLUMN(E$1),1))</f>
        <v/>
      </c>
      <c r="BL40" s="37" t="str">
        <f t="array" ref="BL40">IF($A40="","", INDEX(CS!$B$1:$B$15025,MATCH($A40,CS!$B:$B,0)+COLUMN(F$1),1))</f>
        <v/>
      </c>
      <c r="BM40" s="37" t="str">
        <f t="array" ref="BM40">IF($A40="","", INDEX(CS!$B$1:$B$15025,MATCH($A40,CS!$B:$B,0)+COLUMN(G$1),1))</f>
        <v/>
      </c>
      <c r="BN40" s="37" t="str">
        <f t="array" ref="BN40">IF($A40="","", INDEX(CS!$B$1:$B$15025,MATCH($A40,CS!$B:$B,0)+COLUMN(H$1),1))</f>
        <v/>
      </c>
      <c r="BO40" s="37" t="str">
        <f t="array" ref="BO40">IF($A40="","", INDEX(CS!$B$1:$B$15025,MATCH($A40,CS!$B:$B,0)+COLUMN(I$1),1))</f>
        <v/>
      </c>
      <c r="BP40" s="37" t="str">
        <f t="array" ref="BP40">IF($A40="","", INDEX(CS!$B$1:$B$15025,MATCH($A40,CS!$B:$B,0)+COLUMN(J$1),1))</f>
        <v/>
      </c>
      <c r="BS40" s="74"/>
      <c r="BW40" s="57"/>
      <c r="BX40" s="75"/>
      <c r="BY40" s="75"/>
      <c r="BZ40" s="75"/>
      <c r="CA40" s="75"/>
    </row>
    <row r="41" ht="18.75" customHeight="1" outlineLevel="1">
      <c r="A41" s="79"/>
      <c r="B41" s="78" t="s">
        <v>2698</v>
      </c>
      <c r="C41" s="79"/>
      <c r="D41" s="80" t="str">
        <f t="shared" si="1"/>
        <v>0/0/0</v>
      </c>
      <c r="E41" s="79"/>
      <c r="F41" s="79"/>
      <c r="G41" s="79"/>
      <c r="H41" s="79"/>
      <c r="I41" s="79"/>
      <c r="J41" s="79"/>
      <c r="K41" s="81"/>
      <c r="L41" s="79"/>
      <c r="M41" s="79"/>
      <c r="N41" s="79"/>
      <c r="O41" s="79"/>
      <c r="P41" s="79" t="s">
        <v>29</v>
      </c>
      <c r="Q41" s="82"/>
      <c r="R41" s="82"/>
      <c r="S41" s="82"/>
      <c r="T41" s="82"/>
      <c r="U41" s="82"/>
      <c r="V41" s="82"/>
      <c r="W41" s="82"/>
      <c r="X41" s="82"/>
      <c r="Y41" s="82"/>
      <c r="Z41" s="82"/>
      <c r="AA41" s="82"/>
      <c r="AB41" s="82"/>
      <c r="AC41" s="79"/>
      <c r="AD41" s="79"/>
      <c r="AE41" s="79"/>
      <c r="AF41" s="79"/>
      <c r="AG41" s="79"/>
      <c r="AH41" s="79"/>
      <c r="AI41" s="79"/>
      <c r="AJ41" s="77"/>
      <c r="AK41" s="79"/>
      <c r="AL41" s="79"/>
      <c r="AM41" s="77"/>
      <c r="AN41" s="77"/>
      <c r="AO41" s="77"/>
      <c r="AP41" s="77"/>
      <c r="AQ41" s="77"/>
      <c r="AR41" s="77"/>
      <c r="AS41" s="77"/>
      <c r="AT41" s="77"/>
      <c r="AU41" s="77"/>
      <c r="AV41" s="77"/>
      <c r="AW41" s="79"/>
      <c r="AX41" s="79"/>
      <c r="AY41" s="79"/>
      <c r="AZ41" s="77"/>
      <c r="BA41" s="79"/>
      <c r="BB41" s="79"/>
      <c r="BC41" s="79"/>
      <c r="BD41" s="79"/>
      <c r="BE41" s="79"/>
      <c r="BF41" s="79"/>
      <c r="BG41" s="79" t="str">
        <f t="array" ref="BG41">IF($A41="","", INDEX(CS!$B$1:$B$15025,MATCH($A41,CS!$B:$B,0)+COLUMN(A$1),1))</f>
        <v/>
      </c>
      <c r="BH41" s="79" t="str">
        <f t="array" ref="BH41">IF($A41="","", INDEX(CS!$B$1:$B$15025,MATCH($A41,CS!$B:$B,0)+COLUMN(B$1),1))</f>
        <v/>
      </c>
      <c r="BI41" s="79" t="str">
        <f t="array" ref="BI41">IF($A41="","", INDEX(CS!$B$1:$B$15025,MATCH($A41,CS!$B:$B,0)+COLUMN(C$1),1))</f>
        <v/>
      </c>
      <c r="BJ41" s="79" t="str">
        <f t="array" ref="BJ41">IF($A41="","", INDEX(CS!$B$1:$B$15025,MATCH($A41,CS!$B:$B,0)+COLUMN(D$1),1))</f>
        <v/>
      </c>
      <c r="BK41" s="79" t="str">
        <f t="array" ref="BK41">IF($A41="","", INDEX(CS!$B$1:$B$15025,MATCH($A41,CS!$B:$B,0)+COLUMN(E$1),1))</f>
        <v/>
      </c>
      <c r="BL41" s="79" t="str">
        <f t="array" ref="BL41">IF($A41="","", INDEX(CS!$B$1:$B$15025,MATCH($A41,CS!$B:$B,0)+COLUMN(F$1),1))</f>
        <v/>
      </c>
      <c r="BM41" s="79" t="str">
        <f t="array" ref="BM41">IF($A41="","", INDEX(CS!$B$1:$B$15025,MATCH($A41,CS!$B:$B,0)+COLUMN(G$1),1))</f>
        <v/>
      </c>
      <c r="BN41" s="79" t="str">
        <f t="array" ref="BN41">IF($A41="","", INDEX(CS!$B$1:$B$15025,MATCH($A41,CS!$B:$B,0)+COLUMN(H$1),1))</f>
        <v/>
      </c>
      <c r="BO41" s="79" t="str">
        <f t="array" ref="BO41">IF($A41="","", INDEX(CS!$B$1:$B$15025,MATCH($A41,CS!$B:$B,0)+COLUMN(I$1),1))</f>
        <v/>
      </c>
      <c r="BP41" s="79" t="str">
        <f t="array" ref="BP41">IF($A41="","", INDEX(CS!$B$1:$B$15025,MATCH($A41,CS!$B:$B,0)+COLUMN(J$1),1))</f>
        <v/>
      </c>
      <c r="BQ41" s="79"/>
      <c r="BR41" s="79"/>
      <c r="BS41" s="83"/>
      <c r="BT41" s="79"/>
      <c r="BU41" s="79"/>
      <c r="BV41" s="79"/>
      <c r="BW41" s="82"/>
      <c r="BX41" s="77"/>
      <c r="BY41" s="77"/>
      <c r="BZ41" s="77"/>
      <c r="CA41" s="77"/>
      <c r="CB41" s="82"/>
      <c r="CC41" s="79"/>
      <c r="CD41" s="82"/>
      <c r="CE41" s="82"/>
      <c r="CF41" s="79"/>
      <c r="CG41" s="79"/>
      <c r="CH41" s="79"/>
      <c r="CI41" s="79"/>
      <c r="CJ41" s="79"/>
      <c r="CK41" s="79"/>
      <c r="CL41" s="79"/>
      <c r="CM41" s="79"/>
      <c r="CN41" s="79"/>
      <c r="CO41" s="79"/>
      <c r="CP41" s="79"/>
    </row>
    <row r="42" ht="18.75" customHeight="1" outlineLevel="1">
      <c r="A42" s="37" t="s">
        <v>1295</v>
      </c>
      <c r="B42" s="71"/>
      <c r="C42" s="37" t="s">
        <v>2684</v>
      </c>
      <c r="D42" s="72" t="str">
        <f t="shared" si="1"/>
        <v>710/515/195</v>
      </c>
      <c r="E42" s="37">
        <v>1.0</v>
      </c>
      <c r="F42" s="37">
        <v>75.0</v>
      </c>
      <c r="I42" s="37">
        <v>70.0</v>
      </c>
      <c r="J42" s="37">
        <v>80.0</v>
      </c>
      <c r="K42" s="73">
        <v>80.0</v>
      </c>
      <c r="L42" s="37">
        <v>80.0</v>
      </c>
      <c r="M42" s="37">
        <v>65.0</v>
      </c>
      <c r="N42" s="37">
        <v>65.0</v>
      </c>
      <c r="O42" s="37">
        <v>170.0</v>
      </c>
      <c r="P42" s="39">
        <v>100.0</v>
      </c>
      <c r="Q42" s="64">
        <v>5.0</v>
      </c>
      <c r="R42" s="64">
        <v>10.0</v>
      </c>
      <c r="S42" s="64"/>
      <c r="T42" s="64"/>
      <c r="U42" s="64"/>
      <c r="V42" s="64"/>
      <c r="W42" s="64"/>
      <c r="X42" s="64"/>
      <c r="Y42" s="64">
        <v>15.0</v>
      </c>
      <c r="Z42" s="64">
        <v>15.0</v>
      </c>
      <c r="AA42" s="64">
        <v>15.0</v>
      </c>
      <c r="AB42" s="64">
        <v>-30.0</v>
      </c>
      <c r="AJ42" s="41">
        <v>50.0</v>
      </c>
      <c r="AK42" s="39">
        <v>0.0</v>
      </c>
      <c r="AL42" s="39">
        <v>75.0</v>
      </c>
      <c r="AM42" s="41">
        <v>0.0</v>
      </c>
      <c r="AN42" s="41">
        <v>25.0</v>
      </c>
      <c r="AO42" s="41">
        <v>0.0</v>
      </c>
      <c r="AP42" s="41">
        <v>0.0</v>
      </c>
      <c r="AQ42" s="41">
        <v>35.0</v>
      </c>
      <c r="AR42" s="41">
        <v>35.0</v>
      </c>
      <c r="AS42" s="41">
        <v>-25.0</v>
      </c>
      <c r="AT42" s="41">
        <v>-25.0</v>
      </c>
      <c r="AU42" s="41">
        <v>-25.0</v>
      </c>
      <c r="AV42" s="41">
        <v>-25.0</v>
      </c>
      <c r="AW42" s="39">
        <v>0.0</v>
      </c>
      <c r="AX42" s="39">
        <v>0.0</v>
      </c>
      <c r="AY42" s="39">
        <v>0.0</v>
      </c>
      <c r="AZ42" s="41">
        <v>75.0</v>
      </c>
      <c r="BA42" s="39">
        <v>0.0</v>
      </c>
      <c r="BB42" s="39">
        <v>0.0</v>
      </c>
      <c r="BC42" s="39">
        <v>0.0</v>
      </c>
      <c r="BD42" s="39">
        <v>0.0</v>
      </c>
      <c r="BE42" s="39">
        <v>0.0</v>
      </c>
      <c r="BF42" s="39">
        <v>20.0</v>
      </c>
      <c r="BG42" s="37" t="str">
        <f t="array" ref="BG42">IF($A42="","", INDEX(CS!$B$1:$B$15025,MATCH($A42,CS!$B:$B,0)+COLUMN(A$1),1))</f>
        <v>浮遊</v>
      </c>
      <c r="BH42" s="37" t="str">
        <f t="array" ref="BH42">IF($A42="","", INDEX(CS!$B$1:$B$15025,MATCH($A42,CS!$B:$B,0)+COLUMN(B$1),1))</f>
        <v/>
      </c>
      <c r="BI42" s="37" t="str">
        <f t="array" ref="BI42">IF($A42="","", INDEX(CS!$B$1:$B$15025,MATCH($A42,CS!$B:$B,0)+COLUMN(C$1),1))</f>
        <v>光粒</v>
      </c>
      <c r="BJ42" s="37" t="str">
        <f t="array" ref="BJ42">IF($A42="","", INDEX(CS!$B$1:$B$15025,MATCH($A42,CS!$B:$B,0)+COLUMN(D$1),1))</f>
        <v/>
      </c>
      <c r="BK42" s="37" t="str">
        <f t="array" ref="BK42">IF($A42="","", INDEX(CS!$B$1:$B$15025,MATCH($A42,CS!$B:$B,0)+COLUMN(E$1),1))</f>
        <v>天使の矢</v>
      </c>
      <c r="BL42" s="37" t="str">
        <f t="array" ref="BL42">IF($A42="","", INDEX(CS!$B$1:$B$15025,MATCH($A42,CS!$B:$B,0)+COLUMN(F$1),1))</f>
        <v/>
      </c>
      <c r="BM42" s="37" t="str">
        <f t="array" ref="BM42">IF($A42="","", INDEX(CS!$B$1:$B$15025,MATCH($A42,CS!$B:$B,0)+COLUMN(G$1),1))</f>
        <v>軽回復</v>
      </c>
      <c r="BN42" s="37" t="str">
        <f t="array" ref="BN42">IF($A42="","", INDEX(CS!$B$1:$B$15025,MATCH($A42,CS!$B:$B,0)+COLUMN(H$1),1))</f>
        <v/>
      </c>
      <c r="BO42" s="37" t="str">
        <f t="array" ref="BO42">IF($A42="","", INDEX(CS!$B$1:$B$15025,MATCH($A42,CS!$B:$B,0)+COLUMN(I$1),1))</f>
        <v>聖光</v>
      </c>
      <c r="BP42" s="37" t="str">
        <f t="array" ref="BP42">IF($A42="","", INDEX(CS!$B$1:$B$15025,MATCH($A42,CS!$B:$B,0)+COLUMN(J$1),1))</f>
        <v>天使の祝福</v>
      </c>
      <c r="BS42" s="74"/>
      <c r="BV42" s="37" t="s">
        <v>2627</v>
      </c>
      <c r="BW42" s="57">
        <v>30.0</v>
      </c>
      <c r="BX42" s="84">
        <v>5.0</v>
      </c>
      <c r="BY42" s="84">
        <v>25.0</v>
      </c>
      <c r="BZ42" s="84">
        <v>5.0</v>
      </c>
      <c r="CA42" s="84">
        <v>5.0</v>
      </c>
      <c r="CB42" s="75">
        <v>10.0</v>
      </c>
      <c r="CD42" s="75">
        <v>2.0</v>
      </c>
      <c r="CE42" s="75"/>
      <c r="CN42" s="37" t="s">
        <v>2699</v>
      </c>
      <c r="CO42" s="39" t="s">
        <v>2677</v>
      </c>
      <c r="CP42" s="39" t="s">
        <v>2700</v>
      </c>
    </row>
    <row r="43" ht="18.75" customHeight="1" outlineLevel="1">
      <c r="A43" s="39" t="s">
        <v>2701</v>
      </c>
      <c r="B43" s="71"/>
      <c r="C43" s="37" t="s">
        <v>2684</v>
      </c>
      <c r="D43" s="72" t="str">
        <f t="shared" si="1"/>
        <v>710/515/195</v>
      </c>
      <c r="E43" s="39">
        <v>2.0</v>
      </c>
      <c r="F43" s="37">
        <v>75.0</v>
      </c>
      <c r="I43" s="37">
        <v>70.0</v>
      </c>
      <c r="J43" s="37">
        <v>80.0</v>
      </c>
      <c r="K43" s="73">
        <v>80.0</v>
      </c>
      <c r="L43" s="37">
        <v>80.0</v>
      </c>
      <c r="M43" s="37">
        <v>65.0</v>
      </c>
      <c r="N43" s="37">
        <v>65.0</v>
      </c>
      <c r="O43" s="37">
        <v>170.0</v>
      </c>
      <c r="P43" s="39">
        <v>100.0</v>
      </c>
      <c r="Q43" s="64">
        <v>5.0</v>
      </c>
      <c r="R43" s="64">
        <v>10.0</v>
      </c>
      <c r="S43" s="64"/>
      <c r="T43" s="64"/>
      <c r="U43" s="64"/>
      <c r="V43" s="64"/>
      <c r="W43" s="64"/>
      <c r="X43" s="64"/>
      <c r="Y43" s="64">
        <v>15.0</v>
      </c>
      <c r="Z43" s="64">
        <v>15.0</v>
      </c>
      <c r="AA43" s="64">
        <v>15.0</v>
      </c>
      <c r="AB43" s="64">
        <v>-30.0</v>
      </c>
      <c r="AJ43" s="41">
        <v>50.0</v>
      </c>
      <c r="AK43" s="39">
        <v>0.0</v>
      </c>
      <c r="AL43" s="39">
        <v>75.0</v>
      </c>
      <c r="AM43" s="41">
        <v>0.0</v>
      </c>
      <c r="AN43" s="41">
        <v>25.0</v>
      </c>
      <c r="AO43" s="41">
        <v>0.0</v>
      </c>
      <c r="AP43" s="41">
        <v>0.0</v>
      </c>
      <c r="AQ43" s="41">
        <v>35.0</v>
      </c>
      <c r="AR43" s="41">
        <v>35.0</v>
      </c>
      <c r="AS43" s="41">
        <v>-25.0</v>
      </c>
      <c r="AT43" s="41">
        <v>-25.0</v>
      </c>
      <c r="AU43" s="41">
        <v>-25.0</v>
      </c>
      <c r="AV43" s="41">
        <v>-25.0</v>
      </c>
      <c r="AW43" s="39">
        <v>0.0</v>
      </c>
      <c r="AX43" s="39">
        <v>0.0</v>
      </c>
      <c r="AY43" s="39">
        <v>0.0</v>
      </c>
      <c r="AZ43" s="41">
        <v>75.0</v>
      </c>
      <c r="BA43" s="39">
        <v>0.0</v>
      </c>
      <c r="BB43" s="39">
        <v>0.0</v>
      </c>
      <c r="BC43" s="39">
        <v>0.0</v>
      </c>
      <c r="BD43" s="39">
        <v>0.0</v>
      </c>
      <c r="BE43" s="39">
        <v>0.0</v>
      </c>
      <c r="BF43" s="39">
        <v>20.0</v>
      </c>
      <c r="BR43" s="39" t="s">
        <v>2702</v>
      </c>
      <c r="BS43" s="74"/>
      <c r="BU43" s="39" t="s">
        <v>2703</v>
      </c>
      <c r="BV43" s="37" t="s">
        <v>2627</v>
      </c>
      <c r="BW43" s="57">
        <v>30.0</v>
      </c>
      <c r="BX43" s="84">
        <v>5.0</v>
      </c>
      <c r="BY43" s="84">
        <v>25.0</v>
      </c>
      <c r="BZ43" s="84">
        <v>5.0</v>
      </c>
      <c r="CA43" s="84">
        <v>5.0</v>
      </c>
      <c r="CB43" s="75">
        <v>10.0</v>
      </c>
      <c r="CD43" s="75">
        <v>2.0</v>
      </c>
      <c r="CE43" s="75"/>
      <c r="CN43" s="37" t="s">
        <v>2699</v>
      </c>
      <c r="CO43" s="39" t="s">
        <v>2677</v>
      </c>
      <c r="CP43" s="39" t="s">
        <v>2700</v>
      </c>
    </row>
    <row r="44" ht="18.75" customHeight="1" outlineLevel="1">
      <c r="A44" s="39" t="s">
        <v>2704</v>
      </c>
      <c r="B44" s="71"/>
      <c r="C44" s="37" t="s">
        <v>2684</v>
      </c>
      <c r="D44" s="72" t="str">
        <f t="shared" si="1"/>
        <v>710/515/195</v>
      </c>
      <c r="E44" s="39">
        <v>3.0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R44" s="39" t="s">
        <v>2705</v>
      </c>
      <c r="BS44" s="74"/>
      <c r="BU44" s="39" t="s">
        <v>2706</v>
      </c>
      <c r="BV44" s="37" t="s">
        <v>2627</v>
      </c>
      <c r="BW44" s="57">
        <v>30.0</v>
      </c>
      <c r="BX44" s="84">
        <v>5.0</v>
      </c>
      <c r="BY44" s="84">
        <v>25.0</v>
      </c>
      <c r="BZ44" s="84">
        <v>5.0</v>
      </c>
      <c r="CA44" s="84">
        <v>5.0</v>
      </c>
      <c r="CB44" s="75">
        <v>10.0</v>
      </c>
      <c r="CD44" s="75">
        <v>2.0</v>
      </c>
      <c r="CE44" s="75"/>
      <c r="CN44" s="37" t="s">
        <v>2699</v>
      </c>
      <c r="CO44" s="39" t="s">
        <v>2677</v>
      </c>
      <c r="CP44" s="39" t="s">
        <v>2700</v>
      </c>
    </row>
    <row r="45" ht="18.75" customHeight="1" outlineLevel="1">
      <c r="A45" s="39" t="s">
        <v>2707</v>
      </c>
      <c r="B45" s="71"/>
      <c r="C45" s="37" t="s">
        <v>2684</v>
      </c>
      <c r="D45" s="72" t="str">
        <f t="shared" si="1"/>
        <v>710/515/195</v>
      </c>
      <c r="E45" s="39">
        <v>4.0</v>
      </c>
      <c r="F45" s="37">
        <v>75.0</v>
      </c>
      <c r="I45" s="37">
        <v>70.0</v>
      </c>
      <c r="J45" s="37">
        <v>80.0</v>
      </c>
      <c r="K45" s="73">
        <v>80.0</v>
      </c>
      <c r="L45" s="37">
        <v>80.0</v>
      </c>
      <c r="M45" s="37">
        <v>65.0</v>
      </c>
      <c r="N45" s="37">
        <v>65.0</v>
      </c>
      <c r="O45" s="37">
        <v>170.0</v>
      </c>
      <c r="P45" s="39">
        <v>100.0</v>
      </c>
      <c r="Q45" s="64">
        <v>5.0</v>
      </c>
      <c r="R45" s="64">
        <v>10.0</v>
      </c>
      <c r="S45" s="64"/>
      <c r="T45" s="64"/>
      <c r="U45" s="64"/>
      <c r="V45" s="64"/>
      <c r="W45" s="64"/>
      <c r="X45" s="64"/>
      <c r="Y45" s="64">
        <v>15.0</v>
      </c>
      <c r="Z45" s="64">
        <v>15.0</v>
      </c>
      <c r="AA45" s="64">
        <v>15.0</v>
      </c>
      <c r="AB45" s="64">
        <v>-30.0</v>
      </c>
      <c r="AJ45" s="41">
        <v>50.0</v>
      </c>
      <c r="AK45" s="39">
        <v>0.0</v>
      </c>
      <c r="AL45" s="39">
        <v>75.0</v>
      </c>
      <c r="AM45" s="41">
        <v>0.0</v>
      </c>
      <c r="AN45" s="41">
        <v>25.0</v>
      </c>
      <c r="AO45" s="41">
        <v>0.0</v>
      </c>
      <c r="AP45" s="41">
        <v>0.0</v>
      </c>
      <c r="AQ45" s="41">
        <v>35.0</v>
      </c>
      <c r="AR45" s="41">
        <v>35.0</v>
      </c>
      <c r="AS45" s="41">
        <v>-25.0</v>
      </c>
      <c r="AT45" s="41">
        <v>-25.0</v>
      </c>
      <c r="AU45" s="41">
        <v>-25.0</v>
      </c>
      <c r="AV45" s="41">
        <v>-25.0</v>
      </c>
      <c r="AW45" s="39">
        <v>0.0</v>
      </c>
      <c r="AX45" s="39">
        <v>0.0</v>
      </c>
      <c r="AY45" s="39">
        <v>0.0</v>
      </c>
      <c r="AZ45" s="41">
        <v>75.0</v>
      </c>
      <c r="BA45" s="39">
        <v>0.0</v>
      </c>
      <c r="BB45" s="39">
        <v>0.0</v>
      </c>
      <c r="BC45" s="39">
        <v>0.0</v>
      </c>
      <c r="BD45" s="39">
        <v>0.0</v>
      </c>
      <c r="BE45" s="39">
        <v>0.0</v>
      </c>
      <c r="BF45" s="39">
        <v>20.0</v>
      </c>
      <c r="BR45" s="39" t="s">
        <v>2708</v>
      </c>
      <c r="BS45" s="74"/>
      <c r="BU45" s="39" t="s">
        <v>2709</v>
      </c>
      <c r="BV45" s="37" t="s">
        <v>2627</v>
      </c>
      <c r="BW45" s="57">
        <v>30.0</v>
      </c>
      <c r="BX45" s="84">
        <v>5.0</v>
      </c>
      <c r="BY45" s="84">
        <v>25.0</v>
      </c>
      <c r="BZ45" s="84">
        <v>5.0</v>
      </c>
      <c r="CA45" s="84">
        <v>5.0</v>
      </c>
      <c r="CB45" s="75">
        <v>10.0</v>
      </c>
      <c r="CD45" s="75">
        <v>2.0</v>
      </c>
      <c r="CE45" s="75"/>
      <c r="CN45" s="37" t="s">
        <v>2699</v>
      </c>
      <c r="CO45" s="39" t="s">
        <v>2677</v>
      </c>
      <c r="CP45" s="39" t="s">
        <v>2700</v>
      </c>
    </row>
    <row r="46" ht="18.75" customHeight="1" outlineLevel="1">
      <c r="A46" s="39" t="s">
        <v>2710</v>
      </c>
      <c r="B46" s="71"/>
      <c r="C46" s="37" t="s">
        <v>2684</v>
      </c>
      <c r="D46" s="72" t="str">
        <f t="shared" si="1"/>
        <v>710/515/195</v>
      </c>
      <c r="E46" s="39">
        <v>5.0</v>
      </c>
      <c r="F46" s="37">
        <v>75.0</v>
      </c>
      <c r="I46" s="37">
        <v>70.0</v>
      </c>
      <c r="J46" s="37">
        <v>80.0</v>
      </c>
      <c r="K46" s="73">
        <v>80.0</v>
      </c>
      <c r="L46" s="37">
        <v>80.0</v>
      </c>
      <c r="M46" s="37">
        <v>65.0</v>
      </c>
      <c r="N46" s="37">
        <v>65.0</v>
      </c>
      <c r="O46" s="37">
        <v>170.0</v>
      </c>
      <c r="P46" s="39">
        <v>100.0</v>
      </c>
      <c r="Q46" s="64">
        <v>5.0</v>
      </c>
      <c r="R46" s="64">
        <v>10.0</v>
      </c>
      <c r="S46" s="64"/>
      <c r="T46" s="64"/>
      <c r="U46" s="64"/>
      <c r="V46" s="64"/>
      <c r="W46" s="64"/>
      <c r="X46" s="64"/>
      <c r="Y46" s="64">
        <v>15.0</v>
      </c>
      <c r="Z46" s="64">
        <v>15.0</v>
      </c>
      <c r="AA46" s="64">
        <v>15.0</v>
      </c>
      <c r="AB46" s="64">
        <v>-30.0</v>
      </c>
      <c r="AJ46" s="41">
        <v>50.0</v>
      </c>
      <c r="AK46" s="39">
        <v>0.0</v>
      </c>
      <c r="AL46" s="39">
        <v>75.0</v>
      </c>
      <c r="AM46" s="41">
        <v>0.0</v>
      </c>
      <c r="AN46" s="41">
        <v>25.0</v>
      </c>
      <c r="AO46" s="41">
        <v>0.0</v>
      </c>
      <c r="AP46" s="41">
        <v>0.0</v>
      </c>
      <c r="AQ46" s="41">
        <v>35.0</v>
      </c>
      <c r="AR46" s="41">
        <v>35.0</v>
      </c>
      <c r="AS46" s="41">
        <v>-25.0</v>
      </c>
      <c r="AT46" s="41">
        <v>-25.0</v>
      </c>
      <c r="AU46" s="41">
        <v>-25.0</v>
      </c>
      <c r="AV46" s="41">
        <v>-25.0</v>
      </c>
      <c r="AW46" s="39">
        <v>0.0</v>
      </c>
      <c r="AX46" s="39">
        <v>0.0</v>
      </c>
      <c r="AY46" s="39">
        <v>0.0</v>
      </c>
      <c r="AZ46" s="41">
        <v>75.0</v>
      </c>
      <c r="BA46" s="39">
        <v>0.0</v>
      </c>
      <c r="BB46" s="39">
        <v>0.0</v>
      </c>
      <c r="BC46" s="39">
        <v>0.0</v>
      </c>
      <c r="BD46" s="39">
        <v>0.0</v>
      </c>
      <c r="BE46" s="39">
        <v>0.0</v>
      </c>
      <c r="BF46" s="39">
        <v>20.0</v>
      </c>
      <c r="BR46" s="39" t="s">
        <v>2711</v>
      </c>
      <c r="BS46" s="74"/>
      <c r="BU46" s="39" t="s">
        <v>2712</v>
      </c>
      <c r="BV46" s="37" t="s">
        <v>2627</v>
      </c>
      <c r="BW46" s="57">
        <v>30.0</v>
      </c>
      <c r="BX46" s="84">
        <v>5.0</v>
      </c>
      <c r="BY46" s="84">
        <v>25.0</v>
      </c>
      <c r="BZ46" s="84">
        <v>5.0</v>
      </c>
      <c r="CA46" s="84">
        <v>5.0</v>
      </c>
      <c r="CB46" s="75">
        <v>10.0</v>
      </c>
      <c r="CD46" s="75">
        <v>2.0</v>
      </c>
      <c r="CE46" s="75"/>
      <c r="CN46" s="37" t="s">
        <v>2699</v>
      </c>
      <c r="CO46" s="39" t="s">
        <v>2677</v>
      </c>
      <c r="CP46" s="39" t="s">
        <v>2700</v>
      </c>
    </row>
    <row r="47" ht="18.75" customHeight="1" outlineLevel="1">
      <c r="A47" s="39" t="s">
        <v>2713</v>
      </c>
      <c r="B47" s="71"/>
      <c r="C47" s="37" t="s">
        <v>2684</v>
      </c>
      <c r="D47" s="72" t="str">
        <f t="shared" si="1"/>
        <v>710/515/195</v>
      </c>
      <c r="E47" s="39">
        <v>6.0</v>
      </c>
      <c r="F47" s="37">
        <v>75.0</v>
      </c>
      <c r="I47" s="37">
        <v>70.0</v>
      </c>
      <c r="J47" s="37">
        <v>80.0</v>
      </c>
      <c r="K47" s="73">
        <v>80.0</v>
      </c>
      <c r="L47" s="37">
        <v>80.0</v>
      </c>
      <c r="M47" s="37">
        <v>65.0</v>
      </c>
      <c r="N47" s="37">
        <v>65.0</v>
      </c>
      <c r="O47" s="37">
        <v>170.0</v>
      </c>
      <c r="P47" s="39">
        <v>100.0</v>
      </c>
      <c r="Q47" s="64">
        <v>5.0</v>
      </c>
      <c r="R47" s="64">
        <v>10.0</v>
      </c>
      <c r="S47" s="64"/>
      <c r="T47" s="64"/>
      <c r="U47" s="64"/>
      <c r="V47" s="64"/>
      <c r="W47" s="64"/>
      <c r="X47" s="64"/>
      <c r="Y47" s="64">
        <v>15.0</v>
      </c>
      <c r="Z47" s="64">
        <v>15.0</v>
      </c>
      <c r="AA47" s="64">
        <v>15.0</v>
      </c>
      <c r="AB47" s="64">
        <v>-30.0</v>
      </c>
      <c r="AJ47" s="41">
        <v>50.0</v>
      </c>
      <c r="AK47" s="39">
        <v>0.0</v>
      </c>
      <c r="AL47" s="39">
        <v>75.0</v>
      </c>
      <c r="AM47" s="41">
        <v>0.0</v>
      </c>
      <c r="AN47" s="41">
        <v>25.0</v>
      </c>
      <c r="AO47" s="41">
        <v>0.0</v>
      </c>
      <c r="AP47" s="41">
        <v>0.0</v>
      </c>
      <c r="AQ47" s="41">
        <v>35.0</v>
      </c>
      <c r="AR47" s="41">
        <v>35.0</v>
      </c>
      <c r="AS47" s="41">
        <v>-25.0</v>
      </c>
      <c r="AT47" s="41">
        <v>-25.0</v>
      </c>
      <c r="AU47" s="41">
        <v>-25.0</v>
      </c>
      <c r="AV47" s="41">
        <v>-25.0</v>
      </c>
      <c r="AW47" s="39">
        <v>0.0</v>
      </c>
      <c r="AX47" s="39">
        <v>0.0</v>
      </c>
      <c r="AY47" s="39">
        <v>0.0</v>
      </c>
      <c r="AZ47" s="41">
        <v>75.0</v>
      </c>
      <c r="BA47" s="39">
        <v>0.0</v>
      </c>
      <c r="BB47" s="39">
        <v>0.0</v>
      </c>
      <c r="BC47" s="39">
        <v>0.0</v>
      </c>
      <c r="BD47" s="39">
        <v>0.0</v>
      </c>
      <c r="BE47" s="39">
        <v>0.0</v>
      </c>
      <c r="BF47" s="39">
        <v>20.0</v>
      </c>
      <c r="BR47" s="39" t="s">
        <v>2714</v>
      </c>
      <c r="BS47" s="74"/>
      <c r="BU47" s="39" t="s">
        <v>2715</v>
      </c>
      <c r="BV47" s="37" t="s">
        <v>2627</v>
      </c>
      <c r="BW47" s="57">
        <v>30.0</v>
      </c>
      <c r="BX47" s="84">
        <v>5.0</v>
      </c>
      <c r="BY47" s="84">
        <v>25.0</v>
      </c>
      <c r="BZ47" s="84">
        <v>5.0</v>
      </c>
      <c r="CA47" s="84">
        <v>5.0</v>
      </c>
      <c r="CB47" s="75">
        <v>10.0</v>
      </c>
      <c r="CD47" s="75">
        <v>2.0</v>
      </c>
      <c r="CE47" s="75"/>
      <c r="CN47" s="37" t="s">
        <v>2699</v>
      </c>
      <c r="CO47" s="39" t="s">
        <v>2677</v>
      </c>
      <c r="CP47" s="39" t="s">
        <v>2700</v>
      </c>
    </row>
    <row r="48" ht="18.75" customHeight="1" outlineLevel="1">
      <c r="A48" s="39"/>
      <c r="B48" s="71"/>
      <c r="C48" s="39"/>
      <c r="D48" s="72" t="str">
        <f t="shared" si="1"/>
        <v>0/0/0</v>
      </c>
      <c r="E48" s="37">
        <v>1.0</v>
      </c>
      <c r="K48" s="73"/>
      <c r="P48" s="37" t="s">
        <v>29</v>
      </c>
      <c r="Q48" s="64"/>
      <c r="R48" s="64"/>
      <c r="S48" s="64"/>
      <c r="T48" s="64"/>
      <c r="U48" s="64"/>
      <c r="V48" s="64"/>
      <c r="W48" s="64"/>
      <c r="X48" s="64"/>
      <c r="Y48" s="64"/>
      <c r="Z48" s="64"/>
      <c r="AA48" s="64"/>
      <c r="BG48" s="37" t="str">
        <f t="array" ref="BG48">IF($A48="","", INDEX(CS!$B$1:$B$15025,MATCH($A48,CS!$B:$B,0)+COLUMN(A$1),1))</f>
        <v/>
      </c>
      <c r="BH48" s="37" t="str">
        <f t="array" ref="BH48">IF($A48="","", INDEX(CS!$B$1:$B$15025,MATCH($A48,CS!$B:$B,0)+COLUMN(B$1),1))</f>
        <v/>
      </c>
      <c r="BI48" s="37" t="str">
        <f t="array" ref="BI48">IF($A48="","", INDEX(CS!$B$1:$B$15025,MATCH($A48,CS!$B:$B,0)+COLUMN(C$1),1))</f>
        <v/>
      </c>
      <c r="BJ48" s="37" t="str">
        <f t="array" ref="BJ48">IF($A48="","", INDEX(CS!$B$1:$B$15025,MATCH($A48,CS!$B:$B,0)+COLUMN(D$1),1))</f>
        <v/>
      </c>
      <c r="BK48" s="37" t="str">
        <f t="array" ref="BK48">IF($A48="","", INDEX(CS!$B$1:$B$15025,MATCH($A48,CS!$B:$B,0)+COLUMN(E$1),1))</f>
        <v/>
      </c>
      <c r="BL48" s="37" t="str">
        <f t="array" ref="BL48">IF($A48="","", INDEX(CS!$B$1:$B$15025,MATCH($A48,CS!$B:$B,0)+COLUMN(F$1),1))</f>
        <v/>
      </c>
      <c r="BM48" s="37" t="str">
        <f t="array" ref="BM48">IF($A48="","", INDEX(CS!$B$1:$B$15025,MATCH($A48,CS!$B:$B,0)+COLUMN(G$1),1))</f>
        <v/>
      </c>
      <c r="BN48" s="37" t="str">
        <f t="array" ref="BN48">IF($A48="","", INDEX(CS!$B$1:$B$15025,MATCH($A48,CS!$B:$B,0)+COLUMN(H$1),1))</f>
        <v/>
      </c>
      <c r="BO48" s="37" t="str">
        <f t="array" ref="BO48">IF($A48="","", INDEX(CS!$B$1:$B$15025,MATCH($A48,CS!$B:$B,0)+COLUMN(I$1),1))</f>
        <v/>
      </c>
      <c r="BP48" s="37" t="str">
        <f t="array" ref="BP48">IF($A48="","", INDEX(CS!$B$1:$B$15025,MATCH($A48,CS!$B:$B,0)+COLUMN(J$1),1))</f>
        <v/>
      </c>
      <c r="BS48" s="74"/>
      <c r="BW48" s="57"/>
      <c r="BX48" s="75"/>
      <c r="BY48" s="75"/>
      <c r="BZ48" s="75"/>
      <c r="CA48" s="75"/>
    </row>
    <row r="49" ht="18.75" customHeight="1" outlineLevel="1">
      <c r="B49" s="85" t="s">
        <v>2716</v>
      </c>
      <c r="D49" s="72" t="str">
        <f t="shared" si="1"/>
        <v>0/0/0</v>
      </c>
      <c r="K49" s="73"/>
      <c r="P49" s="37" t="s">
        <v>29</v>
      </c>
      <c r="Q49" s="64"/>
      <c r="R49" s="64"/>
      <c r="S49" s="64"/>
      <c r="T49" s="64"/>
      <c r="U49" s="64"/>
      <c r="V49" s="64"/>
      <c r="W49" s="64"/>
      <c r="X49" s="64"/>
      <c r="Y49" s="64"/>
      <c r="Z49" s="64"/>
      <c r="AA49" s="64"/>
      <c r="BG49" s="37" t="str">
        <f t="array" ref="BG49">IF($A49="","", INDEX(CS!$B$1:$B$15025,MATCH($A49,CS!$B:$B,0)+COLUMN(A$1),1))</f>
        <v/>
      </c>
      <c r="BH49" s="37" t="str">
        <f t="array" ref="BH49">IF($A49="","", INDEX(CS!$B$1:$B$15025,MATCH($A49,CS!$B:$B,0)+COLUMN(B$1),1))</f>
        <v/>
      </c>
      <c r="BI49" s="37" t="str">
        <f t="array" ref="BI49">IF($A49="","", INDEX(CS!$B$1:$B$15025,MATCH($A49,CS!$B:$B,0)+COLUMN(C$1),1))</f>
        <v/>
      </c>
      <c r="BJ49" s="37" t="str">
        <f t="array" ref="BJ49">IF($A49="","", INDEX(CS!$B$1:$B$15025,MATCH($A49,CS!$B:$B,0)+COLUMN(D$1),1))</f>
        <v/>
      </c>
      <c r="BK49" s="37" t="str">
        <f t="array" ref="BK49">IF($A49="","", INDEX(CS!$B$1:$B$15025,MATCH($A49,CS!$B:$B,0)+COLUMN(E$1),1))</f>
        <v/>
      </c>
      <c r="BL49" s="37" t="str">
        <f t="array" ref="BL49">IF($A49="","", INDEX(CS!$B$1:$B$15025,MATCH($A49,CS!$B:$B,0)+COLUMN(F$1),1))</f>
        <v/>
      </c>
      <c r="BM49" s="37" t="str">
        <f t="array" ref="BM49">IF($A49="","", INDEX(CS!$B$1:$B$15025,MATCH($A49,CS!$B:$B,0)+COLUMN(G$1),1))</f>
        <v/>
      </c>
      <c r="BN49" s="37" t="str">
        <f t="array" ref="BN49">IF($A49="","", INDEX(CS!$B$1:$B$15025,MATCH($A49,CS!$B:$B,0)+COLUMN(H$1),1))</f>
        <v/>
      </c>
      <c r="BO49" s="37" t="str">
        <f t="array" ref="BO49">IF($A49="","", INDEX(CS!$B$1:$B$15025,MATCH($A49,CS!$B:$B,0)+COLUMN(I$1),1))</f>
        <v/>
      </c>
      <c r="BP49" s="37" t="str">
        <f t="array" ref="BP49">IF($A49="","", INDEX(CS!$B$1:$B$15025,MATCH($A49,CS!$B:$B,0)+COLUMN(J$1),1))</f>
        <v/>
      </c>
      <c r="BS49" s="74"/>
    </row>
    <row r="50" ht="18.75" customHeight="1" outlineLevel="1">
      <c r="A50" s="37" t="s">
        <v>1302</v>
      </c>
      <c r="B50" s="71"/>
      <c r="C50" s="37" t="s">
        <v>2684</v>
      </c>
      <c r="D50" s="72" t="str">
        <f t="shared" si="1"/>
        <v>710/515/195</v>
      </c>
      <c r="E50" s="37">
        <v>1.0</v>
      </c>
      <c r="F50" s="37">
        <v>90.0</v>
      </c>
      <c r="I50" s="37">
        <v>80.0</v>
      </c>
      <c r="J50" s="37">
        <v>60.0</v>
      </c>
      <c r="K50" s="73">
        <v>80.0</v>
      </c>
      <c r="L50" s="37">
        <v>60.0</v>
      </c>
      <c r="M50" s="37">
        <v>80.0</v>
      </c>
      <c r="N50" s="37">
        <v>65.0</v>
      </c>
      <c r="O50" s="37">
        <v>170.0</v>
      </c>
      <c r="P50" s="39">
        <v>-75.0</v>
      </c>
      <c r="Q50" s="64">
        <v>15.0</v>
      </c>
      <c r="R50" s="64"/>
      <c r="S50" s="64"/>
      <c r="T50" s="64"/>
      <c r="U50" s="64"/>
      <c r="V50" s="64"/>
      <c r="W50" s="64">
        <v>-30.0</v>
      </c>
      <c r="X50" s="64"/>
      <c r="Y50" s="64"/>
      <c r="Z50" s="64">
        <v>100.0</v>
      </c>
      <c r="AA50" s="64">
        <v>-30.0</v>
      </c>
      <c r="AC50" s="37">
        <v>100.0</v>
      </c>
      <c r="AE50" s="37">
        <v>25.0</v>
      </c>
      <c r="AJ50" s="41">
        <v>50.0</v>
      </c>
      <c r="AK50" s="39">
        <v>45.0</v>
      </c>
      <c r="AL50" s="39">
        <v>50.0</v>
      </c>
      <c r="AM50" s="39">
        <v>0.0</v>
      </c>
      <c r="AN50" s="39">
        <v>0.0</v>
      </c>
      <c r="AO50" s="39">
        <v>0.0</v>
      </c>
      <c r="AP50" s="39">
        <v>0.0</v>
      </c>
      <c r="AQ50" s="39">
        <v>50.0</v>
      </c>
      <c r="AR50" s="39">
        <v>50.0</v>
      </c>
      <c r="AS50" s="41">
        <v>-25.0</v>
      </c>
      <c r="AT50" s="41">
        <v>-25.0</v>
      </c>
      <c r="AU50" s="41">
        <v>-25.0</v>
      </c>
      <c r="AV50" s="41">
        <v>-25.0</v>
      </c>
      <c r="AW50" s="39">
        <v>0.0</v>
      </c>
      <c r="AX50" s="39">
        <v>0.0</v>
      </c>
      <c r="AY50" s="41">
        <v>50.0</v>
      </c>
      <c r="AZ50" s="39">
        <v>0.0</v>
      </c>
      <c r="BA50" s="39">
        <v>0.0</v>
      </c>
      <c r="BB50" s="39">
        <v>100.0</v>
      </c>
      <c r="BC50" s="39">
        <v>0.0</v>
      </c>
      <c r="BD50" s="39">
        <v>0.0</v>
      </c>
      <c r="BE50" s="39">
        <v>0.0</v>
      </c>
      <c r="BF50" s="39">
        <v>20.0</v>
      </c>
      <c r="BG50" s="37" t="str">
        <f t="array" ref="BG50">IF($A50="","", INDEX(CS!$B$1:$B$15025,MATCH($A50,CS!$B:$B,0)+COLUMN(A$1),1))</f>
        <v>吸血</v>
      </c>
      <c r="BH50" s="37" t="str">
        <f t="array" ref="BH50">IF($A50="","", INDEX(CS!$B$1:$B$15025,MATCH($A50,CS!$B:$B,0)+COLUMN(B$1),1))</f>
        <v/>
      </c>
      <c r="BI50" s="37" t="str">
        <f t="array" ref="BI50">IF($A50="","", INDEX(CS!$B$1:$B$15025,MATCH($A50,CS!$B:$B,0)+COLUMN(C$1),1))</f>
        <v>夜の狩人</v>
      </c>
      <c r="BJ50" s="37" t="str">
        <f t="array" ref="BJ50">IF($A50="","", INDEX(CS!$B$1:$B$15025,MATCH($A50,CS!$B:$B,0)+COLUMN(D$1),1))</f>
        <v/>
      </c>
      <c r="BK50" s="37" t="str">
        <f t="array" ref="BK50">IF($A50="","", INDEX(CS!$B$1:$B$15025,MATCH($A50,CS!$B:$B,0)+COLUMN(E$1),1))</f>
        <v>眷族化-ゾンビ</v>
      </c>
      <c r="BL50" s="37" t="str">
        <f t="array" ref="BL50">IF($A50="","", INDEX(CS!$B$1:$B$15025,MATCH($A50,CS!$B:$B,0)+COLUMN(F$1),1))</f>
        <v/>
      </c>
      <c r="BM50" s="37" t="str">
        <f t="array" ref="BM50">IF($A50="","", INDEX(CS!$B$1:$B$15025,MATCH($A50,CS!$B:$B,0)+COLUMN(G$1),1))</f>
        <v>不死の肉体</v>
      </c>
      <c r="BN50" s="37" t="str">
        <f t="array" ref="BN50">IF($A50="","", INDEX(CS!$B$1:$B$15025,MATCH($A50,CS!$B:$B,0)+COLUMN(H$1),1))</f>
        <v/>
      </c>
      <c r="BO50" s="37" t="str">
        <f t="array" ref="BO50">IF($A50="","", INDEX(CS!$B$1:$B$15025,MATCH($A50,CS!$B:$B,0)+COLUMN(I$1),1))</f>
        <v>霧化</v>
      </c>
      <c r="BP50" s="37" t="str">
        <f t="array" ref="BP50">IF($A50="","", INDEX(CS!$B$1:$B$15025,MATCH($A50,CS!$B:$B,0)+COLUMN(J$1),1))</f>
        <v>眷族化-グール</v>
      </c>
      <c r="BS50" s="74"/>
      <c r="BV50" s="37" t="s">
        <v>2628</v>
      </c>
      <c r="BW50" s="57">
        <v>50.0</v>
      </c>
      <c r="BX50" s="75">
        <v>0.0</v>
      </c>
      <c r="BY50" s="75">
        <v>0.0</v>
      </c>
      <c r="BZ50" s="84">
        <v>10.0</v>
      </c>
      <c r="CA50" s="84">
        <v>5.0</v>
      </c>
      <c r="CB50" s="75">
        <v>0.0</v>
      </c>
      <c r="CC50" s="84">
        <v>35.0</v>
      </c>
      <c r="CD50" s="75">
        <v>2.0</v>
      </c>
      <c r="CE50" s="75"/>
      <c r="CN50" s="37" t="s">
        <v>2717</v>
      </c>
      <c r="CO50" s="39" t="s">
        <v>2718</v>
      </c>
      <c r="CP50" s="39" t="s">
        <v>2719</v>
      </c>
    </row>
    <row r="51" ht="18.75" customHeight="1" outlineLevel="1">
      <c r="A51" s="37" t="s">
        <v>1317</v>
      </c>
      <c r="B51" s="71"/>
      <c r="C51" s="37" t="s">
        <v>2684</v>
      </c>
      <c r="D51" s="72" t="str">
        <f t="shared" si="1"/>
        <v>540/465/75</v>
      </c>
      <c r="E51" s="39">
        <v>1.0</v>
      </c>
      <c r="F51" s="37">
        <v>110.0</v>
      </c>
      <c r="I51" s="37">
        <v>110.0</v>
      </c>
      <c r="J51" s="41">
        <v>50.0</v>
      </c>
      <c r="K51" s="73">
        <v>50.0</v>
      </c>
      <c r="L51" s="37">
        <v>50.0</v>
      </c>
      <c r="M51" s="41">
        <v>35.0</v>
      </c>
      <c r="N51" s="37">
        <v>60.0</v>
      </c>
      <c r="O51" s="37">
        <v>170.0</v>
      </c>
      <c r="P51" s="39">
        <v>-50.0</v>
      </c>
      <c r="Q51" s="64"/>
      <c r="R51" s="64"/>
      <c r="S51" s="64"/>
      <c r="T51" s="64"/>
      <c r="U51" s="64"/>
      <c r="V51" s="64"/>
      <c r="W51" s="64">
        <v>-25.0</v>
      </c>
      <c r="X51" s="64"/>
      <c r="Y51" s="64"/>
      <c r="Z51" s="86">
        <v>35.0</v>
      </c>
      <c r="AA51" s="64">
        <v>-25.0</v>
      </c>
      <c r="AB51" s="41">
        <v>25.0</v>
      </c>
      <c r="AC51" s="37">
        <v>100.0</v>
      </c>
      <c r="AD51" s="41">
        <v>35.0</v>
      </c>
      <c r="AE51" s="37">
        <v>25.0</v>
      </c>
      <c r="AG51" s="37">
        <v>25.0</v>
      </c>
      <c r="AI51" s="37">
        <v>-25.0</v>
      </c>
      <c r="AJ51" s="39">
        <v>0.0</v>
      </c>
      <c r="AK51" s="41">
        <v>75.0</v>
      </c>
      <c r="AL51" s="39">
        <v>0.0</v>
      </c>
      <c r="AM51" s="41">
        <v>0.0</v>
      </c>
      <c r="AN51" s="39">
        <v>0.0</v>
      </c>
      <c r="AO51" s="39">
        <v>0.0</v>
      </c>
      <c r="AP51" s="39">
        <v>0.0</v>
      </c>
      <c r="AQ51" s="39">
        <v>75.0</v>
      </c>
      <c r="AR51" s="39">
        <v>25.0</v>
      </c>
      <c r="AS51" s="39">
        <v>-25.0</v>
      </c>
      <c r="AT51" s="39">
        <v>-25.0</v>
      </c>
      <c r="AU51" s="39">
        <v>-25.0</v>
      </c>
      <c r="AV51" s="39">
        <v>-25.0</v>
      </c>
      <c r="AW51" s="39">
        <v>0.0</v>
      </c>
      <c r="AX51" s="39">
        <v>0.0</v>
      </c>
      <c r="AY51" s="39">
        <v>0.0</v>
      </c>
      <c r="AZ51" s="39">
        <v>0.0</v>
      </c>
      <c r="BA51" s="39">
        <v>0.0</v>
      </c>
      <c r="BB51" s="41">
        <v>100.0</v>
      </c>
      <c r="BC51" s="41">
        <v>100.0</v>
      </c>
      <c r="BD51" s="39">
        <v>0.0</v>
      </c>
      <c r="BE51" s="39">
        <v>0.0</v>
      </c>
      <c r="BF51" s="39">
        <v>20.0</v>
      </c>
      <c r="BG51" s="37" t="str">
        <f t="array" ref="BG51">IF($A51="","", INDEX(CS!$B$1:$B$15025,MATCH($A51,CS!$B:$B,0)+COLUMN(A$1),1))</f>
        <v>屍者の肉体</v>
      </c>
      <c r="BH51" s="37" t="str">
        <f t="array" ref="BH51">IF($A51="","", INDEX(CS!$B$1:$B$15025,MATCH($A51,CS!$B:$B,0)+COLUMN(B$1),1))</f>
        <v/>
      </c>
      <c r="BI51" s="37" t="str">
        <f t="array" ref="BI51">IF($A51="","", INDEX(CS!$B$1:$B$15025,MATCH($A51,CS!$B:$B,0)+COLUMN(C$1),1))</f>
        <v>痛覚鈍化</v>
      </c>
      <c r="BJ51" s="37" t="str">
        <f t="array" ref="BJ51">IF($A51="","", INDEX(CS!$B$1:$B$15025,MATCH($A51,CS!$B:$B,0)+COLUMN(D$1),1))</f>
        <v/>
      </c>
      <c r="BK51" s="37" t="str">
        <f t="array" ref="BK51">IF($A51="","", INDEX(CS!$B$1:$B$15025,MATCH($A51,CS!$B:$B,0)+COLUMN(E$1),1))</f>
        <v>腐敗打撃</v>
      </c>
      <c r="BL51" s="37" t="str">
        <f t="array" ref="BL51">IF($A51="","", INDEX(CS!$B$1:$B$15025,MATCH($A51,CS!$B:$B,0)+COLUMN(F$1),1))</f>
        <v/>
      </c>
      <c r="BM51" s="37" t="str">
        <f t="array" ref="BM51">IF($A51="","", INDEX(CS!$B$1:$B$15025,MATCH($A51,CS!$B:$B,0)+COLUMN(G$1),1))</f>
        <v>死体喰らい</v>
      </c>
      <c r="BN51" s="37" t="str">
        <f t="array" ref="BN51">IF($A51="","", INDEX(CS!$B$1:$B$15025,MATCH($A51,CS!$B:$B,0)+COLUMN(H$1),1))</f>
        <v/>
      </c>
      <c r="BO51" s="37" t="str">
        <f t="array" ref="BO51">IF($A51="","", INDEX(CS!$B$1:$B$15025,MATCH($A51,CS!$B:$B,0)+COLUMN(I$1),1))</f>
        <v>死者の執念</v>
      </c>
      <c r="BP51" s="37" t="str">
        <f t="array" ref="BP51">IF($A51="","", INDEX(CS!$B$1:$B$15025,MATCH($A51,CS!$B:$B,0)+COLUMN(J$1),1))</f>
        <v>不死者</v>
      </c>
      <c r="BS51" s="74"/>
      <c r="BU51" s="39" t="s">
        <v>2720</v>
      </c>
      <c r="BV51" s="37" t="s">
        <v>2628</v>
      </c>
      <c r="BW51" s="57">
        <v>50.0</v>
      </c>
      <c r="BZ51" s="75">
        <v>75.0</v>
      </c>
      <c r="CD51" s="75">
        <v>2.0</v>
      </c>
      <c r="CE51" s="75"/>
      <c r="CN51" s="37" t="s">
        <v>2721</v>
      </c>
    </row>
    <row r="52" ht="18.75" customHeight="1" outlineLevel="1">
      <c r="A52" s="37" t="s">
        <v>1331</v>
      </c>
      <c r="B52" s="71"/>
      <c r="C52" s="37" t="s">
        <v>2684</v>
      </c>
      <c r="D52" s="72" t="str">
        <f t="shared" si="1"/>
        <v>655/505/150</v>
      </c>
      <c r="E52" s="39">
        <v>1.0</v>
      </c>
      <c r="F52" s="37">
        <v>80.0</v>
      </c>
      <c r="I52" s="37">
        <v>75.0</v>
      </c>
      <c r="J52" s="37">
        <v>75.0</v>
      </c>
      <c r="K52" s="73">
        <v>50.0</v>
      </c>
      <c r="L52" s="37">
        <v>75.0</v>
      </c>
      <c r="M52" s="37">
        <v>75.0</v>
      </c>
      <c r="N52" s="37">
        <v>75.0</v>
      </c>
      <c r="O52" s="37">
        <v>170.0</v>
      </c>
      <c r="P52" s="39">
        <v>-50.0</v>
      </c>
      <c r="Q52" s="64">
        <v>10.0</v>
      </c>
      <c r="R52" s="64"/>
      <c r="S52" s="64"/>
      <c r="T52" s="64"/>
      <c r="U52" s="64"/>
      <c r="V52" s="64"/>
      <c r="W52" s="64">
        <v>-35.0</v>
      </c>
      <c r="X52" s="64"/>
      <c r="Y52" s="64"/>
      <c r="Z52" s="86">
        <v>100.0</v>
      </c>
      <c r="AA52" s="64">
        <v>-35.0</v>
      </c>
      <c r="AB52" s="41">
        <v>25.0</v>
      </c>
      <c r="AC52" s="41">
        <v>100.0</v>
      </c>
      <c r="AE52" s="41">
        <v>100.0</v>
      </c>
      <c r="AJ52" s="39">
        <v>0.0</v>
      </c>
      <c r="AK52" s="39">
        <v>50.0</v>
      </c>
      <c r="AL52" s="39">
        <v>50.0</v>
      </c>
      <c r="AM52" s="41">
        <v>25.0</v>
      </c>
      <c r="AN52" s="39">
        <v>25.0</v>
      </c>
      <c r="AO52" s="39">
        <v>0.0</v>
      </c>
      <c r="AP52" s="39">
        <v>0.0</v>
      </c>
      <c r="AQ52" s="39">
        <v>50.0</v>
      </c>
      <c r="AR52" s="39">
        <v>50.0</v>
      </c>
      <c r="AS52" s="39">
        <v>-25.0</v>
      </c>
      <c r="AT52" s="39">
        <v>-25.0</v>
      </c>
      <c r="AU52" s="39">
        <v>-25.0</v>
      </c>
      <c r="AV52" s="39">
        <v>-25.0</v>
      </c>
      <c r="AW52" s="39">
        <v>0.0</v>
      </c>
      <c r="AX52" s="39">
        <v>0.0</v>
      </c>
      <c r="AY52" s="39">
        <v>0.0</v>
      </c>
      <c r="AZ52" s="39">
        <v>0.0</v>
      </c>
      <c r="BA52" s="39">
        <v>0.0</v>
      </c>
      <c r="BB52" s="39">
        <v>0.0</v>
      </c>
      <c r="BC52" s="39">
        <v>10.0</v>
      </c>
      <c r="BD52" s="39">
        <v>0.0</v>
      </c>
      <c r="BE52" s="39">
        <v>0.0</v>
      </c>
      <c r="BF52" s="39">
        <v>40.0</v>
      </c>
      <c r="BG52" s="37" t="str">
        <f t="array" ref="BG52">IF($A52="","", INDEX(CS!$B$1:$B$15025,MATCH($A52,CS!$B:$B,0)+COLUMN(A$1),1))</f>
        <v>骨の身体</v>
      </c>
      <c r="BH52" s="37" t="str">
        <f t="array" ref="BH52">IF($A52="","", INDEX(CS!$B$1:$B$15025,MATCH($A52,CS!$B:$B,0)+COLUMN(B$1),1))</f>
        <v/>
      </c>
      <c r="BI52" s="37" t="str">
        <f t="array" ref="BI52">IF($A52="","", INDEX(CS!$B$1:$B$15025,MATCH($A52,CS!$B:$B,0)+COLUMN(C$1),1))</f>
        <v>骨格強化</v>
      </c>
      <c r="BJ52" s="37" t="str">
        <f t="array" ref="BJ52">IF($A52="","", INDEX(CS!$B$1:$B$15025,MATCH($A52,CS!$B:$B,0)+COLUMN(D$1),1))</f>
        <v/>
      </c>
      <c r="BK52" s="37" t="str">
        <f t="array" ref="BK52">IF($A52="","", INDEX(CS!$B$1:$B$15025,MATCH($A52,CS!$B:$B,0)+COLUMN(E$1),1))</f>
        <v>骸骨兵</v>
      </c>
      <c r="BL52" s="37" t="str">
        <f t="array" ref="BL52">IF($A52="","", INDEX(CS!$B$1:$B$15025,MATCH($A52,CS!$B:$B,0)+COLUMN(F$1),1))</f>
        <v/>
      </c>
      <c r="BM52" s="37" t="str">
        <f t="array" ref="BM52">IF($A52="","", INDEX(CS!$B$1:$B$15025,MATCH($A52,CS!$B:$B,0)+COLUMN(G$1),1))</f>
        <v>死者の眼</v>
      </c>
      <c r="BN52" s="37" t="str">
        <f t="array" ref="BN52">IF($A52="","", INDEX(CS!$B$1:$B$15025,MATCH($A52,CS!$B:$B,0)+COLUMN(H$1),1))</f>
        <v/>
      </c>
      <c r="BO52" s="37" t="str">
        <f t="array" ref="BO52">IF($A52="","", INDEX(CS!$B$1:$B$15025,MATCH($A52,CS!$B:$B,0)+COLUMN(I$1),1))</f>
        <v>骨盾</v>
      </c>
      <c r="BP52" s="37" t="str">
        <f t="array" ref="BP52">IF($A52="","", INDEX(CS!$B$1:$B$15025,MATCH($A52,CS!$B:$B,0)+COLUMN(J$1),1))</f>
        <v>死者の呼び声</v>
      </c>
      <c r="BS52" s="74"/>
      <c r="BU52" s="39" t="s">
        <v>2722</v>
      </c>
      <c r="BV52" s="37" t="s">
        <v>2628</v>
      </c>
      <c r="BW52" s="57">
        <v>50.0</v>
      </c>
      <c r="CD52" s="75">
        <v>2.0</v>
      </c>
      <c r="CE52" s="75"/>
      <c r="CN52" s="37" t="s">
        <v>2723</v>
      </c>
    </row>
    <row r="53" ht="18.75" customHeight="1" outlineLevel="1">
      <c r="A53" s="37" t="s">
        <v>1344</v>
      </c>
      <c r="B53" s="71"/>
      <c r="C53" s="37" t="s">
        <v>2684</v>
      </c>
      <c r="D53" s="72" t="str">
        <f t="shared" si="1"/>
        <v>710/515/195</v>
      </c>
      <c r="E53" s="39">
        <v>1.0</v>
      </c>
      <c r="F53" s="37">
        <v>65.0</v>
      </c>
      <c r="I53" s="37">
        <v>65.0</v>
      </c>
      <c r="J53" s="37">
        <v>50.0</v>
      </c>
      <c r="K53" s="73">
        <v>90.0</v>
      </c>
      <c r="L53" s="37">
        <v>90.0</v>
      </c>
      <c r="M53" s="37">
        <v>90.0</v>
      </c>
      <c r="N53" s="37">
        <v>65.0</v>
      </c>
      <c r="O53" s="37">
        <v>170.0</v>
      </c>
      <c r="P53" s="39">
        <v>-25.0</v>
      </c>
      <c r="Q53" s="64">
        <v>25.0</v>
      </c>
      <c r="R53" s="64"/>
      <c r="S53" s="64"/>
      <c r="T53" s="64"/>
      <c r="U53" s="64"/>
      <c r="V53" s="64"/>
      <c r="W53" s="64"/>
      <c r="X53" s="64"/>
      <c r="Y53" s="64"/>
      <c r="Z53" s="86">
        <v>100.0</v>
      </c>
      <c r="AA53" s="86">
        <v>-45.0</v>
      </c>
      <c r="AB53" s="41">
        <v>25.0</v>
      </c>
      <c r="AJ53" s="39">
        <v>0.0</v>
      </c>
      <c r="AK53" s="39">
        <v>0.0</v>
      </c>
      <c r="AL53" s="39">
        <v>50.0</v>
      </c>
      <c r="AM53" s="39">
        <v>0.0</v>
      </c>
      <c r="AN53" s="39">
        <v>0.0</v>
      </c>
      <c r="AO53" s="39">
        <v>0.0</v>
      </c>
      <c r="AP53" s="39">
        <v>0.0</v>
      </c>
      <c r="AQ53" s="39">
        <v>100.0</v>
      </c>
      <c r="AR53" s="39">
        <v>50.0</v>
      </c>
      <c r="AS53" s="39">
        <v>-25.0</v>
      </c>
      <c r="AT53" s="39">
        <v>-25.0</v>
      </c>
      <c r="AU53" s="39">
        <v>-25.0</v>
      </c>
      <c r="AV53" s="39">
        <v>-25.0</v>
      </c>
      <c r="AW53" s="39">
        <v>0.0</v>
      </c>
      <c r="AX53" s="39">
        <v>0.0</v>
      </c>
      <c r="AY53" s="39">
        <v>95.0</v>
      </c>
      <c r="AZ53" s="39">
        <v>0.0</v>
      </c>
      <c r="BA53" s="39">
        <v>0.0</v>
      </c>
      <c r="BB53" s="39">
        <v>0.0</v>
      </c>
      <c r="BC53" s="39">
        <v>0.0</v>
      </c>
      <c r="BD53" s="39">
        <v>0.0</v>
      </c>
      <c r="BE53" s="39">
        <v>0.0</v>
      </c>
      <c r="BF53" s="39">
        <v>0.0</v>
      </c>
      <c r="BG53" s="37" t="str">
        <f t="array" ref="BG53">IF($A53="","", INDEX(CS!$B$1:$B$15025,MATCH($A53,CS!$B:$B,0)+COLUMN(A$1),1))</f>
        <v>浮遊</v>
      </c>
      <c r="BH53" s="37" t="str">
        <f t="array" ref="BH53">IF($A53="","", INDEX(CS!$B$1:$B$15025,MATCH($A53,CS!$B:$B,0)+COLUMN(B$1),1))</f>
        <v/>
      </c>
      <c r="BI53" s="37" t="str">
        <f t="array" ref="BI53">IF($A53="","", INDEX(CS!$B$1:$B$15025,MATCH($A53,CS!$B:$B,0)+COLUMN(C$1),1))</f>
        <v>霊体</v>
      </c>
      <c r="BJ53" s="37" t="str">
        <f t="array" ref="BJ53">IF($A53="","", INDEX(CS!$B$1:$B$15025,MATCH($A53,CS!$B:$B,0)+COLUMN(D$1),1))</f>
        <v/>
      </c>
      <c r="BK53" s="37" t="str">
        <f t="array" ref="BK53">IF($A53="","", INDEX(CS!$B$1:$B$15025,MATCH($A53,CS!$B:$B,0)+COLUMN(E$1),1))</f>
        <v>恐怖の囁き</v>
      </c>
      <c r="BL53" s="37" t="str">
        <f t="array" ref="BL53">IF($A53="","", INDEX(CS!$B$1:$B$15025,MATCH($A53,CS!$B:$B,0)+COLUMN(F$1),1))</f>
        <v/>
      </c>
      <c r="BM53" s="37" t="str">
        <f t="array" ref="BM53">IF($A53="","", INDEX(CS!$B$1:$B$15025,MATCH($A53,CS!$B:$B,0)+COLUMN(G$1),1))</f>
        <v>透過</v>
      </c>
      <c r="BN53" s="37" t="str">
        <f t="array" ref="BN53">IF($A53="","", INDEX(CS!$B$1:$B$15025,MATCH($A53,CS!$B:$B,0)+COLUMN(H$1),1))</f>
        <v/>
      </c>
      <c r="BO53" s="37" t="str">
        <f t="array" ref="BO53">IF($A53="","", INDEX(CS!$B$1:$B$15025,MATCH($A53,CS!$B:$B,0)+COLUMN(I$1),1))</f>
        <v>憑依</v>
      </c>
      <c r="BP53" s="37" t="str">
        <f t="array" ref="BP53">IF($A53="","", INDEX(CS!$B$1:$B$15025,MATCH($A53,CS!$B:$B,0)+COLUMN(J$1),1))</f>
        <v>完全霊体</v>
      </c>
      <c r="BS53" s="74"/>
      <c r="BU53" s="39" t="s">
        <v>2724</v>
      </c>
      <c r="BV53" s="37" t="s">
        <v>2627</v>
      </c>
      <c r="BW53" s="57">
        <v>25.0</v>
      </c>
      <c r="CB53" s="37">
        <v>25.0</v>
      </c>
      <c r="CD53" s="75">
        <v>2.0</v>
      </c>
      <c r="CE53" s="75"/>
      <c r="CI53" s="37" t="s">
        <v>2725</v>
      </c>
      <c r="CJ53" s="37" t="s">
        <v>2725</v>
      </c>
      <c r="CK53" s="37" t="s">
        <v>2725</v>
      </c>
      <c r="CN53" s="37" t="s">
        <v>2726</v>
      </c>
    </row>
    <row r="54" ht="18.75" customHeight="1" outlineLevel="1">
      <c r="A54" s="39" t="s">
        <v>1357</v>
      </c>
      <c r="B54" s="71"/>
      <c r="C54" s="39" t="s">
        <v>2684</v>
      </c>
      <c r="D54" s="72" t="str">
        <f t="shared" si="1"/>
        <v>605/530/75</v>
      </c>
      <c r="E54" s="39">
        <v>2.0</v>
      </c>
      <c r="F54" s="37">
        <v>110.0</v>
      </c>
      <c r="I54" s="41">
        <v>100.0</v>
      </c>
      <c r="J54" s="41">
        <v>50.0</v>
      </c>
      <c r="K54" s="73">
        <v>50.0</v>
      </c>
      <c r="L54" s="37">
        <v>50.0</v>
      </c>
      <c r="M54" s="41">
        <v>100.0</v>
      </c>
      <c r="N54" s="41">
        <v>70.0</v>
      </c>
      <c r="O54" s="37">
        <v>170.0</v>
      </c>
      <c r="P54" s="39">
        <v>-75.0</v>
      </c>
      <c r="Q54" s="64"/>
      <c r="R54" s="64"/>
      <c r="S54" s="64"/>
      <c r="T54" s="64"/>
      <c r="U54" s="64"/>
      <c r="V54" s="64"/>
      <c r="W54" s="64">
        <v>-25.0</v>
      </c>
      <c r="X54" s="64"/>
      <c r="Y54" s="64"/>
      <c r="Z54" s="86">
        <v>35.0</v>
      </c>
      <c r="AA54" s="64">
        <v>-25.0</v>
      </c>
      <c r="AB54" s="41">
        <v>25.0</v>
      </c>
      <c r="AC54" s="37">
        <v>100.0</v>
      </c>
      <c r="AD54" s="41">
        <v>35.0</v>
      </c>
      <c r="AE54" s="37">
        <v>25.0</v>
      </c>
      <c r="AG54" s="37">
        <v>25.0</v>
      </c>
      <c r="AI54" s="37">
        <v>-25.0</v>
      </c>
      <c r="AJ54" s="39">
        <v>0.0</v>
      </c>
      <c r="AK54" s="41">
        <v>50.0</v>
      </c>
      <c r="AL54" s="39">
        <v>0.0</v>
      </c>
      <c r="AM54" s="41">
        <v>25.0</v>
      </c>
      <c r="AN54" s="39">
        <v>0.0</v>
      </c>
      <c r="AO54" s="39">
        <v>0.0</v>
      </c>
      <c r="AP54" s="39">
        <v>0.0</v>
      </c>
      <c r="AQ54" s="39">
        <v>75.0</v>
      </c>
      <c r="AR54" s="39">
        <v>25.0</v>
      </c>
      <c r="AS54" s="39">
        <v>-25.0</v>
      </c>
      <c r="AT54" s="39">
        <v>-25.0</v>
      </c>
      <c r="AU54" s="39">
        <v>-25.0</v>
      </c>
      <c r="AV54" s="39">
        <v>-25.0</v>
      </c>
      <c r="AW54" s="39">
        <v>0.0</v>
      </c>
      <c r="AX54" s="39">
        <v>0.0</v>
      </c>
      <c r="AY54" s="39">
        <v>0.0</v>
      </c>
      <c r="AZ54" s="39">
        <v>0.0</v>
      </c>
      <c r="BG54" s="37" t="str">
        <f t="array" ref="BG54">IF($A54="","", INDEX(CS!$B$1:$B$15025,MATCH($A54,CS!$B:$B,0)+COLUMN(A$1),1))</f>
        <v>屍肉の爪</v>
      </c>
      <c r="BH54" s="37" t="str">
        <f t="array" ref="BH54">IF($A54="","", INDEX(CS!$B$1:$B$15025,MATCH($A54,CS!$B:$B,0)+COLUMN(B$1),1))</f>
        <v/>
      </c>
      <c r="BI54" s="37" t="str">
        <f t="array" ref="BI54">IF($A54="","", INDEX(CS!$B$1:$B$15025,MATCH($A54,CS!$B:$B,0)+COLUMN(C$1),1))</f>
        <v>屍肉喰らい</v>
      </c>
      <c r="BJ54" s="37" t="str">
        <f t="array" ref="BJ54">IF($A54="","", INDEX(CS!$B$1:$B$15025,MATCH($A54,CS!$B:$B,0)+COLUMN(D$1),1))</f>
        <v/>
      </c>
      <c r="BK54" s="37" t="str">
        <f t="array" ref="BK54">IF($A54="","", INDEX(CS!$B$1:$B$15025,MATCH($A54,CS!$B:$B,0)+COLUMN(E$1),1))</f>
        <v>腐毒爪</v>
      </c>
      <c r="BL54" s="37" t="str">
        <f t="array" ref="BL54">IF($A54="","", INDEX(CS!$B$1:$B$15025,MATCH($A54,CS!$B:$B,0)+COLUMN(F$1),1))</f>
        <v/>
      </c>
      <c r="BM54" s="37" t="str">
        <f t="array" ref="BM54">IF($A54="","", INDEX(CS!$B$1:$B$15025,MATCH($A54,CS!$B:$B,0)+COLUMN(G$1),1))</f>
        <v>飢餓の嗅覚</v>
      </c>
      <c r="BN54" s="37" t="str">
        <f t="array" ref="BN54">IF($A54="","", INDEX(CS!$B$1:$B$15025,MATCH($A54,CS!$B:$B,0)+COLUMN(H$1),1))</f>
        <v/>
      </c>
      <c r="BO54" s="37" t="str">
        <f t="array" ref="BO54">IF($A54="","", INDEX(CS!$B$1:$B$15025,MATCH($A54,CS!$B:$B,0)+COLUMN(I$1),1))</f>
        <v>四足疾走</v>
      </c>
      <c r="BP54" s="37" t="str">
        <f t="array" ref="BP54">IF($A54="","", INDEX(CS!$B$1:$B$15025,MATCH($A54,CS!$B:$B,0)+COLUMN(J$1),1))</f>
        <v>飢餓の狂乱</v>
      </c>
      <c r="BR54" s="39" t="s">
        <v>2727</v>
      </c>
      <c r="BS54" s="74"/>
      <c r="BU54" s="39" t="s">
        <v>2728</v>
      </c>
    </row>
    <row r="55" ht="18.75" customHeight="1" outlineLevel="1">
      <c r="A55" s="41" t="s">
        <v>2546</v>
      </c>
      <c r="B55" s="71"/>
      <c r="C55" s="39" t="s">
        <v>2684</v>
      </c>
      <c r="D55" s="72" t="str">
        <f t="shared" si="1"/>
        <v>685/560/125</v>
      </c>
      <c r="E55" s="41">
        <v>3.0</v>
      </c>
      <c r="F55" s="39">
        <v>105.0</v>
      </c>
      <c r="I55" s="41">
        <v>110.0</v>
      </c>
      <c r="J55" s="41">
        <v>50.0</v>
      </c>
      <c r="K55" s="76">
        <v>50.0</v>
      </c>
      <c r="L55" s="41">
        <v>55.0</v>
      </c>
      <c r="M55" s="41">
        <v>110.0</v>
      </c>
      <c r="N55" s="41">
        <v>80.0</v>
      </c>
      <c r="O55" s="37">
        <v>170.0</v>
      </c>
      <c r="P55" s="39">
        <v>-75.0</v>
      </c>
      <c r="Q55" s="64"/>
      <c r="R55" s="64"/>
      <c r="S55" s="64"/>
      <c r="T55" s="64"/>
      <c r="U55" s="64"/>
      <c r="V55" s="64"/>
      <c r="W55" s="64">
        <v>-25.0</v>
      </c>
      <c r="X55" s="64"/>
      <c r="Y55" s="64"/>
      <c r="Z55" s="86">
        <v>35.0</v>
      </c>
      <c r="AA55" s="64">
        <v>-25.0</v>
      </c>
      <c r="AB55" s="41">
        <v>25.0</v>
      </c>
      <c r="AC55" s="37">
        <v>100.0</v>
      </c>
      <c r="AD55" s="41">
        <v>35.0</v>
      </c>
      <c r="AE55" s="37">
        <v>25.0</v>
      </c>
      <c r="AG55" s="37">
        <v>25.0</v>
      </c>
      <c r="AI55" s="37">
        <v>-25.0</v>
      </c>
      <c r="AJ55" s="39">
        <v>0.0</v>
      </c>
      <c r="AK55" s="41">
        <v>50.0</v>
      </c>
      <c r="AL55" s="39">
        <v>0.0</v>
      </c>
      <c r="AM55" s="41">
        <v>50.0</v>
      </c>
      <c r="AN55" s="39">
        <v>0.0</v>
      </c>
      <c r="AO55" s="39">
        <v>0.0</v>
      </c>
      <c r="AP55" s="39">
        <v>0.0</v>
      </c>
      <c r="AQ55" s="39">
        <v>75.0</v>
      </c>
      <c r="AR55" s="39">
        <v>50.0</v>
      </c>
      <c r="AS55" s="39">
        <v>-25.0</v>
      </c>
      <c r="AT55" s="39">
        <v>-25.0</v>
      </c>
      <c r="AU55" s="39">
        <v>-25.0</v>
      </c>
      <c r="AV55" s="39">
        <v>-25.0</v>
      </c>
      <c r="AW55" s="39">
        <v>0.0</v>
      </c>
      <c r="AX55" s="39">
        <v>0.0</v>
      </c>
      <c r="AY55" s="39">
        <v>0.0</v>
      </c>
      <c r="AZ55" s="39">
        <v>0.0</v>
      </c>
      <c r="BG55" s="37" t="str">
        <f t="array" ref="BG55">IF($A55="","", INDEX(CS!$B$1:$B$15025,MATCH($A55,CS!$B:$B,0)+COLUMN(A$1),1))</f>
        <v>腐臭</v>
      </c>
      <c r="BH55" s="37" t="str">
        <f t="array" ref="BH55">IF($A55="","", INDEX(CS!$B$1:$B$15025,MATCH($A55,CS!$B:$B,0)+COLUMN(B$1),1))</f>
        <v/>
      </c>
      <c r="BI55" s="37" t="str">
        <f t="array" ref="BI55">IF($A55="","", INDEX(CS!$B$1:$B$15025,MATCH($A55,CS!$B:$B,0)+COLUMN(C$1),1))</f>
        <v>壊死爪</v>
      </c>
      <c r="BJ55" s="37" t="str">
        <f t="array" ref="BJ55">IF($A55="","", INDEX(CS!$B$1:$B$15025,MATCH($A55,CS!$B:$B,0)+COLUMN(D$1),1))</f>
        <v/>
      </c>
      <c r="BK55" s="37" t="str">
        <f t="array" ref="BK55">IF($A55="","", INDEX(CS!$B$1:$B$15025,MATCH($A55,CS!$B:$B,0)+COLUMN(E$1),1))</f>
        <v>死肉再生</v>
      </c>
      <c r="BL55" s="37" t="str">
        <f t="array" ref="BL55">IF($A55="","", INDEX(CS!$B$1:$B$15025,MATCH($A55,CS!$B:$B,0)+COLUMN(F$1),1))</f>
        <v/>
      </c>
      <c r="BM55" s="37" t="str">
        <f t="array" ref="BM55">IF($A55="","", INDEX(CS!$B$1:$B$15025,MATCH($A55,CS!$B:$B,0)+COLUMN(G$1),1))</f>
        <v>飢餓感知</v>
      </c>
      <c r="BN55" s="37" t="str">
        <f t="array" ref="BN55">IF($A55="","", INDEX(CS!$B$1:$B$15025,MATCH($A55,CS!$B:$B,0)+COLUMN(H$1),1))</f>
        <v/>
      </c>
      <c r="BO55" s="37" t="str">
        <f t="array" ref="BO55">IF($A55="","", INDEX(CS!$B$1:$B$15025,MATCH($A55,CS!$B:$B,0)+COLUMN(I$1),1))</f>
        <v>四足猛襲</v>
      </c>
      <c r="BP55" s="37" t="str">
        <f t="array" ref="BP55">IF($A55="","", INDEX(CS!$B$1:$B$15025,MATCH($A55,CS!$B:$B,0)+COLUMN(J$1),1))</f>
        <v>腐乱の狂宴</v>
      </c>
      <c r="BR55" s="39" t="s">
        <v>2729</v>
      </c>
      <c r="BS55" s="74"/>
      <c r="BU55" s="39" t="s">
        <v>2730</v>
      </c>
    </row>
    <row r="56" ht="18.75" customHeight="1" outlineLevel="1">
      <c r="B56" s="71"/>
      <c r="C56" s="39" t="s">
        <v>2684</v>
      </c>
      <c r="D56" s="72" t="str">
        <f t="shared" si="1"/>
        <v>0/0/0</v>
      </c>
      <c r="K56" s="73"/>
      <c r="P56" s="39"/>
      <c r="Q56" s="64"/>
      <c r="R56" s="64"/>
      <c r="S56" s="64"/>
      <c r="T56" s="64"/>
      <c r="U56" s="64"/>
      <c r="V56" s="64"/>
      <c r="W56" s="64"/>
      <c r="X56" s="64"/>
      <c r="Y56" s="64"/>
      <c r="Z56" s="64"/>
      <c r="AA56" s="64"/>
      <c r="BG56" s="37" t="str">
        <f t="array" ref="BG56">IF($A56="","", INDEX(CS!$B$1:$B$15025,MATCH($A56,CS!$B:$B,0)+COLUMN(A$1),1))</f>
        <v/>
      </c>
      <c r="BH56" s="37" t="str">
        <f t="array" ref="BH56">IF($A56="","", INDEX(CS!$B$1:$B$15025,MATCH($A56,CS!$B:$B,0)+COLUMN(B$1),1))</f>
        <v/>
      </c>
      <c r="BI56" s="37" t="str">
        <f t="array" ref="BI56">IF($A56="","", INDEX(CS!$B$1:$B$15025,MATCH($A56,CS!$B:$B,0)+COLUMN(C$1),1))</f>
        <v/>
      </c>
      <c r="BJ56" s="37" t="str">
        <f t="array" ref="BJ56">IF($A56="","", INDEX(CS!$B$1:$B$15025,MATCH($A56,CS!$B:$B,0)+COLUMN(D$1),1))</f>
        <v/>
      </c>
      <c r="BK56" s="37" t="str">
        <f t="array" ref="BK56">IF($A56="","", INDEX(CS!$B$1:$B$15025,MATCH($A56,CS!$B:$B,0)+COLUMN(E$1),1))</f>
        <v/>
      </c>
      <c r="BL56" s="37" t="str">
        <f t="array" ref="BL56">IF($A56="","", INDEX(CS!$B$1:$B$15025,MATCH($A56,CS!$B:$B,0)+COLUMN(F$1),1))</f>
        <v/>
      </c>
      <c r="BM56" s="37" t="str">
        <f t="array" ref="BM56">IF($A56="","", INDEX(CS!$B$1:$B$15025,MATCH($A56,CS!$B:$B,0)+COLUMN(G$1),1))</f>
        <v/>
      </c>
      <c r="BN56" s="37" t="str">
        <f t="array" ref="BN56">IF($A56="","", INDEX(CS!$B$1:$B$15025,MATCH($A56,CS!$B:$B,0)+COLUMN(H$1),1))</f>
        <v/>
      </c>
      <c r="BO56" s="37" t="str">
        <f t="array" ref="BO56">IF($A56="","", INDEX(CS!$B$1:$B$15025,MATCH($A56,CS!$B:$B,0)+COLUMN(I$1),1))</f>
        <v/>
      </c>
      <c r="BP56" s="37" t="str">
        <f t="array" ref="BP56">IF($A56="","", INDEX(CS!$B$1:$B$15025,MATCH($A56,CS!$B:$B,0)+COLUMN(J$1),1))</f>
        <v/>
      </c>
      <c r="BR56" s="39" t="s">
        <v>2727</v>
      </c>
      <c r="BS56" s="74"/>
      <c r="BU56" s="39" t="s">
        <v>2728</v>
      </c>
    </row>
    <row r="57" ht="18.75" customHeight="1" outlineLevel="1">
      <c r="A57" s="39" t="s">
        <v>1370</v>
      </c>
      <c r="B57" s="71"/>
      <c r="C57" s="39" t="s">
        <v>2684</v>
      </c>
      <c r="D57" s="72" t="str">
        <f t="shared" si="1"/>
        <v>530/530/0</v>
      </c>
      <c r="E57" s="39">
        <v>2.0</v>
      </c>
      <c r="F57" s="41">
        <v>70.0</v>
      </c>
      <c r="I57" s="37">
        <v>65.0</v>
      </c>
      <c r="J57" s="41">
        <v>60.0</v>
      </c>
      <c r="K57" s="73">
        <v>90.0</v>
      </c>
      <c r="L57" s="37">
        <v>90.0</v>
      </c>
      <c r="M57" s="37">
        <v>90.0</v>
      </c>
      <c r="N57" s="37">
        <v>65.0</v>
      </c>
      <c r="O57" s="37">
        <v>170.0</v>
      </c>
      <c r="P57" s="39">
        <v>-75.0</v>
      </c>
      <c r="Q57" s="64">
        <v>25.0</v>
      </c>
      <c r="R57" s="64"/>
      <c r="S57" s="64"/>
      <c r="T57" s="64"/>
      <c r="U57" s="64"/>
      <c r="V57" s="64"/>
      <c r="W57" s="64"/>
      <c r="X57" s="64"/>
      <c r="Y57" s="64"/>
      <c r="Z57" s="64"/>
      <c r="AA57" s="64"/>
      <c r="AJ57" s="39">
        <v>0.0</v>
      </c>
      <c r="AK57" s="39">
        <v>50.0</v>
      </c>
      <c r="AL57" s="39">
        <v>0.0</v>
      </c>
      <c r="AM57" s="39">
        <v>0.0</v>
      </c>
      <c r="AN57" s="39">
        <v>0.0</v>
      </c>
      <c r="AO57" s="39">
        <v>0.0</v>
      </c>
      <c r="AP57" s="39">
        <v>0.0</v>
      </c>
      <c r="AQ57" s="39">
        <v>0.0</v>
      </c>
      <c r="AR57" s="39">
        <v>0.0</v>
      </c>
      <c r="AS57" s="39">
        <v>-25.0</v>
      </c>
      <c r="AT57" s="39">
        <v>-25.0</v>
      </c>
      <c r="AU57" s="39">
        <v>-25.0</v>
      </c>
      <c r="AV57" s="39">
        <v>-25.0</v>
      </c>
      <c r="AW57" s="39">
        <v>0.0</v>
      </c>
      <c r="AX57" s="39">
        <v>0.0</v>
      </c>
      <c r="AY57" s="39">
        <v>50.0</v>
      </c>
      <c r="AZ57" s="39">
        <v>0.0</v>
      </c>
      <c r="BG57" s="37" t="str">
        <f t="array" ref="BG57">IF($A57="","", INDEX(CS!$B$1:$B$15025,MATCH($A57,CS!$B:$B,0)+COLUMN(A$1),1))</f>
        <v>冷気の手</v>
      </c>
      <c r="BH57" s="37" t="str">
        <f t="array" ref="BH57">IF($A57="","", INDEX(CS!$B$1:$B$15025,MATCH($A57,CS!$B:$B,0)+COLUMN(B$1),1))</f>
        <v/>
      </c>
      <c r="BI57" s="37" t="str">
        <f t="array" ref="BI57">IF($A57="","", INDEX(CS!$B$1:$B$15025,MATCH($A57,CS!$B:$B,0)+COLUMN(C$1),1))</f>
        <v>生命力吸収</v>
      </c>
      <c r="BJ57" s="37" t="str">
        <f t="array" ref="BJ57">IF($A57="","", INDEX(CS!$B$1:$B$15025,MATCH($A57,CS!$B:$B,0)+COLUMN(D$1),1))</f>
        <v/>
      </c>
      <c r="BK57" s="37" t="str">
        <f t="array" ref="BK57">IF($A57="","", INDEX(CS!$B$1:$B$15025,MATCH($A57,CS!$B:$B,0)+COLUMN(E$1),1))</f>
        <v>死者の威圧</v>
      </c>
      <c r="BL57" s="37" t="str">
        <f t="array" ref="BL57">IF($A57="","", INDEX(CS!$B$1:$B$15025,MATCH($A57,CS!$B:$B,0)+COLUMN(F$1),1))</f>
        <v/>
      </c>
      <c r="BM57" s="37" t="str">
        <f t="array" ref="BM57">IF($A57="","", INDEX(CS!$B$1:$B$15025,MATCH($A57,CS!$B:$B,0)+COLUMN(G$1),1))</f>
        <v>冷気纏い</v>
      </c>
      <c r="BN57" s="37" t="str">
        <f t="array" ref="BN57">IF($A57="","", INDEX(CS!$B$1:$B$15025,MATCH($A57,CS!$B:$B,0)+COLUMN(H$1),1))</f>
        <v/>
      </c>
      <c r="BO57" s="37" t="str">
        <f t="array" ref="BO57">IF($A57="","", INDEX(CS!$B$1:$B$15025,MATCH($A57,CS!$B:$B,0)+COLUMN(I$1),1))</f>
        <v>不浄の刃</v>
      </c>
      <c r="BP57" s="37" t="str">
        <f t="array" ref="BP57">IF($A57="","", INDEX(CS!$B$1:$B$15025,MATCH($A57,CS!$B:$B,0)+COLUMN(J$1),1))</f>
        <v>死者の号令</v>
      </c>
      <c r="BR57" s="39" t="s">
        <v>2727</v>
      </c>
      <c r="BS57" s="74"/>
      <c r="BU57" s="39" t="s">
        <v>2728</v>
      </c>
    </row>
    <row r="58" ht="18.75" customHeight="1" outlineLevel="1">
      <c r="A58" s="39" t="s">
        <v>1435</v>
      </c>
      <c r="B58" s="71"/>
      <c r="C58" s="39" t="s">
        <v>2684</v>
      </c>
      <c r="D58" s="72" t="str">
        <f t="shared" si="1"/>
        <v>545/545/0</v>
      </c>
      <c r="E58" s="41">
        <v>3.0</v>
      </c>
      <c r="F58" s="41">
        <v>70.0</v>
      </c>
      <c r="I58" s="41">
        <v>65.0</v>
      </c>
      <c r="J58" s="41">
        <v>70.0</v>
      </c>
      <c r="K58" s="73">
        <v>90.0</v>
      </c>
      <c r="L58" s="37">
        <v>90.0</v>
      </c>
      <c r="M58" s="37">
        <v>90.0</v>
      </c>
      <c r="N58" s="41">
        <v>70.0</v>
      </c>
      <c r="O58" s="37">
        <v>170.0</v>
      </c>
      <c r="P58" s="39">
        <v>-100.0</v>
      </c>
      <c r="Q58" s="64">
        <v>25.0</v>
      </c>
      <c r="R58" s="64"/>
      <c r="S58" s="64"/>
      <c r="T58" s="64"/>
      <c r="U58" s="64"/>
      <c r="V58" s="64"/>
      <c r="W58" s="64"/>
      <c r="X58" s="64"/>
      <c r="Y58" s="64"/>
      <c r="Z58" s="64"/>
      <c r="AA58" s="64"/>
      <c r="AJ58" s="39">
        <v>0.0</v>
      </c>
      <c r="AK58" s="39">
        <v>0.0</v>
      </c>
      <c r="AL58" s="39">
        <v>75.0</v>
      </c>
      <c r="AM58" s="39">
        <v>0.0</v>
      </c>
      <c r="AN58" s="39">
        <v>25.0</v>
      </c>
      <c r="AO58" s="39">
        <v>0.0</v>
      </c>
      <c r="AP58" s="39">
        <v>0.0</v>
      </c>
      <c r="AQ58" s="39">
        <v>0.0</v>
      </c>
      <c r="AR58" s="39">
        <v>0.0</v>
      </c>
      <c r="AS58" s="39">
        <v>-25.0</v>
      </c>
      <c r="AT58" s="39">
        <v>-25.0</v>
      </c>
      <c r="AU58" s="39">
        <v>-25.0</v>
      </c>
      <c r="AV58" s="39">
        <v>-25.0</v>
      </c>
      <c r="AW58" s="39">
        <v>25.0</v>
      </c>
      <c r="AX58" s="39">
        <v>0.0</v>
      </c>
      <c r="AY58" s="39">
        <v>75.0</v>
      </c>
      <c r="AZ58" s="39">
        <v>-100.0</v>
      </c>
      <c r="BG58" s="37" t="str">
        <f t="array" ref="BG58">IF($A58="","", INDEX(CS!$B$1:$B$15025,MATCH($A58,CS!$B:$B,0)+COLUMN(A$1),1))</f>
        <v>死霊魔力</v>
      </c>
      <c r="BH58" s="37" t="str">
        <f t="array" ref="BH58">IF($A58="","", INDEX(CS!$B$1:$B$15025,MATCH($A58,CS!$B:$B,0)+COLUMN(B$1),1))</f>
        <v/>
      </c>
      <c r="BI58" s="37" t="str">
        <f t="array" ref="BI58">IF($A58="","", INDEX(CS!$B$1:$B$15025,MATCH($A58,CS!$B:$B,0)+COLUMN(C$1),1))</f>
        <v>骨魂障壁</v>
      </c>
      <c r="BJ58" s="37" t="str">
        <f t="array" ref="BJ58">IF($A58="","", INDEX(CS!$B$1:$B$15025,MATCH($A58,CS!$B:$B,0)+COLUMN(D$1),1))</f>
        <v/>
      </c>
      <c r="BK58" s="37" t="str">
        <f t="array" ref="BK58">IF($A58="","", INDEX(CS!$B$1:$B$15025,MATCH($A58,CS!$B:$B,0)+COLUMN(E$1),1))</f>
        <v>魂吸収</v>
      </c>
      <c r="BL58" s="37" t="str">
        <f t="array" ref="BL58">IF($A58="","", INDEX(CS!$B$1:$B$15025,MATCH($A58,CS!$B:$B,0)+COLUMN(F$1),1))</f>
        <v/>
      </c>
      <c r="BM58" s="37" t="str">
        <f t="array" ref="BM58">IF($A58="","", INDEX(CS!$B$1:$B$15025,MATCH($A58,CS!$B:$B,0)+COLUMN(G$1),1))</f>
        <v>死霊術師</v>
      </c>
      <c r="BN58" s="37" t="str">
        <f t="array" ref="BN58">IF($A58="","", INDEX(CS!$B$1:$B$15025,MATCH($A58,CS!$B:$B,0)+COLUMN(H$1),1))</f>
        <v/>
      </c>
      <c r="BO58" s="37" t="str">
        <f t="array" ref="BO58">IF($A58="","", INDEX(CS!$B$1:$B$15025,MATCH($A58,CS!$B:$B,0)+COLUMN(I$1),1))</f>
        <v>骸骨召喚</v>
      </c>
      <c r="BP58" s="37" t="str">
        <f t="array" ref="BP58">IF($A58="","", INDEX(CS!$B$1:$B$15025,MATCH($A58,CS!$B:$B,0)+COLUMN(J$1),1))</f>
        <v>不死の魔導核</v>
      </c>
      <c r="BR58" s="39" t="s">
        <v>2731</v>
      </c>
      <c r="BS58" s="74"/>
      <c r="BU58" s="39" t="s">
        <v>2732</v>
      </c>
    </row>
    <row r="59" ht="18.75" customHeight="1" outlineLevel="1">
      <c r="A59" s="39" t="s">
        <v>1383</v>
      </c>
      <c r="B59" s="71"/>
      <c r="C59" s="39" t="s">
        <v>2684</v>
      </c>
      <c r="D59" s="72" t="str">
        <f t="shared" si="1"/>
        <v>580/505/75</v>
      </c>
      <c r="E59" s="39">
        <v>2.0</v>
      </c>
      <c r="F59" s="37">
        <v>110.0</v>
      </c>
      <c r="I59" s="37">
        <v>110.0</v>
      </c>
      <c r="J59" s="41">
        <v>60.0</v>
      </c>
      <c r="K59" s="73">
        <v>50.0</v>
      </c>
      <c r="L59" s="41">
        <v>60.0</v>
      </c>
      <c r="M59" s="41">
        <v>50.0</v>
      </c>
      <c r="N59" s="41">
        <v>65.0</v>
      </c>
      <c r="O59" s="37">
        <v>170.0</v>
      </c>
      <c r="P59" s="39">
        <v>-50.0</v>
      </c>
      <c r="Q59" s="64"/>
      <c r="R59" s="64"/>
      <c r="S59" s="64"/>
      <c r="T59" s="64"/>
      <c r="U59" s="64"/>
      <c r="V59" s="64"/>
      <c r="W59" s="64">
        <v>-25.0</v>
      </c>
      <c r="X59" s="64"/>
      <c r="Y59" s="64"/>
      <c r="Z59" s="86">
        <v>35.0</v>
      </c>
      <c r="AA59" s="64">
        <v>-25.0</v>
      </c>
      <c r="AB59" s="41">
        <v>25.0</v>
      </c>
      <c r="AC59" s="37">
        <v>100.0</v>
      </c>
      <c r="AD59" s="41">
        <v>35.0</v>
      </c>
      <c r="AE59" s="37">
        <v>25.0</v>
      </c>
      <c r="AG59" s="37">
        <v>25.0</v>
      </c>
      <c r="AI59" s="37">
        <v>-25.0</v>
      </c>
      <c r="AJ59" s="39">
        <v>0.0</v>
      </c>
      <c r="AK59" s="41">
        <v>50.0</v>
      </c>
      <c r="AL59" s="39">
        <v>0.0</v>
      </c>
      <c r="AM59" s="41">
        <v>25.0</v>
      </c>
      <c r="AN59" s="39">
        <v>0.0</v>
      </c>
      <c r="AO59" s="39">
        <v>0.0</v>
      </c>
      <c r="AP59" s="39">
        <v>0.0</v>
      </c>
      <c r="AQ59" s="39">
        <v>50.0</v>
      </c>
      <c r="AR59" s="39">
        <v>25.0</v>
      </c>
      <c r="AS59" s="39">
        <v>-25.0</v>
      </c>
      <c r="AT59" s="39">
        <v>-25.0</v>
      </c>
      <c r="AU59" s="39">
        <v>-25.0</v>
      </c>
      <c r="AV59" s="39">
        <v>-25.0</v>
      </c>
      <c r="AW59" s="39">
        <v>25.0</v>
      </c>
      <c r="AX59" s="39">
        <v>0.0</v>
      </c>
      <c r="AY59" s="39">
        <v>0.0</v>
      </c>
      <c r="AZ59" s="39">
        <v>0.0</v>
      </c>
      <c r="BG59" s="37" t="str">
        <f t="array" ref="BG59">IF($A59="","", INDEX(CS!$B$1:$B$15025,MATCH($A59,CS!$B:$B,0)+COLUMN(A$1),1))</f>
        <v>執念打撃</v>
      </c>
      <c r="BH59" s="37" t="str">
        <f t="array" ref="BH59">IF($A59="","", INDEX(CS!$B$1:$B$15025,MATCH($A59,CS!$B:$B,0)+COLUMN(B$1),1))</f>
        <v/>
      </c>
      <c r="BI59" s="37" t="str">
        <f t="array" ref="BI59">IF($A59="","", INDEX(CS!$B$1:$B$15025,MATCH($A59,CS!$B:$B,0)+COLUMN(C$1),1))</f>
        <v>復讐の執念</v>
      </c>
      <c r="BJ59" s="37" t="str">
        <f t="array" ref="BJ59">IF($A59="","", INDEX(CS!$B$1:$B$15025,MATCH($A59,CS!$B:$B,0)+COLUMN(D$1),1))</f>
        <v/>
      </c>
      <c r="BK59" s="37" t="str">
        <f t="array" ref="BK59">IF($A59="","", INDEX(CS!$B$1:$B$15025,MATCH($A59,CS!$B:$B,0)+COLUMN(E$1),1))</f>
        <v>死なずの肉体</v>
      </c>
      <c r="BL59" s="37" t="str">
        <f t="array" ref="BL59">IF($A59="","", INDEX(CS!$B$1:$B$15025,MATCH($A59,CS!$B:$B,0)+COLUMN(F$1),1))</f>
        <v/>
      </c>
      <c r="BM59" s="37" t="str">
        <f t="array" ref="BM59">IF($A59="","", INDEX(CS!$B$1:$B$15025,MATCH($A59,CS!$B:$B,0)+COLUMN(G$1),1))</f>
        <v>執念の追跡</v>
      </c>
      <c r="BN59" s="37" t="str">
        <f t="array" ref="BN59">IF($A59="","", INDEX(CS!$B$1:$B$15025,MATCH($A59,CS!$B:$B,0)+COLUMN(H$1),1))</f>
        <v/>
      </c>
      <c r="BO59" s="37" t="str">
        <f t="array" ref="BO59">IF($A59="","", INDEX(CS!$B$1:$B$15025,MATCH($A59,CS!$B:$B,0)+COLUMN(I$1),1))</f>
        <v>復讐の一撃</v>
      </c>
      <c r="BP59" s="37" t="str">
        <f t="array" ref="BP59">IF($A59="","", INDEX(CS!$B$1:$B$15025,MATCH($A59,CS!$B:$B,0)+COLUMN(J$1),1))</f>
        <v>黄泉返り</v>
      </c>
      <c r="BR59" s="39" t="s">
        <v>2727</v>
      </c>
      <c r="BS59" s="74"/>
      <c r="BU59" s="39" t="s">
        <v>2728</v>
      </c>
    </row>
    <row r="60" ht="18.75" customHeight="1" outlineLevel="1">
      <c r="A60" s="41" t="s">
        <v>2733</v>
      </c>
      <c r="B60" s="71"/>
      <c r="C60" s="37" t="s">
        <v>2684</v>
      </c>
      <c r="D60" s="72" t="str">
        <f t="shared" si="1"/>
        <v>635/560/75</v>
      </c>
      <c r="E60" s="41">
        <v>3.0</v>
      </c>
      <c r="F60" s="41">
        <v>115.0</v>
      </c>
      <c r="I60" s="37">
        <v>110.0</v>
      </c>
      <c r="J60" s="41">
        <v>65.0</v>
      </c>
      <c r="K60" s="73">
        <v>50.0</v>
      </c>
      <c r="L60" s="41">
        <v>75.0</v>
      </c>
      <c r="M60" s="41">
        <v>75.0</v>
      </c>
      <c r="N60" s="41">
        <v>70.0</v>
      </c>
      <c r="O60" s="37">
        <v>170.0</v>
      </c>
      <c r="P60" s="39">
        <v>-75.0</v>
      </c>
      <c r="Q60" s="64"/>
      <c r="R60" s="64"/>
      <c r="S60" s="64"/>
      <c r="T60" s="64"/>
      <c r="U60" s="64"/>
      <c r="V60" s="64"/>
      <c r="W60" s="64">
        <v>-25.0</v>
      </c>
      <c r="X60" s="64"/>
      <c r="Y60" s="64"/>
      <c r="Z60" s="86">
        <v>35.0</v>
      </c>
      <c r="AA60" s="64">
        <v>-25.0</v>
      </c>
      <c r="AB60" s="41">
        <v>25.0</v>
      </c>
      <c r="AC60" s="37">
        <v>100.0</v>
      </c>
      <c r="AD60" s="41">
        <v>35.0</v>
      </c>
      <c r="AE60" s="37">
        <v>25.0</v>
      </c>
      <c r="AG60" s="37">
        <v>25.0</v>
      </c>
      <c r="AI60" s="37">
        <v>-25.0</v>
      </c>
      <c r="AJ60" s="39">
        <v>0.0</v>
      </c>
      <c r="AK60" s="41">
        <v>75.0</v>
      </c>
      <c r="AL60" s="39">
        <v>0.0</v>
      </c>
      <c r="AM60" s="41">
        <v>0.0</v>
      </c>
      <c r="AN60" s="39">
        <v>0.0</v>
      </c>
      <c r="AO60" s="39">
        <v>0.0</v>
      </c>
      <c r="AP60" s="39">
        <v>0.0</v>
      </c>
      <c r="AQ60" s="39">
        <v>75.0</v>
      </c>
      <c r="AR60" s="39">
        <v>25.0</v>
      </c>
      <c r="AS60" s="39">
        <v>-25.0</v>
      </c>
      <c r="AT60" s="39">
        <v>-25.0</v>
      </c>
      <c r="AU60" s="39">
        <v>-25.0</v>
      </c>
      <c r="AV60" s="39">
        <v>-25.0</v>
      </c>
      <c r="AW60" s="39">
        <v>0.0</v>
      </c>
      <c r="AX60" s="39">
        <v>0.0</v>
      </c>
      <c r="AY60" s="39">
        <v>0.0</v>
      </c>
      <c r="AZ60" s="39">
        <v>0.0</v>
      </c>
      <c r="BG60" s="37" t="str">
        <f t="array" ref="BG60">IF($A60="","", INDEX(CS!$B$1:$B$15025,MATCH($A60,CS!$B:$B,0)+COLUMN(A$1),1))</f>
        <v>#N/A</v>
      </c>
      <c r="BH60" s="37" t="str">
        <f t="array" ref="BH60">IF($A60="","", INDEX(CS!$B$1:$B$15025,MATCH($A60,CS!$B:$B,0)+COLUMN(B$1),1))</f>
        <v>#N/A</v>
      </c>
      <c r="BI60" s="37" t="str">
        <f t="array" ref="BI60">IF($A60="","", INDEX(CS!$B$1:$B$15025,MATCH($A60,CS!$B:$B,0)+COLUMN(C$1),1))</f>
        <v>#N/A</v>
      </c>
      <c r="BJ60" s="37" t="str">
        <f t="array" ref="BJ60">IF($A60="","", INDEX(CS!$B$1:$B$15025,MATCH($A60,CS!$B:$B,0)+COLUMN(D$1),1))</f>
        <v>#N/A</v>
      </c>
      <c r="BK60" s="37" t="str">
        <f t="array" ref="BK60">IF($A60="","", INDEX(CS!$B$1:$B$15025,MATCH($A60,CS!$B:$B,0)+COLUMN(E$1),1))</f>
        <v>#N/A</v>
      </c>
      <c r="BL60" s="37" t="str">
        <f t="array" ref="BL60">IF($A60="","", INDEX(CS!$B$1:$B$15025,MATCH($A60,CS!$B:$B,0)+COLUMN(F$1),1))</f>
        <v>#N/A</v>
      </c>
      <c r="BM60" s="37" t="str">
        <f t="array" ref="BM60">IF($A60="","", INDEX(CS!$B$1:$B$15025,MATCH($A60,CS!$B:$B,0)+COLUMN(G$1),1))</f>
        <v>#N/A</v>
      </c>
      <c r="BN60" s="37" t="str">
        <f t="array" ref="BN60">IF($A60="","", INDEX(CS!$B$1:$B$15025,MATCH($A60,CS!$B:$B,0)+COLUMN(H$1),1))</f>
        <v>#N/A</v>
      </c>
      <c r="BO60" s="37" t="str">
        <f t="array" ref="BO60">IF($A60="","", INDEX(CS!$B$1:$B$15025,MATCH($A60,CS!$B:$B,0)+COLUMN(I$1),1))</f>
        <v>#N/A</v>
      </c>
      <c r="BP60" s="37" t="str">
        <f t="array" ref="BP60">IF($A60="","", INDEX(CS!$B$1:$B$15025,MATCH($A60,CS!$B:$B,0)+COLUMN(J$1),1))</f>
        <v>#N/A</v>
      </c>
      <c r="BR60" s="41" t="s">
        <v>2734</v>
      </c>
      <c r="BS60" s="74"/>
    </row>
    <row r="61" ht="18.75" customHeight="1" outlineLevel="1">
      <c r="A61" s="39" t="s">
        <v>1396</v>
      </c>
      <c r="B61" s="71"/>
      <c r="C61" s="39" t="s">
        <v>2684</v>
      </c>
      <c r="D61" s="72" t="str">
        <f t="shared" si="1"/>
        <v>530/530/0</v>
      </c>
      <c r="E61" s="39">
        <v>2.0</v>
      </c>
      <c r="F61" s="39">
        <v>65.0</v>
      </c>
      <c r="I61" s="39">
        <v>65.0</v>
      </c>
      <c r="J61" s="39">
        <v>45.0</v>
      </c>
      <c r="K61" s="87">
        <v>95.0</v>
      </c>
      <c r="L61" s="39">
        <v>95.0</v>
      </c>
      <c r="M61" s="39">
        <v>90.0</v>
      </c>
      <c r="N61" s="39">
        <v>75.0</v>
      </c>
      <c r="O61" s="39">
        <v>170.0</v>
      </c>
      <c r="P61" s="39">
        <v>-75.0</v>
      </c>
      <c r="Q61" s="64"/>
      <c r="R61" s="64"/>
      <c r="S61" s="64"/>
      <c r="T61" s="64"/>
      <c r="U61" s="64"/>
      <c r="V61" s="64"/>
      <c r="W61" s="64"/>
      <c r="X61" s="64"/>
      <c r="Y61" s="64"/>
      <c r="Z61" s="64"/>
      <c r="AA61" s="64"/>
      <c r="AJ61" s="39">
        <v>0.0</v>
      </c>
      <c r="AK61" s="39">
        <v>0.0</v>
      </c>
      <c r="AL61" s="39">
        <v>0.0</v>
      </c>
      <c r="AM61" s="39">
        <v>0.0</v>
      </c>
      <c r="AN61" s="39">
        <v>0.0</v>
      </c>
      <c r="AO61" s="39">
        <v>0.0</v>
      </c>
      <c r="AP61" s="39">
        <v>0.0</v>
      </c>
      <c r="AQ61" s="39">
        <v>50.0</v>
      </c>
      <c r="AR61" s="39">
        <v>0.0</v>
      </c>
      <c r="AS61" s="39">
        <v>-25.0</v>
      </c>
      <c r="AT61" s="39">
        <v>-25.0</v>
      </c>
      <c r="AU61" s="39">
        <v>-25.0</v>
      </c>
      <c r="AV61" s="39">
        <v>-25.0</v>
      </c>
      <c r="AW61" s="39">
        <v>0.0</v>
      </c>
      <c r="AX61" s="39">
        <v>0.0</v>
      </c>
      <c r="AY61" s="39">
        <v>50.0</v>
      </c>
      <c r="AZ61" s="39">
        <v>0.0</v>
      </c>
      <c r="BG61" s="37" t="str">
        <f t="array" ref="BG61">IF($A61="","", INDEX(CS!$B$1:$B$15025,MATCH($A61,CS!$B:$B,0)+COLUMN(A$1),1))</f>
        <v>霊刃</v>
      </c>
      <c r="BH61" s="37" t="str">
        <f t="array" ref="BH61">IF($A61="","", INDEX(CS!$B$1:$B$15025,MATCH($A61,CS!$B:$B,0)+COLUMN(B$1),1))</f>
        <v/>
      </c>
      <c r="BI61" s="37" t="str">
        <f t="array" ref="BI61">IF($A61="","", INDEX(CS!$B$1:$B$15025,MATCH($A61,CS!$B:$B,0)+COLUMN(C$1),1))</f>
        <v>影潜り</v>
      </c>
      <c r="BJ61" s="37" t="str">
        <f t="array" ref="BJ61">IF($A61="","", INDEX(CS!$B$1:$B$15025,MATCH($A61,CS!$B:$B,0)+COLUMN(D$1),1))</f>
        <v/>
      </c>
      <c r="BK61" s="37" t="str">
        <f t="array" ref="BK61">IF($A61="","", INDEX(CS!$B$1:$B$15025,MATCH($A61,CS!$B:$B,0)+COLUMN(E$1),1))</f>
        <v>霊体強化</v>
      </c>
      <c r="BL61" s="37" t="str">
        <f t="array" ref="BL61">IF($A61="","", INDEX(CS!$B$1:$B$15025,MATCH($A61,CS!$B:$B,0)+COLUMN(F$1),1))</f>
        <v/>
      </c>
      <c r="BM61" s="37" t="str">
        <f t="array" ref="BM61">IF($A61="","", INDEX(CS!$B$1:$B$15025,MATCH($A61,CS!$B:$B,0)+COLUMN(G$1),1))</f>
        <v>魂削り</v>
      </c>
      <c r="BN61" s="37" t="str">
        <f t="array" ref="BN61">IF($A61="","", INDEX(CS!$B$1:$B$15025,MATCH($A61,CS!$B:$B,0)+COLUMN(H$1),1))</f>
        <v/>
      </c>
      <c r="BO61" s="37" t="str">
        <f t="array" ref="BO61">IF($A61="","", INDEX(CS!$B$1:$B$15025,MATCH($A61,CS!$B:$B,0)+COLUMN(I$1),1))</f>
        <v>恐慌の気配</v>
      </c>
      <c r="BP61" s="37" t="str">
        <f t="array" ref="BP61">IF($A61="","", INDEX(CS!$B$1:$B$15025,MATCH($A61,CS!$B:$B,0)+COLUMN(J$1),1))</f>
        <v>死の接触</v>
      </c>
      <c r="BR61" s="39" t="s">
        <v>2735</v>
      </c>
      <c r="BS61" s="74"/>
      <c r="BU61" s="39" t="s">
        <v>2736</v>
      </c>
    </row>
    <row r="62" ht="18.75" customHeight="1" outlineLevel="1">
      <c r="A62" s="39" t="s">
        <v>1409</v>
      </c>
      <c r="B62" s="71"/>
      <c r="C62" s="39" t="s">
        <v>2684</v>
      </c>
      <c r="D62" s="72" t="str">
        <f t="shared" si="1"/>
        <v>555/555/0</v>
      </c>
      <c r="E62" s="41">
        <v>3.0</v>
      </c>
      <c r="F62" s="39">
        <v>60.0</v>
      </c>
      <c r="I62" s="39">
        <v>55.0</v>
      </c>
      <c r="J62" s="39">
        <v>40.0</v>
      </c>
      <c r="K62" s="87">
        <v>110.0</v>
      </c>
      <c r="L62" s="39">
        <v>115.0</v>
      </c>
      <c r="M62" s="39">
        <v>100.0</v>
      </c>
      <c r="N62" s="39">
        <v>75.0</v>
      </c>
      <c r="O62" s="39">
        <v>170.0</v>
      </c>
      <c r="P62" s="39">
        <v>-75.0</v>
      </c>
      <c r="Q62" s="64"/>
      <c r="R62" s="64"/>
      <c r="S62" s="64"/>
      <c r="T62" s="64"/>
      <c r="U62" s="64"/>
      <c r="V62" s="64"/>
      <c r="W62" s="64"/>
      <c r="X62" s="64"/>
      <c r="Y62" s="64"/>
      <c r="Z62" s="64"/>
      <c r="AA62" s="64"/>
      <c r="AJ62" s="39">
        <v>0.0</v>
      </c>
      <c r="AK62" s="39">
        <v>50.0</v>
      </c>
      <c r="AL62" s="39">
        <v>0.0</v>
      </c>
      <c r="AM62" s="39">
        <v>0.0</v>
      </c>
      <c r="AN62" s="39">
        <v>0.0</v>
      </c>
      <c r="AO62" s="39">
        <v>0.0</v>
      </c>
      <c r="AP62" s="39">
        <v>0.0</v>
      </c>
      <c r="AQ62" s="39">
        <v>0.0</v>
      </c>
      <c r="AR62" s="39">
        <v>0.0</v>
      </c>
      <c r="AS62" s="39">
        <v>-25.0</v>
      </c>
      <c r="AT62" s="39">
        <v>-25.0</v>
      </c>
      <c r="AU62" s="39">
        <v>-25.0</v>
      </c>
      <c r="AV62" s="39">
        <v>-25.0</v>
      </c>
      <c r="AW62" s="39">
        <v>0.0</v>
      </c>
      <c r="AX62" s="39">
        <v>0.0</v>
      </c>
      <c r="AY62" s="39">
        <v>50.0</v>
      </c>
      <c r="AZ62" s="39">
        <v>0.0</v>
      </c>
      <c r="BG62" s="37" t="str">
        <f t="array" ref="BG62">IF($A62="","", INDEX(CS!$B$1:$B$15025,MATCH($A62,CS!$B:$B,0)+COLUMN(A$1),1))</f>
        <v>嘆きの声</v>
      </c>
      <c r="BH62" s="37" t="str">
        <f t="array" ref="BH62">IF($A62="","", INDEX(CS!$B$1:$B$15025,MATCH($A62,CS!$B:$B,0)+COLUMN(B$1),1))</f>
        <v/>
      </c>
      <c r="BI62" s="37" t="str">
        <f t="array" ref="BI62">IF($A62="","", INDEX(CS!$B$1:$B$15025,MATCH($A62,CS!$B:$B,0)+COLUMN(C$1),1))</f>
        <v>バンシーの絶叫</v>
      </c>
      <c r="BJ62" s="37" t="str">
        <f t="array" ref="BJ62">IF($A62="","", INDEX(CS!$B$1:$B$15025,MATCH($A62,CS!$B:$B,0)+COLUMN(D$1),1))</f>
        <v/>
      </c>
      <c r="BK62" s="37" t="str">
        <f t="array" ref="BK62">IF($A62="","", INDEX(CS!$B$1:$B$15025,MATCH($A62,CS!$B:$B,0)+COLUMN(E$1),1))</f>
        <v>悲嘆の霊体</v>
      </c>
      <c r="BL62" s="37" t="str">
        <f t="array" ref="BL62">IF($A62="","", INDEX(CS!$B$1:$B$15025,MATCH($A62,CS!$B:$B,0)+COLUMN(F$1),1))</f>
        <v/>
      </c>
      <c r="BM62" s="37" t="str">
        <f t="array" ref="BM62">IF($A62="","", INDEX(CS!$B$1:$B$15025,MATCH($A62,CS!$B:$B,0)+COLUMN(G$1),1))</f>
        <v>予兆の泣き声</v>
      </c>
      <c r="BN62" s="37" t="str">
        <f t="array" ref="BN62">IF($A62="","", INDEX(CS!$B$1:$B$15025,MATCH($A62,CS!$B:$B,0)+COLUMN(H$1),1))</f>
        <v/>
      </c>
      <c r="BO62" s="37" t="str">
        <f t="array" ref="BO62">IF($A62="","", INDEX(CS!$B$1:$B$15025,MATCH($A62,CS!$B:$B,0)+COLUMN(I$1),1))</f>
        <v>魂震え</v>
      </c>
      <c r="BP62" s="37" t="str">
        <f t="array" ref="BP62">IF($A62="","", INDEX(CS!$B$1:$B$15025,MATCH($A62,CS!$B:$B,0)+COLUMN(J$1),1))</f>
        <v>死を告げる絶叫</v>
      </c>
      <c r="BR62" s="39" t="s">
        <v>2735</v>
      </c>
      <c r="BS62" s="74"/>
      <c r="BU62" s="39" t="s">
        <v>2736</v>
      </c>
    </row>
    <row r="63" ht="18.75" customHeight="1">
      <c r="A63" s="41" t="s">
        <v>2737</v>
      </c>
      <c r="B63" s="71"/>
      <c r="C63" s="39" t="s">
        <v>2684</v>
      </c>
      <c r="D63" s="72" t="str">
        <f t="shared" si="1"/>
        <v>565/565/0</v>
      </c>
      <c r="E63" s="41">
        <v>3.0</v>
      </c>
      <c r="F63" s="39">
        <v>85.0</v>
      </c>
      <c r="I63" s="39">
        <v>70.0</v>
      </c>
      <c r="J63" s="39">
        <v>50.0</v>
      </c>
      <c r="K63" s="87">
        <v>100.0</v>
      </c>
      <c r="L63" s="39">
        <v>110.0</v>
      </c>
      <c r="M63" s="39">
        <v>80.0</v>
      </c>
      <c r="N63" s="39">
        <v>70.0</v>
      </c>
      <c r="O63" s="39">
        <v>170.0</v>
      </c>
      <c r="P63" s="39">
        <v>-100.0</v>
      </c>
      <c r="Q63" s="64"/>
      <c r="R63" s="64"/>
      <c r="S63" s="64"/>
      <c r="T63" s="64"/>
      <c r="U63" s="64"/>
      <c r="V63" s="64"/>
      <c r="W63" s="64"/>
      <c r="X63" s="64"/>
      <c r="Y63" s="64"/>
      <c r="Z63" s="64"/>
      <c r="AA63" s="64"/>
      <c r="AJ63" s="39">
        <v>0.0</v>
      </c>
      <c r="AK63" s="39">
        <v>75.0</v>
      </c>
      <c r="AL63" s="39">
        <v>0.0</v>
      </c>
      <c r="AM63" s="39">
        <v>0.0</v>
      </c>
      <c r="AN63" s="39">
        <v>0.0</v>
      </c>
      <c r="AO63" s="39">
        <v>0.0</v>
      </c>
      <c r="AP63" s="39">
        <v>0.0</v>
      </c>
      <c r="AQ63" s="39">
        <v>0.0</v>
      </c>
      <c r="AR63" s="39">
        <v>0.0</v>
      </c>
      <c r="AS63" s="39">
        <v>-25.0</v>
      </c>
      <c r="AT63" s="39">
        <v>-25.0</v>
      </c>
      <c r="AU63" s="39">
        <v>-25.0</v>
      </c>
      <c r="AV63" s="39">
        <v>-25.0</v>
      </c>
      <c r="AW63" s="39">
        <v>0.0</v>
      </c>
      <c r="AX63" s="39">
        <v>0.0</v>
      </c>
      <c r="AY63" s="39">
        <v>25.0</v>
      </c>
      <c r="AZ63" s="39">
        <v>0.0</v>
      </c>
      <c r="BG63" s="37" t="str">
        <f t="array" ref="BG63">IF($A63="","", INDEX(CS!$B$1:$B$15025,MATCH($A63,CS!$B:$B,0)+COLUMN(A$1),1))</f>
        <v>#N/A</v>
      </c>
      <c r="BH63" s="37" t="str">
        <f t="array" ref="BH63">IF($A63="","", INDEX(CS!$B$1:$B$15025,MATCH($A63,CS!$B:$B,0)+COLUMN(B$1),1))</f>
        <v>#N/A</v>
      </c>
      <c r="BI63" s="37" t="str">
        <f t="array" ref="BI63">IF($A63="","", INDEX(CS!$B$1:$B$15025,MATCH($A63,CS!$B:$B,0)+COLUMN(C$1),1))</f>
        <v>#N/A</v>
      </c>
      <c r="BJ63" s="37" t="str">
        <f t="array" ref="BJ63">IF($A63="","", INDEX(CS!$B$1:$B$15025,MATCH($A63,CS!$B:$B,0)+COLUMN(D$1),1))</f>
        <v>#N/A</v>
      </c>
      <c r="BK63" s="37" t="str">
        <f t="array" ref="BK63">IF($A63="","", INDEX(CS!$B$1:$B$15025,MATCH($A63,CS!$B:$B,0)+COLUMN(E$1),1))</f>
        <v>#N/A</v>
      </c>
      <c r="BL63" s="37" t="str">
        <f t="array" ref="BL63">IF($A63="","", INDEX(CS!$B$1:$B$15025,MATCH($A63,CS!$B:$B,0)+COLUMN(F$1),1))</f>
        <v>#N/A</v>
      </c>
      <c r="BM63" s="37" t="str">
        <f t="array" ref="BM63">IF($A63="","", INDEX(CS!$B$1:$B$15025,MATCH($A63,CS!$B:$B,0)+COLUMN(G$1),1))</f>
        <v>#N/A</v>
      </c>
      <c r="BN63" s="37" t="str">
        <f t="array" ref="BN63">IF($A63="","", INDEX(CS!$B$1:$B$15025,MATCH($A63,CS!$B:$B,0)+COLUMN(H$1),1))</f>
        <v>#N/A</v>
      </c>
      <c r="BO63" s="37" t="str">
        <f t="array" ref="BO63">IF($A63="","", INDEX(CS!$B$1:$B$15025,MATCH($A63,CS!$B:$B,0)+COLUMN(I$1),1))</f>
        <v>#N/A</v>
      </c>
      <c r="BP63" s="37" t="str">
        <f t="array" ref="BP63">IF($A63="","", INDEX(CS!$B$1:$B$15025,MATCH($A63,CS!$B:$B,0)+COLUMN(J$1),1))</f>
        <v>#N/A</v>
      </c>
      <c r="BR63" s="39" t="s">
        <v>2738</v>
      </c>
      <c r="BS63" s="74"/>
      <c r="BU63" s="39" t="s">
        <v>2739</v>
      </c>
    </row>
    <row r="64" ht="18.75" customHeight="1">
      <c r="A64" s="39" t="s">
        <v>1448</v>
      </c>
      <c r="B64" s="71"/>
      <c r="C64" s="39" t="s">
        <v>2684</v>
      </c>
      <c r="D64" s="72" t="str">
        <f t="shared" si="1"/>
        <v>535/535/0</v>
      </c>
      <c r="E64" s="39">
        <v>2.0</v>
      </c>
      <c r="F64" s="39">
        <v>100.0</v>
      </c>
      <c r="I64" s="39">
        <v>105.0</v>
      </c>
      <c r="J64" s="39">
        <v>80.0</v>
      </c>
      <c r="K64" s="87">
        <v>50.0</v>
      </c>
      <c r="L64" s="39">
        <v>65.0</v>
      </c>
      <c r="M64" s="39">
        <v>65.0</v>
      </c>
      <c r="N64" s="39">
        <v>70.0</v>
      </c>
      <c r="O64" s="39">
        <v>170.0</v>
      </c>
      <c r="P64" s="39">
        <v>-50.0</v>
      </c>
      <c r="Q64" s="64"/>
      <c r="R64" s="64"/>
      <c r="S64" s="64"/>
      <c r="T64" s="64"/>
      <c r="U64" s="64"/>
      <c r="V64" s="64"/>
      <c r="W64" s="64"/>
      <c r="X64" s="64"/>
      <c r="Y64" s="64"/>
      <c r="Z64" s="64"/>
      <c r="AA64" s="64"/>
      <c r="AJ64" s="39">
        <v>25.0</v>
      </c>
      <c r="AK64" s="39">
        <v>25.0</v>
      </c>
      <c r="AL64" s="39">
        <v>0.0</v>
      </c>
      <c r="AM64" s="39">
        <v>0.0</v>
      </c>
      <c r="AN64" s="39">
        <v>25.0</v>
      </c>
      <c r="AO64" s="39">
        <v>0.0</v>
      </c>
      <c r="AP64" s="39">
        <v>0.0</v>
      </c>
      <c r="AQ64" s="39">
        <v>0.0</v>
      </c>
      <c r="AR64" s="39">
        <v>25.0</v>
      </c>
      <c r="AS64" s="39">
        <v>-25.0</v>
      </c>
      <c r="AT64" s="39">
        <v>-25.0</v>
      </c>
      <c r="AU64" s="39">
        <v>-25.0</v>
      </c>
      <c r="AV64" s="39">
        <v>-25.0</v>
      </c>
      <c r="AW64" s="39">
        <v>0.0</v>
      </c>
      <c r="AX64" s="39">
        <v>0.0</v>
      </c>
      <c r="AY64" s="39">
        <v>0.0</v>
      </c>
      <c r="AZ64" s="39">
        <v>0.0</v>
      </c>
      <c r="BG64" s="37" t="str">
        <f t="array" ref="BG64">IF($A64="","", INDEX(CS!$B$1:$B$15025,MATCH($A64,CS!$B:$B,0)+COLUMN(A$1),1))</f>
        <v>首無し騎士</v>
      </c>
      <c r="BH64" s="37" t="str">
        <f t="array" ref="BH64">IF($A64="","", INDEX(CS!$B$1:$B$15025,MATCH($A64,CS!$B:$B,0)+COLUMN(B$1),1))</f>
        <v/>
      </c>
      <c r="BI64" s="37" t="str">
        <f t="array" ref="BI64">IF($A64="","", INDEX(CS!$B$1:$B$15025,MATCH($A64,CS!$B:$B,0)+COLUMN(C$1),1))</f>
        <v>首狩り</v>
      </c>
      <c r="BJ64" s="37" t="str">
        <f t="array" ref="BJ64">IF($A64="","", INDEX(CS!$B$1:$B$15025,MATCH($A64,CS!$B:$B,0)+COLUMN(D$1),1))</f>
        <v/>
      </c>
      <c r="BK64" s="37" t="str">
        <f t="array" ref="BK64">IF($A64="","", INDEX(CS!$B$1:$B$15025,MATCH($A64,CS!$B:$B,0)+COLUMN(E$1),1))</f>
        <v>黒鎧</v>
      </c>
      <c r="BL64" s="37" t="str">
        <f t="array" ref="BL64">IF($A64="","", INDEX(CS!$B$1:$B$15025,MATCH($A64,CS!$B:$B,0)+COLUMN(F$1),1))</f>
        <v/>
      </c>
      <c r="BM64" s="37" t="str">
        <f t="array" ref="BM64">IF($A64="","", INDEX(CS!$B$1:$B$15025,MATCH($A64,CS!$B:$B,0)+COLUMN(G$1),1))</f>
        <v>死騎士の突撃</v>
      </c>
      <c r="BN64" s="37" t="str">
        <f t="array" ref="BN64">IF($A64="","", INDEX(CS!$B$1:$B$15025,MATCH($A64,CS!$B:$B,0)+COLUMN(H$1),1))</f>
        <v/>
      </c>
      <c r="BO64" s="37" t="str">
        <f t="array" ref="BO64">IF($A64="","", INDEX(CS!$B$1:$B$15025,MATCH($A64,CS!$B:$B,0)+COLUMN(I$1),1))</f>
        <v>首無しの眼</v>
      </c>
      <c r="BP64" s="37" t="str">
        <f t="array" ref="BP64">IF($A64="","", INDEX(CS!$B$1:$B$15025,MATCH($A64,CS!$B:$B,0)+COLUMN(J$1),1))</f>
        <v>死騎士の威光</v>
      </c>
      <c r="BR64" s="39" t="s">
        <v>2727</v>
      </c>
      <c r="BS64" s="74"/>
      <c r="BU64" s="39" t="s">
        <v>2740</v>
      </c>
    </row>
    <row r="65" ht="18.75" customHeight="1">
      <c r="A65" s="39" t="s">
        <v>1462</v>
      </c>
      <c r="B65" s="71"/>
      <c r="C65" s="39" t="s">
        <v>2684</v>
      </c>
      <c r="D65" s="72" t="str">
        <f t="shared" si="1"/>
        <v>560/560/0</v>
      </c>
      <c r="E65" s="39">
        <v>3.0</v>
      </c>
      <c r="F65" s="39">
        <v>100.0</v>
      </c>
      <c r="I65" s="39">
        <v>105.0</v>
      </c>
      <c r="J65" s="39">
        <v>80.0</v>
      </c>
      <c r="K65" s="87">
        <v>60.0</v>
      </c>
      <c r="L65" s="39">
        <v>70.0</v>
      </c>
      <c r="M65" s="39">
        <v>70.0</v>
      </c>
      <c r="N65" s="39">
        <v>75.0</v>
      </c>
      <c r="O65" s="39">
        <v>170.0</v>
      </c>
      <c r="P65" s="39">
        <v>-50.0</v>
      </c>
      <c r="Q65" s="64"/>
      <c r="R65" s="64"/>
      <c r="S65" s="64"/>
      <c r="T65" s="64"/>
      <c r="U65" s="64"/>
      <c r="V65" s="64"/>
      <c r="W65" s="64"/>
      <c r="X65" s="64"/>
      <c r="Y65" s="64"/>
      <c r="Z65" s="64"/>
      <c r="AA65" s="64"/>
      <c r="AJ65" s="39">
        <v>25.0</v>
      </c>
      <c r="AK65" s="39">
        <v>25.0</v>
      </c>
      <c r="AL65" s="39">
        <v>0.0</v>
      </c>
      <c r="AM65" s="39">
        <v>0.0</v>
      </c>
      <c r="AN65" s="39">
        <v>0.0</v>
      </c>
      <c r="AO65" s="39">
        <v>0.0</v>
      </c>
      <c r="AP65" s="39">
        <v>0.0</v>
      </c>
      <c r="AQ65" s="39">
        <v>0.0</v>
      </c>
      <c r="AR65" s="39">
        <v>25.0</v>
      </c>
      <c r="AS65" s="39">
        <v>-25.0</v>
      </c>
      <c r="AT65" s="39">
        <v>-25.0</v>
      </c>
      <c r="AU65" s="39">
        <v>-25.0</v>
      </c>
      <c r="AV65" s="39">
        <v>-25.0</v>
      </c>
      <c r="AW65" s="39">
        <v>0.0</v>
      </c>
      <c r="AX65" s="39">
        <v>0.0</v>
      </c>
      <c r="AY65" s="39">
        <v>25.0</v>
      </c>
      <c r="AZ65" s="39">
        <v>0.0</v>
      </c>
      <c r="BG65" s="37" t="str">
        <f t="array" ref="BG65">IF($A65="","", INDEX(CS!$B$1:$B$15025,MATCH($A65,CS!$B:$B,0)+COLUMN(A$1),1))</f>
        <v>蒼炎の鎧</v>
      </c>
      <c r="BH65" s="37" t="str">
        <f t="array" ref="BH65">IF($A65="","", INDEX(CS!$B$1:$B$15025,MATCH($A65,CS!$B:$B,0)+COLUMN(B$1),1))</f>
        <v/>
      </c>
      <c r="BI65" s="37" t="str">
        <f t="array" ref="BI65">IF($A65="","", INDEX(CS!$B$1:$B$15025,MATCH($A65,CS!$B:$B,0)+COLUMN(C$1),1))</f>
        <v>蒼炎斬</v>
      </c>
      <c r="BJ65" s="37" t="str">
        <f t="array" ref="BJ65">IF($A65="","", INDEX(CS!$B$1:$B$15025,MATCH($A65,CS!$B:$B,0)+COLUMN(D$1),1))</f>
        <v/>
      </c>
      <c r="BK65" s="37" t="str">
        <f t="array" ref="BK65">IF($A65="","", INDEX(CS!$B$1:$B$15025,MATCH($A65,CS!$B:$B,0)+COLUMN(E$1),1))</f>
        <v>蒼炎纏い</v>
      </c>
      <c r="BL65" s="37" t="str">
        <f t="array" ref="BL65">IF($A65="","", INDEX(CS!$B$1:$B$15025,MATCH($A65,CS!$B:$B,0)+COLUMN(F$1),1))</f>
        <v/>
      </c>
      <c r="BM65" s="37" t="str">
        <f t="array" ref="BM65">IF($A65="","", INDEX(CS!$B$1:$B$15025,MATCH($A65,CS!$B:$B,0)+COLUMN(G$1),1))</f>
        <v>鬼火突撃</v>
      </c>
      <c r="BN65" s="37" t="str">
        <f t="array" ref="BN65">IF($A65="","", INDEX(CS!$B$1:$B$15025,MATCH($A65,CS!$B:$B,0)+COLUMN(H$1),1))</f>
        <v/>
      </c>
      <c r="BO65" s="37" t="str">
        <f t="array" ref="BO65">IF($A65="","", INDEX(CS!$B$1:$B$15025,MATCH($A65,CS!$B:$B,0)+COLUMN(I$1),1))</f>
        <v>蒼炎の首狩り</v>
      </c>
      <c r="BP65" s="37" t="str">
        <f t="array" ref="BP65">IF($A65="","", INDEX(CS!$B$1:$B$15025,MATCH($A65,CS!$B:$B,0)+COLUMN(J$1),1))</f>
        <v>蒼炎騎士王</v>
      </c>
      <c r="BR65" s="39" t="s">
        <v>2741</v>
      </c>
      <c r="BS65" s="74"/>
      <c r="BU65" s="39" t="s">
        <v>2742</v>
      </c>
    </row>
    <row r="66" ht="18.75" customHeight="1">
      <c r="A66" s="41"/>
      <c r="B66" s="71"/>
      <c r="C66" s="37" t="s">
        <v>2684</v>
      </c>
      <c r="D66" s="72" t="str">
        <f t="shared" si="1"/>
        <v>0/0/0</v>
      </c>
      <c r="E66" s="37">
        <v>1.0</v>
      </c>
      <c r="K66" s="73"/>
      <c r="P66" s="37" t="s">
        <v>29</v>
      </c>
      <c r="Q66" s="64"/>
      <c r="R66" s="64"/>
      <c r="S66" s="64"/>
      <c r="T66" s="64"/>
      <c r="U66" s="64"/>
      <c r="V66" s="64"/>
      <c r="W66" s="64"/>
      <c r="X66" s="64"/>
      <c r="Y66" s="64"/>
      <c r="Z66" s="64"/>
      <c r="AA66" s="64"/>
      <c r="BG66" s="37" t="str">
        <f t="array" ref="BG66">IF($A66="","", INDEX(CS!$B$1:$B$15025,MATCH($A66,CS!$B:$B,0)+COLUMN(A$1),1))</f>
        <v/>
      </c>
      <c r="BH66" s="37" t="str">
        <f t="array" ref="BH66">IF($A66="","", INDEX(CS!$B$1:$B$15025,MATCH($A66,CS!$B:$B,0)+COLUMN(B$1),1))</f>
        <v/>
      </c>
      <c r="BI66" s="37" t="str">
        <f t="array" ref="BI66">IF($A66="","", INDEX(CS!$B$1:$B$15025,MATCH($A66,CS!$B:$B,0)+COLUMN(C$1),1))</f>
        <v/>
      </c>
      <c r="BJ66" s="37" t="str">
        <f t="array" ref="BJ66">IF($A66="","", INDEX(CS!$B$1:$B$15025,MATCH($A66,CS!$B:$B,0)+COLUMN(D$1),1))</f>
        <v/>
      </c>
      <c r="BK66" s="37" t="str">
        <f t="array" ref="BK66">IF($A66="","", INDEX(CS!$B$1:$B$15025,MATCH($A66,CS!$B:$B,0)+COLUMN(E$1),1))</f>
        <v/>
      </c>
      <c r="BL66" s="37" t="str">
        <f t="array" ref="BL66">IF($A66="","", INDEX(CS!$B$1:$B$15025,MATCH($A66,CS!$B:$B,0)+COLUMN(F$1),1))</f>
        <v/>
      </c>
      <c r="BM66" s="37" t="str">
        <f t="array" ref="BM66">IF($A66="","", INDEX(CS!$B$1:$B$15025,MATCH($A66,CS!$B:$B,0)+COLUMN(G$1),1))</f>
        <v/>
      </c>
      <c r="BN66" s="37" t="str">
        <f t="array" ref="BN66">IF($A66="","", INDEX(CS!$B$1:$B$15025,MATCH($A66,CS!$B:$B,0)+COLUMN(H$1),1))</f>
        <v/>
      </c>
      <c r="BO66" s="37" t="str">
        <f t="array" ref="BO66">IF($A66="","", INDEX(CS!$B$1:$B$15025,MATCH($A66,CS!$B:$B,0)+COLUMN(I$1),1))</f>
        <v/>
      </c>
      <c r="BP66" s="37" t="str">
        <f t="array" ref="BP66">IF($A66="","", INDEX(CS!$B$1:$B$15025,MATCH($A66,CS!$B:$B,0)+COLUMN(J$1),1))</f>
        <v/>
      </c>
      <c r="BS66" s="74"/>
    </row>
    <row r="67" ht="18.75" customHeight="1">
      <c r="A67" s="41"/>
      <c r="B67" s="71"/>
      <c r="C67" s="37" t="s">
        <v>2684</v>
      </c>
      <c r="D67" s="72" t="str">
        <f t="shared" si="1"/>
        <v>0/0/0</v>
      </c>
      <c r="E67" s="37">
        <v>1.0</v>
      </c>
      <c r="K67" s="73"/>
      <c r="P67" s="37" t="s">
        <v>29</v>
      </c>
      <c r="Q67" s="64"/>
      <c r="R67" s="64"/>
      <c r="S67" s="64"/>
      <c r="T67" s="64"/>
      <c r="U67" s="64"/>
      <c r="V67" s="64"/>
      <c r="W67" s="64"/>
      <c r="X67" s="64"/>
      <c r="Y67" s="64"/>
      <c r="Z67" s="64"/>
      <c r="AA67" s="64"/>
      <c r="BG67" s="37" t="str">
        <f t="array" ref="BG67">IF($A67="","", INDEX(CS!$B$1:$B$15025,MATCH($A67,CS!$B:$B,0)+COLUMN(A$1),1))</f>
        <v/>
      </c>
      <c r="BH67" s="37" t="str">
        <f t="array" ref="BH67">IF($A67="","", INDEX(CS!$B$1:$B$15025,MATCH($A67,CS!$B:$B,0)+COLUMN(B$1),1))</f>
        <v/>
      </c>
      <c r="BI67" s="37" t="str">
        <f t="array" ref="BI67">IF($A67="","", INDEX(CS!$B$1:$B$15025,MATCH($A67,CS!$B:$B,0)+COLUMN(C$1),1))</f>
        <v/>
      </c>
      <c r="BJ67" s="37" t="str">
        <f t="array" ref="BJ67">IF($A67="","", INDEX(CS!$B$1:$B$15025,MATCH($A67,CS!$B:$B,0)+COLUMN(D$1),1))</f>
        <v/>
      </c>
      <c r="BK67" s="37" t="str">
        <f t="array" ref="BK67">IF($A67="","", INDEX(CS!$B$1:$B$15025,MATCH($A67,CS!$B:$B,0)+COLUMN(E$1),1))</f>
        <v/>
      </c>
      <c r="BL67" s="37" t="str">
        <f t="array" ref="BL67">IF($A67="","", INDEX(CS!$B$1:$B$15025,MATCH($A67,CS!$B:$B,0)+COLUMN(F$1),1))</f>
        <v/>
      </c>
      <c r="BM67" s="37" t="str">
        <f t="array" ref="BM67">IF($A67="","", INDEX(CS!$B$1:$B$15025,MATCH($A67,CS!$B:$B,0)+COLUMN(G$1),1))</f>
        <v/>
      </c>
      <c r="BN67" s="37" t="str">
        <f t="array" ref="BN67">IF($A67="","", INDEX(CS!$B$1:$B$15025,MATCH($A67,CS!$B:$B,0)+COLUMN(H$1),1))</f>
        <v/>
      </c>
      <c r="BO67" s="37" t="str">
        <f t="array" ref="BO67">IF($A67="","", INDEX(CS!$B$1:$B$15025,MATCH($A67,CS!$B:$B,0)+COLUMN(I$1),1))</f>
        <v/>
      </c>
      <c r="BP67" s="37" t="str">
        <f t="array" ref="BP67">IF($A67="","", INDEX(CS!$B$1:$B$15025,MATCH($A67,CS!$B:$B,0)+COLUMN(J$1),1))</f>
        <v/>
      </c>
      <c r="BS67" s="74"/>
    </row>
    <row r="68" ht="18.75" customHeight="1">
      <c r="A68" s="41"/>
      <c r="B68" s="71"/>
      <c r="C68" s="37" t="s">
        <v>2684</v>
      </c>
      <c r="D68" s="72" t="str">
        <f t="shared" si="1"/>
        <v>0/0/0</v>
      </c>
      <c r="E68" s="37">
        <v>1.0</v>
      </c>
      <c r="K68" s="73"/>
      <c r="P68" s="37" t="s">
        <v>29</v>
      </c>
      <c r="Q68" s="64"/>
      <c r="R68" s="64"/>
      <c r="S68" s="64"/>
      <c r="T68" s="64"/>
      <c r="U68" s="64"/>
      <c r="V68" s="64"/>
      <c r="W68" s="64"/>
      <c r="X68" s="64"/>
      <c r="Y68" s="64"/>
      <c r="Z68" s="64"/>
      <c r="AA68" s="64"/>
      <c r="BG68" s="37" t="str">
        <f t="array" ref="BG68">IF($A68="","", INDEX(CS!$B$1:$B$15025,MATCH($A68,CS!$B:$B,0)+COLUMN(A$1),1))</f>
        <v/>
      </c>
      <c r="BH68" s="37" t="str">
        <f t="array" ref="BH68">IF($A68="","", INDEX(CS!$B$1:$B$15025,MATCH($A68,CS!$B:$B,0)+COLUMN(B$1),1))</f>
        <v/>
      </c>
      <c r="BI68" s="37" t="str">
        <f t="array" ref="BI68">IF($A68="","", INDEX(CS!$B$1:$B$15025,MATCH($A68,CS!$B:$B,0)+COLUMN(C$1),1))</f>
        <v/>
      </c>
      <c r="BJ68" s="37" t="str">
        <f t="array" ref="BJ68">IF($A68="","", INDEX(CS!$B$1:$B$15025,MATCH($A68,CS!$B:$B,0)+COLUMN(D$1),1))</f>
        <v/>
      </c>
      <c r="BK68" s="37" t="str">
        <f t="array" ref="BK68">IF($A68="","", INDEX(CS!$B$1:$B$15025,MATCH($A68,CS!$B:$B,0)+COLUMN(E$1),1))</f>
        <v/>
      </c>
      <c r="BL68" s="37" t="str">
        <f t="array" ref="BL68">IF($A68="","", INDEX(CS!$B$1:$B$15025,MATCH($A68,CS!$B:$B,0)+COLUMN(F$1),1))</f>
        <v/>
      </c>
      <c r="BM68" s="37" t="str">
        <f t="array" ref="BM68">IF($A68="","", INDEX(CS!$B$1:$B$15025,MATCH($A68,CS!$B:$B,0)+COLUMN(G$1),1))</f>
        <v/>
      </c>
      <c r="BN68" s="37" t="str">
        <f t="array" ref="BN68">IF($A68="","", INDEX(CS!$B$1:$B$15025,MATCH($A68,CS!$B:$B,0)+COLUMN(H$1),1))</f>
        <v/>
      </c>
      <c r="BO68" s="37" t="str">
        <f t="array" ref="BO68">IF($A68="","", INDEX(CS!$B$1:$B$15025,MATCH($A68,CS!$B:$B,0)+COLUMN(I$1),1))</f>
        <v/>
      </c>
      <c r="BP68" s="37" t="str">
        <f t="array" ref="BP68">IF($A68="","", INDEX(CS!$B$1:$B$15025,MATCH($A68,CS!$B:$B,0)+COLUMN(J$1),1))</f>
        <v/>
      </c>
      <c r="BS68" s="74"/>
    </row>
    <row r="69" ht="18.75" customHeight="1">
      <c r="A69" s="25" t="s">
        <v>1477</v>
      </c>
      <c r="B69" s="71" t="s">
        <v>2743</v>
      </c>
      <c r="C69" s="37" t="s">
        <v>2684</v>
      </c>
      <c r="D69" s="72" t="str">
        <f t="shared" si="1"/>
        <v>690/515/175</v>
      </c>
      <c r="E69" s="37">
        <v>1.0</v>
      </c>
      <c r="F69" s="37">
        <v>75.0</v>
      </c>
      <c r="I69" s="37">
        <v>55.0</v>
      </c>
      <c r="J69" s="37">
        <v>60.0</v>
      </c>
      <c r="K69" s="73">
        <v>100.0</v>
      </c>
      <c r="L69" s="37">
        <v>85.0</v>
      </c>
      <c r="M69" s="37">
        <v>75.0</v>
      </c>
      <c r="N69" s="37">
        <v>65.0</v>
      </c>
      <c r="O69" s="37">
        <v>140.0</v>
      </c>
      <c r="P69" s="37">
        <v>0.0</v>
      </c>
      <c r="Q69" s="64">
        <v>15.0</v>
      </c>
      <c r="R69" s="64"/>
      <c r="S69" s="64"/>
      <c r="T69" s="64">
        <v>100.0</v>
      </c>
      <c r="U69" s="64">
        <v>-45.0</v>
      </c>
      <c r="V69" s="64"/>
      <c r="W69" s="64">
        <v>100.0</v>
      </c>
      <c r="X69" s="64">
        <v>-45.0</v>
      </c>
      <c r="Y69" s="64"/>
      <c r="Z69" s="64"/>
      <c r="AA69" s="64"/>
      <c r="AE69" s="37">
        <v>100.0</v>
      </c>
      <c r="AJ69" s="39">
        <v>0.0</v>
      </c>
      <c r="AK69" s="39">
        <v>0.0</v>
      </c>
      <c r="AL69" s="39">
        <v>75.0</v>
      </c>
      <c r="AM69" s="39">
        <v>0.0</v>
      </c>
      <c r="AN69" s="39">
        <v>0.0</v>
      </c>
      <c r="AO69" s="39">
        <v>0.0</v>
      </c>
      <c r="AP69" s="39">
        <v>0.0</v>
      </c>
      <c r="AQ69" s="39">
        <v>75.0</v>
      </c>
      <c r="AR69" s="39">
        <v>25.0</v>
      </c>
      <c r="AS69" s="39">
        <v>-25.0</v>
      </c>
      <c r="AT69" s="39">
        <v>-25.0</v>
      </c>
      <c r="AU69" s="39">
        <v>-25.0</v>
      </c>
      <c r="AV69" s="39">
        <v>-25.0</v>
      </c>
      <c r="AW69" s="39">
        <v>0.0</v>
      </c>
      <c r="AX69" s="39">
        <v>0.0</v>
      </c>
      <c r="AY69" s="39">
        <v>100.0</v>
      </c>
      <c r="AZ69" s="39">
        <v>0.0</v>
      </c>
      <c r="BG69" s="37" t="str">
        <f t="array" ref="BG69">IF($A69="","", INDEX(CS!$B$1:$B$15025,MATCH($A69,CS!$B:$B,0)+COLUMN(A$1),1))</f>
        <v>炎の拳</v>
      </c>
      <c r="BH69" s="37" t="str">
        <f t="array" ref="BH69">IF($A69="","", INDEX(CS!$B$1:$B$15025,MATCH($A69,CS!$B:$B,0)+COLUMN(B$1),1))</f>
        <v/>
      </c>
      <c r="BI69" s="37" t="str">
        <f t="array" ref="BI69">IF($A69="","", INDEX(CS!$B$1:$B$15025,MATCH($A69,CS!$B:$B,0)+COLUMN(C$1),1))</f>
        <v>浮遊</v>
      </c>
      <c r="BJ69" s="37" t="str">
        <f t="array" ref="BJ69">IF($A69="","", INDEX(CS!$B$1:$B$15025,MATCH($A69,CS!$B:$B,0)+COLUMN(D$1),1))</f>
        <v/>
      </c>
      <c r="BK69" s="37" t="str">
        <f t="array" ref="BK69">IF($A69="","", INDEX(CS!$B$1:$B$15025,MATCH($A69,CS!$B:$B,0)+COLUMN(E$1),1))</f>
        <v>火炎</v>
      </c>
      <c r="BL69" s="37" t="str">
        <f t="array" ref="BL69">IF($A69="","", INDEX(CS!$B$1:$B$15025,MATCH($A69,CS!$B:$B,0)+COLUMN(F$1),1))</f>
        <v>炎の魔力</v>
      </c>
      <c r="BM69" s="37" t="str">
        <f t="array" ref="BM69">IF($A69="","", INDEX(CS!$B$1:$B$15025,MATCH($A69,CS!$B:$B,0)+COLUMN(G$1),1))</f>
        <v/>
      </c>
      <c r="BN69" s="37" t="str">
        <f t="array" ref="BN69">IF($A69="","", INDEX(CS!$B$1:$B$15025,MATCH($A69,CS!$B:$B,0)+COLUMN(H$1),1))</f>
        <v/>
      </c>
      <c r="BO69" s="37" t="str">
        <f t="array" ref="BO69">IF($A69="","", INDEX(CS!$B$1:$B$15025,MATCH($A69,CS!$B:$B,0)+COLUMN(I$1),1))</f>
        <v>炎の力</v>
      </c>
      <c r="BP69" s="37" t="str">
        <f t="array" ref="BP69">IF($A69="","", INDEX(CS!$B$1:$B$15025,MATCH($A69,CS!$B:$B,0)+COLUMN(J$1),1))</f>
        <v>炎の吐息</v>
      </c>
      <c r="BS69" s="74"/>
      <c r="CD69" s="37">
        <v>1.0</v>
      </c>
      <c r="CI69" s="37" t="s">
        <v>2725</v>
      </c>
      <c r="CJ69" s="37" t="s">
        <v>2725</v>
      </c>
      <c r="CK69" s="37" t="s">
        <v>2725</v>
      </c>
      <c r="CN69" s="37" t="s">
        <v>2743</v>
      </c>
    </row>
    <row r="70" ht="18.75" customHeight="1">
      <c r="A70" s="25" t="s">
        <v>1479</v>
      </c>
      <c r="B70" s="71" t="s">
        <v>2743</v>
      </c>
      <c r="C70" s="37" t="s">
        <v>2684</v>
      </c>
      <c r="D70" s="72" t="str">
        <f t="shared" si="1"/>
        <v>690/515/175</v>
      </c>
      <c r="E70" s="37">
        <v>1.0</v>
      </c>
      <c r="F70" s="37">
        <v>75.0</v>
      </c>
      <c r="I70" s="37">
        <v>55.0</v>
      </c>
      <c r="J70" s="37">
        <v>60.0</v>
      </c>
      <c r="K70" s="73">
        <v>100.0</v>
      </c>
      <c r="L70" s="37">
        <v>85.0</v>
      </c>
      <c r="M70" s="37">
        <v>75.0</v>
      </c>
      <c r="N70" s="37">
        <v>65.0</v>
      </c>
      <c r="O70" s="37">
        <v>140.0</v>
      </c>
      <c r="P70" s="37">
        <v>0.0</v>
      </c>
      <c r="Q70" s="64">
        <v>15.0</v>
      </c>
      <c r="R70" s="64"/>
      <c r="S70" s="64"/>
      <c r="T70" s="64">
        <v>-45.0</v>
      </c>
      <c r="U70" s="64">
        <v>100.0</v>
      </c>
      <c r="V70" s="64"/>
      <c r="W70" s="64">
        <v>-45.0</v>
      </c>
      <c r="X70" s="64">
        <v>100.0</v>
      </c>
      <c r="Y70" s="64"/>
      <c r="Z70" s="64"/>
      <c r="AA70" s="64"/>
      <c r="AE70" s="37">
        <v>100.0</v>
      </c>
      <c r="AJ70" s="39">
        <v>0.0</v>
      </c>
      <c r="AK70" s="39">
        <v>0.0</v>
      </c>
      <c r="AL70" s="39">
        <v>75.0</v>
      </c>
      <c r="AM70" s="39">
        <v>0.0</v>
      </c>
      <c r="AN70" s="39">
        <v>0.0</v>
      </c>
      <c r="AO70" s="39">
        <v>0.0</v>
      </c>
      <c r="AP70" s="39">
        <v>0.0</v>
      </c>
      <c r="AQ70" s="39">
        <v>75.0</v>
      </c>
      <c r="AR70" s="39">
        <v>25.0</v>
      </c>
      <c r="AS70" s="39">
        <v>-25.0</v>
      </c>
      <c r="AT70" s="39">
        <v>-25.0</v>
      </c>
      <c r="AU70" s="39">
        <v>-25.0</v>
      </c>
      <c r="AV70" s="39">
        <v>-25.0</v>
      </c>
      <c r="AW70" s="39">
        <v>0.0</v>
      </c>
      <c r="AX70" s="39">
        <v>0.0</v>
      </c>
      <c r="AY70" s="39">
        <v>100.0</v>
      </c>
      <c r="AZ70" s="39">
        <v>0.0</v>
      </c>
      <c r="BG70" s="37" t="str">
        <f t="array" ref="BG70">IF($A70="","", INDEX(CS!$B$1:$B$15025,MATCH($A70,CS!$B:$B,0)+COLUMN(A$1),1))</f>
        <v>氷の拳</v>
      </c>
      <c r="BH70" s="37" t="str">
        <f t="array" ref="BH70">IF($A70="","", INDEX(CS!$B$1:$B$15025,MATCH($A70,CS!$B:$B,0)+COLUMN(B$1),1))</f>
        <v/>
      </c>
      <c r="BI70" s="37" t="str">
        <f t="array" ref="BI70">IF($A70="","", INDEX(CS!$B$1:$B$15025,MATCH($A70,CS!$B:$B,0)+COLUMN(C$1),1))</f>
        <v>浮遊</v>
      </c>
      <c r="BJ70" s="37" t="str">
        <f t="array" ref="BJ70">IF($A70="","", INDEX(CS!$B$1:$B$15025,MATCH($A70,CS!$B:$B,0)+COLUMN(D$1),1))</f>
        <v/>
      </c>
      <c r="BK70" s="37" t="str">
        <f t="array" ref="BK70">IF($A70="","", INDEX(CS!$B$1:$B$15025,MATCH($A70,CS!$B:$B,0)+COLUMN(E$1),1))</f>
        <v>冷気の光線</v>
      </c>
      <c r="BL70" s="37" t="str">
        <f t="array" ref="BL70">IF($A70="","", INDEX(CS!$B$1:$B$15025,MATCH($A70,CS!$B:$B,0)+COLUMN(F$1),1))</f>
        <v>氷の魔力</v>
      </c>
      <c r="BM70" s="37" t="str">
        <f t="array" ref="BM70">IF($A70="","", INDEX(CS!$B$1:$B$15025,MATCH($A70,CS!$B:$B,0)+COLUMN(G$1),1))</f>
        <v/>
      </c>
      <c r="BN70" s="37" t="str">
        <f t="array" ref="BN70">IF($A70="","", INDEX(CS!$B$1:$B$15025,MATCH($A70,CS!$B:$B,0)+COLUMN(H$1),1))</f>
        <v/>
      </c>
      <c r="BO70" s="37" t="str">
        <f t="array" ref="BO70">IF($A70="","", INDEX(CS!$B$1:$B$15025,MATCH($A70,CS!$B:$B,0)+COLUMN(I$1),1))</f>
        <v>氷の力</v>
      </c>
      <c r="BP70" s="37" t="str">
        <f t="array" ref="BP70">IF($A70="","", INDEX(CS!$B$1:$B$15025,MATCH($A70,CS!$B:$B,0)+COLUMN(J$1),1))</f>
        <v>氷の吐息</v>
      </c>
      <c r="BS70" s="74"/>
      <c r="CD70" s="37">
        <v>1.0</v>
      </c>
      <c r="CN70" s="37" t="s">
        <v>2743</v>
      </c>
    </row>
    <row r="71" ht="18.75" customHeight="1">
      <c r="A71" s="25" t="s">
        <v>1480</v>
      </c>
      <c r="B71" s="71" t="s">
        <v>2743</v>
      </c>
      <c r="C71" s="37" t="s">
        <v>2684</v>
      </c>
      <c r="D71" s="72" t="str">
        <f t="shared" si="1"/>
        <v>690/515/175</v>
      </c>
      <c r="E71" s="37">
        <v>1.0</v>
      </c>
      <c r="F71" s="37">
        <v>75.0</v>
      </c>
      <c r="I71" s="37">
        <v>55.0</v>
      </c>
      <c r="J71" s="37">
        <v>60.0</v>
      </c>
      <c r="K71" s="73">
        <v>100.0</v>
      </c>
      <c r="L71" s="37">
        <v>85.0</v>
      </c>
      <c r="M71" s="37">
        <v>75.0</v>
      </c>
      <c r="N71" s="37">
        <v>65.0</v>
      </c>
      <c r="O71" s="37">
        <v>140.0</v>
      </c>
      <c r="P71" s="37">
        <v>0.0</v>
      </c>
      <c r="Q71" s="64">
        <v>15.0</v>
      </c>
      <c r="R71" s="64"/>
      <c r="S71" s="64"/>
      <c r="T71" s="64">
        <v>-45.0</v>
      </c>
      <c r="U71" s="64">
        <v>100.0</v>
      </c>
      <c r="V71" s="64"/>
      <c r="W71" s="64">
        <v>-45.0</v>
      </c>
      <c r="X71" s="64">
        <v>100.0</v>
      </c>
      <c r="Y71" s="64"/>
      <c r="Z71" s="64"/>
      <c r="AA71" s="64"/>
      <c r="AE71" s="37">
        <v>100.0</v>
      </c>
      <c r="AJ71" s="39">
        <v>0.0</v>
      </c>
      <c r="AK71" s="39">
        <v>0.0</v>
      </c>
      <c r="AL71" s="39">
        <v>75.0</v>
      </c>
      <c r="AM71" s="39">
        <v>0.0</v>
      </c>
      <c r="AN71" s="39">
        <v>0.0</v>
      </c>
      <c r="AO71" s="39">
        <v>0.0</v>
      </c>
      <c r="AP71" s="39">
        <v>0.0</v>
      </c>
      <c r="AQ71" s="39">
        <v>75.0</v>
      </c>
      <c r="AR71" s="39">
        <v>25.0</v>
      </c>
      <c r="AS71" s="39">
        <v>-25.0</v>
      </c>
      <c r="AT71" s="39">
        <v>-25.0</v>
      </c>
      <c r="AU71" s="39">
        <v>-25.0</v>
      </c>
      <c r="AV71" s="39">
        <v>-25.0</v>
      </c>
      <c r="AW71" s="39">
        <v>0.0</v>
      </c>
      <c r="AX71" s="39">
        <v>0.0</v>
      </c>
      <c r="AY71" s="39">
        <v>100.0</v>
      </c>
      <c r="AZ71" s="39">
        <v>0.0</v>
      </c>
      <c r="BG71" s="37" t="str">
        <f t="array" ref="BG71">IF($A71="","", INDEX(CS!$B$1:$B$15025,MATCH($A71,CS!$B:$B,0)+COLUMN(A$1),1))</f>
        <v>水の拳</v>
      </c>
      <c r="BH71" s="37" t="str">
        <f t="array" ref="BH71">IF($A71="","", INDEX(CS!$B$1:$B$15025,MATCH($A71,CS!$B:$B,0)+COLUMN(B$1),1))</f>
        <v/>
      </c>
      <c r="BI71" s="37" t="str">
        <f t="array" ref="BI71">IF($A71="","", INDEX(CS!$B$1:$B$15025,MATCH($A71,CS!$B:$B,0)+COLUMN(C$1),1))</f>
        <v>水の精霊</v>
      </c>
      <c r="BJ71" s="37" t="str">
        <f t="array" ref="BJ71">IF($A71="","", INDEX(CS!$B$1:$B$15025,MATCH($A71,CS!$B:$B,0)+COLUMN(D$1),1))</f>
        <v/>
      </c>
      <c r="BK71" s="37" t="str">
        <f t="array" ref="BK71">IF($A71="","", INDEX(CS!$B$1:$B$15025,MATCH($A71,CS!$B:$B,0)+COLUMN(E$1),1))</f>
        <v>水力</v>
      </c>
      <c r="BL71" s="37" t="str">
        <f t="array" ref="BL71">IF($A71="","", INDEX(CS!$B$1:$B$15025,MATCH($A71,CS!$B:$B,0)+COLUMN(F$1),1))</f>
        <v>水の魔力</v>
      </c>
      <c r="BM71" s="37" t="str">
        <f t="array" ref="BM71">IF($A71="","", INDEX(CS!$B$1:$B$15025,MATCH($A71,CS!$B:$B,0)+COLUMN(G$1),1))</f>
        <v/>
      </c>
      <c r="BN71" s="37" t="str">
        <f t="array" ref="BN71">IF($A71="","", INDEX(CS!$B$1:$B$15025,MATCH($A71,CS!$B:$B,0)+COLUMN(H$1),1))</f>
        <v/>
      </c>
      <c r="BO71" s="37" t="str">
        <f t="array" ref="BO71">IF($A71="","", INDEX(CS!$B$1:$B$15025,MATCH($A71,CS!$B:$B,0)+COLUMN(I$1),1))</f>
        <v>水の力</v>
      </c>
      <c r="BP71" s="37" t="str">
        <f t="array" ref="BP71">IF($A71="","", INDEX(CS!$B$1:$B$15025,MATCH($A71,CS!$B:$B,0)+COLUMN(J$1),1))</f>
        <v>水の吐息</v>
      </c>
      <c r="BS71" s="74"/>
      <c r="CD71" s="37">
        <v>1.0</v>
      </c>
      <c r="CN71" s="37" t="s">
        <v>2743</v>
      </c>
    </row>
    <row r="72" ht="18.75" customHeight="1">
      <c r="A72" s="25" t="s">
        <v>1489</v>
      </c>
      <c r="B72" s="71" t="s">
        <v>2743</v>
      </c>
      <c r="C72" s="37" t="s">
        <v>2684</v>
      </c>
      <c r="D72" s="72" t="str">
        <f t="shared" si="1"/>
        <v>690/515/175</v>
      </c>
      <c r="E72" s="37">
        <v>1.0</v>
      </c>
      <c r="F72" s="37">
        <v>75.0</v>
      </c>
      <c r="I72" s="37">
        <v>55.0</v>
      </c>
      <c r="J72" s="37">
        <v>60.0</v>
      </c>
      <c r="K72" s="73">
        <v>100.0</v>
      </c>
      <c r="L72" s="37">
        <v>85.0</v>
      </c>
      <c r="M72" s="37">
        <v>75.0</v>
      </c>
      <c r="N72" s="37">
        <v>65.0</v>
      </c>
      <c r="O72" s="37">
        <v>140.0</v>
      </c>
      <c r="P72" s="37">
        <v>0.0</v>
      </c>
      <c r="Q72" s="64">
        <v>-15.0</v>
      </c>
      <c r="R72" s="64"/>
      <c r="S72" s="64"/>
      <c r="T72" s="64"/>
      <c r="U72" s="64"/>
      <c r="V72" s="64">
        <v>100.0</v>
      </c>
      <c r="W72" s="64"/>
      <c r="X72" s="64"/>
      <c r="Y72" s="64">
        <v>100.0</v>
      </c>
      <c r="Z72" s="64"/>
      <c r="AA72" s="64"/>
      <c r="AE72" s="37">
        <v>100.0</v>
      </c>
      <c r="AJ72" s="39">
        <v>0.0</v>
      </c>
      <c r="AK72" s="39">
        <v>0.0</v>
      </c>
      <c r="AL72" s="39">
        <v>75.0</v>
      </c>
      <c r="AM72" s="39">
        <v>0.0</v>
      </c>
      <c r="AN72" s="39">
        <v>0.0</v>
      </c>
      <c r="AO72" s="39">
        <v>0.0</v>
      </c>
      <c r="AP72" s="39">
        <v>0.0</v>
      </c>
      <c r="AQ72" s="39">
        <v>75.0</v>
      </c>
      <c r="AR72" s="39">
        <v>25.0</v>
      </c>
      <c r="AS72" s="39">
        <v>-25.0</v>
      </c>
      <c r="AT72" s="39">
        <v>-25.0</v>
      </c>
      <c r="AU72" s="39">
        <v>-25.0</v>
      </c>
      <c r="AV72" s="39">
        <v>-25.0</v>
      </c>
      <c r="AW72" s="39">
        <v>0.0</v>
      </c>
      <c r="AX72" s="39">
        <v>0.0</v>
      </c>
      <c r="AY72" s="39">
        <v>100.0</v>
      </c>
      <c r="AZ72" s="39">
        <v>0.0</v>
      </c>
      <c r="BG72" s="37" t="str">
        <f t="array" ref="BG72">IF($A72="","", INDEX(CS!$B$1:$B$15025,MATCH($A72,CS!$B:$B,0)+COLUMN(A$1),1))</f>
        <v>風の拳</v>
      </c>
      <c r="BH72" s="37" t="str">
        <f t="array" ref="BH72">IF($A72="","", INDEX(CS!$B$1:$B$15025,MATCH($A72,CS!$B:$B,0)+COLUMN(B$1),1))</f>
        <v/>
      </c>
      <c r="BI72" s="37" t="str">
        <f t="array" ref="BI72">IF($A72="","", INDEX(CS!$B$1:$B$15025,MATCH($A72,CS!$B:$B,0)+COLUMN(C$1),1))</f>
        <v>浮遊</v>
      </c>
      <c r="BJ72" s="37" t="str">
        <f t="array" ref="BJ72">IF($A72="","", INDEX(CS!$B$1:$B$15025,MATCH($A72,CS!$B:$B,0)+COLUMN(D$1),1))</f>
        <v/>
      </c>
      <c r="BK72" s="37" t="str">
        <f t="array" ref="BK72">IF($A72="","", INDEX(CS!$B$1:$B$15025,MATCH($A72,CS!$B:$B,0)+COLUMN(E$1),1))</f>
        <v>突風</v>
      </c>
      <c r="BL72" s="37" t="str">
        <f t="array" ref="BL72">IF($A72="","", INDEX(CS!$B$1:$B$15025,MATCH($A72,CS!$B:$B,0)+COLUMN(F$1),1))</f>
        <v>風の魔力</v>
      </c>
      <c r="BM72" s="37" t="str">
        <f t="array" ref="BM72">IF($A72="","", INDEX(CS!$B$1:$B$15025,MATCH($A72,CS!$B:$B,0)+COLUMN(G$1),1))</f>
        <v/>
      </c>
      <c r="BN72" s="37" t="str">
        <f t="array" ref="BN72">IF($A72="","", INDEX(CS!$B$1:$B$15025,MATCH($A72,CS!$B:$B,0)+COLUMN(H$1),1))</f>
        <v/>
      </c>
      <c r="BO72" s="37" t="str">
        <f t="array" ref="BO72">IF($A72="","", INDEX(CS!$B$1:$B$15025,MATCH($A72,CS!$B:$B,0)+COLUMN(I$1),1))</f>
        <v>風の力</v>
      </c>
      <c r="BP72" s="37" t="str">
        <f t="array" ref="BP72">IF($A72="","", INDEX(CS!$B$1:$B$15025,MATCH($A72,CS!$B:$B,0)+COLUMN(J$1),1))</f>
        <v>風の吐息</v>
      </c>
      <c r="BS72" s="74"/>
      <c r="CD72" s="37">
        <v>1.0</v>
      </c>
      <c r="CN72" s="37" t="s">
        <v>2743</v>
      </c>
    </row>
    <row r="73" ht="18.75" customHeight="1">
      <c r="A73" s="25" t="s">
        <v>1491</v>
      </c>
      <c r="B73" s="71" t="s">
        <v>2743</v>
      </c>
      <c r="C73" s="37" t="s">
        <v>2684</v>
      </c>
      <c r="D73" s="72" t="str">
        <f t="shared" si="1"/>
        <v>700/525/175</v>
      </c>
      <c r="E73" s="37">
        <v>1.0</v>
      </c>
      <c r="F73" s="37">
        <v>90.0</v>
      </c>
      <c r="I73" s="37">
        <v>90.0</v>
      </c>
      <c r="J73" s="37">
        <v>80.0</v>
      </c>
      <c r="K73" s="73">
        <v>100.0</v>
      </c>
      <c r="L73" s="37">
        <v>50.0</v>
      </c>
      <c r="M73" s="37">
        <v>50.0</v>
      </c>
      <c r="N73" s="37">
        <v>65.0</v>
      </c>
      <c r="O73" s="37">
        <v>140.0</v>
      </c>
      <c r="P73" s="37">
        <v>0.0</v>
      </c>
      <c r="Q73" s="64">
        <v>15.0</v>
      </c>
      <c r="R73" s="64"/>
      <c r="S73" s="64"/>
      <c r="T73" s="64"/>
      <c r="U73" s="64"/>
      <c r="V73" s="64"/>
      <c r="W73" s="64"/>
      <c r="X73" s="64"/>
      <c r="Y73" s="64"/>
      <c r="Z73" s="64">
        <v>-45.0</v>
      </c>
      <c r="AA73" s="64"/>
      <c r="AE73" s="37">
        <v>100.0</v>
      </c>
      <c r="AJ73" s="39">
        <v>0.0</v>
      </c>
      <c r="AK73" s="39">
        <v>0.0</v>
      </c>
      <c r="AL73" s="39">
        <v>75.0</v>
      </c>
      <c r="AM73" s="39">
        <v>0.0</v>
      </c>
      <c r="AN73" s="39">
        <v>0.0</v>
      </c>
      <c r="AO73" s="39">
        <v>0.0</v>
      </c>
      <c r="AP73" s="39">
        <v>0.0</v>
      </c>
      <c r="AQ73" s="39">
        <v>75.0</v>
      </c>
      <c r="AR73" s="39">
        <v>25.0</v>
      </c>
      <c r="AS73" s="39">
        <v>-25.0</v>
      </c>
      <c r="AT73" s="39">
        <v>-25.0</v>
      </c>
      <c r="AU73" s="39">
        <v>-25.0</v>
      </c>
      <c r="AV73" s="39">
        <v>-25.0</v>
      </c>
      <c r="AW73" s="39">
        <v>0.0</v>
      </c>
      <c r="AX73" s="39">
        <v>0.0</v>
      </c>
      <c r="AY73" s="39">
        <v>100.0</v>
      </c>
      <c r="AZ73" s="39">
        <v>0.0</v>
      </c>
      <c r="BG73" s="37" t="str">
        <f t="array" ref="BG73">IF($A73="","", INDEX(CS!$B$1:$B$15025,MATCH($A73,CS!$B:$B,0)+COLUMN(A$1),1))</f>
        <v>地の拳</v>
      </c>
      <c r="BH73" s="37" t="str">
        <f t="array" ref="BH73">IF($A73="","", INDEX(CS!$B$1:$B$15025,MATCH($A73,CS!$B:$B,0)+COLUMN(B$1),1))</f>
        <v/>
      </c>
      <c r="BI73" s="37" t="str">
        <f t="array" ref="BI73">IF($A73="","", INDEX(CS!$B$1:$B$15025,MATCH($A73,CS!$B:$B,0)+COLUMN(C$1),1))</f>
        <v>浮遊</v>
      </c>
      <c r="BJ73" s="37" t="str">
        <f t="array" ref="BJ73">IF($A73="","", INDEX(CS!$B$1:$B$15025,MATCH($A73,CS!$B:$B,0)+COLUMN(D$1),1))</f>
        <v/>
      </c>
      <c r="BK73" s="37" t="str">
        <f t="array" ref="BK73">IF($A73="","", INDEX(CS!$B$1:$B$15025,MATCH($A73,CS!$B:$B,0)+COLUMN(E$1),1))</f>
        <v>魔法の石</v>
      </c>
      <c r="BL73" s="37" t="str">
        <f t="array" ref="BL73">IF($A73="","", INDEX(CS!$B$1:$B$15025,MATCH($A73,CS!$B:$B,0)+COLUMN(F$1),1))</f>
        <v>地の魔力</v>
      </c>
      <c r="BM73" s="37" t="str">
        <f t="array" ref="BM73">IF($A73="","", INDEX(CS!$B$1:$B$15025,MATCH($A73,CS!$B:$B,0)+COLUMN(G$1),1))</f>
        <v/>
      </c>
      <c r="BN73" s="37" t="str">
        <f t="array" ref="BN73">IF($A73="","", INDEX(CS!$B$1:$B$15025,MATCH($A73,CS!$B:$B,0)+COLUMN(H$1),1))</f>
        <v/>
      </c>
      <c r="BO73" s="37" t="str">
        <f t="array" ref="BO73">IF($A73="","", INDEX(CS!$B$1:$B$15025,MATCH($A73,CS!$B:$B,0)+COLUMN(I$1),1))</f>
        <v>地の力</v>
      </c>
      <c r="BP73" s="37" t="str">
        <f t="array" ref="BP73">IF($A73="","", INDEX(CS!$B$1:$B$15025,MATCH($A73,CS!$B:$B,0)+COLUMN(J$1),1))</f>
        <v>石礫の吐息</v>
      </c>
      <c r="BS73" s="74"/>
      <c r="CD73" s="37">
        <v>1.0</v>
      </c>
      <c r="CN73" s="37" t="s">
        <v>2743</v>
      </c>
    </row>
    <row r="74" ht="18.75" customHeight="1">
      <c r="A74" s="88" t="s">
        <v>2744</v>
      </c>
      <c r="B74" s="71" t="s">
        <v>2743</v>
      </c>
      <c r="C74" s="37" t="s">
        <v>2684</v>
      </c>
      <c r="D74" s="72" t="str">
        <f t="shared" si="1"/>
        <v>690/515/175</v>
      </c>
      <c r="E74" s="39">
        <v>2.0</v>
      </c>
      <c r="F74" s="37">
        <v>75.0</v>
      </c>
      <c r="I74" s="37">
        <v>55.0</v>
      </c>
      <c r="J74" s="37">
        <v>60.0</v>
      </c>
      <c r="K74" s="73">
        <v>100.0</v>
      </c>
      <c r="L74" s="37">
        <v>85.0</v>
      </c>
      <c r="M74" s="37">
        <v>75.0</v>
      </c>
      <c r="N74" s="37">
        <v>65.0</v>
      </c>
      <c r="O74" s="37">
        <v>140.0</v>
      </c>
      <c r="P74" s="37">
        <v>0.0</v>
      </c>
      <c r="Q74" s="64">
        <v>15.0</v>
      </c>
      <c r="R74" s="64"/>
      <c r="S74" s="64"/>
      <c r="T74" s="64">
        <v>100.0</v>
      </c>
      <c r="U74" s="64">
        <v>-45.0</v>
      </c>
      <c r="V74" s="64"/>
      <c r="W74" s="64">
        <v>100.0</v>
      </c>
      <c r="X74" s="64">
        <v>-45.0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R74" s="39" t="s">
        <v>2745</v>
      </c>
      <c r="BS74" s="74"/>
      <c r="BU74" s="39" t="s">
        <v>2746</v>
      </c>
      <c r="CD74" s="37">
        <v>1.0</v>
      </c>
      <c r="CI74" s="37" t="s">
        <v>2725</v>
      </c>
      <c r="CJ74" s="37" t="s">
        <v>2725</v>
      </c>
      <c r="CK74" s="37" t="s">
        <v>2725</v>
      </c>
      <c r="CN74" s="37" t="s">
        <v>2743</v>
      </c>
    </row>
    <row r="75" ht="18.75" customHeight="1">
      <c r="A75" s="88" t="s">
        <v>2747</v>
      </c>
      <c r="B75" s="71" t="s">
        <v>2743</v>
      </c>
      <c r="C75" s="37" t="s">
        <v>2684</v>
      </c>
      <c r="D75" s="72" t="str">
        <f t="shared" si="1"/>
        <v>690/515/175</v>
      </c>
      <c r="E75" s="39">
        <v>3.0</v>
      </c>
      <c r="F75" s="37">
        <v>75.0</v>
      </c>
      <c r="I75" s="37">
        <v>55.0</v>
      </c>
      <c r="J75" s="37">
        <v>60.0</v>
      </c>
      <c r="K75" s="73">
        <v>100.0</v>
      </c>
      <c r="L75" s="37">
        <v>85.0</v>
      </c>
      <c r="M75" s="37">
        <v>75.0</v>
      </c>
      <c r="N75" s="37">
        <v>65.0</v>
      </c>
      <c r="O75" s="37">
        <v>140.0</v>
      </c>
      <c r="P75" s="37">
        <v>0.0</v>
      </c>
      <c r="Q75" s="64">
        <v>15.0</v>
      </c>
      <c r="R75" s="64"/>
      <c r="S75" s="64"/>
      <c r="T75" s="64">
        <v>100.0</v>
      </c>
      <c r="U75" s="64">
        <v>-45.0</v>
      </c>
      <c r="V75" s="64"/>
      <c r="W75" s="64">
        <v>100.0</v>
      </c>
      <c r="X75" s="64">
        <v>-45.0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R75" s="39" t="s">
        <v>2748</v>
      </c>
      <c r="BS75" s="74"/>
      <c r="BU75" s="39" t="s">
        <v>2749</v>
      </c>
      <c r="CD75" s="37">
        <v>1.0</v>
      </c>
      <c r="CI75" s="37" t="s">
        <v>2725</v>
      </c>
      <c r="CJ75" s="37" t="s">
        <v>2725</v>
      </c>
      <c r="CK75" s="37" t="s">
        <v>2725</v>
      </c>
      <c r="CN75" s="37" t="s">
        <v>2743</v>
      </c>
    </row>
    <row r="76" ht="18.75" customHeight="1">
      <c r="A76" s="88" t="s">
        <v>2750</v>
      </c>
      <c r="B76" s="71" t="s">
        <v>2743</v>
      </c>
      <c r="C76" s="37" t="s">
        <v>2684</v>
      </c>
      <c r="D76" s="72" t="str">
        <f t="shared" si="1"/>
        <v>690/515/175</v>
      </c>
      <c r="E76" s="39">
        <v>4.0</v>
      </c>
      <c r="F76" s="37">
        <v>75.0</v>
      </c>
      <c r="I76" s="37">
        <v>55.0</v>
      </c>
      <c r="J76" s="37">
        <v>60.0</v>
      </c>
      <c r="K76" s="73">
        <v>100.0</v>
      </c>
      <c r="L76" s="37">
        <v>85.0</v>
      </c>
      <c r="M76" s="37">
        <v>75.0</v>
      </c>
      <c r="N76" s="37">
        <v>65.0</v>
      </c>
      <c r="O76" s="37">
        <v>140.0</v>
      </c>
      <c r="P76" s="37">
        <v>0.0</v>
      </c>
      <c r="Q76" s="64">
        <v>15.0</v>
      </c>
      <c r="R76" s="64"/>
      <c r="S76" s="64"/>
      <c r="T76" s="64">
        <v>100.0</v>
      </c>
      <c r="U76" s="64">
        <v>-45.0</v>
      </c>
      <c r="V76" s="64"/>
      <c r="W76" s="64">
        <v>100.0</v>
      </c>
      <c r="X76" s="64">
        <v>-45.0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R76" s="39" t="s">
        <v>2751</v>
      </c>
      <c r="BS76" s="74"/>
      <c r="BU76" s="39" t="s">
        <v>2752</v>
      </c>
      <c r="CD76" s="37">
        <v>1.0</v>
      </c>
      <c r="CI76" s="37" t="s">
        <v>2725</v>
      </c>
      <c r="CJ76" s="37" t="s">
        <v>2725</v>
      </c>
      <c r="CK76" s="37" t="s">
        <v>2725</v>
      </c>
      <c r="CN76" s="37" t="s">
        <v>2743</v>
      </c>
    </row>
    <row r="77" ht="18.75" customHeight="1">
      <c r="A77" s="88" t="s">
        <v>2753</v>
      </c>
      <c r="B77" s="71" t="s">
        <v>2743</v>
      </c>
      <c r="C77" s="37" t="s">
        <v>2684</v>
      </c>
      <c r="D77" s="72" t="str">
        <f t="shared" si="1"/>
        <v>690/515/175</v>
      </c>
      <c r="E77" s="39">
        <v>2.0</v>
      </c>
      <c r="F77" s="37">
        <v>75.0</v>
      </c>
      <c r="I77" s="37">
        <v>55.0</v>
      </c>
      <c r="J77" s="37">
        <v>60.0</v>
      </c>
      <c r="K77" s="73">
        <v>100.0</v>
      </c>
      <c r="L77" s="37">
        <v>85.0</v>
      </c>
      <c r="M77" s="37">
        <v>75.0</v>
      </c>
      <c r="N77" s="37">
        <v>65.0</v>
      </c>
      <c r="O77" s="37">
        <v>140.0</v>
      </c>
      <c r="P77" s="37">
        <v>0.0</v>
      </c>
      <c r="Q77" s="64">
        <v>15.0</v>
      </c>
      <c r="R77" s="64"/>
      <c r="S77" s="64"/>
      <c r="T77" s="64">
        <v>-45.0</v>
      </c>
      <c r="U77" s="64">
        <v>100.0</v>
      </c>
      <c r="V77" s="64"/>
      <c r="W77" s="64">
        <v>-45.0</v>
      </c>
      <c r="X77" s="64">
        <v>100.0</v>
      </c>
      <c r="Y77" s="64"/>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R77" s="39" t="s">
        <v>2754</v>
      </c>
      <c r="BS77" s="74"/>
      <c r="BU77" s="39" t="s">
        <v>2755</v>
      </c>
      <c r="CD77" s="37">
        <v>1.0</v>
      </c>
      <c r="CN77" s="37" t="s">
        <v>2743</v>
      </c>
    </row>
    <row r="78" ht="18.75" customHeight="1">
      <c r="A78" s="88" t="s">
        <v>2756</v>
      </c>
      <c r="B78" s="71" t="s">
        <v>2743</v>
      </c>
      <c r="C78" s="37" t="s">
        <v>2684</v>
      </c>
      <c r="D78" s="72" t="str">
        <f t="shared" si="1"/>
        <v>690/515/175</v>
      </c>
      <c r="E78" s="39">
        <v>3.0</v>
      </c>
      <c r="F78" s="37">
        <v>75.0</v>
      </c>
      <c r="I78" s="37">
        <v>55.0</v>
      </c>
      <c r="J78" s="37">
        <v>60.0</v>
      </c>
      <c r="K78" s="73">
        <v>100.0</v>
      </c>
      <c r="L78" s="37">
        <v>85.0</v>
      </c>
      <c r="M78" s="37">
        <v>75.0</v>
      </c>
      <c r="N78" s="37">
        <v>65.0</v>
      </c>
      <c r="O78" s="37">
        <v>140.0</v>
      </c>
      <c r="P78" s="37">
        <v>0.0</v>
      </c>
      <c r="Q78" s="64">
        <v>15.0</v>
      </c>
      <c r="R78" s="64"/>
      <c r="S78" s="64"/>
      <c r="T78" s="64">
        <v>-45.0</v>
      </c>
      <c r="U78" s="64">
        <v>100.0</v>
      </c>
      <c r="V78" s="64"/>
      <c r="W78" s="64">
        <v>-45.0</v>
      </c>
      <c r="X78" s="64">
        <v>100.0</v>
      </c>
      <c r="Y78" s="64"/>
      <c r="Z78" s="64"/>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R78" s="39" t="s">
        <v>2757</v>
      </c>
      <c r="BS78" s="74"/>
      <c r="BU78" s="39" t="s">
        <v>2758</v>
      </c>
      <c r="CD78" s="37">
        <v>1.0</v>
      </c>
      <c r="CN78" s="37" t="s">
        <v>2743</v>
      </c>
    </row>
    <row r="79" ht="18.75" customHeight="1">
      <c r="A79" s="88" t="s">
        <v>2759</v>
      </c>
      <c r="B79" s="71" t="s">
        <v>2743</v>
      </c>
      <c r="C79" s="37" t="s">
        <v>2684</v>
      </c>
      <c r="D79" s="72" t="str">
        <f t="shared" si="1"/>
        <v>690/515/175</v>
      </c>
      <c r="E79" s="39">
        <v>4.0</v>
      </c>
      <c r="F79" s="37">
        <v>75.0</v>
      </c>
      <c r="I79" s="37">
        <v>55.0</v>
      </c>
      <c r="J79" s="37">
        <v>60.0</v>
      </c>
      <c r="K79" s="73">
        <v>100.0</v>
      </c>
      <c r="L79" s="37">
        <v>85.0</v>
      </c>
      <c r="M79" s="37">
        <v>75.0</v>
      </c>
      <c r="N79" s="37">
        <v>65.0</v>
      </c>
      <c r="O79" s="37">
        <v>140.0</v>
      </c>
      <c r="P79" s="37">
        <v>0.0</v>
      </c>
      <c r="Q79" s="64">
        <v>15.0</v>
      </c>
      <c r="R79" s="64"/>
      <c r="S79" s="64"/>
      <c r="T79" s="64">
        <v>-45.0</v>
      </c>
      <c r="U79" s="64">
        <v>100.0</v>
      </c>
      <c r="V79" s="64"/>
      <c r="W79" s="64">
        <v>-45.0</v>
      </c>
      <c r="X79" s="64">
        <v>100.0</v>
      </c>
      <c r="Y79" s="64"/>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2760</v>
      </c>
      <c r="BS79" s="74"/>
      <c r="BU79" s="39" t="s">
        <v>2761</v>
      </c>
      <c r="CD79" s="37">
        <v>1.0</v>
      </c>
      <c r="CN79" s="37" t="s">
        <v>2743</v>
      </c>
    </row>
    <row r="80" ht="18.75" customHeight="1">
      <c r="A80" s="88" t="s">
        <v>2762</v>
      </c>
      <c r="B80" s="71" t="s">
        <v>2743</v>
      </c>
      <c r="C80" s="37" t="s">
        <v>2684</v>
      </c>
      <c r="D80" s="72" t="str">
        <f t="shared" si="1"/>
        <v>690/515/175</v>
      </c>
      <c r="E80" s="39">
        <v>2.0</v>
      </c>
      <c r="F80" s="37">
        <v>75.0</v>
      </c>
      <c r="I80" s="37">
        <v>55.0</v>
      </c>
      <c r="J80" s="37">
        <v>60.0</v>
      </c>
      <c r="K80" s="73">
        <v>100.0</v>
      </c>
      <c r="L80" s="37">
        <v>85.0</v>
      </c>
      <c r="M80" s="37">
        <v>75.0</v>
      </c>
      <c r="N80" s="37">
        <v>65.0</v>
      </c>
      <c r="O80" s="37">
        <v>140.0</v>
      </c>
      <c r="P80" s="37">
        <v>0.0</v>
      </c>
      <c r="Q80" s="64">
        <v>15.0</v>
      </c>
      <c r="R80" s="64"/>
      <c r="S80" s="64"/>
      <c r="T80" s="64">
        <v>-45.0</v>
      </c>
      <c r="U80" s="64">
        <v>100.0</v>
      </c>
      <c r="V80" s="64"/>
      <c r="W80" s="64">
        <v>-45.0</v>
      </c>
      <c r="X80" s="64">
        <v>100.0</v>
      </c>
      <c r="Y80" s="64"/>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2763</v>
      </c>
      <c r="BS80" s="74"/>
      <c r="BU80" s="39" t="s">
        <v>2764</v>
      </c>
      <c r="CD80" s="37">
        <v>1.0</v>
      </c>
      <c r="CN80" s="37" t="s">
        <v>2743</v>
      </c>
    </row>
    <row r="81" ht="18.75" customHeight="1">
      <c r="A81" s="88" t="s">
        <v>2765</v>
      </c>
      <c r="B81" s="71" t="s">
        <v>2743</v>
      </c>
      <c r="C81" s="37" t="s">
        <v>2684</v>
      </c>
      <c r="D81" s="72" t="str">
        <f t="shared" si="1"/>
        <v>690/515/175</v>
      </c>
      <c r="E81" s="39">
        <v>3.0</v>
      </c>
      <c r="F81" s="37">
        <v>75.0</v>
      </c>
      <c r="I81" s="37">
        <v>55.0</v>
      </c>
      <c r="J81" s="37">
        <v>60.0</v>
      </c>
      <c r="K81" s="73">
        <v>100.0</v>
      </c>
      <c r="L81" s="37">
        <v>85.0</v>
      </c>
      <c r="M81" s="37">
        <v>75.0</v>
      </c>
      <c r="N81" s="37">
        <v>65.0</v>
      </c>
      <c r="O81" s="37">
        <v>140.0</v>
      </c>
      <c r="P81" s="37">
        <v>0.0</v>
      </c>
      <c r="Q81" s="64">
        <v>15.0</v>
      </c>
      <c r="R81" s="64"/>
      <c r="S81" s="64"/>
      <c r="T81" s="64">
        <v>-45.0</v>
      </c>
      <c r="U81" s="64">
        <v>100.0</v>
      </c>
      <c r="V81" s="64"/>
      <c r="W81" s="64">
        <v>-45.0</v>
      </c>
      <c r="X81" s="64">
        <v>100.0</v>
      </c>
      <c r="Y81" s="64"/>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2766</v>
      </c>
      <c r="BS81" s="74"/>
      <c r="BU81" s="39" t="s">
        <v>2767</v>
      </c>
      <c r="CD81" s="37">
        <v>1.0</v>
      </c>
      <c r="CN81" s="37" t="s">
        <v>2743</v>
      </c>
    </row>
    <row r="82" ht="18.75" customHeight="1">
      <c r="A82" s="88" t="s">
        <v>2768</v>
      </c>
      <c r="B82" s="71" t="s">
        <v>2743</v>
      </c>
      <c r="C82" s="37" t="s">
        <v>2684</v>
      </c>
      <c r="D82" s="72" t="str">
        <f t="shared" si="1"/>
        <v>690/515/175</v>
      </c>
      <c r="E82" s="39">
        <v>4.0</v>
      </c>
      <c r="F82" s="37">
        <v>75.0</v>
      </c>
      <c r="I82" s="37">
        <v>55.0</v>
      </c>
      <c r="J82" s="37">
        <v>60.0</v>
      </c>
      <c r="K82" s="73">
        <v>100.0</v>
      </c>
      <c r="L82" s="37">
        <v>85.0</v>
      </c>
      <c r="M82" s="37">
        <v>75.0</v>
      </c>
      <c r="N82" s="37">
        <v>65.0</v>
      </c>
      <c r="O82" s="37">
        <v>140.0</v>
      </c>
      <c r="P82" s="37">
        <v>0.0</v>
      </c>
      <c r="Q82" s="64">
        <v>15.0</v>
      </c>
      <c r="R82" s="64"/>
      <c r="S82" s="64"/>
      <c r="T82" s="64">
        <v>-45.0</v>
      </c>
      <c r="U82" s="64">
        <v>100.0</v>
      </c>
      <c r="V82" s="64"/>
      <c r="W82" s="64">
        <v>-45.0</v>
      </c>
      <c r="X82" s="64">
        <v>100.0</v>
      </c>
      <c r="Y82" s="64"/>
      <c r="Z82" s="64"/>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2769</v>
      </c>
      <c r="BS82" s="74"/>
      <c r="BU82" s="39" t="s">
        <v>2770</v>
      </c>
      <c r="CD82" s="37">
        <v>1.0</v>
      </c>
      <c r="CN82" s="37" t="s">
        <v>2743</v>
      </c>
    </row>
    <row r="83" ht="18.75" customHeight="1">
      <c r="A83" s="88" t="s">
        <v>2771</v>
      </c>
      <c r="B83" s="71" t="s">
        <v>2743</v>
      </c>
      <c r="C83" s="37" t="s">
        <v>2684</v>
      </c>
      <c r="D83" s="72" t="str">
        <f t="shared" si="1"/>
        <v>690/515/175</v>
      </c>
      <c r="E83" s="39">
        <v>2.0</v>
      </c>
      <c r="F83" s="37">
        <v>75.0</v>
      </c>
      <c r="I83" s="37">
        <v>55.0</v>
      </c>
      <c r="J83" s="37">
        <v>60.0</v>
      </c>
      <c r="K83" s="73">
        <v>100.0</v>
      </c>
      <c r="L83" s="37">
        <v>85.0</v>
      </c>
      <c r="M83" s="37">
        <v>75.0</v>
      </c>
      <c r="N83" s="37">
        <v>65.0</v>
      </c>
      <c r="O83" s="37">
        <v>140.0</v>
      </c>
      <c r="P83" s="37">
        <v>0.0</v>
      </c>
      <c r="Q83" s="64">
        <v>-15.0</v>
      </c>
      <c r="R83" s="64"/>
      <c r="S83" s="64"/>
      <c r="T83" s="64"/>
      <c r="U83" s="64"/>
      <c r="V83" s="64">
        <v>100.0</v>
      </c>
      <c r="W83" s="64"/>
      <c r="X83" s="64"/>
      <c r="Y83" s="64">
        <v>100.0</v>
      </c>
      <c r="Z83" s="64"/>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2772</v>
      </c>
      <c r="BS83" s="74"/>
      <c r="BU83" s="39" t="s">
        <v>2773</v>
      </c>
      <c r="CD83" s="37">
        <v>1.0</v>
      </c>
      <c r="CN83" s="37" t="s">
        <v>2743</v>
      </c>
    </row>
    <row r="84" ht="18.75" customHeight="1">
      <c r="A84" s="88" t="s">
        <v>2774</v>
      </c>
      <c r="B84" s="71" t="s">
        <v>2743</v>
      </c>
      <c r="C84" s="37" t="s">
        <v>2684</v>
      </c>
      <c r="D84" s="72" t="str">
        <f t="shared" si="1"/>
        <v>690/515/175</v>
      </c>
      <c r="E84" s="39">
        <v>3.0</v>
      </c>
      <c r="F84" s="37">
        <v>75.0</v>
      </c>
      <c r="I84" s="37">
        <v>55.0</v>
      </c>
      <c r="J84" s="37">
        <v>60.0</v>
      </c>
      <c r="K84" s="73">
        <v>100.0</v>
      </c>
      <c r="L84" s="37">
        <v>85.0</v>
      </c>
      <c r="M84" s="37">
        <v>75.0</v>
      </c>
      <c r="N84" s="37">
        <v>65.0</v>
      </c>
      <c r="O84" s="37">
        <v>140.0</v>
      </c>
      <c r="P84" s="37">
        <v>0.0</v>
      </c>
      <c r="Q84" s="64">
        <v>-15.0</v>
      </c>
      <c r="R84" s="64"/>
      <c r="S84" s="64"/>
      <c r="T84" s="64"/>
      <c r="U84" s="64"/>
      <c r="V84" s="64">
        <v>100.0</v>
      </c>
      <c r="W84" s="64"/>
      <c r="X84" s="64"/>
      <c r="Y84" s="64">
        <v>100.0</v>
      </c>
      <c r="Z84" s="64"/>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2775</v>
      </c>
      <c r="BS84" s="74"/>
      <c r="BU84" s="39" t="s">
        <v>2776</v>
      </c>
      <c r="CD84" s="37">
        <v>1.0</v>
      </c>
      <c r="CN84" s="37" t="s">
        <v>2743</v>
      </c>
    </row>
    <row r="85" ht="18.75" customHeight="1">
      <c r="A85" s="88" t="s">
        <v>2777</v>
      </c>
      <c r="B85" s="71" t="s">
        <v>2743</v>
      </c>
      <c r="C85" s="37" t="s">
        <v>2684</v>
      </c>
      <c r="D85" s="72" t="str">
        <f t="shared" si="1"/>
        <v>690/515/175</v>
      </c>
      <c r="E85" s="39">
        <v>4.0</v>
      </c>
      <c r="F85" s="37">
        <v>75.0</v>
      </c>
      <c r="I85" s="37">
        <v>55.0</v>
      </c>
      <c r="J85" s="37">
        <v>60.0</v>
      </c>
      <c r="K85" s="73">
        <v>100.0</v>
      </c>
      <c r="L85" s="37">
        <v>85.0</v>
      </c>
      <c r="M85" s="37">
        <v>75.0</v>
      </c>
      <c r="N85" s="37">
        <v>65.0</v>
      </c>
      <c r="O85" s="37">
        <v>140.0</v>
      </c>
      <c r="P85" s="37">
        <v>0.0</v>
      </c>
      <c r="Q85" s="64">
        <v>-15.0</v>
      </c>
      <c r="R85" s="64"/>
      <c r="S85" s="64"/>
      <c r="T85" s="64"/>
      <c r="U85" s="64"/>
      <c r="V85" s="64">
        <v>100.0</v>
      </c>
      <c r="W85" s="64"/>
      <c r="X85" s="64"/>
      <c r="Y85" s="64">
        <v>100.0</v>
      </c>
      <c r="Z85" s="64"/>
      <c r="AA85" s="64"/>
      <c r="AE85" s="37">
        <v>100.0</v>
      </c>
      <c r="AJ85" s="39">
        <v>0.0</v>
      </c>
      <c r="AK85" s="39">
        <v>0.0</v>
      </c>
      <c r="AL85" s="39">
        <v>75.0</v>
      </c>
      <c r="AM85" s="39">
        <v>0.0</v>
      </c>
      <c r="AN85" s="39">
        <v>0.0</v>
      </c>
      <c r="AO85" s="39">
        <v>0.0</v>
      </c>
      <c r="AP85" s="39">
        <v>0.0</v>
      </c>
      <c r="AQ85" s="39">
        <v>75.0</v>
      </c>
      <c r="AR85" s="39">
        <v>25.0</v>
      </c>
      <c r="AS85" s="39">
        <v>-25.0</v>
      </c>
      <c r="AT85" s="39">
        <v>-25.0</v>
      </c>
      <c r="AU85" s="39">
        <v>-25.0</v>
      </c>
      <c r="AV85" s="39">
        <v>-25.0</v>
      </c>
      <c r="AW85" s="39">
        <v>0.0</v>
      </c>
      <c r="AX85" s="39">
        <v>0.0</v>
      </c>
      <c r="AY85" s="39">
        <v>100.0</v>
      </c>
      <c r="AZ85" s="39">
        <v>0.0</v>
      </c>
      <c r="BR85" s="39" t="s">
        <v>2778</v>
      </c>
      <c r="BS85" s="74"/>
      <c r="BU85" s="39" t="s">
        <v>2779</v>
      </c>
      <c r="CD85" s="37">
        <v>1.0</v>
      </c>
      <c r="CN85" s="37" t="s">
        <v>2743</v>
      </c>
    </row>
    <row r="86" ht="18.75" customHeight="1">
      <c r="A86" s="88" t="s">
        <v>2780</v>
      </c>
      <c r="B86" s="71" t="s">
        <v>2743</v>
      </c>
      <c r="C86" s="37" t="s">
        <v>2684</v>
      </c>
      <c r="D86" s="72" t="str">
        <f t="shared" si="1"/>
        <v>700/525/175</v>
      </c>
      <c r="E86" s="39">
        <v>2.0</v>
      </c>
      <c r="F86" s="37">
        <v>90.0</v>
      </c>
      <c r="I86" s="37">
        <v>90.0</v>
      </c>
      <c r="J86" s="37">
        <v>80.0</v>
      </c>
      <c r="K86" s="73">
        <v>100.0</v>
      </c>
      <c r="L86" s="37">
        <v>50.0</v>
      </c>
      <c r="M86" s="37">
        <v>50.0</v>
      </c>
      <c r="N86" s="37">
        <v>65.0</v>
      </c>
      <c r="O86" s="37">
        <v>140.0</v>
      </c>
      <c r="P86" s="37">
        <v>0.0</v>
      </c>
      <c r="Q86" s="64">
        <v>15.0</v>
      </c>
      <c r="R86" s="64"/>
      <c r="S86" s="64"/>
      <c r="T86" s="64"/>
      <c r="U86" s="64"/>
      <c r="V86" s="64"/>
      <c r="W86" s="64"/>
      <c r="X86" s="64"/>
      <c r="Y86" s="64"/>
      <c r="Z86" s="64">
        <v>-45.0</v>
      </c>
      <c r="AA86" s="64"/>
      <c r="AE86" s="37">
        <v>100.0</v>
      </c>
      <c r="AJ86" s="39">
        <v>0.0</v>
      </c>
      <c r="AK86" s="39">
        <v>0.0</v>
      </c>
      <c r="AL86" s="39">
        <v>75.0</v>
      </c>
      <c r="AM86" s="39">
        <v>0.0</v>
      </c>
      <c r="AN86" s="39">
        <v>0.0</v>
      </c>
      <c r="AO86" s="39">
        <v>0.0</v>
      </c>
      <c r="AP86" s="39">
        <v>0.0</v>
      </c>
      <c r="AQ86" s="39">
        <v>75.0</v>
      </c>
      <c r="AR86" s="39">
        <v>25.0</v>
      </c>
      <c r="AS86" s="39">
        <v>-25.0</v>
      </c>
      <c r="AT86" s="39">
        <v>-25.0</v>
      </c>
      <c r="AU86" s="39">
        <v>-25.0</v>
      </c>
      <c r="AV86" s="39">
        <v>-25.0</v>
      </c>
      <c r="AW86" s="39">
        <v>0.0</v>
      </c>
      <c r="AX86" s="39">
        <v>0.0</v>
      </c>
      <c r="AY86" s="39">
        <v>100.0</v>
      </c>
      <c r="AZ86" s="39">
        <v>0.0</v>
      </c>
      <c r="BR86" s="39" t="s">
        <v>2781</v>
      </c>
      <c r="BS86" s="74"/>
      <c r="BU86" s="39" t="s">
        <v>2782</v>
      </c>
      <c r="CD86" s="37">
        <v>1.0</v>
      </c>
      <c r="CN86" s="37" t="s">
        <v>2743</v>
      </c>
    </row>
    <row r="87" ht="18.75" customHeight="1">
      <c r="A87" s="88" t="s">
        <v>2783</v>
      </c>
      <c r="B87" s="71" t="s">
        <v>2743</v>
      </c>
      <c r="C87" s="37" t="s">
        <v>2684</v>
      </c>
      <c r="D87" s="72" t="str">
        <f t="shared" si="1"/>
        <v>700/525/175</v>
      </c>
      <c r="E87" s="39">
        <v>3.0</v>
      </c>
      <c r="F87" s="37">
        <v>90.0</v>
      </c>
      <c r="I87" s="37">
        <v>90.0</v>
      </c>
      <c r="J87" s="37">
        <v>80.0</v>
      </c>
      <c r="K87" s="73">
        <v>100.0</v>
      </c>
      <c r="L87" s="37">
        <v>50.0</v>
      </c>
      <c r="M87" s="37">
        <v>50.0</v>
      </c>
      <c r="N87" s="37">
        <v>65.0</v>
      </c>
      <c r="O87" s="37">
        <v>140.0</v>
      </c>
      <c r="P87" s="37">
        <v>0.0</v>
      </c>
      <c r="Q87" s="64">
        <v>15.0</v>
      </c>
      <c r="R87" s="64"/>
      <c r="S87" s="64"/>
      <c r="T87" s="64"/>
      <c r="U87" s="64"/>
      <c r="V87" s="64"/>
      <c r="W87" s="64"/>
      <c r="X87" s="64"/>
      <c r="Y87" s="64"/>
      <c r="Z87" s="64">
        <v>-45.0</v>
      </c>
      <c r="AA87" s="64"/>
      <c r="AE87" s="37">
        <v>100.0</v>
      </c>
      <c r="AJ87" s="39">
        <v>0.0</v>
      </c>
      <c r="AK87" s="39">
        <v>0.0</v>
      </c>
      <c r="AL87" s="39">
        <v>75.0</v>
      </c>
      <c r="AM87" s="39">
        <v>0.0</v>
      </c>
      <c r="AN87" s="39">
        <v>0.0</v>
      </c>
      <c r="AO87" s="39">
        <v>0.0</v>
      </c>
      <c r="AP87" s="39">
        <v>0.0</v>
      </c>
      <c r="AQ87" s="39">
        <v>75.0</v>
      </c>
      <c r="AR87" s="39">
        <v>25.0</v>
      </c>
      <c r="AS87" s="39">
        <v>-25.0</v>
      </c>
      <c r="AT87" s="39">
        <v>-25.0</v>
      </c>
      <c r="AU87" s="39">
        <v>-25.0</v>
      </c>
      <c r="AV87" s="39">
        <v>-25.0</v>
      </c>
      <c r="AW87" s="39">
        <v>0.0</v>
      </c>
      <c r="AX87" s="39">
        <v>0.0</v>
      </c>
      <c r="AY87" s="39">
        <v>100.0</v>
      </c>
      <c r="AZ87" s="39">
        <v>0.0</v>
      </c>
      <c r="BR87" s="39" t="s">
        <v>2784</v>
      </c>
      <c r="BS87" s="74"/>
      <c r="BU87" s="39" t="s">
        <v>2785</v>
      </c>
      <c r="CD87" s="37">
        <v>1.0</v>
      </c>
      <c r="CN87" s="37" t="s">
        <v>2743</v>
      </c>
    </row>
    <row r="88" ht="18.75" customHeight="1">
      <c r="A88" s="88" t="s">
        <v>2786</v>
      </c>
      <c r="B88" s="71" t="s">
        <v>2743</v>
      </c>
      <c r="C88" s="37" t="s">
        <v>2684</v>
      </c>
      <c r="D88" s="72" t="str">
        <f t="shared" si="1"/>
        <v>700/525/175</v>
      </c>
      <c r="E88" s="39">
        <v>4.0</v>
      </c>
      <c r="F88" s="37">
        <v>90.0</v>
      </c>
      <c r="I88" s="37">
        <v>90.0</v>
      </c>
      <c r="J88" s="37">
        <v>80.0</v>
      </c>
      <c r="K88" s="73">
        <v>100.0</v>
      </c>
      <c r="L88" s="37">
        <v>50.0</v>
      </c>
      <c r="M88" s="37">
        <v>50.0</v>
      </c>
      <c r="N88" s="37">
        <v>65.0</v>
      </c>
      <c r="O88" s="37">
        <v>140.0</v>
      </c>
      <c r="P88" s="37">
        <v>0.0</v>
      </c>
      <c r="Q88" s="64">
        <v>15.0</v>
      </c>
      <c r="R88" s="64"/>
      <c r="S88" s="64"/>
      <c r="T88" s="64"/>
      <c r="U88" s="64"/>
      <c r="V88" s="64"/>
      <c r="W88" s="64"/>
      <c r="X88" s="64"/>
      <c r="Y88" s="64"/>
      <c r="Z88" s="64">
        <v>-45.0</v>
      </c>
      <c r="AA88" s="64"/>
      <c r="AE88" s="37">
        <v>100.0</v>
      </c>
      <c r="AJ88" s="39">
        <v>0.0</v>
      </c>
      <c r="AK88" s="39">
        <v>0.0</v>
      </c>
      <c r="AL88" s="39">
        <v>75.0</v>
      </c>
      <c r="AM88" s="39">
        <v>0.0</v>
      </c>
      <c r="AN88" s="39">
        <v>0.0</v>
      </c>
      <c r="AO88" s="39">
        <v>0.0</v>
      </c>
      <c r="AP88" s="39">
        <v>0.0</v>
      </c>
      <c r="AQ88" s="39">
        <v>75.0</v>
      </c>
      <c r="AR88" s="39">
        <v>25.0</v>
      </c>
      <c r="AS88" s="39">
        <v>-25.0</v>
      </c>
      <c r="AT88" s="39">
        <v>-25.0</v>
      </c>
      <c r="AU88" s="39">
        <v>-25.0</v>
      </c>
      <c r="AV88" s="39">
        <v>-25.0</v>
      </c>
      <c r="AW88" s="39">
        <v>0.0</v>
      </c>
      <c r="AX88" s="39">
        <v>0.0</v>
      </c>
      <c r="AY88" s="39">
        <v>100.0</v>
      </c>
      <c r="AZ88" s="39">
        <v>0.0</v>
      </c>
      <c r="BR88" s="39" t="s">
        <v>2787</v>
      </c>
      <c r="BS88" s="74"/>
      <c r="BU88" s="39" t="s">
        <v>2788</v>
      </c>
      <c r="CD88" s="37">
        <v>1.0</v>
      </c>
      <c r="CN88" s="37" t="s">
        <v>2743</v>
      </c>
    </row>
    <row r="89" ht="18.75" customHeight="1">
      <c r="B89" s="71"/>
      <c r="C89" s="37" t="s">
        <v>2684</v>
      </c>
      <c r="D89" s="72" t="str">
        <f t="shared" si="1"/>
        <v>0/0/0</v>
      </c>
      <c r="E89" s="37">
        <v>1.0</v>
      </c>
      <c r="K89" s="73"/>
      <c r="P89" s="37" t="s">
        <v>29</v>
      </c>
      <c r="Q89" s="64"/>
      <c r="R89" s="64"/>
      <c r="S89" s="64"/>
      <c r="T89" s="64"/>
      <c r="U89" s="64"/>
      <c r="V89" s="64"/>
      <c r="W89" s="64"/>
      <c r="X89" s="64"/>
      <c r="Y89" s="64"/>
      <c r="Z89" s="64"/>
      <c r="AA89" s="64"/>
      <c r="BG89" s="37" t="str">
        <f t="array" ref="BG89">IF($A89="","", INDEX(CS!$B$1:$B$15025,MATCH($A89,CS!$B:$B,0)+COLUMN(A$1),1))</f>
        <v/>
      </c>
      <c r="BH89" s="37" t="str">
        <f t="array" ref="BH89">IF($A89="","", INDEX(CS!$B$1:$B$15025,MATCH($A89,CS!$B:$B,0)+COLUMN(B$1),1))</f>
        <v/>
      </c>
      <c r="BI89" s="37" t="str">
        <f t="array" ref="BI89">IF($A89="","", INDEX(CS!$B$1:$B$15025,MATCH($A89,CS!$B:$B,0)+COLUMN(C$1),1))</f>
        <v/>
      </c>
      <c r="BJ89" s="37" t="str">
        <f t="array" ref="BJ89">IF($A89="","", INDEX(CS!$B$1:$B$15025,MATCH($A89,CS!$B:$B,0)+COLUMN(D$1),1))</f>
        <v/>
      </c>
      <c r="BK89" s="37" t="str">
        <f t="array" ref="BK89">IF($A89="","", INDEX(CS!$B$1:$B$15025,MATCH($A89,CS!$B:$B,0)+COLUMN(E$1),1))</f>
        <v/>
      </c>
      <c r="BL89" s="37" t="str">
        <f t="array" ref="BL89">IF($A89="","", INDEX(CS!$B$1:$B$15025,MATCH($A89,CS!$B:$B,0)+COLUMN(F$1),1))</f>
        <v/>
      </c>
      <c r="BM89" s="37" t="str">
        <f t="array" ref="BM89">IF($A89="","", INDEX(CS!$B$1:$B$15025,MATCH($A89,CS!$B:$B,0)+COLUMN(G$1),1))</f>
        <v/>
      </c>
      <c r="BN89" s="37" t="str">
        <f t="array" ref="BN89">IF($A89="","", INDEX(CS!$B$1:$B$15025,MATCH($A89,CS!$B:$B,0)+COLUMN(H$1),1))</f>
        <v/>
      </c>
      <c r="BO89" s="37" t="str">
        <f t="array" ref="BO89">IF($A89="","", INDEX(CS!$B$1:$B$15025,MATCH($A89,CS!$B:$B,0)+COLUMN(I$1),1))</f>
        <v/>
      </c>
      <c r="BP89" s="37" t="str">
        <f t="array" ref="BP89">IF($A89="","", INDEX(CS!$B$1:$B$15025,MATCH($A89,CS!$B:$B,0)+COLUMN(J$1),1))</f>
        <v/>
      </c>
      <c r="BS89" s="74"/>
    </row>
    <row r="90" ht="18.75" customHeight="1">
      <c r="B90" s="71"/>
      <c r="C90" s="37" t="s">
        <v>2684</v>
      </c>
      <c r="D90" s="72" t="str">
        <f t="shared" si="1"/>
        <v>0/0/0</v>
      </c>
      <c r="E90" s="37">
        <v>1.0</v>
      </c>
      <c r="K90" s="73"/>
      <c r="P90" s="37" t="s">
        <v>29</v>
      </c>
      <c r="Q90" s="64"/>
      <c r="R90" s="64"/>
      <c r="S90" s="64"/>
      <c r="T90" s="64"/>
      <c r="U90" s="64"/>
      <c r="V90" s="64"/>
      <c r="W90" s="64"/>
      <c r="X90" s="64"/>
      <c r="Y90" s="64"/>
      <c r="Z90" s="64"/>
      <c r="AA90" s="64"/>
      <c r="BG90" s="37" t="str">
        <f t="array" ref="BG90">IF($A90="","", INDEX(CS!$B$1:$B$15025,MATCH($A90,CS!$B:$B,0)+COLUMN(A$1),1))</f>
        <v/>
      </c>
      <c r="BH90" s="37" t="str">
        <f t="array" ref="BH90">IF($A90="","", INDEX(CS!$B$1:$B$15025,MATCH($A90,CS!$B:$B,0)+COLUMN(B$1),1))</f>
        <v/>
      </c>
      <c r="BI90" s="37" t="str">
        <f t="array" ref="BI90">IF($A90="","", INDEX(CS!$B$1:$B$15025,MATCH($A90,CS!$B:$B,0)+COLUMN(C$1),1))</f>
        <v/>
      </c>
      <c r="BJ90" s="37" t="str">
        <f t="array" ref="BJ90">IF($A90="","", INDEX(CS!$B$1:$B$15025,MATCH($A90,CS!$B:$B,0)+COLUMN(D$1),1))</f>
        <v/>
      </c>
      <c r="BK90" s="37" t="str">
        <f t="array" ref="BK90">IF($A90="","", INDEX(CS!$B$1:$B$15025,MATCH($A90,CS!$B:$B,0)+COLUMN(E$1),1))</f>
        <v/>
      </c>
      <c r="BL90" s="37" t="str">
        <f t="array" ref="BL90">IF($A90="","", INDEX(CS!$B$1:$B$15025,MATCH($A90,CS!$B:$B,0)+COLUMN(F$1),1))</f>
        <v/>
      </c>
      <c r="BM90" s="37" t="str">
        <f t="array" ref="BM90">IF($A90="","", INDEX(CS!$B$1:$B$15025,MATCH($A90,CS!$B:$B,0)+COLUMN(G$1),1))</f>
        <v/>
      </c>
      <c r="BN90" s="37" t="str">
        <f t="array" ref="BN90">IF($A90="","", INDEX(CS!$B$1:$B$15025,MATCH($A90,CS!$B:$B,0)+COLUMN(H$1),1))</f>
        <v/>
      </c>
      <c r="BO90" s="37" t="str">
        <f t="array" ref="BO90">IF($A90="","", INDEX(CS!$B$1:$B$15025,MATCH($A90,CS!$B:$B,0)+COLUMN(I$1),1))</f>
        <v/>
      </c>
      <c r="BP90" s="37" t="str">
        <f t="array" ref="BP90">IF($A90="","", INDEX(CS!$B$1:$B$15025,MATCH($A90,CS!$B:$B,0)+COLUMN(J$1),1))</f>
        <v/>
      </c>
      <c r="BS90" s="74"/>
    </row>
    <row r="91" ht="18.75" customHeight="1">
      <c r="B91" s="71"/>
      <c r="C91" s="37" t="s">
        <v>2684</v>
      </c>
      <c r="D91" s="72" t="str">
        <f t="shared" si="1"/>
        <v>0/0/0</v>
      </c>
      <c r="E91" s="37">
        <v>1.0</v>
      </c>
      <c r="K91" s="73"/>
      <c r="P91" s="37" t="s">
        <v>29</v>
      </c>
      <c r="Q91" s="64"/>
      <c r="R91" s="64"/>
      <c r="S91" s="64"/>
      <c r="T91" s="64"/>
      <c r="U91" s="64"/>
      <c r="V91" s="64"/>
      <c r="W91" s="64"/>
      <c r="X91" s="64"/>
      <c r="Y91" s="64"/>
      <c r="Z91" s="64"/>
      <c r="AA91" s="64"/>
      <c r="BG91" s="37" t="str">
        <f t="array" ref="BG91">IF($A91="","", INDEX(CS!$B$1:$B$15025,MATCH($A91,CS!$B:$B,0)+COLUMN(A$1),1))</f>
        <v/>
      </c>
      <c r="BH91" s="37" t="str">
        <f t="array" ref="BH91">IF($A91="","", INDEX(CS!$B$1:$B$15025,MATCH($A91,CS!$B:$B,0)+COLUMN(B$1),1))</f>
        <v/>
      </c>
      <c r="BI91" s="37" t="str">
        <f t="array" ref="BI91">IF($A91="","", INDEX(CS!$B$1:$B$15025,MATCH($A91,CS!$B:$B,0)+COLUMN(C$1),1))</f>
        <v/>
      </c>
      <c r="BJ91" s="37" t="str">
        <f t="array" ref="BJ91">IF($A91="","", INDEX(CS!$B$1:$B$15025,MATCH($A91,CS!$B:$B,0)+COLUMN(D$1),1))</f>
        <v/>
      </c>
      <c r="BK91" s="37" t="str">
        <f t="array" ref="BK91">IF($A91="","", INDEX(CS!$B$1:$B$15025,MATCH($A91,CS!$B:$B,0)+COLUMN(E$1),1))</f>
        <v/>
      </c>
      <c r="BL91" s="37" t="str">
        <f t="array" ref="BL91">IF($A91="","", INDEX(CS!$B$1:$B$15025,MATCH($A91,CS!$B:$B,0)+COLUMN(F$1),1))</f>
        <v/>
      </c>
      <c r="BM91" s="37" t="str">
        <f t="array" ref="BM91">IF($A91="","", INDEX(CS!$B$1:$B$15025,MATCH($A91,CS!$B:$B,0)+COLUMN(G$1),1))</f>
        <v/>
      </c>
      <c r="BN91" s="37" t="str">
        <f t="array" ref="BN91">IF($A91="","", INDEX(CS!$B$1:$B$15025,MATCH($A91,CS!$B:$B,0)+COLUMN(H$1),1))</f>
        <v/>
      </c>
      <c r="BO91" s="37" t="str">
        <f t="array" ref="BO91">IF($A91="","", INDEX(CS!$B$1:$B$15025,MATCH($A91,CS!$B:$B,0)+COLUMN(I$1),1))</f>
        <v/>
      </c>
      <c r="BP91" s="37" t="str">
        <f t="array" ref="BP91">IF($A91="","", INDEX(CS!$B$1:$B$15025,MATCH($A91,CS!$B:$B,0)+COLUMN(J$1),1))</f>
        <v/>
      </c>
      <c r="BS91" s="74"/>
    </row>
    <row r="92" ht="18.75" customHeight="1">
      <c r="B92" s="71"/>
      <c r="C92" s="37" t="s">
        <v>2684</v>
      </c>
      <c r="D92" s="72" t="str">
        <f t="shared" si="1"/>
        <v>0/0/0</v>
      </c>
      <c r="E92" s="37">
        <v>1.0</v>
      </c>
      <c r="K92" s="73"/>
      <c r="P92" s="37" t="s">
        <v>29</v>
      </c>
      <c r="Q92" s="64"/>
      <c r="R92" s="64"/>
      <c r="S92" s="64"/>
      <c r="T92" s="64"/>
      <c r="U92" s="64"/>
      <c r="V92" s="64"/>
      <c r="W92" s="64"/>
      <c r="X92" s="64"/>
      <c r="Y92" s="64"/>
      <c r="Z92" s="64"/>
      <c r="AA92" s="64"/>
      <c r="BG92" s="37" t="str">
        <f t="array" ref="BG92">IF($A92="","", INDEX(CS!$B$1:$B$15025,MATCH($A92,CS!$B:$B,0)+COLUMN(A$1),1))</f>
        <v/>
      </c>
      <c r="BH92" s="37" t="str">
        <f t="array" ref="BH92">IF($A92="","", INDEX(CS!$B$1:$B$15025,MATCH($A92,CS!$B:$B,0)+COLUMN(B$1),1))</f>
        <v/>
      </c>
      <c r="BI92" s="37" t="str">
        <f t="array" ref="BI92">IF($A92="","", INDEX(CS!$B$1:$B$15025,MATCH($A92,CS!$B:$B,0)+COLUMN(C$1),1))</f>
        <v/>
      </c>
      <c r="BJ92" s="37" t="str">
        <f t="array" ref="BJ92">IF($A92="","", INDEX(CS!$B$1:$B$15025,MATCH($A92,CS!$B:$B,0)+COLUMN(D$1),1))</f>
        <v/>
      </c>
      <c r="BK92" s="37" t="str">
        <f t="array" ref="BK92">IF($A92="","", INDEX(CS!$B$1:$B$15025,MATCH($A92,CS!$B:$B,0)+COLUMN(E$1),1))</f>
        <v/>
      </c>
      <c r="BL92" s="37" t="str">
        <f t="array" ref="BL92">IF($A92="","", INDEX(CS!$B$1:$B$15025,MATCH($A92,CS!$B:$B,0)+COLUMN(F$1),1))</f>
        <v/>
      </c>
      <c r="BM92" s="37" t="str">
        <f t="array" ref="BM92">IF($A92="","", INDEX(CS!$B$1:$B$15025,MATCH($A92,CS!$B:$B,0)+COLUMN(G$1),1))</f>
        <v/>
      </c>
      <c r="BN92" s="37" t="str">
        <f t="array" ref="BN92">IF($A92="","", INDEX(CS!$B$1:$B$15025,MATCH($A92,CS!$B:$B,0)+COLUMN(H$1),1))</f>
        <v/>
      </c>
      <c r="BO92" s="37" t="str">
        <f t="array" ref="BO92">IF($A92="","", INDEX(CS!$B$1:$B$15025,MATCH($A92,CS!$B:$B,0)+COLUMN(I$1),1))</f>
        <v/>
      </c>
      <c r="BP92" s="37" t="str">
        <f t="array" ref="BP92">IF($A92="","", INDEX(CS!$B$1:$B$15025,MATCH($A92,CS!$B:$B,0)+COLUMN(J$1),1))</f>
        <v/>
      </c>
      <c r="BS92" s="74"/>
    </row>
    <row r="93" ht="18.75" customHeight="1">
      <c r="B93" s="71"/>
      <c r="C93" s="37" t="s">
        <v>2684</v>
      </c>
      <c r="D93" s="72" t="str">
        <f t="shared" si="1"/>
        <v>0/0/0</v>
      </c>
      <c r="E93" s="37">
        <v>1.0</v>
      </c>
      <c r="K93" s="73"/>
      <c r="P93" s="37" t="s">
        <v>29</v>
      </c>
      <c r="Q93" s="64"/>
      <c r="R93" s="64"/>
      <c r="S93" s="64"/>
      <c r="T93" s="64"/>
      <c r="U93" s="64"/>
      <c r="V93" s="64"/>
      <c r="W93" s="64"/>
      <c r="X93" s="64"/>
      <c r="Y93" s="64"/>
      <c r="Z93" s="64"/>
      <c r="AA93" s="64"/>
      <c r="BG93" s="37" t="str">
        <f t="array" ref="BG93">IF($A93="","", INDEX(CS!$B$1:$B$15025,MATCH($A93,CS!$B:$B,0)+COLUMN(A$1),1))</f>
        <v/>
      </c>
      <c r="BH93" s="37" t="str">
        <f t="array" ref="BH93">IF($A93="","", INDEX(CS!$B$1:$B$15025,MATCH($A93,CS!$B:$B,0)+COLUMN(B$1),1))</f>
        <v/>
      </c>
      <c r="BI93" s="37" t="str">
        <f t="array" ref="BI93">IF($A93="","", INDEX(CS!$B$1:$B$15025,MATCH($A93,CS!$B:$B,0)+COLUMN(C$1),1))</f>
        <v/>
      </c>
      <c r="BJ93" s="37" t="str">
        <f t="array" ref="BJ93">IF($A93="","", INDEX(CS!$B$1:$B$15025,MATCH($A93,CS!$B:$B,0)+COLUMN(D$1),1))</f>
        <v/>
      </c>
      <c r="BK93" s="37" t="str">
        <f t="array" ref="BK93">IF($A93="","", INDEX(CS!$B$1:$B$15025,MATCH($A93,CS!$B:$B,0)+COLUMN(E$1),1))</f>
        <v/>
      </c>
      <c r="BL93" s="37" t="str">
        <f t="array" ref="BL93">IF($A93="","", INDEX(CS!$B$1:$B$15025,MATCH($A93,CS!$B:$B,0)+COLUMN(F$1),1))</f>
        <v/>
      </c>
      <c r="BM93" s="37" t="str">
        <f t="array" ref="BM93">IF($A93="","", INDEX(CS!$B$1:$B$15025,MATCH($A93,CS!$B:$B,0)+COLUMN(G$1),1))</f>
        <v/>
      </c>
      <c r="BN93" s="37" t="str">
        <f t="array" ref="BN93">IF($A93="","", INDEX(CS!$B$1:$B$15025,MATCH($A93,CS!$B:$B,0)+COLUMN(H$1),1))</f>
        <v/>
      </c>
      <c r="BO93" s="37" t="str">
        <f t="array" ref="BO93">IF($A93="","", INDEX(CS!$B$1:$B$15025,MATCH($A93,CS!$B:$B,0)+COLUMN(I$1),1))</f>
        <v/>
      </c>
      <c r="BP93" s="37" t="str">
        <f t="array" ref="BP93">IF($A93="","", INDEX(CS!$B$1:$B$15025,MATCH($A93,CS!$B:$B,0)+COLUMN(J$1),1))</f>
        <v/>
      </c>
      <c r="BS93" s="74"/>
    </row>
    <row r="94" ht="18.75" customHeight="1">
      <c r="B94" s="85" t="s">
        <v>2789</v>
      </c>
      <c r="D94" s="72" t="str">
        <f t="shared" si="1"/>
        <v>0/0/0</v>
      </c>
      <c r="E94" s="37">
        <v>1.0</v>
      </c>
      <c r="K94" s="73"/>
      <c r="P94" s="37" t="s">
        <v>29</v>
      </c>
      <c r="Q94" s="64"/>
      <c r="R94" s="64"/>
      <c r="S94" s="64"/>
      <c r="T94" s="64"/>
      <c r="U94" s="64"/>
      <c r="V94" s="64"/>
      <c r="W94" s="64"/>
      <c r="X94" s="64"/>
      <c r="Y94" s="64"/>
      <c r="Z94" s="64"/>
      <c r="AA94" s="64"/>
      <c r="BG94" s="37" t="str">
        <f t="array" ref="BG94">IF($A94="","", INDEX(CS!$B$1:$B$15025,MATCH($A94,CS!$B:$B,0)+COLUMN(A$1),1))</f>
        <v/>
      </c>
      <c r="BH94" s="37" t="str">
        <f t="array" ref="BH94">IF($A94="","", INDEX(CS!$B$1:$B$15025,MATCH($A94,CS!$B:$B,0)+COLUMN(B$1),1))</f>
        <v/>
      </c>
      <c r="BI94" s="37" t="str">
        <f t="array" ref="BI94">IF($A94="","", INDEX(CS!$B$1:$B$15025,MATCH($A94,CS!$B:$B,0)+COLUMN(C$1),1))</f>
        <v/>
      </c>
      <c r="BJ94" s="37" t="str">
        <f t="array" ref="BJ94">IF($A94="","", INDEX(CS!$B$1:$B$15025,MATCH($A94,CS!$B:$B,0)+COLUMN(D$1),1))</f>
        <v/>
      </c>
      <c r="BK94" s="37" t="str">
        <f t="array" ref="BK94">IF($A94="","", INDEX(CS!$B$1:$B$15025,MATCH($A94,CS!$B:$B,0)+COLUMN(E$1),1))</f>
        <v/>
      </c>
      <c r="BL94" s="37" t="str">
        <f t="array" ref="BL94">IF($A94="","", INDEX(CS!$B$1:$B$15025,MATCH($A94,CS!$B:$B,0)+COLUMN(F$1),1))</f>
        <v/>
      </c>
      <c r="BM94" s="37" t="str">
        <f t="array" ref="BM94">IF($A94="","", INDEX(CS!$B$1:$B$15025,MATCH($A94,CS!$B:$B,0)+COLUMN(G$1),1))</f>
        <v/>
      </c>
      <c r="BN94" s="37" t="str">
        <f t="array" ref="BN94">IF($A94="","", INDEX(CS!$B$1:$B$15025,MATCH($A94,CS!$B:$B,0)+COLUMN(H$1),1))</f>
        <v/>
      </c>
      <c r="BO94" s="37" t="str">
        <f t="array" ref="BO94">IF($A94="","", INDEX(CS!$B$1:$B$15025,MATCH($A94,CS!$B:$B,0)+COLUMN(I$1),1))</f>
        <v/>
      </c>
      <c r="BP94" s="37" t="str">
        <f t="array" ref="BP94">IF($A94="","", INDEX(CS!$B$1:$B$15025,MATCH($A94,CS!$B:$B,0)+COLUMN(J$1),1))</f>
        <v/>
      </c>
      <c r="BS94" s="74"/>
    </row>
    <row r="95" ht="18.75" customHeight="1" outlineLevel="1">
      <c r="A95" s="37" t="s">
        <v>1101</v>
      </c>
      <c r="B95" s="71" t="s">
        <v>1102</v>
      </c>
      <c r="C95" s="39" t="s">
        <v>2790</v>
      </c>
      <c r="D95" s="72" t="str">
        <f t="shared" si="1"/>
        <v>710/460/250</v>
      </c>
      <c r="E95" s="37">
        <v>1.0</v>
      </c>
      <c r="F95" s="37">
        <v>85.0</v>
      </c>
      <c r="I95" s="37">
        <v>90.0</v>
      </c>
      <c r="J95" s="37">
        <v>80.0</v>
      </c>
      <c r="K95" s="73">
        <v>25.0</v>
      </c>
      <c r="L95" s="37">
        <v>50.0</v>
      </c>
      <c r="M95" s="37">
        <v>55.0</v>
      </c>
      <c r="N95" s="37">
        <v>75.0</v>
      </c>
      <c r="P95" s="37">
        <v>0.0</v>
      </c>
      <c r="Q95" s="64"/>
      <c r="R95" s="64"/>
      <c r="S95" s="64"/>
      <c r="T95" s="64"/>
      <c r="U95" s="64"/>
      <c r="V95" s="64"/>
      <c r="W95" s="64"/>
      <c r="X95" s="64"/>
      <c r="Y95" s="64"/>
      <c r="Z95" s="64"/>
      <c r="AA95" s="64"/>
      <c r="AJ95" s="39">
        <v>75.0</v>
      </c>
      <c r="AK95" s="39">
        <v>50.0</v>
      </c>
      <c r="AL95" s="39">
        <v>25.0</v>
      </c>
      <c r="AM95" s="39">
        <v>25.0</v>
      </c>
      <c r="AN95" s="39">
        <v>25.0</v>
      </c>
      <c r="AO95" s="39">
        <v>0.0</v>
      </c>
      <c r="AP95" s="39">
        <v>0.0</v>
      </c>
      <c r="AQ95" s="39">
        <v>0.0</v>
      </c>
      <c r="AR95" s="39">
        <v>25.0</v>
      </c>
      <c r="AS95" s="39">
        <v>0.0</v>
      </c>
      <c r="AT95" s="39">
        <v>0.0</v>
      </c>
      <c r="AU95" s="39">
        <v>0.0</v>
      </c>
      <c r="AV95" s="39">
        <v>0.0</v>
      </c>
      <c r="AW95" s="39">
        <v>25.0</v>
      </c>
      <c r="AX95" s="39">
        <v>0.0</v>
      </c>
      <c r="AY95" s="39">
        <v>0.0</v>
      </c>
      <c r="AZ95" s="39">
        <v>0.0</v>
      </c>
      <c r="BG95" s="37" t="str">
        <f t="array" ref="BG95">IF($A95="","", INDEX(CS!$B$1:$B$15025,MATCH($A95,CS!$B:$B,0)+COLUMN(A$1),1))</f>
        <v/>
      </c>
      <c r="BH95" s="37" t="str">
        <f t="array" ref="BH95">IF($A95="","", INDEX(CS!$B$1:$B$15025,MATCH($A95,CS!$B:$B,0)+COLUMN(B$1),1))</f>
        <v>闘気撃</v>
      </c>
      <c r="BI95" s="37" t="str">
        <f t="array" ref="BI95">IF($A95="","", INDEX(CS!$B$1:$B$15025,MATCH($A95,CS!$B:$B,0)+COLUMN(C$1),1))</f>
        <v>武器の扱い</v>
      </c>
      <c r="BJ95" s="37" t="str">
        <f t="array" ref="BJ95">IF($A95="","", INDEX(CS!$B$1:$B$15025,MATCH($A95,CS!$B:$B,0)+COLUMN(D$1),1))</f>
        <v/>
      </c>
      <c r="BK95" s="37" t="str">
        <f t="array" ref="BK95">IF($A95="","", INDEX(CS!$B$1:$B$15025,MATCH($A95,CS!$B:$B,0)+COLUMN(E$1),1))</f>
        <v>闘気守</v>
      </c>
      <c r="BL95" s="37" t="str">
        <f t="array" ref="BL95">IF($A95="","", INDEX(CS!$B$1:$B$15025,MATCH($A95,CS!$B:$B,0)+COLUMN(F$1),1))</f>
        <v/>
      </c>
      <c r="BM95" s="37" t="str">
        <f t="array" ref="BM95">IF($A95="","", INDEX(CS!$B$1:$B$15025,MATCH($A95,CS!$B:$B,0)+COLUMN(G$1),1))</f>
        <v/>
      </c>
      <c r="BN95" s="37" t="str">
        <f t="array" ref="BN95">IF($A95="","", INDEX(CS!$B$1:$B$15025,MATCH($A95,CS!$B:$B,0)+COLUMN(H$1),1))</f>
        <v>雄叫び</v>
      </c>
      <c r="BO95" s="37" t="str">
        <f t="array" ref="BO95">IF($A95="","", INDEX(CS!$B$1:$B$15025,MATCH($A95,CS!$B:$B,0)+COLUMN(I$1),1))</f>
        <v>武器の攻め</v>
      </c>
      <c r="BP95" s="37" t="str">
        <f t="array" ref="BP95">IF($A95="","", INDEX(CS!$B$1:$B$15025,MATCH($A95,CS!$B:$B,0)+COLUMN(J$1),1))</f>
        <v>一閃撃</v>
      </c>
      <c r="BS95" s="74"/>
      <c r="CG95" s="37" t="s">
        <v>2791</v>
      </c>
      <c r="CJ95" s="37" t="s">
        <v>2792</v>
      </c>
      <c r="CK95" s="37" t="s">
        <v>2793</v>
      </c>
      <c r="CN95" s="37" t="s">
        <v>1102</v>
      </c>
    </row>
    <row r="96" ht="18.75" customHeight="1" outlineLevel="1">
      <c r="A96" s="37" t="s">
        <v>1119</v>
      </c>
      <c r="B96" s="71" t="s">
        <v>2794</v>
      </c>
      <c r="C96" s="39" t="s">
        <v>2790</v>
      </c>
      <c r="D96" s="72" t="str">
        <f t="shared" si="1"/>
        <v>710/460/250</v>
      </c>
      <c r="E96" s="37">
        <v>1.0</v>
      </c>
      <c r="F96" s="37">
        <v>85.0</v>
      </c>
      <c r="I96" s="37">
        <v>80.0</v>
      </c>
      <c r="J96" s="37">
        <v>90.0</v>
      </c>
      <c r="K96" s="73">
        <v>25.0</v>
      </c>
      <c r="L96" s="37">
        <v>55.0</v>
      </c>
      <c r="M96" s="37">
        <v>50.0</v>
      </c>
      <c r="N96" s="37">
        <v>75.0</v>
      </c>
      <c r="P96" s="37">
        <v>0.0</v>
      </c>
      <c r="Q96" s="64"/>
      <c r="R96" s="64"/>
      <c r="S96" s="64"/>
      <c r="T96" s="64"/>
      <c r="U96" s="64"/>
      <c r="V96" s="64"/>
      <c r="W96" s="64"/>
      <c r="X96" s="64"/>
      <c r="Y96" s="64"/>
      <c r="Z96" s="64"/>
      <c r="AA96" s="64"/>
      <c r="AJ96" s="39">
        <v>100.0</v>
      </c>
      <c r="AK96" s="39">
        <v>0.0</v>
      </c>
      <c r="AL96" s="39">
        <v>25.0</v>
      </c>
      <c r="AM96" s="39">
        <v>25.0</v>
      </c>
      <c r="AN96" s="39">
        <v>25.0</v>
      </c>
      <c r="AO96" s="39">
        <v>0.0</v>
      </c>
      <c r="AP96" s="39">
        <v>0.0</v>
      </c>
      <c r="AQ96" s="39">
        <v>0.0</v>
      </c>
      <c r="AR96" s="39">
        <v>25.0</v>
      </c>
      <c r="AS96" s="39">
        <v>0.0</v>
      </c>
      <c r="AT96" s="39">
        <v>0.0</v>
      </c>
      <c r="AU96" s="39">
        <v>0.0</v>
      </c>
      <c r="AV96" s="39">
        <v>0.0</v>
      </c>
      <c r="AW96" s="39">
        <v>50.0</v>
      </c>
      <c r="AX96" s="39">
        <v>0.0</v>
      </c>
      <c r="AY96" s="39">
        <v>0.0</v>
      </c>
      <c r="AZ96" s="39">
        <v>0.0</v>
      </c>
      <c r="BG96" s="37" t="str">
        <f t="array" ref="BG96">IF($A96="","", INDEX(CS!$B$1:$B$15025,MATCH($A96,CS!$B:$B,0)+COLUMN(A$1),1))</f>
        <v/>
      </c>
      <c r="BH96" s="37" t="str">
        <f t="array" ref="BH96">IF($A96="","", INDEX(CS!$B$1:$B$15025,MATCH($A96,CS!$B:$B,0)+COLUMN(B$1),1))</f>
        <v>闘気守</v>
      </c>
      <c r="BI96" s="37" t="str">
        <f t="array" ref="BI96">IF($A96="","", INDEX(CS!$B$1:$B$15025,MATCH($A96,CS!$B:$B,0)+COLUMN(C$1),1))</f>
        <v>武器の扱い</v>
      </c>
      <c r="BJ96" s="37" t="str">
        <f t="array" ref="BJ96">IF($A96="","", INDEX(CS!$B$1:$B$15025,MATCH($A96,CS!$B:$B,0)+COLUMN(D$1),1))</f>
        <v/>
      </c>
      <c r="BK96" s="37" t="str">
        <f t="array" ref="BK96">IF($A96="","", INDEX(CS!$B$1:$B$15025,MATCH($A96,CS!$B:$B,0)+COLUMN(E$1),1))</f>
        <v>闘気撃</v>
      </c>
      <c r="BL96" s="37" t="str">
        <f t="array" ref="BL96">IF($A96="","", INDEX(CS!$B$1:$B$15025,MATCH($A96,CS!$B:$B,0)+COLUMN(F$1),1))</f>
        <v>反撃</v>
      </c>
      <c r="BM96" s="37" t="str">
        <f t="array" ref="BM96">IF($A96="","", INDEX(CS!$B$1:$B$15025,MATCH($A96,CS!$B:$B,0)+COLUMN(G$1),1))</f>
        <v/>
      </c>
      <c r="BN96" s="37" t="str">
        <f t="array" ref="BN96">IF($A96="","", INDEX(CS!$B$1:$B$15025,MATCH($A96,CS!$B:$B,0)+COLUMN(H$1),1))</f>
        <v>雄叫び</v>
      </c>
      <c r="BO96" s="37" t="str">
        <f t="array" ref="BO96">IF($A96="","", INDEX(CS!$B$1:$B$15025,MATCH($A96,CS!$B:$B,0)+COLUMN(I$1),1))</f>
        <v>武器の守り</v>
      </c>
      <c r="BP96" s="37" t="str">
        <f t="array" ref="BP96">IF($A96="","", INDEX(CS!$B$1:$B$15025,MATCH($A96,CS!$B:$B,0)+COLUMN(J$1),1))</f>
        <v>一閃撃</v>
      </c>
      <c r="BS96" s="74"/>
      <c r="CG96" s="37" t="s">
        <v>2795</v>
      </c>
      <c r="CH96" s="37" t="s">
        <v>2796</v>
      </c>
      <c r="CJ96" s="37" t="s">
        <v>2792</v>
      </c>
      <c r="CK96" s="37" t="s">
        <v>2793</v>
      </c>
      <c r="CN96" s="37" t="s">
        <v>1102</v>
      </c>
    </row>
    <row r="97" ht="18.75" customHeight="1" outlineLevel="1">
      <c r="A97" s="37" t="s">
        <v>1124</v>
      </c>
      <c r="B97" s="71" t="s">
        <v>2797</v>
      </c>
      <c r="C97" s="39" t="s">
        <v>2790</v>
      </c>
      <c r="D97" s="72" t="str">
        <f t="shared" si="1"/>
        <v>710/460/250</v>
      </c>
      <c r="E97" s="37">
        <v>1.0</v>
      </c>
      <c r="F97" s="37">
        <v>85.0</v>
      </c>
      <c r="I97" s="37">
        <v>80.0</v>
      </c>
      <c r="J97" s="37">
        <v>55.0</v>
      </c>
      <c r="K97" s="73">
        <v>25.0</v>
      </c>
      <c r="L97" s="37">
        <v>50.0</v>
      </c>
      <c r="M97" s="37">
        <v>90.0</v>
      </c>
      <c r="N97" s="37">
        <v>75.0</v>
      </c>
      <c r="P97" s="37">
        <v>0.0</v>
      </c>
      <c r="Q97" s="64"/>
      <c r="R97" s="64"/>
      <c r="S97" s="64"/>
      <c r="T97" s="64"/>
      <c r="U97" s="64"/>
      <c r="V97" s="64"/>
      <c r="W97" s="64"/>
      <c r="X97" s="64"/>
      <c r="Y97" s="64"/>
      <c r="Z97" s="64"/>
      <c r="AA97" s="64"/>
      <c r="AJ97" s="39">
        <v>50.0</v>
      </c>
      <c r="AK97" s="39">
        <v>50.0</v>
      </c>
      <c r="AL97" s="39">
        <v>25.0</v>
      </c>
      <c r="AM97" s="39">
        <v>50.0</v>
      </c>
      <c r="AN97" s="39">
        <v>25.0</v>
      </c>
      <c r="AO97" s="39">
        <v>0.0</v>
      </c>
      <c r="AP97" s="39">
        <v>0.0</v>
      </c>
      <c r="AQ97" s="39">
        <v>0.0</v>
      </c>
      <c r="AR97" s="39">
        <v>25.0</v>
      </c>
      <c r="AS97" s="39">
        <v>0.0</v>
      </c>
      <c r="AT97" s="39">
        <v>0.0</v>
      </c>
      <c r="AU97" s="39">
        <v>0.0</v>
      </c>
      <c r="AV97" s="39">
        <v>0.0</v>
      </c>
      <c r="AW97" s="39">
        <v>25.0</v>
      </c>
      <c r="AX97" s="39">
        <v>0.0</v>
      </c>
      <c r="AY97" s="39">
        <v>0.0</v>
      </c>
      <c r="AZ97" s="39">
        <v>0.0</v>
      </c>
      <c r="BG97" s="37" t="str">
        <f t="array" ref="BG97">IF($A97="","", INDEX(CS!$B$1:$B$15025,MATCH($A97,CS!$B:$B,0)+COLUMN(A$1),1))</f>
        <v/>
      </c>
      <c r="BH97" s="37" t="str">
        <f t="array" ref="BH97">IF($A97="","", INDEX(CS!$B$1:$B$15025,MATCH($A97,CS!$B:$B,0)+COLUMN(B$1),1))</f>
        <v>闘気撃</v>
      </c>
      <c r="BI97" s="37" t="str">
        <f t="array" ref="BI97">IF($A97="","", INDEX(CS!$B$1:$B$15025,MATCH($A97,CS!$B:$B,0)+COLUMN(C$1),1))</f>
        <v>武器の扱い</v>
      </c>
      <c r="BJ97" s="37" t="str">
        <f t="array" ref="BJ97">IF($A97="","", INDEX(CS!$B$1:$B$15025,MATCH($A97,CS!$B:$B,0)+COLUMN(D$1),1))</f>
        <v/>
      </c>
      <c r="BK97" s="37" t="str">
        <f t="array" ref="BK97">IF($A97="","", INDEX(CS!$B$1:$B$15025,MATCH($A97,CS!$B:$B,0)+COLUMN(E$1),1))</f>
        <v>闘気速</v>
      </c>
      <c r="BL97" s="37" t="str">
        <f t="array" ref="BL97">IF($A97="","", INDEX(CS!$B$1:$B$15025,MATCH($A97,CS!$B:$B,0)+COLUMN(F$1),1))</f>
        <v/>
      </c>
      <c r="BM97" s="37" t="str">
        <f t="array" ref="BM97">IF($A97="","", INDEX(CS!$B$1:$B$15025,MATCH($A97,CS!$B:$B,0)+COLUMN(G$1),1))</f>
        <v/>
      </c>
      <c r="BN97" s="37" t="str">
        <f t="array" ref="BN97">IF($A97="","", INDEX(CS!$B$1:$B$15025,MATCH($A97,CS!$B:$B,0)+COLUMN(H$1),1))</f>
        <v>雄叫び</v>
      </c>
      <c r="BO97" s="37" t="str">
        <f t="array" ref="BO97">IF($A97="","", INDEX(CS!$B$1:$B$15025,MATCH($A97,CS!$B:$B,0)+COLUMN(I$1),1))</f>
        <v>武器の攻め</v>
      </c>
      <c r="BP97" s="37" t="str">
        <f t="array" ref="BP97">IF($A97="","", INDEX(CS!$B$1:$B$15025,MATCH($A97,CS!$B:$B,0)+COLUMN(J$1),1))</f>
        <v>一閃撃</v>
      </c>
      <c r="BS97" s="74"/>
      <c r="CG97" s="37" t="s">
        <v>2798</v>
      </c>
      <c r="CI97" s="37" t="s">
        <v>2799</v>
      </c>
      <c r="CJ97" s="37" t="s">
        <v>2800</v>
      </c>
      <c r="CK97" s="37" t="s">
        <v>2793</v>
      </c>
      <c r="CN97" s="37" t="s">
        <v>1102</v>
      </c>
    </row>
    <row r="98" ht="18.75" customHeight="1" outlineLevel="1">
      <c r="A98" s="39" t="s">
        <v>1129</v>
      </c>
      <c r="B98" s="89" t="s">
        <v>1130</v>
      </c>
      <c r="C98" s="39" t="s">
        <v>2801</v>
      </c>
      <c r="D98" s="72" t="str">
        <f t="shared" si="1"/>
        <v>710/455/255</v>
      </c>
      <c r="E98" s="39">
        <v>1.0</v>
      </c>
      <c r="F98" s="39">
        <v>80.0</v>
      </c>
      <c r="I98" s="39">
        <v>80.0</v>
      </c>
      <c r="J98" s="39">
        <v>75.0</v>
      </c>
      <c r="K98" s="87">
        <v>25.0</v>
      </c>
      <c r="L98" s="39">
        <v>45.0</v>
      </c>
      <c r="M98" s="39">
        <v>75.0</v>
      </c>
      <c r="N98" s="39">
        <v>75.0</v>
      </c>
      <c r="P98" s="37">
        <v>0.0</v>
      </c>
      <c r="Q98" s="64"/>
      <c r="R98" s="64"/>
      <c r="S98" s="64"/>
      <c r="T98" s="64"/>
      <c r="U98" s="64"/>
      <c r="V98" s="64"/>
      <c r="W98" s="64"/>
      <c r="X98" s="64"/>
      <c r="Y98" s="64"/>
      <c r="Z98" s="64"/>
      <c r="AA98" s="64"/>
      <c r="AJ98" s="39">
        <v>50.0</v>
      </c>
      <c r="AK98" s="39">
        <v>50.0</v>
      </c>
      <c r="AL98" s="39">
        <v>25.0</v>
      </c>
      <c r="AM98" s="39">
        <v>55.0</v>
      </c>
      <c r="AN98" s="39">
        <v>25.0</v>
      </c>
      <c r="AO98" s="39">
        <v>0.0</v>
      </c>
      <c r="AP98" s="39">
        <v>0.0</v>
      </c>
      <c r="AQ98" s="39">
        <v>0.0</v>
      </c>
      <c r="AR98" s="39">
        <v>25.0</v>
      </c>
      <c r="AS98" s="39">
        <v>0.0</v>
      </c>
      <c r="AT98" s="39">
        <v>0.0</v>
      </c>
      <c r="AU98" s="39">
        <v>0.0</v>
      </c>
      <c r="AV98" s="39">
        <v>0.0</v>
      </c>
      <c r="AW98" s="39">
        <v>25.0</v>
      </c>
      <c r="AX98" s="39">
        <v>0.0</v>
      </c>
      <c r="AY98" s="39">
        <v>0.0</v>
      </c>
      <c r="AZ98" s="39">
        <v>0.0</v>
      </c>
      <c r="BG98" s="37" t="str">
        <f t="array" ref="BG98">IF($A98="","",IFERROR(INDEX(CS!$B$1:$B$15025,MATCH($A98,CS!$B:$B,0)+COLUMN(A$1),1),""))</f>
        <v/>
      </c>
      <c r="BH98" s="37" t="str">
        <f t="array" ref="BH98">IF($A98="","",IFERROR(INDEX(CS!$B$1:$B$15025,MATCH($A98,CS!$B:$B,0)+COLUMN(B$1),1),""))</f>
        <v>闘気撃</v>
      </c>
      <c r="BI98" s="37" t="str">
        <f t="array" ref="BI98">IF($A98="","",IFERROR(INDEX(CS!$B$1:$B$15025,MATCH($A98,CS!$B:$B,0)+COLUMN(C$1),1),""))</f>
        <v>素手の扱い</v>
      </c>
      <c r="BJ98" s="37" t="str">
        <f t="array" ref="BJ98">IF($A98="","",IFERROR(INDEX(CS!$B$1:$B$15025,MATCH($A98,CS!$B:$B,0)+COLUMN(D$1),1),""))</f>
        <v/>
      </c>
      <c r="BK98" s="37" t="str">
        <f t="array" ref="BK98">IF($A98="","",IFERROR(INDEX(CS!$B$1:$B$15025,MATCH($A98,CS!$B:$B,0)+COLUMN(E$1),1),""))</f>
        <v>闘気速</v>
      </c>
      <c r="BL98" s="37" t="str">
        <f t="array" ref="BL98">IF($A98="","",IFERROR(INDEX(CS!$B$1:$B$15025,MATCH($A98,CS!$B:$B,0)+COLUMN(F$1),1),""))</f>
        <v/>
      </c>
      <c r="BM98" s="37" t="str">
        <f t="array" ref="BM98">IF($A98="","",IFERROR(INDEX(CS!$B$1:$B$15025,MATCH($A98,CS!$B:$B,0)+COLUMN(G$1),1),""))</f>
        <v/>
      </c>
      <c r="BN98" s="37" t="str">
        <f t="array" ref="BN98">IF($A98="","",IFERROR(INDEX(CS!$B$1:$B$15025,MATCH($A98,CS!$B:$B,0)+COLUMN(H$1),1),""))</f>
        <v>雄叫び</v>
      </c>
      <c r="BO98" s="37" t="str">
        <f t="array" ref="BO98">IF($A98="","",IFERROR(INDEX(CS!$B$1:$B$15025,MATCH($A98,CS!$B:$B,0)+COLUMN(I$1),1),""))</f>
        <v>武器の攻め</v>
      </c>
      <c r="BP98" s="37" t="str">
        <f t="array" ref="BP98">IF($A98="","",IFERROR(INDEX(CS!$B$1:$B$15025,MATCH($A98,CS!$B:$B,0)+COLUMN(J$1),1),""))</f>
        <v>一閃撃</v>
      </c>
      <c r="BS98" s="74"/>
    </row>
    <row r="99" ht="18.75" customHeight="1" outlineLevel="2">
      <c r="A99" s="37" t="s">
        <v>1135</v>
      </c>
      <c r="B99" s="71" t="s">
        <v>2802</v>
      </c>
      <c r="C99" s="39" t="s">
        <v>2803</v>
      </c>
      <c r="D99" s="72" t="str">
        <f t="shared" si="1"/>
        <v>710/445/265</v>
      </c>
      <c r="E99" s="37">
        <v>1.0</v>
      </c>
      <c r="F99" s="37">
        <v>75.0</v>
      </c>
      <c r="I99" s="37">
        <v>75.0</v>
      </c>
      <c r="J99" s="37">
        <v>50.0</v>
      </c>
      <c r="K99" s="73">
        <v>25.0</v>
      </c>
      <c r="L99" s="37">
        <v>50.0</v>
      </c>
      <c r="M99" s="37">
        <v>85.0</v>
      </c>
      <c r="N99" s="37">
        <v>85.0</v>
      </c>
      <c r="P99" s="37">
        <v>0.0</v>
      </c>
      <c r="Q99" s="64"/>
      <c r="R99" s="64"/>
      <c r="S99" s="64"/>
      <c r="T99" s="64"/>
      <c r="U99" s="64"/>
      <c r="V99" s="64"/>
      <c r="W99" s="64"/>
      <c r="X99" s="64"/>
      <c r="Y99" s="64"/>
      <c r="Z99" s="64"/>
      <c r="AA99" s="64"/>
      <c r="AJ99" s="39">
        <v>0.0</v>
      </c>
      <c r="AK99" s="39">
        <v>25.0</v>
      </c>
      <c r="AL99" s="39">
        <v>0.0</v>
      </c>
      <c r="AM99" s="39">
        <v>50.0</v>
      </c>
      <c r="AN99" s="39">
        <v>25.0</v>
      </c>
      <c r="AO99" s="39">
        <v>0.0</v>
      </c>
      <c r="AP99" s="39">
        <v>0.0</v>
      </c>
      <c r="AQ99" s="39">
        <v>90.0</v>
      </c>
      <c r="AR99" s="39">
        <v>75.0</v>
      </c>
      <c r="AS99" s="39">
        <v>0.0</v>
      </c>
      <c r="AT99" s="39">
        <v>0.0</v>
      </c>
      <c r="AU99" s="39">
        <v>0.0</v>
      </c>
      <c r="AV99" s="39">
        <v>0.0</v>
      </c>
      <c r="AW99" s="39">
        <v>0.0</v>
      </c>
      <c r="AX99" s="39">
        <v>0.0</v>
      </c>
      <c r="AY99" s="39">
        <v>0.0</v>
      </c>
      <c r="AZ99" s="39">
        <v>0.0</v>
      </c>
      <c r="BG99" s="37" t="str">
        <f t="array" ref="BG99">IF($A99="","", INDEX(CS!$B$1:$B$15025,MATCH($A99,CS!$B:$B,0)+COLUMN(A$1),1))</f>
        <v/>
      </c>
      <c r="BH99" s="37" t="str">
        <f t="array" ref="BH99">IF($A99="","", INDEX(CS!$B$1:$B$15025,MATCH($A99,CS!$B:$B,0)+COLUMN(B$1),1))</f>
        <v>急所撃</v>
      </c>
      <c r="BI99" s="37" t="str">
        <f t="array" ref="BI99">IF($A99="","", INDEX(CS!$B$1:$B$15025,MATCH($A99,CS!$B:$B,0)+COLUMN(C$1),1))</f>
        <v>隠密</v>
      </c>
      <c r="BJ99" s="37" t="str">
        <f t="array" ref="BJ99">IF($A99="","", INDEX(CS!$B$1:$B$15025,MATCH($A99,CS!$B:$B,0)+COLUMN(D$1),1))</f>
        <v/>
      </c>
      <c r="BK99" s="37" t="str">
        <f t="array" ref="BK99">IF($A99="","", INDEX(CS!$B$1:$B$15025,MATCH($A99,CS!$B:$B,0)+COLUMN(E$1),1))</f>
        <v>痛撃</v>
      </c>
      <c r="BL99" s="37" t="str">
        <f t="array" ref="BL99">IF($A99="","", INDEX(CS!$B$1:$B$15025,MATCH($A99,CS!$B:$B,0)+COLUMN(F$1),1))</f>
        <v>罠技術</v>
      </c>
      <c r="BM99" s="37" t="str">
        <f t="array" ref="BM99">IF($A99="","", INDEX(CS!$B$1:$B$15025,MATCH($A99,CS!$B:$B,0)+COLUMN(G$1),1))</f>
        <v/>
      </c>
      <c r="BN99" s="37" t="str">
        <f t="array" ref="BN99">IF($A99="","", INDEX(CS!$B$1:$B$15025,MATCH($A99,CS!$B:$B,0)+COLUMN(H$1),1))</f>
        <v>狙い</v>
      </c>
      <c r="BO99" s="37" t="str">
        <f t="array" ref="BO99">IF($A99="","", INDEX(CS!$B$1:$B$15025,MATCH($A99,CS!$B:$B,0)+COLUMN(I$1),1))</f>
        <v/>
      </c>
      <c r="BP99" s="37" t="str">
        <f t="array" ref="BP99">IF($A99="","", INDEX(CS!$B$1:$B$15025,MATCH($A99,CS!$B:$B,0)+COLUMN(J$1),1))</f>
        <v/>
      </c>
      <c r="BS99" s="74"/>
      <c r="CG99" s="37" t="s">
        <v>2804</v>
      </c>
      <c r="CJ99" s="37" t="s">
        <v>2800</v>
      </c>
      <c r="CK99" s="37" t="s">
        <v>2793</v>
      </c>
      <c r="CN99" s="37" t="s">
        <v>2805</v>
      </c>
    </row>
    <row r="100" ht="18.75" customHeight="1" outlineLevel="2">
      <c r="A100" s="37" t="s">
        <v>1147</v>
      </c>
      <c r="B100" s="71" t="s">
        <v>2805</v>
      </c>
      <c r="C100" s="39" t="s">
        <v>2803</v>
      </c>
      <c r="D100" s="72" t="str">
        <f t="shared" si="1"/>
        <v>710/460/250</v>
      </c>
      <c r="E100" s="37">
        <v>1.0</v>
      </c>
      <c r="F100" s="37">
        <v>75.0</v>
      </c>
      <c r="I100" s="37">
        <v>75.0</v>
      </c>
      <c r="J100" s="37">
        <v>75.0</v>
      </c>
      <c r="K100" s="73">
        <v>25.0</v>
      </c>
      <c r="L100" s="37">
        <v>50.0</v>
      </c>
      <c r="M100" s="37">
        <v>75.0</v>
      </c>
      <c r="N100" s="37">
        <v>85.0</v>
      </c>
      <c r="P100" s="37">
        <v>0.0</v>
      </c>
      <c r="Q100" s="64"/>
      <c r="R100" s="64"/>
      <c r="S100" s="64"/>
      <c r="T100" s="64"/>
      <c r="U100" s="64"/>
      <c r="V100" s="64"/>
      <c r="W100" s="64"/>
      <c r="X100" s="64"/>
      <c r="Y100" s="64"/>
      <c r="Z100" s="64"/>
      <c r="AA100" s="64"/>
      <c r="AJ100" s="39">
        <v>0.0</v>
      </c>
      <c r="AK100" s="39">
        <v>0.0</v>
      </c>
      <c r="AL100" s="39">
        <v>0.0</v>
      </c>
      <c r="AM100" s="39">
        <v>50.0</v>
      </c>
      <c r="AN100" s="39">
        <v>35.0</v>
      </c>
      <c r="AO100" s="39">
        <v>0.0</v>
      </c>
      <c r="AP100" s="39">
        <v>0.0</v>
      </c>
      <c r="AQ100" s="39">
        <v>75.0</v>
      </c>
      <c r="AR100" s="39">
        <v>90.0</v>
      </c>
      <c r="AS100" s="39">
        <v>0.0</v>
      </c>
      <c r="AT100" s="39">
        <v>0.0</v>
      </c>
      <c r="AU100" s="39">
        <v>0.0</v>
      </c>
      <c r="AV100" s="39">
        <v>0.0</v>
      </c>
      <c r="AW100" s="39">
        <v>0.0</v>
      </c>
      <c r="AX100" s="39">
        <v>0.0</v>
      </c>
      <c r="AY100" s="39">
        <v>0.0</v>
      </c>
      <c r="AZ100" s="39">
        <v>0.0</v>
      </c>
      <c r="BG100" s="37" t="str">
        <f t="array" ref="BG100">IF($A100="","", INDEX(CS!$B$1:$B$15025,MATCH($A100,CS!$B:$B,0)+COLUMN(A$1),1))</f>
        <v>急所撃</v>
      </c>
      <c r="BH100" s="37" t="str">
        <f t="array" ref="BH100">IF($A100="","", INDEX(CS!$B$1:$B$15025,MATCH($A100,CS!$B:$B,0)+COLUMN(B$1),1))</f>
        <v>狙い</v>
      </c>
      <c r="BI100" s="37" t="str">
        <f t="array" ref="BI100">IF($A100="","", INDEX(CS!$B$1:$B$15025,MATCH($A100,CS!$B:$B,0)+COLUMN(C$1),1))</f>
        <v>隠密</v>
      </c>
      <c r="BJ100" s="37" t="str">
        <f t="array" ref="BJ100">IF($A100="","", INDEX(CS!$B$1:$B$15025,MATCH($A100,CS!$B:$B,0)+COLUMN(D$1),1))</f>
        <v>痛撃</v>
      </c>
      <c r="BK100" s="37" t="str">
        <f t="array" ref="BK100">IF($A100="","", INDEX(CS!$B$1:$B$15025,MATCH($A100,CS!$B:$B,0)+COLUMN(E$1),1))</f>
        <v>罠技術</v>
      </c>
      <c r="BL100" s="37" t="str">
        <f t="array" ref="BL100">IF($A100="","", INDEX(CS!$B$1:$B$15025,MATCH($A100,CS!$B:$B,0)+COLUMN(F$1),1))</f>
        <v/>
      </c>
      <c r="BM100" s="37" t="str">
        <f t="array" ref="BM100">IF($A100="","", INDEX(CS!$B$1:$B$15025,MATCH($A100,CS!$B:$B,0)+COLUMN(G$1),1))</f>
        <v>一閃撃</v>
      </c>
      <c r="BN100" s="37" t="str">
        <f t="array" ref="BN100">IF($A100="","", INDEX(CS!$B$1:$B$15025,MATCH($A100,CS!$B:$B,0)+COLUMN(H$1),1))</f>
        <v/>
      </c>
      <c r="BO100" s="37" t="str">
        <f t="array" ref="BO100">IF($A100="","", INDEX(CS!$B$1:$B$15025,MATCH($A100,CS!$B:$B,0)+COLUMN(I$1),1))</f>
        <v/>
      </c>
      <c r="BP100" s="37" t="str">
        <f t="array" ref="BP100">IF($A100="","", INDEX(CS!$B$1:$B$15025,MATCH($A100,CS!$B:$B,0)+COLUMN(J$1),1))</f>
        <v/>
      </c>
      <c r="BS100" s="74"/>
      <c r="CG100" s="37" t="s">
        <v>2806</v>
      </c>
      <c r="CJ100" s="37" t="s">
        <v>2800</v>
      </c>
      <c r="CK100" s="37" t="s">
        <v>2793</v>
      </c>
      <c r="CN100" s="37" t="s">
        <v>2805</v>
      </c>
    </row>
    <row r="101" ht="18.75" customHeight="1" outlineLevel="2">
      <c r="A101" s="39" t="s">
        <v>1148</v>
      </c>
      <c r="B101" s="89" t="s">
        <v>1149</v>
      </c>
      <c r="C101" s="39" t="s">
        <v>2790</v>
      </c>
      <c r="D101" s="72" t="str">
        <f t="shared" si="1"/>
        <v>710/470/240</v>
      </c>
      <c r="E101" s="39">
        <v>1.0</v>
      </c>
      <c r="F101" s="39">
        <v>90.0</v>
      </c>
      <c r="I101" s="39">
        <v>80.0</v>
      </c>
      <c r="J101" s="39">
        <v>75.0</v>
      </c>
      <c r="K101" s="87">
        <v>25.0</v>
      </c>
      <c r="L101" s="39">
        <v>50.0</v>
      </c>
      <c r="M101" s="39">
        <v>75.0</v>
      </c>
      <c r="N101" s="39">
        <v>75.0</v>
      </c>
      <c r="P101" s="37">
        <v>0.0</v>
      </c>
      <c r="Q101" s="64"/>
      <c r="R101" s="64"/>
      <c r="S101" s="64"/>
      <c r="T101" s="64"/>
      <c r="U101" s="64"/>
      <c r="V101" s="64"/>
      <c r="W101" s="64"/>
      <c r="X101" s="64"/>
      <c r="Y101" s="64"/>
      <c r="Z101" s="64"/>
      <c r="AA101" s="64"/>
      <c r="AJ101" s="39">
        <v>0.0</v>
      </c>
      <c r="AK101" s="39">
        <v>0.0</v>
      </c>
      <c r="AL101" s="39">
        <v>0.0</v>
      </c>
      <c r="AM101" s="39">
        <v>50.0</v>
      </c>
      <c r="AN101" s="39">
        <v>35.0</v>
      </c>
      <c r="AO101" s="39">
        <v>0.0</v>
      </c>
      <c r="AP101" s="39">
        <v>0.0</v>
      </c>
      <c r="AQ101" s="39">
        <v>65.0</v>
      </c>
      <c r="AR101" s="39">
        <v>90.0</v>
      </c>
      <c r="AS101" s="39">
        <v>0.0</v>
      </c>
      <c r="AT101" s="39">
        <v>0.0</v>
      </c>
      <c r="AU101" s="39">
        <v>0.0</v>
      </c>
      <c r="AV101" s="39">
        <v>0.0</v>
      </c>
      <c r="AW101" s="39">
        <v>0.0</v>
      </c>
      <c r="AX101" s="39">
        <v>0.0</v>
      </c>
      <c r="AY101" s="39">
        <v>0.0</v>
      </c>
      <c r="AZ101" s="39">
        <v>0.0</v>
      </c>
      <c r="BG101" s="37" t="str">
        <f t="array" ref="BG101">IF($A101="","",IFERROR(INDEX(CS!$B$1:$B$15025,MATCH($A101,CS!$B:$B,0)+COLUMN(A$1),1),""))</f>
        <v>貫通矢</v>
      </c>
      <c r="BH101" s="37" t="str">
        <f t="array" ref="BH101">IF($A101="","",IFERROR(INDEX(CS!$B$1:$B$15025,MATCH($A101,CS!$B:$B,0)+COLUMN(B$1),1),""))</f>
        <v>狙い</v>
      </c>
      <c r="BI101" s="37" t="str">
        <f t="array" ref="BI101">IF($A101="","",IFERROR(INDEX(CS!$B$1:$B$15025,MATCH($A101,CS!$B:$B,0)+COLUMN(C$1),1),""))</f>
        <v>武器の扱い</v>
      </c>
      <c r="BJ101" s="37" t="str">
        <f t="array" ref="BJ101">IF($A101="","",IFERROR(INDEX(CS!$B$1:$B$15025,MATCH($A101,CS!$B:$B,0)+COLUMN(D$1),1),""))</f>
        <v/>
      </c>
      <c r="BK101" s="37" t="str">
        <f t="array" ref="BK101">IF($A101="","",IFERROR(INDEX(CS!$B$1:$B$15025,MATCH($A101,CS!$B:$B,0)+COLUMN(E$1),1),""))</f>
        <v>弓の使い手</v>
      </c>
      <c r="BL101" s="37" t="str">
        <f t="array" ref="BL101">IF($A101="","",IFERROR(INDEX(CS!$B$1:$B$15025,MATCH($A101,CS!$B:$B,0)+COLUMN(F$1),1),""))</f>
        <v/>
      </c>
      <c r="BM101" s="37" t="str">
        <f t="array" ref="BM101">IF($A101="","",IFERROR(INDEX(CS!$B$1:$B$15025,MATCH($A101,CS!$B:$B,0)+COLUMN(G$1),1),""))</f>
        <v>一閃撃</v>
      </c>
      <c r="BN101" s="37" t="str">
        <f t="array" ref="BN101">IF($A101="","",IFERROR(INDEX(CS!$B$1:$B$15025,MATCH($A101,CS!$B:$B,0)+COLUMN(H$1),1),""))</f>
        <v/>
      </c>
      <c r="BO101" s="37" t="str">
        <f t="array" ref="BO101">IF($A101="","",IFERROR(INDEX(CS!$B$1:$B$15025,MATCH($A101,CS!$B:$B,0)+COLUMN(I$1),1),""))</f>
        <v>精度</v>
      </c>
      <c r="BP101" s="37" t="str">
        <f t="array" ref="BP101">IF($A101="","",IFERROR(INDEX(CS!$B$1:$B$15025,MATCH($A101,CS!$B:$B,0)+COLUMN(J$1),1),""))</f>
        <v>射出</v>
      </c>
      <c r="BS101" s="74"/>
      <c r="CG101" s="37" t="s">
        <v>2806</v>
      </c>
      <c r="CJ101" s="37" t="s">
        <v>2800</v>
      </c>
      <c r="CK101" s="37" t="s">
        <v>2793</v>
      </c>
      <c r="CN101" s="37" t="s">
        <v>2805</v>
      </c>
    </row>
    <row r="102" ht="18.75" customHeight="1" outlineLevel="2">
      <c r="A102" s="37" t="s">
        <v>1159</v>
      </c>
      <c r="B102" s="71" t="s">
        <v>2807</v>
      </c>
      <c r="C102" s="39" t="s">
        <v>2808</v>
      </c>
      <c r="D102" s="72" t="str">
        <f t="shared" si="1"/>
        <v>710/470/240</v>
      </c>
      <c r="E102" s="37">
        <v>1.0</v>
      </c>
      <c r="F102" s="37">
        <v>60.0</v>
      </c>
      <c r="I102" s="37">
        <v>50.0</v>
      </c>
      <c r="J102" s="37">
        <v>55.0</v>
      </c>
      <c r="K102" s="73">
        <v>90.0</v>
      </c>
      <c r="L102" s="37">
        <v>90.0</v>
      </c>
      <c r="M102" s="37">
        <v>50.0</v>
      </c>
      <c r="N102" s="37">
        <v>75.0</v>
      </c>
      <c r="P102" s="37">
        <v>0.0</v>
      </c>
      <c r="Q102" s="64"/>
      <c r="R102" s="64"/>
      <c r="S102" s="64"/>
      <c r="T102" s="64"/>
      <c r="U102" s="64"/>
      <c r="V102" s="64"/>
      <c r="W102" s="64"/>
      <c r="X102" s="64"/>
      <c r="Y102" s="64"/>
      <c r="Z102" s="64"/>
      <c r="AA102" s="64"/>
      <c r="AJ102" s="39">
        <v>0.0</v>
      </c>
      <c r="AK102" s="39">
        <v>0.0</v>
      </c>
      <c r="AL102" s="39">
        <v>90.0</v>
      </c>
      <c r="AM102" s="39">
        <v>0.0</v>
      </c>
      <c r="AN102" s="39">
        <v>50.0</v>
      </c>
      <c r="AO102" s="39">
        <v>0.0</v>
      </c>
      <c r="AP102" s="39">
        <v>0.0</v>
      </c>
      <c r="AQ102" s="39">
        <v>0.0</v>
      </c>
      <c r="AR102" s="39">
        <v>0.0</v>
      </c>
      <c r="AS102" s="39">
        <v>0.0</v>
      </c>
      <c r="AT102" s="39">
        <v>0.0</v>
      </c>
      <c r="AU102" s="39">
        <v>0.0</v>
      </c>
      <c r="AV102" s="39">
        <v>0.0</v>
      </c>
      <c r="AW102" s="39">
        <v>0.0</v>
      </c>
      <c r="AX102" s="39">
        <v>0.0</v>
      </c>
      <c r="AY102" s="39">
        <v>100.0</v>
      </c>
      <c r="AZ102" s="39">
        <v>0.0</v>
      </c>
      <c r="BG102" s="37" t="str">
        <f t="array" ref="BG102">IF($A102="","", INDEX(CS!$B$1:$B$15025,MATCH($A102,CS!$B:$B,0)+COLUMN(A$1),1))</f>
        <v>力場弾</v>
      </c>
      <c r="BH102" s="37" t="str">
        <f t="array" ref="BH102">IF($A102="","", INDEX(CS!$B$1:$B$15025,MATCH($A102,CS!$B:$B,0)+COLUMN(B$1),1))</f>
        <v>火炎</v>
      </c>
      <c r="BI102" s="37" t="str">
        <f t="array" ref="BI102">IF($A102="","", INDEX(CS!$B$1:$B$15025,MATCH($A102,CS!$B:$B,0)+COLUMN(C$1),1))</f>
        <v>冷気の光線</v>
      </c>
      <c r="BJ102" s="39" t="str">
        <f t="array" ref="BJ102">IF($A102="","", INDEX(CS!$B$1:$B$15025,MATCH($A102,CS!$B:$B,0)+COLUMN(D$1),1))</f>
        <v>氷柱弾</v>
      </c>
      <c r="BK102" s="37" t="str">
        <f t="array" ref="BK102">IF($A102="","", INDEX(CS!$B$1:$B$15025,MATCH($A102,CS!$B:$B,0)+COLUMN(E$1),1))</f>
        <v>放電</v>
      </c>
      <c r="BL102" s="37" t="str">
        <f t="array" ref="BL102">IF($A102="","", INDEX(CS!$B$1:$B$15025,MATCH($A102,CS!$B:$B,0)+COLUMN(F$1),1))</f>
        <v/>
      </c>
      <c r="BM102" s="37" t="str">
        <f t="array" ref="BM102">IF($A102="","", INDEX(CS!$B$1:$B$15025,MATCH($A102,CS!$B:$B,0)+COLUMN(G$1),1))</f>
        <v>魔法の守り</v>
      </c>
      <c r="BN102" s="37" t="str">
        <f t="array" ref="BN102">IF($A102="","", INDEX(CS!$B$1:$B$15025,MATCH($A102,CS!$B:$B,0)+COLUMN(H$1),1))</f>
        <v/>
      </c>
      <c r="BO102" s="39" t="str">
        <f t="array" ref="BO102">IF($A102="","", INDEX(CS!$B$1:$B$15025,MATCH($A102,CS!$B:$B,0)+COLUMN(I$1),1))</f>
        <v>酸滴</v>
      </c>
      <c r="BP102" s="37" t="str">
        <f t="array" ref="BP102">IF($A102="","", INDEX(CS!$B$1:$B$15025,MATCH($A102,CS!$B:$B,0)+COLUMN(J$1),1))</f>
        <v/>
      </c>
      <c r="BS102" s="74"/>
      <c r="CG102" s="37" t="s">
        <v>2809</v>
      </c>
      <c r="CI102" s="37" t="s">
        <v>2799</v>
      </c>
      <c r="CJ102" s="37" t="s">
        <v>2810</v>
      </c>
      <c r="CK102" s="37" t="s">
        <v>2793</v>
      </c>
      <c r="CN102" s="37" t="s">
        <v>2807</v>
      </c>
    </row>
    <row r="103" ht="18.75" customHeight="1" outlineLevel="2">
      <c r="A103" s="37" t="s">
        <v>1160</v>
      </c>
      <c r="B103" s="71" t="s">
        <v>2811</v>
      </c>
      <c r="C103" s="39" t="s">
        <v>2808</v>
      </c>
      <c r="D103" s="72" t="str">
        <f t="shared" si="1"/>
        <v>710/465/245</v>
      </c>
      <c r="E103" s="37">
        <v>1.0</v>
      </c>
      <c r="F103" s="37">
        <v>65.0</v>
      </c>
      <c r="I103" s="37">
        <v>55.0</v>
      </c>
      <c r="J103" s="37">
        <v>65.0</v>
      </c>
      <c r="K103" s="73">
        <v>85.0</v>
      </c>
      <c r="L103" s="37">
        <v>70.0</v>
      </c>
      <c r="M103" s="37">
        <v>50.0</v>
      </c>
      <c r="N103" s="37">
        <v>75.0</v>
      </c>
      <c r="P103" s="37">
        <v>0.0</v>
      </c>
      <c r="Q103" s="64"/>
      <c r="R103" s="64"/>
      <c r="S103" s="64"/>
      <c r="T103" s="64"/>
      <c r="U103" s="64"/>
      <c r="V103" s="64"/>
      <c r="W103" s="64"/>
      <c r="X103" s="64"/>
      <c r="Y103" s="64"/>
      <c r="Z103" s="64"/>
      <c r="AA103" s="64"/>
      <c r="AJ103" s="39">
        <v>0.0</v>
      </c>
      <c r="AK103" s="39">
        <v>0.0</v>
      </c>
      <c r="AL103" s="39">
        <v>50.0</v>
      </c>
      <c r="AM103" s="39">
        <v>0.0</v>
      </c>
      <c r="AN103" s="39">
        <v>95.0</v>
      </c>
      <c r="AO103" s="39">
        <v>0.0</v>
      </c>
      <c r="AP103" s="39">
        <v>0.0</v>
      </c>
      <c r="AQ103" s="39">
        <v>0.0</v>
      </c>
      <c r="AR103" s="39">
        <v>0.0</v>
      </c>
      <c r="AS103" s="39">
        <v>0.0</v>
      </c>
      <c r="AT103" s="39">
        <v>0.0</v>
      </c>
      <c r="AU103" s="39">
        <v>0.0</v>
      </c>
      <c r="AV103" s="39">
        <v>0.0</v>
      </c>
      <c r="AW103" s="39">
        <v>0.0</v>
      </c>
      <c r="AX103" s="39">
        <v>0.0</v>
      </c>
      <c r="AY103" s="39">
        <v>100.0</v>
      </c>
      <c r="AZ103" s="39">
        <v>0.0</v>
      </c>
      <c r="BG103" s="37" t="str">
        <f t="array" ref="BG103">IF($A103="","", INDEX(CS!$B$1:$B$15025,MATCH($A103,CS!$B:$B,0)+COLUMN(A$1),1))</f>
        <v>爆薬</v>
      </c>
      <c r="BH103" s="37" t="str">
        <f t="array" ref="BH103">IF($A103="","", INDEX(CS!$B$1:$B$15025,MATCH($A103,CS!$B:$B,0)+COLUMN(B$1),1))</f>
        <v>闘気撃</v>
      </c>
      <c r="BI103" s="37" t="str">
        <f t="array" ref="BI103">IF($A103="","", INDEX(CS!$B$1:$B$15025,MATCH($A103,CS!$B:$B,0)+COLUMN(C$1),1))</f>
        <v>闘気速</v>
      </c>
      <c r="BJ103" s="37" t="str">
        <f t="array" ref="BJ103">IF($A103="","", INDEX(CS!$B$1:$B$15025,MATCH($A103,CS!$B:$B,0)+COLUMN(D$1),1))</f>
        <v>雄叫び</v>
      </c>
      <c r="BK103" s="37" t="str">
        <f t="array" ref="BK103">IF($A103="","", INDEX(CS!$B$1:$B$15025,MATCH($A103,CS!$B:$B,0)+COLUMN(E$1),1))</f>
        <v>一閃撃</v>
      </c>
      <c r="BL103" s="37" t="str">
        <f t="array" ref="BL103">IF($A103="","", INDEX(CS!$B$1:$B$15025,MATCH($A103,CS!$B:$B,0)+COLUMN(F$1),1))</f>
        <v>急所撃</v>
      </c>
      <c r="BM103" s="37" t="str">
        <f t="array" ref="BM103">IF($A103="","", INDEX(CS!$B$1:$B$15025,MATCH($A103,CS!$B:$B,0)+COLUMN(G$1),1))</f>
        <v>炎の雨</v>
      </c>
      <c r="BN103" s="37" t="str">
        <f t="array" ref="BN103">IF($A103="","", INDEX(CS!$B$1:$B$15025,MATCH($A103,CS!$B:$B,0)+COLUMN(H$1),1))</f>
        <v>火球</v>
      </c>
      <c r="BO103" s="37" t="str">
        <f t="array" ref="BO103">IF($A103="","", INDEX(CS!$B$1:$B$15025,MATCH($A103,CS!$B:$B,0)+COLUMN(I$1),1))</f>
        <v>落下火球</v>
      </c>
      <c r="BP103" s="37" t="str">
        <f t="array" ref="BP103">IF($A103="","", INDEX(CS!$B$1:$B$15025,MATCH($A103,CS!$B:$B,0)+COLUMN(J$1),1))</f>
        <v>爆裂</v>
      </c>
      <c r="BS103" s="74"/>
      <c r="CG103" s="37" t="s">
        <v>2809</v>
      </c>
      <c r="CI103" s="37" t="s">
        <v>2799</v>
      </c>
      <c r="CJ103" s="37" t="s">
        <v>2810</v>
      </c>
      <c r="CK103" s="37" t="s">
        <v>2793</v>
      </c>
      <c r="CN103" s="37" t="s">
        <v>2807</v>
      </c>
    </row>
    <row r="104" ht="18.75" customHeight="1" outlineLevel="2">
      <c r="A104" s="37" t="s">
        <v>1167</v>
      </c>
      <c r="B104" s="71" t="s">
        <v>2812</v>
      </c>
      <c r="C104" s="39" t="s">
        <v>2813</v>
      </c>
      <c r="D104" s="72" t="str">
        <f t="shared" si="1"/>
        <v>710/485/225</v>
      </c>
      <c r="E104" s="37">
        <v>1.0</v>
      </c>
      <c r="F104" s="37">
        <v>75.0</v>
      </c>
      <c r="I104" s="37">
        <v>70.0</v>
      </c>
      <c r="J104" s="37">
        <v>70.0</v>
      </c>
      <c r="K104" s="73">
        <v>75.0</v>
      </c>
      <c r="L104" s="37">
        <v>70.0</v>
      </c>
      <c r="M104" s="37">
        <v>50.0</v>
      </c>
      <c r="N104" s="37">
        <v>75.0</v>
      </c>
      <c r="P104" s="39">
        <v>25.0</v>
      </c>
      <c r="Q104" s="64"/>
      <c r="R104" s="64"/>
      <c r="S104" s="64"/>
      <c r="T104" s="64"/>
      <c r="U104" s="64"/>
      <c r="V104" s="64"/>
      <c r="W104" s="64"/>
      <c r="X104" s="64"/>
      <c r="Y104" s="64"/>
      <c r="Z104" s="64"/>
      <c r="AA104" s="64"/>
      <c r="AJ104" s="39">
        <v>0.0</v>
      </c>
      <c r="AK104" s="39">
        <v>0.0</v>
      </c>
      <c r="AL104" s="39">
        <v>75.0</v>
      </c>
      <c r="AM104" s="39">
        <v>0.0</v>
      </c>
      <c r="AN104" s="39">
        <v>0.0</v>
      </c>
      <c r="AO104" s="39">
        <v>0.0</v>
      </c>
      <c r="AP104" s="39">
        <v>0.0</v>
      </c>
      <c r="AQ104" s="39">
        <v>0.0</v>
      </c>
      <c r="AR104" s="39">
        <v>0.0</v>
      </c>
      <c r="AS104" s="39">
        <v>0.0</v>
      </c>
      <c r="AT104" s="39">
        <v>0.0</v>
      </c>
      <c r="AU104" s="39">
        <v>0.0</v>
      </c>
      <c r="AV104" s="39">
        <v>0.0</v>
      </c>
      <c r="AW104" s="39">
        <v>50.0</v>
      </c>
      <c r="AX104" s="39">
        <v>0.0</v>
      </c>
      <c r="AY104" s="39">
        <v>0.0</v>
      </c>
      <c r="AZ104" s="39">
        <v>100.0</v>
      </c>
      <c r="BG104" s="37" t="str">
        <f t="array" ref="BG104">IF($A104="","", INDEX(CS!$B$1:$B$15025,MATCH($A104,CS!$B:$B,0)+COLUMN(A$1),1))</f>
        <v>光粒</v>
      </c>
      <c r="BH104" s="37" t="str">
        <f t="array" ref="BH104">IF($A104="","", INDEX(CS!$B$1:$B$15025,MATCH($A104,CS!$B:$B,0)+COLUMN(B$1),1))</f>
        <v>軽傷治癒</v>
      </c>
      <c r="BI104" s="37" t="str">
        <f t="array" ref="BI104">IF($A104="","", INDEX(CS!$B$1:$B$15025,MATCH($A104,CS!$B:$B,0)+COLUMN(C$1),1))</f>
        <v>信仰心</v>
      </c>
      <c r="BJ104" s="37" t="str">
        <f t="array" ref="BJ104">IF($A104="","", INDEX(CS!$B$1:$B$15025,MATCH($A104,CS!$B:$B,0)+COLUMN(D$1),1))</f>
        <v/>
      </c>
      <c r="BK104" s="37" t="str">
        <f t="array" ref="BK104">IF($A104="","", INDEX(CS!$B$1:$B$15025,MATCH($A104,CS!$B:$B,0)+COLUMN(E$1),1))</f>
        <v>回復術</v>
      </c>
      <c r="BL104" s="37" t="str">
        <f t="array" ref="BL104">IF($A104="","", INDEX(CS!$B$1:$B$15025,MATCH($A104,CS!$B:$B,0)+COLUMN(F$1),1))</f>
        <v>治癒強化</v>
      </c>
      <c r="BM104" s="37" t="str">
        <f t="array" ref="BM104">IF($A104="","", INDEX(CS!$B$1:$B$15025,MATCH($A104,CS!$B:$B,0)+COLUMN(G$1),1))</f>
        <v/>
      </c>
      <c r="BN104" s="37" t="str">
        <f t="array" ref="BN104">IF($A104="","", INDEX(CS!$B$1:$B$15025,MATCH($A104,CS!$B:$B,0)+COLUMN(H$1),1))</f>
        <v/>
      </c>
      <c r="BO104" s="37" t="str">
        <f t="array" ref="BO104">IF($A104="","", INDEX(CS!$B$1:$B$15025,MATCH($A104,CS!$B:$B,0)+COLUMN(I$1),1))</f>
        <v>光の加護</v>
      </c>
      <c r="BP104" s="37" t="str">
        <f t="array" ref="BP104">IF($A104="","", INDEX(CS!$B$1:$B$15025,MATCH($A104,CS!$B:$B,0)+COLUMN(J$1),1))</f>
        <v>信仰の護り</v>
      </c>
      <c r="BS104" s="74"/>
      <c r="CG104" s="37" t="s">
        <v>2814</v>
      </c>
      <c r="CI104" s="37" t="s">
        <v>2799</v>
      </c>
      <c r="CJ104" s="37" t="s">
        <v>2810</v>
      </c>
      <c r="CK104" s="37" t="s">
        <v>2793</v>
      </c>
      <c r="CN104" s="37" t="s">
        <v>2812</v>
      </c>
    </row>
    <row r="105" ht="18.75" customHeight="1" outlineLevel="2">
      <c r="A105" s="37" t="s">
        <v>1176</v>
      </c>
      <c r="B105" s="71" t="s">
        <v>2815</v>
      </c>
      <c r="C105" s="39" t="s">
        <v>2813</v>
      </c>
      <c r="D105" s="72" t="str">
        <f t="shared" si="1"/>
        <v>710/485/225</v>
      </c>
      <c r="E105" s="37">
        <v>1.0</v>
      </c>
      <c r="F105" s="37">
        <v>85.0</v>
      </c>
      <c r="I105" s="37">
        <v>70.0</v>
      </c>
      <c r="J105" s="37">
        <v>85.0</v>
      </c>
      <c r="K105" s="73">
        <v>55.0</v>
      </c>
      <c r="L105" s="37">
        <v>60.0</v>
      </c>
      <c r="M105" s="37">
        <v>55.0</v>
      </c>
      <c r="N105" s="37">
        <v>75.0</v>
      </c>
      <c r="P105" s="39">
        <v>50.0</v>
      </c>
      <c r="Q105" s="64"/>
      <c r="R105" s="64"/>
      <c r="S105" s="64"/>
      <c r="T105" s="64"/>
      <c r="U105" s="64"/>
      <c r="V105" s="64"/>
      <c r="W105" s="64"/>
      <c r="X105" s="64"/>
      <c r="Y105" s="64"/>
      <c r="Z105" s="64"/>
      <c r="AA105" s="64"/>
      <c r="AJ105" s="39">
        <v>50.0</v>
      </c>
      <c r="AK105" s="39">
        <v>0.0</v>
      </c>
      <c r="AL105" s="39">
        <v>50.0</v>
      </c>
      <c r="AM105" s="39">
        <v>0.0</v>
      </c>
      <c r="AN105" s="39">
        <v>0.0</v>
      </c>
      <c r="AO105" s="39">
        <v>0.0</v>
      </c>
      <c r="AP105" s="39">
        <v>0.0</v>
      </c>
      <c r="AQ105" s="39">
        <v>0.0</v>
      </c>
      <c r="AR105" s="39">
        <v>0.0</v>
      </c>
      <c r="AS105" s="39">
        <v>0.0</v>
      </c>
      <c r="AT105" s="39">
        <v>0.0</v>
      </c>
      <c r="AU105" s="39">
        <v>0.0</v>
      </c>
      <c r="AV105" s="39">
        <v>0.0</v>
      </c>
      <c r="AW105" s="39">
        <v>50.0</v>
      </c>
      <c r="AX105" s="39">
        <v>0.0</v>
      </c>
      <c r="AY105" s="39">
        <v>0.0</v>
      </c>
      <c r="AZ105" s="39">
        <v>75.0</v>
      </c>
      <c r="BG105" s="37" t="str">
        <f t="array" ref="BG105">IF($A105="","", INDEX(CS!$B$1:$B$15025,MATCH($A105,CS!$B:$B,0)+COLUMN(A$1),1))</f>
        <v>闘気守</v>
      </c>
      <c r="BH105" s="37" t="str">
        <f t="array" ref="BH105">IF($A105="","", INDEX(CS!$B$1:$B$15025,MATCH($A105,CS!$B:$B,0)+COLUMN(B$1),1))</f>
        <v>光粒</v>
      </c>
      <c r="BI105" s="37" t="str">
        <f t="array" ref="BI105">IF($A105="","", INDEX(CS!$B$1:$B$15025,MATCH($A105,CS!$B:$B,0)+COLUMN(C$1),1))</f>
        <v>反撃</v>
      </c>
      <c r="BJ105" s="37" t="str">
        <f t="array" ref="BJ105">IF($A105="","", INDEX(CS!$B$1:$B$15025,MATCH($A105,CS!$B:$B,0)+COLUMN(D$1),1))</f>
        <v/>
      </c>
      <c r="BK105" s="37" t="str">
        <f t="array" ref="BK105">IF($A105="","", INDEX(CS!$B$1:$B$15025,MATCH($A105,CS!$B:$B,0)+COLUMN(E$1),1))</f>
        <v>軽回復</v>
      </c>
      <c r="BL105" s="37" t="str">
        <f t="array" ref="BL105">IF($A105="","", INDEX(CS!$B$1:$B$15025,MATCH($A105,CS!$B:$B,0)+COLUMN(F$1),1))</f>
        <v/>
      </c>
      <c r="BM105" s="37" t="str">
        <f t="array" ref="BM105">IF($A105="","", INDEX(CS!$B$1:$B$15025,MATCH($A105,CS!$B:$B,0)+COLUMN(G$1),1))</f>
        <v>一閃撃</v>
      </c>
      <c r="BN105" s="37" t="str">
        <f t="array" ref="BN105">IF($A105="","", INDEX(CS!$B$1:$B$15025,MATCH($A105,CS!$B:$B,0)+COLUMN(H$1),1))</f>
        <v/>
      </c>
      <c r="BO105" s="37" t="str">
        <f t="array" ref="BO105">IF($A105="","", INDEX(CS!$B$1:$B$15025,MATCH($A105,CS!$B:$B,0)+COLUMN(I$1),1))</f>
        <v>魔法の守り</v>
      </c>
      <c r="BP105" s="37" t="str">
        <f t="array" ref="BP105">IF($A105="","", INDEX(CS!$B$1:$B$15025,MATCH($A105,CS!$B:$B,0)+COLUMN(J$1),1))</f>
        <v>聖騎士の心得</v>
      </c>
      <c r="BS105" s="74"/>
      <c r="CG105" s="37" t="s">
        <v>2795</v>
      </c>
      <c r="CH105" s="37" t="s">
        <v>2796</v>
      </c>
      <c r="CI105" s="37" t="s">
        <v>2799</v>
      </c>
      <c r="CJ105" s="37" t="s">
        <v>2810</v>
      </c>
      <c r="CK105" s="37" t="s">
        <v>2793</v>
      </c>
      <c r="CN105" s="37" t="s">
        <v>2812</v>
      </c>
    </row>
    <row r="106" ht="18.75" customHeight="1" outlineLevel="2">
      <c r="A106" s="37" t="s">
        <v>1182</v>
      </c>
      <c r="B106" s="71" t="s">
        <v>2816</v>
      </c>
      <c r="C106" s="39" t="s">
        <v>2817</v>
      </c>
      <c r="D106" s="72" t="str">
        <f t="shared" si="1"/>
        <v>710/485/225</v>
      </c>
      <c r="E106" s="37">
        <v>1.0</v>
      </c>
      <c r="F106" s="37">
        <v>75.0</v>
      </c>
      <c r="I106" s="37">
        <v>65.0</v>
      </c>
      <c r="J106" s="37">
        <v>65.0</v>
      </c>
      <c r="K106" s="73">
        <v>85.0</v>
      </c>
      <c r="L106" s="37">
        <v>70.0</v>
      </c>
      <c r="M106" s="37">
        <v>50.0</v>
      </c>
      <c r="N106" s="37">
        <v>75.0</v>
      </c>
      <c r="P106" s="37">
        <v>0.0</v>
      </c>
      <c r="Q106" s="64"/>
      <c r="R106" s="64"/>
      <c r="S106" s="64"/>
      <c r="T106" s="64"/>
      <c r="U106" s="64"/>
      <c r="V106" s="64"/>
      <c r="W106" s="64"/>
      <c r="X106" s="64"/>
      <c r="Y106" s="64"/>
      <c r="Z106" s="64"/>
      <c r="AA106" s="64"/>
      <c r="AJ106" s="39">
        <v>0.0</v>
      </c>
      <c r="AK106" s="39">
        <v>0.0</v>
      </c>
      <c r="AL106" s="39">
        <v>75.0</v>
      </c>
      <c r="AM106" s="39">
        <v>25.0</v>
      </c>
      <c r="AN106" s="39">
        <v>25.0</v>
      </c>
      <c r="AO106" s="39">
        <v>0.0</v>
      </c>
      <c r="AP106" s="39">
        <v>0.0</v>
      </c>
      <c r="AQ106" s="39">
        <v>0.0</v>
      </c>
      <c r="AR106" s="39">
        <v>50.0</v>
      </c>
      <c r="AS106" s="39">
        <v>0.0</v>
      </c>
      <c r="AT106" s="39">
        <v>0.0</v>
      </c>
      <c r="AU106" s="39">
        <v>0.0</v>
      </c>
      <c r="AV106" s="39">
        <v>0.0</v>
      </c>
      <c r="AW106" s="39">
        <v>0.0</v>
      </c>
      <c r="AX106" s="39">
        <v>0.0</v>
      </c>
      <c r="AY106" s="39">
        <v>0.0</v>
      </c>
      <c r="AZ106" s="39">
        <v>50.0</v>
      </c>
      <c r="BG106" s="37" t="str">
        <f t="array" ref="BG106">IF($A106="","", INDEX(CS!$B$1:$B$15025,MATCH($A106,CS!$B:$B,0)+COLUMN(A$1),1))</f>
        <v>植物の絡み</v>
      </c>
      <c r="BH106" s="37" t="str">
        <f t="array" ref="BH106">IF($A106="","", INDEX(CS!$B$1:$B$15025,MATCH($A106,CS!$B:$B,0)+COLUMN(B$1),1))</f>
        <v>突風</v>
      </c>
      <c r="BI106" s="37" t="str">
        <f t="array" ref="BI106">IF($A106="","", INDEX(CS!$B$1:$B$15025,MATCH($A106,CS!$B:$B,0)+COLUMN(C$1),1))</f>
        <v>森の歩み</v>
      </c>
      <c r="BJ106" s="37" t="str">
        <f t="array" ref="BJ106">IF($A106="","", INDEX(CS!$B$1:$B$15025,MATCH($A106,CS!$B:$B,0)+COLUMN(D$1),1))</f>
        <v/>
      </c>
      <c r="BK106" s="37" t="str">
        <f t="array" ref="BK106">IF($A106="","", INDEX(CS!$B$1:$B$15025,MATCH($A106,CS!$B:$B,0)+COLUMN(E$1),1))</f>
        <v>水力</v>
      </c>
      <c r="BL106" s="37" t="str">
        <f t="array" ref="BL106">IF($A106="","", INDEX(CS!$B$1:$B$15025,MATCH($A106,CS!$B:$B,0)+COLUMN(F$1),1))</f>
        <v/>
      </c>
      <c r="BM106" s="37" t="str">
        <f t="array" ref="BM106">IF($A106="","", INDEX(CS!$B$1:$B$15025,MATCH($A106,CS!$B:$B,0)+COLUMN(G$1),1))</f>
        <v>魔法の石</v>
      </c>
      <c r="BN106" s="37" t="str">
        <f t="array" ref="BN106">IF($A106="","", INDEX(CS!$B$1:$B$15025,MATCH($A106,CS!$B:$B,0)+COLUMN(H$1),1))</f>
        <v/>
      </c>
      <c r="BO106" s="37" t="str">
        <f t="array" ref="BO106">IF($A106="","", INDEX(CS!$B$1:$B$15025,MATCH($A106,CS!$B:$B,0)+COLUMN(I$1),1))</f>
        <v>風足</v>
      </c>
      <c r="BP106" s="37" t="str">
        <f t="array" ref="BP106">IF($A106="","", INDEX(CS!$B$1:$B$15025,MATCH($A106,CS!$B:$B,0)+COLUMN(J$1),1))</f>
        <v/>
      </c>
      <c r="BS106" s="74"/>
      <c r="CG106" s="37" t="s">
        <v>2814</v>
      </c>
      <c r="CI106" s="37" t="s">
        <v>2799</v>
      </c>
      <c r="CJ106" s="37" t="s">
        <v>2810</v>
      </c>
      <c r="CK106" s="37" t="s">
        <v>2793</v>
      </c>
      <c r="CN106" s="37" t="s">
        <v>2812</v>
      </c>
    </row>
    <row r="107" ht="18.75" customHeight="1" outlineLevel="2">
      <c r="A107" s="39" t="s">
        <v>1189</v>
      </c>
      <c r="B107" s="71"/>
      <c r="C107" s="39" t="s">
        <v>2818</v>
      </c>
      <c r="D107" s="72" t="str">
        <f t="shared" si="1"/>
        <v>710/480/230</v>
      </c>
      <c r="E107" s="39">
        <v>1.0</v>
      </c>
      <c r="F107" s="39">
        <v>75.0</v>
      </c>
      <c r="I107" s="39">
        <v>75.0</v>
      </c>
      <c r="J107" s="39">
        <v>75.0</v>
      </c>
      <c r="K107" s="87">
        <v>50.0</v>
      </c>
      <c r="L107" s="39">
        <v>60.0</v>
      </c>
      <c r="M107" s="39">
        <v>65.0</v>
      </c>
      <c r="N107" s="39">
        <v>80.0</v>
      </c>
      <c r="P107" s="37">
        <v>0.0</v>
      </c>
      <c r="Q107" s="64"/>
      <c r="R107" s="64"/>
      <c r="S107" s="64"/>
      <c r="T107" s="64"/>
      <c r="U107" s="64"/>
      <c r="V107" s="64"/>
      <c r="W107" s="64"/>
      <c r="X107" s="64"/>
      <c r="Y107" s="64"/>
      <c r="Z107" s="64"/>
      <c r="AA107" s="64"/>
      <c r="AJ107" s="39">
        <v>25.0</v>
      </c>
      <c r="AK107" s="39">
        <v>0.0</v>
      </c>
      <c r="AL107" s="39">
        <v>25.0</v>
      </c>
      <c r="AM107" s="39">
        <v>25.0</v>
      </c>
      <c r="AN107" s="39">
        <v>25.0</v>
      </c>
      <c r="AO107" s="39">
        <v>0.0</v>
      </c>
      <c r="AP107" s="39">
        <v>0.0</v>
      </c>
      <c r="AQ107" s="39">
        <v>0.0</v>
      </c>
      <c r="AR107" s="39">
        <v>25.0</v>
      </c>
      <c r="AS107" s="39">
        <v>0.0</v>
      </c>
      <c r="AT107" s="39">
        <v>0.0</v>
      </c>
      <c r="AU107" s="39">
        <v>0.0</v>
      </c>
      <c r="AV107" s="39">
        <v>0.0</v>
      </c>
      <c r="AW107" s="39">
        <v>25.0</v>
      </c>
      <c r="AX107" s="39">
        <v>80.0</v>
      </c>
      <c r="AY107" s="39">
        <v>0.0</v>
      </c>
      <c r="AZ107" s="39">
        <v>0.0</v>
      </c>
      <c r="BA107" s="39"/>
      <c r="BB107" s="39"/>
      <c r="BC107" s="39"/>
      <c r="BD107" s="39"/>
      <c r="BE107" s="39"/>
      <c r="BF107" s="39"/>
      <c r="BG107" s="37" t="str">
        <f t="array" ref="BG107">IF($A107="","",IFERROR(INDEX(CS!$B$1:$B$15025,MATCH($A107,CS!$B:$B,0)+COLUMN(A$1),1),""))</f>
        <v>鼓舞の歌</v>
      </c>
      <c r="BH107" s="37" t="str">
        <f t="array" ref="BH107">IF($A107="","",IFERROR(INDEX(CS!$B$1:$B$15025,MATCH($A107,CS!$B:$B,0)+COLUMN(B$1),1),""))</f>
        <v>音波</v>
      </c>
      <c r="BI107" s="37" t="str">
        <f t="array" ref="BI107">IF($A107="","",IFERROR(INDEX(CS!$B$1:$B$15025,MATCH($A107,CS!$B:$B,0)+COLUMN(C$1),1),""))</f>
        <v>演奏技術</v>
      </c>
      <c r="BJ107" s="37" t="str">
        <f t="array" ref="BJ107">IF($A107="","",IFERROR(INDEX(CS!$B$1:$B$15025,MATCH($A107,CS!$B:$B,0)+COLUMN(D$1),1),""))</f>
        <v/>
      </c>
      <c r="BK107" s="37" t="str">
        <f t="array" ref="BK107">IF($A107="","",IFERROR(INDEX(CS!$B$1:$B$15025,MATCH($A107,CS!$B:$B,0)+COLUMN(E$1),1),""))</f>
        <v>音響障壁</v>
      </c>
      <c r="BL107" s="37" t="str">
        <f t="array" ref="BL107">IF($A107="","",IFERROR(INDEX(CS!$B$1:$B$15025,MATCH($A107,CS!$B:$B,0)+COLUMN(F$1),1),""))</f>
        <v/>
      </c>
      <c r="BM107" s="37" t="str">
        <f t="array" ref="BM107">IF($A107="","",IFERROR(INDEX(CS!$B$1:$B$15025,MATCH($A107,CS!$B:$B,0)+COLUMN(G$1),1),""))</f>
        <v>勇壮の歌</v>
      </c>
      <c r="BN107" s="37" t="str">
        <f t="array" ref="BN107">IF($A107="","",IFERROR(INDEX(CS!$B$1:$B$15025,MATCH($A107,CS!$B:$B,0)+COLUMN(H$1),1),""))</f>
        <v/>
      </c>
      <c r="BO107" s="37" t="str">
        <f t="array" ref="BO107">IF($A107="","",IFERROR(INDEX(CS!$B$1:$B$15025,MATCH($A107,CS!$B:$B,0)+COLUMN(I$1),1),""))</f>
        <v>大合奏</v>
      </c>
      <c r="BP107" s="37" t="str">
        <f t="array" ref="BP107">IF($A107="","",IFERROR(INDEX(CS!$B$1:$B$15025,MATCH($A107,CS!$B:$B,0)+COLUMN(J$1),1),""))</f>
        <v/>
      </c>
      <c r="BS107" s="74"/>
    </row>
    <row r="108" ht="18.75" customHeight="1" outlineLevel="1">
      <c r="B108" s="71"/>
      <c r="D108" s="72"/>
      <c r="K108" s="73"/>
      <c r="P108" s="37" t="s">
        <v>29</v>
      </c>
      <c r="Q108" s="64"/>
      <c r="R108" s="64"/>
      <c r="S108" s="64"/>
      <c r="T108" s="64"/>
      <c r="U108" s="64"/>
      <c r="V108" s="64"/>
      <c r="W108" s="64"/>
      <c r="X108" s="64"/>
      <c r="Y108" s="64"/>
      <c r="Z108" s="64"/>
      <c r="AA108" s="64"/>
      <c r="BG108" s="37" t="str">
        <f t="array" ref="BG108">IF($A108="","", INDEX(CS!$B$1:$B$15025,MATCH($A108,CS!$B:$B,0)+COLUMN(A$1),1))</f>
        <v/>
      </c>
      <c r="BH108" s="37" t="str">
        <f t="array" ref="BH108">IF($A108="","", INDEX(CS!$B$1:$B$15025,MATCH($A108,CS!$B:$B,0)+COLUMN(B$1),1))</f>
        <v/>
      </c>
      <c r="BI108" s="37" t="str">
        <f t="array" ref="BI108">IF($A108="","", INDEX(CS!$B$1:$B$15025,MATCH($A108,CS!$B:$B,0)+COLUMN(C$1),1))</f>
        <v/>
      </c>
      <c r="BJ108" s="37" t="str">
        <f t="array" ref="BJ108">IF($A108="","", INDEX(CS!$B$1:$B$15025,MATCH($A108,CS!$B:$B,0)+COLUMN(D$1),1))</f>
        <v/>
      </c>
      <c r="BK108" s="37" t="str">
        <f t="array" ref="BK108">IF($A108="","", INDEX(CS!$B$1:$B$15025,MATCH($A108,CS!$B:$B,0)+COLUMN(E$1),1))</f>
        <v/>
      </c>
      <c r="BL108" s="37" t="str">
        <f t="array" ref="BL108">IF($A108="","", INDEX(CS!$B$1:$B$15025,MATCH($A108,CS!$B:$B,0)+COLUMN(F$1),1))</f>
        <v/>
      </c>
      <c r="BM108" s="37" t="str">
        <f t="array" ref="BM108">IF($A108="","", INDEX(CS!$B$1:$B$15025,MATCH($A108,CS!$B:$B,0)+COLUMN(G$1),1))</f>
        <v/>
      </c>
      <c r="BN108" s="37" t="str">
        <f t="array" ref="BN108">IF($A108="","", INDEX(CS!$B$1:$B$15025,MATCH($A108,CS!$B:$B,0)+COLUMN(H$1),1))</f>
        <v/>
      </c>
      <c r="BO108" s="37" t="str">
        <f t="array" ref="BO108">IF($A108="","", INDEX(CS!$B$1:$B$15025,MATCH($A108,CS!$B:$B,0)+COLUMN(I$1),1))</f>
        <v/>
      </c>
      <c r="BP108" s="37" t="str">
        <f t="array" ref="BP108">IF($A108="","", INDEX(CS!$B$1:$B$15025,MATCH($A108,CS!$B:$B,0)+COLUMN(J$1),1))</f>
        <v/>
      </c>
      <c r="BS108" s="74"/>
      <c r="CI108" s="37" t="s">
        <v>2819</v>
      </c>
      <c r="CJ108" s="37" t="s">
        <v>2800</v>
      </c>
      <c r="CK108" s="37" t="s">
        <v>2793</v>
      </c>
    </row>
    <row r="109" ht="18.75" customHeight="1" outlineLevel="1">
      <c r="B109" s="85" t="s">
        <v>2820</v>
      </c>
      <c r="D109" s="72" t="str">
        <f t="shared" ref="D109:D116" si="2">SUM(AJ109:AZ109,F109:N109)&amp;"/"&amp;SUM(F109:N109)&amp;"/"&amp;SUM(AJ109:AZ109)</f>
        <v>0/0/0</v>
      </c>
      <c r="E109" s="37">
        <v>1.0</v>
      </c>
      <c r="K109" s="73"/>
      <c r="P109" s="37" t="s">
        <v>29</v>
      </c>
      <c r="Q109" s="64"/>
      <c r="R109" s="64"/>
      <c r="S109" s="64"/>
      <c r="T109" s="64"/>
      <c r="U109" s="64"/>
      <c r="V109" s="64"/>
      <c r="W109" s="64"/>
      <c r="X109" s="64"/>
      <c r="Y109" s="64"/>
      <c r="Z109" s="64"/>
      <c r="AA109" s="64"/>
      <c r="BG109" s="37" t="str">
        <f t="array" ref="BG109">IF($A109="","", INDEX(CS!$B$1:$B$15025,MATCH($A109,CS!$B:$B,0)+COLUMN(A$1),1))</f>
        <v/>
      </c>
      <c r="BH109" s="37" t="str">
        <f t="array" ref="BH109">IF($A109="","", INDEX(CS!$B$1:$B$15025,MATCH($A109,CS!$B:$B,0)+COLUMN(B$1),1))</f>
        <v/>
      </c>
      <c r="BI109" s="37" t="str">
        <f t="array" ref="BI109">IF($A109="","", INDEX(CS!$B$1:$B$15025,MATCH($A109,CS!$B:$B,0)+COLUMN(C$1),1))</f>
        <v/>
      </c>
      <c r="BJ109" s="37" t="str">
        <f t="array" ref="BJ109">IF($A109="","", INDEX(CS!$B$1:$B$15025,MATCH($A109,CS!$B:$B,0)+COLUMN(D$1),1))</f>
        <v/>
      </c>
      <c r="BK109" s="37" t="str">
        <f t="array" ref="BK109">IF($A109="","", INDEX(CS!$B$1:$B$15025,MATCH($A109,CS!$B:$B,0)+COLUMN(E$1),1))</f>
        <v/>
      </c>
      <c r="BL109" s="37" t="str">
        <f t="array" ref="BL109">IF($A109="","", INDEX(CS!$B$1:$B$15025,MATCH($A109,CS!$B:$B,0)+COLUMN(F$1),1))</f>
        <v/>
      </c>
      <c r="BM109" s="37" t="str">
        <f t="array" ref="BM109">IF($A109="","", INDEX(CS!$B$1:$B$15025,MATCH($A109,CS!$B:$B,0)+COLUMN(G$1),1))</f>
        <v/>
      </c>
      <c r="BN109" s="37" t="str">
        <f t="array" ref="BN109">IF($A109="","", INDEX(CS!$B$1:$B$15025,MATCH($A109,CS!$B:$B,0)+COLUMN(H$1),1))</f>
        <v/>
      </c>
      <c r="BO109" s="37" t="str">
        <f t="array" ref="BO109">IF($A109="","", INDEX(CS!$B$1:$B$15025,MATCH($A109,CS!$B:$B,0)+COLUMN(I$1),1))</f>
        <v/>
      </c>
      <c r="BP109" s="37" t="str">
        <f t="array" ref="BP109">IF($A109="","", INDEX(CS!$B$1:$B$15025,MATCH($A109,CS!$B:$B,0)+COLUMN(J$1),1))</f>
        <v/>
      </c>
      <c r="BS109" s="74"/>
    </row>
    <row r="110" ht="18.75" customHeight="1" outlineLevel="2">
      <c r="A110" s="39" t="s">
        <v>1990</v>
      </c>
      <c r="B110" s="71"/>
      <c r="C110" s="39" t="s">
        <v>2790</v>
      </c>
      <c r="D110" s="72" t="str">
        <f t="shared" si="2"/>
        <v>725/475/250</v>
      </c>
      <c r="E110" s="39">
        <v>2.0</v>
      </c>
      <c r="F110" s="39">
        <v>90.0</v>
      </c>
      <c r="I110" s="39">
        <v>95.0</v>
      </c>
      <c r="J110" s="39">
        <v>85.0</v>
      </c>
      <c r="K110" s="87">
        <v>25.0</v>
      </c>
      <c r="L110" s="39">
        <v>50.0</v>
      </c>
      <c r="M110" s="39">
        <v>55.0</v>
      </c>
      <c r="N110" s="39">
        <v>75.0</v>
      </c>
      <c r="P110" s="37">
        <v>0.0</v>
      </c>
      <c r="Q110" s="64"/>
      <c r="R110" s="64"/>
      <c r="S110" s="64"/>
      <c r="T110" s="64"/>
      <c r="U110" s="64"/>
      <c r="V110" s="64"/>
      <c r="W110" s="64"/>
      <c r="X110" s="64"/>
      <c r="Y110" s="64"/>
      <c r="Z110" s="64"/>
      <c r="AA110" s="64"/>
      <c r="AJ110" s="39">
        <v>75.0</v>
      </c>
      <c r="AK110" s="39">
        <v>50.0</v>
      </c>
      <c r="AL110" s="39">
        <v>25.0</v>
      </c>
      <c r="AM110" s="39">
        <v>25.0</v>
      </c>
      <c r="AN110" s="39">
        <v>25.0</v>
      </c>
      <c r="AO110" s="39">
        <v>0.0</v>
      </c>
      <c r="AP110" s="39">
        <v>0.0</v>
      </c>
      <c r="AQ110" s="39">
        <v>0.0</v>
      </c>
      <c r="AR110" s="39">
        <v>25.0</v>
      </c>
      <c r="AS110" s="39">
        <v>0.0</v>
      </c>
      <c r="AT110" s="39">
        <v>0.0</v>
      </c>
      <c r="AU110" s="39">
        <v>0.0</v>
      </c>
      <c r="AV110" s="39">
        <v>0.0</v>
      </c>
      <c r="AW110" s="39">
        <v>25.0</v>
      </c>
      <c r="AX110" s="39">
        <v>0.0</v>
      </c>
      <c r="AY110" s="39">
        <v>0.0</v>
      </c>
      <c r="AZ110" s="39">
        <v>0.0</v>
      </c>
      <c r="BG110" s="37" t="str">
        <f t="array" ref="BG110">IF($A110="","",IFERROR(INDEX(CS!$B$1:$B$15025,MATCH($A110,CS!$B:$B,0)+COLUMN(A$1),1),""))</f>
        <v>戦う者</v>
      </c>
      <c r="BH110" s="37" t="str">
        <f t="array" ref="BH110">IF($A110="","",IFERROR(INDEX(CS!$B$1:$B$15025,MATCH($A110,CS!$B:$B,0)+COLUMN(B$1),1),""))</f>
        <v/>
      </c>
      <c r="BI110" s="37" t="str">
        <f t="array" ref="BI110">IF($A110="","",IFERROR(INDEX(CS!$B$1:$B$15025,MATCH($A110,CS!$B:$B,0)+COLUMN(C$1),1),""))</f>
        <v>戦いの精神</v>
      </c>
      <c r="BJ110" s="37" t="str">
        <f t="array" ref="BJ110">IF($A110="","",IFERROR(INDEX(CS!$B$1:$B$15025,MATCH($A110,CS!$B:$B,0)+COLUMN(D$1),1),""))</f>
        <v/>
      </c>
      <c r="BK110" s="37" t="str">
        <f t="array" ref="BK110">IF($A110="","",IFERROR(INDEX(CS!$B$1:$B$15025,MATCH($A110,CS!$B:$B,0)+COLUMN(E$1),1),""))</f>
        <v>闘気纏い</v>
      </c>
      <c r="BL110" s="37" t="str">
        <f t="array" ref="BL110">IF($A110="","",IFERROR(INDEX(CS!$B$1:$B$15025,MATCH($A110,CS!$B:$B,0)+COLUMN(F$1),1),""))</f>
        <v/>
      </c>
      <c r="BM110" s="37" t="str">
        <f t="array" ref="BM110">IF($A110="","",IFERROR(INDEX(CS!$B$1:$B$15025,MATCH($A110,CS!$B:$B,0)+COLUMN(G$1),1),""))</f>
        <v>明確な心</v>
      </c>
      <c r="BN110" s="37" t="str">
        <f t="array" ref="BN110">IF($A110="","",IFERROR(INDEX(CS!$B$1:$B$15025,MATCH($A110,CS!$B:$B,0)+COLUMN(H$1),1),""))</f>
        <v/>
      </c>
      <c r="BO110" s="37" t="str">
        <f t="array" ref="BO110">IF($A110="","",IFERROR(INDEX(CS!$B$1:$B$15025,MATCH($A110,CS!$B:$B,0)+COLUMN(I$1),1),""))</f>
        <v>空撃</v>
      </c>
      <c r="BP110" s="37" t="str">
        <f t="array" ref="BP110">IF($A110="","",IFERROR(INDEX(CS!$B$1:$B$15025,MATCH($A110,CS!$B:$B,0)+COLUMN(J$1),1),""))</f>
        <v>闘戦士</v>
      </c>
      <c r="BR110" s="39" t="s">
        <v>2821</v>
      </c>
      <c r="BS110" s="74"/>
      <c r="CG110" s="37" t="s">
        <v>2791</v>
      </c>
      <c r="CJ110" s="37" t="s">
        <v>2792</v>
      </c>
      <c r="CK110" s="37" t="s">
        <v>2793</v>
      </c>
      <c r="CN110" s="37" t="s">
        <v>1102</v>
      </c>
    </row>
    <row r="111" ht="18.75" customHeight="1" outlineLevel="2">
      <c r="A111" s="39" t="s">
        <v>2005</v>
      </c>
      <c r="B111" s="71"/>
      <c r="C111" s="39" t="s">
        <v>2790</v>
      </c>
      <c r="D111" s="72" t="str">
        <f t="shared" si="2"/>
        <v>740/490/250</v>
      </c>
      <c r="E111" s="39">
        <v>3.0</v>
      </c>
      <c r="F111" s="39">
        <v>95.0</v>
      </c>
      <c r="I111" s="39">
        <v>100.0</v>
      </c>
      <c r="J111" s="39">
        <v>90.0</v>
      </c>
      <c r="K111" s="87">
        <v>25.0</v>
      </c>
      <c r="L111" s="39">
        <v>50.0</v>
      </c>
      <c r="M111" s="39">
        <v>55.0</v>
      </c>
      <c r="N111" s="39">
        <v>75.0</v>
      </c>
      <c r="P111" s="37">
        <v>0.0</v>
      </c>
      <c r="Q111" s="64"/>
      <c r="R111" s="64"/>
      <c r="S111" s="64"/>
      <c r="T111" s="64"/>
      <c r="U111" s="64"/>
      <c r="V111" s="64"/>
      <c r="W111" s="64"/>
      <c r="X111" s="64"/>
      <c r="Y111" s="64"/>
      <c r="Z111" s="64"/>
      <c r="AA111" s="64"/>
      <c r="AJ111" s="39">
        <v>75.0</v>
      </c>
      <c r="AK111" s="39">
        <v>50.0</v>
      </c>
      <c r="AL111" s="39">
        <v>25.0</v>
      </c>
      <c r="AM111" s="39">
        <v>25.0</v>
      </c>
      <c r="AN111" s="39">
        <v>25.0</v>
      </c>
      <c r="AO111" s="39">
        <v>0.0</v>
      </c>
      <c r="AP111" s="39">
        <v>0.0</v>
      </c>
      <c r="AQ111" s="39">
        <v>0.0</v>
      </c>
      <c r="AR111" s="39">
        <v>25.0</v>
      </c>
      <c r="AS111" s="39">
        <v>0.0</v>
      </c>
      <c r="AT111" s="39">
        <v>0.0</v>
      </c>
      <c r="AU111" s="39">
        <v>0.0</v>
      </c>
      <c r="AV111" s="39">
        <v>0.0</v>
      </c>
      <c r="AW111" s="39">
        <v>25.0</v>
      </c>
      <c r="AX111" s="39">
        <v>0.0</v>
      </c>
      <c r="AY111" s="39">
        <v>0.0</v>
      </c>
      <c r="AZ111" s="39">
        <v>0.0</v>
      </c>
      <c r="BG111" s="37" t="str">
        <f t="array" ref="BG111">IF($A111="","",IFERROR(INDEX(CS!$B$1:$B$15025,MATCH($A111,CS!$B:$B,0)+COLUMN(A$1),1),""))</f>
        <v>打ち倒す一撃</v>
      </c>
      <c r="BH111" s="37" t="str">
        <f t="array" ref="BH111">IF($A111="","",IFERROR(INDEX(CS!$B$1:$B$15025,MATCH($A111,CS!$B:$B,0)+COLUMN(B$1),1),""))</f>
        <v/>
      </c>
      <c r="BI111" s="37" t="str">
        <f t="array" ref="BI111">IF($A111="","",IFERROR(INDEX(CS!$B$1:$B$15025,MATCH($A111,CS!$B:$B,0)+COLUMN(C$1),1),""))</f>
        <v>攻撃の精神</v>
      </c>
      <c r="BJ111" s="37" t="str">
        <f t="array" ref="BJ111">IF($A111="","",IFERROR(INDEX(CS!$B$1:$B$15025,MATCH($A111,CS!$B:$B,0)+COLUMN(D$1),1),""))</f>
        <v/>
      </c>
      <c r="BK111" s="37" t="str">
        <f t="array" ref="BK111">IF($A111="","",IFERROR(INDEX(CS!$B$1:$B$15025,MATCH($A111,CS!$B:$B,0)+COLUMN(E$1),1),""))</f>
        <v>重動剛撃</v>
      </c>
      <c r="BL111" s="37" t="str">
        <f t="array" ref="BL111">IF($A111="","",IFERROR(INDEX(CS!$B$1:$B$15025,MATCH($A111,CS!$B:$B,0)+COLUMN(F$1),1),""))</f>
        <v/>
      </c>
      <c r="BM111" s="37" t="str">
        <f t="array" ref="BM111">IF($A111="","",IFERROR(INDEX(CS!$B$1:$B$15025,MATCH($A111,CS!$B:$B,0)+COLUMN(G$1),1),""))</f>
        <v>武器の圧力</v>
      </c>
      <c r="BN111" s="37" t="str">
        <f t="array" ref="BN111">IF($A111="","",IFERROR(INDEX(CS!$B$1:$B$15025,MATCH($A111,CS!$B:$B,0)+COLUMN(H$1),1),""))</f>
        <v/>
      </c>
      <c r="BO111" s="37" t="str">
        <f t="array" ref="BO111">IF($A111="","",IFERROR(INDEX(CS!$B$1:$B$15025,MATCH($A111,CS!$B:$B,0)+COLUMN(I$1),1),""))</f>
        <v>破壊力</v>
      </c>
      <c r="BP111" s="37" t="str">
        <f t="array" ref="BP111">IF($A111="","",IFERROR(INDEX(CS!$B$1:$B$15025,MATCH($A111,CS!$B:$B,0)+COLUMN(J$1),1),""))</f>
        <v>破壊者</v>
      </c>
      <c r="BR111" s="39" t="s">
        <v>2822</v>
      </c>
      <c r="BS111" s="74"/>
      <c r="CG111" s="37" t="s">
        <v>2791</v>
      </c>
      <c r="CJ111" s="37" t="s">
        <v>2792</v>
      </c>
      <c r="CK111" s="37" t="s">
        <v>2793</v>
      </c>
      <c r="CN111" s="37" t="s">
        <v>1102</v>
      </c>
    </row>
    <row r="112" ht="18.75" customHeight="1" outlineLevel="2">
      <c r="A112" s="39" t="s">
        <v>2021</v>
      </c>
      <c r="B112" s="71"/>
      <c r="C112" s="39" t="s">
        <v>2790</v>
      </c>
      <c r="D112" s="72" t="str">
        <f t="shared" si="2"/>
        <v>755/505/250</v>
      </c>
      <c r="E112" s="39">
        <v>4.0</v>
      </c>
      <c r="F112" s="39">
        <v>100.0</v>
      </c>
      <c r="I112" s="39">
        <v>105.0</v>
      </c>
      <c r="J112" s="39">
        <v>90.0</v>
      </c>
      <c r="K112" s="87">
        <v>25.0</v>
      </c>
      <c r="L112" s="39">
        <v>50.0</v>
      </c>
      <c r="M112" s="39">
        <v>60.0</v>
      </c>
      <c r="N112" s="39">
        <v>75.0</v>
      </c>
      <c r="P112" s="37">
        <v>0.0</v>
      </c>
      <c r="Q112" s="64"/>
      <c r="R112" s="64"/>
      <c r="S112" s="64"/>
      <c r="T112" s="64"/>
      <c r="U112" s="64"/>
      <c r="V112" s="64"/>
      <c r="W112" s="64"/>
      <c r="X112" s="64"/>
      <c r="Y112" s="64"/>
      <c r="Z112" s="64"/>
      <c r="AA112" s="64"/>
      <c r="AJ112" s="39">
        <v>75.0</v>
      </c>
      <c r="AK112" s="39">
        <v>50.0</v>
      </c>
      <c r="AL112" s="39">
        <v>25.0</v>
      </c>
      <c r="AM112" s="39">
        <v>25.0</v>
      </c>
      <c r="AN112" s="39">
        <v>25.0</v>
      </c>
      <c r="AO112" s="39">
        <v>0.0</v>
      </c>
      <c r="AP112" s="39">
        <v>0.0</v>
      </c>
      <c r="AQ112" s="39">
        <v>0.0</v>
      </c>
      <c r="AR112" s="39">
        <v>25.0</v>
      </c>
      <c r="AS112" s="39">
        <v>0.0</v>
      </c>
      <c r="AT112" s="39">
        <v>0.0</v>
      </c>
      <c r="AU112" s="39">
        <v>0.0</v>
      </c>
      <c r="AV112" s="39">
        <v>0.0</v>
      </c>
      <c r="AW112" s="39">
        <v>25.0</v>
      </c>
      <c r="AX112" s="39">
        <v>0.0</v>
      </c>
      <c r="AY112" s="39">
        <v>0.0</v>
      </c>
      <c r="AZ112" s="39">
        <v>0.0</v>
      </c>
      <c r="BG112" s="37" t="str">
        <f t="array" ref="BG112">IF($A112="","",IFERROR(INDEX(CS!$B$1:$B$15025,MATCH($A112,CS!$B:$B,0)+COLUMN(A$1),1),""))</f>
        <v>不動明王撃</v>
      </c>
      <c r="BH112" s="37" t="str">
        <f t="array" ref="BH112">IF($A112="","",IFERROR(INDEX(CS!$B$1:$B$15025,MATCH($A112,CS!$B:$B,0)+COLUMN(B$1),1),""))</f>
        <v/>
      </c>
      <c r="BI112" s="37" t="str">
        <f t="array" ref="BI112">IF($A112="","",IFERROR(INDEX(CS!$B$1:$B$15025,MATCH($A112,CS!$B:$B,0)+COLUMN(C$1),1),""))</f>
        <v>屈強な肉体</v>
      </c>
      <c r="BJ112" s="37" t="str">
        <f t="array" ref="BJ112">IF($A112="","",IFERROR(INDEX(CS!$B$1:$B$15025,MATCH($A112,CS!$B:$B,0)+COLUMN(D$1),1),""))</f>
        <v/>
      </c>
      <c r="BK112" s="37" t="str">
        <f t="array" ref="BK112">IF($A112="","",IFERROR(INDEX(CS!$B$1:$B$15025,MATCH($A112,CS!$B:$B,0)+COLUMN(E$1),1),""))</f>
        <v>降三世明王撃</v>
      </c>
      <c r="BL112" s="37" t="str">
        <f t="array" ref="BL112">IF($A112="","",IFERROR(INDEX(CS!$B$1:$B$15025,MATCH($A112,CS!$B:$B,0)+COLUMN(F$1),1),""))</f>
        <v/>
      </c>
      <c r="BM112" s="37" t="str">
        <f t="array" ref="BM112">IF($A112="","",IFERROR(INDEX(CS!$B$1:$B$15025,MATCH($A112,CS!$B:$B,0)+COLUMN(G$1),1),""))</f>
        <v>朱羅</v>
      </c>
      <c r="BN112" s="37" t="str">
        <f t="array" ref="BN112">IF($A112="","",IFERROR(INDEX(CS!$B$1:$B$15025,MATCH($A112,CS!$B:$B,0)+COLUMN(H$1),1),""))</f>
        <v/>
      </c>
      <c r="BO112" s="37" t="str">
        <f t="array" ref="BO112">IF($A112="","",IFERROR(INDEX(CS!$B$1:$B$15025,MATCH($A112,CS!$B:$B,0)+COLUMN(I$1),1),""))</f>
        <v>大威徳明王撃</v>
      </c>
      <c r="BP112" s="37" t="str">
        <f t="array" ref="BP112">IF($A112="","",IFERROR(INDEX(CS!$B$1:$B$15025,MATCH($A112,CS!$B:$B,0)+COLUMN(J$1),1),""))</f>
        <v>阿修羅</v>
      </c>
      <c r="BR112" s="39" t="s">
        <v>2823</v>
      </c>
      <c r="BS112" s="74"/>
      <c r="CG112" s="37" t="s">
        <v>2791</v>
      </c>
      <c r="CJ112" s="37" t="s">
        <v>2792</v>
      </c>
      <c r="CK112" s="37" t="s">
        <v>2793</v>
      </c>
      <c r="CN112" s="37" t="s">
        <v>1102</v>
      </c>
    </row>
    <row r="113" ht="18.75" customHeight="1" outlineLevel="2">
      <c r="A113" s="39" t="s">
        <v>2037</v>
      </c>
      <c r="B113" s="71"/>
      <c r="C113" s="39" t="s">
        <v>2790</v>
      </c>
      <c r="D113" s="72" t="str">
        <f t="shared" si="2"/>
        <v>725/475/250</v>
      </c>
      <c r="E113" s="39">
        <v>2.0</v>
      </c>
      <c r="F113" s="39">
        <v>90.0</v>
      </c>
      <c r="I113" s="39">
        <v>80.0</v>
      </c>
      <c r="J113" s="39">
        <v>95.0</v>
      </c>
      <c r="K113" s="87">
        <v>25.0</v>
      </c>
      <c r="L113" s="39">
        <v>60.0</v>
      </c>
      <c r="M113" s="39">
        <v>50.0</v>
      </c>
      <c r="N113" s="39">
        <v>75.0</v>
      </c>
      <c r="P113" s="37">
        <v>0.0</v>
      </c>
      <c r="Q113" s="64"/>
      <c r="R113" s="64"/>
      <c r="S113" s="64"/>
      <c r="T113" s="64"/>
      <c r="U113" s="64"/>
      <c r="V113" s="64"/>
      <c r="W113" s="64"/>
      <c r="X113" s="64"/>
      <c r="Y113" s="64"/>
      <c r="Z113" s="64"/>
      <c r="AA113" s="64"/>
      <c r="AJ113" s="39">
        <v>100.0</v>
      </c>
      <c r="AK113" s="39">
        <v>0.0</v>
      </c>
      <c r="AL113" s="39">
        <v>25.0</v>
      </c>
      <c r="AM113" s="39">
        <v>25.0</v>
      </c>
      <c r="AN113" s="39">
        <v>25.0</v>
      </c>
      <c r="AO113" s="39">
        <v>0.0</v>
      </c>
      <c r="AP113" s="39">
        <v>0.0</v>
      </c>
      <c r="AQ113" s="39">
        <v>0.0</v>
      </c>
      <c r="AR113" s="39">
        <v>25.0</v>
      </c>
      <c r="AS113" s="39">
        <v>0.0</v>
      </c>
      <c r="AT113" s="39">
        <v>0.0</v>
      </c>
      <c r="AU113" s="39">
        <v>0.0</v>
      </c>
      <c r="AV113" s="39">
        <v>0.0</v>
      </c>
      <c r="AW113" s="39">
        <v>50.0</v>
      </c>
      <c r="AX113" s="39">
        <v>0.0</v>
      </c>
      <c r="AY113" s="39">
        <v>0.0</v>
      </c>
      <c r="AZ113" s="39">
        <v>0.0</v>
      </c>
      <c r="BG113" s="37" t="str">
        <f t="array" ref="BG113">IF($A113="","",IFERROR(INDEX(CS!$B$1:$B$15025,MATCH($A113,CS!$B:$B,0)+COLUMN(A$1),1),""))</f>
        <v>守る者</v>
      </c>
      <c r="BH113" s="37" t="str">
        <f t="array" ref="BH113">IF($A113="","",IFERROR(INDEX(CS!$B$1:$B$15025,MATCH($A113,CS!$B:$B,0)+COLUMN(B$1),1),""))</f>
        <v/>
      </c>
      <c r="BI113" s="37" t="str">
        <f t="array" ref="BI113">IF($A113="","",IFERROR(INDEX(CS!$B$1:$B$15025,MATCH($A113,CS!$B:$B,0)+COLUMN(C$1),1),""))</f>
        <v>守護精神</v>
      </c>
      <c r="BJ113" s="37" t="str">
        <f t="array" ref="BJ113">IF($A113="","",IFERROR(INDEX(CS!$B$1:$B$15025,MATCH($A113,CS!$B:$B,0)+COLUMN(D$1),1),""))</f>
        <v/>
      </c>
      <c r="BK113" s="37" t="str">
        <f t="array" ref="BK113">IF($A113="","",IFERROR(INDEX(CS!$B$1:$B$15025,MATCH($A113,CS!$B:$B,0)+COLUMN(E$1),1),""))</f>
        <v>不落要塞</v>
      </c>
      <c r="BL113" s="37" t="str">
        <f t="array" ref="BL113">IF($A113="","",IFERROR(INDEX(CS!$B$1:$B$15025,MATCH($A113,CS!$B:$B,0)+COLUMN(F$1),1),""))</f>
        <v/>
      </c>
      <c r="BM113" s="37" t="str">
        <f t="array" ref="BM113">IF($A113="","",IFERROR(INDEX(CS!$B$1:$B$15025,MATCH($A113,CS!$B:$B,0)+COLUMN(G$1),1),""))</f>
        <v>明確な心</v>
      </c>
      <c r="BN113" s="37" t="str">
        <f t="array" ref="BN113">IF($A113="","",IFERROR(INDEX(CS!$B$1:$B$15025,MATCH($A113,CS!$B:$B,0)+COLUMN(H$1),1),""))</f>
        <v/>
      </c>
      <c r="BO113" s="37" t="str">
        <f t="array" ref="BO113">IF($A113="","",IFERROR(INDEX(CS!$B$1:$B$15025,MATCH($A113,CS!$B:$B,0)+COLUMN(I$1),1),""))</f>
        <v>真なる護り手</v>
      </c>
      <c r="BP113" s="37" t="str">
        <f t="array" ref="BP113">IF($A113="","",IFERROR(INDEX(CS!$B$1:$B$15025,MATCH($A113,CS!$B:$B,0)+COLUMN(J$1),1),""))</f>
        <v>守護者</v>
      </c>
      <c r="BR113" s="39" t="s">
        <v>2824</v>
      </c>
      <c r="BS113" s="74"/>
      <c r="CG113" s="37" t="s">
        <v>2795</v>
      </c>
      <c r="CH113" s="37" t="s">
        <v>2796</v>
      </c>
      <c r="CJ113" s="37" t="s">
        <v>2792</v>
      </c>
      <c r="CK113" s="37" t="s">
        <v>2793</v>
      </c>
      <c r="CN113" s="37" t="s">
        <v>1102</v>
      </c>
    </row>
    <row r="114" ht="18.75" customHeight="1" outlineLevel="1">
      <c r="A114" s="39" t="s">
        <v>2051</v>
      </c>
      <c r="B114" s="71"/>
      <c r="C114" s="39" t="s">
        <v>2790</v>
      </c>
      <c r="D114" s="72" t="str">
        <f t="shared" si="2"/>
        <v>740/490/250</v>
      </c>
      <c r="E114" s="39">
        <v>3.0</v>
      </c>
      <c r="F114" s="39">
        <v>95.0</v>
      </c>
      <c r="I114" s="39">
        <v>80.0</v>
      </c>
      <c r="J114" s="39">
        <v>100.0</v>
      </c>
      <c r="K114" s="87">
        <v>25.0</v>
      </c>
      <c r="L114" s="39">
        <v>65.0</v>
      </c>
      <c r="M114" s="39">
        <v>50.0</v>
      </c>
      <c r="N114" s="39">
        <v>75.0</v>
      </c>
      <c r="P114" s="37">
        <v>0.0</v>
      </c>
      <c r="Q114" s="64"/>
      <c r="R114" s="64"/>
      <c r="S114" s="64"/>
      <c r="T114" s="64"/>
      <c r="U114" s="64"/>
      <c r="V114" s="64"/>
      <c r="W114" s="64"/>
      <c r="X114" s="64"/>
      <c r="Y114" s="64"/>
      <c r="Z114" s="64"/>
      <c r="AA114" s="64"/>
      <c r="AJ114" s="39">
        <v>100.0</v>
      </c>
      <c r="AK114" s="39">
        <v>0.0</v>
      </c>
      <c r="AL114" s="39">
        <v>25.0</v>
      </c>
      <c r="AM114" s="39">
        <v>25.0</v>
      </c>
      <c r="AN114" s="39">
        <v>25.0</v>
      </c>
      <c r="AO114" s="39">
        <v>0.0</v>
      </c>
      <c r="AP114" s="39">
        <v>0.0</v>
      </c>
      <c r="AQ114" s="39">
        <v>0.0</v>
      </c>
      <c r="AR114" s="39">
        <v>25.0</v>
      </c>
      <c r="AS114" s="39">
        <v>0.0</v>
      </c>
      <c r="AT114" s="39">
        <v>0.0</v>
      </c>
      <c r="AU114" s="39">
        <v>0.0</v>
      </c>
      <c r="AV114" s="39">
        <v>0.0</v>
      </c>
      <c r="AW114" s="39">
        <v>50.0</v>
      </c>
      <c r="AX114" s="39">
        <v>0.0</v>
      </c>
      <c r="AY114" s="39">
        <v>0.0</v>
      </c>
      <c r="AZ114" s="39">
        <v>0.0</v>
      </c>
      <c r="BG114" s="37" t="str">
        <f t="array" ref="BG114">IF($A114="","",IFERROR(INDEX(CS!$B$1:$B$15025,MATCH($A114,CS!$B:$B,0)+COLUMN(A$1),1),""))</f>
        <v>不動反射</v>
      </c>
      <c r="BH114" s="37" t="str">
        <f t="array" ref="BH114">IF($A114="","",IFERROR(INDEX(CS!$B$1:$B$15025,MATCH($A114,CS!$B:$B,0)+COLUMN(B$1),1),""))</f>
        <v/>
      </c>
      <c r="BI114" s="37" t="str">
        <f t="array" ref="BI114">IF($A114="","",IFERROR(INDEX(CS!$B$1:$B$15025,MATCH($A114,CS!$B:$B,0)+COLUMN(C$1),1),""))</f>
        <v>護りの精神</v>
      </c>
      <c r="BJ114" s="37" t="str">
        <f t="array" ref="BJ114">IF($A114="","",IFERROR(INDEX(CS!$B$1:$B$15025,MATCH($A114,CS!$B:$B,0)+COLUMN(D$1),1),""))</f>
        <v/>
      </c>
      <c r="BK114" s="37" t="str">
        <f t="array" ref="BK114">IF($A114="","",IFERROR(INDEX(CS!$B$1:$B$15025,MATCH($A114,CS!$B:$B,0)+COLUMN(E$1),1),""))</f>
        <v>急所遮断</v>
      </c>
      <c r="BL114" s="37" t="str">
        <f t="array" ref="BL114">IF($A114="","",IFERROR(INDEX(CS!$B$1:$B$15025,MATCH($A114,CS!$B:$B,0)+COLUMN(F$1),1),""))</f>
        <v/>
      </c>
      <c r="BM114" s="37" t="str">
        <f t="array" ref="BM114">IF($A114="","",IFERROR(INDEX(CS!$B$1:$B$15025,MATCH($A114,CS!$B:$B,0)+COLUMN(G$1),1),""))</f>
        <v>有り余る体力</v>
      </c>
      <c r="BN114" s="37" t="str">
        <f t="array" ref="BN114">IF($A114="","",IFERROR(INDEX(CS!$B$1:$B$15025,MATCH($A114,CS!$B:$B,0)+COLUMN(H$1),1),""))</f>
        <v/>
      </c>
      <c r="BO114" s="37" t="str">
        <f t="array" ref="BO114">IF($A114="","",IFERROR(INDEX(CS!$B$1:$B$15025,MATCH($A114,CS!$B:$B,0)+COLUMN(I$1),1),""))</f>
        <v>守りの去なし</v>
      </c>
      <c r="BP114" s="37" t="str">
        <f t="array" ref="BP114">IF($A114="","",IFERROR(INDEX(CS!$B$1:$B$15025,MATCH($A114,CS!$B:$B,0)+COLUMN(J$1),1),""))</f>
        <v>シャットアウター</v>
      </c>
      <c r="BR114" s="39" t="s">
        <v>2825</v>
      </c>
      <c r="BS114" s="74"/>
      <c r="CG114" s="37" t="s">
        <v>2795</v>
      </c>
      <c r="CH114" s="37" t="s">
        <v>2796</v>
      </c>
      <c r="CJ114" s="37" t="s">
        <v>2792</v>
      </c>
      <c r="CK114" s="37" t="s">
        <v>2793</v>
      </c>
      <c r="CN114" s="37" t="s">
        <v>1102</v>
      </c>
    </row>
    <row r="115" ht="18.75" customHeight="1" outlineLevel="1">
      <c r="A115" s="39" t="s">
        <v>2067</v>
      </c>
      <c r="B115" s="71"/>
      <c r="C115" s="39" t="s">
        <v>2790</v>
      </c>
      <c r="D115" s="72" t="str">
        <f t="shared" si="2"/>
        <v>725/475/250</v>
      </c>
      <c r="E115" s="39">
        <v>2.0</v>
      </c>
      <c r="F115" s="39">
        <v>85.0</v>
      </c>
      <c r="I115" s="39">
        <v>85.0</v>
      </c>
      <c r="J115" s="39">
        <v>55.0</v>
      </c>
      <c r="K115" s="87">
        <v>25.0</v>
      </c>
      <c r="L115" s="39">
        <v>50.0</v>
      </c>
      <c r="M115" s="39">
        <v>95.0</v>
      </c>
      <c r="N115" s="39">
        <v>80.0</v>
      </c>
      <c r="P115" s="37">
        <v>0.0</v>
      </c>
      <c r="Q115" s="64"/>
      <c r="R115" s="64"/>
      <c r="S115" s="64"/>
      <c r="T115" s="64"/>
      <c r="U115" s="64"/>
      <c r="V115" s="64"/>
      <c r="W115" s="64"/>
      <c r="X115" s="64"/>
      <c r="Y115" s="64"/>
      <c r="Z115" s="64"/>
      <c r="AA115" s="64"/>
      <c r="AJ115" s="39">
        <v>50.0</v>
      </c>
      <c r="AK115" s="39">
        <v>50.0</v>
      </c>
      <c r="AL115" s="39">
        <v>25.0</v>
      </c>
      <c r="AM115" s="39">
        <v>50.0</v>
      </c>
      <c r="AN115" s="39">
        <v>25.0</v>
      </c>
      <c r="AO115" s="39">
        <v>0.0</v>
      </c>
      <c r="AP115" s="39">
        <v>0.0</v>
      </c>
      <c r="AQ115" s="39">
        <v>0.0</v>
      </c>
      <c r="AR115" s="39">
        <v>25.0</v>
      </c>
      <c r="AS115" s="39">
        <v>0.0</v>
      </c>
      <c r="AT115" s="39">
        <v>0.0</v>
      </c>
      <c r="AU115" s="39">
        <v>0.0</v>
      </c>
      <c r="AV115" s="39">
        <v>0.0</v>
      </c>
      <c r="AW115" s="39">
        <v>25.0</v>
      </c>
      <c r="AX115" s="39">
        <v>0.0</v>
      </c>
      <c r="AY115" s="39">
        <v>0.0</v>
      </c>
      <c r="AZ115" s="39">
        <v>0.0</v>
      </c>
      <c r="BG115" s="37" t="str">
        <f t="array" ref="BG115">IF($A115="","",IFERROR(INDEX(CS!$B$1:$B$15025,MATCH($A115,CS!$B:$B,0)+COLUMN(A$1),1),""))</f>
        <v>加速</v>
      </c>
      <c r="BH115" s="37" t="str">
        <f t="array" ref="BH115">IF($A115="","",IFERROR(INDEX(CS!$B$1:$B$15025,MATCH($A115,CS!$B:$B,0)+COLUMN(B$1),1),""))</f>
        <v/>
      </c>
      <c r="BI115" s="37" t="str">
        <f t="array" ref="BI115">IF($A115="","",IFERROR(INDEX(CS!$B$1:$B$15025,MATCH($A115,CS!$B:$B,0)+COLUMN(C$1),1),""))</f>
        <v>回避の精神</v>
      </c>
      <c r="BJ115" s="37" t="str">
        <f t="array" ref="BJ115">IF($A115="","",IFERROR(INDEX(CS!$B$1:$B$15025,MATCH($A115,CS!$B:$B,0)+COLUMN(D$1),1),""))</f>
        <v/>
      </c>
      <c r="BK115" s="37" t="str">
        <f t="array" ref="BK115">IF($A115="","",IFERROR(INDEX(CS!$B$1:$B$15025,MATCH($A115,CS!$B:$B,0)+COLUMN(E$1),1),""))</f>
        <v>疾風回避</v>
      </c>
      <c r="BL115" s="37" t="str">
        <f t="array" ref="BL115">IF($A115="","",IFERROR(INDEX(CS!$B$1:$B$15025,MATCH($A115,CS!$B:$B,0)+COLUMN(F$1),1),""))</f>
        <v/>
      </c>
      <c r="BM115" s="37" t="str">
        <f t="array" ref="BM115">IF($A115="","",IFERROR(INDEX(CS!$B$1:$B$15025,MATCH($A115,CS!$B:$B,0)+COLUMN(G$1),1),""))</f>
        <v>戦闘軽戦士</v>
      </c>
      <c r="BN115" s="37" t="str">
        <f t="array" ref="BN115">IF($A115="","",IFERROR(INDEX(CS!$B$1:$B$15025,MATCH($A115,CS!$B:$B,0)+COLUMN(H$1),1),""))</f>
        <v/>
      </c>
      <c r="BO115" s="37" t="str">
        <f t="array" ref="BO115">IF($A115="","",IFERROR(INDEX(CS!$B$1:$B$15025,MATCH($A115,CS!$B:$B,0)+COLUMN(I$1),1),""))</f>
        <v>機動乱撃</v>
      </c>
      <c r="BP115" s="37" t="str">
        <f t="array" ref="BP115">IF($A115="","",IFERROR(INDEX(CS!$B$1:$B$15025,MATCH($A115,CS!$B:$B,0)+COLUMN(J$1),1),""))</f>
        <v>超機動</v>
      </c>
      <c r="BR115" s="39" t="s">
        <v>2826</v>
      </c>
      <c r="BS115" s="74"/>
      <c r="CG115" s="37" t="s">
        <v>2798</v>
      </c>
      <c r="CI115" s="37" t="s">
        <v>2799</v>
      </c>
      <c r="CJ115" s="37" t="s">
        <v>2800</v>
      </c>
      <c r="CK115" s="37" t="s">
        <v>2793</v>
      </c>
      <c r="CN115" s="37" t="s">
        <v>1102</v>
      </c>
    </row>
    <row r="116" ht="18.75" customHeight="1" outlineLevel="2">
      <c r="A116" s="39" t="s">
        <v>2079</v>
      </c>
      <c r="B116" s="71"/>
      <c r="C116" s="39" t="s">
        <v>2790</v>
      </c>
      <c r="D116" s="72" t="str">
        <f t="shared" si="2"/>
        <v>740/490/250</v>
      </c>
      <c r="E116" s="39">
        <v>3.0</v>
      </c>
      <c r="F116" s="39">
        <v>85.0</v>
      </c>
      <c r="I116" s="39">
        <v>90.0</v>
      </c>
      <c r="J116" s="39">
        <v>55.0</v>
      </c>
      <c r="K116" s="87">
        <v>25.0</v>
      </c>
      <c r="L116" s="39">
        <v>50.0</v>
      </c>
      <c r="M116" s="39">
        <v>100.0</v>
      </c>
      <c r="N116" s="39">
        <v>85.0</v>
      </c>
      <c r="P116" s="37">
        <v>0.0</v>
      </c>
      <c r="Q116" s="64"/>
      <c r="R116" s="64"/>
      <c r="S116" s="64"/>
      <c r="T116" s="64"/>
      <c r="U116" s="64"/>
      <c r="V116" s="64"/>
      <c r="W116" s="64"/>
      <c r="X116" s="64"/>
      <c r="Y116" s="64"/>
      <c r="Z116" s="64"/>
      <c r="AA116" s="64"/>
      <c r="AJ116" s="39">
        <v>50.0</v>
      </c>
      <c r="AK116" s="39">
        <v>50.0</v>
      </c>
      <c r="AL116" s="39">
        <v>25.0</v>
      </c>
      <c r="AM116" s="39">
        <v>50.0</v>
      </c>
      <c r="AN116" s="39">
        <v>25.0</v>
      </c>
      <c r="AO116" s="39">
        <v>0.0</v>
      </c>
      <c r="AP116" s="39">
        <v>0.0</v>
      </c>
      <c r="AQ116" s="39">
        <v>0.0</v>
      </c>
      <c r="AR116" s="39">
        <v>25.0</v>
      </c>
      <c r="AS116" s="39">
        <v>0.0</v>
      </c>
      <c r="AT116" s="39">
        <v>0.0</v>
      </c>
      <c r="AU116" s="39">
        <v>0.0</v>
      </c>
      <c r="AV116" s="39">
        <v>0.0</v>
      </c>
      <c r="AW116" s="39">
        <v>25.0</v>
      </c>
      <c r="AX116" s="39">
        <v>0.0</v>
      </c>
      <c r="AY116" s="39">
        <v>0.0</v>
      </c>
      <c r="AZ116" s="39">
        <v>0.0</v>
      </c>
      <c r="BG116" s="37" t="str">
        <f t="array" ref="BG116">IF($A116="","",IFERROR(INDEX(CS!$B$1:$B$15025,MATCH($A116,CS!$B:$B,0)+COLUMN(A$1),1),""))</f>
        <v>加速撃</v>
      </c>
      <c r="BH116" s="37" t="str">
        <f t="array" ref="BH116">IF($A116="","",IFERROR(INDEX(CS!$B$1:$B$15025,MATCH($A116,CS!$B:$B,0)+COLUMN(B$1),1),""))</f>
        <v/>
      </c>
      <c r="BI116" s="37" t="str">
        <f t="array" ref="BI116">IF($A116="","",IFERROR(INDEX(CS!$B$1:$B$15025,MATCH($A116,CS!$B:$B,0)+COLUMN(C$1),1),""))</f>
        <v>武器の回避</v>
      </c>
      <c r="BJ116" s="37" t="str">
        <f t="array" ref="BJ116">IF($A116="","",IFERROR(INDEX(CS!$B$1:$B$15025,MATCH($A116,CS!$B:$B,0)+COLUMN(D$1),1),""))</f>
        <v/>
      </c>
      <c r="BK116" s="37" t="str">
        <f t="array" ref="BK116">IF($A116="","",IFERROR(INDEX(CS!$B$1:$B$15025,MATCH($A116,CS!$B:$B,0)+COLUMN(E$1),1),""))</f>
        <v>超加速</v>
      </c>
      <c r="BL116" s="37" t="str">
        <f t="array" ref="BL116">IF($A116="","",IFERROR(INDEX(CS!$B$1:$B$15025,MATCH($A116,CS!$B:$B,0)+COLUMN(F$1),1),""))</f>
        <v/>
      </c>
      <c r="BM116" s="37" t="str">
        <f t="array" ref="BM116">IF($A116="","",IFERROR(INDEX(CS!$B$1:$B$15025,MATCH($A116,CS!$B:$B,0)+COLUMN(G$1),1),""))</f>
        <v>有り余る体力</v>
      </c>
      <c r="BN116" s="37" t="str">
        <f t="array" ref="BN116">IF($A116="","",IFERROR(INDEX(CS!$B$1:$B$15025,MATCH($A116,CS!$B:$B,0)+COLUMN(H$1),1),""))</f>
        <v/>
      </c>
      <c r="BO116" s="37" t="str">
        <f t="array" ref="BO116">IF($A116="","",IFERROR(INDEX(CS!$B$1:$B$15025,MATCH($A116,CS!$B:$B,0)+COLUMN(I$1),1),""))</f>
        <v>残像乱撃</v>
      </c>
      <c r="BP116" s="37" t="str">
        <f t="array" ref="BP116">IF($A116="","",IFERROR(INDEX(CS!$B$1:$B$15025,MATCH($A116,CS!$B:$B,0)+COLUMN(J$1),1),""))</f>
        <v>ラピッドストライカー</v>
      </c>
      <c r="BR116" s="39" t="s">
        <v>2827</v>
      </c>
      <c r="BS116" s="74"/>
      <c r="CG116" s="37" t="s">
        <v>2798</v>
      </c>
      <c r="CI116" s="37" t="s">
        <v>2799</v>
      </c>
      <c r="CJ116" s="37" t="s">
        <v>2800</v>
      </c>
      <c r="CK116" s="37" t="s">
        <v>2793</v>
      </c>
      <c r="CN116" s="37" t="s">
        <v>1102</v>
      </c>
    </row>
    <row r="117" ht="18.75" customHeight="1" outlineLevel="1">
      <c r="B117" s="71"/>
      <c r="C117" s="39" t="s">
        <v>2790</v>
      </c>
      <c r="D117" s="72"/>
      <c r="K117" s="73"/>
      <c r="P117" s="37" t="s">
        <v>29</v>
      </c>
      <c r="Q117" s="64"/>
      <c r="R117" s="64"/>
      <c r="S117" s="64"/>
      <c r="T117" s="64"/>
      <c r="U117" s="64"/>
      <c r="V117" s="64"/>
      <c r="W117" s="64"/>
      <c r="X117" s="64"/>
      <c r="Y117" s="64"/>
      <c r="Z117" s="64"/>
      <c r="AA117" s="64"/>
      <c r="BG117" s="37" t="str">
        <f t="array" ref="BG117">IF($A117="","", INDEX(CS!$B$1:$B$15025,MATCH($A117,CS!$B:$B,0)+COLUMN(A$1),1))</f>
        <v/>
      </c>
      <c r="BH117" s="37" t="str">
        <f t="array" ref="BH117">IF($A117="","", INDEX(CS!$B$1:$B$15025,MATCH($A117,CS!$B:$B,0)+COLUMN(B$1),1))</f>
        <v/>
      </c>
      <c r="BI117" s="37" t="str">
        <f t="array" ref="BI117">IF($A117="","", INDEX(CS!$B$1:$B$15025,MATCH($A117,CS!$B:$B,0)+COLUMN(C$1),1))</f>
        <v/>
      </c>
      <c r="BJ117" s="37" t="str">
        <f t="array" ref="BJ117">IF($A117="","", INDEX(CS!$B$1:$B$15025,MATCH($A117,CS!$B:$B,0)+COLUMN(D$1),1))</f>
        <v/>
      </c>
      <c r="BK117" s="37" t="str">
        <f t="array" ref="BK117">IF($A117="","", INDEX(CS!$B$1:$B$15025,MATCH($A117,CS!$B:$B,0)+COLUMN(E$1),1))</f>
        <v/>
      </c>
      <c r="BL117" s="37" t="str">
        <f t="array" ref="BL117">IF($A117="","", INDEX(CS!$B$1:$B$15025,MATCH($A117,CS!$B:$B,0)+COLUMN(F$1),1))</f>
        <v/>
      </c>
      <c r="BM117" s="37" t="str">
        <f t="array" ref="BM117">IF($A117="","", INDEX(CS!$B$1:$B$15025,MATCH($A117,CS!$B:$B,0)+COLUMN(G$1),1))</f>
        <v/>
      </c>
      <c r="BN117" s="37" t="str">
        <f t="array" ref="BN117">IF($A117="","", INDEX(CS!$B$1:$B$15025,MATCH($A117,CS!$B:$B,0)+COLUMN(H$1),1))</f>
        <v/>
      </c>
      <c r="BO117" s="37" t="str">
        <f t="array" ref="BO117">IF($A117="","", INDEX(CS!$B$1:$B$15025,MATCH($A117,CS!$B:$B,0)+COLUMN(I$1),1))</f>
        <v/>
      </c>
      <c r="BP117" s="37" t="str">
        <f t="array" ref="BP117">IF($A117="","", INDEX(CS!$B$1:$B$15025,MATCH($A117,CS!$B:$B,0)+COLUMN(J$1),1))</f>
        <v/>
      </c>
      <c r="BS117" s="74"/>
      <c r="CI117" s="37" t="s">
        <v>2819</v>
      </c>
      <c r="CJ117" s="37" t="s">
        <v>2800</v>
      </c>
      <c r="CK117" s="37" t="s">
        <v>2793</v>
      </c>
    </row>
    <row r="118" ht="18.75" customHeight="1" outlineLevel="1">
      <c r="B118" s="85" t="s">
        <v>2828</v>
      </c>
      <c r="C118" s="39" t="s">
        <v>2790</v>
      </c>
      <c r="D118" s="72" t="str">
        <f t="shared" ref="D118:D126" si="3">SUM(AJ118:AZ118,F118:N118)&amp;"/"&amp;SUM(F118:N118)&amp;"/"&amp;SUM(AJ118:AZ118)</f>
        <v>0/0/0</v>
      </c>
      <c r="E118" s="37">
        <v>1.0</v>
      </c>
      <c r="K118" s="73"/>
      <c r="P118" s="37" t="s">
        <v>29</v>
      </c>
      <c r="Q118" s="64"/>
      <c r="R118" s="64"/>
      <c r="S118" s="64"/>
      <c r="T118" s="64"/>
      <c r="U118" s="64"/>
      <c r="V118" s="64"/>
      <c r="W118" s="64"/>
      <c r="X118" s="64"/>
      <c r="Y118" s="64"/>
      <c r="Z118" s="64"/>
      <c r="AA118" s="64"/>
      <c r="BG118" s="37" t="str">
        <f t="array" ref="BG118">IF($A118="","", INDEX(CS!$B$1:$B$15025,MATCH($A118,CS!$B:$B,0)+COLUMN(A$1),1))</f>
        <v/>
      </c>
      <c r="BH118" s="37" t="str">
        <f t="array" ref="BH118">IF($A118="","", INDEX(CS!$B$1:$B$15025,MATCH($A118,CS!$B:$B,0)+COLUMN(B$1),1))</f>
        <v/>
      </c>
      <c r="BI118" s="37" t="str">
        <f t="array" ref="BI118">IF($A118="","", INDEX(CS!$B$1:$B$15025,MATCH($A118,CS!$B:$B,0)+COLUMN(C$1),1))</f>
        <v/>
      </c>
      <c r="BJ118" s="37" t="str">
        <f t="array" ref="BJ118">IF($A118="","", INDEX(CS!$B$1:$B$15025,MATCH($A118,CS!$B:$B,0)+COLUMN(D$1),1))</f>
        <v/>
      </c>
      <c r="BK118" s="37" t="str">
        <f t="array" ref="BK118">IF($A118="","", INDEX(CS!$B$1:$B$15025,MATCH($A118,CS!$B:$B,0)+COLUMN(E$1),1))</f>
        <v/>
      </c>
      <c r="BL118" s="37" t="str">
        <f t="array" ref="BL118">IF($A118="","", INDEX(CS!$B$1:$B$15025,MATCH($A118,CS!$B:$B,0)+COLUMN(F$1),1))</f>
        <v/>
      </c>
      <c r="BM118" s="37" t="str">
        <f t="array" ref="BM118">IF($A118="","", INDEX(CS!$B$1:$B$15025,MATCH($A118,CS!$B:$B,0)+COLUMN(G$1),1))</f>
        <v/>
      </c>
      <c r="BN118" s="37" t="str">
        <f t="array" ref="BN118">IF($A118="","", INDEX(CS!$B$1:$B$15025,MATCH($A118,CS!$B:$B,0)+COLUMN(H$1),1))</f>
        <v/>
      </c>
      <c r="BO118" s="37" t="str">
        <f t="array" ref="BO118">IF($A118="","", INDEX(CS!$B$1:$B$15025,MATCH($A118,CS!$B:$B,0)+COLUMN(I$1),1))</f>
        <v/>
      </c>
      <c r="BP118" s="37" t="str">
        <f t="array" ref="BP118">IF($A118="","", INDEX(CS!$B$1:$B$15025,MATCH($A118,CS!$B:$B,0)+COLUMN(J$1),1))</f>
        <v/>
      </c>
      <c r="BS118" s="74"/>
    </row>
    <row r="119" ht="18.75" customHeight="1" outlineLevel="2">
      <c r="A119" s="39" t="s">
        <v>2092</v>
      </c>
      <c r="B119" s="89" t="s">
        <v>2093</v>
      </c>
      <c r="C119" s="39" t="s">
        <v>2790</v>
      </c>
      <c r="D119" s="72" t="str">
        <f t="shared" si="3"/>
        <v>735/475/260</v>
      </c>
      <c r="E119" s="39">
        <v>2.0</v>
      </c>
      <c r="F119" s="39">
        <v>85.0</v>
      </c>
      <c r="I119" s="39">
        <v>95.0</v>
      </c>
      <c r="J119" s="39">
        <v>85.0</v>
      </c>
      <c r="K119" s="87">
        <v>25.0</v>
      </c>
      <c r="L119" s="39">
        <v>50.0</v>
      </c>
      <c r="M119" s="39">
        <v>55.0</v>
      </c>
      <c r="N119" s="39">
        <v>80.0</v>
      </c>
      <c r="P119" s="37">
        <v>0.0</v>
      </c>
      <c r="Q119" s="64"/>
      <c r="R119" s="64"/>
      <c r="S119" s="64"/>
      <c r="T119" s="64"/>
      <c r="U119" s="64"/>
      <c r="V119" s="64"/>
      <c r="W119" s="64"/>
      <c r="X119" s="64"/>
      <c r="Y119" s="64"/>
      <c r="Z119" s="64"/>
      <c r="AA119" s="64"/>
      <c r="AJ119" s="37">
        <v>75.0</v>
      </c>
      <c r="AK119" s="37">
        <v>50.0</v>
      </c>
      <c r="AL119" s="37">
        <v>25.0</v>
      </c>
      <c r="AM119" s="37">
        <v>30.0</v>
      </c>
      <c r="AN119" s="37">
        <v>30.0</v>
      </c>
      <c r="AO119" s="37">
        <v>0.0</v>
      </c>
      <c r="AP119" s="37">
        <v>0.0</v>
      </c>
      <c r="AQ119" s="37">
        <v>0.0</v>
      </c>
      <c r="AR119" s="37">
        <v>25.0</v>
      </c>
      <c r="AS119" s="37">
        <v>0.0</v>
      </c>
      <c r="AT119" s="37">
        <v>0.0</v>
      </c>
      <c r="AU119" s="37">
        <v>0.0</v>
      </c>
      <c r="AV119" s="37">
        <v>0.0</v>
      </c>
      <c r="AW119" s="37">
        <v>25.0</v>
      </c>
      <c r="AX119" s="37">
        <v>0.0</v>
      </c>
      <c r="AY119" s="37">
        <v>0.0</v>
      </c>
      <c r="AZ119" s="37">
        <v>0.0</v>
      </c>
      <c r="BG119" s="37" t="str">
        <f t="array" ref="BG119">IF($A119="","",IFERROR(INDEX(CS!$B$1:$B$15025,MATCH($A119,CS!$B:$B,0)+COLUMN(A$1),1),""))</f>
        <v>塵風</v>
      </c>
      <c r="BH119" s="37" t="str">
        <f t="array" ref="BH119">IF($A119="","",IFERROR(INDEX(CS!$B$1:$B$15025,MATCH($A119,CS!$B:$B,0)+COLUMN(B$1),1),""))</f>
        <v/>
      </c>
      <c r="BI119" s="37" t="str">
        <f t="array" ref="BI119">IF($A119="","",IFERROR(INDEX(CS!$B$1:$B$15025,MATCH($A119,CS!$B:$B,0)+COLUMN(C$1),1),""))</f>
        <v>集中力</v>
      </c>
      <c r="BJ119" s="37" t="str">
        <f t="array" ref="BJ119">IF($A119="","",IFERROR(INDEX(CS!$B$1:$B$15025,MATCH($A119,CS!$B:$B,0)+COLUMN(D$1),1),""))</f>
        <v/>
      </c>
      <c r="BK119" s="37" t="str">
        <f t="array" ref="BK119">IF($A119="","",IFERROR(INDEX(CS!$B$1:$B$15025,MATCH($A119,CS!$B:$B,0)+COLUMN(E$1),1),""))</f>
        <v>縮地</v>
      </c>
      <c r="BL119" s="37" t="str">
        <f t="array" ref="BL119">IF($A119="","",IFERROR(INDEX(CS!$B$1:$B$15025,MATCH($A119,CS!$B:$B,0)+COLUMN(F$1),1),""))</f>
        <v/>
      </c>
      <c r="BM119" s="37" t="str">
        <f t="array" ref="BM119">IF($A119="","",IFERROR(INDEX(CS!$B$1:$B$15025,MATCH($A119,CS!$B:$B,0)+COLUMN(G$1),1),""))</f>
        <v>斬撃の使い方</v>
      </c>
      <c r="BN119" s="37" t="str">
        <f t="array" ref="BN119">IF($A119="","",IFERROR(INDEX(CS!$B$1:$B$15025,MATCH($A119,CS!$B:$B,0)+COLUMN(H$1),1),""))</f>
        <v/>
      </c>
      <c r="BO119" s="37" t="str">
        <f t="array" ref="BO119">IF($A119="","",IFERROR(INDEX(CS!$B$1:$B$15025,MATCH($A119,CS!$B:$B,0)+COLUMN(I$1),1),""))</f>
        <v>塵旋風</v>
      </c>
      <c r="BP119" s="37" t="str">
        <f t="array" ref="BP119">IF($A119="","",IFERROR(INDEX(CS!$B$1:$B$15025,MATCH($A119,CS!$B:$B,0)+COLUMN(J$1),1),""))</f>
        <v>剣使い</v>
      </c>
      <c r="BR119" s="39" t="s">
        <v>2829</v>
      </c>
      <c r="BS119" s="74"/>
      <c r="BU119" s="39" t="s">
        <v>2830</v>
      </c>
      <c r="CG119" s="37" t="s">
        <v>2791</v>
      </c>
      <c r="CJ119" s="37" t="s">
        <v>2792</v>
      </c>
      <c r="CK119" s="37" t="s">
        <v>2793</v>
      </c>
      <c r="CN119" s="37" t="s">
        <v>1102</v>
      </c>
    </row>
    <row r="120" ht="18.75" customHeight="1" outlineLevel="1">
      <c r="A120" s="39" t="s">
        <v>2109</v>
      </c>
      <c r="B120" s="89" t="s">
        <v>2110</v>
      </c>
      <c r="C120" s="39" t="s">
        <v>2790</v>
      </c>
      <c r="D120" s="72" t="str">
        <f t="shared" si="3"/>
        <v>760/490/270</v>
      </c>
      <c r="E120" s="39">
        <v>3.0</v>
      </c>
      <c r="F120" s="39">
        <v>85.0</v>
      </c>
      <c r="I120" s="39">
        <v>100.0</v>
      </c>
      <c r="J120" s="39">
        <v>90.0</v>
      </c>
      <c r="K120" s="87">
        <v>25.0</v>
      </c>
      <c r="L120" s="39">
        <v>50.0</v>
      </c>
      <c r="M120" s="39">
        <v>55.0</v>
      </c>
      <c r="N120" s="39">
        <v>85.0</v>
      </c>
      <c r="P120" s="37">
        <v>0.0</v>
      </c>
      <c r="Q120" s="64"/>
      <c r="R120" s="64"/>
      <c r="S120" s="64"/>
      <c r="T120" s="64"/>
      <c r="U120" s="64"/>
      <c r="V120" s="64"/>
      <c r="W120" s="64"/>
      <c r="X120" s="64"/>
      <c r="Y120" s="64"/>
      <c r="Z120" s="64"/>
      <c r="AA120" s="64"/>
      <c r="AJ120" s="37">
        <v>75.0</v>
      </c>
      <c r="AK120" s="37">
        <v>50.0</v>
      </c>
      <c r="AL120" s="37">
        <v>25.0</v>
      </c>
      <c r="AM120" s="37">
        <v>35.0</v>
      </c>
      <c r="AN120" s="37">
        <v>35.0</v>
      </c>
      <c r="AO120" s="37">
        <v>0.0</v>
      </c>
      <c r="AP120" s="37">
        <v>0.0</v>
      </c>
      <c r="AQ120" s="37">
        <v>0.0</v>
      </c>
      <c r="AR120" s="37">
        <v>25.0</v>
      </c>
      <c r="AS120" s="37">
        <v>0.0</v>
      </c>
      <c r="AT120" s="37">
        <v>0.0</v>
      </c>
      <c r="AU120" s="37">
        <v>0.0</v>
      </c>
      <c r="AV120" s="37">
        <v>0.0</v>
      </c>
      <c r="AW120" s="37">
        <v>25.0</v>
      </c>
      <c r="AX120" s="37">
        <v>0.0</v>
      </c>
      <c r="AY120" s="37">
        <v>0.0</v>
      </c>
      <c r="AZ120" s="37">
        <v>0.0</v>
      </c>
      <c r="BG120" s="37" t="str">
        <f t="array" ref="BG120">IF($A120="","",IFERROR(INDEX(CS!$B$1:$B$15025,MATCH($A120,CS!$B:$B,0)+COLUMN(A$1),1),""))</f>
        <v>狼牙</v>
      </c>
      <c r="BH120" s="37" t="str">
        <f t="array" ref="BH120">IF($A120="","",IFERROR(INDEX(CS!$B$1:$B$15025,MATCH($A120,CS!$B:$B,0)+COLUMN(B$1),1),""))</f>
        <v/>
      </c>
      <c r="BI120" s="37" t="str">
        <f t="array" ref="BI120">IF($A120="","",IFERROR(INDEX(CS!$B$1:$B$15025,MATCH($A120,CS!$B:$B,0)+COLUMN(C$1),1),""))</f>
        <v>集中力2</v>
      </c>
      <c r="BJ120" s="37" t="str">
        <f t="array" ref="BJ120">IF($A120="","",IFERROR(INDEX(CS!$B$1:$B$15025,MATCH($A120,CS!$B:$B,0)+COLUMN(D$1),1),""))</f>
        <v/>
      </c>
      <c r="BK120" s="37" t="str">
        <f t="array" ref="BK120">IF($A120="","",IFERROR(INDEX(CS!$B$1:$B$15025,MATCH($A120,CS!$B:$B,0)+COLUMN(E$1),1),""))</f>
        <v>縮地改</v>
      </c>
      <c r="BL120" s="37" t="str">
        <f t="array" ref="BL120">IF($A120="","",IFERROR(INDEX(CS!$B$1:$B$15025,MATCH($A120,CS!$B:$B,0)+COLUMN(F$1),1),""))</f>
        <v/>
      </c>
      <c r="BM120" s="37" t="str">
        <f t="array" ref="BM120">IF($A120="","",IFERROR(INDEX(CS!$B$1:$B$15025,MATCH($A120,CS!$B:$B,0)+COLUMN(G$1),1),""))</f>
        <v>斬撃の極み</v>
      </c>
      <c r="BN120" s="37" t="str">
        <f t="array" ref="BN120">IF($A120="","",IFERROR(INDEX(CS!$B$1:$B$15025,MATCH($A120,CS!$B:$B,0)+COLUMN(H$1),1),""))</f>
        <v/>
      </c>
      <c r="BO120" s="37" t="str">
        <f t="array" ref="BO120">IF($A120="","",IFERROR(INDEX(CS!$B$1:$B$15025,MATCH($A120,CS!$B:$B,0)+COLUMN(I$1),1),""))</f>
        <v>波切</v>
      </c>
      <c r="BP120" s="37" t="str">
        <f t="array" ref="BP120">IF($A120="","",IFERROR(INDEX(CS!$B$1:$B$15025,MATCH($A120,CS!$B:$B,0)+COLUMN(J$1),1),""))</f>
        <v>剣聖</v>
      </c>
      <c r="BR120" s="39" t="s">
        <v>2831</v>
      </c>
      <c r="BS120" s="74"/>
      <c r="BU120" s="39"/>
      <c r="CG120" s="37" t="s">
        <v>2791</v>
      </c>
      <c r="CJ120" s="37" t="s">
        <v>2792</v>
      </c>
      <c r="CK120" s="37" t="s">
        <v>2793</v>
      </c>
      <c r="CN120" s="37" t="s">
        <v>1102</v>
      </c>
    </row>
    <row r="121" ht="18.75" customHeight="1" outlineLevel="1">
      <c r="A121" s="39" t="s">
        <v>2125</v>
      </c>
      <c r="B121" s="89" t="s">
        <v>2126</v>
      </c>
      <c r="C121" s="39" t="s">
        <v>2790</v>
      </c>
      <c r="D121" s="72" t="str">
        <f t="shared" si="3"/>
        <v>785/505/280</v>
      </c>
      <c r="E121" s="39">
        <v>4.0</v>
      </c>
      <c r="F121" s="39">
        <v>85.0</v>
      </c>
      <c r="I121" s="39">
        <v>105.0</v>
      </c>
      <c r="J121" s="39">
        <v>95.0</v>
      </c>
      <c r="K121" s="87">
        <v>25.0</v>
      </c>
      <c r="L121" s="39">
        <v>50.0</v>
      </c>
      <c r="M121" s="39">
        <v>55.0</v>
      </c>
      <c r="N121" s="39">
        <v>90.0</v>
      </c>
      <c r="P121" s="37">
        <v>0.0</v>
      </c>
      <c r="Q121" s="64"/>
      <c r="R121" s="64"/>
      <c r="S121" s="64"/>
      <c r="T121" s="64"/>
      <c r="U121" s="64"/>
      <c r="V121" s="64"/>
      <c r="W121" s="64"/>
      <c r="X121" s="64"/>
      <c r="Y121" s="64"/>
      <c r="Z121" s="64"/>
      <c r="AA121" s="64"/>
      <c r="AJ121" s="37">
        <v>75.0</v>
      </c>
      <c r="AK121" s="37">
        <v>50.0</v>
      </c>
      <c r="AL121" s="37">
        <v>25.0</v>
      </c>
      <c r="AM121" s="37">
        <v>40.0</v>
      </c>
      <c r="AN121" s="37">
        <v>40.0</v>
      </c>
      <c r="AO121" s="37">
        <v>0.0</v>
      </c>
      <c r="AP121" s="37">
        <v>0.0</v>
      </c>
      <c r="AQ121" s="37">
        <v>0.0</v>
      </c>
      <c r="AR121" s="37">
        <v>25.0</v>
      </c>
      <c r="AS121" s="37">
        <v>0.0</v>
      </c>
      <c r="AT121" s="37">
        <v>0.0</v>
      </c>
      <c r="AU121" s="37">
        <v>0.0</v>
      </c>
      <c r="AV121" s="37">
        <v>0.0</v>
      </c>
      <c r="AW121" s="37">
        <v>25.0</v>
      </c>
      <c r="AX121" s="37">
        <v>0.0</v>
      </c>
      <c r="AY121" s="37">
        <v>0.0</v>
      </c>
      <c r="AZ121" s="37">
        <v>0.0</v>
      </c>
      <c r="BG121" s="37" t="str">
        <f t="array" ref="BG121">IF($A121="","",IFERROR(INDEX(CS!$B$1:$B$15025,MATCH($A121,CS!$B:$B,0)+COLUMN(A$1),1),""))</f>
        <v>神斬</v>
      </c>
      <c r="BH121" s="37" t="str">
        <f t="array" ref="BH121">IF($A121="","",IFERROR(INDEX(CS!$B$1:$B$15025,MATCH($A121,CS!$B:$B,0)+COLUMN(B$1),1),""))</f>
        <v/>
      </c>
      <c r="BI121" s="37" t="str">
        <f t="array" ref="BI121">IF($A121="","",IFERROR(INDEX(CS!$B$1:$B$15025,MATCH($A121,CS!$B:$B,0)+COLUMN(C$1),1),""))</f>
        <v>極斬</v>
      </c>
      <c r="BJ121" s="37" t="str">
        <f t="array" ref="BJ121">IF($A121="","",IFERROR(INDEX(CS!$B$1:$B$15025,MATCH($A121,CS!$B:$B,0)+COLUMN(D$1),1),""))</f>
        <v/>
      </c>
      <c r="BK121" s="37" t="str">
        <f t="array" ref="BK121">IF($A121="","",IFERROR(INDEX(CS!$B$1:$B$15025,MATCH($A121,CS!$B:$B,0)+COLUMN(E$1),1),""))</f>
        <v>縮地・空</v>
      </c>
      <c r="BL121" s="37" t="str">
        <f t="array" ref="BL121">IF($A121="","",IFERROR(INDEX(CS!$B$1:$B$15025,MATCH($A121,CS!$B:$B,0)+COLUMN(F$1),1),""))</f>
        <v/>
      </c>
      <c r="BM121" s="37" t="str">
        <f t="array" ref="BM121">IF($A121="","",IFERROR(INDEX(CS!$B$1:$B$15025,MATCH($A121,CS!$B:$B,0)+COLUMN(G$1),1),""))</f>
        <v>神眼</v>
      </c>
      <c r="BN121" s="37" t="str">
        <f t="array" ref="BN121">IF($A121="","",IFERROR(INDEX(CS!$B$1:$B$15025,MATCH($A121,CS!$B:$B,0)+COLUMN(H$1),1),""))</f>
        <v/>
      </c>
      <c r="BO121" s="37" t="str">
        <f t="array" ref="BO121">IF($A121="","",IFERROR(INDEX(CS!$B$1:$B$15025,MATCH($A121,CS!$B:$B,0)+COLUMN(I$1),1),""))</f>
        <v>見極</v>
      </c>
      <c r="BP121" s="37" t="str">
        <f t="array" ref="BP121">IF($A121="","",IFERROR(INDEX(CS!$B$1:$B$15025,MATCH($A121,CS!$B:$B,0)+COLUMN(J$1),1),""))</f>
        <v>剣神</v>
      </c>
      <c r="BR121" s="39" t="s">
        <v>2832</v>
      </c>
      <c r="BS121" s="74"/>
      <c r="BU121" s="39"/>
      <c r="CG121" s="37" t="s">
        <v>2791</v>
      </c>
      <c r="CJ121" s="37" t="s">
        <v>2792</v>
      </c>
      <c r="CK121" s="37" t="s">
        <v>2793</v>
      </c>
      <c r="CN121" s="37" t="s">
        <v>1102</v>
      </c>
    </row>
    <row r="122" ht="18.75" customHeight="1" outlineLevel="1">
      <c r="A122" s="39" t="s">
        <v>2139</v>
      </c>
      <c r="B122" s="89" t="s">
        <v>2140</v>
      </c>
      <c r="C122" s="39" t="s">
        <v>2790</v>
      </c>
      <c r="D122" s="72" t="str">
        <f t="shared" si="3"/>
        <v>735/475/260</v>
      </c>
      <c r="E122" s="39">
        <v>2.0</v>
      </c>
      <c r="F122" s="39">
        <v>85.0</v>
      </c>
      <c r="I122" s="39">
        <v>85.0</v>
      </c>
      <c r="J122" s="39">
        <v>55.0</v>
      </c>
      <c r="K122" s="87">
        <v>25.0</v>
      </c>
      <c r="L122" s="39">
        <v>50.0</v>
      </c>
      <c r="M122" s="39">
        <v>95.0</v>
      </c>
      <c r="N122" s="39">
        <v>80.0</v>
      </c>
      <c r="P122" s="37">
        <v>0.0</v>
      </c>
      <c r="Q122" s="64"/>
      <c r="R122" s="64"/>
      <c r="S122" s="64"/>
      <c r="T122" s="64"/>
      <c r="U122" s="64"/>
      <c r="V122" s="64"/>
      <c r="W122" s="64"/>
      <c r="X122" s="64"/>
      <c r="Y122" s="64"/>
      <c r="Z122" s="64"/>
      <c r="AA122" s="64"/>
      <c r="AJ122" s="37">
        <v>50.0</v>
      </c>
      <c r="AK122" s="37">
        <v>50.0</v>
      </c>
      <c r="AL122" s="37">
        <v>25.0</v>
      </c>
      <c r="AM122" s="37">
        <v>55.0</v>
      </c>
      <c r="AN122" s="37">
        <v>30.0</v>
      </c>
      <c r="AO122" s="37">
        <v>0.0</v>
      </c>
      <c r="AP122" s="37">
        <v>0.0</v>
      </c>
      <c r="AQ122" s="37">
        <v>0.0</v>
      </c>
      <c r="AR122" s="37">
        <v>25.0</v>
      </c>
      <c r="AS122" s="37">
        <v>0.0</v>
      </c>
      <c r="AT122" s="37">
        <v>0.0</v>
      </c>
      <c r="AU122" s="37">
        <v>0.0</v>
      </c>
      <c r="AV122" s="37">
        <v>0.0</v>
      </c>
      <c r="AW122" s="37">
        <v>25.0</v>
      </c>
      <c r="AX122" s="37">
        <v>0.0</v>
      </c>
      <c r="AY122" s="37">
        <v>0.0</v>
      </c>
      <c r="AZ122" s="37">
        <v>0.0</v>
      </c>
      <c r="BG122" s="37" t="str">
        <f t="array" ref="BG122">IF($A122="","",IFERROR(INDEX(CS!$B$1:$B$15025,MATCH($A122,CS!$B:$B,0)+COLUMN(A$1),1),""))</f>
        <v>熱界雷</v>
      </c>
      <c r="BH122" s="37" t="str">
        <f t="array" ref="BH122">IF($A122="","",IFERROR(INDEX(CS!$B$1:$B$15025,MATCH($A122,CS!$B:$B,0)+COLUMN(B$1),1),""))</f>
        <v/>
      </c>
      <c r="BI122" s="37" t="str">
        <f t="array" ref="BI122">IF($A122="","",IFERROR(INDEX(CS!$B$1:$B$15025,MATCH($A122,CS!$B:$B,0)+COLUMN(C$1),1),""))</f>
        <v>集中力</v>
      </c>
      <c r="BJ122" s="37" t="str">
        <f t="array" ref="BJ122">IF($A122="","",IFERROR(INDEX(CS!$B$1:$B$15025,MATCH($A122,CS!$B:$B,0)+COLUMN(D$1),1),""))</f>
        <v/>
      </c>
      <c r="BK122" s="37" t="str">
        <f t="array" ref="BK122">IF($A122="","",IFERROR(INDEX(CS!$B$1:$B$15025,MATCH($A122,CS!$B:$B,0)+COLUMN(E$1),1),""))</f>
        <v>縮地</v>
      </c>
      <c r="BL122" s="37" t="str">
        <f t="array" ref="BL122">IF($A122="","",IFERROR(INDEX(CS!$B$1:$B$15025,MATCH($A122,CS!$B:$B,0)+COLUMN(F$1),1),""))</f>
        <v/>
      </c>
      <c r="BM122" s="37" t="str">
        <f t="array" ref="BM122">IF($A122="","",IFERROR(INDEX(CS!$B$1:$B$15025,MATCH($A122,CS!$B:$B,0)+COLUMN(G$1),1),""))</f>
        <v>刺突の使い方</v>
      </c>
      <c r="BN122" s="37" t="str">
        <f t="array" ref="BN122">IF($A122="","",IFERROR(INDEX(CS!$B$1:$B$15025,MATCH($A122,CS!$B:$B,0)+COLUMN(H$1),1),""))</f>
        <v/>
      </c>
      <c r="BO122" s="37" t="str">
        <f t="array" ref="BO122">IF($A122="","",IFERROR(INDEX(CS!$B$1:$B$15025,MATCH($A122,CS!$B:$B,0)+COLUMN(I$1),1),""))</f>
        <v>刺一閃</v>
      </c>
      <c r="BP122" s="37" t="str">
        <f t="array" ref="BP122">IF($A122="","",IFERROR(INDEX(CS!$B$1:$B$15025,MATCH($A122,CS!$B:$B,0)+COLUMN(J$1),1),""))</f>
        <v>槍使い</v>
      </c>
      <c r="BR122" s="39" t="s">
        <v>2829</v>
      </c>
      <c r="BS122" s="74"/>
      <c r="BU122" s="39" t="s">
        <v>2830</v>
      </c>
      <c r="CG122" s="37" t="s">
        <v>2798</v>
      </c>
      <c r="CI122" s="37" t="s">
        <v>2799</v>
      </c>
      <c r="CJ122" s="37" t="s">
        <v>2800</v>
      </c>
      <c r="CK122" s="37" t="s">
        <v>2793</v>
      </c>
      <c r="CN122" s="37" t="s">
        <v>1102</v>
      </c>
    </row>
    <row r="123" ht="18.75" customHeight="1" outlineLevel="1">
      <c r="A123" s="39" t="s">
        <v>2150</v>
      </c>
      <c r="B123" s="89" t="s">
        <v>2151</v>
      </c>
      <c r="C123" s="39" t="s">
        <v>2790</v>
      </c>
      <c r="D123" s="72" t="str">
        <f t="shared" si="3"/>
        <v>760/490/270</v>
      </c>
      <c r="E123" s="39">
        <v>3.0</v>
      </c>
      <c r="F123" s="39">
        <v>85.0</v>
      </c>
      <c r="I123" s="39">
        <v>90.0</v>
      </c>
      <c r="J123" s="39">
        <v>55.0</v>
      </c>
      <c r="K123" s="87">
        <v>25.0</v>
      </c>
      <c r="L123" s="39">
        <v>50.0</v>
      </c>
      <c r="M123" s="39">
        <v>100.0</v>
      </c>
      <c r="N123" s="39">
        <v>85.0</v>
      </c>
      <c r="P123" s="37">
        <v>0.0</v>
      </c>
      <c r="Q123" s="64"/>
      <c r="R123" s="64"/>
      <c r="S123" s="64"/>
      <c r="T123" s="64"/>
      <c r="U123" s="64"/>
      <c r="V123" s="64"/>
      <c r="W123" s="64"/>
      <c r="X123" s="64"/>
      <c r="Y123" s="64"/>
      <c r="Z123" s="64"/>
      <c r="AA123" s="64"/>
      <c r="AJ123" s="37">
        <v>50.0</v>
      </c>
      <c r="AK123" s="37">
        <v>50.0</v>
      </c>
      <c r="AL123" s="37">
        <v>25.0</v>
      </c>
      <c r="AM123" s="37">
        <v>60.0</v>
      </c>
      <c r="AN123" s="37">
        <v>35.0</v>
      </c>
      <c r="AO123" s="37">
        <v>0.0</v>
      </c>
      <c r="AP123" s="37">
        <v>0.0</v>
      </c>
      <c r="AQ123" s="37">
        <v>0.0</v>
      </c>
      <c r="AR123" s="37">
        <v>25.0</v>
      </c>
      <c r="AS123" s="37">
        <v>0.0</v>
      </c>
      <c r="AT123" s="37">
        <v>0.0</v>
      </c>
      <c r="AU123" s="37">
        <v>0.0</v>
      </c>
      <c r="AV123" s="37">
        <v>0.0</v>
      </c>
      <c r="AW123" s="37">
        <v>25.0</v>
      </c>
      <c r="AX123" s="37">
        <v>0.0</v>
      </c>
      <c r="AY123" s="37">
        <v>0.0</v>
      </c>
      <c r="AZ123" s="37">
        <v>0.0</v>
      </c>
      <c r="BG123" s="37" t="str">
        <f t="array" ref="BG123">IF($A123="","",IFERROR(INDEX(CS!$B$1:$B$15025,MATCH($A123,CS!$B:$B,0)+COLUMN(A$1),1),""))</f>
        <v>鷹嘴</v>
      </c>
      <c r="BH123" s="37" t="str">
        <f t="array" ref="BH123">IF($A123="","",IFERROR(INDEX(CS!$B$1:$B$15025,MATCH($A123,CS!$B:$B,0)+COLUMN(B$1),1),""))</f>
        <v/>
      </c>
      <c r="BI123" s="37" t="str">
        <f t="array" ref="BI123">IF($A123="","",IFERROR(INDEX(CS!$B$1:$B$15025,MATCH($A123,CS!$B:$B,0)+COLUMN(C$1),1),""))</f>
        <v>集中力2</v>
      </c>
      <c r="BJ123" s="37" t="str">
        <f t="array" ref="BJ123">IF($A123="","",IFERROR(INDEX(CS!$B$1:$B$15025,MATCH($A123,CS!$B:$B,0)+COLUMN(D$1),1),""))</f>
        <v/>
      </c>
      <c r="BK123" s="37" t="str">
        <f t="array" ref="BK123">IF($A123="","",IFERROR(INDEX(CS!$B$1:$B$15025,MATCH($A123,CS!$B:$B,0)+COLUMN(E$1),1),""))</f>
        <v>縮地改</v>
      </c>
      <c r="BL123" s="37" t="str">
        <f t="array" ref="BL123">IF($A123="","",IFERROR(INDEX(CS!$B$1:$B$15025,MATCH($A123,CS!$B:$B,0)+COLUMN(F$1),1),""))</f>
        <v/>
      </c>
      <c r="BM123" s="37" t="str">
        <f t="array" ref="BM123">IF($A123="","",IFERROR(INDEX(CS!$B$1:$B$15025,MATCH($A123,CS!$B:$B,0)+COLUMN(G$1),1),""))</f>
        <v>刺突の極み</v>
      </c>
      <c r="BN123" s="37" t="str">
        <f t="array" ref="BN123">IF($A123="","",IFERROR(INDEX(CS!$B$1:$B$15025,MATCH($A123,CS!$B:$B,0)+COLUMN(H$1),1),""))</f>
        <v/>
      </c>
      <c r="BO123" s="37" t="str">
        <f t="array" ref="BO123">IF($A123="","",IFERROR(INDEX(CS!$B$1:$B$15025,MATCH($A123,CS!$B:$B,0)+COLUMN(I$1),1),""))</f>
        <v>渦突き</v>
      </c>
      <c r="BP123" s="37" t="str">
        <f t="array" ref="BP123">IF($A123="","",IFERROR(INDEX(CS!$B$1:$B$15025,MATCH($A123,CS!$B:$B,0)+COLUMN(J$1),1),""))</f>
        <v>槍聖</v>
      </c>
      <c r="BR123" s="39" t="s">
        <v>2833</v>
      </c>
      <c r="BS123" s="74"/>
      <c r="BU123" s="39"/>
      <c r="CG123" s="37" t="s">
        <v>2798</v>
      </c>
      <c r="CI123" s="37" t="s">
        <v>2799</v>
      </c>
      <c r="CJ123" s="37" t="s">
        <v>2800</v>
      </c>
      <c r="CK123" s="37" t="s">
        <v>2793</v>
      </c>
      <c r="CN123" s="37" t="s">
        <v>1102</v>
      </c>
    </row>
    <row r="124" ht="18.75" customHeight="1" outlineLevel="1">
      <c r="A124" s="39" t="s">
        <v>2161</v>
      </c>
      <c r="B124" s="89" t="s">
        <v>2162</v>
      </c>
      <c r="C124" s="39" t="s">
        <v>2790</v>
      </c>
      <c r="D124" s="72" t="str">
        <f t="shared" si="3"/>
        <v>785/505/280</v>
      </c>
      <c r="E124" s="39">
        <v>4.0</v>
      </c>
      <c r="F124" s="39">
        <v>85.0</v>
      </c>
      <c r="I124" s="39">
        <v>95.0</v>
      </c>
      <c r="J124" s="39">
        <v>55.0</v>
      </c>
      <c r="K124" s="87">
        <v>25.0</v>
      </c>
      <c r="L124" s="39">
        <v>50.0</v>
      </c>
      <c r="M124" s="39">
        <v>105.0</v>
      </c>
      <c r="N124" s="39">
        <v>90.0</v>
      </c>
      <c r="P124" s="37">
        <v>0.0</v>
      </c>
      <c r="Q124" s="64"/>
      <c r="R124" s="64"/>
      <c r="S124" s="64"/>
      <c r="T124" s="64"/>
      <c r="U124" s="64"/>
      <c r="V124" s="64"/>
      <c r="W124" s="64"/>
      <c r="X124" s="64"/>
      <c r="Y124" s="64"/>
      <c r="Z124" s="64"/>
      <c r="AA124" s="64"/>
      <c r="AJ124" s="37">
        <v>50.0</v>
      </c>
      <c r="AK124" s="37">
        <v>50.0</v>
      </c>
      <c r="AL124" s="37">
        <v>25.0</v>
      </c>
      <c r="AM124" s="37">
        <v>65.0</v>
      </c>
      <c r="AN124" s="37">
        <v>40.0</v>
      </c>
      <c r="AO124" s="37">
        <v>0.0</v>
      </c>
      <c r="AP124" s="37">
        <v>0.0</v>
      </c>
      <c r="AQ124" s="37">
        <v>0.0</v>
      </c>
      <c r="AR124" s="37">
        <v>25.0</v>
      </c>
      <c r="AS124" s="37">
        <v>0.0</v>
      </c>
      <c r="AT124" s="37">
        <v>0.0</v>
      </c>
      <c r="AU124" s="37">
        <v>0.0</v>
      </c>
      <c r="AV124" s="37">
        <v>0.0</v>
      </c>
      <c r="AW124" s="37">
        <v>25.0</v>
      </c>
      <c r="AX124" s="37">
        <v>0.0</v>
      </c>
      <c r="AY124" s="37">
        <v>0.0</v>
      </c>
      <c r="AZ124" s="37">
        <v>0.0</v>
      </c>
      <c r="BG124" s="37" t="str">
        <f t="array" ref="BG124">IF($A124="","",IFERROR(INDEX(CS!$B$1:$B$15025,MATCH($A124,CS!$B:$B,0)+COLUMN(A$1),1),""))</f>
        <v>神穿</v>
      </c>
      <c r="BH124" s="37" t="str">
        <f t="array" ref="BH124">IF($A124="","",IFERROR(INDEX(CS!$B$1:$B$15025,MATCH($A124,CS!$B:$B,0)+COLUMN(B$1),1),""))</f>
        <v/>
      </c>
      <c r="BI124" s="37" t="str">
        <f t="array" ref="BI124">IF($A124="","",IFERROR(INDEX(CS!$B$1:$B$15025,MATCH($A124,CS!$B:$B,0)+COLUMN(C$1),1),""))</f>
        <v>極刺</v>
      </c>
      <c r="BJ124" s="37" t="str">
        <f t="array" ref="BJ124">IF($A124="","",IFERROR(INDEX(CS!$B$1:$B$15025,MATCH($A124,CS!$B:$B,0)+COLUMN(D$1),1),""))</f>
        <v/>
      </c>
      <c r="BK124" s="37" t="str">
        <f t="array" ref="BK124">IF($A124="","",IFERROR(INDEX(CS!$B$1:$B$15025,MATCH($A124,CS!$B:$B,0)+COLUMN(E$1),1),""))</f>
        <v>縮地・空</v>
      </c>
      <c r="BL124" s="37" t="str">
        <f t="array" ref="BL124">IF($A124="","",IFERROR(INDEX(CS!$B$1:$B$15025,MATCH($A124,CS!$B:$B,0)+COLUMN(F$1),1),""))</f>
        <v/>
      </c>
      <c r="BM124" s="37" t="str">
        <f t="array" ref="BM124">IF($A124="","",IFERROR(INDEX(CS!$B$1:$B$15025,MATCH($A124,CS!$B:$B,0)+COLUMN(G$1),1),""))</f>
        <v>神眼</v>
      </c>
      <c r="BN124" s="37" t="str">
        <f t="array" ref="BN124">IF($A124="","",IFERROR(INDEX(CS!$B$1:$B$15025,MATCH($A124,CS!$B:$B,0)+COLUMN(H$1),1),""))</f>
        <v/>
      </c>
      <c r="BO124" s="37" t="str">
        <f t="array" ref="BO124">IF($A124="","",IFERROR(INDEX(CS!$B$1:$B$15025,MATCH($A124,CS!$B:$B,0)+COLUMN(I$1),1),""))</f>
        <v>見極</v>
      </c>
      <c r="BP124" s="37" t="str">
        <f t="array" ref="BP124">IF($A124="","",IFERROR(INDEX(CS!$B$1:$B$15025,MATCH($A124,CS!$B:$B,0)+COLUMN(J$1),1),""))</f>
        <v>槍神</v>
      </c>
      <c r="BR124" s="39" t="s">
        <v>2834</v>
      </c>
      <c r="BS124" s="74"/>
      <c r="BU124" s="39"/>
      <c r="CG124" s="37" t="s">
        <v>2798</v>
      </c>
      <c r="CI124" s="37" t="s">
        <v>2799</v>
      </c>
      <c r="CJ124" s="37" t="s">
        <v>2800</v>
      </c>
      <c r="CK124" s="37" t="s">
        <v>2793</v>
      </c>
      <c r="CN124" s="37" t="s">
        <v>1102</v>
      </c>
    </row>
    <row r="125" ht="18.75" customHeight="1" outlineLevel="1">
      <c r="A125" s="39" t="s">
        <v>2168</v>
      </c>
      <c r="B125" s="71"/>
      <c r="C125" s="39" t="s">
        <v>2790</v>
      </c>
      <c r="D125" s="72" t="str">
        <f t="shared" si="3"/>
        <v>735/475/260</v>
      </c>
      <c r="E125" s="39">
        <v>2.0</v>
      </c>
      <c r="F125" s="39">
        <v>90.0</v>
      </c>
      <c r="I125" s="39">
        <v>95.0</v>
      </c>
      <c r="J125" s="39">
        <v>85.0</v>
      </c>
      <c r="K125" s="87">
        <v>25.0</v>
      </c>
      <c r="L125" s="39">
        <v>50.0</v>
      </c>
      <c r="M125" s="39">
        <v>55.0</v>
      </c>
      <c r="N125" s="39">
        <v>75.0</v>
      </c>
      <c r="P125" s="37">
        <v>0.0</v>
      </c>
      <c r="Q125" s="64"/>
      <c r="R125" s="64"/>
      <c r="S125" s="64"/>
      <c r="T125" s="64"/>
      <c r="U125" s="64"/>
      <c r="V125" s="64"/>
      <c r="W125" s="64"/>
      <c r="X125" s="64"/>
      <c r="Y125" s="64"/>
      <c r="Z125" s="64"/>
      <c r="AA125" s="64"/>
      <c r="AJ125" s="37">
        <v>75.0</v>
      </c>
      <c r="AK125" s="37">
        <v>55.0</v>
      </c>
      <c r="AL125" s="37">
        <v>25.0</v>
      </c>
      <c r="AM125" s="37">
        <v>25.0</v>
      </c>
      <c r="AN125" s="37">
        <v>30.0</v>
      </c>
      <c r="AO125" s="37">
        <v>0.0</v>
      </c>
      <c r="AP125" s="37">
        <v>0.0</v>
      </c>
      <c r="AQ125" s="37">
        <v>0.0</v>
      </c>
      <c r="AR125" s="37">
        <v>25.0</v>
      </c>
      <c r="AS125" s="37">
        <v>0.0</v>
      </c>
      <c r="AT125" s="37">
        <v>0.0</v>
      </c>
      <c r="AU125" s="37">
        <v>0.0</v>
      </c>
      <c r="AV125" s="37">
        <v>0.0</v>
      </c>
      <c r="AW125" s="37">
        <v>25.0</v>
      </c>
      <c r="AX125" s="37">
        <v>0.0</v>
      </c>
      <c r="AY125" s="37">
        <v>0.0</v>
      </c>
      <c r="AZ125" s="37">
        <v>0.0</v>
      </c>
      <c r="BG125" s="37" t="str">
        <f t="array" ref="BG125">IF($A125="","",IFERROR(INDEX(CS!$B$1:$B$15025,MATCH($A125,CS!$B:$B,0)+COLUMN(A$1),1),""))</f>
        <v>粉砕撃</v>
      </c>
      <c r="BH125" s="37" t="str">
        <f t="array" ref="BH125">IF($A125="","",IFERROR(INDEX(CS!$B$1:$B$15025,MATCH($A125,CS!$B:$B,0)+COLUMN(B$1),1),""))</f>
        <v/>
      </c>
      <c r="BI125" s="37" t="str">
        <f t="array" ref="BI125">IF($A125="","",IFERROR(INDEX(CS!$B$1:$B$15025,MATCH($A125,CS!$B:$B,0)+COLUMN(C$1),1),""))</f>
        <v>打撃武器の扱い</v>
      </c>
      <c r="BJ125" s="37" t="str">
        <f t="array" ref="BJ125">IF($A125="","",IFERROR(INDEX(CS!$B$1:$B$15025,MATCH($A125,CS!$B:$B,0)+COLUMN(D$1),1),""))</f>
        <v/>
      </c>
      <c r="BK125" s="37" t="str">
        <f t="array" ref="BK125">IF($A125="","",IFERROR(INDEX(CS!$B$1:$B$15025,MATCH($A125,CS!$B:$B,0)+COLUMN(E$1),1),""))</f>
        <v>崩し撃</v>
      </c>
      <c r="BL125" s="37" t="str">
        <f t="array" ref="BL125">IF($A125="","",IFERROR(INDEX(CS!$B$1:$B$15025,MATCH($A125,CS!$B:$B,0)+COLUMN(F$1),1),""))</f>
        <v/>
      </c>
      <c r="BM125" s="37" t="str">
        <f t="array" ref="BM125">IF($A125="","",IFERROR(INDEX(CS!$B$1:$B$15025,MATCH($A125,CS!$B:$B,0)+COLUMN(G$1),1),""))</f>
        <v>重打</v>
      </c>
      <c r="BN125" s="37" t="str">
        <f t="array" ref="BN125">IF($A125="","",IFERROR(INDEX(CS!$B$1:$B$15025,MATCH($A125,CS!$B:$B,0)+COLUMN(H$1),1),""))</f>
        <v/>
      </c>
      <c r="BO125" s="37" t="str">
        <f t="array" ref="BO125">IF($A125="","",IFERROR(INDEX(CS!$B$1:$B$15025,MATCH($A125,CS!$B:$B,0)+COLUMN(I$1),1),""))</f>
        <v>打撃の極み</v>
      </c>
      <c r="BP125" s="37" t="str">
        <f t="array" ref="BP125">IF($A125="","",IFERROR(INDEX(CS!$B$1:$B$15025,MATCH($A125,CS!$B:$B,0)+COLUMN(J$1),1),""))</f>
        <v>震砕撃</v>
      </c>
      <c r="BR125" s="39" t="s">
        <v>2829</v>
      </c>
      <c r="BS125" s="74"/>
      <c r="BU125" s="39" t="s">
        <v>2830</v>
      </c>
      <c r="CG125" s="37" t="s">
        <v>2791</v>
      </c>
      <c r="CJ125" s="37" t="s">
        <v>2792</v>
      </c>
      <c r="CK125" s="37" t="s">
        <v>2793</v>
      </c>
      <c r="CN125" s="37" t="s">
        <v>1102</v>
      </c>
    </row>
    <row r="126" ht="18.75" customHeight="1" outlineLevel="1">
      <c r="A126" s="39" t="s">
        <v>2181</v>
      </c>
      <c r="B126" s="71"/>
      <c r="C126" s="39" t="s">
        <v>2790</v>
      </c>
      <c r="D126" s="72" t="str">
        <f t="shared" si="3"/>
        <v>735/475/260</v>
      </c>
      <c r="E126" s="39">
        <v>2.0</v>
      </c>
      <c r="F126" s="39">
        <v>90.0</v>
      </c>
      <c r="I126" s="39">
        <v>80.0</v>
      </c>
      <c r="J126" s="39">
        <v>95.0</v>
      </c>
      <c r="K126" s="87">
        <v>25.0</v>
      </c>
      <c r="L126" s="39">
        <v>60.0</v>
      </c>
      <c r="M126" s="39">
        <v>50.0</v>
      </c>
      <c r="N126" s="39">
        <v>75.0</v>
      </c>
      <c r="P126" s="37">
        <v>0.0</v>
      </c>
      <c r="Q126" s="64"/>
      <c r="R126" s="64"/>
      <c r="S126" s="64"/>
      <c r="T126" s="64"/>
      <c r="U126" s="64"/>
      <c r="V126" s="64"/>
      <c r="W126" s="64"/>
      <c r="X126" s="64"/>
      <c r="Y126" s="64"/>
      <c r="Z126" s="64"/>
      <c r="AA126" s="64"/>
      <c r="AJ126" s="37">
        <v>105.0</v>
      </c>
      <c r="AK126" s="37">
        <v>0.0</v>
      </c>
      <c r="AL126" s="37">
        <v>25.0</v>
      </c>
      <c r="AM126" s="37">
        <v>25.0</v>
      </c>
      <c r="AN126" s="37">
        <v>25.0</v>
      </c>
      <c r="AO126" s="37">
        <v>0.0</v>
      </c>
      <c r="AP126" s="37">
        <v>0.0</v>
      </c>
      <c r="AQ126" s="37">
        <v>0.0</v>
      </c>
      <c r="AR126" s="37">
        <v>25.0</v>
      </c>
      <c r="AS126" s="37">
        <v>0.0</v>
      </c>
      <c r="AT126" s="37">
        <v>0.0</v>
      </c>
      <c r="AU126" s="37">
        <v>0.0</v>
      </c>
      <c r="AV126" s="37">
        <v>0.0</v>
      </c>
      <c r="AW126" s="37">
        <v>55.0</v>
      </c>
      <c r="AX126" s="37">
        <v>0.0</v>
      </c>
      <c r="AY126" s="37">
        <v>0.0</v>
      </c>
      <c r="AZ126" s="37">
        <v>0.0</v>
      </c>
      <c r="BG126" s="37" t="str">
        <f t="array" ref="BG126">IF($A126="","",IFERROR(INDEX(CS!$B$1:$B$15025,MATCH($A126,CS!$B:$B,0)+COLUMN(A$1),1),""))</f>
        <v>盾構え</v>
      </c>
      <c r="BH126" s="37" t="str">
        <f t="array" ref="BH126">IF($A126="","",IFERROR(INDEX(CS!$B$1:$B$15025,MATCH($A126,CS!$B:$B,0)+COLUMN(B$1),1),""))</f>
        <v/>
      </c>
      <c r="BI126" s="37" t="str">
        <f t="array" ref="BI126">IF($A126="","",IFERROR(INDEX(CS!$B$1:$B$15025,MATCH($A126,CS!$B:$B,0)+COLUMN(C$1),1),""))</f>
        <v>盾の扱い</v>
      </c>
      <c r="BJ126" s="37" t="str">
        <f t="array" ref="BJ126">IF($A126="","",IFERROR(INDEX(CS!$B$1:$B$15025,MATCH($A126,CS!$B:$B,0)+COLUMN(D$1),1),""))</f>
        <v/>
      </c>
      <c r="BK126" s="37" t="str">
        <f t="array" ref="BK126">IF($A126="","",IFERROR(INDEX(CS!$B$1:$B$15025,MATCH($A126,CS!$B:$B,0)+COLUMN(E$1),1),""))</f>
        <v>盾打ち</v>
      </c>
      <c r="BL126" s="37" t="str">
        <f t="array" ref="BL126">IF($A126="","",IFERROR(INDEX(CS!$B$1:$B$15025,MATCH($A126,CS!$B:$B,0)+COLUMN(F$1),1),""))</f>
        <v/>
      </c>
      <c r="BM126" s="37" t="str">
        <f t="array" ref="BM126">IF($A126="","",IFERROR(INDEX(CS!$B$1:$B$15025,MATCH($A126,CS!$B:$B,0)+COLUMN(G$1),1),""))</f>
        <v>受け流し</v>
      </c>
      <c r="BN126" s="37" t="str">
        <f t="array" ref="BN126">IF($A126="","",IFERROR(INDEX(CS!$B$1:$B$15025,MATCH($A126,CS!$B:$B,0)+COLUMN(H$1),1),""))</f>
        <v/>
      </c>
      <c r="BO126" s="37" t="str">
        <f t="array" ref="BO126">IF($A126="","",IFERROR(INDEX(CS!$B$1:$B$15025,MATCH($A126,CS!$B:$B,0)+COLUMN(I$1),1),""))</f>
        <v>鉄壁</v>
      </c>
      <c r="BP126" s="37" t="str">
        <f t="array" ref="BP126">IF($A126="","",IFERROR(INDEX(CS!$B$1:$B$15025,MATCH($A126,CS!$B:$B,0)+COLUMN(J$1),1),""))</f>
        <v>完全防御</v>
      </c>
      <c r="BR126" s="39" t="s">
        <v>2829</v>
      </c>
      <c r="BS126" s="74"/>
      <c r="BU126" s="39" t="s">
        <v>2830</v>
      </c>
      <c r="CG126" s="37" t="s">
        <v>2795</v>
      </c>
      <c r="CH126" s="37" t="s">
        <v>2796</v>
      </c>
      <c r="CJ126" s="37" t="s">
        <v>2792</v>
      </c>
      <c r="CK126" s="37" t="s">
        <v>2793</v>
      </c>
      <c r="CN126" s="37" t="s">
        <v>1102</v>
      </c>
    </row>
    <row r="127" ht="18.75" customHeight="1">
      <c r="B127" s="71"/>
      <c r="C127" s="39" t="s">
        <v>2790</v>
      </c>
      <c r="D127" s="72"/>
      <c r="K127" s="73"/>
      <c r="P127" s="37" t="s">
        <v>29</v>
      </c>
      <c r="Q127" s="64"/>
      <c r="R127" s="64"/>
      <c r="S127" s="64"/>
      <c r="T127" s="64"/>
      <c r="U127" s="64"/>
      <c r="V127" s="64"/>
      <c r="W127" s="64"/>
      <c r="X127" s="64"/>
      <c r="Y127" s="64"/>
      <c r="Z127" s="64"/>
      <c r="AA127" s="64"/>
      <c r="AJ127" s="37" t="s">
        <v>29</v>
      </c>
      <c r="AK127" s="37" t="s">
        <v>29</v>
      </c>
      <c r="AL127" s="37" t="s">
        <v>29</v>
      </c>
      <c r="AM127" s="37" t="s">
        <v>29</v>
      </c>
      <c r="AN127" s="37" t="s">
        <v>29</v>
      </c>
      <c r="AO127" s="37" t="s">
        <v>29</v>
      </c>
      <c r="AP127" s="37" t="s">
        <v>29</v>
      </c>
      <c r="AQ127" s="37" t="s">
        <v>29</v>
      </c>
      <c r="AR127" s="37" t="s">
        <v>29</v>
      </c>
      <c r="AS127" s="37" t="s">
        <v>29</v>
      </c>
      <c r="AT127" s="37" t="s">
        <v>29</v>
      </c>
      <c r="AU127" s="37" t="s">
        <v>29</v>
      </c>
      <c r="AV127" s="37" t="s">
        <v>29</v>
      </c>
      <c r="AW127" s="37" t="s">
        <v>29</v>
      </c>
      <c r="AX127" s="37" t="s">
        <v>29</v>
      </c>
      <c r="AY127" s="37" t="s">
        <v>29</v>
      </c>
      <c r="AZ127" s="37" t="s">
        <v>29</v>
      </c>
      <c r="BG127" s="37" t="str">
        <f t="array" ref="BG127">IF($A127="","", INDEX(CS!$B$1:$B$15025,MATCH($A127,CS!$B:$B,0)+COLUMN(A$1),1))</f>
        <v/>
      </c>
      <c r="BH127" s="37" t="str">
        <f t="array" ref="BH127">IF($A127="","", INDEX(CS!$B$1:$B$15025,MATCH($A127,CS!$B:$B,0)+COLUMN(B$1),1))</f>
        <v/>
      </c>
      <c r="BI127" s="37" t="str">
        <f t="array" ref="BI127">IF($A127="","", INDEX(CS!$B$1:$B$15025,MATCH($A127,CS!$B:$B,0)+COLUMN(C$1),1))</f>
        <v/>
      </c>
      <c r="BJ127" s="37" t="str">
        <f t="array" ref="BJ127">IF($A127="","", INDEX(CS!$B$1:$B$15025,MATCH($A127,CS!$B:$B,0)+COLUMN(D$1),1))</f>
        <v/>
      </c>
      <c r="BK127" s="37" t="str">
        <f t="array" ref="BK127">IF($A127="","", INDEX(CS!$B$1:$B$15025,MATCH($A127,CS!$B:$B,0)+COLUMN(E$1),1))</f>
        <v/>
      </c>
      <c r="BL127" s="37" t="str">
        <f t="array" ref="BL127">IF($A127="","", INDEX(CS!$B$1:$B$15025,MATCH($A127,CS!$B:$B,0)+COLUMN(F$1),1))</f>
        <v/>
      </c>
      <c r="BM127" s="37" t="str">
        <f t="array" ref="BM127">IF($A127="","", INDEX(CS!$B$1:$B$15025,MATCH($A127,CS!$B:$B,0)+COLUMN(G$1),1))</f>
        <v/>
      </c>
      <c r="BN127" s="37" t="str">
        <f t="array" ref="BN127">IF($A127="","", INDEX(CS!$B$1:$B$15025,MATCH($A127,CS!$B:$B,0)+COLUMN(H$1),1))</f>
        <v/>
      </c>
      <c r="BO127" s="37" t="str">
        <f t="array" ref="BO127">IF($A127="","", INDEX(CS!$B$1:$B$15025,MATCH($A127,CS!$B:$B,0)+COLUMN(I$1),1))</f>
        <v/>
      </c>
      <c r="BP127" s="37" t="str">
        <f t="array" ref="BP127">IF($A127="","", INDEX(CS!$B$1:$B$15025,MATCH($A127,CS!$B:$B,0)+COLUMN(J$1),1))</f>
        <v/>
      </c>
      <c r="BS127" s="74"/>
      <c r="CI127" s="37" t="s">
        <v>2819</v>
      </c>
      <c r="CJ127" s="37" t="s">
        <v>2800</v>
      </c>
      <c r="CK127" s="37" t="s">
        <v>2793</v>
      </c>
    </row>
    <row r="128" ht="18.75" customHeight="1">
      <c r="B128" s="85" t="s">
        <v>2835</v>
      </c>
      <c r="C128" s="39" t="s">
        <v>2790</v>
      </c>
      <c r="D128" s="72" t="str">
        <f t="shared" ref="D128:D134" si="4">SUM(AJ128:AZ128,F128:N128)&amp;"/"&amp;SUM(F128:N128)&amp;"/"&amp;SUM(AJ128:AZ128)</f>
        <v>0/0/0</v>
      </c>
      <c r="E128" s="37">
        <v>1.0</v>
      </c>
      <c r="K128" s="73"/>
      <c r="P128" s="37" t="s">
        <v>29</v>
      </c>
      <c r="Q128" s="64"/>
      <c r="R128" s="64"/>
      <c r="S128" s="64"/>
      <c r="T128" s="64"/>
      <c r="U128" s="64"/>
      <c r="V128" s="64"/>
      <c r="W128" s="64"/>
      <c r="X128" s="64"/>
      <c r="Y128" s="64"/>
      <c r="Z128" s="64"/>
      <c r="AA128" s="64"/>
      <c r="AJ128" s="37" t="s">
        <v>29</v>
      </c>
      <c r="AK128" s="37" t="s">
        <v>29</v>
      </c>
      <c r="AL128" s="37" t="s">
        <v>29</v>
      </c>
      <c r="AM128" s="37" t="s">
        <v>29</v>
      </c>
      <c r="AN128" s="37" t="s">
        <v>29</v>
      </c>
      <c r="AO128" s="37" t="s">
        <v>29</v>
      </c>
      <c r="AP128" s="37" t="s">
        <v>29</v>
      </c>
      <c r="AQ128" s="37" t="s">
        <v>29</v>
      </c>
      <c r="AR128" s="37" t="s">
        <v>29</v>
      </c>
      <c r="AS128" s="37" t="s">
        <v>29</v>
      </c>
      <c r="AT128" s="37" t="s">
        <v>29</v>
      </c>
      <c r="AU128" s="37" t="s">
        <v>29</v>
      </c>
      <c r="AV128" s="37" t="s">
        <v>29</v>
      </c>
      <c r="AW128" s="37" t="s">
        <v>29</v>
      </c>
      <c r="AX128" s="37" t="s">
        <v>29</v>
      </c>
      <c r="AY128" s="37" t="s">
        <v>29</v>
      </c>
      <c r="AZ128" s="37" t="s">
        <v>29</v>
      </c>
      <c r="BG128" s="37" t="str">
        <f t="array" ref="BG128">IF($A128="","", INDEX(CS!$B$1:$B$15025,MATCH($A128,CS!$B:$B,0)+COLUMN(A$1),1))</f>
        <v/>
      </c>
      <c r="BH128" s="37" t="str">
        <f t="array" ref="BH128">IF($A128="","", INDEX(CS!$B$1:$B$15025,MATCH($A128,CS!$B:$B,0)+COLUMN(B$1),1))</f>
        <v/>
      </c>
      <c r="BI128" s="37" t="str">
        <f t="array" ref="BI128">IF($A128="","", INDEX(CS!$B$1:$B$15025,MATCH($A128,CS!$B:$B,0)+COLUMN(C$1),1))</f>
        <v/>
      </c>
      <c r="BJ128" s="37" t="str">
        <f t="array" ref="BJ128">IF($A128="","", INDEX(CS!$B$1:$B$15025,MATCH($A128,CS!$B:$B,0)+COLUMN(D$1),1))</f>
        <v/>
      </c>
      <c r="BK128" s="37" t="str">
        <f t="array" ref="BK128">IF($A128="","", INDEX(CS!$B$1:$B$15025,MATCH($A128,CS!$B:$B,0)+COLUMN(E$1),1))</f>
        <v/>
      </c>
      <c r="BL128" s="37" t="str">
        <f t="array" ref="BL128">IF($A128="","", INDEX(CS!$B$1:$B$15025,MATCH($A128,CS!$B:$B,0)+COLUMN(F$1),1))</f>
        <v/>
      </c>
      <c r="BM128" s="37" t="str">
        <f t="array" ref="BM128">IF($A128="","", INDEX(CS!$B$1:$B$15025,MATCH($A128,CS!$B:$B,0)+COLUMN(G$1),1))</f>
        <v/>
      </c>
      <c r="BN128" s="37" t="str">
        <f t="array" ref="BN128">IF($A128="","", INDEX(CS!$B$1:$B$15025,MATCH($A128,CS!$B:$B,0)+COLUMN(H$1),1))</f>
        <v/>
      </c>
      <c r="BO128" s="37" t="str">
        <f t="array" ref="BO128">IF($A128="","", INDEX(CS!$B$1:$B$15025,MATCH($A128,CS!$B:$B,0)+COLUMN(I$1),1))</f>
        <v/>
      </c>
      <c r="BP128" s="37" t="str">
        <f t="array" ref="BP128">IF($A128="","", INDEX(CS!$B$1:$B$15025,MATCH($A128,CS!$B:$B,0)+COLUMN(J$1),1))</f>
        <v/>
      </c>
      <c r="BS128" s="74"/>
    </row>
    <row r="129" ht="18.75" customHeight="1" outlineLevel="1">
      <c r="A129" s="39" t="s">
        <v>2195</v>
      </c>
      <c r="B129" s="71"/>
      <c r="C129" s="39" t="s">
        <v>2790</v>
      </c>
      <c r="D129" s="72" t="str">
        <f t="shared" si="4"/>
        <v>760/480/280</v>
      </c>
      <c r="E129" s="39">
        <v>2.0</v>
      </c>
      <c r="F129" s="39">
        <v>75.0</v>
      </c>
      <c r="I129" s="39">
        <v>70.0</v>
      </c>
      <c r="J129" s="39">
        <v>70.0</v>
      </c>
      <c r="K129" s="87">
        <v>60.0</v>
      </c>
      <c r="L129" s="39">
        <v>70.0</v>
      </c>
      <c r="M129" s="39">
        <v>55.0</v>
      </c>
      <c r="N129" s="39">
        <v>80.0</v>
      </c>
      <c r="P129" s="37">
        <v>0.0</v>
      </c>
      <c r="Q129" s="64"/>
      <c r="R129" s="64"/>
      <c r="S129" s="64"/>
      <c r="T129" s="64"/>
      <c r="U129" s="64"/>
      <c r="V129" s="64"/>
      <c r="W129" s="64"/>
      <c r="X129" s="64"/>
      <c r="Y129" s="64"/>
      <c r="Z129" s="64"/>
      <c r="AA129" s="64"/>
      <c r="AJ129" s="37">
        <v>40.0</v>
      </c>
      <c r="AK129" s="37">
        <v>25.0</v>
      </c>
      <c r="AL129" s="37">
        <v>65.0</v>
      </c>
      <c r="AM129" s="37">
        <v>20.0</v>
      </c>
      <c r="AN129" s="37">
        <v>20.0</v>
      </c>
      <c r="AO129" s="37">
        <v>0.0</v>
      </c>
      <c r="AP129" s="37">
        <v>0.0</v>
      </c>
      <c r="AQ129" s="37">
        <v>0.0</v>
      </c>
      <c r="AR129" s="37">
        <v>15.0</v>
      </c>
      <c r="AS129" s="37">
        <v>0.0</v>
      </c>
      <c r="AT129" s="37">
        <v>0.0</v>
      </c>
      <c r="AU129" s="37">
        <v>0.0</v>
      </c>
      <c r="AV129" s="37">
        <v>0.0</v>
      </c>
      <c r="AW129" s="37">
        <v>40.0</v>
      </c>
      <c r="AX129" s="37">
        <v>0.0</v>
      </c>
      <c r="AY129" s="37">
        <v>55.0</v>
      </c>
      <c r="AZ129" s="37">
        <v>0.0</v>
      </c>
      <c r="BG129" s="37" t="str">
        <f t="array" ref="BG129">IF($A129="","",IFERROR(INDEX(CS!$B$1:$B$15025,MATCH($A129,CS!$B:$B,0)+COLUMN(A$1),1),""))</f>
        <v>炎の武器</v>
      </c>
      <c r="BH129" s="37" t="str">
        <f t="array" ref="BH129">IF($A129="","",IFERROR(INDEX(CS!$B$1:$B$15025,MATCH($A129,CS!$B:$B,0)+COLUMN(B$1),1),""))</f>
        <v/>
      </c>
      <c r="BI129" s="37" t="str">
        <f t="array" ref="BI129">IF($A129="","",IFERROR(INDEX(CS!$B$1:$B$15025,MATCH($A129,CS!$B:$B,0)+COLUMN(C$1),1),""))</f>
        <v>火炎</v>
      </c>
      <c r="BJ129" s="37" t="str">
        <f t="array" ref="BJ129">IF($A129="","",IFERROR(INDEX(CS!$B$1:$B$15025,MATCH($A129,CS!$B:$B,0)+COLUMN(D$1),1),""))</f>
        <v/>
      </c>
      <c r="BK129" s="37" t="str">
        <f t="array" ref="BK129">IF($A129="","",IFERROR(INDEX(CS!$B$1:$B$15025,MATCH($A129,CS!$B:$B,0)+COLUMN(E$1),1),""))</f>
        <v>炎の適用</v>
      </c>
      <c r="BL129" s="37" t="str">
        <f t="array" ref="BL129">IF($A129="","",IFERROR(INDEX(CS!$B$1:$B$15025,MATCH($A129,CS!$B:$B,0)+COLUMN(F$1),1),""))</f>
        <v/>
      </c>
      <c r="BM129" s="37" t="str">
        <f t="array" ref="BM129">IF($A129="","",IFERROR(INDEX(CS!$B$1:$B$15025,MATCH($A129,CS!$B:$B,0)+COLUMN(G$1),1),""))</f>
        <v>火球</v>
      </c>
      <c r="BN129" s="37" t="str">
        <f t="array" ref="BN129">IF($A129="","",IFERROR(INDEX(CS!$B$1:$B$15025,MATCH($A129,CS!$B:$B,0)+COLUMN(H$1),1),""))</f>
        <v/>
      </c>
      <c r="BO129" s="37" t="str">
        <f t="array" ref="BO129">IF($A129="","",IFERROR(INDEX(CS!$B$1:$B$15025,MATCH($A129,CS!$B:$B,0)+COLUMN(I$1),1),""))</f>
        <v>炎強化</v>
      </c>
      <c r="BP129" s="37" t="str">
        <f t="array" ref="BP129">IF($A129="","",IFERROR(INDEX(CS!$B$1:$B$15025,MATCH($A129,CS!$B:$B,0)+COLUMN(J$1),1),""))</f>
        <v>炎撃</v>
      </c>
      <c r="BR129" s="39" t="s">
        <v>2836</v>
      </c>
      <c r="BS129" s="74"/>
      <c r="CG129" s="37" t="s">
        <v>2791</v>
      </c>
      <c r="CJ129" s="37" t="s">
        <v>2792</v>
      </c>
      <c r="CK129" s="37" t="s">
        <v>2793</v>
      </c>
      <c r="CN129" s="37" t="s">
        <v>1102</v>
      </c>
    </row>
    <row r="130" ht="18.75" customHeight="1" outlineLevel="1">
      <c r="A130" s="39" t="s">
        <v>2202</v>
      </c>
      <c r="B130" s="71"/>
      <c r="C130" s="39" t="s">
        <v>2790</v>
      </c>
      <c r="D130" s="72" t="str">
        <f t="shared" si="4"/>
        <v>760/480/280</v>
      </c>
      <c r="E130" s="39">
        <v>2.0</v>
      </c>
      <c r="F130" s="39">
        <v>75.0</v>
      </c>
      <c r="I130" s="39">
        <v>70.0</v>
      </c>
      <c r="J130" s="39">
        <v>70.0</v>
      </c>
      <c r="K130" s="87">
        <v>60.0</v>
      </c>
      <c r="L130" s="39">
        <v>70.0</v>
      </c>
      <c r="M130" s="39">
        <v>55.0</v>
      </c>
      <c r="N130" s="39">
        <v>80.0</v>
      </c>
      <c r="P130" s="37">
        <v>0.0</v>
      </c>
      <c r="Q130" s="64"/>
      <c r="R130" s="64"/>
      <c r="S130" s="64"/>
      <c r="T130" s="64"/>
      <c r="U130" s="64"/>
      <c r="V130" s="64"/>
      <c r="W130" s="64"/>
      <c r="X130" s="64"/>
      <c r="Y130" s="64"/>
      <c r="Z130" s="64"/>
      <c r="AA130" s="64"/>
      <c r="AJ130" s="37">
        <v>40.0</v>
      </c>
      <c r="AK130" s="37">
        <v>25.0</v>
      </c>
      <c r="AL130" s="37">
        <v>65.0</v>
      </c>
      <c r="AM130" s="37">
        <v>20.0</v>
      </c>
      <c r="AN130" s="37">
        <v>20.0</v>
      </c>
      <c r="AO130" s="37">
        <v>0.0</v>
      </c>
      <c r="AP130" s="37">
        <v>0.0</v>
      </c>
      <c r="AQ130" s="37">
        <v>0.0</v>
      </c>
      <c r="AR130" s="37">
        <v>15.0</v>
      </c>
      <c r="AS130" s="37">
        <v>0.0</v>
      </c>
      <c r="AT130" s="37">
        <v>0.0</v>
      </c>
      <c r="AU130" s="37">
        <v>0.0</v>
      </c>
      <c r="AV130" s="37">
        <v>0.0</v>
      </c>
      <c r="AW130" s="37">
        <v>40.0</v>
      </c>
      <c r="AX130" s="37">
        <v>0.0</v>
      </c>
      <c r="AY130" s="37">
        <v>55.0</v>
      </c>
      <c r="AZ130" s="37">
        <v>0.0</v>
      </c>
      <c r="BG130" s="37" t="str">
        <f t="array" ref="BG130">IF($A130="","",IFERROR(INDEX(CS!$B$1:$B$15025,MATCH($A130,CS!$B:$B,0)+COLUMN(A$1),1),""))</f>
        <v>氷の武器</v>
      </c>
      <c r="BH130" s="37" t="str">
        <f t="array" ref="BH130">IF($A130="","",IFERROR(INDEX(CS!$B$1:$B$15025,MATCH($A130,CS!$B:$B,0)+COLUMN(B$1),1),""))</f>
        <v/>
      </c>
      <c r="BI130" s="37" t="str">
        <f t="array" ref="BI130">IF($A130="","",IFERROR(INDEX(CS!$B$1:$B$15025,MATCH($A130,CS!$B:$B,0)+COLUMN(C$1),1),""))</f>
        <v>冷気の光線</v>
      </c>
      <c r="BJ130" s="37" t="str">
        <f t="array" ref="BJ130">IF($A130="","",IFERROR(INDEX(CS!$B$1:$B$15025,MATCH($A130,CS!$B:$B,0)+COLUMN(D$1),1),""))</f>
        <v/>
      </c>
      <c r="BK130" s="37" t="str">
        <f t="array" ref="BK130">IF($A130="","",IFERROR(INDEX(CS!$B$1:$B$15025,MATCH($A130,CS!$B:$B,0)+COLUMN(E$1),1),""))</f>
        <v>氷の適用</v>
      </c>
      <c r="BL130" s="37" t="str">
        <f t="array" ref="BL130">IF($A130="","",IFERROR(INDEX(CS!$B$1:$B$15025,MATCH($A130,CS!$B:$B,0)+COLUMN(F$1),1),""))</f>
        <v/>
      </c>
      <c r="BM130" s="37" t="str">
        <f t="array" ref="BM130">IF($A130="","",IFERROR(INDEX(CS!$B$1:$B$15025,MATCH($A130,CS!$B:$B,0)+COLUMN(G$1),1),""))</f>
        <v>氷柱弾</v>
      </c>
      <c r="BN130" s="37" t="str">
        <f t="array" ref="BN130">IF($A130="","",IFERROR(INDEX(CS!$B$1:$B$15025,MATCH($A130,CS!$B:$B,0)+COLUMN(H$1),1),""))</f>
        <v/>
      </c>
      <c r="BO130" s="37" t="str">
        <f t="array" ref="BO130">IF($A130="","",IFERROR(INDEX(CS!$B$1:$B$15025,MATCH($A130,CS!$B:$B,0)+COLUMN(I$1),1),""))</f>
        <v>氷強化</v>
      </c>
      <c r="BP130" s="37" t="str">
        <f t="array" ref="BP130">IF($A130="","",IFERROR(INDEX(CS!$B$1:$B$15025,MATCH($A130,CS!$B:$B,0)+COLUMN(J$1),1),""))</f>
        <v>氷結撃</v>
      </c>
      <c r="BR130" s="39" t="s">
        <v>2836</v>
      </c>
      <c r="BS130" s="74"/>
      <c r="CG130" s="37" t="s">
        <v>2791</v>
      </c>
      <c r="CJ130" s="37" t="s">
        <v>2792</v>
      </c>
      <c r="CK130" s="37" t="s">
        <v>2793</v>
      </c>
      <c r="CN130" s="37" t="s">
        <v>1102</v>
      </c>
    </row>
    <row r="131" ht="18.75" customHeight="1" outlineLevel="1">
      <c r="A131" s="39" t="s">
        <v>2209</v>
      </c>
      <c r="B131" s="71"/>
      <c r="C131" s="39" t="s">
        <v>2790</v>
      </c>
      <c r="D131" s="72" t="str">
        <f t="shared" si="4"/>
        <v>760/480/280</v>
      </c>
      <c r="E131" s="39">
        <v>2.0</v>
      </c>
      <c r="F131" s="39">
        <v>75.0</v>
      </c>
      <c r="I131" s="39">
        <v>70.0</v>
      </c>
      <c r="J131" s="39">
        <v>70.0</v>
      </c>
      <c r="K131" s="87">
        <v>60.0</v>
      </c>
      <c r="L131" s="39">
        <v>70.0</v>
      </c>
      <c r="M131" s="39">
        <v>55.0</v>
      </c>
      <c r="N131" s="39">
        <v>80.0</v>
      </c>
      <c r="P131" s="37">
        <v>0.0</v>
      </c>
      <c r="Q131" s="64"/>
      <c r="R131" s="64"/>
      <c r="S131" s="64"/>
      <c r="T131" s="64"/>
      <c r="U131" s="64"/>
      <c r="V131" s="64"/>
      <c r="W131" s="64"/>
      <c r="X131" s="64"/>
      <c r="Y131" s="64"/>
      <c r="Z131" s="64"/>
      <c r="AA131" s="64"/>
      <c r="AJ131" s="37">
        <v>40.0</v>
      </c>
      <c r="AK131" s="37">
        <v>25.0</v>
      </c>
      <c r="AL131" s="37">
        <v>65.0</v>
      </c>
      <c r="AM131" s="37">
        <v>20.0</v>
      </c>
      <c r="AN131" s="37">
        <v>20.0</v>
      </c>
      <c r="AO131" s="37">
        <v>0.0</v>
      </c>
      <c r="AP131" s="37">
        <v>0.0</v>
      </c>
      <c r="AQ131" s="37">
        <v>0.0</v>
      </c>
      <c r="AR131" s="37">
        <v>15.0</v>
      </c>
      <c r="AS131" s="37">
        <v>0.0</v>
      </c>
      <c r="AT131" s="37">
        <v>0.0</v>
      </c>
      <c r="AU131" s="37">
        <v>0.0</v>
      </c>
      <c r="AV131" s="37">
        <v>0.0</v>
      </c>
      <c r="AW131" s="37">
        <v>40.0</v>
      </c>
      <c r="AX131" s="37">
        <v>0.0</v>
      </c>
      <c r="AY131" s="37">
        <v>55.0</v>
      </c>
      <c r="AZ131" s="37">
        <v>0.0</v>
      </c>
      <c r="BG131" s="37" t="str">
        <f t="array" ref="BG131">IF($A131="","",IFERROR(INDEX(CS!$B$1:$B$15025,MATCH($A131,CS!$B:$B,0)+COLUMN(A$1),1),""))</f>
        <v>雷の武器</v>
      </c>
      <c r="BH131" s="37" t="str">
        <f t="array" ref="BH131">IF($A131="","",IFERROR(INDEX(CS!$B$1:$B$15025,MATCH($A131,CS!$B:$B,0)+COLUMN(B$1),1),""))</f>
        <v/>
      </c>
      <c r="BI131" s="37" t="str">
        <f t="array" ref="BI131">IF($A131="","",IFERROR(INDEX(CS!$B$1:$B$15025,MATCH($A131,CS!$B:$B,0)+COLUMN(C$1),1),""))</f>
        <v>放電</v>
      </c>
      <c r="BJ131" s="37" t="str">
        <f t="array" ref="BJ131">IF($A131="","",IFERROR(INDEX(CS!$B$1:$B$15025,MATCH($A131,CS!$B:$B,0)+COLUMN(D$1),1),""))</f>
        <v/>
      </c>
      <c r="BK131" s="37" t="str">
        <f t="array" ref="BK131">IF($A131="","",IFERROR(INDEX(CS!$B$1:$B$15025,MATCH($A131,CS!$B:$B,0)+COLUMN(E$1),1),""))</f>
        <v>雷の適用</v>
      </c>
      <c r="BL131" s="37" t="str">
        <f t="array" ref="BL131">IF($A131="","",IFERROR(INDEX(CS!$B$1:$B$15025,MATCH($A131,CS!$B:$B,0)+COLUMN(F$1),1),""))</f>
        <v/>
      </c>
      <c r="BM131" s="37" t="str">
        <f t="array" ref="BM131">IF($A131="","",IFERROR(INDEX(CS!$B$1:$B$15025,MATCH($A131,CS!$B:$B,0)+COLUMN(G$1),1),""))</f>
        <v>電弧放電</v>
      </c>
      <c r="BN131" s="37" t="str">
        <f t="array" ref="BN131">IF($A131="","",IFERROR(INDEX(CS!$B$1:$B$15025,MATCH($A131,CS!$B:$B,0)+COLUMN(H$1),1),""))</f>
        <v/>
      </c>
      <c r="BO131" s="37" t="str">
        <f t="array" ref="BO131">IF($A131="","",IFERROR(INDEX(CS!$B$1:$B$15025,MATCH($A131,CS!$B:$B,0)+COLUMN(I$1),1),""))</f>
        <v>雷強化</v>
      </c>
      <c r="BP131" s="37" t="str">
        <f t="array" ref="BP131">IF($A131="","",IFERROR(INDEX(CS!$B$1:$B$15025,MATCH($A131,CS!$B:$B,0)+COLUMN(J$1),1),""))</f>
        <v>雷鳴撃</v>
      </c>
      <c r="BR131" s="39" t="s">
        <v>2836</v>
      </c>
      <c r="BS131" s="74"/>
      <c r="CG131" s="37" t="s">
        <v>2791</v>
      </c>
      <c r="CJ131" s="37" t="s">
        <v>2792</v>
      </c>
      <c r="CK131" s="37" t="s">
        <v>2793</v>
      </c>
      <c r="CN131" s="37" t="s">
        <v>1102</v>
      </c>
    </row>
    <row r="132" ht="18.75" customHeight="1" outlineLevel="1">
      <c r="A132" s="39" t="s">
        <v>2216</v>
      </c>
      <c r="B132" s="71"/>
      <c r="C132" s="39" t="s">
        <v>2790</v>
      </c>
      <c r="D132" s="72" t="str">
        <f t="shared" si="4"/>
        <v>760/480/280</v>
      </c>
      <c r="E132" s="39">
        <v>2.0</v>
      </c>
      <c r="F132" s="39">
        <v>75.0</v>
      </c>
      <c r="I132" s="39">
        <v>70.0</v>
      </c>
      <c r="J132" s="39">
        <v>70.0</v>
      </c>
      <c r="K132" s="87">
        <v>60.0</v>
      </c>
      <c r="L132" s="39">
        <v>70.0</v>
      </c>
      <c r="M132" s="39">
        <v>55.0</v>
      </c>
      <c r="N132" s="39">
        <v>80.0</v>
      </c>
      <c r="P132" s="37">
        <v>0.0</v>
      </c>
      <c r="Q132" s="64"/>
      <c r="R132" s="64"/>
      <c r="S132" s="64"/>
      <c r="T132" s="64"/>
      <c r="U132" s="64"/>
      <c r="V132" s="64"/>
      <c r="W132" s="64"/>
      <c r="X132" s="64"/>
      <c r="Y132" s="64"/>
      <c r="Z132" s="64"/>
      <c r="AA132" s="64"/>
      <c r="AJ132" s="37">
        <v>40.0</v>
      </c>
      <c r="AK132" s="37">
        <v>25.0</v>
      </c>
      <c r="AL132" s="37">
        <v>65.0</v>
      </c>
      <c r="AM132" s="37">
        <v>20.0</v>
      </c>
      <c r="AN132" s="37">
        <v>20.0</v>
      </c>
      <c r="AO132" s="37">
        <v>0.0</v>
      </c>
      <c r="AP132" s="37">
        <v>0.0</v>
      </c>
      <c r="AQ132" s="37">
        <v>0.0</v>
      </c>
      <c r="AR132" s="37">
        <v>15.0</v>
      </c>
      <c r="AS132" s="37">
        <v>0.0</v>
      </c>
      <c r="AT132" s="37">
        <v>0.0</v>
      </c>
      <c r="AU132" s="37">
        <v>0.0</v>
      </c>
      <c r="AV132" s="37">
        <v>0.0</v>
      </c>
      <c r="AW132" s="37">
        <v>40.0</v>
      </c>
      <c r="AX132" s="37">
        <v>0.0</v>
      </c>
      <c r="AY132" s="37">
        <v>55.0</v>
      </c>
      <c r="AZ132" s="37">
        <v>0.0</v>
      </c>
      <c r="BG132" s="37" t="str">
        <f t="array" ref="BG132">IF($A132="","",IFERROR(INDEX(CS!$B$1:$B$15025,MATCH($A132,CS!$B:$B,0)+COLUMN(A$1),1),""))</f>
        <v>酸の武器</v>
      </c>
      <c r="BH132" s="37" t="str">
        <f t="array" ref="BH132">IF($A132="","",IFERROR(INDEX(CS!$B$1:$B$15025,MATCH($A132,CS!$B:$B,0)+COLUMN(B$1),1),""))</f>
        <v/>
      </c>
      <c r="BI132" s="37" t="str">
        <f t="array" ref="BI132">IF($A132="","",IFERROR(INDEX(CS!$B$1:$B$15025,MATCH($A132,CS!$B:$B,0)+COLUMN(C$1),1),""))</f>
        <v>酸滴</v>
      </c>
      <c r="BJ132" s="37" t="str">
        <f t="array" ref="BJ132">IF($A132="","",IFERROR(INDEX(CS!$B$1:$B$15025,MATCH($A132,CS!$B:$B,0)+COLUMN(D$1),1),""))</f>
        <v/>
      </c>
      <c r="BK132" s="37" t="str">
        <f t="array" ref="BK132">IF($A132="","",IFERROR(INDEX(CS!$B$1:$B$15025,MATCH($A132,CS!$B:$B,0)+COLUMN(E$1),1),""))</f>
        <v>毒の適用</v>
      </c>
      <c r="BL132" s="37" t="str">
        <f t="array" ref="BL132">IF($A132="","",IFERROR(INDEX(CS!$B$1:$B$15025,MATCH($A132,CS!$B:$B,0)+COLUMN(F$1),1),""))</f>
        <v/>
      </c>
      <c r="BM132" s="37" t="str">
        <f t="array" ref="BM132">IF($A132="","",IFERROR(INDEX(CS!$B$1:$B$15025,MATCH($A132,CS!$B:$B,0)+COLUMN(G$1),1),""))</f>
        <v>酸の落流</v>
      </c>
      <c r="BN132" s="37" t="str">
        <f t="array" ref="BN132">IF($A132="","",IFERROR(INDEX(CS!$B$1:$B$15025,MATCH($A132,CS!$B:$B,0)+COLUMN(H$1),1),""))</f>
        <v/>
      </c>
      <c r="BO132" s="37" t="str">
        <f t="array" ref="BO132">IF($A132="","",IFERROR(INDEX(CS!$B$1:$B$15025,MATCH($A132,CS!$B:$B,0)+COLUMN(I$1),1),""))</f>
        <v>毒強化</v>
      </c>
      <c r="BP132" s="37" t="str">
        <f t="array" ref="BP132">IF($A132="","",IFERROR(INDEX(CS!$B$1:$B$15025,MATCH($A132,CS!$B:$B,0)+COLUMN(J$1),1),""))</f>
        <v>腐食撃</v>
      </c>
      <c r="BR132" s="39" t="s">
        <v>2836</v>
      </c>
      <c r="BS132" s="74"/>
      <c r="CG132" s="37" t="s">
        <v>2791</v>
      </c>
      <c r="CJ132" s="37" t="s">
        <v>2792</v>
      </c>
      <c r="CK132" s="37" t="s">
        <v>2793</v>
      </c>
      <c r="CN132" s="37" t="s">
        <v>1102</v>
      </c>
    </row>
    <row r="133" ht="18.75" customHeight="1" outlineLevel="1">
      <c r="A133" s="39" t="s">
        <v>2223</v>
      </c>
      <c r="B133" s="71"/>
      <c r="C133" s="39" t="s">
        <v>2790</v>
      </c>
      <c r="D133" s="72" t="str">
        <f t="shared" si="4"/>
        <v>760/480/280</v>
      </c>
      <c r="E133" s="39">
        <v>2.0</v>
      </c>
      <c r="F133" s="39">
        <v>75.0</v>
      </c>
      <c r="I133" s="39">
        <v>70.0</v>
      </c>
      <c r="J133" s="39">
        <v>70.0</v>
      </c>
      <c r="K133" s="87">
        <v>60.0</v>
      </c>
      <c r="L133" s="39">
        <v>70.0</v>
      </c>
      <c r="M133" s="39">
        <v>55.0</v>
      </c>
      <c r="N133" s="39">
        <v>80.0</v>
      </c>
      <c r="P133" s="37">
        <v>0.0</v>
      </c>
      <c r="Q133" s="64"/>
      <c r="R133" s="64"/>
      <c r="S133" s="64"/>
      <c r="T133" s="64"/>
      <c r="U133" s="64"/>
      <c r="V133" s="64"/>
      <c r="W133" s="64"/>
      <c r="X133" s="64"/>
      <c r="Y133" s="64"/>
      <c r="Z133" s="64"/>
      <c r="AA133" s="64"/>
      <c r="AJ133" s="37">
        <v>40.0</v>
      </c>
      <c r="AK133" s="37">
        <v>25.0</v>
      </c>
      <c r="AL133" s="37">
        <v>65.0</v>
      </c>
      <c r="AM133" s="37">
        <v>20.0</v>
      </c>
      <c r="AN133" s="37">
        <v>20.0</v>
      </c>
      <c r="AO133" s="37">
        <v>0.0</v>
      </c>
      <c r="AP133" s="37">
        <v>0.0</v>
      </c>
      <c r="AQ133" s="37">
        <v>0.0</v>
      </c>
      <c r="AR133" s="37">
        <v>15.0</v>
      </c>
      <c r="AS133" s="37">
        <v>0.0</v>
      </c>
      <c r="AT133" s="37">
        <v>0.0</v>
      </c>
      <c r="AU133" s="37">
        <v>0.0</v>
      </c>
      <c r="AV133" s="37">
        <v>0.0</v>
      </c>
      <c r="AW133" s="37">
        <v>40.0</v>
      </c>
      <c r="AX133" s="37">
        <v>0.0</v>
      </c>
      <c r="AY133" s="37">
        <v>55.0</v>
      </c>
      <c r="AZ133" s="37">
        <v>0.0</v>
      </c>
      <c r="BG133" s="37" t="str">
        <f t="array" ref="BG133">IF($A133="","",IFERROR(INDEX(CS!$B$1:$B$15025,MATCH($A133,CS!$B:$B,0)+COLUMN(A$1),1),""))</f>
        <v>風の武器</v>
      </c>
      <c r="BH133" s="37" t="str">
        <f t="array" ref="BH133">IF($A133="","",IFERROR(INDEX(CS!$B$1:$B$15025,MATCH($A133,CS!$B:$B,0)+COLUMN(B$1),1),""))</f>
        <v/>
      </c>
      <c r="BI133" s="37" t="str">
        <f t="array" ref="BI133">IF($A133="","",IFERROR(INDEX(CS!$B$1:$B$15025,MATCH($A133,CS!$B:$B,0)+COLUMN(C$1),1),""))</f>
        <v>突風</v>
      </c>
      <c r="BJ133" s="37" t="str">
        <f t="array" ref="BJ133">IF($A133="","",IFERROR(INDEX(CS!$B$1:$B$15025,MATCH($A133,CS!$B:$B,0)+COLUMN(D$1),1),""))</f>
        <v/>
      </c>
      <c r="BK133" s="37" t="str">
        <f t="array" ref="BK133">IF($A133="","",IFERROR(INDEX(CS!$B$1:$B$15025,MATCH($A133,CS!$B:$B,0)+COLUMN(E$1),1),""))</f>
        <v>風の適用</v>
      </c>
      <c r="BL133" s="37" t="str">
        <f t="array" ref="BL133">IF($A133="","",IFERROR(INDEX(CS!$B$1:$B$15025,MATCH($A133,CS!$B:$B,0)+COLUMN(F$1),1),""))</f>
        <v/>
      </c>
      <c r="BM133" s="37" t="str">
        <f t="array" ref="BM133">IF($A133="","",IFERROR(INDEX(CS!$B$1:$B$15025,MATCH($A133,CS!$B:$B,0)+COLUMN(G$1),1),""))</f>
        <v>上昇烈風</v>
      </c>
      <c r="BN133" s="37" t="str">
        <f t="array" ref="BN133">IF($A133="","",IFERROR(INDEX(CS!$B$1:$B$15025,MATCH($A133,CS!$B:$B,0)+COLUMN(H$1),1),""))</f>
        <v/>
      </c>
      <c r="BO133" s="37" t="str">
        <f t="array" ref="BO133">IF($A133="","",IFERROR(INDEX(CS!$B$1:$B$15025,MATCH($A133,CS!$B:$B,0)+COLUMN(I$1),1),""))</f>
        <v>風強化</v>
      </c>
      <c r="BP133" s="37" t="str">
        <f t="array" ref="BP133">IF($A133="","",IFERROR(INDEX(CS!$B$1:$B$15025,MATCH($A133,CS!$B:$B,0)+COLUMN(J$1),1),""))</f>
        <v>烈風撃</v>
      </c>
      <c r="BR133" s="39" t="s">
        <v>2836</v>
      </c>
      <c r="BS133" s="74"/>
      <c r="CG133" s="37" t="s">
        <v>2791</v>
      </c>
      <c r="CJ133" s="37" t="s">
        <v>2792</v>
      </c>
      <c r="CK133" s="37" t="s">
        <v>2793</v>
      </c>
      <c r="CN133" s="37" t="s">
        <v>1102</v>
      </c>
    </row>
    <row r="134" ht="18.75" customHeight="1" outlineLevel="1">
      <c r="A134" s="39" t="s">
        <v>2228</v>
      </c>
      <c r="B134" s="71"/>
      <c r="C134" s="39" t="s">
        <v>2790</v>
      </c>
      <c r="D134" s="72" t="str">
        <f t="shared" si="4"/>
        <v>760/480/280</v>
      </c>
      <c r="E134" s="39">
        <v>2.0</v>
      </c>
      <c r="F134" s="39">
        <v>75.0</v>
      </c>
      <c r="I134" s="39">
        <v>70.0</v>
      </c>
      <c r="J134" s="39">
        <v>70.0</v>
      </c>
      <c r="K134" s="87">
        <v>60.0</v>
      </c>
      <c r="L134" s="39">
        <v>70.0</v>
      </c>
      <c r="M134" s="39">
        <v>55.0</v>
      </c>
      <c r="N134" s="39">
        <v>80.0</v>
      </c>
      <c r="P134" s="37">
        <v>0.0</v>
      </c>
      <c r="Q134" s="64"/>
      <c r="R134" s="64"/>
      <c r="S134" s="64"/>
      <c r="T134" s="64"/>
      <c r="U134" s="64"/>
      <c r="V134" s="64"/>
      <c r="W134" s="64"/>
      <c r="X134" s="64"/>
      <c r="Y134" s="64"/>
      <c r="Z134" s="64"/>
      <c r="AA134" s="64"/>
      <c r="AJ134" s="37">
        <v>40.0</v>
      </c>
      <c r="AK134" s="37">
        <v>25.0</v>
      </c>
      <c r="AL134" s="37">
        <v>65.0</v>
      </c>
      <c r="AM134" s="37">
        <v>20.0</v>
      </c>
      <c r="AN134" s="37">
        <v>20.0</v>
      </c>
      <c r="AO134" s="37">
        <v>0.0</v>
      </c>
      <c r="AP134" s="37">
        <v>0.0</v>
      </c>
      <c r="AQ134" s="37">
        <v>0.0</v>
      </c>
      <c r="AR134" s="37">
        <v>15.0</v>
      </c>
      <c r="AS134" s="37">
        <v>0.0</v>
      </c>
      <c r="AT134" s="37">
        <v>0.0</v>
      </c>
      <c r="AU134" s="37">
        <v>0.0</v>
      </c>
      <c r="AV134" s="37">
        <v>0.0</v>
      </c>
      <c r="AW134" s="37">
        <v>40.0</v>
      </c>
      <c r="AX134" s="37">
        <v>0.0</v>
      </c>
      <c r="AY134" s="37">
        <v>55.0</v>
      </c>
      <c r="AZ134" s="37">
        <v>0.0</v>
      </c>
      <c r="BG134" s="37" t="str">
        <f t="array" ref="BG134">IF($A134="","",IFERROR(INDEX(CS!$B$1:$B$15025,MATCH($A134,CS!$B:$B,0)+COLUMN(A$1),1),""))</f>
        <v>岩の武器</v>
      </c>
      <c r="BH134" s="37" t="str">
        <f t="array" ref="BH134">IF($A134="","",IFERROR(INDEX(CS!$B$1:$B$15025,MATCH($A134,CS!$B:$B,0)+COLUMN(B$1),1),""))</f>
        <v/>
      </c>
      <c r="BI134" s="37" t="str">
        <f t="array" ref="BI134">IF($A134="","",IFERROR(INDEX(CS!$B$1:$B$15025,MATCH($A134,CS!$B:$B,0)+COLUMN(C$1),1),""))</f>
        <v>魔法の石</v>
      </c>
      <c r="BJ134" s="37" t="str">
        <f t="array" ref="BJ134">IF($A134="","",IFERROR(INDEX(CS!$B$1:$B$15025,MATCH($A134,CS!$B:$B,0)+COLUMN(D$1),1),""))</f>
        <v/>
      </c>
      <c r="BK134" s="37" t="str">
        <f t="array" ref="BK134">IF($A134="","",IFERROR(INDEX(CS!$B$1:$B$15025,MATCH($A134,CS!$B:$B,0)+COLUMN(E$1),1),""))</f>
        <v>石の適用</v>
      </c>
      <c r="BL134" s="37" t="str">
        <f t="array" ref="BL134">IF($A134="","",IFERROR(INDEX(CS!$B$1:$B$15025,MATCH($A134,CS!$B:$B,0)+COLUMN(F$1),1),""))</f>
        <v/>
      </c>
      <c r="BM134" s="37" t="str">
        <f t="array" ref="BM134">IF($A134="","",IFERROR(INDEX(CS!$B$1:$B$15025,MATCH($A134,CS!$B:$B,0)+COLUMN(G$1),1),""))</f>
        <v>水晶片</v>
      </c>
      <c r="BN134" s="37" t="str">
        <f t="array" ref="BN134">IF($A134="","",IFERROR(INDEX(CS!$B$1:$B$15025,MATCH($A134,CS!$B:$B,0)+COLUMN(H$1),1),""))</f>
        <v/>
      </c>
      <c r="BO134" s="37" t="str">
        <f t="array" ref="BO134">IF($A134="","",IFERROR(INDEX(CS!$B$1:$B$15025,MATCH($A134,CS!$B:$B,0)+COLUMN(I$1),1),""))</f>
        <v>地強化</v>
      </c>
      <c r="BP134" s="37" t="str">
        <f t="array" ref="BP134">IF($A134="","",IFERROR(INDEX(CS!$B$1:$B$15025,MATCH($A134,CS!$B:$B,0)+COLUMN(J$1),1),""))</f>
        <v>岩砕撃</v>
      </c>
      <c r="BR134" s="39" t="s">
        <v>2836</v>
      </c>
      <c r="BS134" s="74"/>
      <c r="CG134" s="37" t="s">
        <v>2791</v>
      </c>
      <c r="CJ134" s="37" t="s">
        <v>2792</v>
      </c>
      <c r="CK134" s="37" t="s">
        <v>2793</v>
      </c>
      <c r="CN134" s="37" t="s">
        <v>1102</v>
      </c>
    </row>
    <row r="135" ht="18.75" customHeight="1">
      <c r="B135" s="71"/>
      <c r="D135" s="72"/>
      <c r="K135" s="73"/>
      <c r="P135" s="37" t="s">
        <v>29</v>
      </c>
      <c r="Q135" s="64"/>
      <c r="R135" s="64"/>
      <c r="S135" s="64"/>
      <c r="T135" s="64"/>
      <c r="U135" s="64"/>
      <c r="V135" s="64"/>
      <c r="W135" s="64"/>
      <c r="X135" s="64"/>
      <c r="Y135" s="64"/>
      <c r="Z135" s="64"/>
      <c r="AA135" s="64"/>
      <c r="AJ135" s="37" t="s">
        <v>29</v>
      </c>
      <c r="AK135" s="37" t="s">
        <v>29</v>
      </c>
      <c r="AL135" s="37" t="s">
        <v>29</v>
      </c>
      <c r="AM135" s="37" t="s">
        <v>29</v>
      </c>
      <c r="AN135" s="37" t="s">
        <v>29</v>
      </c>
      <c r="AO135" s="37" t="s">
        <v>29</v>
      </c>
      <c r="AP135" s="37" t="s">
        <v>29</v>
      </c>
      <c r="AQ135" s="37" t="s">
        <v>29</v>
      </c>
      <c r="AR135" s="37" t="s">
        <v>29</v>
      </c>
      <c r="AS135" s="37" t="s">
        <v>29</v>
      </c>
      <c r="AT135" s="37" t="s">
        <v>29</v>
      </c>
      <c r="AU135" s="37" t="s">
        <v>29</v>
      </c>
      <c r="AV135" s="37" t="s">
        <v>29</v>
      </c>
      <c r="AW135" s="37" t="s">
        <v>29</v>
      </c>
      <c r="AX135" s="37" t="s">
        <v>29</v>
      </c>
      <c r="AY135" s="37" t="s">
        <v>29</v>
      </c>
      <c r="AZ135" s="37" t="s">
        <v>29</v>
      </c>
      <c r="BG135" s="37" t="str">
        <f t="array" ref="BG135">IF($A135="","", INDEX(CS!$B$1:$B$15025,MATCH($A135,CS!$B:$B,0)+COLUMN(A$1),1))</f>
        <v/>
      </c>
      <c r="BH135" s="37" t="str">
        <f t="array" ref="BH135">IF($A135="","", INDEX(CS!$B$1:$B$15025,MATCH($A135,CS!$B:$B,0)+COLUMN(B$1),1))</f>
        <v/>
      </c>
      <c r="BI135" s="37" t="str">
        <f t="array" ref="BI135">IF($A135="","", INDEX(CS!$B$1:$B$15025,MATCH($A135,CS!$B:$B,0)+COLUMN(C$1),1))</f>
        <v/>
      </c>
      <c r="BJ135" s="37" t="str">
        <f t="array" ref="BJ135">IF($A135="","", INDEX(CS!$B$1:$B$15025,MATCH($A135,CS!$B:$B,0)+COLUMN(D$1),1))</f>
        <v/>
      </c>
      <c r="BK135" s="37" t="str">
        <f t="array" ref="BK135">IF($A135="","", INDEX(CS!$B$1:$B$15025,MATCH($A135,CS!$B:$B,0)+COLUMN(E$1),1))</f>
        <v/>
      </c>
      <c r="BL135" s="37" t="str">
        <f t="array" ref="BL135">IF($A135="","", INDEX(CS!$B$1:$B$15025,MATCH($A135,CS!$B:$B,0)+COLUMN(F$1),1))</f>
        <v/>
      </c>
      <c r="BM135" s="37" t="str">
        <f t="array" ref="BM135">IF($A135="","", INDEX(CS!$B$1:$B$15025,MATCH($A135,CS!$B:$B,0)+COLUMN(G$1),1))</f>
        <v/>
      </c>
      <c r="BN135" s="37" t="str">
        <f t="array" ref="BN135">IF($A135="","", INDEX(CS!$B$1:$B$15025,MATCH($A135,CS!$B:$B,0)+COLUMN(H$1),1))</f>
        <v/>
      </c>
      <c r="BO135" s="37" t="str">
        <f t="array" ref="BO135">IF($A135="","", INDEX(CS!$B$1:$B$15025,MATCH($A135,CS!$B:$B,0)+COLUMN(I$1),1))</f>
        <v/>
      </c>
      <c r="BP135" s="37" t="str">
        <f t="array" ref="BP135">IF($A135="","", INDEX(CS!$B$1:$B$15025,MATCH($A135,CS!$B:$B,0)+COLUMN(J$1),1))</f>
        <v/>
      </c>
      <c r="BS135" s="74"/>
      <c r="CI135" s="37" t="s">
        <v>2819</v>
      </c>
      <c r="CJ135" s="37" t="s">
        <v>2800</v>
      </c>
      <c r="CK135" s="37" t="s">
        <v>2793</v>
      </c>
    </row>
    <row r="136" ht="18.75" customHeight="1">
      <c r="B136" s="85" t="s">
        <v>2837</v>
      </c>
      <c r="D136" s="72" t="str">
        <f t="shared" ref="D136:D146" si="5">SUM(AJ136:AZ136,F136:N136)&amp;"/"&amp;SUM(F136:N136)&amp;"/"&amp;SUM(AJ136:AZ136)</f>
        <v>0/0/0</v>
      </c>
      <c r="E136" s="37">
        <v>1.0</v>
      </c>
      <c r="K136" s="73"/>
      <c r="P136" s="37" t="s">
        <v>29</v>
      </c>
      <c r="Q136" s="64"/>
      <c r="R136" s="64"/>
      <c r="S136" s="64"/>
      <c r="T136" s="64"/>
      <c r="U136" s="64"/>
      <c r="V136" s="64"/>
      <c r="W136" s="64"/>
      <c r="X136" s="64"/>
      <c r="Y136" s="64"/>
      <c r="Z136" s="64"/>
      <c r="AA136" s="64"/>
      <c r="AJ136" s="37" t="s">
        <v>29</v>
      </c>
      <c r="AK136" s="37" t="s">
        <v>29</v>
      </c>
      <c r="AL136" s="37" t="s">
        <v>29</v>
      </c>
      <c r="AM136" s="37" t="s">
        <v>29</v>
      </c>
      <c r="AN136" s="37" t="s">
        <v>29</v>
      </c>
      <c r="AO136" s="37" t="s">
        <v>29</v>
      </c>
      <c r="AP136" s="37" t="s">
        <v>29</v>
      </c>
      <c r="AQ136" s="37" t="s">
        <v>29</v>
      </c>
      <c r="AR136" s="37" t="s">
        <v>29</v>
      </c>
      <c r="AS136" s="37" t="s">
        <v>29</v>
      </c>
      <c r="AT136" s="37" t="s">
        <v>29</v>
      </c>
      <c r="AU136" s="37" t="s">
        <v>29</v>
      </c>
      <c r="AV136" s="37" t="s">
        <v>29</v>
      </c>
      <c r="AW136" s="37" t="s">
        <v>29</v>
      </c>
      <c r="AX136" s="37" t="s">
        <v>29</v>
      </c>
      <c r="AY136" s="37" t="s">
        <v>29</v>
      </c>
      <c r="AZ136" s="37" t="s">
        <v>29</v>
      </c>
      <c r="BG136" s="37" t="str">
        <f t="array" ref="BG136">IF($A136="","", INDEX(CS!$B$1:$B$15025,MATCH($A136,CS!$B:$B,0)+COLUMN(A$1),1))</f>
        <v/>
      </c>
      <c r="BH136" s="37" t="str">
        <f t="array" ref="BH136">IF($A136="","", INDEX(CS!$B$1:$B$15025,MATCH($A136,CS!$B:$B,0)+COLUMN(B$1),1))</f>
        <v/>
      </c>
      <c r="BI136" s="37" t="str">
        <f t="array" ref="BI136">IF($A136="","", INDEX(CS!$B$1:$B$15025,MATCH($A136,CS!$B:$B,0)+COLUMN(C$1),1))</f>
        <v/>
      </c>
      <c r="BJ136" s="37" t="str">
        <f t="array" ref="BJ136">IF($A136="","", INDEX(CS!$B$1:$B$15025,MATCH($A136,CS!$B:$B,0)+COLUMN(D$1),1))</f>
        <v/>
      </c>
      <c r="BK136" s="37" t="str">
        <f t="array" ref="BK136">IF($A136="","", INDEX(CS!$B$1:$B$15025,MATCH($A136,CS!$B:$B,0)+COLUMN(E$1),1))</f>
        <v/>
      </c>
      <c r="BL136" s="37" t="str">
        <f t="array" ref="BL136">IF($A136="","", INDEX(CS!$B$1:$B$15025,MATCH($A136,CS!$B:$B,0)+COLUMN(F$1),1))</f>
        <v/>
      </c>
      <c r="BM136" s="37" t="str">
        <f t="array" ref="BM136">IF($A136="","", INDEX(CS!$B$1:$B$15025,MATCH($A136,CS!$B:$B,0)+COLUMN(G$1),1))</f>
        <v/>
      </c>
      <c r="BN136" s="37" t="str">
        <f t="array" ref="BN136">IF($A136="","", INDEX(CS!$B$1:$B$15025,MATCH($A136,CS!$B:$B,0)+COLUMN(H$1),1))</f>
        <v/>
      </c>
      <c r="BO136" s="37" t="str">
        <f t="array" ref="BO136">IF($A136="","", INDEX(CS!$B$1:$B$15025,MATCH($A136,CS!$B:$B,0)+COLUMN(I$1),1))</f>
        <v/>
      </c>
      <c r="BP136" s="37" t="str">
        <f t="array" ref="BP136">IF($A136="","", INDEX(CS!$B$1:$B$15025,MATCH($A136,CS!$B:$B,0)+COLUMN(J$1),1))</f>
        <v/>
      </c>
      <c r="BS136" s="74"/>
    </row>
    <row r="137" ht="18.75" customHeight="1" outlineLevel="1">
      <c r="A137" s="37" t="s">
        <v>2234</v>
      </c>
      <c r="B137" s="71" t="s">
        <v>2235</v>
      </c>
      <c r="C137" s="39" t="s">
        <v>2803</v>
      </c>
      <c r="D137" s="72" t="str">
        <f t="shared" si="5"/>
        <v>710/445/265</v>
      </c>
      <c r="E137" s="37">
        <v>1.0</v>
      </c>
      <c r="F137" s="37">
        <v>75.0</v>
      </c>
      <c r="I137" s="37">
        <v>75.0</v>
      </c>
      <c r="J137" s="37">
        <v>50.0</v>
      </c>
      <c r="K137" s="73">
        <v>25.0</v>
      </c>
      <c r="L137" s="37">
        <v>50.0</v>
      </c>
      <c r="M137" s="37">
        <v>85.0</v>
      </c>
      <c r="N137" s="37">
        <v>85.0</v>
      </c>
      <c r="P137" s="37">
        <v>0.0</v>
      </c>
      <c r="Q137" s="64"/>
      <c r="R137" s="64"/>
      <c r="S137" s="64"/>
      <c r="T137" s="64"/>
      <c r="U137" s="64"/>
      <c r="V137" s="64"/>
      <c r="W137" s="64"/>
      <c r="X137" s="64"/>
      <c r="Y137" s="64"/>
      <c r="Z137" s="64"/>
      <c r="AA137" s="64"/>
      <c r="AJ137" s="37">
        <v>0.0</v>
      </c>
      <c r="AK137" s="37">
        <v>0.0</v>
      </c>
      <c r="AL137" s="37">
        <v>0.0</v>
      </c>
      <c r="AM137" s="37">
        <v>50.0</v>
      </c>
      <c r="AN137" s="37">
        <v>65.0</v>
      </c>
      <c r="AO137" s="37">
        <v>0.0</v>
      </c>
      <c r="AP137" s="37">
        <v>0.0</v>
      </c>
      <c r="AQ137" s="37">
        <v>75.0</v>
      </c>
      <c r="AR137" s="37">
        <v>75.0</v>
      </c>
      <c r="AS137" s="37">
        <v>0.0</v>
      </c>
      <c r="AT137" s="37">
        <v>0.0</v>
      </c>
      <c r="AU137" s="37">
        <v>0.0</v>
      </c>
      <c r="AV137" s="37">
        <v>0.0</v>
      </c>
      <c r="AW137" s="37">
        <v>0.0</v>
      </c>
      <c r="AX137" s="37">
        <v>0.0</v>
      </c>
      <c r="AY137" s="37">
        <v>0.0</v>
      </c>
      <c r="AZ137" s="37">
        <v>0.0</v>
      </c>
      <c r="BG137" s="37" t="str">
        <f t="array" ref="BG137">IF($A137="","", INDEX(CS!$B$1:$B$15025,MATCH($A137,CS!$B:$B,0)+COLUMN(A$1),1))</f>
        <v>急所撃</v>
      </c>
      <c r="BH137" s="37" t="str">
        <f t="array" ref="BH137">IF($A137="","", INDEX(CS!$B$1:$B$15025,MATCH($A137,CS!$B:$B,0)+COLUMN(B$1),1))</f>
        <v>狙い</v>
      </c>
      <c r="BI137" s="37" t="str">
        <f t="array" ref="BI137">IF($A137="","", INDEX(CS!$B$1:$B$15025,MATCH($A137,CS!$B:$B,0)+COLUMN(C$1),1))</f>
        <v>隠密</v>
      </c>
      <c r="BJ137" s="37" t="str">
        <f t="array" ref="BJ137">IF($A137="","", INDEX(CS!$B$1:$B$15025,MATCH($A137,CS!$B:$B,0)+COLUMN(D$1),1))</f>
        <v>痛撃</v>
      </c>
      <c r="BK137" s="37" t="str">
        <f t="array" ref="BK137">IF($A137="","", INDEX(CS!$B$1:$B$15025,MATCH($A137,CS!$B:$B,0)+COLUMN(E$1),1))</f>
        <v>野生感覚</v>
      </c>
      <c r="BL137" s="37" t="str">
        <f t="array" ref="BL137">IF($A137="","", INDEX(CS!$B$1:$B$15025,MATCH($A137,CS!$B:$B,0)+COLUMN(F$1),1))</f>
        <v/>
      </c>
      <c r="BM137" s="37" t="str">
        <f t="array" ref="BM137">IF($A137="","", INDEX(CS!$B$1:$B$15025,MATCH($A137,CS!$B:$B,0)+COLUMN(G$1),1))</f>
        <v>空撃</v>
      </c>
      <c r="BN137" s="37" t="str">
        <f t="array" ref="BN137">IF($A137="","", INDEX(CS!$B$1:$B$15025,MATCH($A137,CS!$B:$B,0)+COLUMN(H$1),1))</f>
        <v/>
      </c>
      <c r="BO137" s="37" t="str">
        <f t="array" ref="BO137">IF($A137="","", INDEX(CS!$B$1:$B$15025,MATCH($A137,CS!$B:$B,0)+COLUMN(I$1),1))</f>
        <v/>
      </c>
      <c r="BP137" s="37" t="str">
        <f t="array" ref="BP137">IF($A137="","", INDEX(CS!$B$1:$B$15025,MATCH($A137,CS!$B:$B,0)+COLUMN(J$1),1))</f>
        <v>斥候の極意</v>
      </c>
      <c r="BS137" s="74"/>
      <c r="CG137" s="37" t="s">
        <v>2804</v>
      </c>
      <c r="CJ137" s="37" t="s">
        <v>2800</v>
      </c>
      <c r="CK137" s="37" t="s">
        <v>2793</v>
      </c>
      <c r="CN137" s="37" t="s">
        <v>2805</v>
      </c>
    </row>
    <row r="138" ht="18.75" customHeight="1" outlineLevel="1">
      <c r="A138" s="37" t="s">
        <v>2238</v>
      </c>
      <c r="B138" s="71" t="s">
        <v>2235</v>
      </c>
      <c r="C138" s="39" t="s">
        <v>2803</v>
      </c>
      <c r="D138" s="72" t="str">
        <f t="shared" si="5"/>
        <v>710/445/265</v>
      </c>
      <c r="E138" s="37">
        <v>1.0</v>
      </c>
      <c r="F138" s="37">
        <v>75.0</v>
      </c>
      <c r="I138" s="37">
        <v>75.0</v>
      </c>
      <c r="J138" s="37">
        <v>50.0</v>
      </c>
      <c r="K138" s="73">
        <v>25.0</v>
      </c>
      <c r="L138" s="37">
        <v>50.0</v>
      </c>
      <c r="M138" s="37">
        <v>85.0</v>
      </c>
      <c r="N138" s="37">
        <v>85.0</v>
      </c>
      <c r="P138" s="37">
        <v>0.0</v>
      </c>
      <c r="Q138" s="64"/>
      <c r="R138" s="64"/>
      <c r="S138" s="64"/>
      <c r="T138" s="64"/>
      <c r="U138" s="64"/>
      <c r="V138" s="64"/>
      <c r="W138" s="64"/>
      <c r="X138" s="64"/>
      <c r="Y138" s="64"/>
      <c r="Z138" s="64"/>
      <c r="AA138" s="64"/>
      <c r="AJ138" s="37">
        <v>0.0</v>
      </c>
      <c r="AK138" s="37">
        <v>25.0</v>
      </c>
      <c r="AL138" s="37">
        <v>0.0</v>
      </c>
      <c r="AM138" s="37">
        <v>50.0</v>
      </c>
      <c r="AN138" s="37">
        <v>25.0</v>
      </c>
      <c r="AO138" s="37">
        <v>0.0</v>
      </c>
      <c r="AP138" s="37">
        <v>0.0</v>
      </c>
      <c r="AQ138" s="37">
        <v>90.0</v>
      </c>
      <c r="AR138" s="37">
        <v>75.0</v>
      </c>
      <c r="AS138" s="37">
        <v>0.0</v>
      </c>
      <c r="AT138" s="37">
        <v>0.0</v>
      </c>
      <c r="AU138" s="37">
        <v>0.0</v>
      </c>
      <c r="AV138" s="37">
        <v>0.0</v>
      </c>
      <c r="AW138" s="37">
        <v>0.0</v>
      </c>
      <c r="AX138" s="37">
        <v>0.0</v>
      </c>
      <c r="AY138" s="37">
        <v>0.0</v>
      </c>
      <c r="AZ138" s="37">
        <v>0.0</v>
      </c>
      <c r="BG138" s="37" t="str">
        <f t="array" ref="BG138">IF($A138="","",IFERROR(INDEX(CS!$B$1:$B$15025,MATCH($A138,CS!$B:$B,0)+COLUMN(A$1),1),""))</f>
        <v>潜伏</v>
      </c>
      <c r="BH138" s="37" t="str">
        <f t="array" ref="BH138">IF($A138="","",IFERROR(INDEX(CS!$B$1:$B$15025,MATCH($A138,CS!$B:$B,0)+COLUMN(B$1),1),""))</f>
        <v/>
      </c>
      <c r="BI138" s="37" t="str">
        <f t="array" ref="BI138">IF($A138="","",IFERROR(INDEX(CS!$B$1:$B$15025,MATCH($A138,CS!$B:$B,0)+COLUMN(C$1),1),""))</f>
        <v>悪知恵</v>
      </c>
      <c r="BJ138" s="37" t="str">
        <f t="array" ref="BJ138">IF($A138="","",IFERROR(INDEX(CS!$B$1:$B$15025,MATCH($A138,CS!$B:$B,0)+COLUMN(D$1),1),""))</f>
        <v/>
      </c>
      <c r="BK138" s="37" t="str">
        <f t="array" ref="BK138">IF($A138="","",IFERROR(INDEX(CS!$B$1:$B$15025,MATCH($A138,CS!$B:$B,0)+COLUMN(E$1),1),""))</f>
        <v>狙い</v>
      </c>
      <c r="BL138" s="37" t="str">
        <f t="array" ref="BL138">IF($A138="","",IFERROR(INDEX(CS!$B$1:$B$15025,MATCH($A138,CS!$B:$B,0)+COLUMN(F$1),1),""))</f>
        <v/>
      </c>
      <c r="BM138" s="37" t="str">
        <f t="array" ref="BM138">IF($A138="","",IFERROR(INDEX(CS!$B$1:$B$15025,MATCH($A138,CS!$B:$B,0)+COLUMN(G$1),1),""))</f>
        <v>奇襲</v>
      </c>
      <c r="BN138" s="37" t="str">
        <f t="array" ref="BN138">IF($A138="","",IFERROR(INDEX(CS!$B$1:$B$15025,MATCH($A138,CS!$B:$B,0)+COLUMN(H$1),1),""))</f>
        <v/>
      </c>
      <c r="BO138" s="37" t="str">
        <f t="array" ref="BO138">IF($A138="","",IFERROR(INDEX(CS!$B$1:$B$15025,MATCH($A138,CS!$B:$B,0)+COLUMN(I$1),1),""))</f>
        <v>痛撃</v>
      </c>
      <c r="BP138" s="37" t="str">
        <f t="array" ref="BP138">IF($A138="","",IFERROR(INDEX(CS!$B$1:$B$15025,MATCH($A138,CS!$B:$B,0)+COLUMN(J$1),1),""))</f>
        <v>狡猾</v>
      </c>
      <c r="BS138" s="74"/>
      <c r="BT138" s="39" t="s">
        <v>2838</v>
      </c>
      <c r="CG138" s="37" t="s">
        <v>2804</v>
      </c>
      <c r="CJ138" s="37" t="s">
        <v>2800</v>
      </c>
      <c r="CK138" s="37" t="s">
        <v>2793</v>
      </c>
      <c r="CN138" s="37" t="s">
        <v>2805</v>
      </c>
    </row>
    <row r="139" ht="18.75" customHeight="1" outlineLevel="1">
      <c r="A139" s="39" t="s">
        <v>2240</v>
      </c>
      <c r="B139" s="71"/>
      <c r="C139" s="39" t="s">
        <v>2803</v>
      </c>
      <c r="D139" s="72" t="str">
        <f t="shared" si="5"/>
        <v>725/460/265</v>
      </c>
      <c r="E139" s="39">
        <v>2.0</v>
      </c>
      <c r="F139" s="39">
        <v>75.0</v>
      </c>
      <c r="I139" s="39">
        <v>80.0</v>
      </c>
      <c r="J139" s="39">
        <v>50.0</v>
      </c>
      <c r="K139" s="87">
        <v>25.0</v>
      </c>
      <c r="L139" s="39">
        <v>50.0</v>
      </c>
      <c r="M139" s="39">
        <v>90.0</v>
      </c>
      <c r="N139" s="39">
        <v>90.0</v>
      </c>
      <c r="P139" s="39">
        <v>-25.0</v>
      </c>
      <c r="Q139" s="64"/>
      <c r="R139" s="64"/>
      <c r="S139" s="64"/>
      <c r="T139" s="64"/>
      <c r="U139" s="64"/>
      <c r="V139" s="64"/>
      <c r="W139" s="64"/>
      <c r="X139" s="64"/>
      <c r="Y139" s="64"/>
      <c r="Z139" s="64"/>
      <c r="AA139" s="64"/>
      <c r="AJ139" s="37">
        <v>0.0</v>
      </c>
      <c r="AK139" s="37">
        <v>25.0</v>
      </c>
      <c r="AL139" s="37">
        <v>0.0</v>
      </c>
      <c r="AM139" s="37">
        <v>50.0</v>
      </c>
      <c r="AN139" s="37">
        <v>25.0</v>
      </c>
      <c r="AO139" s="37">
        <v>0.0</v>
      </c>
      <c r="AP139" s="37">
        <v>0.0</v>
      </c>
      <c r="AQ139" s="37">
        <v>90.0</v>
      </c>
      <c r="AR139" s="37">
        <v>75.0</v>
      </c>
      <c r="AS139" s="37">
        <v>0.0</v>
      </c>
      <c r="AT139" s="37">
        <v>0.0</v>
      </c>
      <c r="AU139" s="37">
        <v>0.0</v>
      </c>
      <c r="AV139" s="37">
        <v>0.0</v>
      </c>
      <c r="AW139" s="37">
        <v>0.0</v>
      </c>
      <c r="AX139" s="37">
        <v>0.0</v>
      </c>
      <c r="AY139" s="37">
        <v>0.0</v>
      </c>
      <c r="AZ139" s="37">
        <v>0.0</v>
      </c>
      <c r="BG139" s="37" t="str">
        <f t="array" ref="BG139">IF($A139="","",IFERROR(INDEX(CS!$B$1:$B$15025,MATCH($A139,CS!$B:$B,0)+COLUMN(A$1),1),""))</f>
        <v>急所撃</v>
      </c>
      <c r="BH139" s="37" t="str">
        <f t="array" ref="BH139">IF($A139="","",IFERROR(INDEX(CS!$B$1:$B$15025,MATCH($A139,CS!$B:$B,0)+COLUMN(B$1),1),""))</f>
        <v/>
      </c>
      <c r="BI139" s="37" t="str">
        <f t="array" ref="BI139">IF($A139="","",IFERROR(INDEX(CS!$B$1:$B$15025,MATCH($A139,CS!$B:$B,0)+COLUMN(C$1),1),""))</f>
        <v>潜伏</v>
      </c>
      <c r="BJ139" s="37" t="str">
        <f t="array" ref="BJ139">IF($A139="","",IFERROR(INDEX(CS!$B$1:$B$15025,MATCH($A139,CS!$B:$B,0)+COLUMN(D$1),1),""))</f>
        <v/>
      </c>
      <c r="BK139" s="37" t="str">
        <f t="array" ref="BK139">IF($A139="","",IFERROR(INDEX(CS!$B$1:$B$15025,MATCH($A139,CS!$B:$B,0)+COLUMN(E$1),1),""))</f>
        <v>痛撃</v>
      </c>
      <c r="BL139" s="37" t="str">
        <f t="array" ref="BL139">IF($A139="","",IFERROR(INDEX(CS!$B$1:$B$15025,MATCH($A139,CS!$B:$B,0)+COLUMN(F$1),1),""))</f>
        <v/>
      </c>
      <c r="BM139" s="37" t="str">
        <f t="array" ref="BM139">IF($A139="","",IFERROR(INDEX(CS!$B$1:$B$15025,MATCH($A139,CS!$B:$B,0)+COLUMN(G$1),1),""))</f>
        <v>奇襲</v>
      </c>
      <c r="BN139" s="37" t="str">
        <f t="array" ref="BN139">IF($A139="","",IFERROR(INDEX(CS!$B$1:$B$15025,MATCH($A139,CS!$B:$B,0)+COLUMN(H$1),1),""))</f>
        <v/>
      </c>
      <c r="BO139" s="37" t="str">
        <f t="array" ref="BO139">IF($A139="","",IFERROR(INDEX(CS!$B$1:$B$15025,MATCH($A139,CS!$B:$B,0)+COLUMN(I$1),1),""))</f>
        <v>狙い</v>
      </c>
      <c r="BP139" s="37" t="str">
        <f t="array" ref="BP139">IF($A139="","",IFERROR(INDEX(CS!$B$1:$B$15025,MATCH($A139,CS!$B:$B,0)+COLUMN(J$1),1),""))</f>
        <v>暗殺術</v>
      </c>
      <c r="BR139" s="39" t="s">
        <v>2839</v>
      </c>
      <c r="BS139" s="74"/>
      <c r="CG139" s="37" t="s">
        <v>2804</v>
      </c>
      <c r="CJ139" s="37" t="s">
        <v>2800</v>
      </c>
      <c r="CK139" s="37" t="s">
        <v>2793</v>
      </c>
      <c r="CN139" s="37" t="s">
        <v>2805</v>
      </c>
    </row>
    <row r="140" ht="18.75" customHeight="1" outlineLevel="1">
      <c r="A140" s="39" t="s">
        <v>2243</v>
      </c>
      <c r="B140" s="71"/>
      <c r="C140" s="39" t="s">
        <v>2803</v>
      </c>
      <c r="D140" s="72" t="str">
        <f t="shared" si="5"/>
        <v>740/475/265</v>
      </c>
      <c r="E140" s="39">
        <v>3.0</v>
      </c>
      <c r="F140" s="39">
        <v>75.0</v>
      </c>
      <c r="I140" s="39">
        <v>85.0</v>
      </c>
      <c r="J140" s="39">
        <v>50.0</v>
      </c>
      <c r="K140" s="87">
        <v>25.0</v>
      </c>
      <c r="L140" s="39">
        <v>50.0</v>
      </c>
      <c r="M140" s="39">
        <v>95.0</v>
      </c>
      <c r="N140" s="39">
        <v>95.0</v>
      </c>
      <c r="P140" s="39">
        <v>-50.0</v>
      </c>
      <c r="Q140" s="64"/>
      <c r="R140" s="64"/>
      <c r="S140" s="64"/>
      <c r="T140" s="64"/>
      <c r="U140" s="64"/>
      <c r="V140" s="64"/>
      <c r="W140" s="64"/>
      <c r="X140" s="64"/>
      <c r="Y140" s="64"/>
      <c r="Z140" s="64"/>
      <c r="AA140" s="64"/>
      <c r="AJ140" s="37">
        <v>0.0</v>
      </c>
      <c r="AK140" s="37">
        <v>25.0</v>
      </c>
      <c r="AL140" s="37">
        <v>0.0</v>
      </c>
      <c r="AM140" s="37">
        <v>50.0</v>
      </c>
      <c r="AN140" s="37">
        <v>25.0</v>
      </c>
      <c r="AO140" s="37">
        <v>0.0</v>
      </c>
      <c r="AP140" s="37">
        <v>0.0</v>
      </c>
      <c r="AQ140" s="37">
        <v>90.0</v>
      </c>
      <c r="AR140" s="37">
        <v>75.0</v>
      </c>
      <c r="AS140" s="37">
        <v>0.0</v>
      </c>
      <c r="AT140" s="37">
        <v>0.0</v>
      </c>
      <c r="AU140" s="37">
        <v>0.0</v>
      </c>
      <c r="AV140" s="37">
        <v>0.0</v>
      </c>
      <c r="AW140" s="37">
        <v>0.0</v>
      </c>
      <c r="AX140" s="37">
        <v>0.0</v>
      </c>
      <c r="AY140" s="37">
        <v>0.0</v>
      </c>
      <c r="AZ140" s="37">
        <v>0.0</v>
      </c>
      <c r="BG140" s="37" t="str">
        <f t="array" ref="BG140">IF($A140="","",IFERROR(INDEX(CS!$B$1:$B$15025,MATCH($A140,CS!$B:$B,0)+COLUMN(A$1),1),""))</f>
        <v>奇襲</v>
      </c>
      <c r="BH140" s="37" t="str">
        <f t="array" ref="BH140">IF($A140="","",IFERROR(INDEX(CS!$B$1:$B$15025,MATCH($A140,CS!$B:$B,0)+COLUMN(B$1),1),""))</f>
        <v/>
      </c>
      <c r="BI140" s="37" t="str">
        <f t="array" ref="BI140">IF($A140="","",IFERROR(INDEX(CS!$B$1:$B$15025,MATCH($A140,CS!$B:$B,0)+COLUMN(C$1),1),""))</f>
        <v>暗殺術</v>
      </c>
      <c r="BJ140" s="37" t="str">
        <f t="array" ref="BJ140">IF($A140="","",IFERROR(INDEX(CS!$B$1:$B$15025,MATCH($A140,CS!$B:$B,0)+COLUMN(D$1),1),""))</f>
        <v/>
      </c>
      <c r="BK140" s="37" t="str">
        <f t="array" ref="BK140">IF($A140="","",IFERROR(INDEX(CS!$B$1:$B$15025,MATCH($A140,CS!$B:$B,0)+COLUMN(E$1),1),""))</f>
        <v>狙い</v>
      </c>
      <c r="BL140" s="37" t="str">
        <f t="array" ref="BL140">IF($A140="","",IFERROR(INDEX(CS!$B$1:$B$15025,MATCH($A140,CS!$B:$B,0)+COLUMN(F$1),1),""))</f>
        <v/>
      </c>
      <c r="BM140" s="37" t="str">
        <f t="array" ref="BM140">IF($A140="","",IFERROR(INDEX(CS!$B$1:$B$15025,MATCH($A140,CS!$B:$B,0)+COLUMN(G$1),1),""))</f>
        <v>急所撃</v>
      </c>
      <c r="BN140" s="37" t="str">
        <f t="array" ref="BN140">IF($A140="","",IFERROR(INDEX(CS!$B$1:$B$15025,MATCH($A140,CS!$B:$B,0)+COLUMN(H$1),1),""))</f>
        <v/>
      </c>
      <c r="BO140" s="37" t="str">
        <f t="array" ref="BO140">IF($A140="","",IFERROR(INDEX(CS!$B$1:$B$15025,MATCH($A140,CS!$B:$B,0)+COLUMN(I$1),1),""))</f>
        <v>見極</v>
      </c>
      <c r="BP140" s="37" t="str">
        <f t="array" ref="BP140">IF($A140="","",IFERROR(INDEX(CS!$B$1:$B$15025,MATCH($A140,CS!$B:$B,0)+COLUMN(J$1),1),""))</f>
        <v>絶命撃</v>
      </c>
      <c r="BR140" s="39" t="s">
        <v>2840</v>
      </c>
      <c r="BS140" s="74"/>
      <c r="CG140" s="37" t="s">
        <v>2804</v>
      </c>
      <c r="CJ140" s="37" t="s">
        <v>2800</v>
      </c>
      <c r="CK140" s="37" t="s">
        <v>2793</v>
      </c>
      <c r="CN140" s="37" t="s">
        <v>2805</v>
      </c>
    </row>
    <row r="141" ht="18.75" customHeight="1" outlineLevel="1">
      <c r="A141" s="39" t="s">
        <v>2246</v>
      </c>
      <c r="B141" s="71"/>
      <c r="C141" s="39" t="s">
        <v>2803</v>
      </c>
      <c r="D141" s="72" t="str">
        <f t="shared" si="5"/>
        <v>725/475/250</v>
      </c>
      <c r="E141" s="39">
        <v>2.0</v>
      </c>
      <c r="F141" s="39">
        <v>75.0</v>
      </c>
      <c r="I141" s="39">
        <v>80.0</v>
      </c>
      <c r="J141" s="39">
        <v>75.0</v>
      </c>
      <c r="K141" s="87">
        <v>25.0</v>
      </c>
      <c r="L141" s="39">
        <v>50.0</v>
      </c>
      <c r="M141" s="39">
        <v>80.0</v>
      </c>
      <c r="N141" s="39">
        <v>90.0</v>
      </c>
      <c r="P141" s="37">
        <v>0.0</v>
      </c>
      <c r="Q141" s="64"/>
      <c r="R141" s="64"/>
      <c r="S141" s="64"/>
      <c r="T141" s="64"/>
      <c r="U141" s="64"/>
      <c r="V141" s="64"/>
      <c r="W141" s="64"/>
      <c r="X141" s="64"/>
      <c r="Y141" s="64"/>
      <c r="Z141" s="64"/>
      <c r="AA141" s="64"/>
      <c r="AJ141" s="37">
        <v>0.0</v>
      </c>
      <c r="AK141" s="37">
        <v>0.0</v>
      </c>
      <c r="AL141" s="37">
        <v>0.0</v>
      </c>
      <c r="AM141" s="37">
        <v>50.0</v>
      </c>
      <c r="AN141" s="37">
        <v>35.0</v>
      </c>
      <c r="AO141" s="37">
        <v>0.0</v>
      </c>
      <c r="AP141" s="37">
        <v>0.0</v>
      </c>
      <c r="AQ141" s="37">
        <v>75.0</v>
      </c>
      <c r="AR141" s="37">
        <v>90.0</v>
      </c>
      <c r="AS141" s="37">
        <v>0.0</v>
      </c>
      <c r="AT141" s="37">
        <v>0.0</v>
      </c>
      <c r="AU141" s="37">
        <v>0.0</v>
      </c>
      <c r="AV141" s="37">
        <v>0.0</v>
      </c>
      <c r="AW141" s="37">
        <v>0.0</v>
      </c>
      <c r="AX141" s="37">
        <v>0.0</v>
      </c>
      <c r="AY141" s="37">
        <v>0.0</v>
      </c>
      <c r="AZ141" s="37">
        <v>0.0</v>
      </c>
      <c r="BG141" s="37" t="str">
        <f t="array" ref="BG141">IF($A141="","",IFERROR(INDEX(CS!$B$1:$B$15025,MATCH($A141,CS!$B:$B,0)+COLUMN(A$1),1),""))</f>
        <v>狙い</v>
      </c>
      <c r="BH141" s="37" t="str">
        <f t="array" ref="BH141">IF($A141="","",IFERROR(INDEX(CS!$B$1:$B$15025,MATCH($A141,CS!$B:$B,0)+COLUMN(B$1),1),""))</f>
        <v/>
      </c>
      <c r="BI141" s="37" t="str">
        <f t="array" ref="BI141">IF($A141="","",IFERROR(INDEX(CS!$B$1:$B$15025,MATCH($A141,CS!$B:$B,0)+COLUMN(C$1),1),""))</f>
        <v>野生感覚</v>
      </c>
      <c r="BJ141" s="37" t="str">
        <f t="array" ref="BJ141">IF($A141="","",IFERROR(INDEX(CS!$B$1:$B$15025,MATCH($A141,CS!$B:$B,0)+COLUMN(D$1),1),""))</f>
        <v/>
      </c>
      <c r="BK141" s="37" t="str">
        <f t="array" ref="BK141">IF($A141="","",IFERROR(INDEX(CS!$B$1:$B$15025,MATCH($A141,CS!$B:$B,0)+COLUMN(E$1),1),""))</f>
        <v>痛撃</v>
      </c>
      <c r="BL141" s="37" t="str">
        <f t="array" ref="BL141">IF($A141="","",IFERROR(INDEX(CS!$B$1:$B$15025,MATCH($A141,CS!$B:$B,0)+COLUMN(F$1),1),""))</f>
        <v/>
      </c>
      <c r="BM141" s="37" t="str">
        <f t="array" ref="BM141">IF($A141="","",IFERROR(INDEX(CS!$B$1:$B$15025,MATCH($A141,CS!$B:$B,0)+COLUMN(G$1),1),""))</f>
        <v>罠師</v>
      </c>
      <c r="BN141" s="37" t="str">
        <f t="array" ref="BN141">IF($A141="","",IFERROR(INDEX(CS!$B$1:$B$15025,MATCH($A141,CS!$B:$B,0)+COLUMN(H$1),1),""))</f>
        <v/>
      </c>
      <c r="BO141" s="37" t="str">
        <f t="array" ref="BO141">IF($A141="","",IFERROR(INDEX(CS!$B$1:$B$15025,MATCH($A141,CS!$B:$B,0)+COLUMN(I$1),1),""))</f>
        <v>空撃</v>
      </c>
      <c r="BP141" s="37" t="str">
        <f t="array" ref="BP141">IF($A141="","",IFERROR(INDEX(CS!$B$1:$B$15025,MATCH($A141,CS!$B:$B,0)+COLUMN(J$1),1),""))</f>
        <v>追跡術</v>
      </c>
      <c r="BR141" s="39" t="s">
        <v>2841</v>
      </c>
      <c r="BS141" s="74"/>
      <c r="CG141" s="37" t="s">
        <v>2806</v>
      </c>
      <c r="CJ141" s="37" t="s">
        <v>2800</v>
      </c>
      <c r="CK141" s="37" t="s">
        <v>2793</v>
      </c>
      <c r="CN141" s="37" t="s">
        <v>2805</v>
      </c>
    </row>
    <row r="142" ht="18.75" customHeight="1" outlineLevel="1">
      <c r="A142" s="39" t="s">
        <v>2248</v>
      </c>
      <c r="B142" s="71"/>
      <c r="C142" s="39" t="s">
        <v>2803</v>
      </c>
      <c r="D142" s="72" t="str">
        <f t="shared" si="5"/>
        <v>740/490/250</v>
      </c>
      <c r="E142" s="39">
        <v>3.0</v>
      </c>
      <c r="F142" s="39">
        <v>75.0</v>
      </c>
      <c r="I142" s="39">
        <v>85.0</v>
      </c>
      <c r="J142" s="39">
        <v>75.0</v>
      </c>
      <c r="K142" s="87">
        <v>25.0</v>
      </c>
      <c r="L142" s="39">
        <v>50.0</v>
      </c>
      <c r="M142" s="39">
        <v>85.0</v>
      </c>
      <c r="N142" s="39">
        <v>95.0</v>
      </c>
      <c r="P142" s="37">
        <v>0.0</v>
      </c>
      <c r="Q142" s="64"/>
      <c r="R142" s="64"/>
      <c r="S142" s="64"/>
      <c r="T142" s="64"/>
      <c r="U142" s="64"/>
      <c r="V142" s="64"/>
      <c r="W142" s="64"/>
      <c r="X142" s="64"/>
      <c r="Y142" s="64"/>
      <c r="Z142" s="64"/>
      <c r="AA142" s="64"/>
      <c r="AJ142" s="37">
        <v>0.0</v>
      </c>
      <c r="AK142" s="37">
        <v>0.0</v>
      </c>
      <c r="AL142" s="37">
        <v>0.0</v>
      </c>
      <c r="AM142" s="37">
        <v>50.0</v>
      </c>
      <c r="AN142" s="37">
        <v>35.0</v>
      </c>
      <c r="AO142" s="37">
        <v>0.0</v>
      </c>
      <c r="AP142" s="37">
        <v>0.0</v>
      </c>
      <c r="AQ142" s="37">
        <v>75.0</v>
      </c>
      <c r="AR142" s="37">
        <v>90.0</v>
      </c>
      <c r="AS142" s="37">
        <v>0.0</v>
      </c>
      <c r="AT142" s="37">
        <v>0.0</v>
      </c>
      <c r="AU142" s="37">
        <v>0.0</v>
      </c>
      <c r="AV142" s="37">
        <v>0.0</v>
      </c>
      <c r="AW142" s="37">
        <v>0.0</v>
      </c>
      <c r="AX142" s="37">
        <v>0.0</v>
      </c>
      <c r="AY142" s="37">
        <v>0.0</v>
      </c>
      <c r="AZ142" s="37">
        <v>0.0</v>
      </c>
      <c r="BG142" s="37" t="str">
        <f t="array" ref="BG142">IF($A142="","",IFERROR(INDEX(CS!$B$1:$B$15025,MATCH($A142,CS!$B:$B,0)+COLUMN(A$1),1),""))</f>
        <v>狙い</v>
      </c>
      <c r="BH142" s="37" t="str">
        <f t="array" ref="BH142">IF($A142="","",IFERROR(INDEX(CS!$B$1:$B$15025,MATCH($A142,CS!$B:$B,0)+COLUMN(B$1),1),""))</f>
        <v/>
      </c>
      <c r="BI142" s="37" t="str">
        <f t="array" ref="BI142">IF($A142="","",IFERROR(INDEX(CS!$B$1:$B$15025,MATCH($A142,CS!$B:$B,0)+COLUMN(C$1),1),""))</f>
        <v>追跡術</v>
      </c>
      <c r="BJ142" s="37" t="str">
        <f t="array" ref="BJ142">IF($A142="","",IFERROR(INDEX(CS!$B$1:$B$15025,MATCH($A142,CS!$B:$B,0)+COLUMN(D$1),1),""))</f>
        <v/>
      </c>
      <c r="BK142" s="37" t="str">
        <f t="array" ref="BK142">IF($A142="","",IFERROR(INDEX(CS!$B$1:$B$15025,MATCH($A142,CS!$B:$B,0)+COLUMN(E$1),1),""))</f>
        <v>奇襲</v>
      </c>
      <c r="BL142" s="37" t="str">
        <f t="array" ref="BL142">IF($A142="","",IFERROR(INDEX(CS!$B$1:$B$15025,MATCH($A142,CS!$B:$B,0)+COLUMN(F$1),1),""))</f>
        <v/>
      </c>
      <c r="BM142" s="37" t="str">
        <f t="array" ref="BM142">IF($A142="","",IFERROR(INDEX(CS!$B$1:$B$15025,MATCH($A142,CS!$B:$B,0)+COLUMN(G$1),1),""))</f>
        <v>空撃</v>
      </c>
      <c r="BN142" s="37" t="str">
        <f t="array" ref="BN142">IF($A142="","",IFERROR(INDEX(CS!$B$1:$B$15025,MATCH($A142,CS!$B:$B,0)+COLUMN(H$1),1),""))</f>
        <v/>
      </c>
      <c r="BO142" s="37" t="str">
        <f t="array" ref="BO142">IF($A142="","",IFERROR(INDEX(CS!$B$1:$B$15025,MATCH($A142,CS!$B:$B,0)+COLUMN(I$1),1),""))</f>
        <v>罠師</v>
      </c>
      <c r="BP142" s="37" t="str">
        <f t="array" ref="BP142">IF($A142="","",IFERROR(INDEX(CS!$B$1:$B$15025,MATCH($A142,CS!$B:$B,0)+COLUMN(J$1),1),""))</f>
        <v>狩人の極意</v>
      </c>
      <c r="BR142" s="39" t="s">
        <v>2842</v>
      </c>
      <c r="BS142" s="74"/>
      <c r="CG142" s="37" t="s">
        <v>2806</v>
      </c>
      <c r="CJ142" s="37" t="s">
        <v>2800</v>
      </c>
      <c r="CK142" s="37" t="s">
        <v>2793</v>
      </c>
      <c r="CN142" s="37" t="s">
        <v>2805</v>
      </c>
    </row>
    <row r="143" ht="18.75" customHeight="1" outlineLevel="1">
      <c r="A143" s="39" t="s">
        <v>2251</v>
      </c>
      <c r="B143" s="71"/>
      <c r="C143" s="39" t="s">
        <v>2803</v>
      </c>
      <c r="D143" s="72" t="str">
        <f t="shared" si="5"/>
        <v>760/470/290</v>
      </c>
      <c r="E143" s="39">
        <v>2.0</v>
      </c>
      <c r="F143" s="39">
        <v>75.0</v>
      </c>
      <c r="I143" s="39">
        <v>80.0</v>
      </c>
      <c r="J143" s="39">
        <v>70.0</v>
      </c>
      <c r="K143" s="87">
        <v>25.0</v>
      </c>
      <c r="L143" s="39">
        <v>55.0</v>
      </c>
      <c r="M143" s="39">
        <v>80.0</v>
      </c>
      <c r="N143" s="39">
        <v>85.0</v>
      </c>
      <c r="P143" s="37">
        <v>0.0</v>
      </c>
      <c r="Q143" s="64"/>
      <c r="R143" s="64"/>
      <c r="S143" s="64"/>
      <c r="T143" s="64"/>
      <c r="U143" s="64"/>
      <c r="V143" s="64"/>
      <c r="W143" s="64"/>
      <c r="X143" s="64"/>
      <c r="Y143" s="64"/>
      <c r="Z143" s="64"/>
      <c r="AA143" s="64"/>
      <c r="AJ143" s="37">
        <v>0.0</v>
      </c>
      <c r="AK143" s="37">
        <v>15.0</v>
      </c>
      <c r="AL143" s="37">
        <v>5.0</v>
      </c>
      <c r="AM143" s="37">
        <v>55.0</v>
      </c>
      <c r="AN143" s="37">
        <v>35.0</v>
      </c>
      <c r="AO143" s="37">
        <v>0.0</v>
      </c>
      <c r="AP143" s="37">
        <v>0.0</v>
      </c>
      <c r="AQ143" s="37">
        <v>90.0</v>
      </c>
      <c r="AR143" s="37">
        <v>90.0</v>
      </c>
      <c r="AS143" s="37">
        <v>0.0</v>
      </c>
      <c r="AT143" s="37">
        <v>0.0</v>
      </c>
      <c r="AU143" s="37">
        <v>0.0</v>
      </c>
      <c r="AV143" s="37">
        <v>0.0</v>
      </c>
      <c r="AW143" s="37">
        <v>0.0</v>
      </c>
      <c r="AX143" s="37">
        <v>0.0</v>
      </c>
      <c r="AY143" s="37">
        <v>0.0</v>
      </c>
      <c r="AZ143" s="37">
        <v>0.0</v>
      </c>
      <c r="BG143" s="37" t="str">
        <f t="array" ref="BG143">IF($A143="","",IFERROR(INDEX(CS!$B$1:$B$15025,MATCH($A143,CS!$B:$B,0)+COLUMN(A$1),1),""))</f>
        <v>狙い</v>
      </c>
      <c r="BH143" s="37" t="str">
        <f t="array" ref="BH143">IF($A143="","",IFERROR(INDEX(CS!$B$1:$B$15025,MATCH($A143,CS!$B:$B,0)+COLUMN(B$1),1),""))</f>
        <v/>
      </c>
      <c r="BI143" s="37" t="str">
        <f t="array" ref="BI143">IF($A143="","",IFERROR(INDEX(CS!$B$1:$B$15025,MATCH($A143,CS!$B:$B,0)+COLUMN(C$1),1),""))</f>
        <v>野生感覚</v>
      </c>
      <c r="BJ143" s="37" t="str">
        <f t="array" ref="BJ143">IF($A143="","",IFERROR(INDEX(CS!$B$1:$B$15025,MATCH($A143,CS!$B:$B,0)+COLUMN(D$1),1),""))</f>
        <v/>
      </c>
      <c r="BK143" s="37" t="str">
        <f t="array" ref="BK143">IF($A143="","",IFERROR(INDEX(CS!$B$1:$B$15025,MATCH($A143,CS!$B:$B,0)+COLUMN(E$1),1),""))</f>
        <v>奇襲</v>
      </c>
      <c r="BL143" s="37" t="str">
        <f t="array" ref="BL143">IF($A143="","",IFERROR(INDEX(CS!$B$1:$B$15025,MATCH($A143,CS!$B:$B,0)+COLUMN(F$1),1),""))</f>
        <v/>
      </c>
      <c r="BM143" s="37" t="str">
        <f t="array" ref="BM143">IF($A143="","",IFERROR(INDEX(CS!$B$1:$B$15025,MATCH($A143,CS!$B:$B,0)+COLUMN(G$1),1),""))</f>
        <v>空撃</v>
      </c>
      <c r="BN143" s="37" t="str">
        <f t="array" ref="BN143">IF($A143="","",IFERROR(INDEX(CS!$B$1:$B$15025,MATCH($A143,CS!$B:$B,0)+COLUMN(H$1),1),""))</f>
        <v/>
      </c>
      <c r="BO143" s="37" t="str">
        <f t="array" ref="BO143">IF($A143="","",IFERROR(INDEX(CS!$B$1:$B$15025,MATCH($A143,CS!$B:$B,0)+COLUMN(I$1),1),""))</f>
        <v>反応</v>
      </c>
      <c r="BP143" s="37" t="str">
        <f t="array" ref="BP143">IF($A143="","",IFERROR(INDEX(CS!$B$1:$B$15025,MATCH($A143,CS!$B:$B,0)+COLUMN(J$1),1),""))</f>
        <v>広域索敵</v>
      </c>
      <c r="BR143" s="39" t="s">
        <v>2843</v>
      </c>
      <c r="BS143" s="74"/>
      <c r="CG143" s="37" t="s">
        <v>2806</v>
      </c>
      <c r="CJ143" s="37" t="s">
        <v>2800</v>
      </c>
      <c r="CK143" s="37" t="s">
        <v>2793</v>
      </c>
      <c r="CN143" s="37" t="s">
        <v>2805</v>
      </c>
    </row>
    <row r="144" ht="18.75" customHeight="1" outlineLevel="1">
      <c r="A144" s="39" t="s">
        <v>2254</v>
      </c>
      <c r="B144" s="71"/>
      <c r="C144" s="39" t="s">
        <v>2803</v>
      </c>
      <c r="D144" s="72" t="str">
        <f t="shared" si="5"/>
        <v>765/475/290</v>
      </c>
      <c r="E144" s="39">
        <v>3.0</v>
      </c>
      <c r="F144" s="39">
        <v>75.0</v>
      </c>
      <c r="I144" s="39">
        <v>75.0</v>
      </c>
      <c r="J144" s="39">
        <v>65.0</v>
      </c>
      <c r="K144" s="87">
        <v>25.0</v>
      </c>
      <c r="L144" s="39">
        <v>50.0</v>
      </c>
      <c r="M144" s="39">
        <v>90.0</v>
      </c>
      <c r="N144" s="39">
        <v>95.0</v>
      </c>
      <c r="P144" s="37">
        <v>0.0</v>
      </c>
      <c r="Q144" s="64"/>
      <c r="R144" s="64"/>
      <c r="S144" s="64"/>
      <c r="T144" s="64"/>
      <c r="U144" s="64"/>
      <c r="V144" s="64"/>
      <c r="W144" s="64"/>
      <c r="X144" s="64"/>
      <c r="Y144" s="64"/>
      <c r="Z144" s="64"/>
      <c r="AA144" s="64"/>
      <c r="AJ144" s="37">
        <v>0.0</v>
      </c>
      <c r="AK144" s="37">
        <v>15.0</v>
      </c>
      <c r="AL144" s="37">
        <v>5.0</v>
      </c>
      <c r="AM144" s="37">
        <v>55.0</v>
      </c>
      <c r="AN144" s="37">
        <v>35.0</v>
      </c>
      <c r="AO144" s="37">
        <v>0.0</v>
      </c>
      <c r="AP144" s="37">
        <v>0.0</v>
      </c>
      <c r="AQ144" s="37">
        <v>90.0</v>
      </c>
      <c r="AR144" s="37">
        <v>90.0</v>
      </c>
      <c r="AS144" s="37">
        <v>0.0</v>
      </c>
      <c r="AT144" s="37">
        <v>0.0</v>
      </c>
      <c r="AU144" s="37">
        <v>0.0</v>
      </c>
      <c r="AV144" s="37">
        <v>0.0</v>
      </c>
      <c r="AW144" s="37">
        <v>0.0</v>
      </c>
      <c r="AX144" s="37">
        <v>0.0</v>
      </c>
      <c r="AY144" s="37">
        <v>0.0</v>
      </c>
      <c r="AZ144" s="37">
        <v>0.0</v>
      </c>
      <c r="BG144" s="37" t="str">
        <f t="array" ref="BG144">IF($A144="","",IFERROR(INDEX(CS!$B$1:$B$15025,MATCH($A144,CS!$B:$B,0)+COLUMN(A$1),1),""))</f>
        <v>狙い</v>
      </c>
      <c r="BH144" s="37" t="str">
        <f t="array" ref="BH144">IF($A144="","",IFERROR(INDEX(CS!$B$1:$B$15025,MATCH($A144,CS!$B:$B,0)+COLUMN(B$1),1),""))</f>
        <v/>
      </c>
      <c r="BI144" s="37" t="str">
        <f t="array" ref="BI144">IF($A144="","",IFERROR(INDEX(CS!$B$1:$B$15025,MATCH($A144,CS!$B:$B,0)+COLUMN(C$1),1),""))</f>
        <v>見極</v>
      </c>
      <c r="BJ144" s="37" t="str">
        <f t="array" ref="BJ144">IF($A144="","",IFERROR(INDEX(CS!$B$1:$B$15025,MATCH($A144,CS!$B:$B,0)+COLUMN(D$1),1),""))</f>
        <v/>
      </c>
      <c r="BK144" s="37" t="str">
        <f t="array" ref="BK144">IF($A144="","",IFERROR(INDEX(CS!$B$1:$B$15025,MATCH($A144,CS!$B:$B,0)+COLUMN(E$1),1),""))</f>
        <v>神眼</v>
      </c>
      <c r="BL144" s="37" t="str">
        <f t="array" ref="BL144">IF($A144="","",IFERROR(INDEX(CS!$B$1:$B$15025,MATCH($A144,CS!$B:$B,0)+COLUMN(F$1),1),""))</f>
        <v/>
      </c>
      <c r="BM144" s="37" t="str">
        <f t="array" ref="BM144">IF($A144="","",IFERROR(INDEX(CS!$B$1:$B$15025,MATCH($A144,CS!$B:$B,0)+COLUMN(G$1),1),""))</f>
        <v>空撃</v>
      </c>
      <c r="BN144" s="37" t="str">
        <f t="array" ref="BN144">IF($A144="","",IFERROR(INDEX(CS!$B$1:$B$15025,MATCH($A144,CS!$B:$B,0)+COLUMN(H$1),1),""))</f>
        <v/>
      </c>
      <c r="BO144" s="37" t="str">
        <f t="array" ref="BO144">IF($A144="","",IFERROR(INDEX(CS!$B$1:$B$15025,MATCH($A144,CS!$B:$B,0)+COLUMN(I$1),1),""))</f>
        <v>野生感覚</v>
      </c>
      <c r="BP144" s="37" t="str">
        <f t="array" ref="BP144">IF($A144="","",IFERROR(INDEX(CS!$B$1:$B$15025,MATCH($A144,CS!$B:$B,0)+COLUMN(J$1),1),""))</f>
        <v>観測者</v>
      </c>
      <c r="BR144" s="39" t="s">
        <v>2844</v>
      </c>
      <c r="BS144" s="74"/>
      <c r="CG144" s="37" t="s">
        <v>2806</v>
      </c>
      <c r="CJ144" s="37" t="s">
        <v>2800</v>
      </c>
      <c r="CK144" s="37" t="s">
        <v>2793</v>
      </c>
      <c r="CN144" s="37" t="s">
        <v>2805</v>
      </c>
    </row>
    <row r="145" ht="18.75" customHeight="1" outlineLevel="1">
      <c r="A145" s="39" t="s">
        <v>2257</v>
      </c>
      <c r="B145" s="71"/>
      <c r="C145" s="39" t="s">
        <v>2803</v>
      </c>
      <c r="D145" s="72" t="str">
        <f t="shared" si="5"/>
        <v>760/465/295</v>
      </c>
      <c r="E145" s="39">
        <v>2.0</v>
      </c>
      <c r="F145" s="39">
        <v>75.0</v>
      </c>
      <c r="I145" s="39">
        <v>75.0</v>
      </c>
      <c r="J145" s="39">
        <v>65.0</v>
      </c>
      <c r="K145" s="87">
        <v>25.0</v>
      </c>
      <c r="L145" s="39">
        <v>55.0</v>
      </c>
      <c r="M145" s="39">
        <v>80.0</v>
      </c>
      <c r="N145" s="39">
        <v>90.0</v>
      </c>
      <c r="P145" s="37">
        <v>0.0</v>
      </c>
      <c r="Q145" s="64"/>
      <c r="R145" s="64"/>
      <c r="S145" s="64"/>
      <c r="T145" s="64"/>
      <c r="U145" s="64"/>
      <c r="V145" s="64"/>
      <c r="W145" s="64"/>
      <c r="X145" s="64"/>
      <c r="Y145" s="64"/>
      <c r="Z145" s="64"/>
      <c r="AA145" s="64"/>
      <c r="AJ145" s="37">
        <v>0.0</v>
      </c>
      <c r="AK145" s="37">
        <v>20.0</v>
      </c>
      <c r="AL145" s="37">
        <v>5.0</v>
      </c>
      <c r="AM145" s="37">
        <v>55.0</v>
      </c>
      <c r="AN145" s="37">
        <v>35.0</v>
      </c>
      <c r="AO145" s="37">
        <v>0.0</v>
      </c>
      <c r="AP145" s="37">
        <v>0.0</v>
      </c>
      <c r="AQ145" s="37">
        <v>90.0</v>
      </c>
      <c r="AR145" s="37">
        <v>90.0</v>
      </c>
      <c r="AS145" s="37">
        <v>0.0</v>
      </c>
      <c r="AT145" s="37">
        <v>0.0</v>
      </c>
      <c r="AU145" s="37">
        <v>0.0</v>
      </c>
      <c r="AV145" s="37">
        <v>0.0</v>
      </c>
      <c r="AW145" s="37">
        <v>0.0</v>
      </c>
      <c r="AX145" s="37">
        <v>0.0</v>
      </c>
      <c r="AY145" s="37">
        <v>0.0</v>
      </c>
      <c r="AZ145" s="37">
        <v>0.0</v>
      </c>
      <c r="BG145" s="37" t="str">
        <f t="array" ref="BG145">IF($A145="","",IFERROR(INDEX(CS!$B$1:$B$15025,MATCH($A145,CS!$B:$B,0)+COLUMN(A$1),1),""))</f>
        <v>潜伏</v>
      </c>
      <c r="BH145" s="37" t="str">
        <f t="array" ref="BH145">IF($A145="","",IFERROR(INDEX(CS!$B$1:$B$15025,MATCH($A145,CS!$B:$B,0)+COLUMN(B$1),1),""))</f>
        <v/>
      </c>
      <c r="BI145" s="37" t="str">
        <f t="array" ref="BI145">IF($A145="","",IFERROR(INDEX(CS!$B$1:$B$15025,MATCH($A145,CS!$B:$B,0)+COLUMN(C$1),1),""))</f>
        <v>執念の追跡</v>
      </c>
      <c r="BJ145" s="37" t="str">
        <f t="array" ref="BJ145">IF($A145="","",IFERROR(INDEX(CS!$B$1:$B$15025,MATCH($A145,CS!$B:$B,0)+COLUMN(D$1),1),""))</f>
        <v/>
      </c>
      <c r="BK145" s="37" t="str">
        <f t="array" ref="BK145">IF($A145="","",IFERROR(INDEX(CS!$B$1:$B$15025,MATCH($A145,CS!$B:$B,0)+COLUMN(E$1),1),""))</f>
        <v>奇襲</v>
      </c>
      <c r="BL145" s="37" t="str">
        <f t="array" ref="BL145">IF($A145="","",IFERROR(INDEX(CS!$B$1:$B$15025,MATCH($A145,CS!$B:$B,0)+COLUMN(F$1),1),""))</f>
        <v/>
      </c>
      <c r="BM145" s="37" t="str">
        <f t="array" ref="BM145">IF($A145="","",IFERROR(INDEX(CS!$B$1:$B$15025,MATCH($A145,CS!$B:$B,0)+COLUMN(G$1),1),""))</f>
        <v>痛撃</v>
      </c>
      <c r="BN145" s="37" t="str">
        <f t="array" ref="BN145">IF($A145="","",IFERROR(INDEX(CS!$B$1:$B$15025,MATCH($A145,CS!$B:$B,0)+COLUMN(H$1),1),""))</f>
        <v/>
      </c>
      <c r="BO145" s="37" t="str">
        <f t="array" ref="BO145">IF($A145="","",IFERROR(INDEX(CS!$B$1:$B$15025,MATCH($A145,CS!$B:$B,0)+COLUMN(I$1),1),""))</f>
        <v>狙い</v>
      </c>
      <c r="BP145" s="37" t="str">
        <f t="array" ref="BP145">IF($A145="","",IFERROR(INDEX(CS!$B$1:$B$15025,MATCH($A145,CS!$B:$B,0)+COLUMN(J$1),1),""))</f>
        <v>追跡者</v>
      </c>
      <c r="BR145" s="39" t="s">
        <v>2843</v>
      </c>
      <c r="BS145" s="74"/>
      <c r="CG145" s="37" t="s">
        <v>2806</v>
      </c>
      <c r="CJ145" s="37" t="s">
        <v>2800</v>
      </c>
      <c r="CK145" s="37" t="s">
        <v>2793</v>
      </c>
      <c r="CN145" s="37" t="s">
        <v>2805</v>
      </c>
    </row>
    <row r="146" ht="18.75" customHeight="1" outlineLevel="1">
      <c r="A146" s="39" t="s">
        <v>2260</v>
      </c>
      <c r="B146" s="71"/>
      <c r="C146" s="39" t="s">
        <v>2803</v>
      </c>
      <c r="D146" s="72" t="str">
        <f t="shared" si="5"/>
        <v>780/485/295</v>
      </c>
      <c r="E146" s="39">
        <v>3.0</v>
      </c>
      <c r="F146" s="39">
        <v>75.0</v>
      </c>
      <c r="I146" s="39">
        <v>85.0</v>
      </c>
      <c r="J146" s="39">
        <v>65.0</v>
      </c>
      <c r="K146" s="87">
        <v>25.0</v>
      </c>
      <c r="L146" s="39">
        <v>50.0</v>
      </c>
      <c r="M146" s="39">
        <v>90.0</v>
      </c>
      <c r="N146" s="39">
        <v>95.0</v>
      </c>
      <c r="P146" s="37">
        <v>0.0</v>
      </c>
      <c r="Q146" s="64"/>
      <c r="R146" s="64"/>
      <c r="S146" s="64"/>
      <c r="T146" s="64"/>
      <c r="U146" s="64"/>
      <c r="V146" s="64"/>
      <c r="W146" s="64"/>
      <c r="X146" s="64"/>
      <c r="Y146" s="64"/>
      <c r="Z146" s="64"/>
      <c r="AA146" s="64"/>
      <c r="AJ146" s="37">
        <v>0.0</v>
      </c>
      <c r="AK146" s="37">
        <v>20.0</v>
      </c>
      <c r="AL146" s="37">
        <v>5.0</v>
      </c>
      <c r="AM146" s="37">
        <v>55.0</v>
      </c>
      <c r="AN146" s="37">
        <v>35.0</v>
      </c>
      <c r="AO146" s="37">
        <v>0.0</v>
      </c>
      <c r="AP146" s="37">
        <v>0.0</v>
      </c>
      <c r="AQ146" s="37">
        <v>90.0</v>
      </c>
      <c r="AR146" s="37">
        <v>90.0</v>
      </c>
      <c r="AS146" s="37">
        <v>0.0</v>
      </c>
      <c r="AT146" s="37">
        <v>0.0</v>
      </c>
      <c r="AU146" s="37">
        <v>0.0</v>
      </c>
      <c r="AV146" s="37">
        <v>0.0</v>
      </c>
      <c r="AW146" s="37">
        <v>0.0</v>
      </c>
      <c r="AX146" s="37">
        <v>0.0</v>
      </c>
      <c r="AY146" s="37">
        <v>0.0</v>
      </c>
      <c r="AZ146" s="37">
        <v>0.0</v>
      </c>
      <c r="BG146" s="37" t="str">
        <f t="array" ref="BG146">IF($A146="","",IFERROR(INDEX(CS!$B$1:$B$15025,MATCH($A146,CS!$B:$B,0)+COLUMN(A$1),1),""))</f>
        <v>急所撃</v>
      </c>
      <c r="BH146" s="37" t="str">
        <f t="array" ref="BH146">IF($A146="","",IFERROR(INDEX(CS!$B$1:$B$15025,MATCH($A146,CS!$B:$B,0)+COLUMN(B$1),1),""))</f>
        <v/>
      </c>
      <c r="BI146" s="37" t="str">
        <f t="array" ref="BI146">IF($A146="","",IFERROR(INDEX(CS!$B$1:$B$15025,MATCH($A146,CS!$B:$B,0)+COLUMN(C$1),1),""))</f>
        <v>追跡者</v>
      </c>
      <c r="BJ146" s="37" t="str">
        <f t="array" ref="BJ146">IF($A146="","",IFERROR(INDEX(CS!$B$1:$B$15025,MATCH($A146,CS!$B:$B,0)+COLUMN(D$1),1),""))</f>
        <v/>
      </c>
      <c r="BK146" s="37" t="str">
        <f t="array" ref="BK146">IF($A146="","",IFERROR(INDEX(CS!$B$1:$B$15025,MATCH($A146,CS!$B:$B,0)+COLUMN(E$1),1),""))</f>
        <v>奇襲</v>
      </c>
      <c r="BL146" s="37" t="str">
        <f t="array" ref="BL146">IF($A146="","",IFERROR(INDEX(CS!$B$1:$B$15025,MATCH($A146,CS!$B:$B,0)+COLUMN(F$1),1),""))</f>
        <v/>
      </c>
      <c r="BM146" s="37" t="str">
        <f t="array" ref="BM146">IF($A146="","",IFERROR(INDEX(CS!$B$1:$B$15025,MATCH($A146,CS!$B:$B,0)+COLUMN(G$1),1),""))</f>
        <v>痛撃</v>
      </c>
      <c r="BN146" s="37" t="str">
        <f t="array" ref="BN146">IF($A146="","",IFERROR(INDEX(CS!$B$1:$B$15025,MATCH($A146,CS!$B:$B,0)+COLUMN(H$1),1),""))</f>
        <v/>
      </c>
      <c r="BO146" s="37" t="str">
        <f t="array" ref="BO146">IF($A146="","",IFERROR(INDEX(CS!$B$1:$B$15025,MATCH($A146,CS!$B:$B,0)+COLUMN(I$1),1),""))</f>
        <v>狙い</v>
      </c>
      <c r="BP146" s="37" t="str">
        <f t="array" ref="BP146">IF($A146="","",IFERROR(INDEX(CS!$B$1:$B$15025,MATCH($A146,CS!$B:$B,0)+COLUMN(J$1),1),""))</f>
        <v>捕食者</v>
      </c>
      <c r="BR146" s="39" t="s">
        <v>2845</v>
      </c>
      <c r="BS146" s="74"/>
      <c r="CG146" s="37" t="s">
        <v>2806</v>
      </c>
      <c r="CJ146" s="37" t="s">
        <v>2800</v>
      </c>
      <c r="CK146" s="37" t="s">
        <v>2793</v>
      </c>
      <c r="CN146" s="37" t="s">
        <v>2805</v>
      </c>
    </row>
    <row r="147" ht="18.75" customHeight="1">
      <c r="B147" s="71"/>
      <c r="D147" s="72"/>
      <c r="K147" s="73"/>
      <c r="P147" s="37" t="s">
        <v>29</v>
      </c>
      <c r="Q147" s="64"/>
      <c r="R147" s="64"/>
      <c r="S147" s="64"/>
      <c r="T147" s="64"/>
      <c r="U147" s="64"/>
      <c r="V147" s="64"/>
      <c r="W147" s="64"/>
      <c r="X147" s="64"/>
      <c r="Y147" s="64"/>
      <c r="Z147" s="64"/>
      <c r="AA147" s="64"/>
      <c r="AJ147" s="37" t="s">
        <v>29</v>
      </c>
      <c r="AK147" s="37" t="s">
        <v>29</v>
      </c>
      <c r="AL147" s="37" t="s">
        <v>29</v>
      </c>
      <c r="AM147" s="37" t="s">
        <v>29</v>
      </c>
      <c r="AN147" s="37" t="s">
        <v>29</v>
      </c>
      <c r="AO147" s="37" t="s">
        <v>29</v>
      </c>
      <c r="AP147" s="37" t="s">
        <v>29</v>
      </c>
      <c r="AQ147" s="37" t="s">
        <v>29</v>
      </c>
      <c r="AR147" s="37" t="s">
        <v>29</v>
      </c>
      <c r="AS147" s="37" t="s">
        <v>29</v>
      </c>
      <c r="AT147" s="37" t="s">
        <v>29</v>
      </c>
      <c r="AU147" s="37" t="s">
        <v>29</v>
      </c>
      <c r="AV147" s="37" t="s">
        <v>29</v>
      </c>
      <c r="AW147" s="37" t="s">
        <v>29</v>
      </c>
      <c r="AX147" s="37" t="s">
        <v>29</v>
      </c>
      <c r="AY147" s="37" t="s">
        <v>29</v>
      </c>
      <c r="AZ147" s="37" t="s">
        <v>29</v>
      </c>
      <c r="BG147" s="37" t="str">
        <f t="array" ref="BG147">IF($A147="","", INDEX(CS!$B$1:$B$15025,MATCH($A147,CS!$B:$B,0)+COLUMN(A$1),1))</f>
        <v/>
      </c>
      <c r="BH147" s="37" t="str">
        <f t="array" ref="BH147">IF($A147="","", INDEX(CS!$B$1:$B$15025,MATCH($A147,CS!$B:$B,0)+COLUMN(B$1),1))</f>
        <v/>
      </c>
      <c r="BI147" s="37" t="str">
        <f t="array" ref="BI147">IF($A147="","", INDEX(CS!$B$1:$B$15025,MATCH($A147,CS!$B:$B,0)+COLUMN(C$1),1))</f>
        <v/>
      </c>
      <c r="BJ147" s="37" t="str">
        <f t="array" ref="BJ147">IF($A147="","", INDEX(CS!$B$1:$B$15025,MATCH($A147,CS!$B:$B,0)+COLUMN(D$1),1))</f>
        <v/>
      </c>
      <c r="BK147" s="37" t="str">
        <f t="array" ref="BK147">IF($A147="","", INDEX(CS!$B$1:$B$15025,MATCH($A147,CS!$B:$B,0)+COLUMN(E$1),1))</f>
        <v/>
      </c>
      <c r="BL147" s="37" t="str">
        <f t="array" ref="BL147">IF($A147="","", INDEX(CS!$B$1:$B$15025,MATCH($A147,CS!$B:$B,0)+COLUMN(F$1),1))</f>
        <v/>
      </c>
      <c r="BM147" s="37" t="str">
        <f t="array" ref="BM147">IF($A147="","", INDEX(CS!$B$1:$B$15025,MATCH($A147,CS!$B:$B,0)+COLUMN(G$1),1))</f>
        <v/>
      </c>
      <c r="BN147" s="37" t="str">
        <f t="array" ref="BN147">IF($A147="","", INDEX(CS!$B$1:$B$15025,MATCH($A147,CS!$B:$B,0)+COLUMN(H$1),1))</f>
        <v/>
      </c>
      <c r="BO147" s="37" t="str">
        <f t="array" ref="BO147">IF($A147="","", INDEX(CS!$B$1:$B$15025,MATCH($A147,CS!$B:$B,0)+COLUMN(I$1),1))</f>
        <v/>
      </c>
      <c r="BP147" s="37" t="str">
        <f t="array" ref="BP147">IF($A147="","", INDEX(CS!$B$1:$B$15025,MATCH($A147,CS!$B:$B,0)+COLUMN(J$1),1))</f>
        <v/>
      </c>
      <c r="BS147" s="74"/>
      <c r="CI147" s="37" t="s">
        <v>2819</v>
      </c>
      <c r="CJ147" s="37" t="s">
        <v>2800</v>
      </c>
      <c r="CK147" s="37" t="s">
        <v>2793</v>
      </c>
    </row>
    <row r="148" ht="18.75" customHeight="1">
      <c r="B148" s="85" t="s">
        <v>2846</v>
      </c>
      <c r="D148" s="72" t="str">
        <f t="shared" ref="D148:D161" si="6">SUM(AJ148:AZ148,F148:N148)&amp;"/"&amp;SUM(F148:N148)&amp;"/"&amp;SUM(AJ148:AZ148)</f>
        <v>0/0/0</v>
      </c>
      <c r="E148" s="37">
        <v>1.0</v>
      </c>
      <c r="K148" s="73"/>
      <c r="P148" s="37" t="s">
        <v>29</v>
      </c>
      <c r="Q148" s="64"/>
      <c r="R148" s="64"/>
      <c r="S148" s="64"/>
      <c r="T148" s="64"/>
      <c r="U148" s="64"/>
      <c r="V148" s="64"/>
      <c r="W148" s="64"/>
      <c r="X148" s="64"/>
      <c r="Y148" s="64"/>
      <c r="Z148" s="64"/>
      <c r="AA148" s="64"/>
      <c r="AJ148" s="37" t="s">
        <v>29</v>
      </c>
      <c r="AK148" s="37" t="s">
        <v>29</v>
      </c>
      <c r="AL148" s="37" t="s">
        <v>29</v>
      </c>
      <c r="AM148" s="37" t="s">
        <v>29</v>
      </c>
      <c r="AN148" s="37" t="s">
        <v>29</v>
      </c>
      <c r="AO148" s="37" t="s">
        <v>29</v>
      </c>
      <c r="AP148" s="37" t="s">
        <v>29</v>
      </c>
      <c r="AQ148" s="37" t="s">
        <v>29</v>
      </c>
      <c r="AR148" s="37" t="s">
        <v>29</v>
      </c>
      <c r="AS148" s="37" t="s">
        <v>29</v>
      </c>
      <c r="AT148" s="37" t="s">
        <v>29</v>
      </c>
      <c r="AU148" s="37" t="s">
        <v>29</v>
      </c>
      <c r="AV148" s="37" t="s">
        <v>29</v>
      </c>
      <c r="AW148" s="37" t="s">
        <v>29</v>
      </c>
      <c r="AX148" s="37" t="s">
        <v>29</v>
      </c>
      <c r="AY148" s="37" t="s">
        <v>29</v>
      </c>
      <c r="AZ148" s="37" t="s">
        <v>29</v>
      </c>
      <c r="BG148" s="37" t="str">
        <f t="array" ref="BG148">IF($A148="","", INDEX(CS!$B$1:$B$15025,MATCH($A148,CS!$B:$B,0)+COLUMN(A$1),1))</f>
        <v/>
      </c>
      <c r="BH148" s="37" t="str">
        <f t="array" ref="BH148">IF($A148="","", INDEX(CS!$B$1:$B$15025,MATCH($A148,CS!$B:$B,0)+COLUMN(B$1),1))</f>
        <v/>
      </c>
      <c r="BI148" s="37" t="str">
        <f t="array" ref="BI148">IF($A148="","", INDEX(CS!$B$1:$B$15025,MATCH($A148,CS!$B:$B,0)+COLUMN(C$1),1))</f>
        <v/>
      </c>
      <c r="BJ148" s="37" t="str">
        <f t="array" ref="BJ148">IF($A148="","", INDEX(CS!$B$1:$B$15025,MATCH($A148,CS!$B:$B,0)+COLUMN(D$1),1))</f>
        <v/>
      </c>
      <c r="BK148" s="37" t="str">
        <f t="array" ref="BK148">IF($A148="","", INDEX(CS!$B$1:$B$15025,MATCH($A148,CS!$B:$B,0)+COLUMN(E$1),1))</f>
        <v/>
      </c>
      <c r="BL148" s="37" t="str">
        <f t="array" ref="BL148">IF($A148="","", INDEX(CS!$B$1:$B$15025,MATCH($A148,CS!$B:$B,0)+COLUMN(F$1),1))</f>
        <v/>
      </c>
      <c r="BM148" s="37" t="str">
        <f t="array" ref="BM148">IF($A148="","", INDEX(CS!$B$1:$B$15025,MATCH($A148,CS!$B:$B,0)+COLUMN(G$1),1))</f>
        <v/>
      </c>
      <c r="BN148" s="37" t="str">
        <f t="array" ref="BN148">IF($A148="","", INDEX(CS!$B$1:$B$15025,MATCH($A148,CS!$B:$B,0)+COLUMN(H$1),1))</f>
        <v/>
      </c>
      <c r="BO148" s="37" t="str">
        <f t="array" ref="BO148">IF($A148="","", INDEX(CS!$B$1:$B$15025,MATCH($A148,CS!$B:$B,0)+COLUMN(I$1),1))</f>
        <v/>
      </c>
      <c r="BP148" s="37" t="str">
        <f t="array" ref="BP148">IF($A148="","", INDEX(CS!$B$1:$B$15025,MATCH($A148,CS!$B:$B,0)+COLUMN(J$1),1))</f>
        <v/>
      </c>
      <c r="BS148" s="74"/>
    </row>
    <row r="149" ht="18.75" customHeight="1" outlineLevel="1">
      <c r="A149" s="39" t="s">
        <v>2348</v>
      </c>
      <c r="B149" s="89"/>
      <c r="C149" s="39" t="s">
        <v>2801</v>
      </c>
      <c r="D149" s="72" t="str">
        <f t="shared" si="6"/>
        <v>725/470/255</v>
      </c>
      <c r="E149" s="39">
        <v>2.0</v>
      </c>
      <c r="F149" s="39">
        <v>85.0</v>
      </c>
      <c r="I149" s="39">
        <v>85.0</v>
      </c>
      <c r="J149" s="39">
        <v>75.0</v>
      </c>
      <c r="K149" s="87">
        <v>25.0</v>
      </c>
      <c r="L149" s="39">
        <v>45.0</v>
      </c>
      <c r="M149" s="39">
        <v>80.0</v>
      </c>
      <c r="N149" s="39">
        <v>75.0</v>
      </c>
      <c r="P149" s="37">
        <v>0.0</v>
      </c>
      <c r="Q149" s="64"/>
      <c r="R149" s="64"/>
      <c r="S149" s="64"/>
      <c r="T149" s="64"/>
      <c r="U149" s="64"/>
      <c r="V149" s="64"/>
      <c r="W149" s="64"/>
      <c r="X149" s="64"/>
      <c r="Y149" s="64"/>
      <c r="Z149" s="64"/>
      <c r="AA149" s="64"/>
      <c r="AJ149" s="37">
        <v>50.0</v>
      </c>
      <c r="AK149" s="37">
        <v>50.0</v>
      </c>
      <c r="AL149" s="37">
        <v>25.0</v>
      </c>
      <c r="AM149" s="37">
        <v>55.0</v>
      </c>
      <c r="AN149" s="37">
        <v>25.0</v>
      </c>
      <c r="AO149" s="37">
        <v>0.0</v>
      </c>
      <c r="AP149" s="37">
        <v>0.0</v>
      </c>
      <c r="AQ149" s="37">
        <v>0.0</v>
      </c>
      <c r="AR149" s="37">
        <v>25.0</v>
      </c>
      <c r="AS149" s="37">
        <v>0.0</v>
      </c>
      <c r="AT149" s="37">
        <v>0.0</v>
      </c>
      <c r="AU149" s="37">
        <v>0.0</v>
      </c>
      <c r="AV149" s="37">
        <v>0.0</v>
      </c>
      <c r="AW149" s="37">
        <v>25.0</v>
      </c>
      <c r="AX149" s="37">
        <v>0.0</v>
      </c>
      <c r="AY149" s="37">
        <v>0.0</v>
      </c>
      <c r="AZ149" s="37">
        <v>0.0</v>
      </c>
      <c r="BG149" s="37" t="str">
        <f t="array" ref="BG149">IF($A149="","",IFERROR(INDEX(CS!$B$1:$B$15025,MATCH($A149,CS!$B:$B,0)+COLUMN(A$1),1),""))</f>
        <v>闘気撃</v>
      </c>
      <c r="BH149" s="37" t="str">
        <f t="array" ref="BH149">IF($A149="","",IFERROR(INDEX(CS!$B$1:$B$15025,MATCH($A149,CS!$B:$B,0)+COLUMN(B$1),1),""))</f>
        <v>素手の扱い</v>
      </c>
      <c r="BI149" s="37" t="str">
        <f t="array" ref="BI149">IF($A149="","",IFERROR(INDEX(CS!$B$1:$B$15025,MATCH($A149,CS!$B:$B,0)+COLUMN(C$1),1),""))</f>
        <v>闘気速</v>
      </c>
      <c r="BJ149" s="37" t="str">
        <f t="array" ref="BJ149">IF($A149="","",IFERROR(INDEX(CS!$B$1:$B$15025,MATCH($A149,CS!$B:$B,0)+COLUMN(D$1),1),""))</f>
        <v>雄叫び</v>
      </c>
      <c r="BK149" s="37" t="str">
        <f t="array" ref="BK149">IF($A149="","",IFERROR(INDEX(CS!$B$1:$B$15025,MATCH($A149,CS!$B:$B,0)+COLUMN(E$1),1),""))</f>
        <v>反応</v>
      </c>
      <c r="BL149" s="37" t="str">
        <f t="array" ref="BL149">IF($A149="","",IFERROR(INDEX(CS!$B$1:$B$15025,MATCH($A149,CS!$B:$B,0)+COLUMN(F$1),1),""))</f>
        <v/>
      </c>
      <c r="BM149" s="37" t="str">
        <f t="array" ref="BM149">IF($A149="","",IFERROR(INDEX(CS!$B$1:$B$15025,MATCH($A149,CS!$B:$B,0)+COLUMN(G$1),1),""))</f>
        <v>一閃撃</v>
      </c>
      <c r="BN149" s="37" t="str">
        <f t="array" ref="BN149">IF($A149="","",IFERROR(INDEX(CS!$B$1:$B$15025,MATCH($A149,CS!$B:$B,0)+COLUMN(H$1),1),""))</f>
        <v/>
      </c>
      <c r="BO149" s="37" t="str">
        <f t="array" ref="BO149">IF($A149="","",IFERROR(INDEX(CS!$B$1:$B$15025,MATCH($A149,CS!$B:$B,0)+COLUMN(I$1),1),""))</f>
        <v/>
      </c>
      <c r="BP149" s="37" t="str">
        <f t="array" ref="BP149">IF($A149="","",IFERROR(INDEX(CS!$B$1:$B$15025,MATCH($A149,CS!$B:$B,0)+COLUMN(J$1),1),""))</f>
        <v>気の極意</v>
      </c>
      <c r="BR149" s="39" t="s">
        <v>2847</v>
      </c>
      <c r="BS149" s="74"/>
    </row>
    <row r="150" ht="18.75" customHeight="1" outlineLevel="1">
      <c r="A150" s="39" t="s">
        <v>2351</v>
      </c>
      <c r="B150" s="89"/>
      <c r="C150" s="39" t="s">
        <v>2801</v>
      </c>
      <c r="D150" s="72" t="str">
        <f t="shared" si="6"/>
        <v>725/470/255</v>
      </c>
      <c r="E150" s="39">
        <v>2.0</v>
      </c>
      <c r="F150" s="39">
        <v>85.0</v>
      </c>
      <c r="I150" s="39">
        <v>85.0</v>
      </c>
      <c r="J150" s="39">
        <v>75.0</v>
      </c>
      <c r="K150" s="87">
        <v>25.0</v>
      </c>
      <c r="L150" s="39">
        <v>45.0</v>
      </c>
      <c r="M150" s="39">
        <v>80.0</v>
      </c>
      <c r="N150" s="39">
        <v>75.0</v>
      </c>
      <c r="P150" s="37">
        <v>0.0</v>
      </c>
      <c r="Q150" s="64"/>
      <c r="R150" s="64"/>
      <c r="S150" s="64"/>
      <c r="T150" s="64"/>
      <c r="U150" s="64"/>
      <c r="V150" s="64"/>
      <c r="W150" s="64"/>
      <c r="X150" s="64"/>
      <c r="Y150" s="64"/>
      <c r="Z150" s="64"/>
      <c r="AA150" s="64"/>
      <c r="AJ150" s="37">
        <v>50.0</v>
      </c>
      <c r="AK150" s="37">
        <v>50.0</v>
      </c>
      <c r="AL150" s="37">
        <v>25.0</v>
      </c>
      <c r="AM150" s="37">
        <v>55.0</v>
      </c>
      <c r="AN150" s="37">
        <v>25.0</v>
      </c>
      <c r="AO150" s="37">
        <v>0.0</v>
      </c>
      <c r="AP150" s="37">
        <v>0.0</v>
      </c>
      <c r="AQ150" s="37">
        <v>0.0</v>
      </c>
      <c r="AR150" s="37">
        <v>25.0</v>
      </c>
      <c r="AS150" s="37">
        <v>0.0</v>
      </c>
      <c r="AT150" s="37">
        <v>0.0</v>
      </c>
      <c r="AU150" s="37">
        <v>0.0</v>
      </c>
      <c r="AV150" s="37">
        <v>0.0</v>
      </c>
      <c r="AW150" s="37">
        <v>25.0</v>
      </c>
      <c r="AX150" s="37">
        <v>0.0</v>
      </c>
      <c r="AY150" s="37">
        <v>0.0</v>
      </c>
      <c r="AZ150" s="37">
        <v>0.0</v>
      </c>
      <c r="BG150" s="37" t="str">
        <f t="array" ref="BG150">IF($A150="","",IFERROR(INDEX(CS!$B$1:$B$15025,MATCH($A150,CS!$B:$B,0)+COLUMN(A$1),1),""))</f>
        <v>連打</v>
      </c>
      <c r="BH150" s="37" t="str">
        <f t="array" ref="BH150">IF($A150="","",IFERROR(INDEX(CS!$B$1:$B$15025,MATCH($A150,CS!$B:$B,0)+COLUMN(B$1),1),""))</f>
        <v/>
      </c>
      <c r="BI150" s="37" t="str">
        <f t="array" ref="BI150">IF($A150="","",IFERROR(INDEX(CS!$B$1:$B$15025,MATCH($A150,CS!$B:$B,0)+COLUMN(C$1),1),""))</f>
        <v>打撃姿勢</v>
      </c>
      <c r="BJ150" s="37" t="str">
        <f t="array" ref="BJ150">IF($A150="","",IFERROR(INDEX(CS!$B$1:$B$15025,MATCH($A150,CS!$B:$B,0)+COLUMN(D$1),1),""))</f>
        <v/>
      </c>
      <c r="BK150" s="37" t="str">
        <f t="array" ref="BK150">IF($A150="","",IFERROR(INDEX(CS!$B$1:$B$15025,MATCH($A150,CS!$B:$B,0)+COLUMN(E$1),1),""))</f>
        <v>強打</v>
      </c>
      <c r="BL150" s="37" t="str">
        <f t="array" ref="BL150">IF($A150="","",IFERROR(INDEX(CS!$B$1:$B$15025,MATCH($A150,CS!$B:$B,0)+COLUMN(F$1),1),""))</f>
        <v/>
      </c>
      <c r="BM150" s="37" t="str">
        <f t="array" ref="BM150">IF($A150="","",IFERROR(INDEX(CS!$B$1:$B$15025,MATCH($A150,CS!$B:$B,0)+COLUMN(G$1),1),""))</f>
        <v>踏み込み</v>
      </c>
      <c r="BN150" s="37" t="str">
        <f t="array" ref="BN150">IF($A150="","",IFERROR(INDEX(CS!$B$1:$B$15025,MATCH($A150,CS!$B:$B,0)+COLUMN(H$1),1),""))</f>
        <v/>
      </c>
      <c r="BO150" s="37" t="str">
        <f t="array" ref="BO150">IF($A150="","",IFERROR(INDEX(CS!$B$1:$B$15025,MATCH($A150,CS!$B:$B,0)+COLUMN(I$1),1),""))</f>
        <v>拳の極み</v>
      </c>
      <c r="BP150" s="37" t="str">
        <f t="array" ref="BP150">IF($A150="","",IFERROR(INDEX(CS!$B$1:$B$15025,MATCH($A150,CS!$B:$B,0)+COLUMN(J$1),1),""))</f>
        <v>連環撃</v>
      </c>
      <c r="BR150" s="39" t="s">
        <v>2847</v>
      </c>
      <c r="BS150" s="74"/>
    </row>
    <row r="151" ht="18.75" customHeight="1" outlineLevel="1">
      <c r="A151" s="39" t="s">
        <v>2364</v>
      </c>
      <c r="B151" s="89"/>
      <c r="C151" s="39" t="s">
        <v>2801</v>
      </c>
      <c r="D151" s="72" t="str">
        <f t="shared" si="6"/>
        <v>725/470/255</v>
      </c>
      <c r="E151" s="39">
        <v>2.0</v>
      </c>
      <c r="F151" s="39">
        <v>85.0</v>
      </c>
      <c r="I151" s="39">
        <v>85.0</v>
      </c>
      <c r="J151" s="39">
        <v>75.0</v>
      </c>
      <c r="K151" s="87">
        <v>25.0</v>
      </c>
      <c r="L151" s="39">
        <v>45.0</v>
      </c>
      <c r="M151" s="39">
        <v>80.0</v>
      </c>
      <c r="N151" s="39">
        <v>75.0</v>
      </c>
      <c r="P151" s="37">
        <v>0.0</v>
      </c>
      <c r="Q151" s="64"/>
      <c r="R151" s="64"/>
      <c r="S151" s="64"/>
      <c r="T151" s="64"/>
      <c r="U151" s="64"/>
      <c r="V151" s="64"/>
      <c r="W151" s="64"/>
      <c r="X151" s="64"/>
      <c r="Y151" s="64"/>
      <c r="Z151" s="64"/>
      <c r="AA151" s="64"/>
      <c r="AJ151" s="37">
        <v>50.0</v>
      </c>
      <c r="AK151" s="37">
        <v>50.0</v>
      </c>
      <c r="AL151" s="37">
        <v>25.0</v>
      </c>
      <c r="AM151" s="37">
        <v>55.0</v>
      </c>
      <c r="AN151" s="37">
        <v>25.0</v>
      </c>
      <c r="AO151" s="37">
        <v>0.0</v>
      </c>
      <c r="AP151" s="37">
        <v>0.0</v>
      </c>
      <c r="AQ151" s="37">
        <v>0.0</v>
      </c>
      <c r="AR151" s="37">
        <v>25.0</v>
      </c>
      <c r="AS151" s="37">
        <v>0.0</v>
      </c>
      <c r="AT151" s="37">
        <v>0.0</v>
      </c>
      <c r="AU151" s="37">
        <v>0.0</v>
      </c>
      <c r="AV151" s="37">
        <v>0.0</v>
      </c>
      <c r="AW151" s="37">
        <v>25.0</v>
      </c>
      <c r="AX151" s="37">
        <v>0.0</v>
      </c>
      <c r="AY151" s="37">
        <v>0.0</v>
      </c>
      <c r="AZ151" s="37">
        <v>0.0</v>
      </c>
      <c r="BG151" s="37" t="str">
        <f t="array" ref="BG151">IF($A151="","",IFERROR(INDEX(CS!$B$1:$B$15025,MATCH($A151,CS!$B:$B,0)+COLUMN(A$1),1),""))</f>
        <v>掌打</v>
      </c>
      <c r="BH151" s="37" t="str">
        <f t="array" ref="BH151">IF($A151="","",IFERROR(INDEX(CS!$B$1:$B$15025,MATCH($A151,CS!$B:$B,0)+COLUMN(B$1),1),""))</f>
        <v/>
      </c>
      <c r="BI151" s="37" t="str">
        <f t="array" ref="BI151">IF($A151="","",IFERROR(INDEX(CS!$B$1:$B$15025,MATCH($A151,CS!$B:$B,0)+COLUMN(C$1),1),""))</f>
        <v>武術の構え</v>
      </c>
      <c r="BJ151" s="37" t="str">
        <f t="array" ref="BJ151">IF($A151="","",IFERROR(INDEX(CS!$B$1:$B$15025,MATCH($A151,CS!$B:$B,0)+COLUMN(D$1),1),""))</f>
        <v/>
      </c>
      <c r="BK151" s="37" t="str">
        <f t="array" ref="BK151">IF($A151="","",IFERROR(INDEX(CS!$B$1:$B$15025,MATCH($A151,CS!$B:$B,0)+COLUMN(E$1),1),""))</f>
        <v>崩拳</v>
      </c>
      <c r="BL151" s="37" t="str">
        <f t="array" ref="BL151">IF($A151="","",IFERROR(INDEX(CS!$B$1:$B$15025,MATCH($A151,CS!$B:$B,0)+COLUMN(F$1),1),""))</f>
        <v/>
      </c>
      <c r="BM151" s="37" t="str">
        <f t="array" ref="BM151">IF($A151="","",IFERROR(INDEX(CS!$B$1:$B$15025,MATCH($A151,CS!$B:$B,0)+COLUMN(G$1),1),""))</f>
        <v>回し蹴り</v>
      </c>
      <c r="BN151" s="37" t="str">
        <f t="array" ref="BN151">IF($A151="","",IFERROR(INDEX(CS!$B$1:$B$15025,MATCH($A151,CS!$B:$B,0)+COLUMN(H$1),1),""))</f>
        <v/>
      </c>
      <c r="BO151" s="37" t="str">
        <f t="array" ref="BO151">IF($A151="","",IFERROR(INDEX(CS!$B$1:$B$15025,MATCH($A151,CS!$B:$B,0)+COLUMN(I$1),1),""))</f>
        <v>武術の心得</v>
      </c>
      <c r="BP151" s="37" t="str">
        <f t="array" ref="BP151">IF($A151="","",IFERROR(INDEX(CS!$B$1:$B$15025,MATCH($A151,CS!$B:$B,0)+COLUMN(J$1),1),""))</f>
        <v>無拍子</v>
      </c>
      <c r="BR151" s="39" t="s">
        <v>2847</v>
      </c>
      <c r="BS151" s="74"/>
    </row>
    <row r="152" ht="18.75" customHeight="1" outlineLevel="1">
      <c r="A152" s="39" t="s">
        <v>2377</v>
      </c>
      <c r="B152" s="89"/>
      <c r="C152" s="39" t="s">
        <v>2801</v>
      </c>
      <c r="D152" s="72" t="str">
        <f t="shared" si="6"/>
        <v>740/485/255</v>
      </c>
      <c r="E152" s="39">
        <v>3.0</v>
      </c>
      <c r="F152" s="39">
        <v>90.0</v>
      </c>
      <c r="I152" s="39">
        <v>90.0</v>
      </c>
      <c r="J152" s="39">
        <v>75.0</v>
      </c>
      <c r="K152" s="87">
        <v>25.0</v>
      </c>
      <c r="L152" s="39">
        <v>45.0</v>
      </c>
      <c r="M152" s="39">
        <v>85.0</v>
      </c>
      <c r="N152" s="39">
        <v>75.0</v>
      </c>
      <c r="P152" s="37">
        <v>0.0</v>
      </c>
      <c r="Q152" s="64"/>
      <c r="R152" s="64"/>
      <c r="S152" s="64"/>
      <c r="T152" s="64"/>
      <c r="U152" s="64"/>
      <c r="V152" s="64"/>
      <c r="W152" s="64"/>
      <c r="X152" s="64"/>
      <c r="Y152" s="64"/>
      <c r="Z152" s="64"/>
      <c r="AA152" s="64"/>
      <c r="AJ152" s="37">
        <v>50.0</v>
      </c>
      <c r="AK152" s="37">
        <v>50.0</v>
      </c>
      <c r="AL152" s="37">
        <v>25.0</v>
      </c>
      <c r="AM152" s="37">
        <v>55.0</v>
      </c>
      <c r="AN152" s="37">
        <v>25.0</v>
      </c>
      <c r="AO152" s="37">
        <v>0.0</v>
      </c>
      <c r="AP152" s="37">
        <v>0.0</v>
      </c>
      <c r="AQ152" s="37">
        <v>0.0</v>
      </c>
      <c r="AR152" s="37">
        <v>25.0</v>
      </c>
      <c r="AS152" s="37">
        <v>0.0</v>
      </c>
      <c r="AT152" s="37">
        <v>0.0</v>
      </c>
      <c r="AU152" s="37">
        <v>0.0</v>
      </c>
      <c r="AV152" s="37">
        <v>0.0</v>
      </c>
      <c r="AW152" s="37">
        <v>25.0</v>
      </c>
      <c r="AX152" s="37">
        <v>0.0</v>
      </c>
      <c r="AY152" s="37">
        <v>0.0</v>
      </c>
      <c r="AZ152" s="37">
        <v>0.0</v>
      </c>
      <c r="BG152" s="37" t="str">
        <f t="array" ref="BG152">IF($A152="","",IFERROR(INDEX(CS!$B$1:$B$15025,MATCH($A152,CS!$B:$B,0)+COLUMN(A$1),1),""))</f>
        <v>崩拳</v>
      </c>
      <c r="BH152" s="37" t="str">
        <f t="array" ref="BH152">IF($A152="","",IFERROR(INDEX(CS!$B$1:$B$15025,MATCH($A152,CS!$B:$B,0)+COLUMN(B$1),1),""))</f>
        <v/>
      </c>
      <c r="BI152" s="37" t="str">
        <f t="array" ref="BI152">IF($A152="","",IFERROR(INDEX(CS!$B$1:$B$15025,MATCH($A152,CS!$B:$B,0)+COLUMN(C$1),1),""))</f>
        <v>達人の構え</v>
      </c>
      <c r="BJ152" s="37" t="str">
        <f t="array" ref="BJ152">IF($A152="","",IFERROR(INDEX(CS!$B$1:$B$15025,MATCH($A152,CS!$B:$B,0)+COLUMN(D$1),1),""))</f>
        <v/>
      </c>
      <c r="BK152" s="37" t="str">
        <f t="array" ref="BK152">IF($A152="","",IFERROR(INDEX(CS!$B$1:$B$15025,MATCH($A152,CS!$B:$B,0)+COLUMN(E$1),1),""))</f>
        <v>連環撃</v>
      </c>
      <c r="BL152" s="37" t="str">
        <f t="array" ref="BL152">IF($A152="","",IFERROR(INDEX(CS!$B$1:$B$15025,MATCH($A152,CS!$B:$B,0)+COLUMN(F$1),1),""))</f>
        <v/>
      </c>
      <c r="BM152" s="37" t="str">
        <f t="array" ref="BM152">IF($A152="","",IFERROR(INDEX(CS!$B$1:$B$15025,MATCH($A152,CS!$B:$B,0)+COLUMN(G$1),1),""))</f>
        <v>縮地</v>
      </c>
      <c r="BN152" s="37" t="str">
        <f t="array" ref="BN152">IF($A152="","",IFERROR(INDEX(CS!$B$1:$B$15025,MATCH($A152,CS!$B:$B,0)+COLUMN(H$1),1),""))</f>
        <v/>
      </c>
      <c r="BO152" s="37" t="str">
        <f t="array" ref="BO152">IF($A152="","",IFERROR(INDEX(CS!$B$1:$B$15025,MATCH($A152,CS!$B:$B,0)+COLUMN(I$1),1),""))</f>
        <v>見極</v>
      </c>
      <c r="BP152" s="37" t="str">
        <f t="array" ref="BP152">IF($A152="","",IFERROR(INDEX(CS!$B$1:$B$15025,MATCH($A152,CS!$B:$B,0)+COLUMN(J$1),1),""))</f>
        <v>奥義・震脚</v>
      </c>
      <c r="BR152" s="39" t="s">
        <v>2848</v>
      </c>
      <c r="BS152" s="74"/>
    </row>
    <row r="153" ht="18.75" customHeight="1" outlineLevel="1">
      <c r="A153" s="39" t="s">
        <v>2382</v>
      </c>
      <c r="B153" s="89"/>
      <c r="C153" s="39" t="s">
        <v>2801</v>
      </c>
      <c r="D153" s="72" t="str">
        <f t="shared" si="6"/>
        <v>755/500/255</v>
      </c>
      <c r="E153" s="39">
        <v>4.0</v>
      </c>
      <c r="F153" s="39">
        <v>95.0</v>
      </c>
      <c r="I153" s="39">
        <v>95.0</v>
      </c>
      <c r="J153" s="39">
        <v>75.0</v>
      </c>
      <c r="K153" s="87">
        <v>25.0</v>
      </c>
      <c r="L153" s="39">
        <v>45.0</v>
      </c>
      <c r="M153" s="39">
        <v>90.0</v>
      </c>
      <c r="N153" s="39">
        <v>75.0</v>
      </c>
      <c r="P153" s="37">
        <v>0.0</v>
      </c>
      <c r="Q153" s="64"/>
      <c r="R153" s="64"/>
      <c r="S153" s="64"/>
      <c r="T153" s="64"/>
      <c r="U153" s="64"/>
      <c r="V153" s="64"/>
      <c r="W153" s="64"/>
      <c r="X153" s="64"/>
      <c r="Y153" s="64"/>
      <c r="Z153" s="64"/>
      <c r="AA153" s="64"/>
      <c r="AJ153" s="37">
        <v>50.0</v>
      </c>
      <c r="AK153" s="37">
        <v>50.0</v>
      </c>
      <c r="AL153" s="37">
        <v>25.0</v>
      </c>
      <c r="AM153" s="37">
        <v>55.0</v>
      </c>
      <c r="AN153" s="37">
        <v>25.0</v>
      </c>
      <c r="AO153" s="37">
        <v>0.0</v>
      </c>
      <c r="AP153" s="37">
        <v>0.0</v>
      </c>
      <c r="AQ153" s="37">
        <v>0.0</v>
      </c>
      <c r="AR153" s="37">
        <v>25.0</v>
      </c>
      <c r="AS153" s="37">
        <v>0.0</v>
      </c>
      <c r="AT153" s="37">
        <v>0.0</v>
      </c>
      <c r="AU153" s="37">
        <v>0.0</v>
      </c>
      <c r="AV153" s="37">
        <v>0.0</v>
      </c>
      <c r="AW153" s="37">
        <v>25.0</v>
      </c>
      <c r="AX153" s="37">
        <v>0.0</v>
      </c>
      <c r="AY153" s="37">
        <v>0.0</v>
      </c>
      <c r="AZ153" s="37">
        <v>0.0</v>
      </c>
      <c r="BG153" s="37" t="str">
        <f t="array" ref="BG153">IF($A153="","",IFERROR(INDEX(CS!$B$1:$B$15025,MATCH($A153,CS!$B:$B,0)+COLUMN(A$1),1),""))</f>
        <v>無拍子</v>
      </c>
      <c r="BH153" s="37" t="str">
        <f t="array" ref="BH153">IF($A153="","",IFERROR(INDEX(CS!$B$1:$B$15025,MATCH($A153,CS!$B:$B,0)+COLUMN(B$1),1),""))</f>
        <v/>
      </c>
      <c r="BI153" s="37" t="str">
        <f t="array" ref="BI153">IF($A153="","",IFERROR(INDEX(CS!$B$1:$B$15025,MATCH($A153,CS!$B:$B,0)+COLUMN(C$1),1),""))</f>
        <v>達人の構え</v>
      </c>
      <c r="BJ153" s="37" t="str">
        <f t="array" ref="BJ153">IF($A153="","",IFERROR(INDEX(CS!$B$1:$B$15025,MATCH($A153,CS!$B:$B,0)+COLUMN(D$1),1),""))</f>
        <v/>
      </c>
      <c r="BK153" s="37" t="str">
        <f t="array" ref="BK153">IF($A153="","",IFERROR(INDEX(CS!$B$1:$B$15025,MATCH($A153,CS!$B:$B,0)+COLUMN(E$1),1),""))</f>
        <v>縮地・空</v>
      </c>
      <c r="BL153" s="37" t="str">
        <f t="array" ref="BL153">IF($A153="","",IFERROR(INDEX(CS!$B$1:$B$15025,MATCH($A153,CS!$B:$B,0)+COLUMN(F$1),1),""))</f>
        <v/>
      </c>
      <c r="BM153" s="37" t="str">
        <f t="array" ref="BM153">IF($A153="","",IFERROR(INDEX(CS!$B$1:$B$15025,MATCH($A153,CS!$B:$B,0)+COLUMN(G$1),1),""))</f>
        <v>神眼</v>
      </c>
      <c r="BN153" s="37" t="str">
        <f t="array" ref="BN153">IF($A153="","",IFERROR(INDEX(CS!$B$1:$B$15025,MATCH($A153,CS!$B:$B,0)+COLUMN(H$1),1),""))</f>
        <v/>
      </c>
      <c r="BO153" s="37" t="str">
        <f t="array" ref="BO153">IF($A153="","",IFERROR(INDEX(CS!$B$1:$B$15025,MATCH($A153,CS!$B:$B,0)+COLUMN(I$1),1),""))</f>
        <v>見極</v>
      </c>
      <c r="BP153" s="37" t="str">
        <f t="array" ref="BP153">IF($A153="","",IFERROR(INDEX(CS!$B$1:$B$15025,MATCH($A153,CS!$B:$B,0)+COLUMN(J$1),1),""))</f>
        <v>武神撃</v>
      </c>
      <c r="BR153" s="39" t="s">
        <v>2849</v>
      </c>
      <c r="BS153" s="74"/>
    </row>
    <row r="154" ht="18.75" customHeight="1" outlineLevel="1">
      <c r="A154" s="39" t="s">
        <v>2386</v>
      </c>
      <c r="B154" s="89"/>
      <c r="C154" s="39" t="s">
        <v>2801</v>
      </c>
      <c r="D154" s="72" t="str">
        <f t="shared" si="6"/>
        <v>760/465/295</v>
      </c>
      <c r="E154" s="39">
        <v>2.0</v>
      </c>
      <c r="F154" s="39">
        <v>80.0</v>
      </c>
      <c r="I154" s="39">
        <v>80.0</v>
      </c>
      <c r="J154" s="39">
        <v>65.0</v>
      </c>
      <c r="K154" s="87">
        <v>25.0</v>
      </c>
      <c r="L154" s="39">
        <v>55.0</v>
      </c>
      <c r="M154" s="39">
        <v>80.0</v>
      </c>
      <c r="N154" s="39">
        <v>80.0</v>
      </c>
      <c r="P154" s="37">
        <v>0.0</v>
      </c>
      <c r="Q154" s="64"/>
      <c r="R154" s="64"/>
      <c r="S154" s="64"/>
      <c r="T154" s="64"/>
      <c r="U154" s="64"/>
      <c r="V154" s="64"/>
      <c r="W154" s="64"/>
      <c r="X154" s="64"/>
      <c r="Y154" s="64"/>
      <c r="Z154" s="64"/>
      <c r="AA154" s="64"/>
      <c r="AJ154" s="37">
        <v>25.0</v>
      </c>
      <c r="AK154" s="37">
        <v>45.0</v>
      </c>
      <c r="AL154" s="37">
        <v>20.0</v>
      </c>
      <c r="AM154" s="37">
        <v>55.0</v>
      </c>
      <c r="AN154" s="37">
        <v>30.0</v>
      </c>
      <c r="AO154" s="37">
        <v>0.0</v>
      </c>
      <c r="AP154" s="37">
        <v>0.0</v>
      </c>
      <c r="AQ154" s="37">
        <v>50.0</v>
      </c>
      <c r="AR154" s="37">
        <v>55.0</v>
      </c>
      <c r="AS154" s="37">
        <v>0.0</v>
      </c>
      <c r="AT154" s="37">
        <v>0.0</v>
      </c>
      <c r="AU154" s="37">
        <v>0.0</v>
      </c>
      <c r="AV154" s="37">
        <v>0.0</v>
      </c>
      <c r="AW154" s="37">
        <v>15.0</v>
      </c>
      <c r="AX154" s="37">
        <v>0.0</v>
      </c>
      <c r="AY154" s="37">
        <v>0.0</v>
      </c>
      <c r="AZ154" s="37">
        <v>0.0</v>
      </c>
      <c r="BG154" s="37" t="str">
        <f t="array" ref="BG154">IF($A154="","",IFERROR(INDEX(CS!$B$1:$B$15025,MATCH($A154,CS!$B:$B,0)+COLUMN(A$1),1),""))</f>
        <v>潜伏</v>
      </c>
      <c r="BH154" s="37" t="str">
        <f t="array" ref="BH154">IF($A154="","",IFERROR(INDEX(CS!$B$1:$B$15025,MATCH($A154,CS!$B:$B,0)+COLUMN(B$1),1),""))</f>
        <v/>
      </c>
      <c r="BI154" s="37" t="str">
        <f t="array" ref="BI154">IF($A154="","",IFERROR(INDEX(CS!$B$1:$B$15025,MATCH($A154,CS!$B:$B,0)+COLUMN(C$1),1),""))</f>
        <v>奇襲</v>
      </c>
      <c r="BJ154" s="37" t="str">
        <f t="array" ref="BJ154">IF($A154="","",IFERROR(INDEX(CS!$B$1:$B$15025,MATCH($A154,CS!$B:$B,0)+COLUMN(D$1),1),""))</f>
        <v/>
      </c>
      <c r="BK154" s="37" t="str">
        <f t="array" ref="BK154">IF($A154="","",IFERROR(INDEX(CS!$B$1:$B$15025,MATCH($A154,CS!$B:$B,0)+COLUMN(E$1),1),""))</f>
        <v>縮地</v>
      </c>
      <c r="BL154" s="37" t="str">
        <f t="array" ref="BL154">IF($A154="","",IFERROR(INDEX(CS!$B$1:$B$15025,MATCH($A154,CS!$B:$B,0)+COLUMN(F$1),1),""))</f>
        <v/>
      </c>
      <c r="BM154" s="37" t="str">
        <f t="array" ref="BM154">IF($A154="","",IFERROR(INDEX(CS!$B$1:$B$15025,MATCH($A154,CS!$B:$B,0)+COLUMN(G$1),1),""))</f>
        <v>手裏剣</v>
      </c>
      <c r="BN154" s="37" t="str">
        <f t="array" ref="BN154">IF($A154="","",IFERROR(INDEX(CS!$B$1:$B$15025,MATCH($A154,CS!$B:$B,0)+COLUMN(H$1),1),""))</f>
        <v/>
      </c>
      <c r="BO154" s="37" t="str">
        <f t="array" ref="BO154">IF($A154="","",IFERROR(INDEX(CS!$B$1:$B$15025,MATCH($A154,CS!$B:$B,0)+COLUMN(I$1),1),""))</f>
        <v>反応</v>
      </c>
      <c r="BP154" s="37" t="str">
        <f t="array" ref="BP154">IF($A154="","",IFERROR(INDEX(CS!$B$1:$B$15025,MATCH($A154,CS!$B:$B,0)+COLUMN(J$1),1),""))</f>
        <v>忍殺</v>
      </c>
      <c r="BR154" s="39" t="s">
        <v>2850</v>
      </c>
      <c r="BS154" s="74"/>
    </row>
    <row r="155" ht="18.75" customHeight="1" outlineLevel="1">
      <c r="A155" s="39" t="s">
        <v>2391</v>
      </c>
      <c r="B155" s="89"/>
      <c r="C155" s="39" t="s">
        <v>2801</v>
      </c>
      <c r="D155" s="72" t="str">
        <f t="shared" si="6"/>
        <v>790/495/295</v>
      </c>
      <c r="E155" s="39">
        <v>3.0</v>
      </c>
      <c r="F155" s="39">
        <v>80.0</v>
      </c>
      <c r="I155" s="39">
        <v>90.0</v>
      </c>
      <c r="J155" s="39">
        <v>65.0</v>
      </c>
      <c r="K155" s="87">
        <v>25.0</v>
      </c>
      <c r="L155" s="39">
        <v>55.0</v>
      </c>
      <c r="M155" s="39">
        <v>90.0</v>
      </c>
      <c r="N155" s="39">
        <v>90.0</v>
      </c>
      <c r="P155" s="37">
        <v>0.0</v>
      </c>
      <c r="Q155" s="64"/>
      <c r="R155" s="64"/>
      <c r="S155" s="64"/>
      <c r="T155" s="64"/>
      <c r="U155" s="64"/>
      <c r="V155" s="64"/>
      <c r="W155" s="64"/>
      <c r="X155" s="64"/>
      <c r="Y155" s="64"/>
      <c r="Z155" s="64"/>
      <c r="AA155" s="64"/>
      <c r="AJ155" s="37">
        <v>25.0</v>
      </c>
      <c r="AK155" s="37">
        <v>45.0</v>
      </c>
      <c r="AL155" s="37">
        <v>20.0</v>
      </c>
      <c r="AM155" s="37">
        <v>55.0</v>
      </c>
      <c r="AN155" s="37">
        <v>30.0</v>
      </c>
      <c r="AO155" s="37">
        <v>0.0</v>
      </c>
      <c r="AP155" s="37">
        <v>0.0</v>
      </c>
      <c r="AQ155" s="37">
        <v>50.0</v>
      </c>
      <c r="AR155" s="37">
        <v>55.0</v>
      </c>
      <c r="AS155" s="37">
        <v>0.0</v>
      </c>
      <c r="AT155" s="37">
        <v>0.0</v>
      </c>
      <c r="AU155" s="37">
        <v>0.0</v>
      </c>
      <c r="AV155" s="37">
        <v>0.0</v>
      </c>
      <c r="AW155" s="37">
        <v>15.0</v>
      </c>
      <c r="AX155" s="37">
        <v>0.0</v>
      </c>
      <c r="AY155" s="37">
        <v>0.0</v>
      </c>
      <c r="AZ155" s="37">
        <v>0.0</v>
      </c>
      <c r="BG155" s="37" t="str">
        <f t="array" ref="BG155">IF($A155="","",IFERROR(INDEX(CS!$B$1:$B$15025,MATCH($A155,CS!$B:$B,0)+COLUMN(A$1),1),""))</f>
        <v>潜伏</v>
      </c>
      <c r="BH155" s="37" t="str">
        <f t="array" ref="BH155">IF($A155="","",IFERROR(INDEX(CS!$B$1:$B$15025,MATCH($A155,CS!$B:$B,0)+COLUMN(B$1),1),""))</f>
        <v/>
      </c>
      <c r="BI155" s="37" t="str">
        <f t="array" ref="BI155">IF($A155="","",IFERROR(INDEX(CS!$B$1:$B$15025,MATCH($A155,CS!$B:$B,0)+COLUMN(C$1),1),""))</f>
        <v>手裏剣</v>
      </c>
      <c r="BJ155" s="37" t="str">
        <f t="array" ref="BJ155">IF($A155="","",IFERROR(INDEX(CS!$B$1:$B$15025,MATCH($A155,CS!$B:$B,0)+COLUMN(D$1),1),""))</f>
        <v/>
      </c>
      <c r="BK155" s="37" t="str">
        <f t="array" ref="BK155">IF($A155="","",IFERROR(INDEX(CS!$B$1:$B$15025,MATCH($A155,CS!$B:$B,0)+COLUMN(E$1),1),""))</f>
        <v>影潜り</v>
      </c>
      <c r="BL155" s="37" t="str">
        <f t="array" ref="BL155">IF($A155="","",IFERROR(INDEX(CS!$B$1:$B$15025,MATCH($A155,CS!$B:$B,0)+COLUMN(F$1),1),""))</f>
        <v/>
      </c>
      <c r="BM155" s="37" t="str">
        <f t="array" ref="BM155">IF($A155="","",IFERROR(INDEX(CS!$B$1:$B$15025,MATCH($A155,CS!$B:$B,0)+COLUMN(G$1),1),""))</f>
        <v>神眼</v>
      </c>
      <c r="BN155" s="37" t="str">
        <f t="array" ref="BN155">IF($A155="","",IFERROR(INDEX(CS!$B$1:$B$15025,MATCH($A155,CS!$B:$B,0)+COLUMN(H$1),1),""))</f>
        <v/>
      </c>
      <c r="BO155" s="37" t="str">
        <f t="array" ref="BO155">IF($A155="","",IFERROR(INDEX(CS!$B$1:$B$15025,MATCH($A155,CS!$B:$B,0)+COLUMN(I$1),1),""))</f>
        <v>狡猾</v>
      </c>
      <c r="BP155" s="37" t="str">
        <f t="array" ref="BP155">IF($A155="","",IFERROR(INDEX(CS!$B$1:$B$15025,MATCH($A155,CS!$B:$B,0)+COLUMN(J$1),1),""))</f>
        <v>影殺</v>
      </c>
      <c r="BR155" s="39" t="s">
        <v>2851</v>
      </c>
      <c r="BS155" s="74"/>
    </row>
    <row r="156" ht="18.75" customHeight="1" outlineLevel="1">
      <c r="A156" s="39" t="s">
        <v>2395</v>
      </c>
      <c r="B156" s="89"/>
      <c r="C156" s="39" t="s">
        <v>2801</v>
      </c>
      <c r="D156" s="72" t="str">
        <f t="shared" si="6"/>
        <v>760/475/285</v>
      </c>
      <c r="E156" s="39">
        <v>2.0</v>
      </c>
      <c r="F156" s="39">
        <v>70.0</v>
      </c>
      <c r="I156" s="39">
        <v>65.0</v>
      </c>
      <c r="J156" s="39">
        <v>65.0</v>
      </c>
      <c r="K156" s="87">
        <v>60.0</v>
      </c>
      <c r="L156" s="39">
        <v>70.0</v>
      </c>
      <c r="M156" s="39">
        <v>65.0</v>
      </c>
      <c r="N156" s="39">
        <v>80.0</v>
      </c>
      <c r="P156" s="37">
        <v>0.0</v>
      </c>
      <c r="Q156" s="64"/>
      <c r="R156" s="64"/>
      <c r="S156" s="64"/>
      <c r="T156" s="64"/>
      <c r="U156" s="64"/>
      <c r="V156" s="64"/>
      <c r="W156" s="64"/>
      <c r="X156" s="64"/>
      <c r="Y156" s="64"/>
      <c r="Z156" s="64"/>
      <c r="AA156" s="64"/>
      <c r="AJ156" s="37">
        <v>25.0</v>
      </c>
      <c r="AK156" s="37">
        <v>30.0</v>
      </c>
      <c r="AL156" s="37">
        <v>65.0</v>
      </c>
      <c r="AM156" s="37">
        <v>35.0</v>
      </c>
      <c r="AN156" s="37">
        <v>20.0</v>
      </c>
      <c r="AO156" s="37">
        <v>0.0</v>
      </c>
      <c r="AP156" s="37">
        <v>0.0</v>
      </c>
      <c r="AQ156" s="37">
        <v>0.0</v>
      </c>
      <c r="AR156" s="37">
        <v>15.0</v>
      </c>
      <c r="AS156" s="37">
        <v>0.0</v>
      </c>
      <c r="AT156" s="37">
        <v>0.0</v>
      </c>
      <c r="AU156" s="37">
        <v>0.0</v>
      </c>
      <c r="AV156" s="37">
        <v>0.0</v>
      </c>
      <c r="AW156" s="37">
        <v>40.0</v>
      </c>
      <c r="AX156" s="37">
        <v>0.0</v>
      </c>
      <c r="AY156" s="37">
        <v>55.0</v>
      </c>
      <c r="AZ156" s="37">
        <v>0.0</v>
      </c>
      <c r="BG156" s="37" t="str">
        <f t="array" ref="BG156">IF($A156="","",IFERROR(INDEX(CS!$B$1:$B$15025,MATCH($A156,CS!$B:$B,0)+COLUMN(A$1),1),""))</f>
        <v>炎の拳</v>
      </c>
      <c r="BH156" s="37" t="str">
        <f t="array" ref="BH156">IF($A156="","",IFERROR(INDEX(CS!$B$1:$B$15025,MATCH($A156,CS!$B:$B,0)+COLUMN(B$1),1),""))</f>
        <v/>
      </c>
      <c r="BI156" s="37" t="str">
        <f t="array" ref="BI156">IF($A156="","",IFERROR(INDEX(CS!$B$1:$B$15025,MATCH($A156,CS!$B:$B,0)+COLUMN(C$1),1),""))</f>
        <v>火炎</v>
      </c>
      <c r="BJ156" s="37" t="str">
        <f t="array" ref="BJ156">IF($A156="","",IFERROR(INDEX(CS!$B$1:$B$15025,MATCH($A156,CS!$B:$B,0)+COLUMN(D$1),1),""))</f>
        <v/>
      </c>
      <c r="BK156" s="37" t="str">
        <f t="array" ref="BK156">IF($A156="","",IFERROR(INDEX(CS!$B$1:$B$15025,MATCH($A156,CS!$B:$B,0)+COLUMN(E$1),1),""))</f>
        <v>炎の適用</v>
      </c>
      <c r="BL156" s="37" t="str">
        <f t="array" ref="BL156">IF($A156="","",IFERROR(INDEX(CS!$B$1:$B$15025,MATCH($A156,CS!$B:$B,0)+COLUMN(F$1),1),""))</f>
        <v/>
      </c>
      <c r="BM156" s="37" t="str">
        <f t="array" ref="BM156">IF($A156="","",IFERROR(INDEX(CS!$B$1:$B$15025,MATCH($A156,CS!$B:$B,0)+COLUMN(G$1),1),""))</f>
        <v>火球</v>
      </c>
      <c r="BN156" s="37" t="str">
        <f t="array" ref="BN156">IF($A156="","",IFERROR(INDEX(CS!$B$1:$B$15025,MATCH($A156,CS!$B:$B,0)+COLUMN(H$1),1),""))</f>
        <v/>
      </c>
      <c r="BO156" s="37" t="str">
        <f t="array" ref="BO156">IF($A156="","",IFERROR(INDEX(CS!$B$1:$B$15025,MATCH($A156,CS!$B:$B,0)+COLUMN(I$1),1),""))</f>
        <v>炎強化</v>
      </c>
      <c r="BP156" s="37" t="str">
        <f t="array" ref="BP156">IF($A156="","",IFERROR(INDEX(CS!$B$1:$B$15025,MATCH($A156,CS!$B:$B,0)+COLUMN(J$1),1),""))</f>
        <v>爆炎拳</v>
      </c>
      <c r="BR156" s="39" t="s">
        <v>2852</v>
      </c>
      <c r="BS156" s="74"/>
    </row>
    <row r="157" ht="18.75" customHeight="1" outlineLevel="1">
      <c r="A157" s="39" t="s">
        <v>2399</v>
      </c>
      <c r="B157" s="89"/>
      <c r="C157" s="39" t="s">
        <v>2801</v>
      </c>
      <c r="D157" s="72" t="str">
        <f t="shared" si="6"/>
        <v>760/475/285</v>
      </c>
      <c r="E157" s="39">
        <v>2.0</v>
      </c>
      <c r="F157" s="39">
        <v>70.0</v>
      </c>
      <c r="I157" s="39">
        <v>65.0</v>
      </c>
      <c r="J157" s="39">
        <v>65.0</v>
      </c>
      <c r="K157" s="87">
        <v>60.0</v>
      </c>
      <c r="L157" s="39">
        <v>70.0</v>
      </c>
      <c r="M157" s="39">
        <v>65.0</v>
      </c>
      <c r="N157" s="39">
        <v>80.0</v>
      </c>
      <c r="P157" s="37">
        <v>0.0</v>
      </c>
      <c r="Q157" s="64"/>
      <c r="R157" s="64"/>
      <c r="S157" s="64"/>
      <c r="T157" s="64"/>
      <c r="U157" s="64"/>
      <c r="V157" s="64"/>
      <c r="W157" s="64"/>
      <c r="X157" s="64"/>
      <c r="Y157" s="64"/>
      <c r="Z157" s="64"/>
      <c r="AA157" s="64"/>
      <c r="AJ157" s="37">
        <v>25.0</v>
      </c>
      <c r="AK157" s="37">
        <v>30.0</v>
      </c>
      <c r="AL157" s="37">
        <v>65.0</v>
      </c>
      <c r="AM157" s="37">
        <v>35.0</v>
      </c>
      <c r="AN157" s="37">
        <v>20.0</v>
      </c>
      <c r="AO157" s="37">
        <v>0.0</v>
      </c>
      <c r="AP157" s="37">
        <v>0.0</v>
      </c>
      <c r="AQ157" s="37">
        <v>0.0</v>
      </c>
      <c r="AR157" s="37">
        <v>15.0</v>
      </c>
      <c r="AS157" s="37">
        <v>0.0</v>
      </c>
      <c r="AT157" s="37">
        <v>0.0</v>
      </c>
      <c r="AU157" s="37">
        <v>0.0</v>
      </c>
      <c r="AV157" s="37">
        <v>0.0</v>
      </c>
      <c r="AW157" s="37">
        <v>40.0</v>
      </c>
      <c r="AX157" s="37">
        <v>0.0</v>
      </c>
      <c r="AY157" s="37">
        <v>55.0</v>
      </c>
      <c r="AZ157" s="37">
        <v>0.0</v>
      </c>
      <c r="BG157" s="37" t="str">
        <f t="array" ref="BG157">IF($A157="","",IFERROR(INDEX(CS!$B$1:$B$15025,MATCH($A157,CS!$B:$B,0)+COLUMN(A$1),1),""))</f>
        <v>氷の拳</v>
      </c>
      <c r="BH157" s="37" t="str">
        <f t="array" ref="BH157">IF($A157="","",IFERROR(INDEX(CS!$B$1:$B$15025,MATCH($A157,CS!$B:$B,0)+COLUMN(B$1),1),""))</f>
        <v/>
      </c>
      <c r="BI157" s="37" t="str">
        <f t="array" ref="BI157">IF($A157="","",IFERROR(INDEX(CS!$B$1:$B$15025,MATCH($A157,CS!$B:$B,0)+COLUMN(C$1),1),""))</f>
        <v>冷気の光線</v>
      </c>
      <c r="BJ157" s="37" t="str">
        <f t="array" ref="BJ157">IF($A157="","",IFERROR(INDEX(CS!$B$1:$B$15025,MATCH($A157,CS!$B:$B,0)+COLUMN(D$1),1),""))</f>
        <v/>
      </c>
      <c r="BK157" s="37" t="str">
        <f t="array" ref="BK157">IF($A157="","",IFERROR(INDEX(CS!$B$1:$B$15025,MATCH($A157,CS!$B:$B,0)+COLUMN(E$1),1),""))</f>
        <v>氷の適用</v>
      </c>
      <c r="BL157" s="37" t="str">
        <f t="array" ref="BL157">IF($A157="","",IFERROR(INDEX(CS!$B$1:$B$15025,MATCH($A157,CS!$B:$B,0)+COLUMN(F$1),1),""))</f>
        <v/>
      </c>
      <c r="BM157" s="37" t="str">
        <f t="array" ref="BM157">IF($A157="","",IFERROR(INDEX(CS!$B$1:$B$15025,MATCH($A157,CS!$B:$B,0)+COLUMN(G$1),1),""))</f>
        <v>氷柱弾</v>
      </c>
      <c r="BN157" s="37" t="str">
        <f t="array" ref="BN157">IF($A157="","",IFERROR(INDEX(CS!$B$1:$B$15025,MATCH($A157,CS!$B:$B,0)+COLUMN(H$1),1),""))</f>
        <v/>
      </c>
      <c r="BO157" s="37" t="str">
        <f t="array" ref="BO157">IF($A157="","",IFERROR(INDEX(CS!$B$1:$B$15025,MATCH($A157,CS!$B:$B,0)+COLUMN(I$1),1),""))</f>
        <v>氷強化</v>
      </c>
      <c r="BP157" s="37" t="str">
        <f t="array" ref="BP157">IF($A157="","",IFERROR(INDEX(CS!$B$1:$B$15025,MATCH($A157,CS!$B:$B,0)+COLUMN(J$1),1),""))</f>
        <v>氷砕拳</v>
      </c>
      <c r="BR157" s="39" t="s">
        <v>2852</v>
      </c>
      <c r="BS157" s="74"/>
    </row>
    <row r="158" ht="18.75" customHeight="1" outlineLevel="1">
      <c r="A158" s="39" t="s">
        <v>2403</v>
      </c>
      <c r="B158" s="89"/>
      <c r="C158" s="39" t="s">
        <v>2801</v>
      </c>
      <c r="D158" s="72" t="str">
        <f t="shared" si="6"/>
        <v>760/475/285</v>
      </c>
      <c r="E158" s="39">
        <v>2.0</v>
      </c>
      <c r="F158" s="39">
        <v>70.0</v>
      </c>
      <c r="I158" s="39">
        <v>65.0</v>
      </c>
      <c r="J158" s="39">
        <v>65.0</v>
      </c>
      <c r="K158" s="87">
        <v>60.0</v>
      </c>
      <c r="L158" s="39">
        <v>70.0</v>
      </c>
      <c r="M158" s="39">
        <v>65.0</v>
      </c>
      <c r="N158" s="39">
        <v>80.0</v>
      </c>
      <c r="P158" s="37">
        <v>0.0</v>
      </c>
      <c r="Q158" s="64"/>
      <c r="R158" s="64"/>
      <c r="S158" s="64"/>
      <c r="T158" s="64"/>
      <c r="U158" s="64"/>
      <c r="V158" s="64"/>
      <c r="W158" s="64"/>
      <c r="X158" s="64"/>
      <c r="Y158" s="64"/>
      <c r="Z158" s="64"/>
      <c r="AA158" s="64"/>
      <c r="AJ158" s="37">
        <v>25.0</v>
      </c>
      <c r="AK158" s="37">
        <v>30.0</v>
      </c>
      <c r="AL158" s="37">
        <v>65.0</v>
      </c>
      <c r="AM158" s="37">
        <v>35.0</v>
      </c>
      <c r="AN158" s="37">
        <v>20.0</v>
      </c>
      <c r="AO158" s="37">
        <v>0.0</v>
      </c>
      <c r="AP158" s="37">
        <v>0.0</v>
      </c>
      <c r="AQ158" s="37">
        <v>0.0</v>
      </c>
      <c r="AR158" s="37">
        <v>15.0</v>
      </c>
      <c r="AS158" s="37">
        <v>0.0</v>
      </c>
      <c r="AT158" s="37">
        <v>0.0</v>
      </c>
      <c r="AU158" s="37">
        <v>0.0</v>
      </c>
      <c r="AV158" s="37">
        <v>0.0</v>
      </c>
      <c r="AW158" s="37">
        <v>40.0</v>
      </c>
      <c r="AX158" s="37">
        <v>0.0</v>
      </c>
      <c r="AY158" s="37">
        <v>55.0</v>
      </c>
      <c r="AZ158" s="37">
        <v>0.0</v>
      </c>
      <c r="BG158" s="37" t="str">
        <f t="array" ref="BG158">IF($A158="","",IFERROR(INDEX(CS!$B$1:$B$15025,MATCH($A158,CS!$B:$B,0)+COLUMN(A$1),1),""))</f>
        <v>雷の拳</v>
      </c>
      <c r="BH158" s="37" t="str">
        <f t="array" ref="BH158">IF($A158="","",IFERROR(INDEX(CS!$B$1:$B$15025,MATCH($A158,CS!$B:$B,0)+COLUMN(B$1),1),""))</f>
        <v/>
      </c>
      <c r="BI158" s="37" t="str">
        <f t="array" ref="BI158">IF($A158="","",IFERROR(INDEX(CS!$B$1:$B$15025,MATCH($A158,CS!$B:$B,0)+COLUMN(C$1),1),""))</f>
        <v>放電</v>
      </c>
      <c r="BJ158" s="37" t="str">
        <f t="array" ref="BJ158">IF($A158="","",IFERROR(INDEX(CS!$B$1:$B$15025,MATCH($A158,CS!$B:$B,0)+COLUMN(D$1),1),""))</f>
        <v/>
      </c>
      <c r="BK158" s="37" t="str">
        <f t="array" ref="BK158">IF($A158="","",IFERROR(INDEX(CS!$B$1:$B$15025,MATCH($A158,CS!$B:$B,0)+COLUMN(E$1),1),""))</f>
        <v>雷の適用</v>
      </c>
      <c r="BL158" s="37" t="str">
        <f t="array" ref="BL158">IF($A158="","",IFERROR(INDEX(CS!$B$1:$B$15025,MATCH($A158,CS!$B:$B,0)+COLUMN(F$1),1),""))</f>
        <v/>
      </c>
      <c r="BM158" s="37" t="str">
        <f t="array" ref="BM158">IF($A158="","",IFERROR(INDEX(CS!$B$1:$B$15025,MATCH($A158,CS!$B:$B,0)+COLUMN(G$1),1),""))</f>
        <v>電弧放電</v>
      </c>
      <c r="BN158" s="37" t="str">
        <f t="array" ref="BN158">IF($A158="","",IFERROR(INDEX(CS!$B$1:$B$15025,MATCH($A158,CS!$B:$B,0)+COLUMN(H$1),1),""))</f>
        <v/>
      </c>
      <c r="BO158" s="37" t="str">
        <f t="array" ref="BO158">IF($A158="","",IFERROR(INDEX(CS!$B$1:$B$15025,MATCH($A158,CS!$B:$B,0)+COLUMN(I$1),1),""))</f>
        <v>雷強化</v>
      </c>
      <c r="BP158" s="37" t="str">
        <f t="array" ref="BP158">IF($A158="","",IFERROR(INDEX(CS!$B$1:$B$15025,MATCH($A158,CS!$B:$B,0)+COLUMN(J$1),1),""))</f>
        <v>雷震拳</v>
      </c>
      <c r="BR158" s="39" t="s">
        <v>2852</v>
      </c>
      <c r="BS158" s="74"/>
    </row>
    <row r="159" ht="18.75" customHeight="1" outlineLevel="1">
      <c r="A159" s="39" t="s">
        <v>2408</v>
      </c>
      <c r="B159" s="89"/>
      <c r="C159" s="39" t="s">
        <v>2801</v>
      </c>
      <c r="D159" s="72" t="str">
        <f t="shared" si="6"/>
        <v>760/475/285</v>
      </c>
      <c r="E159" s="39">
        <v>2.0</v>
      </c>
      <c r="F159" s="39">
        <v>70.0</v>
      </c>
      <c r="I159" s="39">
        <v>65.0</v>
      </c>
      <c r="J159" s="39">
        <v>65.0</v>
      </c>
      <c r="K159" s="87">
        <v>60.0</v>
      </c>
      <c r="L159" s="39">
        <v>70.0</v>
      </c>
      <c r="M159" s="39">
        <v>65.0</v>
      </c>
      <c r="N159" s="39">
        <v>80.0</v>
      </c>
      <c r="P159" s="37">
        <v>0.0</v>
      </c>
      <c r="Q159" s="64"/>
      <c r="R159" s="64"/>
      <c r="S159" s="64"/>
      <c r="T159" s="64"/>
      <c r="U159" s="64"/>
      <c r="V159" s="64"/>
      <c r="W159" s="64"/>
      <c r="X159" s="64"/>
      <c r="Y159" s="64"/>
      <c r="Z159" s="64"/>
      <c r="AA159" s="64"/>
      <c r="AJ159" s="37">
        <v>25.0</v>
      </c>
      <c r="AK159" s="37">
        <v>30.0</v>
      </c>
      <c r="AL159" s="37">
        <v>65.0</v>
      </c>
      <c r="AM159" s="37">
        <v>35.0</v>
      </c>
      <c r="AN159" s="37">
        <v>20.0</v>
      </c>
      <c r="AO159" s="37">
        <v>0.0</v>
      </c>
      <c r="AP159" s="37">
        <v>0.0</v>
      </c>
      <c r="AQ159" s="37">
        <v>0.0</v>
      </c>
      <c r="AR159" s="37">
        <v>15.0</v>
      </c>
      <c r="AS159" s="37">
        <v>0.0</v>
      </c>
      <c r="AT159" s="37">
        <v>0.0</v>
      </c>
      <c r="AU159" s="37">
        <v>0.0</v>
      </c>
      <c r="AV159" s="37">
        <v>0.0</v>
      </c>
      <c r="AW159" s="37">
        <v>40.0</v>
      </c>
      <c r="AX159" s="37">
        <v>0.0</v>
      </c>
      <c r="AY159" s="37">
        <v>55.0</v>
      </c>
      <c r="AZ159" s="37">
        <v>0.0</v>
      </c>
      <c r="BG159" s="37" t="str">
        <f t="array" ref="BG159">IF($A159="","",IFERROR(INDEX(CS!$B$1:$B$15025,MATCH($A159,CS!$B:$B,0)+COLUMN(A$1),1),""))</f>
        <v>酸の拳</v>
      </c>
      <c r="BH159" s="37" t="str">
        <f t="array" ref="BH159">IF($A159="","",IFERROR(INDEX(CS!$B$1:$B$15025,MATCH($A159,CS!$B:$B,0)+COLUMN(B$1),1),""))</f>
        <v/>
      </c>
      <c r="BI159" s="37" t="str">
        <f t="array" ref="BI159">IF($A159="","",IFERROR(INDEX(CS!$B$1:$B$15025,MATCH($A159,CS!$B:$B,0)+COLUMN(C$1),1),""))</f>
        <v>酸滴</v>
      </c>
      <c r="BJ159" s="37" t="str">
        <f t="array" ref="BJ159">IF($A159="","",IFERROR(INDEX(CS!$B$1:$B$15025,MATCH($A159,CS!$B:$B,0)+COLUMN(D$1),1),""))</f>
        <v/>
      </c>
      <c r="BK159" s="37" t="str">
        <f t="array" ref="BK159">IF($A159="","",IFERROR(INDEX(CS!$B$1:$B$15025,MATCH($A159,CS!$B:$B,0)+COLUMN(E$1),1),""))</f>
        <v>毒の適用</v>
      </c>
      <c r="BL159" s="37" t="str">
        <f t="array" ref="BL159">IF($A159="","",IFERROR(INDEX(CS!$B$1:$B$15025,MATCH($A159,CS!$B:$B,0)+COLUMN(F$1),1),""))</f>
        <v/>
      </c>
      <c r="BM159" s="37" t="str">
        <f t="array" ref="BM159">IF($A159="","",IFERROR(INDEX(CS!$B$1:$B$15025,MATCH($A159,CS!$B:$B,0)+COLUMN(G$1),1),""))</f>
        <v>酸の落流</v>
      </c>
      <c r="BN159" s="37" t="str">
        <f t="array" ref="BN159">IF($A159="","",IFERROR(INDEX(CS!$B$1:$B$15025,MATCH($A159,CS!$B:$B,0)+COLUMN(H$1),1),""))</f>
        <v/>
      </c>
      <c r="BO159" s="37" t="str">
        <f t="array" ref="BO159">IF($A159="","",IFERROR(INDEX(CS!$B$1:$B$15025,MATCH($A159,CS!$B:$B,0)+COLUMN(I$1),1),""))</f>
        <v>毒強化</v>
      </c>
      <c r="BP159" s="37" t="str">
        <f t="array" ref="BP159">IF($A159="","",IFERROR(INDEX(CS!$B$1:$B$15025,MATCH($A159,CS!$B:$B,0)+COLUMN(J$1),1),""))</f>
        <v>腐食拳</v>
      </c>
      <c r="BR159" s="39" t="s">
        <v>2852</v>
      </c>
      <c r="BS159" s="74"/>
    </row>
    <row r="160" ht="18.75" customHeight="1" outlineLevel="1">
      <c r="A160" s="39" t="s">
        <v>2413</v>
      </c>
      <c r="B160" s="89"/>
      <c r="C160" s="39" t="s">
        <v>2801</v>
      </c>
      <c r="D160" s="72" t="str">
        <f t="shared" si="6"/>
        <v>760/475/285</v>
      </c>
      <c r="E160" s="39">
        <v>2.0</v>
      </c>
      <c r="F160" s="39">
        <v>70.0</v>
      </c>
      <c r="I160" s="39">
        <v>65.0</v>
      </c>
      <c r="J160" s="39">
        <v>65.0</v>
      </c>
      <c r="K160" s="87">
        <v>60.0</v>
      </c>
      <c r="L160" s="39">
        <v>70.0</v>
      </c>
      <c r="M160" s="39">
        <v>65.0</v>
      </c>
      <c r="N160" s="39">
        <v>80.0</v>
      </c>
      <c r="P160" s="37">
        <v>0.0</v>
      </c>
      <c r="Q160" s="64"/>
      <c r="R160" s="64"/>
      <c r="S160" s="64"/>
      <c r="T160" s="64"/>
      <c r="U160" s="64"/>
      <c r="V160" s="64"/>
      <c r="W160" s="64"/>
      <c r="X160" s="64"/>
      <c r="Y160" s="64"/>
      <c r="Z160" s="64"/>
      <c r="AA160" s="64"/>
      <c r="AJ160" s="37">
        <v>25.0</v>
      </c>
      <c r="AK160" s="37">
        <v>30.0</v>
      </c>
      <c r="AL160" s="37">
        <v>65.0</v>
      </c>
      <c r="AM160" s="37">
        <v>35.0</v>
      </c>
      <c r="AN160" s="37">
        <v>20.0</v>
      </c>
      <c r="AO160" s="37">
        <v>0.0</v>
      </c>
      <c r="AP160" s="37">
        <v>0.0</v>
      </c>
      <c r="AQ160" s="37">
        <v>0.0</v>
      </c>
      <c r="AR160" s="37">
        <v>15.0</v>
      </c>
      <c r="AS160" s="37">
        <v>0.0</v>
      </c>
      <c r="AT160" s="37">
        <v>0.0</v>
      </c>
      <c r="AU160" s="37">
        <v>0.0</v>
      </c>
      <c r="AV160" s="37">
        <v>0.0</v>
      </c>
      <c r="AW160" s="37">
        <v>40.0</v>
      </c>
      <c r="AX160" s="37">
        <v>0.0</v>
      </c>
      <c r="AY160" s="37">
        <v>55.0</v>
      </c>
      <c r="AZ160" s="37">
        <v>0.0</v>
      </c>
      <c r="BG160" s="37" t="str">
        <f t="array" ref="BG160">IF($A160="","",IFERROR(INDEX(CS!$B$1:$B$15025,MATCH($A160,CS!$B:$B,0)+COLUMN(A$1),1),""))</f>
        <v>烈風の拳</v>
      </c>
      <c r="BH160" s="37" t="str">
        <f t="array" ref="BH160">IF($A160="","",IFERROR(INDEX(CS!$B$1:$B$15025,MATCH($A160,CS!$B:$B,0)+COLUMN(B$1),1),""))</f>
        <v/>
      </c>
      <c r="BI160" s="37" t="str">
        <f t="array" ref="BI160">IF($A160="","",IFERROR(INDEX(CS!$B$1:$B$15025,MATCH($A160,CS!$B:$B,0)+COLUMN(C$1),1),""))</f>
        <v>突風</v>
      </c>
      <c r="BJ160" s="37" t="str">
        <f t="array" ref="BJ160">IF($A160="","",IFERROR(INDEX(CS!$B$1:$B$15025,MATCH($A160,CS!$B:$B,0)+COLUMN(D$1),1),""))</f>
        <v/>
      </c>
      <c r="BK160" s="37" t="str">
        <f t="array" ref="BK160">IF($A160="","",IFERROR(INDEX(CS!$B$1:$B$15025,MATCH($A160,CS!$B:$B,0)+COLUMN(E$1),1),""))</f>
        <v>風の適用</v>
      </c>
      <c r="BL160" s="37" t="str">
        <f t="array" ref="BL160">IF($A160="","",IFERROR(INDEX(CS!$B$1:$B$15025,MATCH($A160,CS!$B:$B,0)+COLUMN(F$1),1),""))</f>
        <v/>
      </c>
      <c r="BM160" s="37" t="str">
        <f t="array" ref="BM160">IF($A160="","",IFERROR(INDEX(CS!$B$1:$B$15025,MATCH($A160,CS!$B:$B,0)+COLUMN(G$1),1),""))</f>
        <v>上昇烈風</v>
      </c>
      <c r="BN160" s="37" t="str">
        <f t="array" ref="BN160">IF($A160="","",IFERROR(INDEX(CS!$B$1:$B$15025,MATCH($A160,CS!$B:$B,0)+COLUMN(H$1),1),""))</f>
        <v/>
      </c>
      <c r="BO160" s="37" t="str">
        <f t="array" ref="BO160">IF($A160="","",IFERROR(INDEX(CS!$B$1:$B$15025,MATCH($A160,CS!$B:$B,0)+COLUMN(I$1),1),""))</f>
        <v>風強化</v>
      </c>
      <c r="BP160" s="37" t="str">
        <f t="array" ref="BP160">IF($A160="","",IFERROR(INDEX(CS!$B$1:$B$15025,MATCH($A160,CS!$B:$B,0)+COLUMN(J$1),1),""))</f>
        <v>風圧拳</v>
      </c>
      <c r="BR160" s="39" t="s">
        <v>2852</v>
      </c>
      <c r="BS160" s="74"/>
    </row>
    <row r="161" ht="18.75" customHeight="1" outlineLevel="1">
      <c r="A161" s="39" t="s">
        <v>2418</v>
      </c>
      <c r="B161" s="89"/>
      <c r="C161" s="39" t="s">
        <v>2801</v>
      </c>
      <c r="D161" s="72" t="str">
        <f t="shared" si="6"/>
        <v>760/475/285</v>
      </c>
      <c r="E161" s="39">
        <v>2.0</v>
      </c>
      <c r="F161" s="39">
        <v>70.0</v>
      </c>
      <c r="I161" s="39">
        <v>65.0</v>
      </c>
      <c r="J161" s="39">
        <v>65.0</v>
      </c>
      <c r="K161" s="87">
        <v>60.0</v>
      </c>
      <c r="L161" s="39">
        <v>70.0</v>
      </c>
      <c r="M161" s="39">
        <v>65.0</v>
      </c>
      <c r="N161" s="39">
        <v>80.0</v>
      </c>
      <c r="P161" s="37">
        <v>0.0</v>
      </c>
      <c r="Q161" s="64"/>
      <c r="R161" s="64"/>
      <c r="S161" s="64"/>
      <c r="T161" s="64"/>
      <c r="U161" s="64"/>
      <c r="V161" s="64"/>
      <c r="W161" s="64"/>
      <c r="X161" s="64"/>
      <c r="Y161" s="64"/>
      <c r="Z161" s="64"/>
      <c r="AA161" s="64"/>
      <c r="AJ161" s="37">
        <v>25.0</v>
      </c>
      <c r="AK161" s="37">
        <v>30.0</v>
      </c>
      <c r="AL161" s="37">
        <v>65.0</v>
      </c>
      <c r="AM161" s="37">
        <v>35.0</v>
      </c>
      <c r="AN161" s="37">
        <v>20.0</v>
      </c>
      <c r="AO161" s="37">
        <v>0.0</v>
      </c>
      <c r="AP161" s="37">
        <v>0.0</v>
      </c>
      <c r="AQ161" s="37">
        <v>0.0</v>
      </c>
      <c r="AR161" s="37">
        <v>15.0</v>
      </c>
      <c r="AS161" s="37">
        <v>0.0</v>
      </c>
      <c r="AT161" s="37">
        <v>0.0</v>
      </c>
      <c r="AU161" s="37">
        <v>0.0</v>
      </c>
      <c r="AV161" s="37">
        <v>0.0</v>
      </c>
      <c r="AW161" s="37">
        <v>40.0</v>
      </c>
      <c r="AX161" s="37">
        <v>0.0</v>
      </c>
      <c r="AY161" s="37">
        <v>55.0</v>
      </c>
      <c r="AZ161" s="37">
        <v>0.0</v>
      </c>
      <c r="BG161" s="37" t="str">
        <f t="array" ref="BG161">IF($A161="","",IFERROR(INDEX(CS!$B$1:$B$15025,MATCH($A161,CS!$B:$B,0)+COLUMN(A$1),1),""))</f>
        <v>岩の拳</v>
      </c>
      <c r="BH161" s="37" t="str">
        <f t="array" ref="BH161">IF($A161="","",IFERROR(INDEX(CS!$B$1:$B$15025,MATCH($A161,CS!$B:$B,0)+COLUMN(B$1),1),""))</f>
        <v/>
      </c>
      <c r="BI161" s="37" t="str">
        <f t="array" ref="BI161">IF($A161="","",IFERROR(INDEX(CS!$B$1:$B$15025,MATCH($A161,CS!$B:$B,0)+COLUMN(C$1),1),""))</f>
        <v>魔法の石</v>
      </c>
      <c r="BJ161" s="37" t="str">
        <f t="array" ref="BJ161">IF($A161="","",IFERROR(INDEX(CS!$B$1:$B$15025,MATCH($A161,CS!$B:$B,0)+COLUMN(D$1),1),""))</f>
        <v/>
      </c>
      <c r="BK161" s="37" t="str">
        <f t="array" ref="BK161">IF($A161="","",IFERROR(INDEX(CS!$B$1:$B$15025,MATCH($A161,CS!$B:$B,0)+COLUMN(E$1),1),""))</f>
        <v>石の適用</v>
      </c>
      <c r="BL161" s="37" t="str">
        <f t="array" ref="BL161">IF($A161="","",IFERROR(INDEX(CS!$B$1:$B$15025,MATCH($A161,CS!$B:$B,0)+COLUMN(F$1),1),""))</f>
        <v/>
      </c>
      <c r="BM161" s="37" t="str">
        <f t="array" ref="BM161">IF($A161="","",IFERROR(INDEX(CS!$B$1:$B$15025,MATCH($A161,CS!$B:$B,0)+COLUMN(G$1),1),""))</f>
        <v>水晶片</v>
      </c>
      <c r="BN161" s="37" t="str">
        <f t="array" ref="BN161">IF($A161="","",IFERROR(INDEX(CS!$B$1:$B$15025,MATCH($A161,CS!$B:$B,0)+COLUMN(H$1),1),""))</f>
        <v/>
      </c>
      <c r="BO161" s="37" t="str">
        <f t="array" ref="BO161">IF($A161="","",IFERROR(INDEX(CS!$B$1:$B$15025,MATCH($A161,CS!$B:$B,0)+COLUMN(I$1),1),""))</f>
        <v>地強化</v>
      </c>
      <c r="BP161" s="37" t="str">
        <f t="array" ref="BP161">IF($A161="","",IFERROR(INDEX(CS!$B$1:$B$15025,MATCH($A161,CS!$B:$B,0)+COLUMN(J$1),1),""))</f>
        <v>岩砕拳</v>
      </c>
      <c r="BR161" s="39" t="s">
        <v>2852</v>
      </c>
      <c r="BS161" s="74"/>
    </row>
    <row r="162" ht="18.75" customHeight="1">
      <c r="B162" s="71"/>
      <c r="D162" s="72"/>
      <c r="K162" s="73"/>
      <c r="P162" s="37" t="s">
        <v>29</v>
      </c>
      <c r="Q162" s="64"/>
      <c r="R162" s="64"/>
      <c r="S162" s="64"/>
      <c r="T162" s="64"/>
      <c r="U162" s="64"/>
      <c r="V162" s="64"/>
      <c r="W162" s="64"/>
      <c r="X162" s="64"/>
      <c r="Y162" s="64"/>
      <c r="Z162" s="64"/>
      <c r="AA162" s="64"/>
      <c r="AJ162" s="37" t="s">
        <v>29</v>
      </c>
      <c r="AK162" s="37" t="s">
        <v>29</v>
      </c>
      <c r="AL162" s="37" t="s">
        <v>29</v>
      </c>
      <c r="AM162" s="37" t="s">
        <v>29</v>
      </c>
      <c r="AN162" s="37" t="s">
        <v>29</v>
      </c>
      <c r="AO162" s="37" t="s">
        <v>29</v>
      </c>
      <c r="AP162" s="37" t="s">
        <v>29</v>
      </c>
      <c r="AQ162" s="37" t="s">
        <v>29</v>
      </c>
      <c r="AR162" s="37" t="s">
        <v>29</v>
      </c>
      <c r="AS162" s="37" t="s">
        <v>29</v>
      </c>
      <c r="AT162" s="37" t="s">
        <v>29</v>
      </c>
      <c r="AU162" s="37" t="s">
        <v>29</v>
      </c>
      <c r="AV162" s="37" t="s">
        <v>29</v>
      </c>
      <c r="AW162" s="37" t="s">
        <v>29</v>
      </c>
      <c r="AX162" s="37" t="s">
        <v>29</v>
      </c>
      <c r="AY162" s="37" t="s">
        <v>29</v>
      </c>
      <c r="AZ162" s="37" t="s">
        <v>29</v>
      </c>
      <c r="BG162" s="37" t="str">
        <f t="array" ref="BG162">IF($A162="","", INDEX(CS!$B$1:$B$15025,MATCH($A162,CS!$B:$B,0)+COLUMN(A$1),1))</f>
        <v/>
      </c>
      <c r="BH162" s="37" t="str">
        <f t="array" ref="BH162">IF($A162="","", INDEX(CS!$B$1:$B$15025,MATCH($A162,CS!$B:$B,0)+COLUMN(B$1),1))</f>
        <v/>
      </c>
      <c r="BI162" s="37" t="str">
        <f t="array" ref="BI162">IF($A162="","", INDEX(CS!$B$1:$B$15025,MATCH($A162,CS!$B:$B,0)+COLUMN(C$1),1))</f>
        <v/>
      </c>
      <c r="BJ162" s="37" t="str">
        <f t="array" ref="BJ162">IF($A162="","", INDEX(CS!$B$1:$B$15025,MATCH($A162,CS!$B:$B,0)+COLUMN(D$1),1))</f>
        <v/>
      </c>
      <c r="BK162" s="37" t="str">
        <f t="array" ref="BK162">IF($A162="","", INDEX(CS!$B$1:$B$15025,MATCH($A162,CS!$B:$B,0)+COLUMN(E$1),1))</f>
        <v/>
      </c>
      <c r="BL162" s="37" t="str">
        <f t="array" ref="BL162">IF($A162="","", INDEX(CS!$B$1:$B$15025,MATCH($A162,CS!$B:$B,0)+COLUMN(F$1),1))</f>
        <v/>
      </c>
      <c r="BM162" s="37" t="str">
        <f t="array" ref="BM162">IF($A162="","", INDEX(CS!$B$1:$B$15025,MATCH($A162,CS!$B:$B,0)+COLUMN(G$1),1))</f>
        <v/>
      </c>
      <c r="BN162" s="37" t="str">
        <f t="array" ref="BN162">IF($A162="","", INDEX(CS!$B$1:$B$15025,MATCH($A162,CS!$B:$B,0)+COLUMN(H$1),1))</f>
        <v/>
      </c>
      <c r="BO162" s="37" t="str">
        <f t="array" ref="BO162">IF($A162="","", INDEX(CS!$B$1:$B$15025,MATCH($A162,CS!$B:$B,0)+COLUMN(I$1),1))</f>
        <v/>
      </c>
      <c r="BP162" s="37" t="str">
        <f t="array" ref="BP162">IF($A162="","", INDEX(CS!$B$1:$B$15025,MATCH($A162,CS!$B:$B,0)+COLUMN(J$1),1))</f>
        <v/>
      </c>
      <c r="BS162" s="74"/>
      <c r="CI162" s="37" t="s">
        <v>2819</v>
      </c>
      <c r="CJ162" s="37" t="s">
        <v>2800</v>
      </c>
      <c r="CK162" s="37" t="s">
        <v>2793</v>
      </c>
    </row>
    <row r="163" ht="18.75" customHeight="1">
      <c r="B163" s="85" t="s">
        <v>2853</v>
      </c>
      <c r="D163" s="72" t="str">
        <f t="shared" ref="D163:D171" si="7">SUM(AJ163:AZ163,F163:N163)&amp;"/"&amp;SUM(F163:N163)&amp;"/"&amp;SUM(AJ163:AZ163)</f>
        <v>0/0/0</v>
      </c>
      <c r="E163" s="37">
        <v>1.0</v>
      </c>
      <c r="K163" s="73"/>
      <c r="P163" s="37" t="s">
        <v>29</v>
      </c>
      <c r="Q163" s="64"/>
      <c r="R163" s="64"/>
      <c r="S163" s="64"/>
      <c r="T163" s="64"/>
      <c r="U163" s="64"/>
      <c r="V163" s="64"/>
      <c r="W163" s="64"/>
      <c r="X163" s="64"/>
      <c r="Y163" s="64"/>
      <c r="Z163" s="64"/>
      <c r="AA163" s="64"/>
      <c r="AJ163" s="37" t="s">
        <v>29</v>
      </c>
      <c r="AK163" s="37" t="s">
        <v>29</v>
      </c>
      <c r="AL163" s="37" t="s">
        <v>29</v>
      </c>
      <c r="AM163" s="37" t="s">
        <v>29</v>
      </c>
      <c r="AN163" s="37" t="s">
        <v>29</v>
      </c>
      <c r="AO163" s="37" t="s">
        <v>29</v>
      </c>
      <c r="AP163" s="37" t="s">
        <v>29</v>
      </c>
      <c r="AQ163" s="37" t="s">
        <v>29</v>
      </c>
      <c r="AR163" s="37" t="s">
        <v>29</v>
      </c>
      <c r="AS163" s="37" t="s">
        <v>29</v>
      </c>
      <c r="AT163" s="37" t="s">
        <v>29</v>
      </c>
      <c r="AU163" s="37" t="s">
        <v>29</v>
      </c>
      <c r="AV163" s="37" t="s">
        <v>29</v>
      </c>
      <c r="AW163" s="37" t="s">
        <v>29</v>
      </c>
      <c r="AX163" s="37" t="s">
        <v>29</v>
      </c>
      <c r="AY163" s="37" t="s">
        <v>29</v>
      </c>
      <c r="AZ163" s="37" t="s">
        <v>29</v>
      </c>
      <c r="BG163" s="37" t="str">
        <f t="array" ref="BG163">IF($A163="","", INDEX(CS!$B$1:$B$15025,MATCH($A163,CS!$B:$B,0)+COLUMN(A$1),1))</f>
        <v/>
      </c>
      <c r="BH163" s="37" t="str">
        <f t="array" ref="BH163">IF($A163="","", INDEX(CS!$B$1:$B$15025,MATCH($A163,CS!$B:$B,0)+COLUMN(B$1),1))</f>
        <v/>
      </c>
      <c r="BI163" s="37" t="str">
        <f t="array" ref="BI163">IF($A163="","", INDEX(CS!$B$1:$B$15025,MATCH($A163,CS!$B:$B,0)+COLUMN(C$1),1))</f>
        <v/>
      </c>
      <c r="BJ163" s="37" t="str">
        <f t="array" ref="BJ163">IF($A163="","", INDEX(CS!$B$1:$B$15025,MATCH($A163,CS!$B:$B,0)+COLUMN(D$1),1))</f>
        <v/>
      </c>
      <c r="BK163" s="37" t="str">
        <f t="array" ref="BK163">IF($A163="","", INDEX(CS!$B$1:$B$15025,MATCH($A163,CS!$B:$B,0)+COLUMN(E$1),1))</f>
        <v/>
      </c>
      <c r="BL163" s="37" t="str">
        <f t="array" ref="BL163">IF($A163="","", INDEX(CS!$B$1:$B$15025,MATCH($A163,CS!$B:$B,0)+COLUMN(F$1),1))</f>
        <v/>
      </c>
      <c r="BM163" s="37" t="str">
        <f t="array" ref="BM163">IF($A163="","", INDEX(CS!$B$1:$B$15025,MATCH($A163,CS!$B:$B,0)+COLUMN(G$1),1))</f>
        <v/>
      </c>
      <c r="BN163" s="37" t="str">
        <f t="array" ref="BN163">IF($A163="","", INDEX(CS!$B$1:$B$15025,MATCH($A163,CS!$B:$B,0)+COLUMN(H$1),1))</f>
        <v/>
      </c>
      <c r="BO163" s="37" t="str">
        <f t="array" ref="BO163">IF($A163="","", INDEX(CS!$B$1:$B$15025,MATCH($A163,CS!$B:$B,0)+COLUMN(I$1),1))</f>
        <v/>
      </c>
      <c r="BP163" s="37" t="str">
        <f t="array" ref="BP163">IF($A163="","", INDEX(CS!$B$1:$B$15025,MATCH($A163,CS!$B:$B,0)+COLUMN(J$1),1))</f>
        <v/>
      </c>
      <c r="BS163" s="74"/>
    </row>
    <row r="164" ht="18.75" customHeight="1" outlineLevel="1">
      <c r="A164" s="37" t="s">
        <v>2424</v>
      </c>
      <c r="B164" s="71" t="s">
        <v>2425</v>
      </c>
      <c r="C164" s="39" t="s">
        <v>2808</v>
      </c>
      <c r="D164" s="72" t="str">
        <f t="shared" si="7"/>
        <v>710/465/245</v>
      </c>
      <c r="E164" s="37">
        <v>1.0</v>
      </c>
      <c r="F164" s="37">
        <v>60.0</v>
      </c>
      <c r="I164" s="37">
        <v>50.0</v>
      </c>
      <c r="J164" s="37">
        <v>55.0</v>
      </c>
      <c r="K164" s="73">
        <v>85.0</v>
      </c>
      <c r="L164" s="37">
        <v>90.0</v>
      </c>
      <c r="M164" s="37">
        <v>50.0</v>
      </c>
      <c r="N164" s="37">
        <v>75.0</v>
      </c>
      <c r="P164" s="37">
        <v>0.0</v>
      </c>
      <c r="Q164" s="64"/>
      <c r="R164" s="64"/>
      <c r="S164" s="64"/>
      <c r="T164" s="64"/>
      <c r="U164" s="64"/>
      <c r="V164" s="64"/>
      <c r="W164" s="64"/>
      <c r="X164" s="64"/>
      <c r="Y164" s="64"/>
      <c r="Z164" s="64"/>
      <c r="AA164" s="64"/>
      <c r="AJ164" s="37">
        <v>0.0</v>
      </c>
      <c r="AK164" s="37">
        <v>0.0</v>
      </c>
      <c r="AL164" s="37">
        <v>75.0</v>
      </c>
      <c r="AM164" s="37">
        <v>50.0</v>
      </c>
      <c r="AN164" s="37">
        <v>20.0</v>
      </c>
      <c r="AO164" s="37">
        <v>0.0</v>
      </c>
      <c r="AP164" s="37">
        <v>0.0</v>
      </c>
      <c r="AQ164" s="37">
        <v>0.0</v>
      </c>
      <c r="AR164" s="37">
        <v>0.0</v>
      </c>
      <c r="AS164" s="37">
        <v>0.0</v>
      </c>
      <c r="AT164" s="37">
        <v>0.0</v>
      </c>
      <c r="AU164" s="37">
        <v>0.0</v>
      </c>
      <c r="AV164" s="37">
        <v>0.0</v>
      </c>
      <c r="AW164" s="37">
        <v>0.0</v>
      </c>
      <c r="AX164" s="37">
        <v>0.0</v>
      </c>
      <c r="AY164" s="37">
        <v>100.0</v>
      </c>
      <c r="AZ164" s="37">
        <v>0.0</v>
      </c>
      <c r="BG164" s="37" t="str">
        <f t="array" ref="BG164">IF($A164="","", INDEX(CS!$B$1:$B$15025,MATCH($A164,CS!$B:$B,0)+COLUMN(A$1),1))</f>
        <v>火球</v>
      </c>
      <c r="BH164" s="37" t="str">
        <f t="array" ref="BH164">IF($A164="","", INDEX(CS!$B$1:$B$15025,MATCH($A164,CS!$B:$B,0)+COLUMN(B$1),1))</f>
        <v>氷柱弾</v>
      </c>
      <c r="BI164" s="37" t="str">
        <f t="array" ref="BI164">IF($A164="","", INDEX(CS!$B$1:$B$15025,MATCH($A164,CS!$B:$B,0)+COLUMN(C$1),1))</f>
        <v>川の鞭</v>
      </c>
      <c r="BJ164" s="37" t="str">
        <f t="array" ref="BJ164">IF($A164="","", INDEX(CS!$B$1:$B$15025,MATCH($A164,CS!$B:$B,0)+COLUMN(D$1),1))</f>
        <v>電弧放電</v>
      </c>
      <c r="BK164" s="37" t="str">
        <f t="array" ref="BK164">IF($A164="","", INDEX(CS!$B$1:$B$15025,MATCH($A164,CS!$B:$B,0)+COLUMN(E$1),1))</f>
        <v>上昇烈風</v>
      </c>
      <c r="BL164" s="37" t="str">
        <f t="array" ref="BL164">IF($A164="","", INDEX(CS!$B$1:$B$15025,MATCH($A164,CS!$B:$B,0)+COLUMN(F$1),1))</f>
        <v/>
      </c>
      <c r="BM164" s="37" t="str">
        <f t="array" ref="BM164">IF($A164="","", INDEX(CS!$B$1:$B$15025,MATCH($A164,CS!$B:$B,0)+COLUMN(G$1),1))</f>
        <v>水晶片</v>
      </c>
      <c r="BN164" s="37" t="str">
        <f t="array" ref="BN164">IF($A164="","", INDEX(CS!$B$1:$B$15025,MATCH($A164,CS!$B:$B,0)+COLUMN(H$1),1))</f>
        <v/>
      </c>
      <c r="BO164" s="37" t="str">
        <f t="array" ref="BO164">IF($A164="","", INDEX(CS!$B$1:$B$15025,MATCH($A164,CS!$B:$B,0)+COLUMN(I$1),1))</f>
        <v>光線</v>
      </c>
      <c r="BP164" s="37" t="str">
        <f t="array" ref="BP164">IF($A164="","", INDEX(CS!$B$1:$B$15025,MATCH($A164,CS!$B:$B,0)+COLUMN(J$1),1))</f>
        <v/>
      </c>
      <c r="BS164" s="74"/>
      <c r="CG164" s="37" t="s">
        <v>2809</v>
      </c>
      <c r="CI164" s="37" t="s">
        <v>2799</v>
      </c>
      <c r="CJ164" s="37" t="s">
        <v>2810</v>
      </c>
      <c r="CK164" s="37" t="s">
        <v>2793</v>
      </c>
      <c r="CN164" s="37" t="s">
        <v>2807</v>
      </c>
    </row>
    <row r="165" ht="18.75" customHeight="1" outlineLevel="1">
      <c r="A165" s="88" t="s">
        <v>70</v>
      </c>
      <c r="B165" s="71"/>
      <c r="C165" s="39" t="s">
        <v>2808</v>
      </c>
      <c r="D165" s="72" t="str">
        <f t="shared" si="7"/>
        <v>760/490/270</v>
      </c>
      <c r="E165" s="39">
        <v>2.0</v>
      </c>
      <c r="F165" s="39">
        <v>70.0</v>
      </c>
      <c r="I165" s="39">
        <v>60.0</v>
      </c>
      <c r="J165" s="39">
        <v>60.0</v>
      </c>
      <c r="K165" s="87">
        <v>90.0</v>
      </c>
      <c r="L165" s="39">
        <v>80.0</v>
      </c>
      <c r="M165" s="39">
        <v>50.0</v>
      </c>
      <c r="N165" s="39">
        <v>80.0</v>
      </c>
      <c r="O165" s="37">
        <v>140.0</v>
      </c>
      <c r="P165" s="37">
        <v>0.0</v>
      </c>
      <c r="Q165" s="64">
        <v>15.0</v>
      </c>
      <c r="R165" s="64"/>
      <c r="S165" s="64"/>
      <c r="T165" s="64"/>
      <c r="U165" s="64"/>
      <c r="V165" s="64"/>
      <c r="W165" s="64"/>
      <c r="X165" s="64"/>
      <c r="Y165" s="64"/>
      <c r="Z165" s="64"/>
      <c r="AA165" s="64"/>
      <c r="AB165" s="64"/>
      <c r="AC165" s="64"/>
      <c r="AD165" s="64"/>
      <c r="AE165" s="64"/>
      <c r="AF165" s="64"/>
      <c r="AG165" s="64"/>
      <c r="AH165" s="64"/>
      <c r="AI165" s="64"/>
      <c r="AJ165" s="64">
        <v>0.0</v>
      </c>
      <c r="AK165" s="37">
        <v>0.0</v>
      </c>
      <c r="AL165" s="37">
        <v>90.0</v>
      </c>
      <c r="AM165" s="37">
        <v>15.0</v>
      </c>
      <c r="AN165" s="37">
        <v>20.0</v>
      </c>
      <c r="AO165" s="37">
        <v>0.0</v>
      </c>
      <c r="AP165" s="37">
        <v>0.0</v>
      </c>
      <c r="AQ165" s="37">
        <v>0.0</v>
      </c>
      <c r="AR165" s="37">
        <v>30.0</v>
      </c>
      <c r="AS165" s="37">
        <v>0.0</v>
      </c>
      <c r="AT165" s="37">
        <v>0.0</v>
      </c>
      <c r="AU165" s="37">
        <v>0.0</v>
      </c>
      <c r="AV165" s="37">
        <v>0.0</v>
      </c>
      <c r="AW165" s="37">
        <v>30.0</v>
      </c>
      <c r="AX165" s="37">
        <v>0.0</v>
      </c>
      <c r="AY165" s="37">
        <v>55.0</v>
      </c>
      <c r="AZ165" s="37">
        <v>30.0</v>
      </c>
      <c r="BA165" s="39"/>
      <c r="BB165" s="39"/>
      <c r="BC165" s="39"/>
      <c r="BD165" s="39"/>
      <c r="BE165" s="39"/>
      <c r="BF165" s="39"/>
      <c r="BG165" s="37" t="str">
        <f t="array" ref="BG165">IF($A165="","",IFERROR(INDEX(CS!$B$1:$B$15025,MATCH($A165,CS!$B:$B,0)+COLUMN(A$1),1),""))</f>
        <v>平地化</v>
      </c>
      <c r="BH165" s="37" t="str">
        <f t="array" ref="BH165">IF($A165="","",IFERROR(INDEX(CS!$B$1:$B$15025,MATCH($A165,CS!$B:$B,0)+COLUMN(B$1),1),""))</f>
        <v>森化</v>
      </c>
      <c r="BI165" s="37" t="str">
        <f t="array" ref="BI165">IF($A165="","",IFERROR(INDEX(CS!$B$1:$B$15025,MATCH($A165,CS!$B:$B,0)+COLUMN(C$1),1),""))</f>
        <v>山岳化</v>
      </c>
      <c r="BJ165" s="37" t="str">
        <f t="array" ref="BJ165">IF($A165="","",IFERROR(INDEX(CS!$B$1:$B$15025,MATCH($A165,CS!$B:$B,0)+COLUMN(D$1),1),""))</f>
        <v>丘陵化</v>
      </c>
      <c r="BK165" s="37" t="str">
        <f t="array" ref="BK165">IF($A165="","",IFERROR(INDEX(CS!$B$1:$B$15025,MATCH($A165,CS!$B:$B,0)+COLUMN(E$1),1),""))</f>
        <v>河川化</v>
      </c>
      <c r="BL165" s="37" t="str">
        <f t="array" ref="BL165">IF($A165="","",IFERROR(INDEX(CS!$B$1:$B$15025,MATCH($A165,CS!$B:$B,0)+COLUMN(F$1),1),""))</f>
        <v>湖化</v>
      </c>
      <c r="BM165" s="37" t="str">
        <f t="array" ref="BM165">IF($A165="","",IFERROR(INDEX(CS!$B$1:$B$15025,MATCH($A165,CS!$B:$B,0)+COLUMN(G$1),1),""))</f>
        <v>海化</v>
      </c>
      <c r="BN165" s="37" t="str">
        <f t="array" ref="BN165">IF($A165="","",IFERROR(INDEX(CS!$B$1:$B$15025,MATCH($A165,CS!$B:$B,0)+COLUMN(H$1),1),""))</f>
        <v>砂漠化</v>
      </c>
      <c r="BO165" s="37" t="str">
        <f t="array" ref="BO165">IF($A165="","",IFERROR(INDEX(CS!$B$1:$B$15025,MATCH($A165,CS!$B:$B,0)+COLUMN(I$1),1),""))</f>
        <v>沼地化</v>
      </c>
      <c r="BP165" s="37" t="str">
        <f t="array" ref="BP165">IF($A165="","",IFERROR(INDEX(CS!$B$1:$B$15025,MATCH($A165,CS!$B:$B,0)+COLUMN(J$1),1),""))</f>
        <v>薬草繁茂化</v>
      </c>
      <c r="BR165" s="39" t="s">
        <v>2854</v>
      </c>
      <c r="BS165" s="74"/>
      <c r="CN165" s="37" t="s">
        <v>2743</v>
      </c>
    </row>
    <row r="166" ht="18.75" customHeight="1" outlineLevel="1">
      <c r="A166" s="39" t="s">
        <v>2426</v>
      </c>
      <c r="B166" s="71"/>
      <c r="C166" s="39" t="s">
        <v>2808</v>
      </c>
      <c r="D166" s="72" t="str">
        <f t="shared" si="7"/>
        <v>725/485/240</v>
      </c>
      <c r="E166" s="39">
        <v>2.0</v>
      </c>
      <c r="F166" s="39">
        <v>60.0</v>
      </c>
      <c r="I166" s="39">
        <v>50.0</v>
      </c>
      <c r="J166" s="39">
        <v>55.0</v>
      </c>
      <c r="K166" s="87">
        <v>95.0</v>
      </c>
      <c r="L166" s="39">
        <v>95.0</v>
      </c>
      <c r="M166" s="39">
        <v>50.0</v>
      </c>
      <c r="N166" s="39">
        <v>80.0</v>
      </c>
      <c r="P166" s="37">
        <v>0.0</v>
      </c>
      <c r="Q166" s="64"/>
      <c r="R166" s="64"/>
      <c r="S166" s="64"/>
      <c r="T166" s="64"/>
      <c r="U166" s="64"/>
      <c r="V166" s="64"/>
      <c r="W166" s="64"/>
      <c r="X166" s="64"/>
      <c r="Y166" s="64"/>
      <c r="Z166" s="64"/>
      <c r="AA166" s="64"/>
      <c r="AJ166" s="37">
        <v>0.0</v>
      </c>
      <c r="AK166" s="37">
        <v>0.0</v>
      </c>
      <c r="AL166" s="37">
        <v>90.0</v>
      </c>
      <c r="AM166" s="37">
        <v>0.0</v>
      </c>
      <c r="AN166" s="37">
        <v>50.0</v>
      </c>
      <c r="AO166" s="37">
        <v>0.0</v>
      </c>
      <c r="AP166" s="37">
        <v>0.0</v>
      </c>
      <c r="AQ166" s="37">
        <v>0.0</v>
      </c>
      <c r="AR166" s="37">
        <v>0.0</v>
      </c>
      <c r="AS166" s="37">
        <v>0.0</v>
      </c>
      <c r="AT166" s="37">
        <v>0.0</v>
      </c>
      <c r="AU166" s="37">
        <v>0.0</v>
      </c>
      <c r="AV166" s="37">
        <v>0.0</v>
      </c>
      <c r="AW166" s="37">
        <v>0.0</v>
      </c>
      <c r="AX166" s="37">
        <v>0.0</v>
      </c>
      <c r="AY166" s="37">
        <v>100.0</v>
      </c>
      <c r="AZ166" s="37">
        <v>0.0</v>
      </c>
      <c r="BG166" s="37" t="str">
        <f t="array" ref="BG166">IF($A166="","",IFERROR(INDEX(CS!$B$1:$B$15025,MATCH($A166,CS!$B:$B,0)+COLUMN(A$1),1),""))</f>
        <v>落下火球</v>
      </c>
      <c r="BH166" s="37" t="str">
        <f t="array" ref="BH166">IF($A166="","",IFERROR(INDEX(CS!$B$1:$B$15025,MATCH($A166,CS!$B:$B,0)+COLUMN(B$1),1),""))</f>
        <v>氷柱の拡散</v>
      </c>
      <c r="BI166" s="37" t="str">
        <f t="array" ref="BI166">IF($A166="","",IFERROR(INDEX(CS!$B$1:$B$15025,MATCH($A166,CS!$B:$B,0)+COLUMN(C$1),1),""))</f>
        <v>落雷</v>
      </c>
      <c r="BJ166" s="37" t="str">
        <f t="array" ref="BJ166">IF($A166="","",IFERROR(INDEX(CS!$B$1:$B$15025,MATCH($A166,CS!$B:$B,0)+COLUMN(D$1),1),""))</f>
        <v/>
      </c>
      <c r="BK166" s="37" t="str">
        <f t="array" ref="BK166">IF($A166="","",IFERROR(INDEX(CS!$B$1:$B$15025,MATCH($A166,CS!$B:$B,0)+COLUMN(E$1),1),""))</f>
        <v>腐蝕の雨</v>
      </c>
      <c r="BL166" s="37" t="str">
        <f t="array" ref="BL166">IF($A166="","",IFERROR(INDEX(CS!$B$1:$B$15025,MATCH($A166,CS!$B:$B,0)+COLUMN(F$1),1),""))</f>
        <v/>
      </c>
      <c r="BM166" s="37" t="str">
        <f t="array" ref="BM166">IF($A166="","",IFERROR(INDEX(CS!$B$1:$B$15025,MATCH($A166,CS!$B:$B,0)+COLUMN(G$1),1),""))</f>
        <v>塵旋風</v>
      </c>
      <c r="BN166" s="37" t="str">
        <f t="array" ref="BN166">IF($A166="","",IFERROR(INDEX(CS!$B$1:$B$15025,MATCH($A166,CS!$B:$B,0)+COLUMN(H$1),1),""))</f>
        <v/>
      </c>
      <c r="BO166" s="37" t="str">
        <f t="array" ref="BO166">IF($A166="","",IFERROR(INDEX(CS!$B$1:$B$15025,MATCH($A166,CS!$B:$B,0)+COLUMN(I$1),1),""))</f>
        <v>水晶槍</v>
      </c>
      <c r="BP166" s="37" t="str">
        <f t="array" ref="BP166">IF($A166="","",IFERROR(INDEX(CS!$B$1:$B$15025,MATCH($A166,CS!$B:$B,0)+COLUMN(J$1),1),""))</f>
        <v>魔力増幅</v>
      </c>
      <c r="BR166" s="39" t="s">
        <v>2855</v>
      </c>
      <c r="BS166" s="74"/>
      <c r="CG166" s="37" t="s">
        <v>2809</v>
      </c>
      <c r="CI166" s="37" t="s">
        <v>2799</v>
      </c>
      <c r="CJ166" s="37" t="s">
        <v>2810</v>
      </c>
      <c r="CK166" s="37" t="s">
        <v>2793</v>
      </c>
      <c r="CN166" s="37" t="s">
        <v>2807</v>
      </c>
    </row>
    <row r="167" ht="18.75" customHeight="1" outlineLevel="1">
      <c r="A167" s="39" t="s">
        <v>2427</v>
      </c>
      <c r="B167" s="71"/>
      <c r="C167" s="39" t="s">
        <v>2808</v>
      </c>
      <c r="D167" s="72" t="str">
        <f t="shared" si="7"/>
        <v>720/480/240</v>
      </c>
      <c r="E167" s="39">
        <v>2.0</v>
      </c>
      <c r="F167" s="39">
        <v>60.0</v>
      </c>
      <c r="I167" s="39">
        <v>50.0</v>
      </c>
      <c r="J167" s="39">
        <v>55.0</v>
      </c>
      <c r="K167" s="87">
        <v>95.0</v>
      </c>
      <c r="L167" s="39">
        <v>95.0</v>
      </c>
      <c r="M167" s="39">
        <v>50.0</v>
      </c>
      <c r="N167" s="39">
        <v>75.0</v>
      </c>
      <c r="P167" s="37">
        <v>0.0</v>
      </c>
      <c r="Q167" s="64"/>
      <c r="R167" s="64"/>
      <c r="S167" s="64"/>
      <c r="T167" s="64"/>
      <c r="U167" s="64"/>
      <c r="V167" s="64"/>
      <c r="W167" s="64"/>
      <c r="X167" s="64"/>
      <c r="Y167" s="64"/>
      <c r="Z167" s="64"/>
      <c r="AA167" s="64"/>
      <c r="AJ167" s="37">
        <v>0.0</v>
      </c>
      <c r="AK167" s="37">
        <v>0.0</v>
      </c>
      <c r="AL167" s="37">
        <v>90.0</v>
      </c>
      <c r="AM167" s="37">
        <v>0.0</v>
      </c>
      <c r="AN167" s="37">
        <v>50.0</v>
      </c>
      <c r="AO167" s="37">
        <v>0.0</v>
      </c>
      <c r="AP167" s="37">
        <v>0.0</v>
      </c>
      <c r="AQ167" s="37">
        <v>0.0</v>
      </c>
      <c r="AR167" s="37">
        <v>0.0</v>
      </c>
      <c r="AS167" s="37">
        <v>0.0</v>
      </c>
      <c r="AT167" s="37">
        <v>0.0</v>
      </c>
      <c r="AU167" s="37">
        <v>0.0</v>
      </c>
      <c r="AV167" s="37">
        <v>0.0</v>
      </c>
      <c r="AW167" s="37">
        <v>0.0</v>
      </c>
      <c r="AX167" s="37">
        <v>0.0</v>
      </c>
      <c r="AY167" s="37">
        <v>100.0</v>
      </c>
      <c r="AZ167" s="37">
        <v>0.0</v>
      </c>
      <c r="BG167" s="37" t="str">
        <f t="array" ref="BG167">IF($A167="","",IFERROR(INDEX(CS!$B$1:$B$15025,MATCH($A167,CS!$B:$B,0)+COLUMN(A$1),1),""))</f>
        <v>魔力強化</v>
      </c>
      <c r="BH167" s="37" t="str">
        <f t="array" ref="BH167">IF($A167="","",IFERROR(INDEX(CS!$B$1:$B$15025,MATCH($A167,CS!$B:$B,0)+COLUMN(B$1),1),""))</f>
        <v/>
      </c>
      <c r="BI167" s="37" t="str">
        <f t="array" ref="BI167">IF($A167="","",IFERROR(INDEX(CS!$B$1:$B$15025,MATCH($A167,CS!$B:$B,0)+COLUMN(C$1),1),""))</f>
        <v>魔法陣</v>
      </c>
      <c r="BJ167" s="37" t="str">
        <f t="array" ref="BJ167">IF($A167="","",IFERROR(INDEX(CS!$B$1:$B$15025,MATCH($A167,CS!$B:$B,0)+COLUMN(D$1),1),""))</f>
        <v/>
      </c>
      <c r="BK167" s="37" t="str">
        <f t="array" ref="BK167">IF($A167="","",IFERROR(INDEX(CS!$B$1:$B$15025,MATCH($A167,CS!$B:$B,0)+COLUMN(E$1),1),""))</f>
        <v>呪文杖</v>
      </c>
      <c r="BL167" s="37" t="str">
        <f t="array" ref="BL167">IF($A167="","",IFERROR(INDEX(CS!$B$1:$B$15025,MATCH($A167,CS!$B:$B,0)+COLUMN(F$1),1),""))</f>
        <v/>
      </c>
      <c r="BM167" s="37" t="str">
        <f t="array" ref="BM167">IF($A167="","",IFERROR(INDEX(CS!$B$1:$B$15025,MATCH($A167,CS!$B:$B,0)+COLUMN(G$1),1),""))</f>
        <v>強化破り</v>
      </c>
      <c r="BN167" s="37" t="str">
        <f t="array" ref="BN167">IF($A167="","",IFERROR(INDEX(CS!$B$1:$B$15025,MATCH($A167,CS!$B:$B,0)+COLUMN(H$1),1),""))</f>
        <v/>
      </c>
      <c r="BO167" s="37" t="str">
        <f t="array" ref="BO167">IF($A167="","",IFERROR(INDEX(CS!$B$1:$B$15025,MATCH($A167,CS!$B:$B,0)+COLUMN(I$1),1),""))</f>
        <v>魔力増幅</v>
      </c>
      <c r="BP167" s="37" t="str">
        <f t="array" ref="BP167">IF($A167="","",IFERROR(INDEX(CS!$B$1:$B$15025,MATCH($A167,CS!$B:$B,0)+COLUMN(J$1),1),""))</f>
        <v>高速詠唱</v>
      </c>
      <c r="BR167" s="39" t="s">
        <v>2855</v>
      </c>
      <c r="BS167" s="74"/>
      <c r="CG167" s="37" t="s">
        <v>2809</v>
      </c>
      <c r="CI167" s="37" t="s">
        <v>2799</v>
      </c>
      <c r="CJ167" s="37" t="s">
        <v>2810</v>
      </c>
      <c r="CK167" s="37" t="s">
        <v>2793</v>
      </c>
      <c r="CN167" s="37" t="s">
        <v>2807</v>
      </c>
    </row>
    <row r="168" ht="18.75" customHeight="1" outlineLevel="1">
      <c r="A168" s="39" t="s">
        <v>2431</v>
      </c>
      <c r="B168" s="71"/>
      <c r="C168" s="39" t="s">
        <v>2808</v>
      </c>
      <c r="D168" s="72" t="str">
        <f t="shared" si="7"/>
        <v>730/490/240</v>
      </c>
      <c r="E168" s="39">
        <v>3.0</v>
      </c>
      <c r="F168" s="39">
        <v>60.0</v>
      </c>
      <c r="I168" s="39">
        <v>50.0</v>
      </c>
      <c r="J168" s="39">
        <v>55.0</v>
      </c>
      <c r="K168" s="87">
        <v>100.0</v>
      </c>
      <c r="L168" s="39">
        <v>100.0</v>
      </c>
      <c r="M168" s="39">
        <v>50.0</v>
      </c>
      <c r="N168" s="39">
        <v>75.0</v>
      </c>
      <c r="P168" s="37">
        <v>0.0</v>
      </c>
      <c r="Q168" s="64"/>
      <c r="R168" s="64"/>
      <c r="S168" s="64"/>
      <c r="T168" s="64"/>
      <c r="U168" s="64"/>
      <c r="V168" s="64"/>
      <c r="W168" s="64"/>
      <c r="X168" s="64"/>
      <c r="Y168" s="64"/>
      <c r="Z168" s="64"/>
      <c r="AA168" s="64"/>
      <c r="AJ168" s="37">
        <v>0.0</v>
      </c>
      <c r="AK168" s="37">
        <v>0.0</v>
      </c>
      <c r="AL168" s="37">
        <v>90.0</v>
      </c>
      <c r="AM168" s="37">
        <v>0.0</v>
      </c>
      <c r="AN168" s="37">
        <v>50.0</v>
      </c>
      <c r="AO168" s="37">
        <v>0.0</v>
      </c>
      <c r="AP168" s="37">
        <v>0.0</v>
      </c>
      <c r="AQ168" s="37">
        <v>0.0</v>
      </c>
      <c r="AR168" s="37">
        <v>0.0</v>
      </c>
      <c r="AS168" s="37">
        <v>0.0</v>
      </c>
      <c r="AT168" s="37">
        <v>0.0</v>
      </c>
      <c r="AU168" s="37">
        <v>0.0</v>
      </c>
      <c r="AV168" s="37">
        <v>0.0</v>
      </c>
      <c r="AW168" s="37">
        <v>0.0</v>
      </c>
      <c r="AX168" s="37">
        <v>0.0</v>
      </c>
      <c r="AY168" s="37">
        <v>100.0</v>
      </c>
      <c r="AZ168" s="37">
        <v>0.0</v>
      </c>
      <c r="BG168" s="37" t="str">
        <f t="array" ref="BG168">IF($A168="","",IFERROR(INDEX(CS!$B$1:$B$15025,MATCH($A168,CS!$B:$B,0)+COLUMN(A$1),1),""))</f>
        <v>魔法陣</v>
      </c>
      <c r="BH168" s="37" t="str">
        <f t="array" ref="BH168">IF($A168="","",IFERROR(INDEX(CS!$B$1:$B$15025,MATCH($A168,CS!$B:$B,0)+COLUMN(B$1),1),""))</f>
        <v/>
      </c>
      <c r="BI168" s="37" t="str">
        <f t="array" ref="BI168">IF($A168="","",IFERROR(INDEX(CS!$B$1:$B$15025,MATCH($A168,CS!$B:$B,0)+COLUMN(C$1),1),""))</f>
        <v>魔力強化</v>
      </c>
      <c r="BJ168" s="37" t="str">
        <f t="array" ref="BJ168">IF($A168="","",IFERROR(INDEX(CS!$B$1:$B$15025,MATCH($A168,CS!$B:$B,0)+COLUMN(D$1),1),""))</f>
        <v/>
      </c>
      <c r="BK168" s="37" t="str">
        <f t="array" ref="BK168">IF($A168="","",IFERROR(INDEX(CS!$B$1:$B$15025,MATCH($A168,CS!$B:$B,0)+COLUMN(E$1),1),""))</f>
        <v>賢者の知識</v>
      </c>
      <c r="BL168" s="37" t="str">
        <f t="array" ref="BL168">IF($A168="","",IFERROR(INDEX(CS!$B$1:$B$15025,MATCH($A168,CS!$B:$B,0)+COLUMN(F$1),1),""))</f>
        <v/>
      </c>
      <c r="BM168" s="37" t="str">
        <f t="array" ref="BM168">IF($A168="","",IFERROR(INDEX(CS!$B$1:$B$15025,MATCH($A168,CS!$B:$B,0)+COLUMN(G$1),1),""))</f>
        <v>魔法無効化</v>
      </c>
      <c r="BN168" s="37" t="str">
        <f t="array" ref="BN168">IF($A168="","",IFERROR(INDEX(CS!$B$1:$B$15025,MATCH($A168,CS!$B:$B,0)+COLUMN(H$1),1),""))</f>
        <v/>
      </c>
      <c r="BO168" s="37" t="str">
        <f t="array" ref="BO168">IF($A168="","",IFERROR(INDEX(CS!$B$1:$B$15025,MATCH($A168,CS!$B:$B,0)+COLUMN(I$1),1),""))</f>
        <v>魔力増幅</v>
      </c>
      <c r="BP168" s="37" t="str">
        <f t="array" ref="BP168">IF($A168="","",IFERROR(INDEX(CS!$B$1:$B$15025,MATCH($A168,CS!$B:$B,0)+COLUMN(J$1),1),""))</f>
        <v>大賢者</v>
      </c>
      <c r="BR168" s="39" t="s">
        <v>2856</v>
      </c>
      <c r="BS168" s="74"/>
      <c r="CG168" s="37" t="s">
        <v>2809</v>
      </c>
      <c r="CI168" s="37" t="s">
        <v>2799</v>
      </c>
      <c r="CJ168" s="37" t="s">
        <v>2810</v>
      </c>
      <c r="CK168" s="37" t="s">
        <v>2793</v>
      </c>
      <c r="CN168" s="37" t="s">
        <v>2807</v>
      </c>
    </row>
    <row r="169" ht="18.75" customHeight="1" outlineLevel="1">
      <c r="A169" s="39" t="s">
        <v>2436</v>
      </c>
      <c r="B169" s="71"/>
      <c r="C169" s="39" t="s">
        <v>2808</v>
      </c>
      <c r="D169" s="72" t="str">
        <f t="shared" si="7"/>
        <v>730/490/240</v>
      </c>
      <c r="E169" s="39">
        <v>3.0</v>
      </c>
      <c r="F169" s="39">
        <v>60.0</v>
      </c>
      <c r="I169" s="39">
        <v>50.0</v>
      </c>
      <c r="J169" s="39">
        <v>55.0</v>
      </c>
      <c r="K169" s="87">
        <v>100.0</v>
      </c>
      <c r="L169" s="39">
        <v>100.0</v>
      </c>
      <c r="M169" s="39">
        <v>50.0</v>
      </c>
      <c r="N169" s="39">
        <v>75.0</v>
      </c>
      <c r="P169" s="37">
        <v>0.0</v>
      </c>
      <c r="Q169" s="64"/>
      <c r="R169" s="64"/>
      <c r="S169" s="64"/>
      <c r="T169" s="64"/>
      <c r="U169" s="64"/>
      <c r="V169" s="64"/>
      <c r="W169" s="64"/>
      <c r="X169" s="64"/>
      <c r="Y169" s="64"/>
      <c r="Z169" s="64"/>
      <c r="AA169" s="64"/>
      <c r="AJ169" s="37">
        <v>0.0</v>
      </c>
      <c r="AK169" s="37">
        <v>0.0</v>
      </c>
      <c r="AL169" s="37">
        <v>90.0</v>
      </c>
      <c r="AM169" s="37">
        <v>0.0</v>
      </c>
      <c r="AN169" s="37">
        <v>50.0</v>
      </c>
      <c r="AO169" s="37">
        <v>0.0</v>
      </c>
      <c r="AP169" s="37">
        <v>0.0</v>
      </c>
      <c r="AQ169" s="37">
        <v>0.0</v>
      </c>
      <c r="AR169" s="37">
        <v>0.0</v>
      </c>
      <c r="AS169" s="37">
        <v>0.0</v>
      </c>
      <c r="AT169" s="37">
        <v>0.0</v>
      </c>
      <c r="AU169" s="37">
        <v>0.0</v>
      </c>
      <c r="AV169" s="37">
        <v>0.0</v>
      </c>
      <c r="AW169" s="37">
        <v>0.0</v>
      </c>
      <c r="AX169" s="37">
        <v>0.0</v>
      </c>
      <c r="AY169" s="37">
        <v>100.0</v>
      </c>
      <c r="AZ169" s="37">
        <v>0.0</v>
      </c>
      <c r="BG169" s="37" t="str">
        <f t="array" ref="BG169">IF($A169="","",IFERROR(INDEX(CS!$B$1:$B$15025,MATCH($A169,CS!$B:$B,0)+COLUMN(A$1),1),""))</f>
        <v>言霊・命</v>
      </c>
      <c r="BH169" s="37" t="str">
        <f t="array" ref="BH169">IF($A169="","",IFERROR(INDEX(CS!$B$1:$B$15025,MATCH($A169,CS!$B:$B,0)+COLUMN(B$1),1),""))</f>
        <v/>
      </c>
      <c r="BI169" s="37" t="str">
        <f t="array" ref="BI169">IF($A169="","",IFERROR(INDEX(CS!$B$1:$B$15025,MATCH($A169,CS!$B:$B,0)+COLUMN(C$1),1),""))</f>
        <v>言霊・縛</v>
      </c>
      <c r="BJ169" s="37" t="str">
        <f t="array" ref="BJ169">IF($A169="","",IFERROR(INDEX(CS!$B$1:$B$15025,MATCH($A169,CS!$B:$B,0)+COLUMN(D$1),1),""))</f>
        <v/>
      </c>
      <c r="BK169" s="37" t="str">
        <f t="array" ref="BK169">IF($A169="","",IFERROR(INDEX(CS!$B$1:$B$15025,MATCH($A169,CS!$B:$B,0)+COLUMN(E$1),1),""))</f>
        <v>言霊・黙</v>
      </c>
      <c r="BL169" s="37" t="str">
        <f t="array" ref="BL169">IF($A169="","",IFERROR(INDEX(CS!$B$1:$B$15025,MATCH($A169,CS!$B:$B,0)+COLUMN(F$1),1),""))</f>
        <v/>
      </c>
      <c r="BM169" s="37" t="str">
        <f t="array" ref="BM169">IF($A169="","",IFERROR(INDEX(CS!$B$1:$B$15025,MATCH($A169,CS!$B:$B,0)+COLUMN(G$1),1),""))</f>
        <v>言霊・退</v>
      </c>
      <c r="BN169" s="37" t="str">
        <f t="array" ref="BN169">IF($A169="","",IFERROR(INDEX(CS!$B$1:$B$15025,MATCH($A169,CS!$B:$B,0)+COLUMN(H$1),1),""))</f>
        <v/>
      </c>
      <c r="BO169" s="37" t="str">
        <f t="array" ref="BO169">IF($A169="","",IFERROR(INDEX(CS!$B$1:$B$15025,MATCH($A169,CS!$B:$B,0)+COLUMN(I$1),1),""))</f>
        <v>言霊の極意</v>
      </c>
      <c r="BP169" s="37" t="str">
        <f t="array" ref="BP169">IF($A169="","",IFERROR(INDEX(CS!$B$1:$B$15025,MATCH($A169,CS!$B:$B,0)+COLUMN(J$1),1),""))</f>
        <v>力の言葉</v>
      </c>
      <c r="BR169" s="39" t="s">
        <v>2856</v>
      </c>
      <c r="BS169" s="74"/>
      <c r="CG169" s="37" t="s">
        <v>2809</v>
      </c>
      <c r="CI169" s="37" t="s">
        <v>2799</v>
      </c>
      <c r="CJ169" s="37" t="s">
        <v>2810</v>
      </c>
      <c r="CK169" s="37" t="s">
        <v>2793</v>
      </c>
      <c r="CN169" s="37" t="s">
        <v>2807</v>
      </c>
    </row>
    <row r="170" ht="18.75" customHeight="1" outlineLevel="1">
      <c r="A170" s="39" t="s">
        <v>2448</v>
      </c>
      <c r="B170" s="71"/>
      <c r="C170" s="39" t="s">
        <v>2808</v>
      </c>
      <c r="D170" s="72" t="str">
        <f t="shared" si="7"/>
        <v>725/485/240</v>
      </c>
      <c r="E170" s="39">
        <v>2.0</v>
      </c>
      <c r="F170" s="39">
        <v>60.0</v>
      </c>
      <c r="I170" s="39">
        <v>55.0</v>
      </c>
      <c r="J170" s="39">
        <v>55.0</v>
      </c>
      <c r="K170" s="87">
        <v>95.0</v>
      </c>
      <c r="L170" s="39">
        <v>90.0</v>
      </c>
      <c r="M170" s="39">
        <v>50.0</v>
      </c>
      <c r="N170" s="39">
        <v>80.0</v>
      </c>
      <c r="P170" s="37">
        <v>0.0</v>
      </c>
      <c r="Q170" s="64"/>
      <c r="R170" s="64"/>
      <c r="S170" s="64"/>
      <c r="T170" s="64"/>
      <c r="U170" s="64"/>
      <c r="V170" s="64"/>
      <c r="W170" s="64"/>
      <c r="X170" s="64"/>
      <c r="Y170" s="64"/>
      <c r="Z170" s="64"/>
      <c r="AA170" s="64"/>
      <c r="AJ170" s="37">
        <v>0.0</v>
      </c>
      <c r="AK170" s="37">
        <v>0.0</v>
      </c>
      <c r="AL170" s="37">
        <v>90.0</v>
      </c>
      <c r="AM170" s="37">
        <v>0.0</v>
      </c>
      <c r="AN170" s="37">
        <v>50.0</v>
      </c>
      <c r="AO170" s="37">
        <v>0.0</v>
      </c>
      <c r="AP170" s="37">
        <v>0.0</v>
      </c>
      <c r="AQ170" s="37">
        <v>0.0</v>
      </c>
      <c r="AR170" s="37">
        <v>0.0</v>
      </c>
      <c r="AS170" s="37">
        <v>0.0</v>
      </c>
      <c r="AT170" s="37">
        <v>0.0</v>
      </c>
      <c r="AU170" s="37">
        <v>0.0</v>
      </c>
      <c r="AV170" s="37">
        <v>0.0</v>
      </c>
      <c r="AW170" s="37">
        <v>0.0</v>
      </c>
      <c r="AX170" s="37">
        <v>0.0</v>
      </c>
      <c r="AY170" s="37">
        <v>100.0</v>
      </c>
      <c r="AZ170" s="37">
        <v>0.0</v>
      </c>
      <c r="BG170" s="37" t="str">
        <f t="array" ref="BG170">IF($A170="","",IFERROR(INDEX(CS!$B$1:$B$15025,MATCH($A170,CS!$B:$B,0)+COLUMN(A$1),1),""))</f>
        <v>場断裂</v>
      </c>
      <c r="BH170" s="37" t="str">
        <f t="array" ref="BH170">IF($A170="","",IFERROR(INDEX(CS!$B$1:$B$15025,MATCH($A170,CS!$B:$B,0)+COLUMN(B$1),1),""))</f>
        <v/>
      </c>
      <c r="BI170" s="37" t="str">
        <f t="array" ref="BI170">IF($A170="","",IFERROR(INDEX(CS!$B$1:$B$15025,MATCH($A170,CS!$B:$B,0)+COLUMN(C$1),1),""))</f>
        <v>偏向膜</v>
      </c>
      <c r="BJ170" s="37" t="str">
        <f t="array" ref="BJ170">IF($A170="","",IFERROR(INDEX(CS!$B$1:$B$15025,MATCH($A170,CS!$B:$B,0)+COLUMN(D$1),1),""))</f>
        <v/>
      </c>
      <c r="BK170" s="37" t="str">
        <f t="array" ref="BK170">IF($A170="","",IFERROR(INDEX(CS!$B$1:$B$15025,MATCH($A170,CS!$B:$B,0)+COLUMN(E$1),1),""))</f>
        <v>衝圧</v>
      </c>
      <c r="BL170" s="37" t="str">
        <f t="array" ref="BL170">IF($A170="","",IFERROR(INDEX(CS!$B$1:$B$15025,MATCH($A170,CS!$B:$B,0)+COLUMN(F$1),1),""))</f>
        <v/>
      </c>
      <c r="BM170" s="37" t="str">
        <f t="array" ref="BM170">IF($A170="","",IFERROR(INDEX(CS!$B$1:$B$15025,MATCH($A170,CS!$B:$B,0)+COLUMN(G$1),1),""))</f>
        <v>拘束界</v>
      </c>
      <c r="BN170" s="37" t="str">
        <f t="array" ref="BN170">IF($A170="","",IFERROR(INDEX(CS!$B$1:$B$15025,MATCH($A170,CS!$B:$B,0)+COLUMN(H$1),1),""))</f>
        <v/>
      </c>
      <c r="BO170" s="37" t="str">
        <f t="array" ref="BO170">IF($A170="","",IFERROR(INDEX(CS!$B$1:$B$15025,MATCH($A170,CS!$B:$B,0)+COLUMN(I$1),1),""))</f>
        <v>分解</v>
      </c>
      <c r="BP170" s="37" t="str">
        <f t="array" ref="BP170">IF($A170="","",IFERROR(INDEX(CS!$B$1:$B$15025,MATCH($A170,CS!$B:$B,0)+COLUMN(J$1),1),""))</f>
        <v>圧壊掌</v>
      </c>
      <c r="BR170" s="39" t="s">
        <v>2855</v>
      </c>
      <c r="BS170" s="74"/>
      <c r="CG170" s="37" t="s">
        <v>2809</v>
      </c>
      <c r="CI170" s="37" t="s">
        <v>2799</v>
      </c>
      <c r="CJ170" s="37" t="s">
        <v>2810</v>
      </c>
      <c r="CK170" s="37" t="s">
        <v>2793</v>
      </c>
      <c r="CN170" s="37" t="s">
        <v>2807</v>
      </c>
    </row>
    <row r="171" ht="18.75" customHeight="1" outlineLevel="1">
      <c r="A171" s="39" t="s">
        <v>2449</v>
      </c>
      <c r="B171" s="71"/>
      <c r="C171" s="39" t="s">
        <v>2808</v>
      </c>
      <c r="D171" s="72" t="str">
        <f t="shared" si="7"/>
        <v>740/500/240</v>
      </c>
      <c r="E171" s="39">
        <v>3.0</v>
      </c>
      <c r="F171" s="39">
        <v>60.0</v>
      </c>
      <c r="I171" s="39">
        <v>60.0</v>
      </c>
      <c r="J171" s="39">
        <v>55.0</v>
      </c>
      <c r="K171" s="87">
        <v>100.0</v>
      </c>
      <c r="L171" s="39">
        <v>90.0</v>
      </c>
      <c r="M171" s="39">
        <v>50.0</v>
      </c>
      <c r="N171" s="39">
        <v>85.0</v>
      </c>
      <c r="P171" s="37">
        <v>0.0</v>
      </c>
      <c r="Q171" s="64"/>
      <c r="R171" s="64"/>
      <c r="S171" s="64"/>
      <c r="T171" s="64"/>
      <c r="U171" s="64"/>
      <c r="V171" s="64"/>
      <c r="W171" s="64"/>
      <c r="X171" s="64"/>
      <c r="Y171" s="64"/>
      <c r="Z171" s="64"/>
      <c r="AA171" s="64"/>
      <c r="AJ171" s="37">
        <v>0.0</v>
      </c>
      <c r="AK171" s="37">
        <v>0.0</v>
      </c>
      <c r="AL171" s="37">
        <v>90.0</v>
      </c>
      <c r="AM171" s="37">
        <v>0.0</v>
      </c>
      <c r="AN171" s="37">
        <v>50.0</v>
      </c>
      <c r="AO171" s="37">
        <v>0.0</v>
      </c>
      <c r="AP171" s="37">
        <v>0.0</v>
      </c>
      <c r="AQ171" s="37">
        <v>0.0</v>
      </c>
      <c r="AR171" s="37">
        <v>0.0</v>
      </c>
      <c r="AS171" s="37">
        <v>0.0</v>
      </c>
      <c r="AT171" s="37">
        <v>0.0</v>
      </c>
      <c r="AU171" s="37">
        <v>0.0</v>
      </c>
      <c r="AV171" s="37">
        <v>0.0</v>
      </c>
      <c r="AW171" s="37">
        <v>0.0</v>
      </c>
      <c r="AX171" s="37">
        <v>0.0</v>
      </c>
      <c r="AY171" s="37">
        <v>100.0</v>
      </c>
      <c r="AZ171" s="37">
        <v>0.0</v>
      </c>
      <c r="BG171" s="37" t="str">
        <f t="array" ref="BG171">IF($A171="","",IFERROR(INDEX(CS!$B$1:$B$15025,MATCH($A171,CS!$B:$B,0)+COLUMN(A$1),1),""))</f>
        <v>分解</v>
      </c>
      <c r="BH171" s="37" t="str">
        <f t="array" ref="BH171">IF($A171="","",IFERROR(INDEX(CS!$B$1:$B$15025,MATCH($A171,CS!$B:$B,0)+COLUMN(B$1),1),""))</f>
        <v/>
      </c>
      <c r="BI171" s="37" t="str">
        <f t="array" ref="BI171">IF($A171="","",IFERROR(INDEX(CS!$B$1:$B$15025,MATCH($A171,CS!$B:$B,0)+COLUMN(C$1),1),""))</f>
        <v>圧縮界</v>
      </c>
      <c r="BJ171" s="37" t="str">
        <f t="array" ref="BJ171">IF($A171="","",IFERROR(INDEX(CS!$B$1:$B$15025,MATCH($A171,CS!$B:$B,0)+COLUMN(D$1),1),""))</f>
        <v/>
      </c>
      <c r="BK171" s="37" t="str">
        <f t="array" ref="BK171">IF($A171="","",IFERROR(INDEX(CS!$B$1:$B$15025,MATCH($A171,CS!$B:$B,0)+COLUMN(E$1),1),""))</f>
        <v>圧壊掌</v>
      </c>
      <c r="BL171" s="37" t="str">
        <f t="array" ref="BL171">IF($A171="","",IFERROR(INDEX(CS!$B$1:$B$15025,MATCH($A171,CS!$B:$B,0)+COLUMN(F$1),1),""))</f>
        <v/>
      </c>
      <c r="BM171" s="37" t="str">
        <f t="array" ref="BM171">IF($A171="","",IFERROR(INDEX(CS!$B$1:$B$15025,MATCH($A171,CS!$B:$B,0)+COLUMN(G$1),1),""))</f>
        <v>衝圧</v>
      </c>
      <c r="BN171" s="37" t="str">
        <f t="array" ref="BN171">IF($A171="","",IFERROR(INDEX(CS!$B$1:$B$15025,MATCH($A171,CS!$B:$B,0)+COLUMN(H$1),1),""))</f>
        <v/>
      </c>
      <c r="BO171" s="37" t="str">
        <f t="array" ref="BO171">IF($A171="","",IFERROR(INDEX(CS!$B$1:$B$15025,MATCH($A171,CS!$B:$B,0)+COLUMN(I$1),1),""))</f>
        <v>偏向膜</v>
      </c>
      <c r="BP171" s="37" t="str">
        <f t="array" ref="BP171">IF($A171="","",IFERROR(INDEX(CS!$B$1:$B$15025,MATCH($A171,CS!$B:$B,0)+COLUMN(J$1),1),""))</f>
        <v>力場支配</v>
      </c>
      <c r="BR171" s="39" t="s">
        <v>2857</v>
      </c>
      <c r="BS171" s="74"/>
      <c r="CG171" s="37" t="s">
        <v>2809</v>
      </c>
      <c r="CI171" s="37" t="s">
        <v>2799</v>
      </c>
      <c r="CJ171" s="37" t="s">
        <v>2810</v>
      </c>
      <c r="CK171" s="37" t="s">
        <v>2793</v>
      </c>
      <c r="CN171" s="37" t="s">
        <v>2807</v>
      </c>
    </row>
    <row r="172" ht="18.75" customHeight="1">
      <c r="B172" s="71"/>
      <c r="D172" s="72"/>
      <c r="K172" s="73"/>
      <c r="P172" s="37" t="s">
        <v>29</v>
      </c>
      <c r="Q172" s="64"/>
      <c r="R172" s="64"/>
      <c r="S172" s="64"/>
      <c r="T172" s="64"/>
      <c r="U172" s="64"/>
      <c r="V172" s="64"/>
      <c r="W172" s="64"/>
      <c r="X172" s="64"/>
      <c r="Y172" s="64"/>
      <c r="Z172" s="64"/>
      <c r="AA172" s="64"/>
      <c r="AJ172" s="37" t="s">
        <v>29</v>
      </c>
      <c r="AK172" s="37" t="s">
        <v>29</v>
      </c>
      <c r="AL172" s="37" t="s">
        <v>29</v>
      </c>
      <c r="AM172" s="37" t="s">
        <v>29</v>
      </c>
      <c r="AN172" s="37" t="s">
        <v>29</v>
      </c>
      <c r="AO172" s="37" t="s">
        <v>29</v>
      </c>
      <c r="AP172" s="37" t="s">
        <v>29</v>
      </c>
      <c r="AQ172" s="37" t="s">
        <v>29</v>
      </c>
      <c r="AR172" s="37" t="s">
        <v>29</v>
      </c>
      <c r="AS172" s="37" t="s">
        <v>29</v>
      </c>
      <c r="AT172" s="37" t="s">
        <v>29</v>
      </c>
      <c r="AU172" s="37" t="s">
        <v>29</v>
      </c>
      <c r="AV172" s="37" t="s">
        <v>29</v>
      </c>
      <c r="AW172" s="37" t="s">
        <v>29</v>
      </c>
      <c r="AX172" s="37" t="s">
        <v>29</v>
      </c>
      <c r="AY172" s="37" t="s">
        <v>29</v>
      </c>
      <c r="AZ172" s="37" t="s">
        <v>29</v>
      </c>
      <c r="BG172" s="37" t="str">
        <f t="array" ref="BG172">IF($A172="","", INDEX(CS!$B$1:$B$15025,MATCH($A172,CS!$B:$B,0)+COLUMN(A$1),1))</f>
        <v/>
      </c>
      <c r="BH172" s="37" t="str">
        <f t="array" ref="BH172">IF($A172="","", INDEX(CS!$B$1:$B$15025,MATCH($A172,CS!$B:$B,0)+COLUMN(B$1),1))</f>
        <v/>
      </c>
      <c r="BI172" s="37" t="str">
        <f t="array" ref="BI172">IF($A172="","", INDEX(CS!$B$1:$B$15025,MATCH($A172,CS!$B:$B,0)+COLUMN(C$1),1))</f>
        <v/>
      </c>
      <c r="BJ172" s="37" t="str">
        <f t="array" ref="BJ172">IF($A172="","", INDEX(CS!$B$1:$B$15025,MATCH($A172,CS!$B:$B,0)+COLUMN(D$1),1))</f>
        <v/>
      </c>
      <c r="BK172" s="37" t="str">
        <f t="array" ref="BK172">IF($A172="","", INDEX(CS!$B$1:$B$15025,MATCH($A172,CS!$B:$B,0)+COLUMN(E$1),1))</f>
        <v/>
      </c>
      <c r="BL172" s="37" t="str">
        <f t="array" ref="BL172">IF($A172="","", INDEX(CS!$B$1:$B$15025,MATCH($A172,CS!$B:$B,0)+COLUMN(F$1),1))</f>
        <v/>
      </c>
      <c r="BM172" s="37" t="str">
        <f t="array" ref="BM172">IF($A172="","", INDEX(CS!$B$1:$B$15025,MATCH($A172,CS!$B:$B,0)+COLUMN(G$1),1))</f>
        <v/>
      </c>
      <c r="BN172" s="37" t="str">
        <f t="array" ref="BN172">IF($A172="","", INDEX(CS!$B$1:$B$15025,MATCH($A172,CS!$B:$B,0)+COLUMN(H$1),1))</f>
        <v/>
      </c>
      <c r="BO172" s="37" t="str">
        <f t="array" ref="BO172">IF($A172="","", INDEX(CS!$B$1:$B$15025,MATCH($A172,CS!$B:$B,0)+COLUMN(I$1),1))</f>
        <v/>
      </c>
      <c r="BP172" s="37" t="str">
        <f t="array" ref="BP172">IF($A172="","", INDEX(CS!$B$1:$B$15025,MATCH($A172,CS!$B:$B,0)+COLUMN(J$1),1))</f>
        <v/>
      </c>
      <c r="BS172" s="74"/>
      <c r="CI172" s="37" t="s">
        <v>2819</v>
      </c>
      <c r="CJ172" s="37" t="s">
        <v>2800</v>
      </c>
      <c r="CK172" s="37" t="s">
        <v>2793</v>
      </c>
    </row>
    <row r="173" ht="18.75" customHeight="1">
      <c r="B173" s="85" t="s">
        <v>2858</v>
      </c>
      <c r="D173" s="72" t="str">
        <f t="shared" ref="D173:D186" si="8">SUM(AJ173:AZ173,F173:N173)&amp;"/"&amp;SUM(F173:N173)&amp;"/"&amp;SUM(AJ173:AZ173)</f>
        <v>0/0/0</v>
      </c>
      <c r="E173" s="37">
        <v>1.0</v>
      </c>
      <c r="K173" s="73"/>
      <c r="P173" s="37" t="s">
        <v>29</v>
      </c>
      <c r="Q173" s="64"/>
      <c r="R173" s="64"/>
      <c r="S173" s="64"/>
      <c r="T173" s="64"/>
      <c r="U173" s="64"/>
      <c r="V173" s="64"/>
      <c r="W173" s="64"/>
      <c r="X173" s="64"/>
      <c r="Y173" s="64"/>
      <c r="Z173" s="64"/>
      <c r="AA173" s="64"/>
      <c r="AJ173" s="37" t="s">
        <v>29</v>
      </c>
      <c r="AK173" s="37" t="s">
        <v>29</v>
      </c>
      <c r="AL173" s="37" t="s">
        <v>29</v>
      </c>
      <c r="AM173" s="37" t="s">
        <v>29</v>
      </c>
      <c r="AN173" s="37" t="s">
        <v>29</v>
      </c>
      <c r="AO173" s="37" t="s">
        <v>29</v>
      </c>
      <c r="AP173" s="37" t="s">
        <v>29</v>
      </c>
      <c r="AQ173" s="37" t="s">
        <v>29</v>
      </c>
      <c r="AR173" s="37" t="s">
        <v>29</v>
      </c>
      <c r="AS173" s="37" t="s">
        <v>29</v>
      </c>
      <c r="AT173" s="37" t="s">
        <v>29</v>
      </c>
      <c r="AU173" s="37" t="s">
        <v>29</v>
      </c>
      <c r="AV173" s="37" t="s">
        <v>29</v>
      </c>
      <c r="AW173" s="37" t="s">
        <v>29</v>
      </c>
      <c r="AX173" s="37" t="s">
        <v>29</v>
      </c>
      <c r="AY173" s="37" t="s">
        <v>29</v>
      </c>
      <c r="AZ173" s="37" t="s">
        <v>29</v>
      </c>
      <c r="BG173" s="37" t="str">
        <f t="array" ref="BG173">IF($A173="","", INDEX(CS!$B$1:$B$15025,MATCH($A173,CS!$B:$B,0)+COLUMN(A$1),1))</f>
        <v/>
      </c>
      <c r="BH173" s="37" t="str">
        <f t="array" ref="BH173">IF($A173="","", INDEX(CS!$B$1:$B$15025,MATCH($A173,CS!$B:$B,0)+COLUMN(B$1),1))</f>
        <v/>
      </c>
      <c r="BI173" s="37" t="str">
        <f t="array" ref="BI173">IF($A173="","", INDEX(CS!$B$1:$B$15025,MATCH($A173,CS!$B:$B,0)+COLUMN(C$1),1))</f>
        <v/>
      </c>
      <c r="BJ173" s="37" t="str">
        <f t="array" ref="BJ173">IF($A173="","", INDEX(CS!$B$1:$B$15025,MATCH($A173,CS!$B:$B,0)+COLUMN(D$1),1))</f>
        <v/>
      </c>
      <c r="BK173" s="37" t="str">
        <f t="array" ref="BK173">IF($A173="","", INDEX(CS!$B$1:$B$15025,MATCH($A173,CS!$B:$B,0)+COLUMN(E$1),1))</f>
        <v/>
      </c>
      <c r="BL173" s="37" t="str">
        <f t="array" ref="BL173">IF($A173="","", INDEX(CS!$B$1:$B$15025,MATCH($A173,CS!$B:$B,0)+COLUMN(F$1),1))</f>
        <v/>
      </c>
      <c r="BM173" s="37" t="str">
        <f t="array" ref="BM173">IF($A173="","", INDEX(CS!$B$1:$B$15025,MATCH($A173,CS!$B:$B,0)+COLUMN(G$1),1))</f>
        <v/>
      </c>
      <c r="BN173" s="37" t="str">
        <f t="array" ref="BN173">IF($A173="","", INDEX(CS!$B$1:$B$15025,MATCH($A173,CS!$B:$B,0)+COLUMN(H$1),1))</f>
        <v/>
      </c>
      <c r="BO173" s="37" t="str">
        <f t="array" ref="BO173">IF($A173="","", INDEX(CS!$B$1:$B$15025,MATCH($A173,CS!$B:$B,0)+COLUMN(I$1),1))</f>
        <v/>
      </c>
      <c r="BP173" s="37" t="str">
        <f t="array" ref="BP173">IF($A173="","", INDEX(CS!$B$1:$B$15025,MATCH($A173,CS!$B:$B,0)+COLUMN(J$1),1))</f>
        <v/>
      </c>
      <c r="BS173" s="74"/>
    </row>
    <row r="174" ht="18.75" customHeight="1" outlineLevel="1">
      <c r="A174" s="39" t="s">
        <v>2453</v>
      </c>
      <c r="B174" s="71"/>
      <c r="C174" s="39" t="s">
        <v>2813</v>
      </c>
      <c r="D174" s="72" t="str">
        <f t="shared" si="8"/>
        <v>730/505/225</v>
      </c>
      <c r="E174" s="39">
        <v>2.0</v>
      </c>
      <c r="F174" s="39">
        <v>80.0</v>
      </c>
      <c r="I174" s="39">
        <v>70.0</v>
      </c>
      <c r="J174" s="39">
        <v>75.0</v>
      </c>
      <c r="K174" s="87">
        <v>80.0</v>
      </c>
      <c r="L174" s="39">
        <v>75.0</v>
      </c>
      <c r="M174" s="39">
        <v>50.0</v>
      </c>
      <c r="N174" s="39">
        <v>75.0</v>
      </c>
      <c r="P174" s="39">
        <v>50.0</v>
      </c>
      <c r="Q174" s="64"/>
      <c r="R174" s="64"/>
      <c r="S174" s="64"/>
      <c r="T174" s="64"/>
      <c r="U174" s="64"/>
      <c r="V174" s="64"/>
      <c r="W174" s="64"/>
      <c r="X174" s="64"/>
      <c r="Y174" s="64"/>
      <c r="Z174" s="64"/>
      <c r="AA174" s="64"/>
      <c r="AJ174" s="37">
        <v>0.0</v>
      </c>
      <c r="AK174" s="37">
        <v>0.0</v>
      </c>
      <c r="AL174" s="37">
        <v>75.0</v>
      </c>
      <c r="AM174" s="37">
        <v>0.0</v>
      </c>
      <c r="AN174" s="37">
        <v>0.0</v>
      </c>
      <c r="AO174" s="37">
        <v>0.0</v>
      </c>
      <c r="AP174" s="37">
        <v>0.0</v>
      </c>
      <c r="AQ174" s="37">
        <v>0.0</v>
      </c>
      <c r="AR174" s="37">
        <v>0.0</v>
      </c>
      <c r="AS174" s="37">
        <v>0.0</v>
      </c>
      <c r="AT174" s="37">
        <v>0.0</v>
      </c>
      <c r="AU174" s="37">
        <v>0.0</v>
      </c>
      <c r="AV174" s="37">
        <v>0.0</v>
      </c>
      <c r="AW174" s="37">
        <v>50.0</v>
      </c>
      <c r="AX174" s="37">
        <v>0.0</v>
      </c>
      <c r="AY174" s="37">
        <v>0.0</v>
      </c>
      <c r="AZ174" s="37">
        <v>100.0</v>
      </c>
      <c r="BA174" s="39"/>
      <c r="BB174" s="39"/>
      <c r="BC174" s="39"/>
      <c r="BD174" s="39"/>
      <c r="BE174" s="39"/>
      <c r="BF174" s="39"/>
      <c r="BG174" s="37" t="str">
        <f t="array" ref="BG174">IF($A174="","",IFERROR(INDEX(CS!$B$1:$B$15025,MATCH($A174,CS!$B:$B,0)+COLUMN(A$1),1),""))</f>
        <v>光線</v>
      </c>
      <c r="BH174" s="37" t="str">
        <f t="array" ref="BH174">IF($A174="","",IFERROR(INDEX(CS!$B$1:$B$15025,MATCH($A174,CS!$B:$B,0)+COLUMN(B$1),1),""))</f>
        <v>中傷治癒</v>
      </c>
      <c r="BI174" s="37" t="str">
        <f t="array" ref="BI174">IF($A174="","",IFERROR(INDEX(CS!$B$1:$B$15025,MATCH($A174,CS!$B:$B,0)+COLUMN(C$1),1),""))</f>
        <v>毒治癒</v>
      </c>
      <c r="BJ174" s="37" t="str">
        <f t="array" ref="BJ174">IF($A174="","",IFERROR(INDEX(CS!$B$1:$B$15025,MATCH($A174,CS!$B:$B,0)+COLUMN(D$1),1),""))</f>
        <v>麻痺治癒</v>
      </c>
      <c r="BK174" s="37" t="str">
        <f t="array" ref="BK174">IF($A174="","",IFERROR(INDEX(CS!$B$1:$B$15025,MATCH($A174,CS!$B:$B,0)+COLUMN(E$1),1),""))</f>
        <v>重傷治癒</v>
      </c>
      <c r="BL174" s="37" t="str">
        <f t="array" ref="BL174">IF($A174="","",IFERROR(INDEX(CS!$B$1:$B$15025,MATCH($A174,CS!$B:$B,0)+COLUMN(F$1),1),""))</f>
        <v/>
      </c>
      <c r="BM174" s="37" t="str">
        <f t="array" ref="BM174">IF($A174="","",IFERROR(INDEX(CS!$B$1:$B$15025,MATCH($A174,CS!$B:$B,0)+COLUMN(G$1),1),""))</f>
        <v>軽傷治癒・範囲</v>
      </c>
      <c r="BN174" s="37" t="str">
        <f t="array" ref="BN174">IF($A174="","",IFERROR(INDEX(CS!$B$1:$B$15025,MATCH($A174,CS!$B:$B,0)+COLUMN(H$1),1),""))</f>
        <v/>
      </c>
      <c r="BO174" s="37" t="str">
        <f t="array" ref="BO174">IF($A174="","",IFERROR(INDEX(CS!$B$1:$B$15025,MATCH($A174,CS!$B:$B,0)+COLUMN(I$1),1),""))</f>
        <v>焼け付く光</v>
      </c>
      <c r="BP174" s="37" t="str">
        <f t="array" ref="BP174">IF($A174="","",IFERROR(INDEX(CS!$B$1:$B$15025,MATCH($A174,CS!$B:$B,0)+COLUMN(J$1),1),""))</f>
        <v>信仰の聖域</v>
      </c>
      <c r="BR174" s="39" t="s">
        <v>2859</v>
      </c>
      <c r="BS174" s="74"/>
      <c r="CG174" s="37" t="s">
        <v>2814</v>
      </c>
      <c r="CI174" s="37" t="s">
        <v>2799</v>
      </c>
      <c r="CJ174" s="37" t="s">
        <v>2810</v>
      </c>
      <c r="CK174" s="37" t="s">
        <v>2793</v>
      </c>
      <c r="CN174" s="37" t="s">
        <v>2812</v>
      </c>
    </row>
    <row r="175" ht="18.75" customHeight="1" outlineLevel="1">
      <c r="A175" s="39" t="s">
        <v>2454</v>
      </c>
      <c r="B175" s="71"/>
      <c r="C175" s="39" t="s">
        <v>2813</v>
      </c>
      <c r="D175" s="72" t="str">
        <f t="shared" si="8"/>
        <v>745/520/225</v>
      </c>
      <c r="E175" s="39">
        <v>3.0</v>
      </c>
      <c r="F175" s="39">
        <v>85.0</v>
      </c>
      <c r="I175" s="39">
        <v>70.0</v>
      </c>
      <c r="J175" s="39">
        <v>80.0</v>
      </c>
      <c r="K175" s="87">
        <v>80.0</v>
      </c>
      <c r="L175" s="39">
        <v>80.0</v>
      </c>
      <c r="M175" s="39">
        <v>50.0</v>
      </c>
      <c r="N175" s="39">
        <v>75.0</v>
      </c>
      <c r="P175" s="39">
        <v>50.0</v>
      </c>
      <c r="Q175" s="64"/>
      <c r="R175" s="64"/>
      <c r="S175" s="64"/>
      <c r="T175" s="64"/>
      <c r="U175" s="64"/>
      <c r="V175" s="64"/>
      <c r="W175" s="64"/>
      <c r="X175" s="64"/>
      <c r="Y175" s="64"/>
      <c r="Z175" s="64"/>
      <c r="AA175" s="64"/>
      <c r="AJ175" s="37">
        <v>0.0</v>
      </c>
      <c r="AK175" s="37">
        <v>0.0</v>
      </c>
      <c r="AL175" s="37">
        <v>75.0</v>
      </c>
      <c r="AM175" s="37">
        <v>0.0</v>
      </c>
      <c r="AN175" s="37">
        <v>0.0</v>
      </c>
      <c r="AO175" s="37">
        <v>0.0</v>
      </c>
      <c r="AP175" s="37">
        <v>0.0</v>
      </c>
      <c r="AQ175" s="37">
        <v>0.0</v>
      </c>
      <c r="AR175" s="37">
        <v>0.0</v>
      </c>
      <c r="AS175" s="37">
        <v>0.0</v>
      </c>
      <c r="AT175" s="37">
        <v>0.0</v>
      </c>
      <c r="AU175" s="37">
        <v>0.0</v>
      </c>
      <c r="AV175" s="37">
        <v>0.0</v>
      </c>
      <c r="AW175" s="37">
        <v>50.0</v>
      </c>
      <c r="AX175" s="37">
        <v>0.0</v>
      </c>
      <c r="AY175" s="37">
        <v>0.0</v>
      </c>
      <c r="AZ175" s="37">
        <v>100.0</v>
      </c>
      <c r="BA175" s="39"/>
      <c r="BB175" s="39"/>
      <c r="BC175" s="39"/>
      <c r="BD175" s="39"/>
      <c r="BE175" s="39"/>
      <c r="BF175" s="39"/>
      <c r="BG175" s="37" t="str">
        <f t="array" ref="BG175">IF($A175="","",IFERROR(INDEX(CS!$B$1:$B$15025,MATCH($A175,CS!$B:$B,0)+COLUMN(A$1),1),""))</f>
        <v>信仰の盾</v>
      </c>
      <c r="BH175" s="37" t="str">
        <f t="array" ref="BH175">IF($A175="","",IFERROR(INDEX(CS!$B$1:$B$15025,MATCH($A175,CS!$B:$B,0)+COLUMN(B$1),1),""))</f>
        <v/>
      </c>
      <c r="BI175" s="37" t="str">
        <f t="array" ref="BI175">IF($A175="","",IFERROR(INDEX(CS!$B$1:$B$15025,MATCH($A175,CS!$B:$B,0)+COLUMN(C$1),1),""))</f>
        <v>盾構え</v>
      </c>
      <c r="BJ175" s="37" t="str">
        <f t="array" ref="BJ175">IF($A175="","",IFERROR(INDEX(CS!$B$1:$B$15025,MATCH($A175,CS!$B:$B,0)+COLUMN(D$1),1),""))</f>
        <v/>
      </c>
      <c r="BK175" s="37" t="str">
        <f t="array" ref="BK175">IF($A175="","",IFERROR(INDEX(CS!$B$1:$B$15025,MATCH($A175,CS!$B:$B,0)+COLUMN(E$1),1),""))</f>
        <v>信仰の聖域</v>
      </c>
      <c r="BL175" s="37" t="str">
        <f t="array" ref="BL175">IF($A175="","",IFERROR(INDEX(CS!$B$1:$B$15025,MATCH($A175,CS!$B:$B,0)+COLUMN(F$1),1),""))</f>
        <v/>
      </c>
      <c r="BM175" s="37" t="str">
        <f t="array" ref="BM175">IF($A175="","",IFERROR(INDEX(CS!$B$1:$B$15025,MATCH($A175,CS!$B:$B,0)+COLUMN(G$1),1),""))</f>
        <v>完全防御</v>
      </c>
      <c r="BN175" s="37" t="str">
        <f t="array" ref="BN175">IF($A175="","",IFERROR(INDEX(CS!$B$1:$B$15025,MATCH($A175,CS!$B:$B,0)+COLUMN(H$1),1),""))</f>
        <v/>
      </c>
      <c r="BO175" s="37" t="str">
        <f t="array" ref="BO175">IF($A175="","",IFERROR(INDEX(CS!$B$1:$B$15025,MATCH($A175,CS!$B:$B,0)+COLUMN(I$1),1),""))</f>
        <v>奇跡の護り</v>
      </c>
      <c r="BP175" s="37" t="str">
        <f t="array" ref="BP175">IF($A175="","",IFERROR(INDEX(CS!$B$1:$B$15025,MATCH($A175,CS!$B:$B,0)+COLUMN(J$1),1),""))</f>
        <v>聖堂の守護者</v>
      </c>
      <c r="BR175" s="39" t="s">
        <v>2860</v>
      </c>
      <c r="BS175" s="74"/>
      <c r="CG175" s="37" t="s">
        <v>2814</v>
      </c>
      <c r="CI175" s="37" t="s">
        <v>2799</v>
      </c>
      <c r="CJ175" s="37" t="s">
        <v>2810</v>
      </c>
      <c r="CK175" s="37" t="s">
        <v>2793</v>
      </c>
      <c r="CN175" s="37" t="s">
        <v>2812</v>
      </c>
    </row>
    <row r="176" ht="18.75" customHeight="1" outlineLevel="1">
      <c r="A176" s="39" t="s">
        <v>2457</v>
      </c>
      <c r="B176" s="71"/>
      <c r="C176" s="39" t="s">
        <v>2813</v>
      </c>
      <c r="D176" s="72" t="str">
        <f t="shared" si="8"/>
        <v>720/495/225</v>
      </c>
      <c r="E176" s="39">
        <v>2.0</v>
      </c>
      <c r="F176" s="39">
        <v>75.0</v>
      </c>
      <c r="I176" s="39">
        <v>70.0</v>
      </c>
      <c r="J176" s="39">
        <v>70.0</v>
      </c>
      <c r="K176" s="87">
        <v>80.0</v>
      </c>
      <c r="L176" s="39">
        <v>75.0</v>
      </c>
      <c r="M176" s="39">
        <v>50.0</v>
      </c>
      <c r="N176" s="39">
        <v>75.0</v>
      </c>
      <c r="P176" s="39">
        <v>50.0</v>
      </c>
      <c r="Q176" s="64"/>
      <c r="R176" s="64"/>
      <c r="S176" s="64"/>
      <c r="T176" s="64"/>
      <c r="U176" s="64"/>
      <c r="V176" s="64"/>
      <c r="W176" s="64"/>
      <c r="X176" s="64"/>
      <c r="Y176" s="64"/>
      <c r="Z176" s="64"/>
      <c r="AA176" s="64"/>
      <c r="AJ176" s="37">
        <v>0.0</v>
      </c>
      <c r="AK176" s="37">
        <v>0.0</v>
      </c>
      <c r="AL176" s="37">
        <v>75.0</v>
      </c>
      <c r="AM176" s="37">
        <v>0.0</v>
      </c>
      <c r="AN176" s="37">
        <v>0.0</v>
      </c>
      <c r="AO176" s="37">
        <v>0.0</v>
      </c>
      <c r="AP176" s="37">
        <v>0.0</v>
      </c>
      <c r="AQ176" s="37">
        <v>0.0</v>
      </c>
      <c r="AR176" s="37">
        <v>0.0</v>
      </c>
      <c r="AS176" s="37">
        <v>0.0</v>
      </c>
      <c r="AT176" s="37">
        <v>0.0</v>
      </c>
      <c r="AU176" s="37">
        <v>0.0</v>
      </c>
      <c r="AV176" s="37">
        <v>0.0</v>
      </c>
      <c r="AW176" s="37">
        <v>50.0</v>
      </c>
      <c r="AX176" s="37">
        <v>0.0</v>
      </c>
      <c r="AY176" s="37">
        <v>0.0</v>
      </c>
      <c r="AZ176" s="37">
        <v>100.0</v>
      </c>
      <c r="BA176" s="39"/>
      <c r="BB176" s="39"/>
      <c r="BC176" s="39"/>
      <c r="BD176" s="39"/>
      <c r="BE176" s="39"/>
      <c r="BF176" s="39"/>
      <c r="BG176" s="37" t="str">
        <f t="array" ref="BG176">IF($A176="","",IFERROR(INDEX(CS!$B$1:$B$15025,MATCH($A176,CS!$B:$B,0)+COLUMN(A$1),1),""))</f>
        <v>沈黙</v>
      </c>
      <c r="BH176" s="37" t="str">
        <f t="array" ref="BH176">IF($A176="","",IFERROR(INDEX(CS!$B$1:$B$15025,MATCH($A176,CS!$B:$B,0)+COLUMN(B$1),1),""))</f>
        <v/>
      </c>
      <c r="BI176" s="37" t="str">
        <f t="array" ref="BI176">IF($A176="","",IFERROR(INDEX(CS!$B$1:$B$15025,MATCH($A176,CS!$B:$B,0)+COLUMN(C$1),1),""))</f>
        <v>正しき天秤</v>
      </c>
      <c r="BJ176" s="37" t="str">
        <f t="array" ref="BJ176">IF($A176="","",IFERROR(INDEX(CS!$B$1:$B$15025,MATCH($A176,CS!$B:$B,0)+COLUMN(D$1),1),""))</f>
        <v/>
      </c>
      <c r="BK176" s="37" t="str">
        <f t="array" ref="BK176">IF($A176="","",IFERROR(INDEX(CS!$B$1:$B$15025,MATCH($A176,CS!$B:$B,0)+COLUMN(E$1),1),""))</f>
        <v>光線</v>
      </c>
      <c r="BL176" s="37" t="str">
        <f t="array" ref="BL176">IF($A176="","",IFERROR(INDEX(CS!$B$1:$B$15025,MATCH($A176,CS!$B:$B,0)+COLUMN(F$1),1),""))</f>
        <v/>
      </c>
      <c r="BM176" s="37" t="str">
        <f t="array" ref="BM176">IF($A176="","",IFERROR(INDEX(CS!$B$1:$B$15025,MATCH($A176,CS!$B:$B,0)+COLUMN(G$1),1),""))</f>
        <v>信仰の魂</v>
      </c>
      <c r="BN176" s="37" t="str">
        <f t="array" ref="BN176">IF($A176="","",IFERROR(INDEX(CS!$B$1:$B$15025,MATCH($A176,CS!$B:$B,0)+COLUMN(H$1),1),""))</f>
        <v/>
      </c>
      <c r="BO176" s="37" t="str">
        <f t="array" ref="BO176">IF($A176="","",IFERROR(INDEX(CS!$B$1:$B$15025,MATCH($A176,CS!$B:$B,0)+COLUMN(I$1),1),""))</f>
        <v>強化破り</v>
      </c>
      <c r="BP176" s="37" t="str">
        <f t="array" ref="BP176">IF($A176="","",IFERROR(INDEX(CS!$B$1:$B$15025,MATCH($A176,CS!$B:$B,0)+COLUMN(J$1),1),""))</f>
        <v>祓魔</v>
      </c>
      <c r="BR176" s="39" t="s">
        <v>2859</v>
      </c>
      <c r="BS176" s="74"/>
      <c r="CG176" s="37" t="s">
        <v>2814</v>
      </c>
      <c r="CI176" s="37" t="s">
        <v>2799</v>
      </c>
      <c r="CJ176" s="37" t="s">
        <v>2810</v>
      </c>
      <c r="CK176" s="37" t="s">
        <v>2793</v>
      </c>
      <c r="CN176" s="37" t="s">
        <v>2812</v>
      </c>
    </row>
    <row r="177" ht="18.75" customHeight="1" outlineLevel="1">
      <c r="A177" s="39" t="s">
        <v>2460</v>
      </c>
      <c r="B177" s="71"/>
      <c r="C177" s="39" t="s">
        <v>2813</v>
      </c>
      <c r="D177" s="72" t="str">
        <f t="shared" si="8"/>
        <v>730/505/225</v>
      </c>
      <c r="E177" s="39">
        <v>3.0</v>
      </c>
      <c r="F177" s="39">
        <v>75.0</v>
      </c>
      <c r="I177" s="39">
        <v>70.0</v>
      </c>
      <c r="J177" s="39">
        <v>70.0</v>
      </c>
      <c r="K177" s="87">
        <v>85.0</v>
      </c>
      <c r="L177" s="39">
        <v>80.0</v>
      </c>
      <c r="M177" s="39">
        <v>50.0</v>
      </c>
      <c r="N177" s="39">
        <v>75.0</v>
      </c>
      <c r="P177" s="39">
        <v>50.0</v>
      </c>
      <c r="Q177" s="64"/>
      <c r="R177" s="64"/>
      <c r="S177" s="64"/>
      <c r="T177" s="64"/>
      <c r="U177" s="64"/>
      <c r="V177" s="64"/>
      <c r="W177" s="64"/>
      <c r="X177" s="64"/>
      <c r="Y177" s="64"/>
      <c r="Z177" s="64"/>
      <c r="AA177" s="64"/>
      <c r="AJ177" s="37">
        <v>0.0</v>
      </c>
      <c r="AK177" s="37">
        <v>0.0</v>
      </c>
      <c r="AL177" s="37">
        <v>75.0</v>
      </c>
      <c r="AM177" s="37">
        <v>0.0</v>
      </c>
      <c r="AN177" s="37">
        <v>0.0</v>
      </c>
      <c r="AO177" s="37">
        <v>0.0</v>
      </c>
      <c r="AP177" s="37">
        <v>0.0</v>
      </c>
      <c r="AQ177" s="37">
        <v>0.0</v>
      </c>
      <c r="AR177" s="37">
        <v>0.0</v>
      </c>
      <c r="AS177" s="37">
        <v>0.0</v>
      </c>
      <c r="AT177" s="37">
        <v>0.0</v>
      </c>
      <c r="AU177" s="37">
        <v>0.0</v>
      </c>
      <c r="AV177" s="37">
        <v>0.0</v>
      </c>
      <c r="AW177" s="37">
        <v>50.0</v>
      </c>
      <c r="AX177" s="37">
        <v>0.0</v>
      </c>
      <c r="AY177" s="37">
        <v>0.0</v>
      </c>
      <c r="AZ177" s="37">
        <v>100.0</v>
      </c>
      <c r="BA177" s="39"/>
      <c r="BB177" s="39"/>
      <c r="BC177" s="39"/>
      <c r="BD177" s="39"/>
      <c r="BE177" s="39"/>
      <c r="BF177" s="39"/>
      <c r="BG177" s="37" t="str">
        <f t="array" ref="BG177">IF($A177="","",IFERROR(INDEX(CS!$B$1:$B$15025,MATCH($A177,CS!$B:$B,0)+COLUMN(A$1),1),""))</f>
        <v>毒治癒</v>
      </c>
      <c r="BH177" s="37" t="str">
        <f t="array" ref="BH177">IF($A177="","",IFERROR(INDEX(CS!$B$1:$B$15025,MATCH($A177,CS!$B:$B,0)+COLUMN(B$1),1),""))</f>
        <v/>
      </c>
      <c r="BI177" s="37" t="str">
        <f t="array" ref="BI177">IF($A177="","",IFERROR(INDEX(CS!$B$1:$B$15025,MATCH($A177,CS!$B:$B,0)+COLUMN(C$1),1),""))</f>
        <v>麻痺治癒</v>
      </c>
      <c r="BJ177" s="37" t="str">
        <f t="array" ref="BJ177">IF($A177="","",IFERROR(INDEX(CS!$B$1:$B$15025,MATCH($A177,CS!$B:$B,0)+COLUMN(D$1),1),""))</f>
        <v/>
      </c>
      <c r="BK177" s="37" t="str">
        <f t="array" ref="BK177">IF($A177="","",IFERROR(INDEX(CS!$B$1:$B$15025,MATCH($A177,CS!$B:$B,0)+COLUMN(E$1),1),""))</f>
        <v>回復術</v>
      </c>
      <c r="BL177" s="37" t="str">
        <f t="array" ref="BL177">IF($A177="","",IFERROR(INDEX(CS!$B$1:$B$15025,MATCH($A177,CS!$B:$B,0)+COLUMN(F$1),1),""))</f>
        <v/>
      </c>
      <c r="BM177" s="37" t="str">
        <f t="array" ref="BM177">IF($A177="","",IFERROR(INDEX(CS!$B$1:$B$15025,MATCH($A177,CS!$B:$B,0)+COLUMN(G$1),1),""))</f>
        <v>洗浄</v>
      </c>
      <c r="BN177" s="37" t="str">
        <f t="array" ref="BN177">IF($A177="","",IFERROR(INDEX(CS!$B$1:$B$15025,MATCH($A177,CS!$B:$B,0)+COLUMN(H$1),1),""))</f>
        <v/>
      </c>
      <c r="BO177" s="37" t="str">
        <f t="array" ref="BO177">IF($A177="","",IFERROR(INDEX(CS!$B$1:$B$15025,MATCH($A177,CS!$B:$B,0)+COLUMN(I$1),1),""))</f>
        <v>大回復術</v>
      </c>
      <c r="BP177" s="37" t="str">
        <f t="array" ref="BP177">IF($A177="","",IFERROR(INDEX(CS!$B$1:$B$15025,MATCH($A177,CS!$B:$B,0)+COLUMN(J$1),1),""))</f>
        <v>真の蘇生</v>
      </c>
      <c r="BR177" s="39" t="s">
        <v>2861</v>
      </c>
      <c r="BS177" s="74"/>
      <c r="CG177" s="37" t="s">
        <v>2814</v>
      </c>
      <c r="CI177" s="37" t="s">
        <v>2799</v>
      </c>
      <c r="CJ177" s="37" t="s">
        <v>2810</v>
      </c>
      <c r="CK177" s="37" t="s">
        <v>2793</v>
      </c>
      <c r="CN177" s="37" t="s">
        <v>2812</v>
      </c>
    </row>
    <row r="178" ht="18.75" customHeight="1" outlineLevel="1">
      <c r="A178" s="39" t="s">
        <v>2461</v>
      </c>
      <c r="B178" s="71"/>
      <c r="C178" s="39" t="s">
        <v>2813</v>
      </c>
      <c r="D178" s="72" t="str">
        <f t="shared" si="8"/>
        <v>725/500/225</v>
      </c>
      <c r="E178" s="39">
        <v>2.0</v>
      </c>
      <c r="F178" s="39">
        <v>75.0</v>
      </c>
      <c r="I178" s="39">
        <v>75.0</v>
      </c>
      <c r="J178" s="39">
        <v>70.0</v>
      </c>
      <c r="K178" s="87">
        <v>80.0</v>
      </c>
      <c r="L178" s="39">
        <v>75.0</v>
      </c>
      <c r="M178" s="39">
        <v>50.0</v>
      </c>
      <c r="N178" s="39">
        <v>75.0</v>
      </c>
      <c r="P178" s="39">
        <v>25.0</v>
      </c>
      <c r="Q178" s="64"/>
      <c r="R178" s="64"/>
      <c r="S178" s="64"/>
      <c r="T178" s="64"/>
      <c r="U178" s="64"/>
      <c r="V178" s="64"/>
      <c r="W178" s="64"/>
      <c r="X178" s="64"/>
      <c r="Y178" s="64"/>
      <c r="Z178" s="64"/>
      <c r="AA178" s="64"/>
      <c r="AJ178" s="37">
        <v>0.0</v>
      </c>
      <c r="AK178" s="37">
        <v>0.0</v>
      </c>
      <c r="AL178" s="37">
        <v>75.0</v>
      </c>
      <c r="AM178" s="37">
        <v>0.0</v>
      </c>
      <c r="AN178" s="37">
        <v>0.0</v>
      </c>
      <c r="AO178" s="37">
        <v>0.0</v>
      </c>
      <c r="AP178" s="37">
        <v>0.0</v>
      </c>
      <c r="AQ178" s="37">
        <v>0.0</v>
      </c>
      <c r="AR178" s="37">
        <v>0.0</v>
      </c>
      <c r="AS178" s="37">
        <v>0.0</v>
      </c>
      <c r="AT178" s="37">
        <v>0.0</v>
      </c>
      <c r="AU178" s="37">
        <v>0.0</v>
      </c>
      <c r="AV178" s="37">
        <v>0.0</v>
      </c>
      <c r="AW178" s="37">
        <v>50.0</v>
      </c>
      <c r="AX178" s="37">
        <v>0.0</v>
      </c>
      <c r="AY178" s="37">
        <v>0.0</v>
      </c>
      <c r="AZ178" s="37">
        <v>100.0</v>
      </c>
      <c r="BA178" s="39"/>
      <c r="BB178" s="39"/>
      <c r="BC178" s="39"/>
      <c r="BD178" s="39"/>
      <c r="BE178" s="39"/>
      <c r="BF178" s="39"/>
      <c r="BG178" s="37" t="str">
        <f t="array" ref="BG178">IF($A178="","",IFERROR(INDEX(CS!$B$1:$B$15025,MATCH($A178,CS!$B:$B,0)+COLUMN(A$1),1),""))</f>
        <v>沈黙</v>
      </c>
      <c r="BH178" s="37" t="str">
        <f t="array" ref="BH178">IF($A178="","",IFERROR(INDEX(CS!$B$1:$B$15025,MATCH($A178,CS!$B:$B,0)+COLUMN(B$1),1),""))</f>
        <v/>
      </c>
      <c r="BI178" s="37" t="str">
        <f t="array" ref="BI178">IF($A178="","",IFERROR(INDEX(CS!$B$1:$B$15025,MATCH($A178,CS!$B:$B,0)+COLUMN(C$1),1),""))</f>
        <v>叱責</v>
      </c>
      <c r="BJ178" s="37" t="str">
        <f t="array" ref="BJ178">IF($A178="","",IFERROR(INDEX(CS!$B$1:$B$15025,MATCH($A178,CS!$B:$B,0)+COLUMN(D$1),1),""))</f>
        <v/>
      </c>
      <c r="BK178" s="37" t="str">
        <f t="array" ref="BK178">IF($A178="","",IFERROR(INDEX(CS!$B$1:$B$15025,MATCH($A178,CS!$B:$B,0)+COLUMN(E$1),1),""))</f>
        <v>弱体化</v>
      </c>
      <c r="BL178" s="37" t="str">
        <f t="array" ref="BL178">IF($A178="","",IFERROR(INDEX(CS!$B$1:$B$15025,MATCH($A178,CS!$B:$B,0)+COLUMN(F$1),1),""))</f>
        <v/>
      </c>
      <c r="BM178" s="37" t="str">
        <f t="array" ref="BM178">IF($A178="","",IFERROR(INDEX(CS!$B$1:$B$15025,MATCH($A178,CS!$B:$B,0)+COLUMN(G$1),1),""))</f>
        <v>正しき天秤</v>
      </c>
      <c r="BN178" s="37" t="str">
        <f t="array" ref="BN178">IF($A178="","",IFERROR(INDEX(CS!$B$1:$B$15025,MATCH($A178,CS!$B:$B,0)+COLUMN(H$1),1),""))</f>
        <v/>
      </c>
      <c r="BO178" s="37" t="str">
        <f t="array" ref="BO178">IF($A178="","",IFERROR(INDEX(CS!$B$1:$B$15025,MATCH($A178,CS!$B:$B,0)+COLUMN(I$1),1),""))</f>
        <v>強化破り</v>
      </c>
      <c r="BP178" s="37" t="str">
        <f t="array" ref="BP178">IF($A178="","",IFERROR(INDEX(CS!$B$1:$B$15025,MATCH($A178,CS!$B:$B,0)+COLUMN(J$1),1),""))</f>
        <v>罪の烙印</v>
      </c>
      <c r="BR178" s="39" t="s">
        <v>2859</v>
      </c>
      <c r="BS178" s="74"/>
      <c r="CG178" s="37" t="s">
        <v>2814</v>
      </c>
      <c r="CI178" s="37" t="s">
        <v>2799</v>
      </c>
      <c r="CJ178" s="37" t="s">
        <v>2810</v>
      </c>
      <c r="CK178" s="37" t="s">
        <v>2793</v>
      </c>
      <c r="CN178" s="37" t="s">
        <v>2812</v>
      </c>
    </row>
    <row r="179" ht="18.75" customHeight="1" outlineLevel="1">
      <c r="A179" s="39" t="s">
        <v>2464</v>
      </c>
      <c r="B179" s="71"/>
      <c r="C179" s="39" t="s">
        <v>2813</v>
      </c>
      <c r="D179" s="72" t="str">
        <f t="shared" si="8"/>
        <v>740/515/225</v>
      </c>
      <c r="E179" s="39">
        <v>3.0</v>
      </c>
      <c r="F179" s="39">
        <v>75.0</v>
      </c>
      <c r="I179" s="39">
        <v>80.0</v>
      </c>
      <c r="J179" s="39">
        <v>70.0</v>
      </c>
      <c r="K179" s="87">
        <v>85.0</v>
      </c>
      <c r="L179" s="39">
        <v>80.0</v>
      </c>
      <c r="M179" s="39">
        <v>50.0</v>
      </c>
      <c r="N179" s="39">
        <v>75.0</v>
      </c>
      <c r="P179" s="39">
        <v>50.0</v>
      </c>
      <c r="Q179" s="64"/>
      <c r="R179" s="64"/>
      <c r="S179" s="64"/>
      <c r="T179" s="64"/>
      <c r="U179" s="64"/>
      <c r="V179" s="64"/>
      <c r="W179" s="64"/>
      <c r="X179" s="64"/>
      <c r="Y179" s="64"/>
      <c r="Z179" s="64"/>
      <c r="AA179" s="64"/>
      <c r="AJ179" s="37">
        <v>0.0</v>
      </c>
      <c r="AK179" s="37">
        <v>0.0</v>
      </c>
      <c r="AL179" s="37">
        <v>75.0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100.0</v>
      </c>
      <c r="BA179" s="39"/>
      <c r="BB179" s="39"/>
      <c r="BC179" s="39"/>
      <c r="BD179" s="39"/>
      <c r="BE179" s="39"/>
      <c r="BF179" s="39"/>
      <c r="BG179" s="37" t="str">
        <f t="array" ref="BG179">IF($A179="","",IFERROR(INDEX(CS!$B$1:$B$15025,MATCH($A179,CS!$B:$B,0)+COLUMN(A$1),1),""))</f>
        <v>焼け付く光</v>
      </c>
      <c r="BH179" s="37" t="str">
        <f t="array" ref="BH179">IF($A179="","",IFERROR(INDEX(CS!$B$1:$B$15025,MATCH($A179,CS!$B:$B,0)+COLUMN(B$1),1),""))</f>
        <v/>
      </c>
      <c r="BI179" s="37" t="str">
        <f t="array" ref="BI179">IF($A179="","",IFERROR(INDEX(CS!$B$1:$B$15025,MATCH($A179,CS!$B:$B,0)+COLUMN(C$1),1),""))</f>
        <v>光柱</v>
      </c>
      <c r="BJ179" s="37" t="str">
        <f t="array" ref="BJ179">IF($A179="","",IFERROR(INDEX(CS!$B$1:$B$15025,MATCH($A179,CS!$B:$B,0)+COLUMN(D$1),1),""))</f>
        <v/>
      </c>
      <c r="BK179" s="37" t="str">
        <f t="array" ref="BK179">IF($A179="","",IFERROR(INDEX(CS!$B$1:$B$15025,MATCH($A179,CS!$B:$B,0)+COLUMN(E$1),1),""))</f>
        <v>神聖武器</v>
      </c>
      <c r="BL179" s="37" t="str">
        <f t="array" ref="BL179">IF($A179="","",IFERROR(INDEX(CS!$B$1:$B$15025,MATCH($A179,CS!$B:$B,0)+COLUMN(F$1),1),""))</f>
        <v/>
      </c>
      <c r="BM179" s="37" t="str">
        <f t="array" ref="BM179">IF($A179="","",IFERROR(INDEX(CS!$B$1:$B$15025,MATCH($A179,CS!$B:$B,0)+COLUMN(G$1),1),""))</f>
        <v>光の奔流</v>
      </c>
      <c r="BN179" s="37" t="str">
        <f t="array" ref="BN179">IF($A179="","",IFERROR(INDEX(CS!$B$1:$B$15025,MATCH($A179,CS!$B:$B,0)+COLUMN(H$1),1),""))</f>
        <v/>
      </c>
      <c r="BO179" s="37" t="str">
        <f t="array" ref="BO179">IF($A179="","",IFERROR(INDEX(CS!$B$1:$B$15025,MATCH($A179,CS!$B:$B,0)+COLUMN(I$1),1),""))</f>
        <v>正しき天秤</v>
      </c>
      <c r="BP179" s="37" t="str">
        <f t="array" ref="BP179">IF($A179="","",IFERROR(INDEX(CS!$B$1:$B$15025,MATCH($A179,CS!$B:$B,0)+COLUMN(J$1),1),""))</f>
        <v>神罰</v>
      </c>
      <c r="BR179" s="39" t="s">
        <v>2862</v>
      </c>
      <c r="BS179" s="74"/>
      <c r="CG179" s="37" t="s">
        <v>2814</v>
      </c>
      <c r="CI179" s="37" t="s">
        <v>2799</v>
      </c>
      <c r="CJ179" s="37" t="s">
        <v>2810</v>
      </c>
      <c r="CK179" s="37" t="s">
        <v>2793</v>
      </c>
      <c r="CN179" s="37" t="s">
        <v>2812</v>
      </c>
    </row>
    <row r="180" ht="18.75" customHeight="1" outlineLevel="1">
      <c r="A180" s="39" t="s">
        <v>2468</v>
      </c>
      <c r="B180" s="71"/>
      <c r="C180" s="39" t="s">
        <v>2813</v>
      </c>
      <c r="D180" s="72" t="str">
        <f t="shared" si="8"/>
        <v>725/500/225</v>
      </c>
      <c r="E180" s="39">
        <v>2.0</v>
      </c>
      <c r="F180" s="39">
        <v>85.0</v>
      </c>
      <c r="I180" s="39">
        <v>75.0</v>
      </c>
      <c r="J180" s="39">
        <v>90.0</v>
      </c>
      <c r="K180" s="87">
        <v>60.0</v>
      </c>
      <c r="L180" s="39">
        <v>60.0</v>
      </c>
      <c r="M180" s="39">
        <v>55.0</v>
      </c>
      <c r="N180" s="39">
        <v>75.0</v>
      </c>
      <c r="P180" s="39">
        <v>50.0</v>
      </c>
      <c r="Q180" s="64"/>
      <c r="R180" s="64"/>
      <c r="S180" s="64"/>
      <c r="T180" s="64"/>
      <c r="U180" s="64"/>
      <c r="V180" s="64"/>
      <c r="W180" s="64"/>
      <c r="X180" s="64"/>
      <c r="Y180" s="64"/>
      <c r="Z180" s="64"/>
      <c r="AA180" s="64"/>
      <c r="AJ180" s="37">
        <v>50.0</v>
      </c>
      <c r="AK180" s="37">
        <v>0.0</v>
      </c>
      <c r="AL180" s="37">
        <v>50.0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75.0</v>
      </c>
      <c r="BA180" s="39"/>
      <c r="BB180" s="39"/>
      <c r="BC180" s="39"/>
      <c r="BD180" s="39"/>
      <c r="BE180" s="39"/>
      <c r="BF180" s="39"/>
      <c r="BG180" s="37" t="str">
        <f t="array" ref="BG180">IF($A180="","",IFERROR(INDEX(CS!$B$1:$B$15025,MATCH($A180,CS!$B:$B,0)+COLUMN(A$1),1),""))</f>
        <v>光の武器</v>
      </c>
      <c r="BH180" s="37" t="str">
        <f t="array" ref="BH180">IF($A180="","",IFERROR(INDEX(CS!$B$1:$B$15025,MATCH($A180,CS!$B:$B,0)+COLUMN(B$1),1),""))</f>
        <v/>
      </c>
      <c r="BI180" s="37" t="str">
        <f t="array" ref="BI180">IF($A180="","",IFERROR(INDEX(CS!$B$1:$B$15025,MATCH($A180,CS!$B:$B,0)+COLUMN(C$1),1),""))</f>
        <v>光刃撃</v>
      </c>
      <c r="BJ180" s="37" t="str">
        <f t="array" ref="BJ180">IF($A180="","",IFERROR(INDEX(CS!$B$1:$B$15025,MATCH($A180,CS!$B:$B,0)+COLUMN(D$1),1),""))</f>
        <v/>
      </c>
      <c r="BK180" s="37" t="str">
        <f t="array" ref="BK180">IF($A180="","",IFERROR(INDEX(CS!$B$1:$B$15025,MATCH($A180,CS!$B:$B,0)+COLUMN(E$1),1),""))</f>
        <v>武器の攻め</v>
      </c>
      <c r="BL180" s="37" t="str">
        <f t="array" ref="BL180">IF($A180="","",IFERROR(INDEX(CS!$B$1:$B$15025,MATCH($A180,CS!$B:$B,0)+COLUMN(F$1),1),""))</f>
        <v/>
      </c>
      <c r="BM180" s="37" t="str">
        <f t="array" ref="BM180">IF($A180="","",IFERROR(INDEX(CS!$B$1:$B$15025,MATCH($A180,CS!$B:$B,0)+COLUMN(G$1),1),""))</f>
        <v>反撃</v>
      </c>
      <c r="BN180" s="37" t="str">
        <f t="array" ref="BN180">IF($A180="","",IFERROR(INDEX(CS!$B$1:$B$15025,MATCH($A180,CS!$B:$B,0)+COLUMN(H$1),1),""))</f>
        <v/>
      </c>
      <c r="BO180" s="37" t="str">
        <f t="array" ref="BO180">IF($A180="","",IFERROR(INDEX(CS!$B$1:$B$15025,MATCH($A180,CS!$B:$B,0)+COLUMN(I$1),1),""))</f>
        <v>一閃撃</v>
      </c>
      <c r="BP180" s="37" t="str">
        <f t="array" ref="BP180">IF($A180="","",IFERROR(INDEX(CS!$B$1:$B$15025,MATCH($A180,CS!$B:$B,0)+COLUMN(J$1),1),""))</f>
        <v>聖断</v>
      </c>
      <c r="BR180" s="39" t="s">
        <v>2863</v>
      </c>
      <c r="BS180" s="74"/>
      <c r="CG180" s="37" t="s">
        <v>2795</v>
      </c>
      <c r="CH180" s="37" t="s">
        <v>2796</v>
      </c>
      <c r="CI180" s="37" t="s">
        <v>2799</v>
      </c>
      <c r="CJ180" s="37" t="s">
        <v>2810</v>
      </c>
      <c r="CK180" s="37" t="s">
        <v>2793</v>
      </c>
      <c r="CN180" s="37" t="s">
        <v>2812</v>
      </c>
    </row>
    <row r="181" ht="18.75" customHeight="1" outlineLevel="1">
      <c r="A181" s="39" t="s">
        <v>2475</v>
      </c>
      <c r="B181" s="71"/>
      <c r="C181" s="39" t="s">
        <v>2813</v>
      </c>
      <c r="D181" s="72" t="str">
        <f t="shared" si="8"/>
        <v>740/515/225</v>
      </c>
      <c r="E181" s="39">
        <v>3.0</v>
      </c>
      <c r="F181" s="39">
        <v>85.0</v>
      </c>
      <c r="I181" s="39">
        <v>80.0</v>
      </c>
      <c r="J181" s="39">
        <v>95.0</v>
      </c>
      <c r="K181" s="87">
        <v>65.0</v>
      </c>
      <c r="L181" s="39">
        <v>60.0</v>
      </c>
      <c r="M181" s="39">
        <v>55.0</v>
      </c>
      <c r="N181" s="39">
        <v>75.0</v>
      </c>
      <c r="P181" s="39">
        <v>50.0</v>
      </c>
      <c r="Q181" s="64"/>
      <c r="R181" s="64"/>
      <c r="S181" s="64"/>
      <c r="T181" s="64"/>
      <c r="U181" s="64"/>
      <c r="V181" s="64"/>
      <c r="W181" s="64"/>
      <c r="X181" s="64"/>
      <c r="Y181" s="64"/>
      <c r="Z181" s="64"/>
      <c r="AA181" s="64"/>
      <c r="AJ181" s="37">
        <v>50.0</v>
      </c>
      <c r="AK181" s="37">
        <v>0.0</v>
      </c>
      <c r="AL181" s="37">
        <v>50.0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75.0</v>
      </c>
      <c r="BA181" s="39"/>
      <c r="BB181" s="39"/>
      <c r="BC181" s="39"/>
      <c r="BD181" s="39"/>
      <c r="BE181" s="39"/>
      <c r="BF181" s="39"/>
      <c r="BG181" s="37" t="str">
        <f t="array" ref="BG181">IF($A181="","",IFERROR(INDEX(CS!$B$1:$B$15025,MATCH($A181,CS!$B:$B,0)+COLUMN(A$1),1),""))</f>
        <v>聖戦撃</v>
      </c>
      <c r="BH181" s="37" t="str">
        <f t="array" ref="BH181">IF($A181="","",IFERROR(INDEX(CS!$B$1:$B$15025,MATCH($A181,CS!$B:$B,0)+COLUMN(B$1),1),""))</f>
        <v/>
      </c>
      <c r="BI181" s="37" t="str">
        <f t="array" ref="BI181">IF($A181="","",IFERROR(INDEX(CS!$B$1:$B$15025,MATCH($A181,CS!$B:$B,0)+COLUMN(C$1),1),""))</f>
        <v>聖戦士</v>
      </c>
      <c r="BJ181" s="37" t="str">
        <f t="array" ref="BJ181">IF($A181="","",IFERROR(INDEX(CS!$B$1:$B$15025,MATCH($A181,CS!$B:$B,0)+COLUMN(D$1),1),""))</f>
        <v/>
      </c>
      <c r="BK181" s="37" t="str">
        <f t="array" ref="BK181">IF($A181="","",IFERROR(INDEX(CS!$B$1:$B$15025,MATCH($A181,CS!$B:$B,0)+COLUMN(E$1),1),""))</f>
        <v>反撃</v>
      </c>
      <c r="BL181" s="37" t="str">
        <f t="array" ref="BL181">IF($A181="","",IFERROR(INDEX(CS!$B$1:$B$15025,MATCH($A181,CS!$B:$B,0)+COLUMN(F$1),1),""))</f>
        <v/>
      </c>
      <c r="BM181" s="37" t="str">
        <f t="array" ref="BM181">IF($A181="","",IFERROR(INDEX(CS!$B$1:$B$15025,MATCH($A181,CS!$B:$B,0)+COLUMN(G$1),1),""))</f>
        <v>信仰の護り</v>
      </c>
      <c r="BN181" s="37" t="str">
        <f t="array" ref="BN181">IF($A181="","",IFERROR(INDEX(CS!$B$1:$B$15025,MATCH($A181,CS!$B:$B,0)+COLUMN(H$1),1),""))</f>
        <v/>
      </c>
      <c r="BO181" s="37" t="str">
        <f t="array" ref="BO181">IF($A181="","",IFERROR(INDEX(CS!$B$1:$B$15025,MATCH($A181,CS!$B:$B,0)+COLUMN(I$1),1),""))</f>
        <v>十字斬</v>
      </c>
      <c r="BP181" s="37" t="str">
        <f t="array" ref="BP181">IF($A181="","",IFERROR(INDEX(CS!$B$1:$B$15025,MATCH($A181,CS!$B:$B,0)+COLUMN(J$1),1),""))</f>
        <v>十字聖撃</v>
      </c>
      <c r="BR181" s="39" t="s">
        <v>2864</v>
      </c>
      <c r="BS181" s="74"/>
      <c r="CG181" s="37" t="s">
        <v>2795</v>
      </c>
      <c r="CH181" s="37" t="s">
        <v>2796</v>
      </c>
      <c r="CI181" s="37" t="s">
        <v>2799</v>
      </c>
      <c r="CJ181" s="37" t="s">
        <v>2810</v>
      </c>
      <c r="CK181" s="37" t="s">
        <v>2793</v>
      </c>
      <c r="CN181" s="37" t="s">
        <v>2812</v>
      </c>
    </row>
    <row r="182" ht="18.75" customHeight="1" outlineLevel="1">
      <c r="A182" s="39" t="s">
        <v>2484</v>
      </c>
      <c r="B182" s="71"/>
      <c r="C182" s="39" t="s">
        <v>2813</v>
      </c>
      <c r="D182" s="72" t="str">
        <f t="shared" si="8"/>
        <v>725/500/225</v>
      </c>
      <c r="E182" s="39">
        <v>2.0</v>
      </c>
      <c r="F182" s="39">
        <v>90.0</v>
      </c>
      <c r="I182" s="39">
        <v>70.0</v>
      </c>
      <c r="J182" s="39">
        <v>90.0</v>
      </c>
      <c r="K182" s="87">
        <v>55.0</v>
      </c>
      <c r="L182" s="39">
        <v>65.0</v>
      </c>
      <c r="M182" s="39">
        <v>55.0</v>
      </c>
      <c r="N182" s="39">
        <v>75.0</v>
      </c>
      <c r="P182" s="39">
        <v>75.0</v>
      </c>
      <c r="Q182" s="64"/>
      <c r="R182" s="64"/>
      <c r="S182" s="64"/>
      <c r="T182" s="64"/>
      <c r="U182" s="64"/>
      <c r="V182" s="64"/>
      <c r="W182" s="64"/>
      <c r="X182" s="64"/>
      <c r="Y182" s="64"/>
      <c r="Z182" s="64"/>
      <c r="AA182" s="64"/>
      <c r="AJ182" s="37">
        <v>50.0</v>
      </c>
      <c r="AK182" s="37">
        <v>0.0</v>
      </c>
      <c r="AL182" s="37">
        <v>50.0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75.0</v>
      </c>
      <c r="BA182" s="39"/>
      <c r="BB182" s="39"/>
      <c r="BC182" s="39"/>
      <c r="BD182" s="39"/>
      <c r="BE182" s="39"/>
      <c r="BF182" s="39"/>
      <c r="BG182" s="37" t="str">
        <f t="array" ref="BG182">IF($A182="","",IFERROR(INDEX(CS!$B$1:$B$15025,MATCH($A182,CS!$B:$B,0)+COLUMN(A$1),1),""))</f>
        <v>守る者</v>
      </c>
      <c r="BH182" s="37" t="str">
        <f t="array" ref="BH182">IF($A182="","",IFERROR(INDEX(CS!$B$1:$B$15025,MATCH($A182,CS!$B:$B,0)+COLUMN(B$1),1),""))</f>
        <v/>
      </c>
      <c r="BI182" s="37" t="str">
        <f t="array" ref="BI182">IF($A182="","",IFERROR(INDEX(CS!$B$1:$B$15025,MATCH($A182,CS!$B:$B,0)+COLUMN(C$1),1),""))</f>
        <v>反撃</v>
      </c>
      <c r="BJ182" s="37" t="str">
        <f t="array" ref="BJ182">IF($A182="","",IFERROR(INDEX(CS!$B$1:$B$15025,MATCH($A182,CS!$B:$B,0)+COLUMN(D$1),1),""))</f>
        <v/>
      </c>
      <c r="BK182" s="37" t="str">
        <f t="array" ref="BK182">IF($A182="","",IFERROR(INDEX(CS!$B$1:$B$15025,MATCH($A182,CS!$B:$B,0)+COLUMN(E$1),1),""))</f>
        <v>信仰の盾</v>
      </c>
      <c r="BL182" s="37" t="str">
        <f t="array" ref="BL182">IF($A182="","",IFERROR(INDEX(CS!$B$1:$B$15025,MATCH($A182,CS!$B:$B,0)+COLUMN(F$1),1),""))</f>
        <v/>
      </c>
      <c r="BM182" s="37" t="str">
        <f t="array" ref="BM182">IF($A182="","",IFERROR(INDEX(CS!$B$1:$B$15025,MATCH($A182,CS!$B:$B,0)+COLUMN(G$1),1),""))</f>
        <v>聖騎士の守り</v>
      </c>
      <c r="BN182" s="37" t="str">
        <f t="array" ref="BN182">IF($A182="","",IFERROR(INDEX(CS!$B$1:$B$15025,MATCH($A182,CS!$B:$B,0)+COLUMN(H$1),1),""))</f>
        <v/>
      </c>
      <c r="BO182" s="37" t="str">
        <f t="array" ref="BO182">IF($A182="","",IFERROR(INDEX(CS!$B$1:$B$15025,MATCH($A182,CS!$B:$B,0)+COLUMN(I$1),1),""))</f>
        <v>信仰の護り</v>
      </c>
      <c r="BP182" s="37" t="str">
        <f t="array" ref="BP182">IF($A182="","",IFERROR(INDEX(CS!$B$1:$B$15025,MATCH($A182,CS!$B:$B,0)+COLUMN(J$1),1),""))</f>
        <v>聖盾</v>
      </c>
      <c r="BR182" s="39" t="s">
        <v>2863</v>
      </c>
      <c r="BS182" s="74"/>
      <c r="CG182" s="37" t="s">
        <v>2795</v>
      </c>
      <c r="CH182" s="37" t="s">
        <v>2796</v>
      </c>
      <c r="CI182" s="37" t="s">
        <v>2799</v>
      </c>
      <c r="CJ182" s="37" t="s">
        <v>2810</v>
      </c>
      <c r="CK182" s="37" t="s">
        <v>2793</v>
      </c>
      <c r="CN182" s="37" t="s">
        <v>2812</v>
      </c>
    </row>
    <row r="183" ht="18.75" customHeight="1" outlineLevel="1">
      <c r="A183" s="39" t="s">
        <v>2489</v>
      </c>
      <c r="B183" s="71"/>
      <c r="C183" s="39" t="s">
        <v>2813</v>
      </c>
      <c r="D183" s="72" t="str">
        <f t="shared" si="8"/>
        <v>740/515/225</v>
      </c>
      <c r="E183" s="39">
        <v>3.0</v>
      </c>
      <c r="F183" s="39">
        <v>95.0</v>
      </c>
      <c r="I183" s="39">
        <v>70.0</v>
      </c>
      <c r="J183" s="39">
        <v>95.0</v>
      </c>
      <c r="K183" s="87">
        <v>55.0</v>
      </c>
      <c r="L183" s="39">
        <v>70.0</v>
      </c>
      <c r="M183" s="39">
        <v>55.0</v>
      </c>
      <c r="N183" s="39">
        <v>75.0</v>
      </c>
      <c r="P183" s="39">
        <v>75.0</v>
      </c>
      <c r="Q183" s="64"/>
      <c r="R183" s="64"/>
      <c r="S183" s="64"/>
      <c r="T183" s="64"/>
      <c r="U183" s="64"/>
      <c r="V183" s="64"/>
      <c r="W183" s="64"/>
      <c r="X183" s="64"/>
      <c r="Y183" s="64"/>
      <c r="Z183" s="64"/>
      <c r="AA183" s="64"/>
      <c r="AJ183" s="37">
        <v>50.0</v>
      </c>
      <c r="AK183" s="37">
        <v>0.0</v>
      </c>
      <c r="AL183" s="37">
        <v>50.0</v>
      </c>
      <c r="AM183" s="37">
        <v>0.0</v>
      </c>
      <c r="AN183" s="37">
        <v>0.0</v>
      </c>
      <c r="AO183" s="37">
        <v>0.0</v>
      </c>
      <c r="AP183" s="37">
        <v>0.0</v>
      </c>
      <c r="AQ183" s="37">
        <v>0.0</v>
      </c>
      <c r="AR183" s="37">
        <v>0.0</v>
      </c>
      <c r="AS183" s="37">
        <v>0.0</v>
      </c>
      <c r="AT183" s="37">
        <v>0.0</v>
      </c>
      <c r="AU183" s="37">
        <v>0.0</v>
      </c>
      <c r="AV183" s="37">
        <v>0.0</v>
      </c>
      <c r="AW183" s="37">
        <v>50.0</v>
      </c>
      <c r="AX183" s="37">
        <v>0.0</v>
      </c>
      <c r="AY183" s="37">
        <v>0.0</v>
      </c>
      <c r="AZ183" s="37">
        <v>75.0</v>
      </c>
      <c r="BA183" s="39"/>
      <c r="BB183" s="39"/>
      <c r="BC183" s="39"/>
      <c r="BD183" s="39"/>
      <c r="BE183" s="39"/>
      <c r="BF183" s="39"/>
      <c r="BG183" s="37" t="str">
        <f t="array" ref="BG183">IF($A183="","",IFERROR(INDEX(CS!$B$1:$B$15025,MATCH($A183,CS!$B:$B,0)+COLUMN(A$1),1),""))</f>
        <v>真なる護り手</v>
      </c>
      <c r="BH183" s="37" t="str">
        <f t="array" ref="BH183">IF($A183="","",IFERROR(INDEX(CS!$B$1:$B$15025,MATCH($A183,CS!$B:$B,0)+COLUMN(B$1),1),""))</f>
        <v/>
      </c>
      <c r="BI183" s="37" t="str">
        <f t="array" ref="BI183">IF($A183="","",IFERROR(INDEX(CS!$B$1:$B$15025,MATCH($A183,CS!$B:$B,0)+COLUMN(C$1),1),""))</f>
        <v>盾の扱い</v>
      </c>
      <c r="BJ183" s="37" t="str">
        <f t="array" ref="BJ183">IF($A183="","",IFERROR(INDEX(CS!$B$1:$B$15025,MATCH($A183,CS!$B:$B,0)+COLUMN(D$1),1),""))</f>
        <v/>
      </c>
      <c r="BK183" s="37" t="str">
        <f t="array" ref="BK183">IF($A183="","",IFERROR(INDEX(CS!$B$1:$B$15025,MATCH($A183,CS!$B:$B,0)+COLUMN(E$1),1),""))</f>
        <v>完全防御</v>
      </c>
      <c r="BL183" s="37" t="str">
        <f t="array" ref="BL183">IF($A183="","",IFERROR(INDEX(CS!$B$1:$B$15025,MATCH($A183,CS!$B:$B,0)+COLUMN(F$1),1),""))</f>
        <v/>
      </c>
      <c r="BM183" s="37" t="str">
        <f t="array" ref="BM183">IF($A183="","",IFERROR(INDEX(CS!$B$1:$B$15025,MATCH($A183,CS!$B:$B,0)+COLUMN(G$1),1),""))</f>
        <v>奇跡の護り</v>
      </c>
      <c r="BN183" s="37" t="str">
        <f t="array" ref="BN183">IF($A183="","",IFERROR(INDEX(CS!$B$1:$B$15025,MATCH($A183,CS!$B:$B,0)+COLUMN(H$1),1),""))</f>
        <v/>
      </c>
      <c r="BO183" s="37" t="str">
        <f t="array" ref="BO183">IF($A183="","",IFERROR(INDEX(CS!$B$1:$B$15025,MATCH($A183,CS!$B:$B,0)+COLUMN(I$1),1),""))</f>
        <v>白き守護</v>
      </c>
      <c r="BP183" s="37" t="str">
        <f t="array" ref="BP183">IF($A183="","",IFERROR(INDEX(CS!$B$1:$B$15025,MATCH($A183,CS!$B:$B,0)+COLUMN(J$1),1),""))</f>
        <v>白銀要塞</v>
      </c>
      <c r="BR183" s="39" t="s">
        <v>2865</v>
      </c>
      <c r="BS183" s="74"/>
      <c r="CG183" s="37" t="s">
        <v>2795</v>
      </c>
      <c r="CH183" s="37" t="s">
        <v>2796</v>
      </c>
      <c r="CI183" s="37" t="s">
        <v>2799</v>
      </c>
      <c r="CJ183" s="37" t="s">
        <v>2810</v>
      </c>
      <c r="CK183" s="37" t="s">
        <v>2793</v>
      </c>
      <c r="CN183" s="37" t="s">
        <v>2812</v>
      </c>
    </row>
    <row r="184" ht="18.75" customHeight="1" outlineLevel="1">
      <c r="A184" s="39" t="s">
        <v>2494</v>
      </c>
      <c r="B184" s="71"/>
      <c r="C184" s="39" t="s">
        <v>2813</v>
      </c>
      <c r="D184" s="72" t="str">
        <f t="shared" si="8"/>
        <v>725/500/225</v>
      </c>
      <c r="E184" s="39">
        <v>2.0</v>
      </c>
      <c r="F184" s="39">
        <v>85.0</v>
      </c>
      <c r="I184" s="39">
        <v>75.0</v>
      </c>
      <c r="J184" s="39">
        <v>90.0</v>
      </c>
      <c r="K184" s="87">
        <v>60.0</v>
      </c>
      <c r="L184" s="39">
        <v>60.0</v>
      </c>
      <c r="M184" s="39">
        <v>55.0</v>
      </c>
      <c r="N184" s="39">
        <v>75.0</v>
      </c>
      <c r="P184" s="39">
        <v>-75.0</v>
      </c>
      <c r="Q184" s="64"/>
      <c r="R184" s="64"/>
      <c r="S184" s="64"/>
      <c r="T184" s="64"/>
      <c r="U184" s="64"/>
      <c r="V184" s="64"/>
      <c r="W184" s="64"/>
      <c r="X184" s="64"/>
      <c r="Y184" s="64"/>
      <c r="Z184" s="64"/>
      <c r="AA184" s="64"/>
      <c r="AJ184" s="37">
        <v>50.0</v>
      </c>
      <c r="AK184" s="37">
        <v>0.0</v>
      </c>
      <c r="AL184" s="37">
        <v>50.0</v>
      </c>
      <c r="AM184" s="37">
        <v>0.0</v>
      </c>
      <c r="AN184" s="37">
        <v>0.0</v>
      </c>
      <c r="AO184" s="37">
        <v>0.0</v>
      </c>
      <c r="AP184" s="37">
        <v>0.0</v>
      </c>
      <c r="AQ184" s="37">
        <v>0.0</v>
      </c>
      <c r="AR184" s="37">
        <v>0.0</v>
      </c>
      <c r="AS184" s="37">
        <v>0.0</v>
      </c>
      <c r="AT184" s="37">
        <v>0.0</v>
      </c>
      <c r="AU184" s="37">
        <v>0.0</v>
      </c>
      <c r="AV184" s="37">
        <v>0.0</v>
      </c>
      <c r="AW184" s="37">
        <v>50.0</v>
      </c>
      <c r="AX184" s="37">
        <v>0.0</v>
      </c>
      <c r="AY184" s="37">
        <v>0.0</v>
      </c>
      <c r="AZ184" s="37">
        <v>75.0</v>
      </c>
      <c r="BA184" s="39"/>
      <c r="BB184" s="39"/>
      <c r="BC184" s="39"/>
      <c r="BD184" s="39"/>
      <c r="BE184" s="39"/>
      <c r="BF184" s="39"/>
      <c r="BG184" s="37" t="str">
        <f t="array" ref="BG184">IF($A184="","",IFERROR(INDEX(CS!$B$1:$B$15025,MATCH($A184,CS!$B:$B,0)+COLUMN(A$1),1),""))</f>
        <v>闇の武器</v>
      </c>
      <c r="BH184" s="37" t="str">
        <f t="array" ref="BH184">IF($A184="","",IFERROR(INDEX(CS!$B$1:$B$15025,MATCH($A184,CS!$B:$B,0)+COLUMN(B$1),1),""))</f>
        <v/>
      </c>
      <c r="BI184" s="37" t="str">
        <f t="array" ref="BI184">IF($A184="","",IFERROR(INDEX(CS!$B$1:$B$15025,MATCH($A184,CS!$B:$B,0)+COLUMN(C$1),1),""))</f>
        <v>闇刃撃</v>
      </c>
      <c r="BJ184" s="37" t="str">
        <f t="array" ref="BJ184">IF($A184="","",IFERROR(INDEX(CS!$B$1:$B$15025,MATCH($A184,CS!$B:$B,0)+COLUMN(D$1),1),""))</f>
        <v/>
      </c>
      <c r="BK184" s="37" t="str">
        <f t="array" ref="BK184">IF($A184="","",IFERROR(INDEX(CS!$B$1:$B$15025,MATCH($A184,CS!$B:$B,0)+COLUMN(E$1),1),""))</f>
        <v>武器の攻め</v>
      </c>
      <c r="BL184" s="37" t="str">
        <f t="array" ref="BL184">IF($A184="","",IFERROR(INDEX(CS!$B$1:$B$15025,MATCH($A184,CS!$B:$B,0)+COLUMN(F$1),1),""))</f>
        <v/>
      </c>
      <c r="BM184" s="37" t="str">
        <f t="array" ref="BM184">IF($A184="","",IFERROR(INDEX(CS!$B$1:$B$15025,MATCH($A184,CS!$B:$B,0)+COLUMN(G$1),1),""))</f>
        <v>反撃</v>
      </c>
      <c r="BN184" s="37" t="str">
        <f t="array" ref="BN184">IF($A184="","",IFERROR(INDEX(CS!$B$1:$B$15025,MATCH($A184,CS!$B:$B,0)+COLUMN(H$1),1),""))</f>
        <v/>
      </c>
      <c r="BO184" s="37" t="str">
        <f t="array" ref="BO184">IF($A184="","",IFERROR(INDEX(CS!$B$1:$B$15025,MATCH($A184,CS!$B:$B,0)+COLUMN(I$1),1),""))</f>
        <v>一閃撃</v>
      </c>
      <c r="BP184" s="37" t="str">
        <f t="array" ref="BP184">IF($A184="","",IFERROR(INDEX(CS!$B$1:$B$15025,MATCH($A184,CS!$B:$B,0)+COLUMN(J$1),1),""))</f>
        <v>闇断</v>
      </c>
      <c r="BR184" s="39" t="s">
        <v>2863</v>
      </c>
      <c r="BS184" s="74"/>
      <c r="CG184" s="37" t="s">
        <v>2795</v>
      </c>
      <c r="CH184" s="37" t="s">
        <v>2796</v>
      </c>
      <c r="CI184" s="37" t="s">
        <v>2799</v>
      </c>
      <c r="CJ184" s="37" t="s">
        <v>2810</v>
      </c>
      <c r="CK184" s="37" t="s">
        <v>2793</v>
      </c>
      <c r="CN184" s="37" t="s">
        <v>2812</v>
      </c>
    </row>
    <row r="185" ht="18.75" customHeight="1" outlineLevel="1">
      <c r="A185" s="39" t="s">
        <v>2502</v>
      </c>
      <c r="B185" s="71"/>
      <c r="C185" s="39" t="s">
        <v>2813</v>
      </c>
      <c r="D185" s="72" t="str">
        <f t="shared" si="8"/>
        <v>750/525/225</v>
      </c>
      <c r="E185" s="39">
        <v>3.0</v>
      </c>
      <c r="F185" s="39">
        <v>85.0</v>
      </c>
      <c r="I185" s="39">
        <v>70.0</v>
      </c>
      <c r="J185" s="39">
        <v>80.0</v>
      </c>
      <c r="K185" s="87">
        <v>85.0</v>
      </c>
      <c r="L185" s="39">
        <v>80.0</v>
      </c>
      <c r="M185" s="39">
        <v>50.0</v>
      </c>
      <c r="N185" s="39">
        <v>75.0</v>
      </c>
      <c r="P185" s="39">
        <v>50.0</v>
      </c>
      <c r="Q185" s="64"/>
      <c r="R185" s="64"/>
      <c r="S185" s="64"/>
      <c r="T185" s="64"/>
      <c r="U185" s="64"/>
      <c r="V185" s="64"/>
      <c r="W185" s="64"/>
      <c r="X185" s="64"/>
      <c r="Y185" s="64"/>
      <c r="Z185" s="64"/>
      <c r="AA185" s="64"/>
      <c r="AJ185" s="37">
        <v>0.0</v>
      </c>
      <c r="AK185" s="37">
        <v>0.0</v>
      </c>
      <c r="AL185" s="37">
        <v>75.0</v>
      </c>
      <c r="AM185" s="37">
        <v>0.0</v>
      </c>
      <c r="AN185" s="37">
        <v>0.0</v>
      </c>
      <c r="AO185" s="37">
        <v>0.0</v>
      </c>
      <c r="AP185" s="37">
        <v>0.0</v>
      </c>
      <c r="AQ185" s="37">
        <v>0.0</v>
      </c>
      <c r="AR185" s="37">
        <v>0.0</v>
      </c>
      <c r="AS185" s="37">
        <v>0.0</v>
      </c>
      <c r="AT185" s="37">
        <v>0.0</v>
      </c>
      <c r="AU185" s="37">
        <v>0.0</v>
      </c>
      <c r="AV185" s="37">
        <v>0.0</v>
      </c>
      <c r="AW185" s="37">
        <v>50.0</v>
      </c>
      <c r="AX185" s="37">
        <v>0.0</v>
      </c>
      <c r="AY185" s="37">
        <v>0.0</v>
      </c>
      <c r="AZ185" s="37">
        <v>100.0</v>
      </c>
      <c r="BA185" s="39"/>
      <c r="BB185" s="39"/>
      <c r="BC185" s="39"/>
      <c r="BD185" s="39"/>
      <c r="BE185" s="39"/>
      <c r="BF185" s="39"/>
      <c r="BG185" s="37" t="str">
        <f t="array" ref="BG185">IF($A185="","",IFERROR(INDEX(CS!$B$1:$B$15025,MATCH($A185,CS!$B:$B,0)+COLUMN(A$1),1),""))</f>
        <v/>
      </c>
      <c r="BH185" s="37" t="str">
        <f t="array" ref="BH185">IF($A185="","",IFERROR(INDEX(CS!$B$1:$B$15025,MATCH($A185,CS!$B:$B,0)+COLUMN(B$1),1),""))</f>
        <v/>
      </c>
      <c r="BI185" s="37" t="str">
        <f t="array" ref="BI185">IF($A185="","",IFERROR(INDEX(CS!$B$1:$B$15025,MATCH($A185,CS!$B:$B,0)+COLUMN(C$1),1),""))</f>
        <v/>
      </c>
      <c r="BJ185" s="37" t="str">
        <f t="array" ref="BJ185">IF($A185="","",IFERROR(INDEX(CS!$B$1:$B$15025,MATCH($A185,CS!$B:$B,0)+COLUMN(D$1),1),""))</f>
        <v/>
      </c>
      <c r="BK185" s="37" t="str">
        <f t="array" ref="BK185">IF($A185="","",IFERROR(INDEX(CS!$B$1:$B$15025,MATCH($A185,CS!$B:$B,0)+COLUMN(E$1),1),""))</f>
        <v/>
      </c>
      <c r="BL185" s="37" t="str">
        <f t="array" ref="BL185">IF($A185="","",IFERROR(INDEX(CS!$B$1:$B$15025,MATCH($A185,CS!$B:$B,0)+COLUMN(F$1),1),""))</f>
        <v/>
      </c>
      <c r="BM185" s="37" t="str">
        <f t="array" ref="BM185">IF($A185="","",IFERROR(INDEX(CS!$B$1:$B$15025,MATCH($A185,CS!$B:$B,0)+COLUMN(G$1),1),""))</f>
        <v/>
      </c>
      <c r="BN185" s="37" t="str">
        <f t="array" ref="BN185">IF($A185="","",IFERROR(INDEX(CS!$B$1:$B$15025,MATCH($A185,CS!$B:$B,0)+COLUMN(H$1),1),""))</f>
        <v/>
      </c>
      <c r="BO185" s="37" t="str">
        <f t="array" ref="BO185">IF($A185="","",IFERROR(INDEX(CS!$B$1:$B$15025,MATCH($A185,CS!$B:$B,0)+COLUMN(I$1),1),""))</f>
        <v/>
      </c>
      <c r="BP185" s="37" t="str">
        <f t="array" ref="BP185">IF($A185="","",IFERROR(INDEX(CS!$B$1:$B$15025,MATCH($A185,CS!$B:$B,0)+COLUMN(J$1),1),""))</f>
        <v/>
      </c>
      <c r="BR185" s="39" t="s">
        <v>2860</v>
      </c>
      <c r="BS185" s="74"/>
      <c r="BU185" s="39" t="s">
        <v>2866</v>
      </c>
      <c r="CG185" s="37" t="s">
        <v>2814</v>
      </c>
      <c r="CI185" s="37" t="s">
        <v>2799</v>
      </c>
      <c r="CJ185" s="37" t="s">
        <v>2810</v>
      </c>
      <c r="CK185" s="37" t="s">
        <v>2793</v>
      </c>
      <c r="CN185" s="37" t="s">
        <v>2812</v>
      </c>
    </row>
    <row r="186" ht="18.75" customHeight="1" outlineLevel="1">
      <c r="A186" s="39" t="s">
        <v>2503</v>
      </c>
      <c r="B186" s="71"/>
      <c r="C186" s="39" t="s">
        <v>2813</v>
      </c>
      <c r="D186" s="72" t="str">
        <f t="shared" si="8"/>
        <v>785/545/240</v>
      </c>
      <c r="E186" s="39">
        <v>4.0</v>
      </c>
      <c r="F186" s="39">
        <v>90.0</v>
      </c>
      <c r="I186" s="39">
        <v>70.0</v>
      </c>
      <c r="J186" s="39">
        <v>85.0</v>
      </c>
      <c r="K186" s="87">
        <v>90.0</v>
      </c>
      <c r="L186" s="39">
        <v>85.0</v>
      </c>
      <c r="M186" s="39">
        <v>50.0</v>
      </c>
      <c r="N186" s="39">
        <v>75.0</v>
      </c>
      <c r="P186" s="39">
        <v>75.0</v>
      </c>
      <c r="Q186" s="64"/>
      <c r="R186" s="64"/>
      <c r="S186" s="64"/>
      <c r="T186" s="64"/>
      <c r="U186" s="64"/>
      <c r="V186" s="64"/>
      <c r="W186" s="64"/>
      <c r="X186" s="64"/>
      <c r="Y186" s="64"/>
      <c r="Z186" s="64"/>
      <c r="AA186" s="64"/>
      <c r="AJ186" s="37">
        <v>0.0</v>
      </c>
      <c r="AK186" s="37">
        <v>0.0</v>
      </c>
      <c r="AL186" s="37">
        <v>75.0</v>
      </c>
      <c r="AM186" s="37">
        <v>0.0</v>
      </c>
      <c r="AN186" s="37">
        <v>0.0</v>
      </c>
      <c r="AO186" s="37">
        <v>0.0</v>
      </c>
      <c r="AP186" s="37">
        <v>0.0</v>
      </c>
      <c r="AQ186" s="37">
        <v>0.0</v>
      </c>
      <c r="AR186" s="37">
        <v>0.0</v>
      </c>
      <c r="AS186" s="37">
        <v>0.0</v>
      </c>
      <c r="AT186" s="37">
        <v>0.0</v>
      </c>
      <c r="AU186" s="37">
        <v>0.0</v>
      </c>
      <c r="AV186" s="37">
        <v>0.0</v>
      </c>
      <c r="AW186" s="37">
        <v>50.0</v>
      </c>
      <c r="AX186" s="37">
        <v>0.0</v>
      </c>
      <c r="AY186" s="37">
        <v>0.0</v>
      </c>
      <c r="AZ186" s="37">
        <v>115.0</v>
      </c>
      <c r="BA186" s="39"/>
      <c r="BB186" s="39"/>
      <c r="BC186" s="39"/>
      <c r="BD186" s="39"/>
      <c r="BE186" s="39"/>
      <c r="BF186" s="39"/>
      <c r="BG186" s="37" t="str">
        <f t="array" ref="BG186">IF($A186="","",IFERROR(INDEX(CS!$B$1:$B$15025,MATCH($A186,CS!$B:$B,0)+COLUMN(A$1),1),""))</f>
        <v/>
      </c>
      <c r="BH186" s="37" t="str">
        <f t="array" ref="BH186">IF($A186="","",IFERROR(INDEX(CS!$B$1:$B$15025,MATCH($A186,CS!$B:$B,0)+COLUMN(B$1),1),""))</f>
        <v/>
      </c>
      <c r="BI186" s="37" t="str">
        <f t="array" ref="BI186">IF($A186="","",IFERROR(INDEX(CS!$B$1:$B$15025,MATCH($A186,CS!$B:$B,0)+COLUMN(C$1),1),""))</f>
        <v/>
      </c>
      <c r="BJ186" s="37" t="str">
        <f t="array" ref="BJ186">IF($A186="","",IFERROR(INDEX(CS!$B$1:$B$15025,MATCH($A186,CS!$B:$B,0)+COLUMN(D$1),1),""))</f>
        <v/>
      </c>
      <c r="BK186" s="37" t="str">
        <f t="array" ref="BK186">IF($A186="","",IFERROR(INDEX(CS!$B$1:$B$15025,MATCH($A186,CS!$B:$B,0)+COLUMN(E$1),1),""))</f>
        <v/>
      </c>
      <c r="BL186" s="37" t="str">
        <f t="array" ref="BL186">IF($A186="","",IFERROR(INDEX(CS!$B$1:$B$15025,MATCH($A186,CS!$B:$B,0)+COLUMN(F$1),1),""))</f>
        <v/>
      </c>
      <c r="BM186" s="37" t="str">
        <f t="array" ref="BM186">IF($A186="","",IFERROR(INDEX(CS!$B$1:$B$15025,MATCH($A186,CS!$B:$B,0)+COLUMN(G$1),1),""))</f>
        <v/>
      </c>
      <c r="BN186" s="37" t="str">
        <f t="array" ref="BN186">IF($A186="","",IFERROR(INDEX(CS!$B$1:$B$15025,MATCH($A186,CS!$B:$B,0)+COLUMN(H$1),1),""))</f>
        <v/>
      </c>
      <c r="BO186" s="37" t="str">
        <f t="array" ref="BO186">IF($A186="","",IFERROR(INDEX(CS!$B$1:$B$15025,MATCH($A186,CS!$B:$B,0)+COLUMN(I$1),1),""))</f>
        <v/>
      </c>
      <c r="BP186" s="37" t="str">
        <f t="array" ref="BP186">IF($A186="","",IFERROR(INDEX(CS!$B$1:$B$15025,MATCH($A186,CS!$B:$B,0)+COLUMN(J$1),1),""))</f>
        <v/>
      </c>
      <c r="BR186" s="39"/>
      <c r="BS186" s="74"/>
      <c r="BU186" s="39" t="s">
        <v>2867</v>
      </c>
      <c r="CG186" s="37" t="s">
        <v>2814</v>
      </c>
      <c r="CI186" s="37" t="s">
        <v>2799</v>
      </c>
      <c r="CJ186" s="37" t="s">
        <v>2810</v>
      </c>
      <c r="CK186" s="37" t="s">
        <v>2793</v>
      </c>
      <c r="CN186" s="37" t="s">
        <v>2812</v>
      </c>
    </row>
    <row r="187" ht="18.75" customHeight="1">
      <c r="B187" s="71"/>
      <c r="D187" s="72"/>
      <c r="K187" s="73"/>
      <c r="P187" s="37" t="s">
        <v>29</v>
      </c>
      <c r="Q187" s="64"/>
      <c r="R187" s="64"/>
      <c r="S187" s="64"/>
      <c r="T187" s="64"/>
      <c r="U187" s="64"/>
      <c r="V187" s="64"/>
      <c r="W187" s="64"/>
      <c r="X187" s="64"/>
      <c r="Y187" s="64"/>
      <c r="Z187" s="64"/>
      <c r="AA187" s="64"/>
      <c r="AJ187" s="37" t="s">
        <v>29</v>
      </c>
      <c r="AK187" s="37" t="s">
        <v>29</v>
      </c>
      <c r="AL187" s="37" t="s">
        <v>29</v>
      </c>
      <c r="AM187" s="37" t="s">
        <v>29</v>
      </c>
      <c r="AN187" s="37" t="s">
        <v>29</v>
      </c>
      <c r="AO187" s="37" t="s">
        <v>29</v>
      </c>
      <c r="AP187" s="37" t="s">
        <v>29</v>
      </c>
      <c r="AQ187" s="37" t="s">
        <v>29</v>
      </c>
      <c r="AR187" s="37" t="s">
        <v>29</v>
      </c>
      <c r="AS187" s="37" t="s">
        <v>29</v>
      </c>
      <c r="AT187" s="37" t="s">
        <v>29</v>
      </c>
      <c r="AU187" s="37" t="s">
        <v>29</v>
      </c>
      <c r="AV187" s="37" t="s">
        <v>29</v>
      </c>
      <c r="AW187" s="37" t="s">
        <v>29</v>
      </c>
      <c r="AX187" s="37" t="s">
        <v>29</v>
      </c>
      <c r="AY187" s="37" t="s">
        <v>29</v>
      </c>
      <c r="AZ187" s="37" t="s">
        <v>29</v>
      </c>
      <c r="BG187" s="37" t="str">
        <f t="array" ref="BG187">IF($A187="","", INDEX(CS!$B$1:$B$15025,MATCH($A187,CS!$B:$B,0)+COLUMN(A$1),1))</f>
        <v/>
      </c>
      <c r="BH187" s="37" t="str">
        <f t="array" ref="BH187">IF($A187="","", INDEX(CS!$B$1:$B$15025,MATCH($A187,CS!$B:$B,0)+COLUMN(B$1),1))</f>
        <v/>
      </c>
      <c r="BI187" s="37" t="str">
        <f t="array" ref="BI187">IF($A187="","", INDEX(CS!$B$1:$B$15025,MATCH($A187,CS!$B:$B,0)+COLUMN(C$1),1))</f>
        <v/>
      </c>
      <c r="BJ187" s="37" t="str">
        <f t="array" ref="BJ187">IF($A187="","", INDEX(CS!$B$1:$B$15025,MATCH($A187,CS!$B:$B,0)+COLUMN(D$1),1))</f>
        <v/>
      </c>
      <c r="BK187" s="37" t="str">
        <f t="array" ref="BK187">IF($A187="","", INDEX(CS!$B$1:$B$15025,MATCH($A187,CS!$B:$B,0)+COLUMN(E$1),1))</f>
        <v/>
      </c>
      <c r="BL187" s="37" t="str">
        <f t="array" ref="BL187">IF($A187="","", INDEX(CS!$B$1:$B$15025,MATCH($A187,CS!$B:$B,0)+COLUMN(F$1),1))</f>
        <v/>
      </c>
      <c r="BM187" s="37" t="str">
        <f t="array" ref="BM187">IF($A187="","", INDEX(CS!$B$1:$B$15025,MATCH($A187,CS!$B:$B,0)+COLUMN(G$1),1))</f>
        <v/>
      </c>
      <c r="BN187" s="37" t="str">
        <f t="array" ref="BN187">IF($A187="","", INDEX(CS!$B$1:$B$15025,MATCH($A187,CS!$B:$B,0)+COLUMN(H$1),1))</f>
        <v/>
      </c>
      <c r="BO187" s="37" t="str">
        <f t="array" ref="BO187">IF($A187="","", INDEX(CS!$B$1:$B$15025,MATCH($A187,CS!$B:$B,0)+COLUMN(I$1),1))</f>
        <v/>
      </c>
      <c r="BP187" s="37" t="str">
        <f t="array" ref="BP187">IF($A187="","", INDEX(CS!$B$1:$B$15025,MATCH($A187,CS!$B:$B,0)+COLUMN(J$1),1))</f>
        <v/>
      </c>
      <c r="BS187" s="74"/>
      <c r="CI187" s="37" t="s">
        <v>2819</v>
      </c>
      <c r="CJ187" s="37" t="s">
        <v>2800</v>
      </c>
      <c r="CK187" s="37" t="s">
        <v>2793</v>
      </c>
    </row>
    <row r="188" ht="18.75" customHeight="1">
      <c r="B188" s="85" t="s">
        <v>2868</v>
      </c>
      <c r="D188" s="72" t="str">
        <f t="shared" ref="D188:D203" si="9">SUM(AJ188:AZ188,F188:N188)&amp;"/"&amp;SUM(F188:N188)&amp;"/"&amp;SUM(AJ188:AZ188)</f>
        <v>0/0/0</v>
      </c>
      <c r="E188" s="37">
        <v>1.0</v>
      </c>
      <c r="K188" s="73"/>
      <c r="P188" s="37" t="s">
        <v>29</v>
      </c>
      <c r="Q188" s="64"/>
      <c r="R188" s="64"/>
      <c r="S188" s="64"/>
      <c r="T188" s="64"/>
      <c r="U188" s="64"/>
      <c r="V188" s="64"/>
      <c r="W188" s="64"/>
      <c r="X188" s="64"/>
      <c r="Y188" s="64"/>
      <c r="Z188" s="64"/>
      <c r="AA188" s="64"/>
      <c r="AJ188" s="37" t="s">
        <v>29</v>
      </c>
      <c r="AK188" s="37" t="s">
        <v>29</v>
      </c>
      <c r="AL188" s="37" t="s">
        <v>29</v>
      </c>
      <c r="AM188" s="37" t="s">
        <v>29</v>
      </c>
      <c r="AN188" s="37" t="s">
        <v>29</v>
      </c>
      <c r="AO188" s="37" t="s">
        <v>29</v>
      </c>
      <c r="AP188" s="37" t="s">
        <v>29</v>
      </c>
      <c r="AQ188" s="37" t="s">
        <v>29</v>
      </c>
      <c r="AR188" s="37" t="s">
        <v>29</v>
      </c>
      <c r="AS188" s="37" t="s">
        <v>29</v>
      </c>
      <c r="AT188" s="37" t="s">
        <v>29</v>
      </c>
      <c r="AU188" s="37" t="s">
        <v>29</v>
      </c>
      <c r="AV188" s="37" t="s">
        <v>29</v>
      </c>
      <c r="AW188" s="37" t="s">
        <v>29</v>
      </c>
      <c r="AX188" s="37" t="s">
        <v>29</v>
      </c>
      <c r="AY188" s="37" t="s">
        <v>29</v>
      </c>
      <c r="AZ188" s="37" t="s">
        <v>29</v>
      </c>
      <c r="BG188" s="37" t="str">
        <f t="array" ref="BG188">IF($A188="","", INDEX(CS!$B$1:$B$15025,MATCH($A188,CS!$B:$B,0)+COLUMN(A$1),1))</f>
        <v/>
      </c>
      <c r="BH188" s="37" t="str">
        <f t="array" ref="BH188">IF($A188="","", INDEX(CS!$B$1:$B$15025,MATCH($A188,CS!$B:$B,0)+COLUMN(B$1),1))</f>
        <v/>
      </c>
      <c r="BI188" s="37" t="str">
        <f t="array" ref="BI188">IF($A188="","", INDEX(CS!$B$1:$B$15025,MATCH($A188,CS!$B:$B,0)+COLUMN(C$1),1))</f>
        <v/>
      </c>
      <c r="BJ188" s="37" t="str">
        <f t="array" ref="BJ188">IF($A188="","", INDEX(CS!$B$1:$B$15025,MATCH($A188,CS!$B:$B,0)+COLUMN(D$1),1))</f>
        <v/>
      </c>
      <c r="BK188" s="37" t="str">
        <f t="array" ref="BK188">IF($A188="","", INDEX(CS!$B$1:$B$15025,MATCH($A188,CS!$B:$B,0)+COLUMN(E$1),1))</f>
        <v/>
      </c>
      <c r="BL188" s="37" t="str">
        <f t="array" ref="BL188">IF($A188="","", INDEX(CS!$B$1:$B$15025,MATCH($A188,CS!$B:$B,0)+COLUMN(F$1),1))</f>
        <v/>
      </c>
      <c r="BM188" s="37" t="str">
        <f t="array" ref="BM188">IF($A188="","", INDEX(CS!$B$1:$B$15025,MATCH($A188,CS!$B:$B,0)+COLUMN(G$1),1))</f>
        <v/>
      </c>
      <c r="BN188" s="37" t="str">
        <f t="array" ref="BN188">IF($A188="","", INDEX(CS!$B$1:$B$15025,MATCH($A188,CS!$B:$B,0)+COLUMN(H$1),1))</f>
        <v/>
      </c>
      <c r="BO188" s="37" t="str">
        <f t="array" ref="BO188">IF($A188="","", INDEX(CS!$B$1:$B$15025,MATCH($A188,CS!$B:$B,0)+COLUMN(I$1),1))</f>
        <v/>
      </c>
      <c r="BP188" s="37" t="str">
        <f t="array" ref="BP188">IF($A188="","", INDEX(CS!$B$1:$B$15025,MATCH($A188,CS!$B:$B,0)+COLUMN(J$1),1))</f>
        <v/>
      </c>
      <c r="BS188" s="74"/>
    </row>
    <row r="189" ht="18.75" customHeight="1" outlineLevel="1">
      <c r="A189" s="39" t="s">
        <v>2505</v>
      </c>
      <c r="B189" s="71"/>
      <c r="C189" s="39" t="s">
        <v>2817</v>
      </c>
      <c r="D189" s="72" t="str">
        <f t="shared" si="9"/>
        <v>725/500/225</v>
      </c>
      <c r="E189" s="39">
        <v>2.0</v>
      </c>
      <c r="F189" s="39">
        <v>75.0</v>
      </c>
      <c r="I189" s="39">
        <v>65.0</v>
      </c>
      <c r="J189" s="39">
        <v>70.0</v>
      </c>
      <c r="K189" s="87">
        <v>90.0</v>
      </c>
      <c r="L189" s="39">
        <v>75.0</v>
      </c>
      <c r="M189" s="39">
        <v>50.0</v>
      </c>
      <c r="N189" s="39">
        <v>75.0</v>
      </c>
      <c r="P189" s="37">
        <v>0.0</v>
      </c>
      <c r="Q189" s="64"/>
      <c r="R189" s="64"/>
      <c r="S189" s="64"/>
      <c r="T189" s="64"/>
      <c r="U189" s="64"/>
      <c r="V189" s="64"/>
      <c r="W189" s="64"/>
      <c r="X189" s="64"/>
      <c r="Y189" s="64"/>
      <c r="Z189" s="64"/>
      <c r="AA189" s="64"/>
      <c r="AJ189" s="37">
        <v>0.0</v>
      </c>
      <c r="AK189" s="37">
        <v>0.0</v>
      </c>
      <c r="AL189" s="37">
        <v>75.0</v>
      </c>
      <c r="AM189" s="37">
        <v>25.0</v>
      </c>
      <c r="AN189" s="37">
        <v>25.0</v>
      </c>
      <c r="AO189" s="37">
        <v>0.0</v>
      </c>
      <c r="AP189" s="37">
        <v>0.0</v>
      </c>
      <c r="AQ189" s="37">
        <v>0.0</v>
      </c>
      <c r="AR189" s="37">
        <v>50.0</v>
      </c>
      <c r="AS189" s="37">
        <v>0.0</v>
      </c>
      <c r="AT189" s="37">
        <v>0.0</v>
      </c>
      <c r="AU189" s="37">
        <v>0.0</v>
      </c>
      <c r="AV189" s="37">
        <v>0.0</v>
      </c>
      <c r="AW189" s="37">
        <v>0.0</v>
      </c>
      <c r="AX189" s="37">
        <v>0.0</v>
      </c>
      <c r="AY189" s="37">
        <v>0.0</v>
      </c>
      <c r="AZ189" s="37">
        <v>50.0</v>
      </c>
      <c r="BA189" s="39"/>
      <c r="BB189" s="39"/>
      <c r="BC189" s="39"/>
      <c r="BD189" s="39"/>
      <c r="BE189" s="39"/>
      <c r="BF189" s="39"/>
      <c r="BG189" s="37" t="str">
        <f t="array" ref="BG189">IF($A189="","",IFERROR(INDEX(CS!$B$1:$B$15025,MATCH($A189,CS!$B:$B,0)+COLUMN(A$1),1),""))</f>
        <v>上昇烈風</v>
      </c>
      <c r="BH189" s="37" t="str">
        <f t="array" ref="BH189">IF($A189="","",IFERROR(INDEX(CS!$B$1:$B$15025,MATCH($A189,CS!$B:$B,0)+COLUMN(B$1),1),""))</f>
        <v>川の鞭</v>
      </c>
      <c r="BI189" s="37" t="str">
        <f t="array" ref="BI189">IF($A189="","",IFERROR(INDEX(CS!$B$1:$B$15025,MATCH($A189,CS!$B:$B,0)+COLUMN(C$1),1),""))</f>
        <v>森の歩み</v>
      </c>
      <c r="BJ189" s="37" t="str">
        <f t="array" ref="BJ189">IF($A189="","",IFERROR(INDEX(CS!$B$1:$B$15025,MATCH($A189,CS!$B:$B,0)+COLUMN(D$1),1),""))</f>
        <v>水晶片</v>
      </c>
      <c r="BK189" s="37" t="str">
        <f t="array" ref="BK189">IF($A189="","",IFERROR(INDEX(CS!$B$1:$B$15025,MATCH($A189,CS!$B:$B,0)+COLUMN(E$1),1),""))</f>
        <v>風足</v>
      </c>
      <c r="BL189" s="37" t="str">
        <f t="array" ref="BL189">IF($A189="","",IFERROR(INDEX(CS!$B$1:$B$15025,MATCH($A189,CS!$B:$B,0)+COLUMN(F$1),1),""))</f>
        <v/>
      </c>
      <c r="BM189" s="37" t="str">
        <f t="array" ref="BM189">IF($A189="","",IFERROR(INDEX(CS!$B$1:$B$15025,MATCH($A189,CS!$B:$B,0)+COLUMN(G$1),1),""))</f>
        <v>波の盾</v>
      </c>
      <c r="BN189" s="37" t="str">
        <f t="array" ref="BN189">IF($A189="","",IFERROR(INDEX(CS!$B$1:$B$15025,MATCH($A189,CS!$B:$B,0)+COLUMN(H$1),1),""))</f>
        <v/>
      </c>
      <c r="BO189" s="37" t="str">
        <f t="array" ref="BO189">IF($A189="","",IFERROR(INDEX(CS!$B$1:$B$15025,MATCH($A189,CS!$B:$B,0)+COLUMN(I$1),1),""))</f>
        <v>冷気の風</v>
      </c>
      <c r="BP189" s="37" t="str">
        <f t="array" ref="BP189">IF($A189="","",IFERROR(INDEX(CS!$B$1:$B$15025,MATCH($A189,CS!$B:$B,0)+COLUMN(J$1),1),""))</f>
        <v/>
      </c>
      <c r="BR189" s="39" t="s">
        <v>2869</v>
      </c>
      <c r="BS189" s="74"/>
      <c r="CG189" s="37" t="s">
        <v>2814</v>
      </c>
      <c r="CI189" s="37" t="s">
        <v>2799</v>
      </c>
      <c r="CJ189" s="37" t="s">
        <v>2810</v>
      </c>
      <c r="CK189" s="37" t="s">
        <v>2793</v>
      </c>
      <c r="CN189" s="37" t="s">
        <v>2812</v>
      </c>
    </row>
    <row r="190" ht="18.75" customHeight="1" outlineLevel="1">
      <c r="A190" s="39" t="s">
        <v>2506</v>
      </c>
      <c r="B190" s="71"/>
      <c r="C190" s="39" t="s">
        <v>2817</v>
      </c>
      <c r="D190" s="72" t="str">
        <f t="shared" si="9"/>
        <v>725/500/225</v>
      </c>
      <c r="E190" s="39">
        <v>2.0</v>
      </c>
      <c r="F190" s="39">
        <v>75.0</v>
      </c>
      <c r="I190" s="39">
        <v>65.0</v>
      </c>
      <c r="J190" s="39">
        <v>70.0</v>
      </c>
      <c r="K190" s="87">
        <v>90.0</v>
      </c>
      <c r="L190" s="39">
        <v>75.0</v>
      </c>
      <c r="M190" s="39">
        <v>50.0</v>
      </c>
      <c r="N190" s="39">
        <v>75.0</v>
      </c>
      <c r="P190" s="37">
        <v>0.0</v>
      </c>
      <c r="Q190" s="64"/>
      <c r="R190" s="64"/>
      <c r="S190" s="64"/>
      <c r="T190" s="64"/>
      <c r="U190" s="64"/>
      <c r="V190" s="64"/>
      <c r="W190" s="64"/>
      <c r="X190" s="64"/>
      <c r="Y190" s="64"/>
      <c r="Z190" s="64"/>
      <c r="AA190" s="64"/>
      <c r="AJ190" s="37">
        <v>0.0</v>
      </c>
      <c r="AK190" s="37">
        <v>0.0</v>
      </c>
      <c r="AL190" s="37">
        <v>75.0</v>
      </c>
      <c r="AM190" s="37">
        <v>25.0</v>
      </c>
      <c r="AN190" s="37">
        <v>25.0</v>
      </c>
      <c r="AO190" s="37">
        <v>0.0</v>
      </c>
      <c r="AP190" s="37">
        <v>0.0</v>
      </c>
      <c r="AQ190" s="37">
        <v>0.0</v>
      </c>
      <c r="AR190" s="37">
        <v>50.0</v>
      </c>
      <c r="AS190" s="37">
        <v>0.0</v>
      </c>
      <c r="AT190" s="37">
        <v>0.0</v>
      </c>
      <c r="AU190" s="37">
        <v>0.0</v>
      </c>
      <c r="AV190" s="37">
        <v>0.0</v>
      </c>
      <c r="AW190" s="37">
        <v>0.0</v>
      </c>
      <c r="AX190" s="37">
        <v>0.0</v>
      </c>
      <c r="AY190" s="37">
        <v>0.0</v>
      </c>
      <c r="AZ190" s="37">
        <v>50.0</v>
      </c>
      <c r="BA190" s="39"/>
      <c r="BB190" s="39"/>
      <c r="BC190" s="39"/>
      <c r="BD190" s="39"/>
      <c r="BE190" s="39"/>
      <c r="BF190" s="39"/>
      <c r="BG190" s="37" t="str">
        <f t="array" ref="BG190">IF($A190="","",IFERROR(INDEX(CS!$B$1:$B$15025,MATCH($A190,CS!$B:$B,0)+COLUMN(A$1),1),""))</f>
        <v/>
      </c>
      <c r="BH190" s="37" t="str">
        <f t="array" ref="BH190">IF($A190="","",IFERROR(INDEX(CS!$B$1:$B$15025,MATCH($A190,CS!$B:$B,0)+COLUMN(B$1),1),""))</f>
        <v/>
      </c>
      <c r="BI190" s="37" t="str">
        <f t="array" ref="BI190">IF($A190="","",IFERROR(INDEX(CS!$B$1:$B$15025,MATCH($A190,CS!$B:$B,0)+COLUMN(C$1),1),""))</f>
        <v/>
      </c>
      <c r="BJ190" s="37" t="str">
        <f t="array" ref="BJ190">IF($A190="","",IFERROR(INDEX(CS!$B$1:$B$15025,MATCH($A190,CS!$B:$B,0)+COLUMN(D$1),1),""))</f>
        <v/>
      </c>
      <c r="BK190" s="37" t="str">
        <f t="array" ref="BK190">IF($A190="","",IFERROR(INDEX(CS!$B$1:$B$15025,MATCH($A190,CS!$B:$B,0)+COLUMN(E$1),1),""))</f>
        <v/>
      </c>
      <c r="BL190" s="37" t="str">
        <f t="array" ref="BL190">IF($A190="","",IFERROR(INDEX(CS!$B$1:$B$15025,MATCH($A190,CS!$B:$B,0)+COLUMN(F$1),1),""))</f>
        <v/>
      </c>
      <c r="BM190" s="37" t="str">
        <f t="array" ref="BM190">IF($A190="","",IFERROR(INDEX(CS!$B$1:$B$15025,MATCH($A190,CS!$B:$B,0)+COLUMN(G$1),1),""))</f>
        <v/>
      </c>
      <c r="BN190" s="37" t="str">
        <f t="array" ref="BN190">IF($A190="","",IFERROR(INDEX(CS!$B$1:$B$15025,MATCH($A190,CS!$B:$B,0)+COLUMN(H$1),1),""))</f>
        <v/>
      </c>
      <c r="BO190" s="37" t="str">
        <f t="array" ref="BO190">IF($A190="","",IFERROR(INDEX(CS!$B$1:$B$15025,MATCH($A190,CS!$B:$B,0)+COLUMN(I$1),1),""))</f>
        <v/>
      </c>
      <c r="BP190" s="37" t="str">
        <f t="array" ref="BP190">IF($A190="","",IFERROR(INDEX(CS!$B$1:$B$15025,MATCH($A190,CS!$B:$B,0)+COLUMN(J$1),1),""))</f>
        <v/>
      </c>
      <c r="BR190" s="39" t="s">
        <v>2869</v>
      </c>
      <c r="BS190" s="74"/>
      <c r="CG190" s="37" t="s">
        <v>2814</v>
      </c>
      <c r="CI190" s="37" t="s">
        <v>2799</v>
      </c>
      <c r="CJ190" s="37" t="s">
        <v>2810</v>
      </c>
      <c r="CK190" s="37" t="s">
        <v>2793</v>
      </c>
      <c r="CN190" s="37" t="s">
        <v>2812</v>
      </c>
    </row>
    <row r="191" ht="18.75" customHeight="1" outlineLevel="1">
      <c r="A191" s="39" t="s">
        <v>2507</v>
      </c>
      <c r="B191" s="71"/>
      <c r="C191" s="39" t="s">
        <v>2817</v>
      </c>
      <c r="D191" s="72" t="str">
        <f t="shared" si="9"/>
        <v>725/500/225</v>
      </c>
      <c r="E191" s="39">
        <v>2.0</v>
      </c>
      <c r="F191" s="39">
        <v>75.0</v>
      </c>
      <c r="I191" s="39">
        <v>65.0</v>
      </c>
      <c r="J191" s="39">
        <v>70.0</v>
      </c>
      <c r="K191" s="87">
        <v>90.0</v>
      </c>
      <c r="L191" s="39">
        <v>75.0</v>
      </c>
      <c r="M191" s="39">
        <v>50.0</v>
      </c>
      <c r="N191" s="39">
        <v>75.0</v>
      </c>
      <c r="P191" s="37">
        <v>0.0</v>
      </c>
      <c r="Q191" s="64"/>
      <c r="R191" s="64"/>
      <c r="S191" s="64"/>
      <c r="T191" s="64"/>
      <c r="U191" s="64"/>
      <c r="V191" s="64"/>
      <c r="W191" s="64"/>
      <c r="X191" s="64"/>
      <c r="Y191" s="64"/>
      <c r="Z191" s="64"/>
      <c r="AA191" s="64"/>
      <c r="AJ191" s="37">
        <v>0.0</v>
      </c>
      <c r="AK191" s="37">
        <v>0.0</v>
      </c>
      <c r="AL191" s="37">
        <v>75.0</v>
      </c>
      <c r="AM191" s="37">
        <v>25.0</v>
      </c>
      <c r="AN191" s="37">
        <v>25.0</v>
      </c>
      <c r="AO191" s="37">
        <v>0.0</v>
      </c>
      <c r="AP191" s="37">
        <v>0.0</v>
      </c>
      <c r="AQ191" s="37">
        <v>0.0</v>
      </c>
      <c r="AR191" s="37">
        <v>50.0</v>
      </c>
      <c r="AS191" s="37">
        <v>0.0</v>
      </c>
      <c r="AT191" s="37">
        <v>0.0</v>
      </c>
      <c r="AU191" s="37">
        <v>0.0</v>
      </c>
      <c r="AV191" s="37">
        <v>0.0</v>
      </c>
      <c r="AW191" s="37">
        <v>0.0</v>
      </c>
      <c r="AX191" s="37">
        <v>0.0</v>
      </c>
      <c r="AY191" s="37">
        <v>0.0</v>
      </c>
      <c r="AZ191" s="37">
        <v>50.0</v>
      </c>
      <c r="BA191" s="39"/>
      <c r="BB191" s="39"/>
      <c r="BC191" s="39"/>
      <c r="BD191" s="39"/>
      <c r="BE191" s="39"/>
      <c r="BF191" s="39"/>
      <c r="BG191" s="37" t="str">
        <f t="array" ref="BG191">IF($A191="","",IFERROR(INDEX(CS!$B$1:$B$15025,MATCH($A191,CS!$B:$B,0)+COLUMN(A$1),1),""))</f>
        <v/>
      </c>
      <c r="BH191" s="37" t="str">
        <f t="array" ref="BH191">IF($A191="","",IFERROR(INDEX(CS!$B$1:$B$15025,MATCH($A191,CS!$B:$B,0)+COLUMN(B$1),1),""))</f>
        <v/>
      </c>
      <c r="BI191" s="37" t="str">
        <f t="array" ref="BI191">IF($A191="","",IFERROR(INDEX(CS!$B$1:$B$15025,MATCH($A191,CS!$B:$B,0)+COLUMN(C$1),1),""))</f>
        <v/>
      </c>
      <c r="BJ191" s="37" t="str">
        <f t="array" ref="BJ191">IF($A191="","",IFERROR(INDEX(CS!$B$1:$B$15025,MATCH($A191,CS!$B:$B,0)+COLUMN(D$1),1),""))</f>
        <v/>
      </c>
      <c r="BK191" s="37" t="str">
        <f t="array" ref="BK191">IF($A191="","",IFERROR(INDEX(CS!$B$1:$B$15025,MATCH($A191,CS!$B:$B,0)+COLUMN(E$1),1),""))</f>
        <v/>
      </c>
      <c r="BL191" s="37" t="str">
        <f t="array" ref="BL191">IF($A191="","",IFERROR(INDEX(CS!$B$1:$B$15025,MATCH($A191,CS!$B:$B,0)+COLUMN(F$1),1),""))</f>
        <v/>
      </c>
      <c r="BM191" s="37" t="str">
        <f t="array" ref="BM191">IF($A191="","",IFERROR(INDEX(CS!$B$1:$B$15025,MATCH($A191,CS!$B:$B,0)+COLUMN(G$1),1),""))</f>
        <v/>
      </c>
      <c r="BN191" s="37" t="str">
        <f t="array" ref="BN191">IF($A191="","",IFERROR(INDEX(CS!$B$1:$B$15025,MATCH($A191,CS!$B:$B,0)+COLUMN(H$1),1),""))</f>
        <v/>
      </c>
      <c r="BO191" s="37" t="str">
        <f t="array" ref="BO191">IF($A191="","",IFERROR(INDEX(CS!$B$1:$B$15025,MATCH($A191,CS!$B:$B,0)+COLUMN(I$1),1),""))</f>
        <v/>
      </c>
      <c r="BP191" s="37" t="str">
        <f t="array" ref="BP191">IF($A191="","",IFERROR(INDEX(CS!$B$1:$B$15025,MATCH($A191,CS!$B:$B,0)+COLUMN(J$1),1),""))</f>
        <v/>
      </c>
      <c r="BR191" s="39" t="s">
        <v>2869</v>
      </c>
      <c r="BS191" s="74"/>
      <c r="CG191" s="37" t="s">
        <v>2814</v>
      </c>
      <c r="CI191" s="37" t="s">
        <v>2799</v>
      </c>
      <c r="CJ191" s="37" t="s">
        <v>2810</v>
      </c>
      <c r="CK191" s="37" t="s">
        <v>2793</v>
      </c>
      <c r="CN191" s="37" t="s">
        <v>2812</v>
      </c>
    </row>
    <row r="192" ht="18.75" customHeight="1" outlineLevel="1">
      <c r="A192" s="39" t="s">
        <v>2508</v>
      </c>
      <c r="B192" s="71"/>
      <c r="C192" s="39" t="s">
        <v>2817</v>
      </c>
      <c r="D192" s="72" t="str">
        <f t="shared" si="9"/>
        <v>725/500/225</v>
      </c>
      <c r="E192" s="39">
        <v>2.0</v>
      </c>
      <c r="F192" s="39">
        <v>75.0</v>
      </c>
      <c r="I192" s="39">
        <v>65.0</v>
      </c>
      <c r="J192" s="39">
        <v>70.0</v>
      </c>
      <c r="K192" s="87">
        <v>90.0</v>
      </c>
      <c r="L192" s="39">
        <v>75.0</v>
      </c>
      <c r="M192" s="39">
        <v>50.0</v>
      </c>
      <c r="N192" s="39">
        <v>75.0</v>
      </c>
      <c r="P192" s="37">
        <v>0.0</v>
      </c>
      <c r="Q192" s="64"/>
      <c r="R192" s="64"/>
      <c r="S192" s="64"/>
      <c r="T192" s="64"/>
      <c r="U192" s="64"/>
      <c r="V192" s="64"/>
      <c r="W192" s="64"/>
      <c r="X192" s="64"/>
      <c r="Y192" s="64"/>
      <c r="Z192" s="64"/>
      <c r="AA192" s="64"/>
      <c r="AJ192" s="37">
        <v>0.0</v>
      </c>
      <c r="AK192" s="37">
        <v>0.0</v>
      </c>
      <c r="AL192" s="37">
        <v>75.0</v>
      </c>
      <c r="AM192" s="37">
        <v>25.0</v>
      </c>
      <c r="AN192" s="37">
        <v>25.0</v>
      </c>
      <c r="AO192" s="37">
        <v>0.0</v>
      </c>
      <c r="AP192" s="37">
        <v>0.0</v>
      </c>
      <c r="AQ192" s="37">
        <v>0.0</v>
      </c>
      <c r="AR192" s="37">
        <v>50.0</v>
      </c>
      <c r="AS192" s="37">
        <v>0.0</v>
      </c>
      <c r="AT192" s="37">
        <v>0.0</v>
      </c>
      <c r="AU192" s="37">
        <v>0.0</v>
      </c>
      <c r="AV192" s="37">
        <v>0.0</v>
      </c>
      <c r="AW192" s="37">
        <v>0.0</v>
      </c>
      <c r="AX192" s="37">
        <v>0.0</v>
      </c>
      <c r="AY192" s="37">
        <v>0.0</v>
      </c>
      <c r="AZ192" s="37">
        <v>50.0</v>
      </c>
      <c r="BA192" s="39"/>
      <c r="BB192" s="39"/>
      <c r="BC192" s="39"/>
      <c r="BD192" s="39"/>
      <c r="BE192" s="39"/>
      <c r="BF192" s="39"/>
      <c r="BG192" s="37" t="str">
        <f t="array" ref="BG192">IF($A192="","",IFERROR(INDEX(CS!$B$1:$B$15025,MATCH($A192,CS!$B:$B,0)+COLUMN(A$1),1),""))</f>
        <v/>
      </c>
      <c r="BH192" s="37" t="str">
        <f t="array" ref="BH192">IF($A192="","",IFERROR(INDEX(CS!$B$1:$B$15025,MATCH($A192,CS!$B:$B,0)+COLUMN(B$1),1),""))</f>
        <v/>
      </c>
      <c r="BI192" s="37" t="str">
        <f t="array" ref="BI192">IF($A192="","",IFERROR(INDEX(CS!$B$1:$B$15025,MATCH($A192,CS!$B:$B,0)+COLUMN(C$1),1),""))</f>
        <v/>
      </c>
      <c r="BJ192" s="37" t="str">
        <f t="array" ref="BJ192">IF($A192="","",IFERROR(INDEX(CS!$B$1:$B$15025,MATCH($A192,CS!$B:$B,0)+COLUMN(D$1),1),""))</f>
        <v/>
      </c>
      <c r="BK192" s="37" t="str">
        <f t="array" ref="BK192">IF($A192="","",IFERROR(INDEX(CS!$B$1:$B$15025,MATCH($A192,CS!$B:$B,0)+COLUMN(E$1),1),""))</f>
        <v/>
      </c>
      <c r="BL192" s="37" t="str">
        <f t="array" ref="BL192">IF($A192="","",IFERROR(INDEX(CS!$B$1:$B$15025,MATCH($A192,CS!$B:$B,0)+COLUMN(F$1),1),""))</f>
        <v/>
      </c>
      <c r="BM192" s="37" t="str">
        <f t="array" ref="BM192">IF($A192="","",IFERROR(INDEX(CS!$B$1:$B$15025,MATCH($A192,CS!$B:$B,0)+COLUMN(G$1),1),""))</f>
        <v/>
      </c>
      <c r="BN192" s="37" t="str">
        <f t="array" ref="BN192">IF($A192="","",IFERROR(INDEX(CS!$B$1:$B$15025,MATCH($A192,CS!$B:$B,0)+COLUMN(H$1),1),""))</f>
        <v/>
      </c>
      <c r="BO192" s="37" t="str">
        <f t="array" ref="BO192">IF($A192="","",IFERROR(INDEX(CS!$B$1:$B$15025,MATCH($A192,CS!$B:$B,0)+COLUMN(I$1),1),""))</f>
        <v/>
      </c>
      <c r="BP192" s="37" t="str">
        <f t="array" ref="BP192">IF($A192="","",IFERROR(INDEX(CS!$B$1:$B$15025,MATCH($A192,CS!$B:$B,0)+COLUMN(J$1),1),""))</f>
        <v/>
      </c>
      <c r="BR192" s="39" t="s">
        <v>2869</v>
      </c>
      <c r="BS192" s="74"/>
      <c r="CG192" s="37" t="s">
        <v>2814</v>
      </c>
      <c r="CI192" s="37" t="s">
        <v>2799</v>
      </c>
      <c r="CJ192" s="37" t="s">
        <v>2810</v>
      </c>
      <c r="CK192" s="37" t="s">
        <v>2793</v>
      </c>
      <c r="CN192" s="37" t="s">
        <v>2812</v>
      </c>
    </row>
    <row r="193" ht="18.75" customHeight="1" outlineLevel="1">
      <c r="A193" s="39" t="s">
        <v>2509</v>
      </c>
      <c r="B193" s="71"/>
      <c r="C193" s="39" t="s">
        <v>2817</v>
      </c>
      <c r="D193" s="72" t="str">
        <f t="shared" si="9"/>
        <v>725/500/225</v>
      </c>
      <c r="E193" s="39">
        <v>2.0</v>
      </c>
      <c r="F193" s="39">
        <v>75.0</v>
      </c>
      <c r="I193" s="39">
        <v>65.0</v>
      </c>
      <c r="J193" s="39">
        <v>70.0</v>
      </c>
      <c r="K193" s="87">
        <v>90.0</v>
      </c>
      <c r="L193" s="39">
        <v>75.0</v>
      </c>
      <c r="M193" s="39">
        <v>50.0</v>
      </c>
      <c r="N193" s="39">
        <v>75.0</v>
      </c>
      <c r="P193" s="37">
        <v>0.0</v>
      </c>
      <c r="Q193" s="64"/>
      <c r="R193" s="64"/>
      <c r="S193" s="64"/>
      <c r="T193" s="64"/>
      <c r="U193" s="64"/>
      <c r="V193" s="64"/>
      <c r="W193" s="64"/>
      <c r="X193" s="64"/>
      <c r="Y193" s="64"/>
      <c r="Z193" s="64"/>
      <c r="AA193" s="64"/>
      <c r="AJ193" s="37">
        <v>0.0</v>
      </c>
      <c r="AK193" s="37">
        <v>0.0</v>
      </c>
      <c r="AL193" s="37">
        <v>75.0</v>
      </c>
      <c r="AM193" s="37">
        <v>25.0</v>
      </c>
      <c r="AN193" s="37">
        <v>25.0</v>
      </c>
      <c r="AO193" s="37">
        <v>0.0</v>
      </c>
      <c r="AP193" s="37">
        <v>0.0</v>
      </c>
      <c r="AQ193" s="37">
        <v>0.0</v>
      </c>
      <c r="AR193" s="37">
        <v>50.0</v>
      </c>
      <c r="AS193" s="37">
        <v>0.0</v>
      </c>
      <c r="AT193" s="37">
        <v>0.0</v>
      </c>
      <c r="AU193" s="37">
        <v>0.0</v>
      </c>
      <c r="AV193" s="37">
        <v>0.0</v>
      </c>
      <c r="AW193" s="37">
        <v>0.0</v>
      </c>
      <c r="AX193" s="37">
        <v>0.0</v>
      </c>
      <c r="AY193" s="37">
        <v>0.0</v>
      </c>
      <c r="AZ193" s="37">
        <v>50.0</v>
      </c>
      <c r="BA193" s="39"/>
      <c r="BB193" s="39"/>
      <c r="BC193" s="39"/>
      <c r="BD193" s="39"/>
      <c r="BE193" s="39"/>
      <c r="BF193" s="39"/>
      <c r="BG193" s="37" t="str">
        <f t="array" ref="BG193">IF($A193="","",IFERROR(INDEX(CS!$B$1:$B$15025,MATCH($A193,CS!$B:$B,0)+COLUMN(A$1),1),""))</f>
        <v/>
      </c>
      <c r="BH193" s="37" t="str">
        <f t="array" ref="BH193">IF($A193="","",IFERROR(INDEX(CS!$B$1:$B$15025,MATCH($A193,CS!$B:$B,0)+COLUMN(B$1),1),""))</f>
        <v/>
      </c>
      <c r="BI193" s="37" t="str">
        <f t="array" ref="BI193">IF($A193="","",IFERROR(INDEX(CS!$B$1:$B$15025,MATCH($A193,CS!$B:$B,0)+COLUMN(C$1),1),""))</f>
        <v/>
      </c>
      <c r="BJ193" s="37" t="str">
        <f t="array" ref="BJ193">IF($A193="","",IFERROR(INDEX(CS!$B$1:$B$15025,MATCH($A193,CS!$B:$B,0)+COLUMN(D$1),1),""))</f>
        <v/>
      </c>
      <c r="BK193" s="37" t="str">
        <f t="array" ref="BK193">IF($A193="","",IFERROR(INDEX(CS!$B$1:$B$15025,MATCH($A193,CS!$B:$B,0)+COLUMN(E$1),1),""))</f>
        <v/>
      </c>
      <c r="BL193" s="37" t="str">
        <f t="array" ref="BL193">IF($A193="","",IFERROR(INDEX(CS!$B$1:$B$15025,MATCH($A193,CS!$B:$B,0)+COLUMN(F$1),1),""))</f>
        <v/>
      </c>
      <c r="BM193" s="37" t="str">
        <f t="array" ref="BM193">IF($A193="","",IFERROR(INDEX(CS!$B$1:$B$15025,MATCH($A193,CS!$B:$B,0)+COLUMN(G$1),1),""))</f>
        <v/>
      </c>
      <c r="BN193" s="37" t="str">
        <f t="array" ref="BN193">IF($A193="","",IFERROR(INDEX(CS!$B$1:$B$15025,MATCH($A193,CS!$B:$B,0)+COLUMN(H$1),1),""))</f>
        <v/>
      </c>
      <c r="BO193" s="37" t="str">
        <f t="array" ref="BO193">IF($A193="","",IFERROR(INDEX(CS!$B$1:$B$15025,MATCH($A193,CS!$B:$B,0)+COLUMN(I$1),1),""))</f>
        <v/>
      </c>
      <c r="BP193" s="37" t="str">
        <f t="array" ref="BP193">IF($A193="","",IFERROR(INDEX(CS!$B$1:$B$15025,MATCH($A193,CS!$B:$B,0)+COLUMN(J$1),1),""))</f>
        <v/>
      </c>
      <c r="BR193" s="39" t="s">
        <v>2869</v>
      </c>
      <c r="BS193" s="74"/>
      <c r="CG193" s="37" t="s">
        <v>2814</v>
      </c>
      <c r="CI193" s="37" t="s">
        <v>2799</v>
      </c>
      <c r="CJ193" s="37" t="s">
        <v>2810</v>
      </c>
      <c r="CK193" s="37" t="s">
        <v>2793</v>
      </c>
      <c r="CN193" s="37" t="s">
        <v>2812</v>
      </c>
    </row>
    <row r="194" ht="18.75" customHeight="1" outlineLevel="1">
      <c r="A194" s="39" t="s">
        <v>2510</v>
      </c>
      <c r="B194" s="71"/>
      <c r="C194" s="39" t="s">
        <v>2817</v>
      </c>
      <c r="D194" s="72" t="str">
        <f t="shared" si="9"/>
        <v>725/500/225</v>
      </c>
      <c r="E194" s="39">
        <v>2.0</v>
      </c>
      <c r="F194" s="39">
        <v>75.0</v>
      </c>
      <c r="I194" s="39">
        <v>65.0</v>
      </c>
      <c r="J194" s="39">
        <v>70.0</v>
      </c>
      <c r="K194" s="87">
        <v>90.0</v>
      </c>
      <c r="L194" s="39">
        <v>75.0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IF($A194="","",IFERROR(INDEX(CS!$B$1:$B$15025,MATCH($A194,CS!$B:$B,0)+COLUMN(A$1),1),""))</f>
        <v/>
      </c>
      <c r="BH194" s="37" t="str">
        <f t="array" ref="BH194">IF($A194="","",IFERROR(INDEX(CS!$B$1:$B$15025,MATCH($A194,CS!$B:$B,0)+COLUMN(B$1),1),""))</f>
        <v/>
      </c>
      <c r="BI194" s="37" t="str">
        <f t="array" ref="BI194">IF($A194="","",IFERROR(INDEX(CS!$B$1:$B$15025,MATCH($A194,CS!$B:$B,0)+COLUMN(C$1),1),""))</f>
        <v/>
      </c>
      <c r="BJ194" s="37" t="str">
        <f t="array" ref="BJ194">IF($A194="","",IFERROR(INDEX(CS!$B$1:$B$15025,MATCH($A194,CS!$B:$B,0)+COLUMN(D$1),1),""))</f>
        <v/>
      </c>
      <c r="BK194" s="37" t="str">
        <f t="array" ref="BK194">IF($A194="","",IFERROR(INDEX(CS!$B$1:$B$15025,MATCH($A194,CS!$B:$B,0)+COLUMN(E$1),1),""))</f>
        <v/>
      </c>
      <c r="BL194" s="37" t="str">
        <f t="array" ref="BL194">IF($A194="","",IFERROR(INDEX(CS!$B$1:$B$15025,MATCH($A194,CS!$B:$B,0)+COLUMN(F$1),1),""))</f>
        <v/>
      </c>
      <c r="BM194" s="37" t="str">
        <f t="array" ref="BM194">IF($A194="","",IFERROR(INDEX(CS!$B$1:$B$15025,MATCH($A194,CS!$B:$B,0)+COLUMN(G$1),1),""))</f>
        <v/>
      </c>
      <c r="BN194" s="37" t="str">
        <f t="array" ref="BN194">IF($A194="","",IFERROR(INDEX(CS!$B$1:$B$15025,MATCH($A194,CS!$B:$B,0)+COLUMN(H$1),1),""))</f>
        <v/>
      </c>
      <c r="BO194" s="37" t="str">
        <f t="array" ref="BO194">IF($A194="","",IFERROR(INDEX(CS!$B$1:$B$15025,MATCH($A194,CS!$B:$B,0)+COLUMN(I$1),1),""))</f>
        <v/>
      </c>
      <c r="BP194" s="37" t="str">
        <f t="array" ref="BP194">IF($A194="","",IFERROR(INDEX(CS!$B$1:$B$15025,MATCH($A194,CS!$B:$B,0)+COLUMN(J$1),1),""))</f>
        <v/>
      </c>
      <c r="BR194" s="39" t="s">
        <v>2869</v>
      </c>
      <c r="BS194" s="74"/>
      <c r="CG194" s="37" t="s">
        <v>2814</v>
      </c>
      <c r="CI194" s="37" t="s">
        <v>2799</v>
      </c>
      <c r="CJ194" s="37" t="s">
        <v>2810</v>
      </c>
      <c r="CK194" s="37" t="s">
        <v>2793</v>
      </c>
      <c r="CN194" s="37" t="s">
        <v>2812</v>
      </c>
    </row>
    <row r="195" ht="18.75" customHeight="1" outlineLevel="1">
      <c r="A195" s="39" t="s">
        <v>2511</v>
      </c>
      <c r="B195" s="71"/>
      <c r="C195" s="39" t="s">
        <v>2817</v>
      </c>
      <c r="D195" s="72" t="str">
        <f t="shared" si="9"/>
        <v>725/500/225</v>
      </c>
      <c r="E195" s="39">
        <v>2.0</v>
      </c>
      <c r="F195" s="39">
        <v>75.0</v>
      </c>
      <c r="I195" s="39">
        <v>65.0</v>
      </c>
      <c r="J195" s="39">
        <v>70.0</v>
      </c>
      <c r="K195" s="87">
        <v>90.0</v>
      </c>
      <c r="L195" s="39">
        <v>75.0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IF($A195="","",IFERROR(INDEX(CS!$B$1:$B$15025,MATCH($A195,CS!$B:$B,0)+COLUMN(A$1),1),""))</f>
        <v/>
      </c>
      <c r="BH195" s="37" t="str">
        <f t="array" ref="BH195">IF($A195="","",IFERROR(INDEX(CS!$B$1:$B$15025,MATCH($A195,CS!$B:$B,0)+COLUMN(B$1),1),""))</f>
        <v/>
      </c>
      <c r="BI195" s="37" t="str">
        <f t="array" ref="BI195">IF($A195="","",IFERROR(INDEX(CS!$B$1:$B$15025,MATCH($A195,CS!$B:$B,0)+COLUMN(C$1),1),""))</f>
        <v/>
      </c>
      <c r="BJ195" s="37" t="str">
        <f t="array" ref="BJ195">IF($A195="","",IFERROR(INDEX(CS!$B$1:$B$15025,MATCH($A195,CS!$B:$B,0)+COLUMN(D$1),1),""))</f>
        <v/>
      </c>
      <c r="BK195" s="37" t="str">
        <f t="array" ref="BK195">IF($A195="","",IFERROR(INDEX(CS!$B$1:$B$15025,MATCH($A195,CS!$B:$B,0)+COLUMN(E$1),1),""))</f>
        <v/>
      </c>
      <c r="BL195" s="37" t="str">
        <f t="array" ref="BL195">IF($A195="","",IFERROR(INDEX(CS!$B$1:$B$15025,MATCH($A195,CS!$B:$B,0)+COLUMN(F$1),1),""))</f>
        <v/>
      </c>
      <c r="BM195" s="37" t="str">
        <f t="array" ref="BM195">IF($A195="","",IFERROR(INDEX(CS!$B$1:$B$15025,MATCH($A195,CS!$B:$B,0)+COLUMN(G$1),1),""))</f>
        <v/>
      </c>
      <c r="BN195" s="37" t="str">
        <f t="array" ref="BN195">IF($A195="","",IFERROR(INDEX(CS!$B$1:$B$15025,MATCH($A195,CS!$B:$B,0)+COLUMN(H$1),1),""))</f>
        <v/>
      </c>
      <c r="BO195" s="37" t="str">
        <f t="array" ref="BO195">IF($A195="","",IFERROR(INDEX(CS!$B$1:$B$15025,MATCH($A195,CS!$B:$B,0)+COLUMN(I$1),1),""))</f>
        <v/>
      </c>
      <c r="BP195" s="37" t="str">
        <f t="array" ref="BP195">IF($A195="","",IFERROR(INDEX(CS!$B$1:$B$15025,MATCH($A195,CS!$B:$B,0)+COLUMN(J$1),1),""))</f>
        <v/>
      </c>
      <c r="BR195" s="39" t="s">
        <v>2869</v>
      </c>
      <c r="BS195" s="74"/>
      <c r="CG195" s="37" t="s">
        <v>2814</v>
      </c>
      <c r="CI195" s="37" t="s">
        <v>2799</v>
      </c>
      <c r="CJ195" s="37" t="s">
        <v>2810</v>
      </c>
      <c r="CK195" s="37" t="s">
        <v>2793</v>
      </c>
      <c r="CN195" s="37" t="s">
        <v>2812</v>
      </c>
    </row>
    <row r="196" ht="18.75" customHeight="1" outlineLevel="1">
      <c r="A196" s="39" t="s">
        <v>2513</v>
      </c>
      <c r="B196" s="71"/>
      <c r="C196" s="39" t="s">
        <v>2817</v>
      </c>
      <c r="D196" s="72" t="str">
        <f t="shared" si="9"/>
        <v>740/515/225</v>
      </c>
      <c r="E196" s="39">
        <v>3.0</v>
      </c>
      <c r="F196" s="39">
        <v>75.0</v>
      </c>
      <c r="I196" s="39">
        <v>65.0</v>
      </c>
      <c r="J196" s="39">
        <v>75.0</v>
      </c>
      <c r="K196" s="87">
        <v>95.0</v>
      </c>
      <c r="L196" s="39">
        <v>80.0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IF($A196="","",IFERROR(INDEX(CS!$B$1:$B$15025,MATCH($A196,CS!$B:$B,0)+COLUMN(A$1),1),""))</f>
        <v/>
      </c>
      <c r="BH196" s="37" t="str">
        <f t="array" ref="BH196">IF($A196="","",IFERROR(INDEX(CS!$B$1:$B$15025,MATCH($A196,CS!$B:$B,0)+COLUMN(B$1),1),""))</f>
        <v/>
      </c>
      <c r="BI196" s="37" t="str">
        <f t="array" ref="BI196">IF($A196="","",IFERROR(INDEX(CS!$B$1:$B$15025,MATCH($A196,CS!$B:$B,0)+COLUMN(C$1),1),""))</f>
        <v/>
      </c>
      <c r="BJ196" s="37" t="str">
        <f t="array" ref="BJ196">IF($A196="","",IFERROR(INDEX(CS!$B$1:$B$15025,MATCH($A196,CS!$B:$B,0)+COLUMN(D$1),1),""))</f>
        <v/>
      </c>
      <c r="BK196" s="37" t="str">
        <f t="array" ref="BK196">IF($A196="","",IFERROR(INDEX(CS!$B$1:$B$15025,MATCH($A196,CS!$B:$B,0)+COLUMN(E$1),1),""))</f>
        <v/>
      </c>
      <c r="BL196" s="37" t="str">
        <f t="array" ref="BL196">IF($A196="","",IFERROR(INDEX(CS!$B$1:$B$15025,MATCH($A196,CS!$B:$B,0)+COLUMN(F$1),1),""))</f>
        <v/>
      </c>
      <c r="BM196" s="37" t="str">
        <f t="array" ref="BM196">IF($A196="","",IFERROR(INDEX(CS!$B$1:$B$15025,MATCH($A196,CS!$B:$B,0)+COLUMN(G$1),1),""))</f>
        <v/>
      </c>
      <c r="BN196" s="37" t="str">
        <f t="array" ref="BN196">IF($A196="","",IFERROR(INDEX(CS!$B$1:$B$15025,MATCH($A196,CS!$B:$B,0)+COLUMN(H$1),1),""))</f>
        <v/>
      </c>
      <c r="BO196" s="37" t="str">
        <f t="array" ref="BO196">IF($A196="","",IFERROR(INDEX(CS!$B$1:$B$15025,MATCH($A196,CS!$B:$B,0)+COLUMN(I$1),1),""))</f>
        <v/>
      </c>
      <c r="BP196" s="37" t="str">
        <f t="array" ref="BP196">IF($A196="","",IFERROR(INDEX(CS!$B$1:$B$15025,MATCH($A196,CS!$B:$B,0)+COLUMN(J$1),1),""))</f>
        <v/>
      </c>
      <c r="BR196" s="39" t="s">
        <v>2870</v>
      </c>
      <c r="BS196" s="74"/>
      <c r="CG196" s="37" t="s">
        <v>2814</v>
      </c>
      <c r="CI196" s="37" t="s">
        <v>2799</v>
      </c>
      <c r="CJ196" s="37" t="s">
        <v>2810</v>
      </c>
      <c r="CK196" s="37" t="s">
        <v>2793</v>
      </c>
      <c r="CN196" s="37" t="s">
        <v>2812</v>
      </c>
    </row>
    <row r="197" ht="18.75" customHeight="1" outlineLevel="1">
      <c r="A197" s="39" t="s">
        <v>2514</v>
      </c>
      <c r="B197" s="71"/>
      <c r="C197" s="39" t="s">
        <v>2817</v>
      </c>
      <c r="D197" s="72" t="str">
        <f t="shared" si="9"/>
        <v>740/515/225</v>
      </c>
      <c r="E197" s="39">
        <v>3.0</v>
      </c>
      <c r="F197" s="39">
        <v>75.0</v>
      </c>
      <c r="I197" s="39">
        <v>65.0</v>
      </c>
      <c r="J197" s="39">
        <v>75.0</v>
      </c>
      <c r="K197" s="87">
        <v>95.0</v>
      </c>
      <c r="L197" s="39">
        <v>80.0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IF($A197="","",IFERROR(INDEX(CS!$B$1:$B$15025,MATCH($A197,CS!$B:$B,0)+COLUMN(A$1),1),""))</f>
        <v/>
      </c>
      <c r="BH197" s="37" t="str">
        <f t="array" ref="BH197">IF($A197="","",IFERROR(INDEX(CS!$B$1:$B$15025,MATCH($A197,CS!$B:$B,0)+COLUMN(B$1),1),""))</f>
        <v/>
      </c>
      <c r="BI197" s="37" t="str">
        <f t="array" ref="BI197">IF($A197="","",IFERROR(INDEX(CS!$B$1:$B$15025,MATCH($A197,CS!$B:$B,0)+COLUMN(C$1),1),""))</f>
        <v/>
      </c>
      <c r="BJ197" s="37" t="str">
        <f t="array" ref="BJ197">IF($A197="","",IFERROR(INDEX(CS!$B$1:$B$15025,MATCH($A197,CS!$B:$B,0)+COLUMN(D$1),1),""))</f>
        <v/>
      </c>
      <c r="BK197" s="37" t="str">
        <f t="array" ref="BK197">IF($A197="","",IFERROR(INDEX(CS!$B$1:$B$15025,MATCH($A197,CS!$B:$B,0)+COLUMN(E$1),1),""))</f>
        <v/>
      </c>
      <c r="BL197" s="37" t="str">
        <f t="array" ref="BL197">IF($A197="","",IFERROR(INDEX(CS!$B$1:$B$15025,MATCH($A197,CS!$B:$B,0)+COLUMN(F$1),1),""))</f>
        <v/>
      </c>
      <c r="BM197" s="37" t="str">
        <f t="array" ref="BM197">IF($A197="","",IFERROR(INDEX(CS!$B$1:$B$15025,MATCH($A197,CS!$B:$B,0)+COLUMN(G$1),1),""))</f>
        <v/>
      </c>
      <c r="BN197" s="37" t="str">
        <f t="array" ref="BN197">IF($A197="","",IFERROR(INDEX(CS!$B$1:$B$15025,MATCH($A197,CS!$B:$B,0)+COLUMN(H$1),1),""))</f>
        <v/>
      </c>
      <c r="BO197" s="37" t="str">
        <f t="array" ref="BO197">IF($A197="","",IFERROR(INDEX(CS!$B$1:$B$15025,MATCH($A197,CS!$B:$B,0)+COLUMN(I$1),1),""))</f>
        <v/>
      </c>
      <c r="BP197" s="37" t="str">
        <f t="array" ref="BP197">IF($A197="","",IFERROR(INDEX(CS!$B$1:$B$15025,MATCH($A197,CS!$B:$B,0)+COLUMN(J$1),1),""))</f>
        <v/>
      </c>
      <c r="BR197" s="39" t="s">
        <v>2871</v>
      </c>
      <c r="BS197" s="74"/>
      <c r="CG197" s="37" t="s">
        <v>2814</v>
      </c>
      <c r="CI197" s="37" t="s">
        <v>2799</v>
      </c>
      <c r="CJ197" s="37" t="s">
        <v>2810</v>
      </c>
      <c r="CK197" s="37" t="s">
        <v>2793</v>
      </c>
      <c r="CN197" s="37" t="s">
        <v>2812</v>
      </c>
    </row>
    <row r="198" ht="18.75" customHeight="1" outlineLevel="1">
      <c r="A198" s="39" t="s">
        <v>2515</v>
      </c>
      <c r="B198" s="71"/>
      <c r="C198" s="39" t="s">
        <v>2817</v>
      </c>
      <c r="D198" s="72" t="str">
        <f t="shared" si="9"/>
        <v>740/515/225</v>
      </c>
      <c r="E198" s="39">
        <v>3.0</v>
      </c>
      <c r="F198" s="39">
        <v>75.0</v>
      </c>
      <c r="I198" s="39">
        <v>65.0</v>
      </c>
      <c r="J198" s="39">
        <v>75.0</v>
      </c>
      <c r="K198" s="87">
        <v>95.0</v>
      </c>
      <c r="L198" s="39">
        <v>80.0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50.0</v>
      </c>
      <c r="AS198" s="37">
        <v>0.0</v>
      </c>
      <c r="AT198" s="37">
        <v>0.0</v>
      </c>
      <c r="AU198" s="37">
        <v>0.0</v>
      </c>
      <c r="AV198" s="37">
        <v>0.0</v>
      </c>
      <c r="AW198" s="37">
        <v>0.0</v>
      </c>
      <c r="AX198" s="37">
        <v>0.0</v>
      </c>
      <c r="AY198" s="37">
        <v>0.0</v>
      </c>
      <c r="AZ198" s="37">
        <v>50.0</v>
      </c>
      <c r="BA198" s="39"/>
      <c r="BB198" s="39"/>
      <c r="BC198" s="39"/>
      <c r="BD198" s="39"/>
      <c r="BE198" s="39"/>
      <c r="BF198" s="39"/>
      <c r="BG198" s="37" t="str">
        <f t="array" ref="BG198">IF($A198="","",IFERROR(INDEX(CS!$B$1:$B$15025,MATCH($A198,CS!$B:$B,0)+COLUMN(A$1),1),""))</f>
        <v/>
      </c>
      <c r="BH198" s="37" t="str">
        <f t="array" ref="BH198">IF($A198="","",IFERROR(INDEX(CS!$B$1:$B$15025,MATCH($A198,CS!$B:$B,0)+COLUMN(B$1),1),""))</f>
        <v/>
      </c>
      <c r="BI198" s="37" t="str">
        <f t="array" ref="BI198">IF($A198="","",IFERROR(INDEX(CS!$B$1:$B$15025,MATCH($A198,CS!$B:$B,0)+COLUMN(C$1),1),""))</f>
        <v/>
      </c>
      <c r="BJ198" s="37" t="str">
        <f t="array" ref="BJ198">IF($A198="","",IFERROR(INDEX(CS!$B$1:$B$15025,MATCH($A198,CS!$B:$B,0)+COLUMN(D$1),1),""))</f>
        <v/>
      </c>
      <c r="BK198" s="37" t="str">
        <f t="array" ref="BK198">IF($A198="","",IFERROR(INDEX(CS!$B$1:$B$15025,MATCH($A198,CS!$B:$B,0)+COLUMN(E$1),1),""))</f>
        <v/>
      </c>
      <c r="BL198" s="37" t="str">
        <f t="array" ref="BL198">IF($A198="","",IFERROR(INDEX(CS!$B$1:$B$15025,MATCH($A198,CS!$B:$B,0)+COLUMN(F$1),1),""))</f>
        <v/>
      </c>
      <c r="BM198" s="37" t="str">
        <f t="array" ref="BM198">IF($A198="","",IFERROR(INDEX(CS!$B$1:$B$15025,MATCH($A198,CS!$B:$B,0)+COLUMN(G$1),1),""))</f>
        <v/>
      </c>
      <c r="BN198" s="37" t="str">
        <f t="array" ref="BN198">IF($A198="","",IFERROR(INDEX(CS!$B$1:$B$15025,MATCH($A198,CS!$B:$B,0)+COLUMN(H$1),1),""))</f>
        <v/>
      </c>
      <c r="BO198" s="37" t="str">
        <f t="array" ref="BO198">IF($A198="","",IFERROR(INDEX(CS!$B$1:$B$15025,MATCH($A198,CS!$B:$B,0)+COLUMN(I$1),1),""))</f>
        <v/>
      </c>
      <c r="BP198" s="37" t="str">
        <f t="array" ref="BP198">IF($A198="","",IFERROR(INDEX(CS!$B$1:$B$15025,MATCH($A198,CS!$B:$B,0)+COLUMN(J$1),1),""))</f>
        <v/>
      </c>
      <c r="BR198" s="39" t="s">
        <v>2872</v>
      </c>
      <c r="BS198" s="74"/>
      <c r="CG198" s="37" t="s">
        <v>2814</v>
      </c>
      <c r="CI198" s="37" t="s">
        <v>2799</v>
      </c>
      <c r="CJ198" s="37" t="s">
        <v>2810</v>
      </c>
      <c r="CK198" s="37" t="s">
        <v>2793</v>
      </c>
      <c r="CN198" s="37" t="s">
        <v>2812</v>
      </c>
    </row>
    <row r="199" ht="18.75" customHeight="1" outlineLevel="1">
      <c r="A199" s="39" t="s">
        <v>2516</v>
      </c>
      <c r="B199" s="71"/>
      <c r="C199" s="39" t="s">
        <v>2817</v>
      </c>
      <c r="D199" s="72" t="str">
        <f t="shared" si="9"/>
        <v>740/515/225</v>
      </c>
      <c r="E199" s="39">
        <v>3.0</v>
      </c>
      <c r="F199" s="39">
        <v>75.0</v>
      </c>
      <c r="I199" s="39">
        <v>65.0</v>
      </c>
      <c r="J199" s="39">
        <v>75.0</v>
      </c>
      <c r="K199" s="87">
        <v>95.0</v>
      </c>
      <c r="L199" s="39">
        <v>80.0</v>
      </c>
      <c r="M199" s="39">
        <v>50.0</v>
      </c>
      <c r="N199" s="39">
        <v>75.0</v>
      </c>
      <c r="P199" s="37">
        <v>0.0</v>
      </c>
      <c r="Q199" s="64"/>
      <c r="R199" s="64"/>
      <c r="S199" s="64"/>
      <c r="T199" s="64"/>
      <c r="U199" s="64"/>
      <c r="V199" s="64"/>
      <c r="W199" s="64"/>
      <c r="X199" s="64"/>
      <c r="Y199" s="64"/>
      <c r="Z199" s="64"/>
      <c r="AA199" s="64"/>
      <c r="AJ199" s="37">
        <v>0.0</v>
      </c>
      <c r="AK199" s="37">
        <v>0.0</v>
      </c>
      <c r="AL199" s="37">
        <v>75.0</v>
      </c>
      <c r="AM199" s="37">
        <v>25.0</v>
      </c>
      <c r="AN199" s="37">
        <v>25.0</v>
      </c>
      <c r="AO199" s="37">
        <v>0.0</v>
      </c>
      <c r="AP199" s="37">
        <v>0.0</v>
      </c>
      <c r="AQ199" s="37">
        <v>0.0</v>
      </c>
      <c r="AR199" s="37">
        <v>50.0</v>
      </c>
      <c r="AS199" s="37">
        <v>0.0</v>
      </c>
      <c r="AT199" s="37">
        <v>0.0</v>
      </c>
      <c r="AU199" s="37">
        <v>0.0</v>
      </c>
      <c r="AV199" s="37">
        <v>0.0</v>
      </c>
      <c r="AW199" s="37">
        <v>0.0</v>
      </c>
      <c r="AX199" s="37">
        <v>0.0</v>
      </c>
      <c r="AY199" s="37">
        <v>0.0</v>
      </c>
      <c r="AZ199" s="37">
        <v>50.0</v>
      </c>
      <c r="BA199" s="39"/>
      <c r="BB199" s="39"/>
      <c r="BC199" s="39"/>
      <c r="BD199" s="39"/>
      <c r="BE199" s="39"/>
      <c r="BF199" s="39"/>
      <c r="BG199" s="37" t="str">
        <f t="array" ref="BG199">IF($A199="","",IFERROR(INDEX(CS!$B$1:$B$15025,MATCH($A199,CS!$B:$B,0)+COLUMN(A$1),1),""))</f>
        <v/>
      </c>
      <c r="BH199" s="37" t="str">
        <f t="array" ref="BH199">IF($A199="","",IFERROR(INDEX(CS!$B$1:$B$15025,MATCH($A199,CS!$B:$B,0)+COLUMN(B$1),1),""))</f>
        <v/>
      </c>
      <c r="BI199" s="37" t="str">
        <f t="array" ref="BI199">IF($A199="","",IFERROR(INDEX(CS!$B$1:$B$15025,MATCH($A199,CS!$B:$B,0)+COLUMN(C$1),1),""))</f>
        <v/>
      </c>
      <c r="BJ199" s="37" t="str">
        <f t="array" ref="BJ199">IF($A199="","",IFERROR(INDEX(CS!$B$1:$B$15025,MATCH($A199,CS!$B:$B,0)+COLUMN(D$1),1),""))</f>
        <v/>
      </c>
      <c r="BK199" s="37" t="str">
        <f t="array" ref="BK199">IF($A199="","",IFERROR(INDEX(CS!$B$1:$B$15025,MATCH($A199,CS!$B:$B,0)+COLUMN(E$1),1),""))</f>
        <v/>
      </c>
      <c r="BL199" s="37" t="str">
        <f t="array" ref="BL199">IF($A199="","",IFERROR(INDEX(CS!$B$1:$B$15025,MATCH($A199,CS!$B:$B,0)+COLUMN(F$1),1),""))</f>
        <v/>
      </c>
      <c r="BM199" s="37" t="str">
        <f t="array" ref="BM199">IF($A199="","",IFERROR(INDEX(CS!$B$1:$B$15025,MATCH($A199,CS!$B:$B,0)+COLUMN(G$1),1),""))</f>
        <v/>
      </c>
      <c r="BN199" s="37" t="str">
        <f t="array" ref="BN199">IF($A199="","",IFERROR(INDEX(CS!$B$1:$B$15025,MATCH($A199,CS!$B:$B,0)+COLUMN(H$1),1),""))</f>
        <v/>
      </c>
      <c r="BO199" s="37" t="str">
        <f t="array" ref="BO199">IF($A199="","",IFERROR(INDEX(CS!$B$1:$B$15025,MATCH($A199,CS!$B:$B,0)+COLUMN(I$1),1),""))</f>
        <v/>
      </c>
      <c r="BP199" s="37" t="str">
        <f t="array" ref="BP199">IF($A199="","",IFERROR(INDEX(CS!$B$1:$B$15025,MATCH($A199,CS!$B:$B,0)+COLUMN(J$1),1),""))</f>
        <v/>
      </c>
      <c r="BR199" s="39" t="s">
        <v>2873</v>
      </c>
      <c r="BS199" s="74"/>
      <c r="CG199" s="37" t="s">
        <v>2814</v>
      </c>
      <c r="CI199" s="37" t="s">
        <v>2799</v>
      </c>
      <c r="CJ199" s="37" t="s">
        <v>2810</v>
      </c>
      <c r="CK199" s="37" t="s">
        <v>2793</v>
      </c>
      <c r="CN199" s="37" t="s">
        <v>2812</v>
      </c>
    </row>
    <row r="200" ht="18.75" customHeight="1" outlineLevel="1">
      <c r="A200" s="39" t="s">
        <v>2517</v>
      </c>
      <c r="B200" s="71"/>
      <c r="C200" s="39" t="s">
        <v>2817</v>
      </c>
      <c r="D200" s="72" t="str">
        <f t="shared" si="9"/>
        <v>740/515/225</v>
      </c>
      <c r="E200" s="39">
        <v>3.0</v>
      </c>
      <c r="F200" s="39">
        <v>75.0</v>
      </c>
      <c r="I200" s="39">
        <v>65.0</v>
      </c>
      <c r="J200" s="39">
        <v>75.0</v>
      </c>
      <c r="K200" s="87">
        <v>95.0</v>
      </c>
      <c r="L200" s="39">
        <v>80.0</v>
      </c>
      <c r="M200" s="39">
        <v>50.0</v>
      </c>
      <c r="N200" s="39">
        <v>75.0</v>
      </c>
      <c r="P200" s="37">
        <v>0.0</v>
      </c>
      <c r="Q200" s="64"/>
      <c r="R200" s="64"/>
      <c r="S200" s="64"/>
      <c r="T200" s="64"/>
      <c r="U200" s="64"/>
      <c r="V200" s="64"/>
      <c r="W200" s="64"/>
      <c r="X200" s="64"/>
      <c r="Y200" s="64"/>
      <c r="Z200" s="64"/>
      <c r="AA200" s="64"/>
      <c r="AJ200" s="37">
        <v>0.0</v>
      </c>
      <c r="AK200" s="37">
        <v>0.0</v>
      </c>
      <c r="AL200" s="37">
        <v>75.0</v>
      </c>
      <c r="AM200" s="37">
        <v>25.0</v>
      </c>
      <c r="AN200" s="37">
        <v>25.0</v>
      </c>
      <c r="AO200" s="37">
        <v>0.0</v>
      </c>
      <c r="AP200" s="37">
        <v>0.0</v>
      </c>
      <c r="AQ200" s="37">
        <v>0.0</v>
      </c>
      <c r="AR200" s="37">
        <v>50.0</v>
      </c>
      <c r="AS200" s="37">
        <v>0.0</v>
      </c>
      <c r="AT200" s="37">
        <v>0.0</v>
      </c>
      <c r="AU200" s="37">
        <v>0.0</v>
      </c>
      <c r="AV200" s="37">
        <v>0.0</v>
      </c>
      <c r="AW200" s="37">
        <v>0.0</v>
      </c>
      <c r="AX200" s="37">
        <v>0.0</v>
      </c>
      <c r="AY200" s="37">
        <v>0.0</v>
      </c>
      <c r="AZ200" s="37">
        <v>50.0</v>
      </c>
      <c r="BA200" s="39"/>
      <c r="BB200" s="39"/>
      <c r="BC200" s="39"/>
      <c r="BD200" s="39"/>
      <c r="BE200" s="39"/>
      <c r="BF200" s="39"/>
      <c r="BG200" s="37" t="str">
        <f t="array" ref="BG200">IF($A200="","",IFERROR(INDEX(CS!$B$1:$B$15025,MATCH($A200,CS!$B:$B,0)+COLUMN(A$1),1),""))</f>
        <v/>
      </c>
      <c r="BH200" s="37" t="str">
        <f t="array" ref="BH200">IF($A200="","",IFERROR(INDEX(CS!$B$1:$B$15025,MATCH($A200,CS!$B:$B,0)+COLUMN(B$1),1),""))</f>
        <v/>
      </c>
      <c r="BI200" s="37" t="str">
        <f t="array" ref="BI200">IF($A200="","",IFERROR(INDEX(CS!$B$1:$B$15025,MATCH($A200,CS!$B:$B,0)+COLUMN(C$1),1),""))</f>
        <v/>
      </c>
      <c r="BJ200" s="37" t="str">
        <f t="array" ref="BJ200">IF($A200="","",IFERROR(INDEX(CS!$B$1:$B$15025,MATCH($A200,CS!$B:$B,0)+COLUMN(D$1),1),""))</f>
        <v/>
      </c>
      <c r="BK200" s="37" t="str">
        <f t="array" ref="BK200">IF($A200="","",IFERROR(INDEX(CS!$B$1:$B$15025,MATCH($A200,CS!$B:$B,0)+COLUMN(E$1),1),""))</f>
        <v/>
      </c>
      <c r="BL200" s="37" t="str">
        <f t="array" ref="BL200">IF($A200="","",IFERROR(INDEX(CS!$B$1:$B$15025,MATCH($A200,CS!$B:$B,0)+COLUMN(F$1),1),""))</f>
        <v/>
      </c>
      <c r="BM200" s="37" t="str">
        <f t="array" ref="BM200">IF($A200="","",IFERROR(INDEX(CS!$B$1:$B$15025,MATCH($A200,CS!$B:$B,0)+COLUMN(G$1),1),""))</f>
        <v/>
      </c>
      <c r="BN200" s="37" t="str">
        <f t="array" ref="BN200">IF($A200="","",IFERROR(INDEX(CS!$B$1:$B$15025,MATCH($A200,CS!$B:$B,0)+COLUMN(H$1),1),""))</f>
        <v/>
      </c>
      <c r="BO200" s="37" t="str">
        <f t="array" ref="BO200">IF($A200="","",IFERROR(INDEX(CS!$B$1:$B$15025,MATCH($A200,CS!$B:$B,0)+COLUMN(I$1),1),""))</f>
        <v/>
      </c>
      <c r="BP200" s="37" t="str">
        <f t="array" ref="BP200">IF($A200="","",IFERROR(INDEX(CS!$B$1:$B$15025,MATCH($A200,CS!$B:$B,0)+COLUMN(J$1),1),""))</f>
        <v/>
      </c>
      <c r="BR200" s="39" t="s">
        <v>2874</v>
      </c>
      <c r="BS200" s="74"/>
      <c r="CG200" s="37" t="s">
        <v>2814</v>
      </c>
      <c r="CI200" s="37" t="s">
        <v>2799</v>
      </c>
      <c r="CJ200" s="37" t="s">
        <v>2810</v>
      </c>
      <c r="CK200" s="37" t="s">
        <v>2793</v>
      </c>
      <c r="CN200" s="37" t="s">
        <v>2812</v>
      </c>
    </row>
    <row r="201" ht="18.75" customHeight="1" outlineLevel="1">
      <c r="A201" s="39" t="s">
        <v>2518</v>
      </c>
      <c r="B201" s="71"/>
      <c r="C201" s="39" t="s">
        <v>2817</v>
      </c>
      <c r="D201" s="72" t="str">
        <f t="shared" si="9"/>
        <v>740/515/225</v>
      </c>
      <c r="E201" s="39">
        <v>3.0</v>
      </c>
      <c r="F201" s="39">
        <v>75.0</v>
      </c>
      <c r="I201" s="39">
        <v>65.0</v>
      </c>
      <c r="J201" s="39">
        <v>75.0</v>
      </c>
      <c r="K201" s="87">
        <v>95.0</v>
      </c>
      <c r="L201" s="39">
        <v>80.0</v>
      </c>
      <c r="M201" s="39">
        <v>50.0</v>
      </c>
      <c r="N201" s="39">
        <v>75.0</v>
      </c>
      <c r="P201" s="37">
        <v>0.0</v>
      </c>
      <c r="Q201" s="64"/>
      <c r="R201" s="64"/>
      <c r="S201" s="64"/>
      <c r="T201" s="64"/>
      <c r="U201" s="64"/>
      <c r="V201" s="64"/>
      <c r="W201" s="64"/>
      <c r="X201" s="64"/>
      <c r="Y201" s="64"/>
      <c r="Z201" s="64"/>
      <c r="AA201" s="64"/>
      <c r="AJ201" s="37">
        <v>0.0</v>
      </c>
      <c r="AK201" s="37">
        <v>0.0</v>
      </c>
      <c r="AL201" s="37">
        <v>75.0</v>
      </c>
      <c r="AM201" s="37">
        <v>25.0</v>
      </c>
      <c r="AN201" s="37">
        <v>25.0</v>
      </c>
      <c r="AO201" s="37">
        <v>0.0</v>
      </c>
      <c r="AP201" s="37">
        <v>0.0</v>
      </c>
      <c r="AQ201" s="37">
        <v>0.0</v>
      </c>
      <c r="AR201" s="37">
        <v>50.0</v>
      </c>
      <c r="AS201" s="37">
        <v>0.0</v>
      </c>
      <c r="AT201" s="37">
        <v>0.0</v>
      </c>
      <c r="AU201" s="37">
        <v>0.0</v>
      </c>
      <c r="AV201" s="37">
        <v>0.0</v>
      </c>
      <c r="AW201" s="37">
        <v>0.0</v>
      </c>
      <c r="AX201" s="37">
        <v>0.0</v>
      </c>
      <c r="AY201" s="37">
        <v>0.0</v>
      </c>
      <c r="AZ201" s="37">
        <v>50.0</v>
      </c>
      <c r="BA201" s="39"/>
      <c r="BB201" s="39"/>
      <c r="BC201" s="39"/>
      <c r="BD201" s="39"/>
      <c r="BE201" s="39"/>
      <c r="BF201" s="39"/>
      <c r="BG201" s="37" t="str">
        <f t="array" ref="BG201">IF($A201="","",IFERROR(INDEX(CS!$B$1:$B$15025,MATCH($A201,CS!$B:$B,0)+COLUMN(A$1),1),""))</f>
        <v/>
      </c>
      <c r="BH201" s="37" t="str">
        <f t="array" ref="BH201">IF($A201="","",IFERROR(INDEX(CS!$B$1:$B$15025,MATCH($A201,CS!$B:$B,0)+COLUMN(B$1),1),""))</f>
        <v/>
      </c>
      <c r="BI201" s="37" t="str">
        <f t="array" ref="BI201">IF($A201="","",IFERROR(INDEX(CS!$B$1:$B$15025,MATCH($A201,CS!$B:$B,0)+COLUMN(C$1),1),""))</f>
        <v/>
      </c>
      <c r="BJ201" s="37" t="str">
        <f t="array" ref="BJ201">IF($A201="","",IFERROR(INDEX(CS!$B$1:$B$15025,MATCH($A201,CS!$B:$B,0)+COLUMN(D$1),1),""))</f>
        <v/>
      </c>
      <c r="BK201" s="37" t="str">
        <f t="array" ref="BK201">IF($A201="","",IFERROR(INDEX(CS!$B$1:$B$15025,MATCH($A201,CS!$B:$B,0)+COLUMN(E$1),1),""))</f>
        <v/>
      </c>
      <c r="BL201" s="37" t="str">
        <f t="array" ref="BL201">IF($A201="","",IFERROR(INDEX(CS!$B$1:$B$15025,MATCH($A201,CS!$B:$B,0)+COLUMN(F$1),1),""))</f>
        <v/>
      </c>
      <c r="BM201" s="37" t="str">
        <f t="array" ref="BM201">IF($A201="","",IFERROR(INDEX(CS!$B$1:$B$15025,MATCH($A201,CS!$B:$B,0)+COLUMN(G$1),1),""))</f>
        <v/>
      </c>
      <c r="BN201" s="37" t="str">
        <f t="array" ref="BN201">IF($A201="","",IFERROR(INDEX(CS!$B$1:$B$15025,MATCH($A201,CS!$B:$B,0)+COLUMN(H$1),1),""))</f>
        <v/>
      </c>
      <c r="BO201" s="37" t="str">
        <f t="array" ref="BO201">IF($A201="","",IFERROR(INDEX(CS!$B$1:$B$15025,MATCH($A201,CS!$B:$B,0)+COLUMN(I$1),1),""))</f>
        <v/>
      </c>
      <c r="BP201" s="37" t="str">
        <f t="array" ref="BP201">IF($A201="","",IFERROR(INDEX(CS!$B$1:$B$15025,MATCH($A201,CS!$B:$B,0)+COLUMN(J$1),1),""))</f>
        <v/>
      </c>
      <c r="BR201" s="39" t="s">
        <v>2875</v>
      </c>
      <c r="BS201" s="74"/>
      <c r="CG201" s="37" t="s">
        <v>2814</v>
      </c>
      <c r="CI201" s="37" t="s">
        <v>2799</v>
      </c>
      <c r="CJ201" s="37" t="s">
        <v>2810</v>
      </c>
      <c r="CK201" s="37" t="s">
        <v>2793</v>
      </c>
      <c r="CN201" s="37" t="s">
        <v>2812</v>
      </c>
    </row>
    <row r="202" ht="18.75" customHeight="1" outlineLevel="1">
      <c r="A202" s="39" t="s">
        <v>2519</v>
      </c>
      <c r="B202" s="71"/>
      <c r="C202" s="39" t="s">
        <v>2817</v>
      </c>
      <c r="D202" s="72" t="str">
        <f t="shared" si="9"/>
        <v>785/535/250</v>
      </c>
      <c r="E202" s="39">
        <v>4.0</v>
      </c>
      <c r="F202" s="39">
        <v>80.0</v>
      </c>
      <c r="I202" s="39">
        <v>65.0</v>
      </c>
      <c r="J202" s="39">
        <v>80.0</v>
      </c>
      <c r="K202" s="87">
        <v>100.0</v>
      </c>
      <c r="L202" s="39">
        <v>85.0</v>
      </c>
      <c r="M202" s="39">
        <v>50.0</v>
      </c>
      <c r="N202" s="39">
        <v>75.0</v>
      </c>
      <c r="P202" s="37">
        <v>0.0</v>
      </c>
      <c r="Q202" s="64"/>
      <c r="R202" s="64"/>
      <c r="S202" s="64"/>
      <c r="T202" s="64"/>
      <c r="U202" s="64"/>
      <c r="V202" s="64"/>
      <c r="W202" s="64"/>
      <c r="X202" s="64"/>
      <c r="Y202" s="64"/>
      <c r="Z202" s="64"/>
      <c r="AA202" s="64"/>
      <c r="AJ202" s="37">
        <v>0.0</v>
      </c>
      <c r="AK202" s="37">
        <v>0.0</v>
      </c>
      <c r="AL202" s="37">
        <v>75.0</v>
      </c>
      <c r="AM202" s="37">
        <v>25.0</v>
      </c>
      <c r="AN202" s="37">
        <v>25.0</v>
      </c>
      <c r="AO202" s="37">
        <v>0.0</v>
      </c>
      <c r="AP202" s="37">
        <v>0.0</v>
      </c>
      <c r="AQ202" s="37">
        <v>0.0</v>
      </c>
      <c r="AR202" s="37">
        <v>60.0</v>
      </c>
      <c r="AS202" s="37">
        <v>0.0</v>
      </c>
      <c r="AT202" s="37">
        <v>0.0</v>
      </c>
      <c r="AU202" s="37">
        <v>0.0</v>
      </c>
      <c r="AV202" s="37">
        <v>0.0</v>
      </c>
      <c r="AW202" s="37">
        <v>0.0</v>
      </c>
      <c r="AX202" s="37">
        <v>0.0</v>
      </c>
      <c r="AY202" s="37">
        <v>0.0</v>
      </c>
      <c r="AZ202" s="37">
        <v>65.0</v>
      </c>
      <c r="BA202" s="39"/>
      <c r="BB202" s="39"/>
      <c r="BC202" s="39"/>
      <c r="BD202" s="39"/>
      <c r="BE202" s="39"/>
      <c r="BF202" s="39"/>
      <c r="BG202" s="37" t="str">
        <f t="array" ref="BG202">IF($A202="","",IFERROR(INDEX(CS!$B$1:$B$15025,MATCH($A202,CS!$B:$B,0)+COLUMN(A$1),1),""))</f>
        <v>広大な森</v>
      </c>
      <c r="BH202" s="37" t="str">
        <f t="array" ref="BH202">IF($A202="","",IFERROR(INDEX(CS!$B$1:$B$15025,MATCH($A202,CS!$B:$B,0)+COLUMN(B$1),1),""))</f>
        <v>大地震</v>
      </c>
      <c r="BI202" s="37" t="str">
        <f t="array" ref="BI202">IF($A202="","",IFERROR(INDEX(CS!$B$1:$B$15025,MATCH($A202,CS!$B:$B,0)+COLUMN(C$1),1),""))</f>
        <v>大津波</v>
      </c>
      <c r="BJ202" s="37" t="str">
        <f t="array" ref="BJ202">IF($A202="","",IFERROR(INDEX(CS!$B$1:$B$15025,MATCH($A202,CS!$B:$B,0)+COLUMN(D$1),1),""))</f>
        <v/>
      </c>
      <c r="BK202" s="37" t="str">
        <f t="array" ref="BK202">IF($A202="","",IFERROR(INDEX(CS!$B$1:$B$15025,MATCH($A202,CS!$B:$B,0)+COLUMN(E$1),1),""))</f>
        <v>砂界</v>
      </c>
      <c r="BL202" s="37" t="str">
        <f t="array" ref="BL202">IF($A202="","",IFERROR(INDEX(CS!$B$1:$B$15025,MATCH($A202,CS!$B:$B,0)+COLUMN(F$1),1),""))</f>
        <v/>
      </c>
      <c r="BM202" s="37" t="str">
        <f t="array" ref="BM202">IF($A202="","",IFERROR(INDEX(CS!$B$1:$B$15025,MATCH($A202,CS!$B:$B,0)+COLUMN(G$1),1),""))</f>
        <v>極渦</v>
      </c>
      <c r="BN202" s="37" t="str">
        <f t="array" ref="BN202">IF($A202="","",IFERROR(INDEX(CS!$B$1:$B$15025,MATCH($A202,CS!$B:$B,0)+COLUMN(H$1),1),""))</f>
        <v/>
      </c>
      <c r="BO202" s="37" t="str">
        <f t="array" ref="BO202">IF($A202="","",IFERROR(INDEX(CS!$B$1:$B$15025,MATCH($A202,CS!$B:$B,0)+COLUMN(I$1),1),""))</f>
        <v>地底噴火</v>
      </c>
      <c r="BP202" s="37" t="str">
        <f t="array" ref="BP202">IF($A202="","",IFERROR(INDEX(CS!$B$1:$B$15025,MATCH($A202,CS!$B:$B,0)+COLUMN(J$1),1),""))</f>
        <v>原初の理</v>
      </c>
      <c r="BR202" s="39"/>
      <c r="BS202" s="74"/>
      <c r="BU202" s="39" t="s">
        <v>2876</v>
      </c>
      <c r="CG202" s="37" t="s">
        <v>2814</v>
      </c>
      <c r="CI202" s="37" t="s">
        <v>2799</v>
      </c>
      <c r="CJ202" s="37" t="s">
        <v>2810</v>
      </c>
      <c r="CK202" s="37" t="s">
        <v>2793</v>
      </c>
      <c r="CN202" s="37" t="s">
        <v>2812</v>
      </c>
    </row>
    <row r="203" ht="18.75" customHeight="1" outlineLevel="1">
      <c r="A203" s="39" t="s">
        <v>2522</v>
      </c>
      <c r="B203" s="71"/>
      <c r="C203" s="39" t="s">
        <v>2817</v>
      </c>
      <c r="D203" s="72" t="str">
        <f t="shared" si="9"/>
        <v>775/490/285</v>
      </c>
      <c r="E203" s="39">
        <v>3.0</v>
      </c>
      <c r="F203" s="39">
        <v>75.0</v>
      </c>
      <c r="I203" s="39">
        <v>75.0</v>
      </c>
      <c r="J203" s="39">
        <v>60.0</v>
      </c>
      <c r="K203" s="87">
        <v>55.0</v>
      </c>
      <c r="L203" s="39">
        <v>60.0</v>
      </c>
      <c r="M203" s="39">
        <v>75.0</v>
      </c>
      <c r="N203" s="39">
        <v>90.0</v>
      </c>
      <c r="P203" s="37">
        <v>0.0</v>
      </c>
      <c r="Q203" s="64"/>
      <c r="R203" s="64"/>
      <c r="S203" s="64"/>
      <c r="T203" s="64"/>
      <c r="U203" s="64"/>
      <c r="V203" s="64"/>
      <c r="W203" s="64"/>
      <c r="X203" s="64"/>
      <c r="Y203" s="64"/>
      <c r="Z203" s="64"/>
      <c r="AA203" s="64"/>
      <c r="AJ203" s="37">
        <v>0.0</v>
      </c>
      <c r="AK203" s="37">
        <v>15.0</v>
      </c>
      <c r="AL203" s="37">
        <v>40.0</v>
      </c>
      <c r="AM203" s="37">
        <v>45.0</v>
      </c>
      <c r="AN203" s="37">
        <v>25.0</v>
      </c>
      <c r="AO203" s="37">
        <v>0.0</v>
      </c>
      <c r="AP203" s="37">
        <v>0.0</v>
      </c>
      <c r="AQ203" s="37">
        <v>55.0</v>
      </c>
      <c r="AR203" s="37">
        <v>70.0</v>
      </c>
      <c r="AS203" s="37">
        <v>0.0</v>
      </c>
      <c r="AT203" s="37">
        <v>0.0</v>
      </c>
      <c r="AU203" s="37">
        <v>0.0</v>
      </c>
      <c r="AV203" s="37">
        <v>0.0</v>
      </c>
      <c r="AW203" s="37">
        <v>0.0</v>
      </c>
      <c r="AX203" s="37">
        <v>0.0</v>
      </c>
      <c r="AY203" s="37">
        <v>5.0</v>
      </c>
      <c r="AZ203" s="37">
        <v>30.0</v>
      </c>
      <c r="BA203" s="39"/>
      <c r="BB203" s="39"/>
      <c r="BC203" s="39"/>
      <c r="BD203" s="39"/>
      <c r="BE203" s="39"/>
      <c r="BF203" s="39"/>
      <c r="BG203" s="37" t="str">
        <f t="array" ref="BG203">IF($A203="","",IFERROR(INDEX(CS!$B$1:$B$15025,MATCH($A203,CS!$B:$B,0)+COLUMN(A$1),1),""))</f>
        <v/>
      </c>
      <c r="BH203" s="37" t="str">
        <f t="array" ref="BH203">IF($A203="","",IFERROR(INDEX(CS!$B$1:$B$15025,MATCH($A203,CS!$B:$B,0)+COLUMN(B$1),1),""))</f>
        <v/>
      </c>
      <c r="BI203" s="37" t="str">
        <f t="array" ref="BI203">IF($A203="","",IFERROR(INDEX(CS!$B$1:$B$15025,MATCH($A203,CS!$B:$B,0)+COLUMN(C$1),1),""))</f>
        <v/>
      </c>
      <c r="BJ203" s="37" t="str">
        <f t="array" ref="BJ203">IF($A203="","",IFERROR(INDEX(CS!$B$1:$B$15025,MATCH($A203,CS!$B:$B,0)+COLUMN(D$1),1),""))</f>
        <v/>
      </c>
      <c r="BK203" s="37" t="str">
        <f t="array" ref="BK203">IF($A203="","",IFERROR(INDEX(CS!$B$1:$B$15025,MATCH($A203,CS!$B:$B,0)+COLUMN(E$1),1),""))</f>
        <v/>
      </c>
      <c r="BL203" s="37" t="str">
        <f t="array" ref="BL203">IF($A203="","",IFERROR(INDEX(CS!$B$1:$B$15025,MATCH($A203,CS!$B:$B,0)+COLUMN(F$1),1),""))</f>
        <v/>
      </c>
      <c r="BM203" s="37" t="str">
        <f t="array" ref="BM203">IF($A203="","",IFERROR(INDEX(CS!$B$1:$B$15025,MATCH($A203,CS!$B:$B,0)+COLUMN(G$1),1),""))</f>
        <v/>
      </c>
      <c r="BN203" s="37" t="str">
        <f t="array" ref="BN203">IF($A203="","",IFERROR(INDEX(CS!$B$1:$B$15025,MATCH($A203,CS!$B:$B,0)+COLUMN(H$1),1),""))</f>
        <v/>
      </c>
      <c r="BO203" s="37" t="str">
        <f t="array" ref="BO203">IF($A203="","",IFERROR(INDEX(CS!$B$1:$B$15025,MATCH($A203,CS!$B:$B,0)+COLUMN(I$1),1),""))</f>
        <v/>
      </c>
      <c r="BP203" s="37" t="str">
        <f t="array" ref="BP203">IF($A203="","",IFERROR(INDEX(CS!$B$1:$B$15025,MATCH($A203,CS!$B:$B,0)+COLUMN(J$1),1),""))</f>
        <v/>
      </c>
      <c r="BR203" s="39" t="s">
        <v>2877</v>
      </c>
      <c r="BS203" s="74"/>
      <c r="CG203" s="37" t="s">
        <v>2814</v>
      </c>
      <c r="CI203" s="37" t="s">
        <v>2799</v>
      </c>
      <c r="CJ203" s="37" t="s">
        <v>2810</v>
      </c>
      <c r="CK203" s="37" t="s">
        <v>2793</v>
      </c>
      <c r="CN203" s="37" t="s">
        <v>2812</v>
      </c>
    </row>
    <row r="204" ht="18.75" customHeight="1">
      <c r="B204" s="71"/>
      <c r="D204" s="72"/>
      <c r="K204" s="73"/>
      <c r="P204" s="37" t="s">
        <v>29</v>
      </c>
      <c r="Q204" s="64"/>
      <c r="R204" s="64"/>
      <c r="S204" s="64"/>
      <c r="T204" s="64"/>
      <c r="U204" s="64"/>
      <c r="V204" s="64"/>
      <c r="W204" s="64"/>
      <c r="X204" s="64"/>
      <c r="Y204" s="64"/>
      <c r="Z204" s="64"/>
      <c r="AA204" s="64"/>
      <c r="AJ204" s="37" t="s">
        <v>29</v>
      </c>
      <c r="AK204" s="37" t="s">
        <v>29</v>
      </c>
      <c r="AL204" s="37" t="s">
        <v>29</v>
      </c>
      <c r="AM204" s="37" t="s">
        <v>29</v>
      </c>
      <c r="AN204" s="37" t="s">
        <v>29</v>
      </c>
      <c r="AO204" s="37" t="s">
        <v>29</v>
      </c>
      <c r="AP204" s="37" t="s">
        <v>29</v>
      </c>
      <c r="AQ204" s="37" t="s">
        <v>29</v>
      </c>
      <c r="AR204" s="37" t="s">
        <v>29</v>
      </c>
      <c r="AS204" s="37" t="s">
        <v>29</v>
      </c>
      <c r="AT204" s="37" t="s">
        <v>29</v>
      </c>
      <c r="AU204" s="37" t="s">
        <v>29</v>
      </c>
      <c r="AV204" s="37" t="s">
        <v>29</v>
      </c>
      <c r="AW204" s="37" t="s">
        <v>29</v>
      </c>
      <c r="AX204" s="37" t="s">
        <v>29</v>
      </c>
      <c r="AY204" s="37" t="s">
        <v>29</v>
      </c>
      <c r="AZ204" s="37" t="s">
        <v>29</v>
      </c>
      <c r="BG204" s="37" t="str">
        <f t="array" ref="BG204">IF($A204="","", INDEX(CS!$B$1:$B$15025,MATCH($A204,CS!$B:$B,0)+COLUMN(A$1),1))</f>
        <v/>
      </c>
      <c r="BH204" s="37" t="str">
        <f t="array" ref="BH204">IF($A204="","", INDEX(CS!$B$1:$B$15025,MATCH($A204,CS!$B:$B,0)+COLUMN(B$1),1))</f>
        <v/>
      </c>
      <c r="BI204" s="37" t="str">
        <f t="array" ref="BI204">IF($A204="","", INDEX(CS!$B$1:$B$15025,MATCH($A204,CS!$B:$B,0)+COLUMN(C$1),1))</f>
        <v/>
      </c>
      <c r="BJ204" s="37" t="str">
        <f t="array" ref="BJ204">IF($A204="","", INDEX(CS!$B$1:$B$15025,MATCH($A204,CS!$B:$B,0)+COLUMN(D$1),1))</f>
        <v/>
      </c>
      <c r="BK204" s="37" t="str">
        <f t="array" ref="BK204">IF($A204="","", INDEX(CS!$B$1:$B$15025,MATCH($A204,CS!$B:$B,0)+COLUMN(E$1),1))</f>
        <v/>
      </c>
      <c r="BL204" s="37" t="str">
        <f t="array" ref="BL204">IF($A204="","", INDEX(CS!$B$1:$B$15025,MATCH($A204,CS!$B:$B,0)+COLUMN(F$1),1))</f>
        <v/>
      </c>
      <c r="BM204" s="37" t="str">
        <f t="array" ref="BM204">IF($A204="","", INDEX(CS!$B$1:$B$15025,MATCH($A204,CS!$B:$B,0)+COLUMN(G$1),1))</f>
        <v/>
      </c>
      <c r="BN204" s="37" t="str">
        <f t="array" ref="BN204">IF($A204="","", INDEX(CS!$B$1:$B$15025,MATCH($A204,CS!$B:$B,0)+COLUMN(H$1),1))</f>
        <v/>
      </c>
      <c r="BO204" s="37" t="str">
        <f t="array" ref="BO204">IF($A204="","", INDEX(CS!$B$1:$B$15025,MATCH($A204,CS!$B:$B,0)+COLUMN(I$1),1))</f>
        <v/>
      </c>
      <c r="BP204" s="37" t="str">
        <f t="array" ref="BP204">IF($A204="","", INDEX(CS!$B$1:$B$15025,MATCH($A204,CS!$B:$B,0)+COLUMN(J$1),1))</f>
        <v/>
      </c>
      <c r="BS204" s="74"/>
      <c r="CI204" s="37" t="s">
        <v>2819</v>
      </c>
      <c r="CJ204" s="37" t="s">
        <v>2800</v>
      </c>
      <c r="CK204" s="37" t="s">
        <v>2793</v>
      </c>
    </row>
    <row r="205" ht="18.75" customHeight="1">
      <c r="B205" s="85" t="s">
        <v>2878</v>
      </c>
      <c r="D205" s="72" t="str">
        <f t="shared" ref="D205:D213" si="10">SUM(AJ205:AZ205,F205:N205)&amp;"/"&amp;SUM(F205:N205)&amp;"/"&amp;SUM(AJ205:AZ205)</f>
        <v>0/0/0</v>
      </c>
      <c r="E205" s="37">
        <v>1.0</v>
      </c>
      <c r="K205" s="73"/>
      <c r="P205" s="37" t="s">
        <v>29</v>
      </c>
      <c r="Q205" s="64"/>
      <c r="R205" s="64"/>
      <c r="S205" s="64"/>
      <c r="T205" s="64"/>
      <c r="U205" s="64"/>
      <c r="V205" s="64"/>
      <c r="W205" s="64"/>
      <c r="X205" s="64"/>
      <c r="Y205" s="64"/>
      <c r="Z205" s="64"/>
      <c r="AA205" s="64"/>
      <c r="AJ205" s="37" t="s">
        <v>29</v>
      </c>
      <c r="AK205" s="37" t="s">
        <v>29</v>
      </c>
      <c r="AL205" s="37" t="s">
        <v>29</v>
      </c>
      <c r="AM205" s="37" t="s">
        <v>29</v>
      </c>
      <c r="AN205" s="37" t="s">
        <v>29</v>
      </c>
      <c r="AO205" s="37" t="s">
        <v>29</v>
      </c>
      <c r="AP205" s="37" t="s">
        <v>29</v>
      </c>
      <c r="AQ205" s="37" t="s">
        <v>29</v>
      </c>
      <c r="AR205" s="37" t="s">
        <v>29</v>
      </c>
      <c r="AS205" s="37" t="s">
        <v>29</v>
      </c>
      <c r="AT205" s="37" t="s">
        <v>29</v>
      </c>
      <c r="AU205" s="37" t="s">
        <v>29</v>
      </c>
      <c r="AV205" s="37" t="s">
        <v>29</v>
      </c>
      <c r="AW205" s="37" t="s">
        <v>29</v>
      </c>
      <c r="AX205" s="37" t="s">
        <v>29</v>
      </c>
      <c r="AY205" s="37" t="s">
        <v>29</v>
      </c>
      <c r="AZ205" s="37" t="s">
        <v>29</v>
      </c>
      <c r="BG205" s="37" t="str">
        <f t="array" ref="BG205">IF($A205="","", INDEX(CS!$B$1:$B$15025,MATCH($A205,CS!$B:$B,0)+COLUMN(A$1),1))</f>
        <v/>
      </c>
      <c r="BH205" s="37" t="str">
        <f t="array" ref="BH205">IF($A205="","", INDEX(CS!$B$1:$B$15025,MATCH($A205,CS!$B:$B,0)+COLUMN(B$1),1))</f>
        <v/>
      </c>
      <c r="BI205" s="37" t="str">
        <f t="array" ref="BI205">IF($A205="","", INDEX(CS!$B$1:$B$15025,MATCH($A205,CS!$B:$B,0)+COLUMN(C$1),1))</f>
        <v/>
      </c>
      <c r="BJ205" s="37" t="str">
        <f t="array" ref="BJ205">IF($A205="","", INDEX(CS!$B$1:$B$15025,MATCH($A205,CS!$B:$B,0)+COLUMN(D$1),1))</f>
        <v/>
      </c>
      <c r="BK205" s="37" t="str">
        <f t="array" ref="BK205">IF($A205="","", INDEX(CS!$B$1:$B$15025,MATCH($A205,CS!$B:$B,0)+COLUMN(E$1),1))</f>
        <v/>
      </c>
      <c r="BL205" s="37" t="str">
        <f t="array" ref="BL205">IF($A205="","", INDEX(CS!$B$1:$B$15025,MATCH($A205,CS!$B:$B,0)+COLUMN(F$1),1))</f>
        <v/>
      </c>
      <c r="BM205" s="37" t="str">
        <f t="array" ref="BM205">IF($A205="","", INDEX(CS!$B$1:$B$15025,MATCH($A205,CS!$B:$B,0)+COLUMN(G$1),1))</f>
        <v/>
      </c>
      <c r="BN205" s="37" t="str">
        <f t="array" ref="BN205">IF($A205="","", INDEX(CS!$B$1:$B$15025,MATCH($A205,CS!$B:$B,0)+COLUMN(H$1),1))</f>
        <v/>
      </c>
      <c r="BO205" s="37" t="str">
        <f t="array" ref="BO205">IF($A205="","", INDEX(CS!$B$1:$B$15025,MATCH($A205,CS!$B:$B,0)+COLUMN(I$1),1))</f>
        <v/>
      </c>
      <c r="BP205" s="37" t="str">
        <f t="array" ref="BP205">IF($A205="","", INDEX(CS!$B$1:$B$15025,MATCH($A205,CS!$B:$B,0)+COLUMN(J$1),1))</f>
        <v/>
      </c>
      <c r="BS205" s="74"/>
    </row>
    <row r="206" ht="18.75" customHeight="1" outlineLevel="1">
      <c r="A206" s="39" t="s">
        <v>2524</v>
      </c>
      <c r="B206" s="71"/>
      <c r="C206" s="39" t="s">
        <v>2818</v>
      </c>
      <c r="D206" s="72" t="str">
        <f t="shared" si="10"/>
        <v>720/490/230</v>
      </c>
      <c r="E206" s="39">
        <v>2.0</v>
      </c>
      <c r="F206" s="39">
        <v>75.0</v>
      </c>
      <c r="I206" s="39">
        <v>75.0</v>
      </c>
      <c r="J206" s="39">
        <v>75.0</v>
      </c>
      <c r="K206" s="87">
        <v>55.0</v>
      </c>
      <c r="L206" s="39">
        <v>65.0</v>
      </c>
      <c r="M206" s="39">
        <v>65.0</v>
      </c>
      <c r="N206" s="39">
        <v>80.0</v>
      </c>
      <c r="P206" s="37">
        <v>0.0</v>
      </c>
      <c r="Q206" s="64"/>
      <c r="R206" s="64"/>
      <c r="S206" s="64"/>
      <c r="T206" s="64"/>
      <c r="U206" s="64"/>
      <c r="V206" s="64"/>
      <c r="W206" s="64"/>
      <c r="X206" s="64"/>
      <c r="Y206" s="64"/>
      <c r="Z206" s="64"/>
      <c r="AA206" s="64"/>
      <c r="AJ206" s="37">
        <v>25.0</v>
      </c>
      <c r="AK206" s="37">
        <v>0.0</v>
      </c>
      <c r="AL206" s="37">
        <v>25.0</v>
      </c>
      <c r="AM206" s="37">
        <v>25.0</v>
      </c>
      <c r="AN206" s="37">
        <v>25.0</v>
      </c>
      <c r="AO206" s="37">
        <v>0.0</v>
      </c>
      <c r="AP206" s="37">
        <v>0.0</v>
      </c>
      <c r="AQ206" s="37">
        <v>0.0</v>
      </c>
      <c r="AR206" s="37">
        <v>25.0</v>
      </c>
      <c r="AS206" s="37">
        <v>0.0</v>
      </c>
      <c r="AT206" s="37">
        <v>0.0</v>
      </c>
      <c r="AU206" s="37">
        <v>0.0</v>
      </c>
      <c r="AV206" s="37">
        <v>0.0</v>
      </c>
      <c r="AW206" s="37">
        <v>25.0</v>
      </c>
      <c r="AX206" s="37">
        <v>80.0</v>
      </c>
      <c r="AY206" s="37">
        <v>0.0</v>
      </c>
      <c r="AZ206" s="37">
        <v>0.0</v>
      </c>
      <c r="BA206" s="39"/>
      <c r="BB206" s="39"/>
      <c r="BC206" s="39"/>
      <c r="BD206" s="39"/>
      <c r="BE206" s="39"/>
      <c r="BF206" s="39"/>
      <c r="BG206" s="37" t="str">
        <f t="array" ref="BG206">IF($A206="","",IFERROR(INDEX(CS!$B$1:$B$15025,MATCH($A206,CS!$B:$B,0)+COLUMN(A$1),1),""))</f>
        <v>英雄の歌</v>
      </c>
      <c r="BH206" s="37" t="str">
        <f t="array" ref="BH206">IF($A206="","",IFERROR(INDEX(CS!$B$1:$B$15025,MATCH($A206,CS!$B:$B,0)+COLUMN(B$1),1),""))</f>
        <v>破調</v>
      </c>
      <c r="BI206" s="37" t="str">
        <f t="array" ref="BI206">IF($A206="","",IFERROR(INDEX(CS!$B$1:$B$15025,MATCH($A206,CS!$B:$B,0)+COLUMN(C$1),1),""))</f>
        <v>歌唱技術</v>
      </c>
      <c r="BJ206" s="37" t="str">
        <f t="array" ref="BJ206">IF($A206="","",IFERROR(INDEX(CS!$B$1:$B$15025,MATCH($A206,CS!$B:$B,0)+COLUMN(D$1),1),""))</f>
        <v/>
      </c>
      <c r="BK206" s="37" t="str">
        <f t="array" ref="BK206">IF($A206="","",IFERROR(INDEX(CS!$B$1:$B$15025,MATCH($A206,CS!$B:$B,0)+COLUMN(E$1),1),""))</f>
        <v>共鳴障壁</v>
      </c>
      <c r="BL206" s="37" t="str">
        <f t="array" ref="BL206">IF($A206="","",IFERROR(INDEX(CS!$B$1:$B$15025,MATCH($A206,CS!$B:$B,0)+COLUMN(F$1),1),""))</f>
        <v/>
      </c>
      <c r="BM206" s="37" t="str">
        <f t="array" ref="BM206">IF($A206="","",IFERROR(INDEX(CS!$B$1:$B$15025,MATCH($A206,CS!$B:$B,0)+COLUMN(G$1),1),""))</f>
        <v>凱歌</v>
      </c>
      <c r="BN206" s="37" t="str">
        <f t="array" ref="BN206">IF($A206="","",IFERROR(INDEX(CS!$B$1:$B$15025,MATCH($A206,CS!$B:$B,0)+COLUMN(H$1),1),""))</f>
        <v/>
      </c>
      <c r="BO206" s="37" t="str">
        <f t="array" ref="BO206">IF($A206="","",IFERROR(INDEX(CS!$B$1:$B$15025,MATCH($A206,CS!$B:$B,0)+COLUMN(I$1),1),""))</f>
        <v>大喝采</v>
      </c>
      <c r="BP206" s="37" t="str">
        <f t="array" ref="BP206">IF($A206="","",IFERROR(INDEX(CS!$B$1:$B$15025,MATCH($A206,CS!$B:$B,0)+COLUMN(J$1),1),""))</f>
        <v/>
      </c>
      <c r="BR206" s="39" t="s">
        <v>2879</v>
      </c>
      <c r="BS206" s="74"/>
    </row>
    <row r="207" ht="18.75" customHeight="1" outlineLevel="1">
      <c r="A207" s="39" t="s">
        <v>2537</v>
      </c>
      <c r="B207" s="71"/>
      <c r="C207" s="39" t="s">
        <v>2818</v>
      </c>
      <c r="D207" s="72" t="str">
        <f t="shared" si="10"/>
        <v>730/500/230</v>
      </c>
      <c r="E207" s="39">
        <v>3.0</v>
      </c>
      <c r="F207" s="39">
        <v>75.0</v>
      </c>
      <c r="I207" s="39">
        <v>75.0</v>
      </c>
      <c r="J207" s="39">
        <v>75.0</v>
      </c>
      <c r="K207" s="87">
        <v>60.0</v>
      </c>
      <c r="L207" s="39">
        <v>70.0</v>
      </c>
      <c r="M207" s="39">
        <v>65.0</v>
      </c>
      <c r="N207" s="39">
        <v>80.0</v>
      </c>
      <c r="P207" s="37">
        <v>0.0</v>
      </c>
      <c r="Q207" s="64"/>
      <c r="R207" s="64"/>
      <c r="S207" s="64"/>
      <c r="T207" s="64"/>
      <c r="U207" s="64"/>
      <c r="V207" s="64"/>
      <c r="W207" s="64"/>
      <c r="X207" s="64"/>
      <c r="Y207" s="64"/>
      <c r="Z207" s="64"/>
      <c r="AA207" s="64"/>
      <c r="AJ207" s="37">
        <v>25.0</v>
      </c>
      <c r="AK207" s="37">
        <v>0.0</v>
      </c>
      <c r="AL207" s="37">
        <v>25.0</v>
      </c>
      <c r="AM207" s="37">
        <v>25.0</v>
      </c>
      <c r="AN207" s="37">
        <v>25.0</v>
      </c>
      <c r="AO207" s="37">
        <v>0.0</v>
      </c>
      <c r="AP207" s="37">
        <v>0.0</v>
      </c>
      <c r="AQ207" s="37">
        <v>0.0</v>
      </c>
      <c r="AR207" s="37">
        <v>25.0</v>
      </c>
      <c r="AS207" s="37">
        <v>0.0</v>
      </c>
      <c r="AT207" s="37">
        <v>0.0</v>
      </c>
      <c r="AU207" s="37">
        <v>0.0</v>
      </c>
      <c r="AV207" s="37">
        <v>0.0</v>
      </c>
      <c r="AW207" s="37">
        <v>25.0</v>
      </c>
      <c r="AX207" s="37">
        <v>80.0</v>
      </c>
      <c r="AY207" s="37">
        <v>0.0</v>
      </c>
      <c r="AZ207" s="37">
        <v>0.0</v>
      </c>
      <c r="BA207" s="39"/>
      <c r="BB207" s="39"/>
      <c r="BC207" s="39"/>
      <c r="BD207" s="39"/>
      <c r="BE207" s="39"/>
      <c r="BF207" s="39"/>
      <c r="BG207" s="37" t="str">
        <f t="array" ref="BG207">IF($A207="","",IFERROR(INDEX(CS!$B$1:$B$15025,MATCH($A207,CS!$B:$B,0)+COLUMN(A$1),1),""))</f>
        <v/>
      </c>
      <c r="BH207" s="37" t="str">
        <f t="array" ref="BH207">IF($A207="","",IFERROR(INDEX(CS!$B$1:$B$15025,MATCH($A207,CS!$B:$B,0)+COLUMN(B$1),1),""))</f>
        <v/>
      </c>
      <c r="BI207" s="37" t="str">
        <f t="array" ref="BI207">IF($A207="","",IFERROR(INDEX(CS!$B$1:$B$15025,MATCH($A207,CS!$B:$B,0)+COLUMN(C$1),1),""))</f>
        <v/>
      </c>
      <c r="BJ207" s="37" t="str">
        <f t="array" ref="BJ207">IF($A207="","",IFERROR(INDEX(CS!$B$1:$B$15025,MATCH($A207,CS!$B:$B,0)+COLUMN(D$1),1),""))</f>
        <v/>
      </c>
      <c r="BK207" s="37" t="str">
        <f t="array" ref="BK207">IF($A207="","",IFERROR(INDEX(CS!$B$1:$B$15025,MATCH($A207,CS!$B:$B,0)+COLUMN(E$1),1),""))</f>
        <v/>
      </c>
      <c r="BL207" s="37" t="str">
        <f t="array" ref="BL207">IF($A207="","",IFERROR(INDEX(CS!$B$1:$B$15025,MATCH($A207,CS!$B:$B,0)+COLUMN(F$1),1),""))</f>
        <v/>
      </c>
      <c r="BM207" s="37" t="str">
        <f t="array" ref="BM207">IF($A207="","",IFERROR(INDEX(CS!$B$1:$B$15025,MATCH($A207,CS!$B:$B,0)+COLUMN(G$1),1),""))</f>
        <v/>
      </c>
      <c r="BN207" s="37" t="str">
        <f t="array" ref="BN207">IF($A207="","",IFERROR(INDEX(CS!$B$1:$B$15025,MATCH($A207,CS!$B:$B,0)+COLUMN(H$1),1),""))</f>
        <v/>
      </c>
      <c r="BO207" s="37" t="str">
        <f t="array" ref="BO207">IF($A207="","",IFERROR(INDEX(CS!$B$1:$B$15025,MATCH($A207,CS!$B:$B,0)+COLUMN(I$1),1),""))</f>
        <v/>
      </c>
      <c r="BP207" s="37" t="str">
        <f t="array" ref="BP207">IF($A207="","",IFERROR(INDEX(CS!$B$1:$B$15025,MATCH($A207,CS!$B:$B,0)+COLUMN(J$1),1),""))</f>
        <v/>
      </c>
      <c r="BR207" s="39" t="s">
        <v>2880</v>
      </c>
      <c r="BS207" s="74"/>
    </row>
    <row r="208" ht="18.75" customHeight="1" outlineLevel="1">
      <c r="A208" s="39" t="s">
        <v>2538</v>
      </c>
      <c r="B208" s="71"/>
      <c r="C208" s="39" t="s">
        <v>2818</v>
      </c>
      <c r="D208" s="72" t="str">
        <f t="shared" si="10"/>
        <v>730/500/230</v>
      </c>
      <c r="E208" s="39">
        <v>3.0</v>
      </c>
      <c r="F208" s="39">
        <v>75.0</v>
      </c>
      <c r="I208" s="39">
        <v>75.0</v>
      </c>
      <c r="J208" s="39">
        <v>75.0</v>
      </c>
      <c r="K208" s="87">
        <v>60.0</v>
      </c>
      <c r="L208" s="39">
        <v>70.0</v>
      </c>
      <c r="M208" s="39">
        <v>65.0</v>
      </c>
      <c r="N208" s="39">
        <v>80.0</v>
      </c>
      <c r="P208" s="37">
        <v>0.0</v>
      </c>
      <c r="Q208" s="64"/>
      <c r="R208" s="64"/>
      <c r="S208" s="64"/>
      <c r="T208" s="64"/>
      <c r="U208" s="64"/>
      <c r="V208" s="64"/>
      <c r="W208" s="64"/>
      <c r="X208" s="64"/>
      <c r="Y208" s="64"/>
      <c r="Z208" s="64"/>
      <c r="AA208" s="64"/>
      <c r="AJ208" s="37">
        <v>25.0</v>
      </c>
      <c r="AK208" s="37">
        <v>0.0</v>
      </c>
      <c r="AL208" s="37">
        <v>25.0</v>
      </c>
      <c r="AM208" s="37">
        <v>25.0</v>
      </c>
      <c r="AN208" s="37">
        <v>25.0</v>
      </c>
      <c r="AO208" s="37">
        <v>0.0</v>
      </c>
      <c r="AP208" s="37">
        <v>0.0</v>
      </c>
      <c r="AQ208" s="37">
        <v>0.0</v>
      </c>
      <c r="AR208" s="37">
        <v>25.0</v>
      </c>
      <c r="AS208" s="37">
        <v>0.0</v>
      </c>
      <c r="AT208" s="37">
        <v>0.0</v>
      </c>
      <c r="AU208" s="37">
        <v>0.0</v>
      </c>
      <c r="AV208" s="37">
        <v>0.0</v>
      </c>
      <c r="AW208" s="37">
        <v>25.0</v>
      </c>
      <c r="AX208" s="37">
        <v>80.0</v>
      </c>
      <c r="AY208" s="37">
        <v>0.0</v>
      </c>
      <c r="AZ208" s="37">
        <v>0.0</v>
      </c>
      <c r="BA208" s="39"/>
      <c r="BB208" s="39"/>
      <c r="BC208" s="39"/>
      <c r="BD208" s="39"/>
      <c r="BE208" s="39"/>
      <c r="BF208" s="39"/>
      <c r="BG208" s="37" t="str">
        <f t="array" ref="BG208">IF($A208="","",IFERROR(INDEX(CS!$B$1:$B$15025,MATCH($A208,CS!$B:$B,0)+COLUMN(A$1),1),""))</f>
        <v/>
      </c>
      <c r="BH208" s="37" t="str">
        <f t="array" ref="BH208">IF($A208="","",IFERROR(INDEX(CS!$B$1:$B$15025,MATCH($A208,CS!$B:$B,0)+COLUMN(B$1),1),""))</f>
        <v/>
      </c>
      <c r="BI208" s="37" t="str">
        <f t="array" ref="BI208">IF($A208="","",IFERROR(INDEX(CS!$B$1:$B$15025,MATCH($A208,CS!$B:$B,0)+COLUMN(C$1),1),""))</f>
        <v/>
      </c>
      <c r="BJ208" s="37" t="str">
        <f t="array" ref="BJ208">IF($A208="","",IFERROR(INDEX(CS!$B$1:$B$15025,MATCH($A208,CS!$B:$B,0)+COLUMN(D$1),1),""))</f>
        <v/>
      </c>
      <c r="BK208" s="37" t="str">
        <f t="array" ref="BK208">IF($A208="","",IFERROR(INDEX(CS!$B$1:$B$15025,MATCH($A208,CS!$B:$B,0)+COLUMN(E$1),1),""))</f>
        <v/>
      </c>
      <c r="BL208" s="37" t="str">
        <f t="array" ref="BL208">IF($A208="","",IFERROR(INDEX(CS!$B$1:$B$15025,MATCH($A208,CS!$B:$B,0)+COLUMN(F$1),1),""))</f>
        <v/>
      </c>
      <c r="BM208" s="37" t="str">
        <f t="array" ref="BM208">IF($A208="","",IFERROR(INDEX(CS!$B$1:$B$15025,MATCH($A208,CS!$B:$B,0)+COLUMN(G$1),1),""))</f>
        <v/>
      </c>
      <c r="BN208" s="37" t="str">
        <f t="array" ref="BN208">IF($A208="","",IFERROR(INDEX(CS!$B$1:$B$15025,MATCH($A208,CS!$B:$B,0)+COLUMN(H$1),1),""))</f>
        <v/>
      </c>
      <c r="BO208" s="37" t="str">
        <f t="array" ref="BO208">IF($A208="","",IFERROR(INDEX(CS!$B$1:$B$15025,MATCH($A208,CS!$B:$B,0)+COLUMN(I$1),1),""))</f>
        <v/>
      </c>
      <c r="BP208" s="37" t="str">
        <f t="array" ref="BP208">IF($A208="","",IFERROR(INDEX(CS!$B$1:$B$15025,MATCH($A208,CS!$B:$B,0)+COLUMN(J$1),1),""))</f>
        <v/>
      </c>
      <c r="BR208" s="39" t="s">
        <v>2880</v>
      </c>
      <c r="BS208" s="74"/>
    </row>
    <row r="209" ht="18.75" customHeight="1" outlineLevel="1">
      <c r="A209" s="39" t="s">
        <v>2540</v>
      </c>
      <c r="B209" s="71"/>
      <c r="C209" s="39" t="s">
        <v>2818</v>
      </c>
      <c r="D209" s="72" t="str">
        <f t="shared" si="10"/>
        <v>715/485/230</v>
      </c>
      <c r="E209" s="39">
        <v>2.0</v>
      </c>
      <c r="F209" s="39">
        <v>75.0</v>
      </c>
      <c r="I209" s="39">
        <v>75.0</v>
      </c>
      <c r="J209" s="39">
        <v>75.0</v>
      </c>
      <c r="K209" s="87">
        <v>50.0</v>
      </c>
      <c r="L209" s="39">
        <v>65.0</v>
      </c>
      <c r="M209" s="39">
        <v>65.0</v>
      </c>
      <c r="N209" s="39">
        <v>80.0</v>
      </c>
      <c r="P209" s="37">
        <v>0.0</v>
      </c>
      <c r="Q209" s="64"/>
      <c r="R209" s="64"/>
      <c r="S209" s="64"/>
      <c r="T209" s="64"/>
      <c r="U209" s="64"/>
      <c r="V209" s="64"/>
      <c r="W209" s="64"/>
      <c r="X209" s="64"/>
      <c r="Y209" s="64"/>
      <c r="Z209" s="64"/>
      <c r="AA209" s="64"/>
      <c r="AJ209" s="37">
        <v>25.0</v>
      </c>
      <c r="AK209" s="37">
        <v>0.0</v>
      </c>
      <c r="AL209" s="37">
        <v>25.0</v>
      </c>
      <c r="AM209" s="37">
        <v>25.0</v>
      </c>
      <c r="AN209" s="37">
        <v>25.0</v>
      </c>
      <c r="AO209" s="37">
        <v>0.0</v>
      </c>
      <c r="AP209" s="37">
        <v>0.0</v>
      </c>
      <c r="AQ209" s="37">
        <v>0.0</v>
      </c>
      <c r="AR209" s="37">
        <v>25.0</v>
      </c>
      <c r="AS209" s="37">
        <v>0.0</v>
      </c>
      <c r="AT209" s="37">
        <v>0.0</v>
      </c>
      <c r="AU209" s="37">
        <v>0.0</v>
      </c>
      <c r="AV209" s="37">
        <v>0.0</v>
      </c>
      <c r="AW209" s="37">
        <v>25.0</v>
      </c>
      <c r="AX209" s="37">
        <v>80.0</v>
      </c>
      <c r="AY209" s="37">
        <v>0.0</v>
      </c>
      <c r="AZ209" s="37">
        <v>0.0</v>
      </c>
      <c r="BA209" s="39"/>
      <c r="BB209" s="39"/>
      <c r="BC209" s="39"/>
      <c r="BD209" s="39"/>
      <c r="BE209" s="39"/>
      <c r="BF209" s="39"/>
      <c r="BG209" s="37" t="str">
        <f t="array" ref="BG209">IF($A209="","",IFERROR(INDEX(CS!$B$1:$B$15025,MATCH($A209,CS!$B:$B,0)+COLUMN(A$1),1),""))</f>
        <v/>
      </c>
      <c r="BH209" s="37" t="str">
        <f t="array" ref="BH209">IF($A209="","",IFERROR(INDEX(CS!$B$1:$B$15025,MATCH($A209,CS!$B:$B,0)+COLUMN(B$1),1),""))</f>
        <v/>
      </c>
      <c r="BI209" s="37" t="str">
        <f t="array" ref="BI209">IF($A209="","",IFERROR(INDEX(CS!$B$1:$B$15025,MATCH($A209,CS!$B:$B,0)+COLUMN(C$1),1),""))</f>
        <v/>
      </c>
      <c r="BJ209" s="37" t="str">
        <f t="array" ref="BJ209">IF($A209="","",IFERROR(INDEX(CS!$B$1:$B$15025,MATCH($A209,CS!$B:$B,0)+COLUMN(D$1),1),""))</f>
        <v/>
      </c>
      <c r="BK209" s="37" t="str">
        <f t="array" ref="BK209">IF($A209="","",IFERROR(INDEX(CS!$B$1:$B$15025,MATCH($A209,CS!$B:$B,0)+COLUMN(E$1),1),""))</f>
        <v/>
      </c>
      <c r="BL209" s="37" t="str">
        <f t="array" ref="BL209">IF($A209="","",IFERROR(INDEX(CS!$B$1:$B$15025,MATCH($A209,CS!$B:$B,0)+COLUMN(F$1),1),""))</f>
        <v/>
      </c>
      <c r="BM209" s="37" t="str">
        <f t="array" ref="BM209">IF($A209="","",IFERROR(INDEX(CS!$B$1:$B$15025,MATCH($A209,CS!$B:$B,0)+COLUMN(G$1),1),""))</f>
        <v/>
      </c>
      <c r="BN209" s="37" t="str">
        <f t="array" ref="BN209">IF($A209="","",IFERROR(INDEX(CS!$B$1:$B$15025,MATCH($A209,CS!$B:$B,0)+COLUMN(H$1),1),""))</f>
        <v/>
      </c>
      <c r="BO209" s="37" t="str">
        <f t="array" ref="BO209">IF($A209="","",IFERROR(INDEX(CS!$B$1:$B$15025,MATCH($A209,CS!$B:$B,0)+COLUMN(I$1),1),""))</f>
        <v/>
      </c>
      <c r="BP209" s="37" t="str">
        <f t="array" ref="BP209">IF($A209="","",IFERROR(INDEX(CS!$B$1:$B$15025,MATCH($A209,CS!$B:$B,0)+COLUMN(J$1),1),""))</f>
        <v/>
      </c>
      <c r="BR209" s="39" t="s">
        <v>2879</v>
      </c>
      <c r="BS209" s="74"/>
    </row>
    <row r="210" ht="18.75" customHeight="1" outlineLevel="1">
      <c r="A210" s="39" t="s">
        <v>2541</v>
      </c>
      <c r="B210" s="71"/>
      <c r="C210" s="39" t="s">
        <v>2818</v>
      </c>
      <c r="D210" s="72" t="str">
        <f t="shared" si="10"/>
        <v>720/490/230</v>
      </c>
      <c r="E210" s="39">
        <v>3.0</v>
      </c>
      <c r="F210" s="39">
        <v>75.0</v>
      </c>
      <c r="I210" s="39">
        <v>75.0</v>
      </c>
      <c r="J210" s="39">
        <v>75.0</v>
      </c>
      <c r="K210" s="87">
        <v>50.0</v>
      </c>
      <c r="L210" s="39">
        <v>70.0</v>
      </c>
      <c r="M210" s="39">
        <v>65.0</v>
      </c>
      <c r="N210" s="39">
        <v>80.0</v>
      </c>
      <c r="P210" s="37">
        <v>0.0</v>
      </c>
      <c r="Q210" s="64"/>
      <c r="R210" s="64"/>
      <c r="S210" s="64"/>
      <c r="T210" s="64"/>
      <c r="U210" s="64"/>
      <c r="V210" s="64"/>
      <c r="W210" s="64"/>
      <c r="X210" s="64"/>
      <c r="Y210" s="64"/>
      <c r="Z210" s="64"/>
      <c r="AA210" s="64"/>
      <c r="AJ210" s="37">
        <v>25.0</v>
      </c>
      <c r="AK210" s="37">
        <v>0.0</v>
      </c>
      <c r="AL210" s="37">
        <v>25.0</v>
      </c>
      <c r="AM210" s="37">
        <v>25.0</v>
      </c>
      <c r="AN210" s="37">
        <v>25.0</v>
      </c>
      <c r="AO210" s="37">
        <v>0.0</v>
      </c>
      <c r="AP210" s="37">
        <v>0.0</v>
      </c>
      <c r="AQ210" s="37">
        <v>0.0</v>
      </c>
      <c r="AR210" s="37">
        <v>25.0</v>
      </c>
      <c r="AS210" s="37">
        <v>0.0</v>
      </c>
      <c r="AT210" s="37">
        <v>0.0</v>
      </c>
      <c r="AU210" s="37">
        <v>0.0</v>
      </c>
      <c r="AV210" s="37">
        <v>0.0</v>
      </c>
      <c r="AW210" s="37">
        <v>25.0</v>
      </c>
      <c r="AX210" s="37">
        <v>80.0</v>
      </c>
      <c r="AY210" s="37">
        <v>0.0</v>
      </c>
      <c r="AZ210" s="37">
        <v>0.0</v>
      </c>
      <c r="BA210" s="39"/>
      <c r="BB210" s="39"/>
      <c r="BC210" s="39"/>
      <c r="BD210" s="39"/>
      <c r="BE210" s="39"/>
      <c r="BF210" s="39"/>
      <c r="BG210" s="37" t="str">
        <f t="array" ref="BG210">IF($A210="","",IFERROR(INDEX(CS!$B$1:$B$15025,MATCH($A210,CS!$B:$B,0)+COLUMN(A$1),1),""))</f>
        <v/>
      </c>
      <c r="BH210" s="37" t="str">
        <f t="array" ref="BH210">IF($A210="","",IFERROR(INDEX(CS!$B$1:$B$15025,MATCH($A210,CS!$B:$B,0)+COLUMN(B$1),1),""))</f>
        <v/>
      </c>
      <c r="BI210" s="37" t="str">
        <f t="array" ref="BI210">IF($A210="","",IFERROR(INDEX(CS!$B$1:$B$15025,MATCH($A210,CS!$B:$B,0)+COLUMN(C$1),1),""))</f>
        <v/>
      </c>
      <c r="BJ210" s="37" t="str">
        <f t="array" ref="BJ210">IF($A210="","",IFERROR(INDEX(CS!$B$1:$B$15025,MATCH($A210,CS!$B:$B,0)+COLUMN(D$1),1),""))</f>
        <v/>
      </c>
      <c r="BK210" s="37" t="str">
        <f t="array" ref="BK210">IF($A210="","",IFERROR(INDEX(CS!$B$1:$B$15025,MATCH($A210,CS!$B:$B,0)+COLUMN(E$1),1),""))</f>
        <v/>
      </c>
      <c r="BL210" s="37" t="str">
        <f t="array" ref="BL210">IF($A210="","",IFERROR(INDEX(CS!$B$1:$B$15025,MATCH($A210,CS!$B:$B,0)+COLUMN(F$1),1),""))</f>
        <v/>
      </c>
      <c r="BM210" s="37" t="str">
        <f t="array" ref="BM210">IF($A210="","",IFERROR(INDEX(CS!$B$1:$B$15025,MATCH($A210,CS!$B:$B,0)+COLUMN(G$1),1),""))</f>
        <v/>
      </c>
      <c r="BN210" s="37" t="str">
        <f t="array" ref="BN210">IF($A210="","",IFERROR(INDEX(CS!$B$1:$B$15025,MATCH($A210,CS!$B:$B,0)+COLUMN(H$1),1),""))</f>
        <v/>
      </c>
      <c r="BO210" s="37" t="str">
        <f t="array" ref="BO210">IF($A210="","",IFERROR(INDEX(CS!$B$1:$B$15025,MATCH($A210,CS!$B:$B,0)+COLUMN(I$1),1),""))</f>
        <v/>
      </c>
      <c r="BP210" s="37" t="str">
        <f t="array" ref="BP210">IF($A210="","",IFERROR(INDEX(CS!$B$1:$B$15025,MATCH($A210,CS!$B:$B,0)+COLUMN(J$1),1),""))</f>
        <v/>
      </c>
      <c r="BR210" s="39" t="s">
        <v>2881</v>
      </c>
      <c r="BS210" s="74"/>
    </row>
    <row r="211" ht="18.75" customHeight="1" outlineLevel="1">
      <c r="A211" s="39" t="s">
        <v>2543</v>
      </c>
      <c r="B211" s="71"/>
      <c r="C211" s="39" t="s">
        <v>2818</v>
      </c>
      <c r="D211" s="72" t="str">
        <f t="shared" si="10"/>
        <v>720/490/230</v>
      </c>
      <c r="E211" s="39">
        <v>2.0</v>
      </c>
      <c r="F211" s="39">
        <v>75.0</v>
      </c>
      <c r="I211" s="39">
        <v>75.0</v>
      </c>
      <c r="J211" s="39">
        <v>75.0</v>
      </c>
      <c r="K211" s="87">
        <v>50.0</v>
      </c>
      <c r="L211" s="39">
        <v>60.0</v>
      </c>
      <c r="M211" s="39">
        <v>70.0</v>
      </c>
      <c r="N211" s="39">
        <v>85.0</v>
      </c>
      <c r="P211" s="37">
        <v>0.0</v>
      </c>
      <c r="Q211" s="64"/>
      <c r="R211" s="64"/>
      <c r="S211" s="64"/>
      <c r="T211" s="64"/>
      <c r="U211" s="64"/>
      <c r="V211" s="64"/>
      <c r="W211" s="64"/>
      <c r="X211" s="64"/>
      <c r="Y211" s="64"/>
      <c r="Z211" s="64"/>
      <c r="AA211" s="64"/>
      <c r="AJ211" s="37">
        <v>25.0</v>
      </c>
      <c r="AK211" s="37">
        <v>0.0</v>
      </c>
      <c r="AL211" s="37">
        <v>25.0</v>
      </c>
      <c r="AM211" s="37">
        <v>25.0</v>
      </c>
      <c r="AN211" s="37">
        <v>25.0</v>
      </c>
      <c r="AO211" s="37">
        <v>0.0</v>
      </c>
      <c r="AP211" s="37">
        <v>0.0</v>
      </c>
      <c r="AQ211" s="37">
        <v>0.0</v>
      </c>
      <c r="AR211" s="37">
        <v>25.0</v>
      </c>
      <c r="AS211" s="37">
        <v>0.0</v>
      </c>
      <c r="AT211" s="37">
        <v>0.0</v>
      </c>
      <c r="AU211" s="37">
        <v>0.0</v>
      </c>
      <c r="AV211" s="37">
        <v>0.0</v>
      </c>
      <c r="AW211" s="37">
        <v>25.0</v>
      </c>
      <c r="AX211" s="37">
        <v>80.0</v>
      </c>
      <c r="AY211" s="37">
        <v>0.0</v>
      </c>
      <c r="AZ211" s="37">
        <v>0.0</v>
      </c>
      <c r="BA211" s="39"/>
      <c r="BB211" s="39"/>
      <c r="BC211" s="39"/>
      <c r="BD211" s="39"/>
      <c r="BE211" s="39"/>
      <c r="BF211" s="39"/>
      <c r="BG211" s="37" t="str">
        <f t="array" ref="BG211">IF($A211="","",IFERROR(INDEX(CS!$B$1:$B$15025,MATCH($A211,CS!$B:$B,0)+COLUMN(A$1),1),""))</f>
        <v/>
      </c>
      <c r="BH211" s="37" t="str">
        <f t="array" ref="BH211">IF($A211="","",IFERROR(INDEX(CS!$B$1:$B$15025,MATCH($A211,CS!$B:$B,0)+COLUMN(B$1),1),""))</f>
        <v/>
      </c>
      <c r="BI211" s="37" t="str">
        <f t="array" ref="BI211">IF($A211="","",IFERROR(INDEX(CS!$B$1:$B$15025,MATCH($A211,CS!$B:$B,0)+COLUMN(C$1),1),""))</f>
        <v/>
      </c>
      <c r="BJ211" s="37" t="str">
        <f t="array" ref="BJ211">IF($A211="","",IFERROR(INDEX(CS!$B$1:$B$15025,MATCH($A211,CS!$B:$B,0)+COLUMN(D$1),1),""))</f>
        <v/>
      </c>
      <c r="BK211" s="37" t="str">
        <f t="array" ref="BK211">IF($A211="","",IFERROR(INDEX(CS!$B$1:$B$15025,MATCH($A211,CS!$B:$B,0)+COLUMN(E$1),1),""))</f>
        <v/>
      </c>
      <c r="BL211" s="37" t="str">
        <f t="array" ref="BL211">IF($A211="","",IFERROR(INDEX(CS!$B$1:$B$15025,MATCH($A211,CS!$B:$B,0)+COLUMN(F$1),1),""))</f>
        <v/>
      </c>
      <c r="BM211" s="37" t="str">
        <f t="array" ref="BM211">IF($A211="","",IFERROR(INDEX(CS!$B$1:$B$15025,MATCH($A211,CS!$B:$B,0)+COLUMN(G$1),1),""))</f>
        <v/>
      </c>
      <c r="BN211" s="37" t="str">
        <f t="array" ref="BN211">IF($A211="","",IFERROR(INDEX(CS!$B$1:$B$15025,MATCH($A211,CS!$B:$B,0)+COLUMN(H$1),1),""))</f>
        <v/>
      </c>
      <c r="BO211" s="37" t="str">
        <f t="array" ref="BO211">IF($A211="","",IFERROR(INDEX(CS!$B$1:$B$15025,MATCH($A211,CS!$B:$B,0)+COLUMN(I$1),1),""))</f>
        <v/>
      </c>
      <c r="BP211" s="37" t="str">
        <f t="array" ref="BP211">IF($A211="","",IFERROR(INDEX(CS!$B$1:$B$15025,MATCH($A211,CS!$B:$B,0)+COLUMN(J$1),1),""))</f>
        <v/>
      </c>
      <c r="BR211" s="39" t="s">
        <v>2879</v>
      </c>
      <c r="BS211" s="74"/>
    </row>
    <row r="212" ht="18.75" customHeight="1" outlineLevel="1">
      <c r="A212" s="39" t="s">
        <v>2544</v>
      </c>
      <c r="B212" s="71"/>
      <c r="C212" s="39" t="s">
        <v>2818</v>
      </c>
      <c r="D212" s="72" t="str">
        <f t="shared" si="10"/>
        <v>730/500/230</v>
      </c>
      <c r="E212" s="39">
        <v>3.0</v>
      </c>
      <c r="F212" s="39">
        <v>75.0</v>
      </c>
      <c r="I212" s="39">
        <v>75.0</v>
      </c>
      <c r="J212" s="39">
        <v>75.0</v>
      </c>
      <c r="K212" s="87">
        <v>50.0</v>
      </c>
      <c r="L212" s="39">
        <v>60.0</v>
      </c>
      <c r="M212" s="39">
        <v>75.0</v>
      </c>
      <c r="N212" s="39">
        <v>90.0</v>
      </c>
      <c r="P212" s="37">
        <v>0.0</v>
      </c>
      <c r="Q212" s="64"/>
      <c r="R212" s="64"/>
      <c r="S212" s="64"/>
      <c r="T212" s="64"/>
      <c r="U212" s="64"/>
      <c r="V212" s="64"/>
      <c r="W212" s="64"/>
      <c r="X212" s="64"/>
      <c r="Y212" s="64"/>
      <c r="Z212" s="64"/>
      <c r="AA212" s="64"/>
      <c r="AJ212" s="37">
        <v>25.0</v>
      </c>
      <c r="AK212" s="37">
        <v>0.0</v>
      </c>
      <c r="AL212" s="37">
        <v>25.0</v>
      </c>
      <c r="AM212" s="37">
        <v>25.0</v>
      </c>
      <c r="AN212" s="37">
        <v>25.0</v>
      </c>
      <c r="AO212" s="37">
        <v>0.0</v>
      </c>
      <c r="AP212" s="37">
        <v>0.0</v>
      </c>
      <c r="AQ212" s="37">
        <v>0.0</v>
      </c>
      <c r="AR212" s="37">
        <v>25.0</v>
      </c>
      <c r="AS212" s="37">
        <v>0.0</v>
      </c>
      <c r="AT212" s="37">
        <v>0.0</v>
      </c>
      <c r="AU212" s="37">
        <v>0.0</v>
      </c>
      <c r="AV212" s="37">
        <v>0.0</v>
      </c>
      <c r="AW212" s="37">
        <v>25.0</v>
      </c>
      <c r="AX212" s="37">
        <v>80.0</v>
      </c>
      <c r="AY212" s="37">
        <v>0.0</v>
      </c>
      <c r="AZ212" s="37">
        <v>0.0</v>
      </c>
      <c r="BA212" s="39"/>
      <c r="BB212" s="39"/>
      <c r="BC212" s="39"/>
      <c r="BD212" s="39"/>
      <c r="BE212" s="39"/>
      <c r="BF212" s="39"/>
      <c r="BG212" s="37" t="str">
        <f t="array" ref="BG212">IF($A212="","",IFERROR(INDEX(CS!$B$1:$B$15025,MATCH($A212,CS!$B:$B,0)+COLUMN(A$1),1),""))</f>
        <v/>
      </c>
      <c r="BH212" s="37" t="str">
        <f t="array" ref="BH212">IF($A212="","",IFERROR(INDEX(CS!$B$1:$B$15025,MATCH($A212,CS!$B:$B,0)+COLUMN(B$1),1),""))</f>
        <v/>
      </c>
      <c r="BI212" s="37" t="str">
        <f t="array" ref="BI212">IF($A212="","",IFERROR(INDEX(CS!$B$1:$B$15025,MATCH($A212,CS!$B:$B,0)+COLUMN(C$1),1),""))</f>
        <v/>
      </c>
      <c r="BJ212" s="37" t="str">
        <f t="array" ref="BJ212">IF($A212="","",IFERROR(INDEX(CS!$B$1:$B$15025,MATCH($A212,CS!$B:$B,0)+COLUMN(D$1),1),""))</f>
        <v/>
      </c>
      <c r="BK212" s="37" t="str">
        <f t="array" ref="BK212">IF($A212="","",IFERROR(INDEX(CS!$B$1:$B$15025,MATCH($A212,CS!$B:$B,0)+COLUMN(E$1),1),""))</f>
        <v/>
      </c>
      <c r="BL212" s="37" t="str">
        <f t="array" ref="BL212">IF($A212="","",IFERROR(INDEX(CS!$B$1:$B$15025,MATCH($A212,CS!$B:$B,0)+COLUMN(F$1),1),""))</f>
        <v/>
      </c>
      <c r="BM212" s="37" t="str">
        <f t="array" ref="BM212">IF($A212="","",IFERROR(INDEX(CS!$B$1:$B$15025,MATCH($A212,CS!$B:$B,0)+COLUMN(G$1),1),""))</f>
        <v/>
      </c>
      <c r="BN212" s="37" t="str">
        <f t="array" ref="BN212">IF($A212="","",IFERROR(INDEX(CS!$B$1:$B$15025,MATCH($A212,CS!$B:$B,0)+COLUMN(H$1),1),""))</f>
        <v/>
      </c>
      <c r="BO212" s="37" t="str">
        <f t="array" ref="BO212">IF($A212="","",IFERROR(INDEX(CS!$B$1:$B$15025,MATCH($A212,CS!$B:$B,0)+COLUMN(I$1),1),""))</f>
        <v/>
      </c>
      <c r="BP212" s="37" t="str">
        <f t="array" ref="BP212">IF($A212="","",IFERROR(INDEX(CS!$B$1:$B$15025,MATCH($A212,CS!$B:$B,0)+COLUMN(J$1),1),""))</f>
        <v/>
      </c>
      <c r="BR212" s="39" t="s">
        <v>2882</v>
      </c>
      <c r="BS212" s="74"/>
    </row>
    <row r="213" ht="18.75" customHeight="1" outlineLevel="1">
      <c r="A213" s="39" t="s">
        <v>2545</v>
      </c>
      <c r="B213" s="71"/>
      <c r="C213" s="39" t="s">
        <v>2818</v>
      </c>
      <c r="D213" s="72" t="str">
        <f t="shared" si="10"/>
        <v>760/505/255</v>
      </c>
      <c r="E213" s="39">
        <v>3.0</v>
      </c>
      <c r="F213" s="39">
        <v>75.0</v>
      </c>
      <c r="I213" s="39">
        <v>75.0</v>
      </c>
      <c r="J213" s="39">
        <v>75.0</v>
      </c>
      <c r="K213" s="87">
        <v>60.0</v>
      </c>
      <c r="L213" s="39">
        <v>70.0</v>
      </c>
      <c r="M213" s="39">
        <v>70.0</v>
      </c>
      <c r="N213" s="39">
        <v>80.0</v>
      </c>
      <c r="P213" s="37">
        <v>0.0</v>
      </c>
      <c r="Q213" s="64"/>
      <c r="R213" s="64"/>
      <c r="S213" s="64"/>
      <c r="T213" s="64"/>
      <c r="U213" s="64"/>
      <c r="V213" s="64"/>
      <c r="W213" s="64"/>
      <c r="X213" s="64"/>
      <c r="Y213" s="64"/>
      <c r="Z213" s="64"/>
      <c r="AA213" s="64"/>
      <c r="AJ213" s="37">
        <v>10.0</v>
      </c>
      <c r="AK213" s="37">
        <v>0.0</v>
      </c>
      <c r="AL213" s="37">
        <v>40.0</v>
      </c>
      <c r="AM213" s="37">
        <v>25.0</v>
      </c>
      <c r="AN213" s="37">
        <v>25.0</v>
      </c>
      <c r="AO213" s="37">
        <v>0.0</v>
      </c>
      <c r="AP213" s="37">
        <v>0.0</v>
      </c>
      <c r="AQ213" s="37">
        <v>40.0</v>
      </c>
      <c r="AR213" s="37">
        <v>45.0</v>
      </c>
      <c r="AS213" s="37">
        <v>0.0</v>
      </c>
      <c r="AT213" s="37">
        <v>0.0</v>
      </c>
      <c r="AU213" s="37">
        <v>0.0</v>
      </c>
      <c r="AV213" s="37">
        <v>0.0</v>
      </c>
      <c r="AW213" s="37">
        <v>25.0</v>
      </c>
      <c r="AX213" s="37">
        <v>-5.0</v>
      </c>
      <c r="AY213" s="37">
        <v>0.0</v>
      </c>
      <c r="AZ213" s="37">
        <v>50.0</v>
      </c>
      <c r="BA213" s="39"/>
      <c r="BB213" s="39"/>
      <c r="BC213" s="39"/>
      <c r="BD213" s="39"/>
      <c r="BE213" s="39"/>
      <c r="BF213" s="39"/>
      <c r="BG213" s="37" t="str">
        <f t="array" ref="BG213">IF($A213="","",IFERROR(INDEX(CS!$B$1:$B$15025,MATCH($A213,CS!$B:$B,0)+COLUMN(A$1),1),""))</f>
        <v/>
      </c>
      <c r="BH213" s="37" t="str">
        <f t="array" ref="BH213">IF($A213="","",IFERROR(INDEX(CS!$B$1:$B$15025,MATCH($A213,CS!$B:$B,0)+COLUMN(B$1),1),""))</f>
        <v/>
      </c>
      <c r="BI213" s="37" t="str">
        <f t="array" ref="BI213">IF($A213="","",IFERROR(INDEX(CS!$B$1:$B$15025,MATCH($A213,CS!$B:$B,0)+COLUMN(C$1),1),""))</f>
        <v/>
      </c>
      <c r="BJ213" s="37" t="str">
        <f t="array" ref="BJ213">IF($A213="","",IFERROR(INDEX(CS!$B$1:$B$15025,MATCH($A213,CS!$B:$B,0)+COLUMN(D$1),1),""))</f>
        <v/>
      </c>
      <c r="BK213" s="37" t="str">
        <f t="array" ref="BK213">IF($A213="","",IFERROR(INDEX(CS!$B$1:$B$15025,MATCH($A213,CS!$B:$B,0)+COLUMN(E$1),1),""))</f>
        <v/>
      </c>
      <c r="BL213" s="37" t="str">
        <f t="array" ref="BL213">IF($A213="","",IFERROR(INDEX(CS!$B$1:$B$15025,MATCH($A213,CS!$B:$B,0)+COLUMN(F$1),1),""))</f>
        <v/>
      </c>
      <c r="BM213" s="37" t="str">
        <f t="array" ref="BM213">IF($A213="","",IFERROR(INDEX(CS!$B$1:$B$15025,MATCH($A213,CS!$B:$B,0)+COLUMN(G$1),1),""))</f>
        <v/>
      </c>
      <c r="BN213" s="37" t="str">
        <f t="array" ref="BN213">IF($A213="","",IFERROR(INDEX(CS!$B$1:$B$15025,MATCH($A213,CS!$B:$B,0)+COLUMN(H$1),1),""))</f>
        <v/>
      </c>
      <c r="BO213" s="37" t="str">
        <f t="array" ref="BO213">IF($A213="","",IFERROR(INDEX(CS!$B$1:$B$15025,MATCH($A213,CS!$B:$B,0)+COLUMN(I$1),1),""))</f>
        <v/>
      </c>
      <c r="BP213" s="37" t="str">
        <f t="array" ref="BP213">IF($A213="","",IFERROR(INDEX(CS!$B$1:$B$15025,MATCH($A213,CS!$B:$B,0)+COLUMN(J$1),1),""))</f>
        <v/>
      </c>
      <c r="BR213" s="39"/>
      <c r="BS213" s="74"/>
      <c r="BU213" s="39" t="s">
        <v>2883</v>
      </c>
    </row>
    <row r="214" ht="18.75" customHeight="1">
      <c r="B214" s="71"/>
      <c r="D214" s="72"/>
      <c r="K214" s="73"/>
      <c r="P214" s="37" t="s">
        <v>29</v>
      </c>
      <c r="Q214" s="64"/>
      <c r="R214" s="64"/>
      <c r="S214" s="64"/>
      <c r="T214" s="64"/>
      <c r="U214" s="64"/>
      <c r="V214" s="64"/>
      <c r="W214" s="64"/>
      <c r="X214" s="64"/>
      <c r="Y214" s="64"/>
      <c r="Z214" s="64"/>
      <c r="AA214" s="64"/>
      <c r="AJ214" s="37" t="s">
        <v>29</v>
      </c>
      <c r="AK214" s="37" t="s">
        <v>29</v>
      </c>
      <c r="AL214" s="37" t="s">
        <v>29</v>
      </c>
      <c r="AM214" s="37" t="s">
        <v>29</v>
      </c>
      <c r="AN214" s="37" t="s">
        <v>29</v>
      </c>
      <c r="AO214" s="37" t="s">
        <v>29</v>
      </c>
      <c r="AP214" s="37" t="s">
        <v>29</v>
      </c>
      <c r="AQ214" s="37" t="s">
        <v>29</v>
      </c>
      <c r="AR214" s="37" t="s">
        <v>29</v>
      </c>
      <c r="AS214" s="37" t="s">
        <v>29</v>
      </c>
      <c r="AT214" s="37" t="s">
        <v>29</v>
      </c>
      <c r="AU214" s="37" t="s">
        <v>29</v>
      </c>
      <c r="AV214" s="37" t="s">
        <v>29</v>
      </c>
      <c r="AW214" s="37" t="s">
        <v>29</v>
      </c>
      <c r="AX214" s="37" t="s">
        <v>29</v>
      </c>
      <c r="AY214" s="37" t="s">
        <v>29</v>
      </c>
      <c r="AZ214" s="37" t="s">
        <v>29</v>
      </c>
      <c r="BG214" s="37" t="str">
        <f t="array" ref="BG214">IF($A214="","", INDEX(CS!$B$1:$B$15025,MATCH($A214,CS!$B:$B,0)+COLUMN(A$1),1))</f>
        <v/>
      </c>
      <c r="BH214" s="37" t="str">
        <f t="array" ref="BH214">IF($A214="","", INDEX(CS!$B$1:$B$15025,MATCH($A214,CS!$B:$B,0)+COLUMN(B$1),1))</f>
        <v/>
      </c>
      <c r="BI214" s="37" t="str">
        <f t="array" ref="BI214">IF($A214="","", INDEX(CS!$B$1:$B$15025,MATCH($A214,CS!$B:$B,0)+COLUMN(C$1),1))</f>
        <v/>
      </c>
      <c r="BJ214" s="37" t="str">
        <f t="array" ref="BJ214">IF($A214="","", INDEX(CS!$B$1:$B$15025,MATCH($A214,CS!$B:$B,0)+COLUMN(D$1),1))</f>
        <v/>
      </c>
      <c r="BK214" s="37" t="str">
        <f t="array" ref="BK214">IF($A214="","", INDEX(CS!$B$1:$B$15025,MATCH($A214,CS!$B:$B,0)+COLUMN(E$1),1))</f>
        <v/>
      </c>
      <c r="BL214" s="37" t="str">
        <f t="array" ref="BL214">IF($A214="","", INDEX(CS!$B$1:$B$15025,MATCH($A214,CS!$B:$B,0)+COLUMN(F$1),1))</f>
        <v/>
      </c>
      <c r="BM214" s="37" t="str">
        <f t="array" ref="BM214">IF($A214="","", INDEX(CS!$B$1:$B$15025,MATCH($A214,CS!$B:$B,0)+COLUMN(G$1),1))</f>
        <v/>
      </c>
      <c r="BN214" s="37" t="str">
        <f t="array" ref="BN214">IF($A214="","", INDEX(CS!$B$1:$B$15025,MATCH($A214,CS!$B:$B,0)+COLUMN(H$1),1))</f>
        <v/>
      </c>
      <c r="BO214" s="37" t="str">
        <f t="array" ref="BO214">IF($A214="","", INDEX(CS!$B$1:$B$15025,MATCH($A214,CS!$B:$B,0)+COLUMN(I$1),1))</f>
        <v/>
      </c>
      <c r="BP214" s="37" t="str">
        <f t="array" ref="BP214">IF($A214="","", INDEX(CS!$B$1:$B$15025,MATCH($A214,CS!$B:$B,0)+COLUMN(J$1),1))</f>
        <v/>
      </c>
      <c r="BS214" s="74"/>
      <c r="CI214" s="37" t="s">
        <v>2819</v>
      </c>
      <c r="CJ214" s="37" t="s">
        <v>2800</v>
      </c>
      <c r="CK214" s="37" t="s">
        <v>2793</v>
      </c>
    </row>
    <row r="215" ht="18.75" customHeight="1">
      <c r="B215" s="85" t="s">
        <v>2884</v>
      </c>
      <c r="D215" s="72" t="str">
        <f t="shared" ref="D215:D225" si="11">SUM(AJ215:AZ215,F215:N215)&amp;"/"&amp;SUM(F215:N215)&amp;"/"&amp;SUM(AJ215:AZ215)</f>
        <v>0/0/0</v>
      </c>
      <c r="E215" s="37">
        <v>1.0</v>
      </c>
      <c r="K215" s="73"/>
      <c r="P215" s="37" t="s">
        <v>29</v>
      </c>
      <c r="Q215" s="64"/>
      <c r="R215" s="64"/>
      <c r="S215" s="64"/>
      <c r="T215" s="64"/>
      <c r="U215" s="64"/>
      <c r="V215" s="64"/>
      <c r="W215" s="64"/>
      <c r="X215" s="64"/>
      <c r="Y215" s="64"/>
      <c r="Z215" s="64"/>
      <c r="AA215" s="64"/>
      <c r="AJ215" s="37" t="s">
        <v>29</v>
      </c>
      <c r="AK215" s="37" t="s">
        <v>29</v>
      </c>
      <c r="AL215" s="37" t="s">
        <v>29</v>
      </c>
      <c r="AM215" s="37" t="s">
        <v>29</v>
      </c>
      <c r="AN215" s="37" t="s">
        <v>29</v>
      </c>
      <c r="AO215" s="37" t="s">
        <v>29</v>
      </c>
      <c r="AP215" s="37" t="s">
        <v>29</v>
      </c>
      <c r="AQ215" s="37" t="s">
        <v>29</v>
      </c>
      <c r="AR215" s="37" t="s">
        <v>29</v>
      </c>
      <c r="AS215" s="37" t="s">
        <v>29</v>
      </c>
      <c r="AT215" s="37" t="s">
        <v>29</v>
      </c>
      <c r="AU215" s="37" t="s">
        <v>29</v>
      </c>
      <c r="AV215" s="37" t="s">
        <v>29</v>
      </c>
      <c r="AW215" s="37" t="s">
        <v>29</v>
      </c>
      <c r="AX215" s="37" t="s">
        <v>29</v>
      </c>
      <c r="AY215" s="37" t="s">
        <v>29</v>
      </c>
      <c r="AZ215" s="37" t="s">
        <v>29</v>
      </c>
      <c r="BG215" s="37" t="str">
        <f t="array" ref="BG215">IF($A215="","", INDEX(CS!$B$1:$B$15025,MATCH($A215,CS!$B:$B,0)+COLUMN(A$1),1))</f>
        <v/>
      </c>
      <c r="BH215" s="37" t="str">
        <f t="array" ref="BH215">IF($A215="","", INDEX(CS!$B$1:$B$15025,MATCH($A215,CS!$B:$B,0)+COLUMN(B$1),1))</f>
        <v/>
      </c>
      <c r="BI215" s="37" t="str">
        <f t="array" ref="BI215">IF($A215="","", INDEX(CS!$B$1:$B$15025,MATCH($A215,CS!$B:$B,0)+COLUMN(C$1),1))</f>
        <v/>
      </c>
      <c r="BJ215" s="37" t="str">
        <f t="array" ref="BJ215">IF($A215="","", INDEX(CS!$B$1:$B$15025,MATCH($A215,CS!$B:$B,0)+COLUMN(D$1),1))</f>
        <v/>
      </c>
      <c r="BK215" s="37" t="str">
        <f t="array" ref="BK215">IF($A215="","", INDEX(CS!$B$1:$B$15025,MATCH($A215,CS!$B:$B,0)+COLUMN(E$1),1))</f>
        <v/>
      </c>
      <c r="BL215" s="37" t="str">
        <f t="array" ref="BL215">IF($A215="","", INDEX(CS!$B$1:$B$15025,MATCH($A215,CS!$B:$B,0)+COLUMN(F$1),1))</f>
        <v/>
      </c>
      <c r="BM215" s="37" t="str">
        <f t="array" ref="BM215">IF($A215="","", INDEX(CS!$B$1:$B$15025,MATCH($A215,CS!$B:$B,0)+COLUMN(G$1),1))</f>
        <v/>
      </c>
      <c r="BN215" s="37" t="str">
        <f t="array" ref="BN215">IF($A215="","", INDEX(CS!$B$1:$B$15025,MATCH($A215,CS!$B:$B,0)+COLUMN(H$1),1))</f>
        <v/>
      </c>
      <c r="BO215" s="37" t="str">
        <f t="array" ref="BO215">IF($A215="","", INDEX(CS!$B$1:$B$15025,MATCH($A215,CS!$B:$B,0)+COLUMN(I$1),1))</f>
        <v/>
      </c>
      <c r="BP215" s="37" t="str">
        <f t="array" ref="BP215">IF($A215="","", INDEX(CS!$B$1:$B$15025,MATCH($A215,CS!$B:$B,0)+COLUMN(J$1),1))</f>
        <v/>
      </c>
      <c r="BS215" s="74"/>
    </row>
    <row r="216" ht="18.75" customHeight="1" outlineLevel="1">
      <c r="A216" s="39" t="s">
        <v>2264</v>
      </c>
      <c r="B216" s="89"/>
      <c r="C216" s="39" t="s">
        <v>2790</v>
      </c>
      <c r="D216" s="72" t="str">
        <f t="shared" si="11"/>
        <v>725/485/240</v>
      </c>
      <c r="E216" s="39">
        <v>2.0</v>
      </c>
      <c r="F216" s="39">
        <v>90.0</v>
      </c>
      <c r="I216" s="39">
        <v>85.0</v>
      </c>
      <c r="J216" s="39">
        <v>75.0</v>
      </c>
      <c r="K216" s="87">
        <v>25.0</v>
      </c>
      <c r="L216" s="39">
        <v>50.0</v>
      </c>
      <c r="M216" s="39">
        <v>80.0</v>
      </c>
      <c r="N216" s="39">
        <v>80.0</v>
      </c>
      <c r="P216" s="37">
        <v>0.0</v>
      </c>
      <c r="Q216" s="64"/>
      <c r="R216" s="64"/>
      <c r="S216" s="64"/>
      <c r="T216" s="64"/>
      <c r="U216" s="64"/>
      <c r="V216" s="64"/>
      <c r="W216" s="64"/>
      <c r="X216" s="64"/>
      <c r="Y216" s="64"/>
      <c r="Z216" s="64"/>
      <c r="AA216" s="64"/>
      <c r="AJ216" s="37">
        <v>0.0</v>
      </c>
      <c r="AK216" s="37">
        <v>0.0</v>
      </c>
      <c r="AL216" s="37">
        <v>0.0</v>
      </c>
      <c r="AM216" s="37">
        <v>50.0</v>
      </c>
      <c r="AN216" s="37">
        <v>35.0</v>
      </c>
      <c r="AO216" s="37">
        <v>0.0</v>
      </c>
      <c r="AP216" s="37">
        <v>0.0</v>
      </c>
      <c r="AQ216" s="37">
        <v>65.0</v>
      </c>
      <c r="AR216" s="37">
        <v>90.0</v>
      </c>
      <c r="AS216" s="37">
        <v>0.0</v>
      </c>
      <c r="AT216" s="37">
        <v>0.0</v>
      </c>
      <c r="AU216" s="37">
        <v>0.0</v>
      </c>
      <c r="AV216" s="37">
        <v>0.0</v>
      </c>
      <c r="AW216" s="37">
        <v>0.0</v>
      </c>
      <c r="AX216" s="37">
        <v>0.0</v>
      </c>
      <c r="AY216" s="37">
        <v>0.0</v>
      </c>
      <c r="AZ216" s="37">
        <v>0.0</v>
      </c>
      <c r="BG216" s="37" t="str">
        <f t="array" ref="BG216">IF($A216="","",IFERROR(INDEX(CS!$B$1:$B$15025,MATCH($A216,CS!$B:$B,0)+COLUMN(A$1),1),""))</f>
        <v>精密射撃</v>
      </c>
      <c r="BH216" s="37" t="str">
        <f t="array" ref="BH216">IF($A216="","",IFERROR(INDEX(CS!$B$1:$B$15025,MATCH($A216,CS!$B:$B,0)+COLUMN(B$1),1),""))</f>
        <v>速射</v>
      </c>
      <c r="BI216" s="37" t="str">
        <f t="array" ref="BI216">IF($A216="","",IFERROR(INDEX(CS!$B$1:$B$15025,MATCH($A216,CS!$B:$B,0)+COLUMN(C$1),1),""))</f>
        <v>射撃姿勢</v>
      </c>
      <c r="BJ216" s="37" t="str">
        <f t="array" ref="BJ216">IF($A216="","",IFERROR(INDEX(CS!$B$1:$B$15025,MATCH($A216,CS!$B:$B,0)+COLUMN(D$1),1),""))</f>
        <v/>
      </c>
      <c r="BK216" s="37" t="str">
        <f t="array" ref="BK216">IF($A216="","",IFERROR(INDEX(CS!$B$1:$B$15025,MATCH($A216,CS!$B:$B,0)+COLUMN(E$1),1),""))</f>
        <v>貫通射撃</v>
      </c>
      <c r="BL216" s="37" t="str">
        <f t="array" ref="BL216">IF($A216="","",IFERROR(INDEX(CS!$B$1:$B$15025,MATCH($A216,CS!$B:$B,0)+COLUMN(F$1),1),""))</f>
        <v/>
      </c>
      <c r="BM216" s="37" t="str">
        <f t="array" ref="BM216">IF($A216="","",IFERROR(INDEX(CS!$B$1:$B$15025,MATCH($A216,CS!$B:$B,0)+COLUMN(G$1),1),""))</f>
        <v>制圧射撃</v>
      </c>
      <c r="BN216" s="37" t="str">
        <f t="array" ref="BN216">IF($A216="","",IFERROR(INDEX(CS!$B$1:$B$15025,MATCH($A216,CS!$B:$B,0)+COLUMN(H$1),1),""))</f>
        <v/>
      </c>
      <c r="BO216" s="37" t="str">
        <f t="array" ref="BO216">IF($A216="","",IFERROR(INDEX(CS!$B$1:$B$15025,MATCH($A216,CS!$B:$B,0)+COLUMN(I$1),1),""))</f>
        <v>狙撃</v>
      </c>
      <c r="BP216" s="37" t="str">
        <f t="array" ref="BP216">IF($A216="","",IFERROR(INDEX(CS!$B$1:$B$15025,MATCH($A216,CS!$B:$B,0)+COLUMN(J$1),1),""))</f>
        <v>射撃の極み</v>
      </c>
      <c r="BR216" s="39" t="s">
        <v>2885</v>
      </c>
      <c r="BS216" s="74"/>
      <c r="BU216" s="39" t="s">
        <v>2886</v>
      </c>
      <c r="CG216" s="37" t="s">
        <v>2806</v>
      </c>
      <c r="CJ216" s="37" t="s">
        <v>2800</v>
      </c>
      <c r="CK216" s="37" t="s">
        <v>2793</v>
      </c>
      <c r="CN216" s="37" t="s">
        <v>2805</v>
      </c>
    </row>
    <row r="217" ht="18.75" customHeight="1" outlineLevel="1">
      <c r="A217" s="39" t="s">
        <v>2279</v>
      </c>
      <c r="B217" s="89"/>
      <c r="C217" s="39" t="s">
        <v>2790</v>
      </c>
      <c r="D217" s="72" t="str">
        <f t="shared" si="11"/>
        <v>740/500/240</v>
      </c>
      <c r="E217" s="39">
        <v>3.0</v>
      </c>
      <c r="F217" s="39">
        <v>90.0</v>
      </c>
      <c r="I217" s="39">
        <v>90.0</v>
      </c>
      <c r="J217" s="39">
        <v>75.0</v>
      </c>
      <c r="K217" s="87">
        <v>25.0</v>
      </c>
      <c r="L217" s="39">
        <v>50.0</v>
      </c>
      <c r="M217" s="39">
        <v>85.0</v>
      </c>
      <c r="N217" s="39">
        <v>85.0</v>
      </c>
      <c r="P217" s="37">
        <v>0.0</v>
      </c>
      <c r="Q217" s="64"/>
      <c r="R217" s="64"/>
      <c r="S217" s="64"/>
      <c r="T217" s="64"/>
      <c r="U217" s="64"/>
      <c r="V217" s="64"/>
      <c r="W217" s="64"/>
      <c r="X217" s="64"/>
      <c r="Y217" s="64"/>
      <c r="Z217" s="64"/>
      <c r="AA217" s="64"/>
      <c r="AJ217" s="37">
        <v>0.0</v>
      </c>
      <c r="AK217" s="37">
        <v>0.0</v>
      </c>
      <c r="AL217" s="37">
        <v>0.0</v>
      </c>
      <c r="AM217" s="37">
        <v>50.0</v>
      </c>
      <c r="AN217" s="37">
        <v>35.0</v>
      </c>
      <c r="AO217" s="37">
        <v>0.0</v>
      </c>
      <c r="AP217" s="37">
        <v>0.0</v>
      </c>
      <c r="AQ217" s="37">
        <v>65.0</v>
      </c>
      <c r="AR217" s="37">
        <v>90.0</v>
      </c>
      <c r="AS217" s="37">
        <v>0.0</v>
      </c>
      <c r="AT217" s="37">
        <v>0.0</v>
      </c>
      <c r="AU217" s="37">
        <v>0.0</v>
      </c>
      <c r="AV217" s="37">
        <v>0.0</v>
      </c>
      <c r="AW217" s="37">
        <v>0.0</v>
      </c>
      <c r="AX217" s="37">
        <v>0.0</v>
      </c>
      <c r="AY217" s="37">
        <v>0.0</v>
      </c>
      <c r="AZ217" s="37">
        <v>0.0</v>
      </c>
      <c r="BG217" s="37" t="str">
        <f t="array" ref="BG217">IF($A217="","",IFERROR(INDEX(CS!$B$1:$B$15025,MATCH($A217,CS!$B:$B,0)+COLUMN(A$1),1),""))</f>
        <v>強射</v>
      </c>
      <c r="BH217" s="37" t="str">
        <f t="array" ref="BH217">IF($A217="","",IFERROR(INDEX(CS!$B$1:$B$15025,MATCH($A217,CS!$B:$B,0)+COLUMN(B$1),1),""))</f>
        <v/>
      </c>
      <c r="BI217" s="37" t="str">
        <f t="array" ref="BI217">IF($A217="","",IFERROR(INDEX(CS!$B$1:$B$15025,MATCH($A217,CS!$B:$B,0)+COLUMN(C$1),1),""))</f>
        <v>弓術</v>
      </c>
      <c r="BJ217" s="37" t="str">
        <f t="array" ref="BJ217">IF($A217="","",IFERROR(INDEX(CS!$B$1:$B$15025,MATCH($A217,CS!$B:$B,0)+COLUMN(D$1),1),""))</f>
        <v/>
      </c>
      <c r="BK217" s="37" t="str">
        <f t="array" ref="BK217">IF($A217="","",IFERROR(INDEX(CS!$B$1:$B$15025,MATCH($A217,CS!$B:$B,0)+COLUMN(E$1),1),""))</f>
        <v>連射</v>
      </c>
      <c r="BL217" s="37" t="str">
        <f t="array" ref="BL217">IF($A217="","",IFERROR(INDEX(CS!$B$1:$B$15025,MATCH($A217,CS!$B:$B,0)+COLUMN(F$1),1),""))</f>
        <v/>
      </c>
      <c r="BM217" s="37" t="str">
        <f t="array" ref="BM217">IF($A217="","",IFERROR(INDEX(CS!$B$1:$B$15025,MATCH($A217,CS!$B:$B,0)+COLUMN(G$1),1),""))</f>
        <v>遠射</v>
      </c>
      <c r="BN217" s="37" t="str">
        <f t="array" ref="BN217">IF($A217="","",IFERROR(INDEX(CS!$B$1:$B$15025,MATCH($A217,CS!$B:$B,0)+COLUMN(H$1),1),""))</f>
        <v/>
      </c>
      <c r="BO217" s="37" t="str">
        <f t="array" ref="BO217">IF($A217="","",IFERROR(INDEX(CS!$B$1:$B$15025,MATCH($A217,CS!$B:$B,0)+COLUMN(I$1),1),""))</f>
        <v>射撃の極意</v>
      </c>
      <c r="BP217" s="37" t="str">
        <f t="array" ref="BP217">IF($A217="","",IFERROR(INDEX(CS!$B$1:$B$15025,MATCH($A217,CS!$B:$B,0)+COLUMN(J$1),1),""))</f>
        <v>神射</v>
      </c>
      <c r="BR217" s="39" t="s">
        <v>2887</v>
      </c>
      <c r="BS217" s="74"/>
      <c r="BU217" s="39" t="s">
        <v>2886</v>
      </c>
      <c r="CG217" s="37" t="s">
        <v>2806</v>
      </c>
      <c r="CJ217" s="37" t="s">
        <v>2800</v>
      </c>
      <c r="CK217" s="37" t="s">
        <v>2793</v>
      </c>
      <c r="CN217" s="37" t="s">
        <v>2805</v>
      </c>
    </row>
    <row r="218" ht="18.75" customHeight="1" outlineLevel="1">
      <c r="A218" s="39" t="s">
        <v>2291</v>
      </c>
      <c r="B218" s="89" t="s">
        <v>29</v>
      </c>
      <c r="C218" s="39" t="s">
        <v>2790</v>
      </c>
      <c r="D218" s="72" t="str">
        <f t="shared" si="11"/>
        <v>735/485/250</v>
      </c>
      <c r="E218" s="39">
        <v>2.0</v>
      </c>
      <c r="F218" s="39">
        <v>90.0</v>
      </c>
      <c r="I218" s="39">
        <v>85.0</v>
      </c>
      <c r="J218" s="39">
        <v>75.0</v>
      </c>
      <c r="K218" s="87">
        <v>25.0</v>
      </c>
      <c r="L218" s="39">
        <v>50.0</v>
      </c>
      <c r="M218" s="39">
        <v>80.0</v>
      </c>
      <c r="N218" s="39">
        <v>80.0</v>
      </c>
      <c r="P218" s="37">
        <v>0.0</v>
      </c>
      <c r="Q218" s="64"/>
      <c r="R218" s="64"/>
      <c r="S218" s="64"/>
      <c r="T218" s="64"/>
      <c r="U218" s="64"/>
      <c r="V218" s="64"/>
      <c r="W218" s="64"/>
      <c r="X218" s="64"/>
      <c r="Y218" s="64"/>
      <c r="Z218" s="64"/>
      <c r="AA218" s="64"/>
      <c r="AJ218" s="37">
        <v>0.0</v>
      </c>
      <c r="AK218" s="37">
        <v>0.0</v>
      </c>
      <c r="AL218" s="37">
        <v>0.0</v>
      </c>
      <c r="AM218" s="37">
        <v>50.0</v>
      </c>
      <c r="AN218" s="37">
        <v>40.0</v>
      </c>
      <c r="AO218" s="37">
        <v>0.0</v>
      </c>
      <c r="AP218" s="37">
        <v>0.0</v>
      </c>
      <c r="AQ218" s="37">
        <v>65.0</v>
      </c>
      <c r="AR218" s="37">
        <v>95.0</v>
      </c>
      <c r="AS218" s="37">
        <v>0.0</v>
      </c>
      <c r="AT218" s="37">
        <v>0.0</v>
      </c>
      <c r="AU218" s="37">
        <v>0.0</v>
      </c>
      <c r="AV218" s="37">
        <v>0.0</v>
      </c>
      <c r="AW218" s="37">
        <v>0.0</v>
      </c>
      <c r="AX218" s="37">
        <v>0.0</v>
      </c>
      <c r="AY218" s="37">
        <v>0.0</v>
      </c>
      <c r="AZ218" s="37">
        <v>0.0</v>
      </c>
      <c r="BG218" s="39" t="s">
        <v>2292</v>
      </c>
      <c r="BI218" s="39" t="s">
        <v>2295</v>
      </c>
      <c r="BK218" s="39" t="s">
        <v>2298</v>
      </c>
      <c r="BM218" s="39" t="s">
        <v>2301</v>
      </c>
      <c r="BO218" s="39" t="s">
        <v>2304</v>
      </c>
      <c r="BP218" s="39" t="s">
        <v>2307</v>
      </c>
      <c r="BR218" s="39"/>
      <c r="BS218" s="74"/>
      <c r="BU218" s="39"/>
    </row>
    <row r="219" ht="18.75" customHeight="1" outlineLevel="1">
      <c r="A219" s="39" t="s">
        <v>2310</v>
      </c>
      <c r="B219" s="89" t="s">
        <v>29</v>
      </c>
      <c r="C219" s="39" t="s">
        <v>2790</v>
      </c>
      <c r="D219" s="72" t="str">
        <f t="shared" si="11"/>
        <v>735/485/250</v>
      </c>
      <c r="E219" s="39">
        <v>2.0</v>
      </c>
      <c r="F219" s="39">
        <v>90.0</v>
      </c>
      <c r="I219" s="39">
        <v>85.0</v>
      </c>
      <c r="J219" s="39">
        <v>75.0</v>
      </c>
      <c r="K219" s="87">
        <v>25.0</v>
      </c>
      <c r="L219" s="39">
        <v>50.0</v>
      </c>
      <c r="M219" s="39">
        <v>80.0</v>
      </c>
      <c r="N219" s="39">
        <v>80.0</v>
      </c>
      <c r="P219" s="37">
        <v>0.0</v>
      </c>
      <c r="Q219" s="64"/>
      <c r="R219" s="64"/>
      <c r="S219" s="64"/>
      <c r="T219" s="64"/>
      <c r="U219" s="64"/>
      <c r="V219" s="64"/>
      <c r="W219" s="64"/>
      <c r="X219" s="64"/>
      <c r="Y219" s="64"/>
      <c r="Z219" s="64"/>
      <c r="AA219" s="64"/>
      <c r="AJ219" s="37">
        <v>0.0</v>
      </c>
      <c r="AK219" s="37">
        <v>0.0</v>
      </c>
      <c r="AL219" s="37">
        <v>0.0</v>
      </c>
      <c r="AM219" s="37">
        <v>50.0</v>
      </c>
      <c r="AN219" s="37">
        <v>40.0</v>
      </c>
      <c r="AO219" s="37">
        <v>0.0</v>
      </c>
      <c r="AP219" s="37">
        <v>0.0</v>
      </c>
      <c r="AQ219" s="37">
        <v>65.0</v>
      </c>
      <c r="AR219" s="37">
        <v>95.0</v>
      </c>
      <c r="AS219" s="37">
        <v>0.0</v>
      </c>
      <c r="AT219" s="37">
        <v>0.0</v>
      </c>
      <c r="AU219" s="37">
        <v>0.0</v>
      </c>
      <c r="AV219" s="37">
        <v>0.0</v>
      </c>
      <c r="AW219" s="37">
        <v>0.0</v>
      </c>
      <c r="AX219" s="37">
        <v>0.0</v>
      </c>
      <c r="AY219" s="37">
        <v>0.0</v>
      </c>
      <c r="AZ219" s="37">
        <v>0.0</v>
      </c>
      <c r="BG219" s="39" t="s">
        <v>2311</v>
      </c>
      <c r="BI219" s="39" t="s">
        <v>2314</v>
      </c>
      <c r="BK219" s="39" t="s">
        <v>2317</v>
      </c>
      <c r="BM219" s="39" t="s">
        <v>2320</v>
      </c>
      <c r="BO219" s="39" t="s">
        <v>2323</v>
      </c>
      <c r="BP219" s="39" t="s">
        <v>2326</v>
      </c>
      <c r="BR219" s="39"/>
      <c r="BS219" s="74"/>
      <c r="BU219" s="39"/>
    </row>
    <row r="220" ht="18.75" customHeight="1" outlineLevel="1">
      <c r="A220" s="39" t="s">
        <v>2329</v>
      </c>
      <c r="B220" s="89"/>
      <c r="C220" s="39" t="s">
        <v>2790</v>
      </c>
      <c r="D220" s="72" t="str">
        <f t="shared" si="11"/>
        <v>760/490/270</v>
      </c>
      <c r="E220" s="39">
        <v>2.0</v>
      </c>
      <c r="F220" s="39">
        <v>75.0</v>
      </c>
      <c r="I220" s="39">
        <v>65.0</v>
      </c>
      <c r="J220" s="39">
        <v>65.0</v>
      </c>
      <c r="K220" s="87">
        <v>60.0</v>
      </c>
      <c r="L220" s="39">
        <v>75.0</v>
      </c>
      <c r="M220" s="39">
        <v>70.0</v>
      </c>
      <c r="N220" s="39">
        <v>80.0</v>
      </c>
      <c r="P220" s="37">
        <v>0.0</v>
      </c>
      <c r="Q220" s="64"/>
      <c r="R220" s="64"/>
      <c r="S220" s="64"/>
      <c r="T220" s="64"/>
      <c r="U220" s="64"/>
      <c r="V220" s="64"/>
      <c r="W220" s="64"/>
      <c r="X220" s="64"/>
      <c r="Y220" s="64"/>
      <c r="Z220" s="64"/>
      <c r="AA220" s="64"/>
      <c r="AJ220" s="37">
        <v>0.0</v>
      </c>
      <c r="AK220" s="37">
        <v>0.0</v>
      </c>
      <c r="AL220" s="37">
        <v>50.0</v>
      </c>
      <c r="AM220" s="37">
        <v>30.0</v>
      </c>
      <c r="AN220" s="37">
        <v>25.0</v>
      </c>
      <c r="AO220" s="37">
        <v>0.0</v>
      </c>
      <c r="AP220" s="37">
        <v>0.0</v>
      </c>
      <c r="AQ220" s="37">
        <v>35.0</v>
      </c>
      <c r="AR220" s="37">
        <v>50.0</v>
      </c>
      <c r="AS220" s="37">
        <v>0.0</v>
      </c>
      <c r="AT220" s="37">
        <v>0.0</v>
      </c>
      <c r="AU220" s="37">
        <v>0.0</v>
      </c>
      <c r="AV220" s="37">
        <v>0.0</v>
      </c>
      <c r="AW220" s="37">
        <v>25.0</v>
      </c>
      <c r="AX220" s="37">
        <v>0.0</v>
      </c>
      <c r="AY220" s="37">
        <v>55.0</v>
      </c>
      <c r="AZ220" s="37">
        <v>0.0</v>
      </c>
      <c r="BG220" s="37" t="str">
        <f t="array" ref="BG220">IF($A220="","",IFERROR(INDEX(CS!$B$1:$B$15025,MATCH($A220,CS!$B:$B,0)+COLUMN(A$1),1),""))</f>
        <v>炎の武器</v>
      </c>
      <c r="BH220" s="37" t="str">
        <f t="array" ref="BH220">IF($A220="","",IFERROR(INDEX(CS!$B$1:$B$15025,MATCH($A220,CS!$B:$B,0)+COLUMN(B$1),1),""))</f>
        <v/>
      </c>
      <c r="BI220" s="37" t="str">
        <f t="array" ref="BI220">IF($A220="","",IFERROR(INDEX(CS!$B$1:$B$15025,MATCH($A220,CS!$B:$B,0)+COLUMN(C$1),1),""))</f>
        <v>火炎</v>
      </c>
      <c r="BJ220" s="37" t="str">
        <f t="array" ref="BJ220">IF($A220="","",IFERROR(INDEX(CS!$B$1:$B$15025,MATCH($A220,CS!$B:$B,0)+COLUMN(D$1),1),""))</f>
        <v/>
      </c>
      <c r="BK220" s="37" t="str">
        <f t="array" ref="BK220">IF($A220="","",IFERROR(INDEX(CS!$B$1:$B$15025,MATCH($A220,CS!$B:$B,0)+COLUMN(E$1),1),""))</f>
        <v>炎の適用</v>
      </c>
      <c r="BL220" s="37" t="str">
        <f t="array" ref="BL220">IF($A220="","",IFERROR(INDEX(CS!$B$1:$B$15025,MATCH($A220,CS!$B:$B,0)+COLUMN(F$1),1),""))</f>
        <v/>
      </c>
      <c r="BM220" s="37" t="str">
        <f t="array" ref="BM220">IF($A220="","",IFERROR(INDEX(CS!$B$1:$B$15025,MATCH($A220,CS!$B:$B,0)+COLUMN(G$1),1),""))</f>
        <v>火球</v>
      </c>
      <c r="BN220" s="37" t="str">
        <f t="array" ref="BN220">IF($A220="","",IFERROR(INDEX(CS!$B$1:$B$15025,MATCH($A220,CS!$B:$B,0)+COLUMN(H$1),1),""))</f>
        <v/>
      </c>
      <c r="BO220" s="37" t="str">
        <f t="array" ref="BO220">IF($A220="","",IFERROR(INDEX(CS!$B$1:$B$15025,MATCH($A220,CS!$B:$B,0)+COLUMN(I$1),1),""))</f>
        <v>炎強化</v>
      </c>
      <c r="BP220" s="37" t="str">
        <f t="array" ref="BP220">IF($A220="","",IFERROR(INDEX(CS!$B$1:$B$15025,MATCH($A220,CS!$B:$B,0)+COLUMN(J$1),1),""))</f>
        <v>炎貫矢</v>
      </c>
      <c r="BR220" s="39" t="s">
        <v>2888</v>
      </c>
      <c r="BS220" s="74"/>
      <c r="BU220" s="39" t="s">
        <v>2889</v>
      </c>
      <c r="CG220" s="37" t="s">
        <v>2806</v>
      </c>
      <c r="CJ220" s="37" t="s">
        <v>2800</v>
      </c>
      <c r="CK220" s="37" t="s">
        <v>2793</v>
      </c>
      <c r="CN220" s="37" t="s">
        <v>2805</v>
      </c>
    </row>
    <row r="221" ht="18.75" customHeight="1" outlineLevel="1">
      <c r="A221" s="39" t="s">
        <v>2332</v>
      </c>
      <c r="B221" s="89"/>
      <c r="C221" s="39" t="s">
        <v>2790</v>
      </c>
      <c r="D221" s="72" t="str">
        <f t="shared" si="11"/>
        <v>760/490/270</v>
      </c>
      <c r="E221" s="39">
        <v>2.0</v>
      </c>
      <c r="F221" s="39">
        <v>75.0</v>
      </c>
      <c r="I221" s="39">
        <v>65.0</v>
      </c>
      <c r="J221" s="39">
        <v>65.0</v>
      </c>
      <c r="K221" s="87">
        <v>60.0</v>
      </c>
      <c r="L221" s="39">
        <v>75.0</v>
      </c>
      <c r="M221" s="39">
        <v>70.0</v>
      </c>
      <c r="N221" s="39">
        <v>80.0</v>
      </c>
      <c r="P221" s="37">
        <v>0.0</v>
      </c>
      <c r="Q221" s="64"/>
      <c r="R221" s="64"/>
      <c r="S221" s="64"/>
      <c r="T221" s="64"/>
      <c r="U221" s="64"/>
      <c r="V221" s="64"/>
      <c r="W221" s="64"/>
      <c r="X221" s="64"/>
      <c r="Y221" s="64"/>
      <c r="Z221" s="64"/>
      <c r="AA221" s="64"/>
      <c r="AJ221" s="37">
        <v>0.0</v>
      </c>
      <c r="AK221" s="37">
        <v>0.0</v>
      </c>
      <c r="AL221" s="37">
        <v>50.0</v>
      </c>
      <c r="AM221" s="37">
        <v>30.0</v>
      </c>
      <c r="AN221" s="37">
        <v>25.0</v>
      </c>
      <c r="AO221" s="37">
        <v>0.0</v>
      </c>
      <c r="AP221" s="37">
        <v>0.0</v>
      </c>
      <c r="AQ221" s="37">
        <v>35.0</v>
      </c>
      <c r="AR221" s="37">
        <v>50.0</v>
      </c>
      <c r="AS221" s="37">
        <v>0.0</v>
      </c>
      <c r="AT221" s="37">
        <v>0.0</v>
      </c>
      <c r="AU221" s="37">
        <v>0.0</v>
      </c>
      <c r="AV221" s="37">
        <v>0.0</v>
      </c>
      <c r="AW221" s="37">
        <v>25.0</v>
      </c>
      <c r="AX221" s="37">
        <v>0.0</v>
      </c>
      <c r="AY221" s="37">
        <v>55.0</v>
      </c>
      <c r="AZ221" s="37">
        <v>0.0</v>
      </c>
      <c r="BG221" s="37" t="str">
        <f t="array" ref="BG221">IF($A221="","",IFERROR(INDEX(CS!$B$1:$B$15025,MATCH($A221,CS!$B:$B,0)+COLUMN(A$1),1),""))</f>
        <v>氷の武器</v>
      </c>
      <c r="BH221" s="37" t="str">
        <f t="array" ref="BH221">IF($A221="","",IFERROR(INDEX(CS!$B$1:$B$15025,MATCH($A221,CS!$B:$B,0)+COLUMN(B$1),1),""))</f>
        <v/>
      </c>
      <c r="BI221" s="37" t="str">
        <f t="array" ref="BI221">IF($A221="","",IFERROR(INDEX(CS!$B$1:$B$15025,MATCH($A221,CS!$B:$B,0)+COLUMN(C$1),1),""))</f>
        <v>冷気の光線</v>
      </c>
      <c r="BJ221" s="37" t="str">
        <f t="array" ref="BJ221">IF($A221="","",IFERROR(INDEX(CS!$B$1:$B$15025,MATCH($A221,CS!$B:$B,0)+COLUMN(D$1),1),""))</f>
        <v/>
      </c>
      <c r="BK221" s="37" t="str">
        <f t="array" ref="BK221">IF($A221="","",IFERROR(INDEX(CS!$B$1:$B$15025,MATCH($A221,CS!$B:$B,0)+COLUMN(E$1),1),""))</f>
        <v>氷の適用</v>
      </c>
      <c r="BL221" s="37" t="str">
        <f t="array" ref="BL221">IF($A221="","",IFERROR(INDEX(CS!$B$1:$B$15025,MATCH($A221,CS!$B:$B,0)+COLUMN(F$1),1),""))</f>
        <v/>
      </c>
      <c r="BM221" s="37" t="str">
        <f t="array" ref="BM221">IF($A221="","",IFERROR(INDEX(CS!$B$1:$B$15025,MATCH($A221,CS!$B:$B,0)+COLUMN(G$1),1),""))</f>
        <v>氷柱弾</v>
      </c>
      <c r="BN221" s="37" t="str">
        <f t="array" ref="BN221">IF($A221="","",IFERROR(INDEX(CS!$B$1:$B$15025,MATCH($A221,CS!$B:$B,0)+COLUMN(H$1),1),""))</f>
        <v/>
      </c>
      <c r="BO221" s="37" t="str">
        <f t="array" ref="BO221">IF($A221="","",IFERROR(INDEX(CS!$B$1:$B$15025,MATCH($A221,CS!$B:$B,0)+COLUMN(I$1),1),""))</f>
        <v>氷強化</v>
      </c>
      <c r="BP221" s="37" t="str">
        <f t="array" ref="BP221">IF($A221="","",IFERROR(INDEX(CS!$B$1:$B$15025,MATCH($A221,CS!$B:$B,0)+COLUMN(J$1),1),""))</f>
        <v>氷縛矢</v>
      </c>
      <c r="BR221" s="39" t="s">
        <v>2888</v>
      </c>
      <c r="BS221" s="74"/>
      <c r="BU221" s="39" t="s">
        <v>2889</v>
      </c>
      <c r="CG221" s="37" t="s">
        <v>2806</v>
      </c>
      <c r="CJ221" s="37" t="s">
        <v>2800</v>
      </c>
      <c r="CK221" s="37" t="s">
        <v>2793</v>
      </c>
      <c r="CN221" s="37" t="s">
        <v>2805</v>
      </c>
    </row>
    <row r="222" ht="18.75" customHeight="1" outlineLevel="1">
      <c r="A222" s="39" t="s">
        <v>2335</v>
      </c>
      <c r="B222" s="89"/>
      <c r="C222" s="39" t="s">
        <v>2790</v>
      </c>
      <c r="D222" s="72" t="str">
        <f t="shared" si="11"/>
        <v>760/490/270</v>
      </c>
      <c r="E222" s="39">
        <v>2.0</v>
      </c>
      <c r="F222" s="39">
        <v>75.0</v>
      </c>
      <c r="I222" s="39">
        <v>65.0</v>
      </c>
      <c r="J222" s="39">
        <v>65.0</v>
      </c>
      <c r="K222" s="87">
        <v>60.0</v>
      </c>
      <c r="L222" s="39">
        <v>75.0</v>
      </c>
      <c r="M222" s="39">
        <v>70.0</v>
      </c>
      <c r="N222" s="39">
        <v>80.0</v>
      </c>
      <c r="P222" s="37">
        <v>0.0</v>
      </c>
      <c r="Q222" s="64"/>
      <c r="R222" s="64"/>
      <c r="S222" s="64"/>
      <c r="T222" s="64"/>
      <c r="U222" s="64"/>
      <c r="V222" s="64"/>
      <c r="W222" s="64"/>
      <c r="X222" s="64"/>
      <c r="Y222" s="64"/>
      <c r="Z222" s="64"/>
      <c r="AA222" s="64"/>
      <c r="AJ222" s="37">
        <v>0.0</v>
      </c>
      <c r="AK222" s="37">
        <v>0.0</v>
      </c>
      <c r="AL222" s="37">
        <v>50.0</v>
      </c>
      <c r="AM222" s="37">
        <v>30.0</v>
      </c>
      <c r="AN222" s="37">
        <v>25.0</v>
      </c>
      <c r="AO222" s="37">
        <v>0.0</v>
      </c>
      <c r="AP222" s="37">
        <v>0.0</v>
      </c>
      <c r="AQ222" s="37">
        <v>35.0</v>
      </c>
      <c r="AR222" s="37">
        <v>50.0</v>
      </c>
      <c r="AS222" s="37">
        <v>0.0</v>
      </c>
      <c r="AT222" s="37">
        <v>0.0</v>
      </c>
      <c r="AU222" s="37">
        <v>0.0</v>
      </c>
      <c r="AV222" s="37">
        <v>0.0</v>
      </c>
      <c r="AW222" s="37">
        <v>25.0</v>
      </c>
      <c r="AX222" s="37">
        <v>0.0</v>
      </c>
      <c r="AY222" s="37">
        <v>55.0</v>
      </c>
      <c r="AZ222" s="37">
        <v>0.0</v>
      </c>
      <c r="BG222" s="37" t="str">
        <f t="array" ref="BG222">IF($A222="","",IFERROR(INDEX(CS!$B$1:$B$15025,MATCH($A222,CS!$B:$B,0)+COLUMN(A$1),1),""))</f>
        <v>雷の武器</v>
      </c>
      <c r="BH222" s="37" t="str">
        <f t="array" ref="BH222">IF($A222="","",IFERROR(INDEX(CS!$B$1:$B$15025,MATCH($A222,CS!$B:$B,0)+COLUMN(B$1),1),""))</f>
        <v/>
      </c>
      <c r="BI222" s="37" t="str">
        <f t="array" ref="BI222">IF($A222="","",IFERROR(INDEX(CS!$B$1:$B$15025,MATCH($A222,CS!$B:$B,0)+COLUMN(C$1),1),""))</f>
        <v>放電</v>
      </c>
      <c r="BJ222" s="37" t="str">
        <f t="array" ref="BJ222">IF($A222="","",IFERROR(INDEX(CS!$B$1:$B$15025,MATCH($A222,CS!$B:$B,0)+COLUMN(D$1),1),""))</f>
        <v/>
      </c>
      <c r="BK222" s="37" t="str">
        <f t="array" ref="BK222">IF($A222="","",IFERROR(INDEX(CS!$B$1:$B$15025,MATCH($A222,CS!$B:$B,0)+COLUMN(E$1),1),""))</f>
        <v>雷の適用</v>
      </c>
      <c r="BL222" s="37" t="str">
        <f t="array" ref="BL222">IF($A222="","",IFERROR(INDEX(CS!$B$1:$B$15025,MATCH($A222,CS!$B:$B,0)+COLUMN(F$1),1),""))</f>
        <v/>
      </c>
      <c r="BM222" s="37" t="str">
        <f t="array" ref="BM222">IF($A222="","",IFERROR(INDEX(CS!$B$1:$B$15025,MATCH($A222,CS!$B:$B,0)+COLUMN(G$1),1),""))</f>
        <v>電弧放電</v>
      </c>
      <c r="BN222" s="37" t="str">
        <f t="array" ref="BN222">IF($A222="","",IFERROR(INDEX(CS!$B$1:$B$15025,MATCH($A222,CS!$B:$B,0)+COLUMN(H$1),1),""))</f>
        <v/>
      </c>
      <c r="BO222" s="37" t="str">
        <f t="array" ref="BO222">IF($A222="","",IFERROR(INDEX(CS!$B$1:$B$15025,MATCH($A222,CS!$B:$B,0)+COLUMN(I$1),1),""))</f>
        <v>雷強化</v>
      </c>
      <c r="BP222" s="37" t="str">
        <f t="array" ref="BP222">IF($A222="","",IFERROR(INDEX(CS!$B$1:$B$15025,MATCH($A222,CS!$B:$B,0)+COLUMN(J$1),1),""))</f>
        <v>雷鳴矢</v>
      </c>
      <c r="BR222" s="39" t="s">
        <v>2888</v>
      </c>
      <c r="BS222" s="74"/>
      <c r="BU222" s="39" t="s">
        <v>2889</v>
      </c>
      <c r="CG222" s="37" t="s">
        <v>2806</v>
      </c>
      <c r="CJ222" s="37" t="s">
        <v>2800</v>
      </c>
      <c r="CK222" s="37" t="s">
        <v>2793</v>
      </c>
      <c r="CN222" s="37" t="s">
        <v>2805</v>
      </c>
    </row>
    <row r="223" ht="18.75" customHeight="1" outlineLevel="1">
      <c r="A223" s="39" t="s">
        <v>2338</v>
      </c>
      <c r="B223" s="89"/>
      <c r="C223" s="39" t="s">
        <v>2790</v>
      </c>
      <c r="D223" s="72" t="str">
        <f t="shared" si="11"/>
        <v>760/490/270</v>
      </c>
      <c r="E223" s="39">
        <v>2.0</v>
      </c>
      <c r="F223" s="39">
        <v>75.0</v>
      </c>
      <c r="I223" s="39">
        <v>65.0</v>
      </c>
      <c r="J223" s="39">
        <v>65.0</v>
      </c>
      <c r="K223" s="87">
        <v>60.0</v>
      </c>
      <c r="L223" s="39">
        <v>75.0</v>
      </c>
      <c r="M223" s="39">
        <v>70.0</v>
      </c>
      <c r="N223" s="39">
        <v>80.0</v>
      </c>
      <c r="P223" s="37">
        <v>0.0</v>
      </c>
      <c r="Q223" s="64"/>
      <c r="R223" s="64"/>
      <c r="S223" s="64"/>
      <c r="T223" s="64"/>
      <c r="U223" s="64"/>
      <c r="V223" s="64"/>
      <c r="W223" s="64"/>
      <c r="X223" s="64"/>
      <c r="Y223" s="64"/>
      <c r="Z223" s="64"/>
      <c r="AA223" s="64"/>
      <c r="AJ223" s="37">
        <v>0.0</v>
      </c>
      <c r="AK223" s="37">
        <v>0.0</v>
      </c>
      <c r="AL223" s="37">
        <v>50.0</v>
      </c>
      <c r="AM223" s="37">
        <v>30.0</v>
      </c>
      <c r="AN223" s="37">
        <v>25.0</v>
      </c>
      <c r="AO223" s="37">
        <v>0.0</v>
      </c>
      <c r="AP223" s="37">
        <v>0.0</v>
      </c>
      <c r="AQ223" s="37">
        <v>35.0</v>
      </c>
      <c r="AR223" s="37">
        <v>50.0</v>
      </c>
      <c r="AS223" s="37">
        <v>0.0</v>
      </c>
      <c r="AT223" s="37">
        <v>0.0</v>
      </c>
      <c r="AU223" s="37">
        <v>0.0</v>
      </c>
      <c r="AV223" s="37">
        <v>0.0</v>
      </c>
      <c r="AW223" s="37">
        <v>25.0</v>
      </c>
      <c r="AX223" s="37">
        <v>0.0</v>
      </c>
      <c r="AY223" s="37">
        <v>55.0</v>
      </c>
      <c r="AZ223" s="37">
        <v>0.0</v>
      </c>
      <c r="BG223" s="37" t="str">
        <f t="array" ref="BG223">IF($A223="","",IFERROR(INDEX(CS!$B$1:$B$15025,MATCH($A223,CS!$B:$B,0)+COLUMN(A$1),1),""))</f>
        <v>酸の武器</v>
      </c>
      <c r="BH223" s="37" t="str">
        <f t="array" ref="BH223">IF($A223="","",IFERROR(INDEX(CS!$B$1:$B$15025,MATCH($A223,CS!$B:$B,0)+COLUMN(B$1),1),""))</f>
        <v/>
      </c>
      <c r="BI223" s="37" t="str">
        <f t="array" ref="BI223">IF($A223="","",IFERROR(INDEX(CS!$B$1:$B$15025,MATCH($A223,CS!$B:$B,0)+COLUMN(C$1),1),""))</f>
        <v>酸滴</v>
      </c>
      <c r="BJ223" s="37" t="str">
        <f t="array" ref="BJ223">IF($A223="","",IFERROR(INDEX(CS!$B$1:$B$15025,MATCH($A223,CS!$B:$B,0)+COLUMN(D$1),1),""))</f>
        <v/>
      </c>
      <c r="BK223" s="37" t="str">
        <f t="array" ref="BK223">IF($A223="","",IFERROR(INDEX(CS!$B$1:$B$15025,MATCH($A223,CS!$B:$B,0)+COLUMN(E$1),1),""))</f>
        <v>毒の適用</v>
      </c>
      <c r="BL223" s="37" t="str">
        <f t="array" ref="BL223">IF($A223="","",IFERROR(INDEX(CS!$B$1:$B$15025,MATCH($A223,CS!$B:$B,0)+COLUMN(F$1),1),""))</f>
        <v/>
      </c>
      <c r="BM223" s="37" t="str">
        <f t="array" ref="BM223">IF($A223="","",IFERROR(INDEX(CS!$B$1:$B$15025,MATCH($A223,CS!$B:$B,0)+COLUMN(G$1),1),""))</f>
        <v>酸の落流</v>
      </c>
      <c r="BN223" s="37" t="str">
        <f t="array" ref="BN223">IF($A223="","",IFERROR(INDEX(CS!$B$1:$B$15025,MATCH($A223,CS!$B:$B,0)+COLUMN(H$1),1),""))</f>
        <v/>
      </c>
      <c r="BO223" s="37" t="str">
        <f t="array" ref="BO223">IF($A223="","",IFERROR(INDEX(CS!$B$1:$B$15025,MATCH($A223,CS!$B:$B,0)+COLUMN(I$1),1),""))</f>
        <v>毒強化</v>
      </c>
      <c r="BP223" s="37" t="str">
        <f t="array" ref="BP223">IF($A223="","",IFERROR(INDEX(CS!$B$1:$B$15025,MATCH($A223,CS!$B:$B,0)+COLUMN(J$1),1),""))</f>
        <v>酸穿矢</v>
      </c>
      <c r="BR223" s="39" t="s">
        <v>2888</v>
      </c>
      <c r="BS223" s="74"/>
      <c r="BU223" s="39" t="s">
        <v>2889</v>
      </c>
      <c r="CG223" s="37" t="s">
        <v>2806</v>
      </c>
      <c r="CJ223" s="37" t="s">
        <v>2800</v>
      </c>
      <c r="CK223" s="37" t="s">
        <v>2793</v>
      </c>
      <c r="CN223" s="37" t="s">
        <v>2805</v>
      </c>
    </row>
    <row r="224" ht="18.75" customHeight="1" outlineLevel="1">
      <c r="A224" s="39" t="s">
        <v>2341</v>
      </c>
      <c r="B224" s="89"/>
      <c r="C224" s="39" t="s">
        <v>2790</v>
      </c>
      <c r="D224" s="72" t="str">
        <f t="shared" si="11"/>
        <v>760/490/270</v>
      </c>
      <c r="E224" s="39">
        <v>2.0</v>
      </c>
      <c r="F224" s="39">
        <v>75.0</v>
      </c>
      <c r="I224" s="39">
        <v>65.0</v>
      </c>
      <c r="J224" s="39">
        <v>65.0</v>
      </c>
      <c r="K224" s="87">
        <v>60.0</v>
      </c>
      <c r="L224" s="39">
        <v>75.0</v>
      </c>
      <c r="M224" s="39">
        <v>70.0</v>
      </c>
      <c r="N224" s="39">
        <v>80.0</v>
      </c>
      <c r="P224" s="37">
        <v>0.0</v>
      </c>
      <c r="Q224" s="64"/>
      <c r="R224" s="64"/>
      <c r="S224" s="64"/>
      <c r="T224" s="64"/>
      <c r="U224" s="64"/>
      <c r="V224" s="64"/>
      <c r="W224" s="64"/>
      <c r="X224" s="64"/>
      <c r="Y224" s="64"/>
      <c r="Z224" s="64"/>
      <c r="AA224" s="64"/>
      <c r="AJ224" s="37">
        <v>0.0</v>
      </c>
      <c r="AK224" s="37">
        <v>0.0</v>
      </c>
      <c r="AL224" s="37">
        <v>50.0</v>
      </c>
      <c r="AM224" s="37">
        <v>30.0</v>
      </c>
      <c r="AN224" s="37">
        <v>25.0</v>
      </c>
      <c r="AO224" s="37">
        <v>0.0</v>
      </c>
      <c r="AP224" s="37">
        <v>0.0</v>
      </c>
      <c r="AQ224" s="37">
        <v>35.0</v>
      </c>
      <c r="AR224" s="37">
        <v>50.0</v>
      </c>
      <c r="AS224" s="37">
        <v>0.0</v>
      </c>
      <c r="AT224" s="37">
        <v>0.0</v>
      </c>
      <c r="AU224" s="37">
        <v>0.0</v>
      </c>
      <c r="AV224" s="37">
        <v>0.0</v>
      </c>
      <c r="AW224" s="37">
        <v>25.0</v>
      </c>
      <c r="AX224" s="37">
        <v>0.0</v>
      </c>
      <c r="AY224" s="37">
        <v>55.0</v>
      </c>
      <c r="AZ224" s="37">
        <v>0.0</v>
      </c>
      <c r="BG224" s="37" t="str">
        <f t="array" ref="BG224">IF($A224="","",IFERROR(INDEX(CS!$B$1:$B$15025,MATCH($A224,CS!$B:$B,0)+COLUMN(A$1),1),""))</f>
        <v>風の武器</v>
      </c>
      <c r="BH224" s="37" t="str">
        <f t="array" ref="BH224">IF($A224="","",IFERROR(INDEX(CS!$B$1:$B$15025,MATCH($A224,CS!$B:$B,0)+COLUMN(B$1),1),""))</f>
        <v/>
      </c>
      <c r="BI224" s="37" t="str">
        <f t="array" ref="BI224">IF($A224="","",IFERROR(INDEX(CS!$B$1:$B$15025,MATCH($A224,CS!$B:$B,0)+COLUMN(C$1),1),""))</f>
        <v>突風</v>
      </c>
      <c r="BJ224" s="37" t="str">
        <f t="array" ref="BJ224">IF($A224="","",IFERROR(INDEX(CS!$B$1:$B$15025,MATCH($A224,CS!$B:$B,0)+COLUMN(D$1),1),""))</f>
        <v/>
      </c>
      <c r="BK224" s="37" t="str">
        <f t="array" ref="BK224">IF($A224="","",IFERROR(INDEX(CS!$B$1:$B$15025,MATCH($A224,CS!$B:$B,0)+COLUMN(E$1),1),""))</f>
        <v>風の適用</v>
      </c>
      <c r="BL224" s="37" t="str">
        <f t="array" ref="BL224">IF($A224="","",IFERROR(INDEX(CS!$B$1:$B$15025,MATCH($A224,CS!$B:$B,0)+COLUMN(F$1),1),""))</f>
        <v/>
      </c>
      <c r="BM224" s="37" t="str">
        <f t="array" ref="BM224">IF($A224="","",IFERROR(INDEX(CS!$B$1:$B$15025,MATCH($A224,CS!$B:$B,0)+COLUMN(G$1),1),""))</f>
        <v>上昇烈風</v>
      </c>
      <c r="BN224" s="37" t="str">
        <f t="array" ref="BN224">IF($A224="","",IFERROR(INDEX(CS!$B$1:$B$15025,MATCH($A224,CS!$B:$B,0)+COLUMN(H$1),1),""))</f>
        <v/>
      </c>
      <c r="BO224" s="37" t="str">
        <f t="array" ref="BO224">IF($A224="","",IFERROR(INDEX(CS!$B$1:$B$15025,MATCH($A224,CS!$B:$B,0)+COLUMN(I$1),1),""))</f>
        <v>風強化</v>
      </c>
      <c r="BP224" s="37" t="str">
        <f t="array" ref="BP224">IF($A224="","",IFERROR(INDEX(CS!$B$1:$B$15025,MATCH($A224,CS!$B:$B,0)+COLUMN(J$1),1),""))</f>
        <v>風衝矢</v>
      </c>
      <c r="BR224" s="39" t="s">
        <v>2888</v>
      </c>
      <c r="BS224" s="74"/>
      <c r="BU224" s="39" t="s">
        <v>2889</v>
      </c>
      <c r="CG224" s="37" t="s">
        <v>2806</v>
      </c>
      <c r="CJ224" s="37" t="s">
        <v>2800</v>
      </c>
      <c r="CK224" s="37" t="s">
        <v>2793</v>
      </c>
      <c r="CN224" s="37" t="s">
        <v>2805</v>
      </c>
    </row>
    <row r="225" ht="18.75" customHeight="1" outlineLevel="1">
      <c r="A225" s="39" t="s">
        <v>2344</v>
      </c>
      <c r="B225" s="89"/>
      <c r="C225" s="39" t="s">
        <v>2790</v>
      </c>
      <c r="D225" s="72" t="str">
        <f t="shared" si="11"/>
        <v>760/490/270</v>
      </c>
      <c r="E225" s="39">
        <v>2.0</v>
      </c>
      <c r="F225" s="39">
        <v>75.0</v>
      </c>
      <c r="I225" s="39">
        <v>65.0</v>
      </c>
      <c r="J225" s="39">
        <v>65.0</v>
      </c>
      <c r="K225" s="87">
        <v>60.0</v>
      </c>
      <c r="L225" s="39">
        <v>75.0</v>
      </c>
      <c r="M225" s="39">
        <v>70.0</v>
      </c>
      <c r="N225" s="39">
        <v>80.0</v>
      </c>
      <c r="P225" s="37">
        <v>0.0</v>
      </c>
      <c r="Q225" s="64"/>
      <c r="R225" s="64"/>
      <c r="S225" s="64"/>
      <c r="T225" s="64"/>
      <c r="U225" s="64"/>
      <c r="V225" s="64"/>
      <c r="W225" s="64"/>
      <c r="X225" s="64"/>
      <c r="Y225" s="64"/>
      <c r="Z225" s="64"/>
      <c r="AA225" s="64"/>
      <c r="AJ225" s="37">
        <v>0.0</v>
      </c>
      <c r="AK225" s="37">
        <v>0.0</v>
      </c>
      <c r="AL225" s="37">
        <v>50.0</v>
      </c>
      <c r="AM225" s="37">
        <v>30.0</v>
      </c>
      <c r="AN225" s="37">
        <v>25.0</v>
      </c>
      <c r="AO225" s="37">
        <v>0.0</v>
      </c>
      <c r="AP225" s="37">
        <v>0.0</v>
      </c>
      <c r="AQ225" s="37">
        <v>35.0</v>
      </c>
      <c r="AR225" s="37">
        <v>50.0</v>
      </c>
      <c r="AS225" s="37">
        <v>0.0</v>
      </c>
      <c r="AT225" s="37">
        <v>0.0</v>
      </c>
      <c r="AU225" s="37">
        <v>0.0</v>
      </c>
      <c r="AV225" s="37">
        <v>0.0</v>
      </c>
      <c r="AW225" s="37">
        <v>25.0</v>
      </c>
      <c r="AX225" s="37">
        <v>0.0</v>
      </c>
      <c r="AY225" s="37">
        <v>55.0</v>
      </c>
      <c r="AZ225" s="37">
        <v>0.0</v>
      </c>
      <c r="BG225" s="37" t="str">
        <f t="array" ref="BG225">IF($A225="","",IFERROR(INDEX(CS!$B$1:$B$15025,MATCH($A225,CS!$B:$B,0)+COLUMN(A$1),1),""))</f>
        <v>岩の武器</v>
      </c>
      <c r="BH225" s="37" t="str">
        <f t="array" ref="BH225">IF($A225="","",IFERROR(INDEX(CS!$B$1:$B$15025,MATCH($A225,CS!$B:$B,0)+COLUMN(B$1),1),""))</f>
        <v/>
      </c>
      <c r="BI225" s="37" t="str">
        <f t="array" ref="BI225">IF($A225="","",IFERROR(INDEX(CS!$B$1:$B$15025,MATCH($A225,CS!$B:$B,0)+COLUMN(C$1),1),""))</f>
        <v>魔法の石</v>
      </c>
      <c r="BJ225" s="37" t="str">
        <f t="array" ref="BJ225">IF($A225="","",IFERROR(INDEX(CS!$B$1:$B$15025,MATCH($A225,CS!$B:$B,0)+COLUMN(D$1),1),""))</f>
        <v/>
      </c>
      <c r="BK225" s="37" t="str">
        <f t="array" ref="BK225">IF($A225="","",IFERROR(INDEX(CS!$B$1:$B$15025,MATCH($A225,CS!$B:$B,0)+COLUMN(E$1),1),""))</f>
        <v>石の適用</v>
      </c>
      <c r="BL225" s="37" t="str">
        <f t="array" ref="BL225">IF($A225="","",IFERROR(INDEX(CS!$B$1:$B$15025,MATCH($A225,CS!$B:$B,0)+COLUMN(F$1),1),""))</f>
        <v/>
      </c>
      <c r="BM225" s="37" t="str">
        <f t="array" ref="BM225">IF($A225="","",IFERROR(INDEX(CS!$B$1:$B$15025,MATCH($A225,CS!$B:$B,0)+COLUMN(G$1),1),""))</f>
        <v>水晶片</v>
      </c>
      <c r="BN225" s="37" t="str">
        <f t="array" ref="BN225">IF($A225="","",IFERROR(INDEX(CS!$B$1:$B$15025,MATCH($A225,CS!$B:$B,0)+COLUMN(H$1),1),""))</f>
        <v/>
      </c>
      <c r="BO225" s="37" t="str">
        <f t="array" ref="BO225">IF($A225="","",IFERROR(INDEX(CS!$B$1:$B$15025,MATCH($A225,CS!$B:$B,0)+COLUMN(I$1),1),""))</f>
        <v>地強化</v>
      </c>
      <c r="BP225" s="37" t="str">
        <f t="array" ref="BP225">IF($A225="","",IFERROR(INDEX(CS!$B$1:$B$15025,MATCH($A225,CS!$B:$B,0)+COLUMN(J$1),1),""))</f>
        <v>岩砕矢</v>
      </c>
      <c r="BR225" s="39" t="s">
        <v>2888</v>
      </c>
      <c r="BS225" s="74"/>
      <c r="BU225" s="39" t="s">
        <v>2889</v>
      </c>
      <c r="CG225" s="37" t="s">
        <v>2806</v>
      </c>
      <c r="CJ225" s="37" t="s">
        <v>2800</v>
      </c>
      <c r="CK225" s="37" t="s">
        <v>2793</v>
      </c>
      <c r="CN225" s="37" t="s">
        <v>2805</v>
      </c>
    </row>
    <row r="226" ht="18.75" customHeight="1">
      <c r="B226" s="71"/>
      <c r="D226" s="72"/>
      <c r="K226" s="73"/>
      <c r="P226" s="37" t="s">
        <v>29</v>
      </c>
      <c r="Q226" s="64"/>
      <c r="R226" s="64"/>
      <c r="S226" s="64"/>
      <c r="T226" s="64"/>
      <c r="U226" s="64"/>
      <c r="V226" s="64"/>
      <c r="W226" s="64"/>
      <c r="X226" s="64"/>
      <c r="Y226" s="64"/>
      <c r="Z226" s="64"/>
      <c r="AA226" s="64"/>
      <c r="BG226" s="37" t="str">
        <f t="array" ref="BG226">IF($A226="","", INDEX(CS!$B$1:$B$15025,MATCH($A226,CS!$B:$B,0)+COLUMN(A$1),1))</f>
        <v/>
      </c>
      <c r="BH226" s="37" t="str">
        <f t="array" ref="BH226">IF($A226="","", INDEX(CS!$B$1:$B$15025,MATCH($A226,CS!$B:$B,0)+COLUMN(B$1),1))</f>
        <v/>
      </c>
      <c r="BI226" s="37" t="str">
        <f t="array" ref="BI226">IF($A226="","", INDEX(CS!$B$1:$B$15025,MATCH($A226,CS!$B:$B,0)+COLUMN(C$1),1))</f>
        <v/>
      </c>
      <c r="BJ226" s="37" t="str">
        <f t="array" ref="BJ226">IF($A226="","", INDEX(CS!$B$1:$B$15025,MATCH($A226,CS!$B:$B,0)+COLUMN(D$1),1))</f>
        <v/>
      </c>
      <c r="BK226" s="37" t="str">
        <f t="array" ref="BK226">IF($A226="","", INDEX(CS!$B$1:$B$15025,MATCH($A226,CS!$B:$B,0)+COLUMN(E$1),1))</f>
        <v/>
      </c>
      <c r="BL226" s="37" t="str">
        <f t="array" ref="BL226">IF($A226="","", INDEX(CS!$B$1:$B$15025,MATCH($A226,CS!$B:$B,0)+COLUMN(F$1),1))</f>
        <v/>
      </c>
      <c r="BM226" s="37" t="str">
        <f t="array" ref="BM226">IF($A226="","", INDEX(CS!$B$1:$B$15025,MATCH($A226,CS!$B:$B,0)+COLUMN(G$1),1))</f>
        <v/>
      </c>
      <c r="BN226" s="37" t="str">
        <f t="array" ref="BN226">IF($A226="","", INDEX(CS!$B$1:$B$15025,MATCH($A226,CS!$B:$B,0)+COLUMN(H$1),1))</f>
        <v/>
      </c>
      <c r="BO226" s="37" t="str">
        <f t="array" ref="BO226">IF($A226="","", INDEX(CS!$B$1:$B$15025,MATCH($A226,CS!$B:$B,0)+COLUMN(I$1),1))</f>
        <v/>
      </c>
      <c r="BP226" s="37" t="str">
        <f t="array" ref="BP226">IF($A226="","", INDEX(CS!$B$1:$B$15025,MATCH($A226,CS!$B:$B,0)+COLUMN(J$1),1))</f>
        <v/>
      </c>
      <c r="BS226" s="74"/>
      <c r="CI226" s="37" t="s">
        <v>2819</v>
      </c>
      <c r="CJ226" s="37" t="s">
        <v>2800</v>
      </c>
      <c r="CK226" s="37" t="s">
        <v>2793</v>
      </c>
    </row>
    <row r="227" ht="20.25" customHeight="1">
      <c r="B227" s="85" t="s">
        <v>2890</v>
      </c>
      <c r="D227" s="72" t="str">
        <f t="shared" ref="D227:D243" si="12">SUM(AJ227:AZ227,F227:N227)&amp;"/"&amp;SUM(F227:N227)&amp;"/"&amp;SUM(AJ227:AZ227)</f>
        <v>0/0/0</v>
      </c>
      <c r="E227" s="37">
        <v>1.0</v>
      </c>
      <c r="K227" s="73"/>
      <c r="P227" s="37" t="s">
        <v>29</v>
      </c>
      <c r="Q227" s="64"/>
      <c r="R227" s="64"/>
      <c r="S227" s="64"/>
      <c r="T227" s="64"/>
      <c r="U227" s="64"/>
      <c r="V227" s="64"/>
      <c r="W227" s="64"/>
      <c r="X227" s="64"/>
      <c r="Y227" s="64"/>
      <c r="Z227" s="64"/>
      <c r="AA227" s="64"/>
      <c r="BG227" s="37" t="str">
        <f t="array" ref="BG227">IF($A227="","", INDEX(CS!$B$1:$B$15025,MATCH($A227,CS!$B:$B,0)+COLUMN(A$1),1))</f>
        <v/>
      </c>
      <c r="BH227" s="37" t="str">
        <f t="array" ref="BH227">IF($A227="","", INDEX(CS!$B$1:$B$15025,MATCH($A227,CS!$B:$B,0)+COLUMN(B$1),1))</f>
        <v/>
      </c>
      <c r="BI227" s="37" t="str">
        <f t="array" ref="BI227">IF($A227="","", INDEX(CS!$B$1:$B$15025,MATCH($A227,CS!$B:$B,0)+COLUMN(C$1),1))</f>
        <v/>
      </c>
      <c r="BJ227" s="37" t="str">
        <f t="array" ref="BJ227">IF($A227="","", INDEX(CS!$B$1:$B$15025,MATCH($A227,CS!$B:$B,0)+COLUMN(D$1),1))</f>
        <v/>
      </c>
      <c r="BK227" s="37" t="str">
        <f t="array" ref="BK227">IF($A227="","", INDEX(CS!$B$1:$B$15025,MATCH($A227,CS!$B:$B,0)+COLUMN(E$1),1))</f>
        <v/>
      </c>
      <c r="BL227" s="37" t="str">
        <f t="array" ref="BL227">IF($A227="","", INDEX(CS!$B$1:$B$15025,MATCH($A227,CS!$B:$B,0)+COLUMN(F$1),1))</f>
        <v/>
      </c>
      <c r="BM227" s="37" t="str">
        <f t="array" ref="BM227">IF($A227="","", INDEX(CS!$B$1:$B$15025,MATCH($A227,CS!$B:$B,0)+COLUMN(G$1),1))</f>
        <v/>
      </c>
      <c r="BN227" s="37" t="str">
        <f t="array" ref="BN227">IF($A227="","", INDEX(CS!$B$1:$B$15025,MATCH($A227,CS!$B:$B,0)+COLUMN(H$1),1))</f>
        <v/>
      </c>
      <c r="BO227" s="37" t="str">
        <f t="array" ref="BO227">IF($A227="","", INDEX(CS!$B$1:$B$15025,MATCH($A227,CS!$B:$B,0)+COLUMN(I$1),1))</f>
        <v/>
      </c>
      <c r="BP227" s="37" t="str">
        <f t="array" ref="BP227">IF($A227="","", INDEX(CS!$B$1:$B$15025,MATCH($A227,CS!$B:$B,0)+COLUMN(J$1),1))</f>
        <v/>
      </c>
      <c r="BS227" s="74"/>
      <c r="BW227" s="57"/>
      <c r="BX227" s="57"/>
      <c r="BY227" s="57"/>
      <c r="BZ227" s="57"/>
      <c r="CA227" s="57"/>
    </row>
    <row r="228" ht="18.75" customHeight="1" outlineLevel="1">
      <c r="A228" s="37" t="s">
        <v>1494</v>
      </c>
      <c r="B228" s="71"/>
      <c r="C228" s="37" t="s">
        <v>2891</v>
      </c>
      <c r="D228" s="72" t="str">
        <f t="shared" si="12"/>
        <v>740/490/250</v>
      </c>
      <c r="E228" s="37">
        <v>1.0</v>
      </c>
      <c r="F228" s="37">
        <v>100.0</v>
      </c>
      <c r="I228" s="37">
        <v>90.0</v>
      </c>
      <c r="J228" s="37">
        <v>90.0</v>
      </c>
      <c r="K228" s="73">
        <v>0.0</v>
      </c>
      <c r="L228" s="37">
        <v>50.0</v>
      </c>
      <c r="M228" s="37">
        <v>80.0</v>
      </c>
      <c r="N228" s="37">
        <v>80.0</v>
      </c>
      <c r="O228" s="37">
        <v>230.0</v>
      </c>
      <c r="P228" s="37">
        <v>0.0</v>
      </c>
      <c r="Q228" s="64"/>
      <c r="R228" s="64"/>
      <c r="S228" s="64"/>
      <c r="T228" s="64"/>
      <c r="U228" s="64"/>
      <c r="V228" s="64"/>
      <c r="W228" s="64"/>
      <c r="X228" s="64"/>
      <c r="Y228" s="64"/>
      <c r="Z228" s="64"/>
      <c r="AA228" s="64"/>
      <c r="AC228" s="37">
        <v>-35.0</v>
      </c>
      <c r="AD228" s="37">
        <v>10.0</v>
      </c>
      <c r="AF228" s="37">
        <v>15.0</v>
      </c>
      <c r="AG228" s="37">
        <v>10.0</v>
      </c>
      <c r="AJ228" s="39">
        <v>0.0</v>
      </c>
      <c r="AK228" s="39">
        <v>50.0</v>
      </c>
      <c r="AL228" s="39">
        <v>0.0</v>
      </c>
      <c r="AM228" s="39">
        <v>75.0</v>
      </c>
      <c r="AN228" s="39">
        <v>0.0</v>
      </c>
      <c r="AO228" s="39">
        <v>0.0</v>
      </c>
      <c r="AP228" s="39">
        <v>0.0</v>
      </c>
      <c r="AQ228" s="39">
        <v>75.0</v>
      </c>
      <c r="AR228" s="39">
        <v>50.0</v>
      </c>
      <c r="AS228" s="39">
        <v>0.0</v>
      </c>
      <c r="AT228" s="39">
        <v>0.0</v>
      </c>
      <c r="AU228" s="39">
        <v>0.0</v>
      </c>
      <c r="AV228" s="39">
        <v>0.0</v>
      </c>
      <c r="AW228" s="39">
        <v>0.0</v>
      </c>
      <c r="AX228" s="39">
        <v>0.0</v>
      </c>
      <c r="AY228" s="39">
        <v>0.0</v>
      </c>
      <c r="AZ228" s="39">
        <v>0.0</v>
      </c>
      <c r="BA228" s="39">
        <v>0.0</v>
      </c>
      <c r="BB228" s="39">
        <v>100.0</v>
      </c>
      <c r="BC228" s="39">
        <v>140.0</v>
      </c>
      <c r="BD228" s="39">
        <v>0.0</v>
      </c>
      <c r="BE228" s="39">
        <v>0.0</v>
      </c>
      <c r="BF228" s="39">
        <v>30.0</v>
      </c>
      <c r="BG228" s="37" t="str">
        <f t="array" ref="BG228">IF($A228="","", INDEX(CS!$B$1:$B$15025,MATCH($A228,CS!$B:$B,0)+COLUMN(A$1),1))</f>
        <v>爪</v>
      </c>
      <c r="BH228" s="37" t="str">
        <f t="array" ref="BH228">IF($A228="","", INDEX(CS!$B$1:$B$15025,MATCH($A228,CS!$B:$B,0)+COLUMN(B$1),1))</f>
        <v>牙</v>
      </c>
      <c r="BI228" s="37" t="str">
        <f t="array" ref="BI228">IF($A228="","", INDEX(CS!$B$1:$B$15025,MATCH($A228,CS!$B:$B,0)+COLUMN(C$1),1))</f>
        <v>猛獣の爪</v>
      </c>
      <c r="BJ228" s="37" t="str">
        <f t="array" ref="BJ228">IF($A228="","", INDEX(CS!$B$1:$B$15025,MATCH($A228,CS!$B:$B,0)+COLUMN(D$1),1))</f>
        <v>猛獣の飛びかかり</v>
      </c>
      <c r="BK228" s="37" t="str">
        <f t="array" ref="BK228">IF($A228="","", INDEX(CS!$B$1:$B$15025,MATCH($A228,CS!$B:$B,0)+COLUMN(E$1),1))</f>
        <v>反応</v>
      </c>
      <c r="BL228" s="37" t="str">
        <f t="array" ref="BL228">IF($A228="","", INDEX(CS!$B$1:$B$15025,MATCH($A228,CS!$B:$B,0)+COLUMN(F$1),1))</f>
        <v/>
      </c>
      <c r="BM228" s="37" t="str">
        <f t="array" ref="BM228">IF($A228="","", INDEX(CS!$B$1:$B$15025,MATCH($A228,CS!$B:$B,0)+COLUMN(G$1),1))</f>
        <v>野生感覚</v>
      </c>
      <c r="BN228" s="37" t="str">
        <f t="array" ref="BN228">IF($A228="","", INDEX(CS!$B$1:$B$15025,MATCH($A228,CS!$B:$B,0)+COLUMN(H$1),1))</f>
        <v/>
      </c>
      <c r="BO228" s="37" t="str">
        <f t="array" ref="BO228">IF($A228="","", INDEX(CS!$B$1:$B$15025,MATCH($A228,CS!$B:$B,0)+COLUMN(I$1),1))</f>
        <v/>
      </c>
      <c r="BP228" s="37" t="str">
        <f t="array" ref="BP228">IF($A228="","", INDEX(CS!$B$1:$B$15025,MATCH($A228,CS!$B:$B,0)+COLUMN(J$1),1))</f>
        <v/>
      </c>
      <c r="BS228" s="74"/>
      <c r="BV228" s="37" t="s">
        <v>2659</v>
      </c>
      <c r="BW228" s="57">
        <v>120.0</v>
      </c>
      <c r="BX228" s="75">
        <v>10.0</v>
      </c>
      <c r="BY228" s="75">
        <v>10.0</v>
      </c>
      <c r="BZ228" s="75">
        <v>90.0</v>
      </c>
      <c r="CA228" s="75">
        <v>10.0</v>
      </c>
      <c r="CD228" s="75">
        <v>4.0</v>
      </c>
      <c r="CE228" s="75"/>
      <c r="CG228" s="37" t="s">
        <v>2725</v>
      </c>
      <c r="CH228" s="37" t="s">
        <v>2725</v>
      </c>
      <c r="CK228" s="37" t="s">
        <v>2725</v>
      </c>
      <c r="CN228" s="37" t="s">
        <v>2891</v>
      </c>
    </row>
    <row r="229" ht="18.75" customHeight="1" outlineLevel="1">
      <c r="A229" s="37" t="s">
        <v>1501</v>
      </c>
      <c r="B229" s="71"/>
      <c r="C229" s="37" t="s">
        <v>2891</v>
      </c>
      <c r="D229" s="72" t="str">
        <f t="shared" si="12"/>
        <v>710/485/225</v>
      </c>
      <c r="E229" s="37">
        <v>1.0</v>
      </c>
      <c r="F229" s="37">
        <v>90.0</v>
      </c>
      <c r="I229" s="37">
        <v>85.0</v>
      </c>
      <c r="J229" s="37">
        <v>75.0</v>
      </c>
      <c r="K229" s="73">
        <v>0.0</v>
      </c>
      <c r="L229" s="37">
        <v>50.0</v>
      </c>
      <c r="M229" s="37">
        <v>100.0</v>
      </c>
      <c r="N229" s="37">
        <v>85.0</v>
      </c>
      <c r="O229" s="37">
        <v>175.0</v>
      </c>
      <c r="P229" s="37">
        <v>0.0</v>
      </c>
      <c r="Q229" s="64"/>
      <c r="R229" s="64"/>
      <c r="S229" s="64"/>
      <c r="T229" s="64"/>
      <c r="U229" s="64"/>
      <c r="V229" s="64"/>
      <c r="W229" s="64"/>
      <c r="X229" s="64"/>
      <c r="Y229" s="64"/>
      <c r="Z229" s="64"/>
      <c r="AA229" s="64"/>
      <c r="AC229" s="37">
        <v>-35.0</v>
      </c>
      <c r="AD229" s="37">
        <v>10.0</v>
      </c>
      <c r="AF229" s="37">
        <v>15.0</v>
      </c>
      <c r="AG229" s="37">
        <v>10.0</v>
      </c>
      <c r="AJ229" s="39">
        <v>0.0</v>
      </c>
      <c r="AK229" s="39">
        <v>50.0</v>
      </c>
      <c r="AL229" s="39">
        <v>0.0</v>
      </c>
      <c r="AM229" s="39">
        <v>50.0</v>
      </c>
      <c r="AN229" s="39">
        <v>0.0</v>
      </c>
      <c r="AO229" s="39">
        <v>0.0</v>
      </c>
      <c r="AP229" s="39">
        <v>0.0</v>
      </c>
      <c r="AQ229" s="39">
        <v>50.0</v>
      </c>
      <c r="AR229" s="39">
        <v>75.0</v>
      </c>
      <c r="AS229" s="39">
        <v>0.0</v>
      </c>
      <c r="AT229" s="39">
        <v>0.0</v>
      </c>
      <c r="AU229" s="39">
        <v>0.0</v>
      </c>
      <c r="AV229" s="39">
        <v>0.0</v>
      </c>
      <c r="AW229" s="39">
        <v>0.0</v>
      </c>
      <c r="AX229" s="39">
        <v>0.0</v>
      </c>
      <c r="AY229" s="39">
        <v>0.0</v>
      </c>
      <c r="AZ229" s="39">
        <v>0.0</v>
      </c>
      <c r="BA229" s="39">
        <v>0.0</v>
      </c>
      <c r="BB229" s="39">
        <v>120.0</v>
      </c>
      <c r="BC229" s="39">
        <v>50.0</v>
      </c>
      <c r="BD229" s="39">
        <v>0.0</v>
      </c>
      <c r="BE229" s="39">
        <v>0.0</v>
      </c>
      <c r="BF229" s="39">
        <v>20.0</v>
      </c>
      <c r="BG229" s="37" t="str">
        <f t="array" ref="BG229">IF($A229="","", INDEX(CS!$B$1:$B$15025,MATCH($A229,CS!$B:$B,0)+COLUMN(A$1),1))</f>
        <v>爪</v>
      </c>
      <c r="BH229" s="37" t="str">
        <f t="array" ref="BH229">IF($A229="","", INDEX(CS!$B$1:$B$15025,MATCH($A229,CS!$B:$B,0)+COLUMN(B$1),1))</f>
        <v>牙</v>
      </c>
      <c r="BI229" s="37" t="str">
        <f t="array" ref="BI229">IF($A229="","", INDEX(CS!$B$1:$B$15025,MATCH($A229,CS!$B:$B,0)+COLUMN(C$1),1))</f>
        <v>狼の牙</v>
      </c>
      <c r="BJ229" s="37" t="str">
        <f t="array" ref="BJ229">IF($A229="","", INDEX(CS!$B$1:$B$15025,MATCH($A229,CS!$B:$B,0)+COLUMN(D$1),1))</f>
        <v>猛獣の飛びかかり</v>
      </c>
      <c r="BK229" s="37" t="str">
        <f t="array" ref="BK229">IF($A229="","", INDEX(CS!$B$1:$B$15025,MATCH($A229,CS!$B:$B,0)+COLUMN(E$1),1))</f>
        <v>反応</v>
      </c>
      <c r="BL229" s="37" t="str">
        <f t="array" ref="BL229">IF($A229="","", INDEX(CS!$B$1:$B$15025,MATCH($A229,CS!$B:$B,0)+COLUMN(F$1),1))</f>
        <v/>
      </c>
      <c r="BM229" s="37" t="str">
        <f t="array" ref="BM229">IF($A229="","", INDEX(CS!$B$1:$B$15025,MATCH($A229,CS!$B:$B,0)+COLUMN(G$1),1))</f>
        <v>野生感覚</v>
      </c>
      <c r="BN229" s="37" t="str">
        <f t="array" ref="BN229">IF($A229="","", INDEX(CS!$B$1:$B$15025,MATCH($A229,CS!$B:$B,0)+COLUMN(H$1),1))</f>
        <v/>
      </c>
      <c r="BO229" s="37" t="str">
        <f t="array" ref="BO229">IF($A229="","", INDEX(CS!$B$1:$B$15025,MATCH($A229,CS!$B:$B,0)+COLUMN(I$1),1))</f>
        <v/>
      </c>
      <c r="BP229" s="37" t="str">
        <f t="array" ref="BP229">IF($A229="","", INDEX(CS!$B$1:$B$15025,MATCH($A229,CS!$B:$B,0)+COLUMN(J$1),1))</f>
        <v/>
      </c>
      <c r="BS229" s="74"/>
      <c r="BV229" s="37" t="s">
        <v>2659</v>
      </c>
      <c r="BW229" s="57">
        <v>110.0</v>
      </c>
      <c r="BX229" s="75">
        <v>10.0</v>
      </c>
      <c r="BY229" s="75">
        <v>10.0</v>
      </c>
      <c r="BZ229" s="75">
        <v>80.0</v>
      </c>
      <c r="CA229" s="75">
        <v>10.0</v>
      </c>
      <c r="CD229" s="75">
        <v>4.0</v>
      </c>
      <c r="CE229" s="75"/>
      <c r="CG229" s="37" t="s">
        <v>2725</v>
      </c>
      <c r="CH229" s="37" t="s">
        <v>2725</v>
      </c>
      <c r="CK229" s="37" t="s">
        <v>2725</v>
      </c>
      <c r="CN229" s="37" t="s">
        <v>2891</v>
      </c>
    </row>
    <row r="230" ht="18.75" customHeight="1" outlineLevel="1">
      <c r="A230" s="37" t="s">
        <v>1504</v>
      </c>
      <c r="B230" s="71"/>
      <c r="C230" s="37" t="s">
        <v>2891</v>
      </c>
      <c r="D230" s="72" t="str">
        <f t="shared" si="12"/>
        <v>650/450/200</v>
      </c>
      <c r="E230" s="37">
        <v>1.0</v>
      </c>
      <c r="F230" s="37">
        <v>90.0</v>
      </c>
      <c r="I230" s="37">
        <v>85.0</v>
      </c>
      <c r="J230" s="37">
        <v>75.0</v>
      </c>
      <c r="K230" s="73">
        <v>0.0</v>
      </c>
      <c r="L230" s="37">
        <v>50.0</v>
      </c>
      <c r="M230" s="37">
        <v>75.0</v>
      </c>
      <c r="N230" s="37">
        <v>75.0</v>
      </c>
      <c r="O230" s="37">
        <v>150.0</v>
      </c>
      <c r="P230" s="37">
        <v>0.0</v>
      </c>
      <c r="Q230" s="64"/>
      <c r="R230" s="64"/>
      <c r="S230" s="64"/>
      <c r="T230" s="64"/>
      <c r="U230" s="64"/>
      <c r="V230" s="64"/>
      <c r="W230" s="64"/>
      <c r="X230" s="64"/>
      <c r="Y230" s="64"/>
      <c r="Z230" s="64"/>
      <c r="AA230" s="64"/>
      <c r="AC230" s="37">
        <v>-35.0</v>
      </c>
      <c r="AD230" s="37">
        <v>10.0</v>
      </c>
      <c r="AF230" s="37">
        <v>15.0</v>
      </c>
      <c r="AG230" s="37">
        <v>10.0</v>
      </c>
      <c r="AJ230" s="39">
        <v>0.0</v>
      </c>
      <c r="AK230" s="39">
        <v>25.0</v>
      </c>
      <c r="AL230" s="39">
        <v>0.0</v>
      </c>
      <c r="AM230" s="39">
        <v>50.0</v>
      </c>
      <c r="AN230" s="39">
        <v>0.0</v>
      </c>
      <c r="AO230" s="39">
        <v>0.0</v>
      </c>
      <c r="AP230" s="39">
        <v>0.0</v>
      </c>
      <c r="AQ230" s="39">
        <v>75.0</v>
      </c>
      <c r="AR230" s="39">
        <v>50.0</v>
      </c>
      <c r="AS230" s="39">
        <v>0.0</v>
      </c>
      <c r="AT230" s="39">
        <v>0.0</v>
      </c>
      <c r="AU230" s="39">
        <v>0.0</v>
      </c>
      <c r="AV230" s="39">
        <v>0.0</v>
      </c>
      <c r="AW230" s="39">
        <v>0.0</v>
      </c>
      <c r="AX230" s="39">
        <v>0.0</v>
      </c>
      <c r="AY230" s="39">
        <v>0.0</v>
      </c>
      <c r="AZ230" s="39">
        <v>0.0</v>
      </c>
      <c r="BA230" s="39">
        <v>0.0</v>
      </c>
      <c r="BB230" s="39">
        <v>110.0</v>
      </c>
      <c r="BC230" s="39">
        <v>0.0</v>
      </c>
      <c r="BD230" s="39">
        <v>60.0</v>
      </c>
      <c r="BE230" s="39">
        <v>0.0</v>
      </c>
      <c r="BF230" s="39">
        <v>10.0</v>
      </c>
      <c r="BG230" s="37" t="str">
        <f t="array" ref="BG230">IF($A230="","", INDEX(CS!$B$1:$B$15025,MATCH($A230,CS!$B:$B,0)+COLUMN(A$1),1))</f>
        <v>牙</v>
      </c>
      <c r="BH230" s="37" t="str">
        <f t="array" ref="BH230">IF($A230="","", INDEX(CS!$B$1:$B$15025,MATCH($A230,CS!$B:$B,0)+COLUMN(B$1),1))</f>
        <v>尾</v>
      </c>
      <c r="BI230" s="37" t="str">
        <f t="array" ref="BI230">IF($A230="","", INDEX(CS!$B$1:$B$15025,MATCH($A230,CS!$B:$B,0)+COLUMN(C$1),1))</f>
        <v>尾の巻き付き</v>
      </c>
      <c r="BJ230" s="37" t="str">
        <f t="array" ref="BJ230">IF($A230="","", INDEX(CS!$B$1:$B$15025,MATCH($A230,CS!$B:$B,0)+COLUMN(D$1),1))</f>
        <v>蛇の締め</v>
      </c>
      <c r="BK230" s="37" t="str">
        <f t="array" ref="BK230">IF($A230="","", INDEX(CS!$B$1:$B$15025,MATCH($A230,CS!$B:$B,0)+COLUMN(E$1),1))</f>
        <v>反応</v>
      </c>
      <c r="BL230" s="37" t="str">
        <f t="array" ref="BL230">IF($A230="","", INDEX(CS!$B$1:$B$15025,MATCH($A230,CS!$B:$B,0)+COLUMN(F$1),1))</f>
        <v/>
      </c>
      <c r="BM230" s="37" t="str">
        <f t="array" ref="BM230">IF($A230="","", INDEX(CS!$B$1:$B$15025,MATCH($A230,CS!$B:$B,0)+COLUMN(G$1),1))</f>
        <v>野生感覚</v>
      </c>
      <c r="BN230" s="37" t="str">
        <f t="array" ref="BN230">IF($A230="","", INDEX(CS!$B$1:$B$15025,MATCH($A230,CS!$B:$B,0)+COLUMN(H$1),1))</f>
        <v/>
      </c>
      <c r="BO230" s="37" t="str">
        <f t="array" ref="BO230">IF($A230="","", INDEX(CS!$B$1:$B$15025,MATCH($A230,CS!$B:$B,0)+COLUMN(I$1),1))</f>
        <v/>
      </c>
      <c r="BP230" s="37" t="str">
        <f t="array" ref="BP230">IF($A230="","", INDEX(CS!$B$1:$B$15025,MATCH($A230,CS!$B:$B,0)+COLUMN(J$1),1))</f>
        <v/>
      </c>
      <c r="BS230" s="74"/>
      <c r="BV230" s="37" t="s">
        <v>2659</v>
      </c>
      <c r="BW230" s="57">
        <v>85.0</v>
      </c>
      <c r="BX230" s="75">
        <v>5.0</v>
      </c>
      <c r="BY230" s="75">
        <v>0.0</v>
      </c>
      <c r="BZ230" s="75">
        <v>70.0</v>
      </c>
      <c r="CA230" s="75">
        <v>10.0</v>
      </c>
      <c r="CD230" s="75">
        <v>1.0</v>
      </c>
      <c r="CE230" s="75"/>
      <c r="CG230" s="37" t="s">
        <v>2725</v>
      </c>
      <c r="CH230" s="37" t="s">
        <v>2725</v>
      </c>
      <c r="CI230" s="37" t="s">
        <v>2725</v>
      </c>
      <c r="CK230" s="37" t="s">
        <v>2725</v>
      </c>
      <c r="CN230" s="37" t="s">
        <v>2891</v>
      </c>
    </row>
    <row r="231" ht="18.75" customHeight="1" outlineLevel="1">
      <c r="A231" s="41" t="s">
        <v>1507</v>
      </c>
      <c r="B231" s="71"/>
      <c r="C231" s="37" t="s">
        <v>2891</v>
      </c>
      <c r="D231" s="72" t="str">
        <f t="shared" si="12"/>
        <v>675/475/200</v>
      </c>
      <c r="E231" s="37">
        <v>1.0</v>
      </c>
      <c r="F231" s="37">
        <v>75.0</v>
      </c>
      <c r="I231" s="37">
        <v>75.0</v>
      </c>
      <c r="J231" s="37">
        <v>75.0</v>
      </c>
      <c r="K231" s="73">
        <v>0.0</v>
      </c>
      <c r="L231" s="37">
        <v>50.0</v>
      </c>
      <c r="M231" s="37">
        <v>100.0</v>
      </c>
      <c r="N231" s="37">
        <v>100.0</v>
      </c>
      <c r="O231" s="37">
        <v>145.0</v>
      </c>
      <c r="P231" s="37">
        <v>0.0</v>
      </c>
      <c r="Q231" s="64"/>
      <c r="R231" s="64"/>
      <c r="S231" s="64"/>
      <c r="T231" s="64"/>
      <c r="U231" s="64"/>
      <c r="V231" s="64"/>
      <c r="W231" s="64"/>
      <c r="X231" s="64"/>
      <c r="Y231" s="64"/>
      <c r="Z231" s="64"/>
      <c r="AA231" s="64"/>
      <c r="AC231" s="37">
        <v>-35.0</v>
      </c>
      <c r="AD231" s="37">
        <v>10.0</v>
      </c>
      <c r="AF231" s="37">
        <v>15.0</v>
      </c>
      <c r="AG231" s="37">
        <v>10.0</v>
      </c>
      <c r="AJ231" s="39">
        <v>0.0</v>
      </c>
      <c r="AK231" s="39">
        <v>0.0</v>
      </c>
      <c r="AL231" s="39">
        <v>0.0</v>
      </c>
      <c r="AM231" s="39">
        <v>75.0</v>
      </c>
      <c r="AN231" s="39">
        <v>0.0</v>
      </c>
      <c r="AO231" s="39">
        <v>0.0</v>
      </c>
      <c r="AP231" s="39">
        <v>0.0</v>
      </c>
      <c r="AQ231" s="39">
        <v>25.0</v>
      </c>
      <c r="AR231" s="39">
        <v>100.0</v>
      </c>
      <c r="AS231" s="39">
        <v>0.0</v>
      </c>
      <c r="AT231" s="39">
        <v>0.0</v>
      </c>
      <c r="AU231" s="39">
        <v>0.0</v>
      </c>
      <c r="AV231" s="39">
        <v>0.0</v>
      </c>
      <c r="AW231" s="39">
        <v>0.0</v>
      </c>
      <c r="AX231" s="39">
        <v>0.0</v>
      </c>
      <c r="AY231" s="39">
        <v>0.0</v>
      </c>
      <c r="AZ231" s="39">
        <v>0.0</v>
      </c>
      <c r="BA231" s="39">
        <v>0.0</v>
      </c>
      <c r="BB231" s="39">
        <v>0.0</v>
      </c>
      <c r="BC231" s="39">
        <v>100.0</v>
      </c>
      <c r="BD231" s="39">
        <v>0.0</v>
      </c>
      <c r="BE231" s="39">
        <v>60.0</v>
      </c>
      <c r="BF231" s="39">
        <v>10.0</v>
      </c>
      <c r="BG231" s="37" t="str">
        <f t="array" ref="BG231">IF($A231="","", INDEX(CS!$B$1:$B$15025,MATCH($A231,CS!$B:$B,0)+COLUMN(A$1),1))</f>
        <v>爪</v>
      </c>
      <c r="BH231" s="37" t="str">
        <f t="array" ref="BH231">IF($A231="","", INDEX(CS!$B$1:$B$15025,MATCH($A231,CS!$B:$B,0)+COLUMN(B$1),1))</f>
        <v>翼</v>
      </c>
      <c r="BI231" s="37" t="str">
        <f t="array" ref="BI231">IF($A231="","", INDEX(CS!$B$1:$B$15025,MATCH($A231,CS!$B:$B,0)+COLUMN(C$1),1))</f>
        <v>鷹の急降下</v>
      </c>
      <c r="BJ231" s="37" t="str">
        <f t="array" ref="BJ231">IF($A231="","", INDEX(CS!$B$1:$B$15025,MATCH($A231,CS!$B:$B,0)+COLUMN(D$1),1))</f>
        <v>鉤爪強化</v>
      </c>
      <c r="BK231" s="37" t="str">
        <f t="array" ref="BK231">IF($A231="","", INDEX(CS!$B$1:$B$15025,MATCH($A231,CS!$B:$B,0)+COLUMN(E$1),1))</f>
        <v>反応</v>
      </c>
      <c r="BL231" s="37" t="str">
        <f t="array" ref="BL231">IF($A231="","", INDEX(CS!$B$1:$B$15025,MATCH($A231,CS!$B:$B,0)+COLUMN(F$1),1))</f>
        <v/>
      </c>
      <c r="BM231" s="37" t="str">
        <f t="array" ref="BM231">IF($A231="","", INDEX(CS!$B$1:$B$15025,MATCH($A231,CS!$B:$B,0)+COLUMN(G$1),1))</f>
        <v>野生感覚</v>
      </c>
      <c r="BN231" s="37" t="str">
        <f t="array" ref="BN231">IF($A231="","", INDEX(CS!$B$1:$B$15025,MATCH($A231,CS!$B:$B,0)+COLUMN(H$1),1))</f>
        <v/>
      </c>
      <c r="BO231" s="37" t="str">
        <f t="array" ref="BO231">IF($A231="","", INDEX(CS!$B$1:$B$15025,MATCH($A231,CS!$B:$B,0)+COLUMN(I$1),1))</f>
        <v/>
      </c>
      <c r="BP231" s="37" t="str">
        <f t="array" ref="BP231">IF($A231="","", INDEX(CS!$B$1:$B$15025,MATCH($A231,CS!$B:$B,0)+COLUMN(J$1),1))</f>
        <v/>
      </c>
      <c r="BS231" s="74"/>
      <c r="BV231" s="37" t="s">
        <v>2659</v>
      </c>
      <c r="BW231" s="57">
        <v>80.0</v>
      </c>
      <c r="BX231" s="75">
        <v>10.0</v>
      </c>
      <c r="BY231" s="75">
        <v>10.0</v>
      </c>
      <c r="BZ231" s="75">
        <v>50.0</v>
      </c>
      <c r="CA231" s="75">
        <v>10.0</v>
      </c>
      <c r="CD231" s="75">
        <v>2.0</v>
      </c>
      <c r="CE231" s="75"/>
      <c r="CG231" s="37" t="s">
        <v>2725</v>
      </c>
      <c r="CH231" s="37" t="s">
        <v>2725</v>
      </c>
      <c r="CK231" s="37" t="s">
        <v>2725</v>
      </c>
      <c r="CN231" s="37" t="s">
        <v>2891</v>
      </c>
    </row>
    <row r="232" ht="18.75" customHeight="1" outlineLevel="1">
      <c r="A232" s="37" t="s">
        <v>1511</v>
      </c>
      <c r="B232" s="71"/>
      <c r="C232" s="37" t="s">
        <v>2891</v>
      </c>
      <c r="D232" s="72" t="str">
        <f t="shared" si="12"/>
        <v>665/490/175</v>
      </c>
      <c r="E232" s="37">
        <v>1.0</v>
      </c>
      <c r="F232" s="37">
        <v>100.0</v>
      </c>
      <c r="I232" s="37">
        <v>100.0</v>
      </c>
      <c r="J232" s="37">
        <v>90.0</v>
      </c>
      <c r="K232" s="73">
        <v>0.0</v>
      </c>
      <c r="L232" s="37">
        <v>50.0</v>
      </c>
      <c r="M232" s="37">
        <v>75.0</v>
      </c>
      <c r="N232" s="37">
        <v>75.0</v>
      </c>
      <c r="O232" s="37">
        <v>300.0</v>
      </c>
      <c r="P232" s="37">
        <v>0.0</v>
      </c>
      <c r="Q232" s="64"/>
      <c r="R232" s="64"/>
      <c r="S232" s="64"/>
      <c r="T232" s="64"/>
      <c r="U232" s="64"/>
      <c r="V232" s="64"/>
      <c r="W232" s="64"/>
      <c r="X232" s="64"/>
      <c r="Y232" s="64"/>
      <c r="Z232" s="64"/>
      <c r="AA232" s="64"/>
      <c r="AC232" s="37">
        <v>-35.0</v>
      </c>
      <c r="AD232" s="37">
        <v>10.0</v>
      </c>
      <c r="AF232" s="37">
        <v>15.0</v>
      </c>
      <c r="AG232" s="37">
        <v>10.0</v>
      </c>
      <c r="AJ232" s="39">
        <v>0.0</v>
      </c>
      <c r="AK232" s="39">
        <v>75.0</v>
      </c>
      <c r="AL232" s="39">
        <v>0.0</v>
      </c>
      <c r="AM232" s="39">
        <v>25.0</v>
      </c>
      <c r="AN232" s="39">
        <v>0.0</v>
      </c>
      <c r="AO232" s="39">
        <v>0.0</v>
      </c>
      <c r="AP232" s="39">
        <v>0.0</v>
      </c>
      <c r="AQ232" s="39">
        <v>25.0</v>
      </c>
      <c r="AR232" s="39">
        <v>50.0</v>
      </c>
      <c r="AS232" s="39">
        <v>0.0</v>
      </c>
      <c r="AT232" s="39">
        <v>0.0</v>
      </c>
      <c r="AU232" s="39">
        <v>0.0</v>
      </c>
      <c r="AV232" s="39">
        <v>0.0</v>
      </c>
      <c r="AW232" s="39">
        <v>0.0</v>
      </c>
      <c r="AX232" s="39">
        <v>0.0</v>
      </c>
      <c r="AY232" s="39">
        <v>0.0</v>
      </c>
      <c r="AZ232" s="39">
        <v>0.0</v>
      </c>
      <c r="BA232" s="39">
        <v>0.0</v>
      </c>
      <c r="BB232" s="39">
        <v>90.0</v>
      </c>
      <c r="BC232" s="39">
        <v>130.0</v>
      </c>
      <c r="BD232" s="39">
        <v>0.0</v>
      </c>
      <c r="BE232" s="39">
        <v>0.0</v>
      </c>
      <c r="BF232" s="39">
        <v>50.0</v>
      </c>
      <c r="BG232" s="37" t="str">
        <f t="array" ref="BG232">IF($A232="","", INDEX(CS!$B$1:$B$15025,MATCH($A232,CS!$B:$B,0)+COLUMN(A$1),1))</f>
        <v>爪</v>
      </c>
      <c r="BH232" s="37" t="str">
        <f t="array" ref="BH232">IF($A232="","", INDEX(CS!$B$1:$B$15025,MATCH($A232,CS!$B:$B,0)+COLUMN(B$1),1))</f>
        <v>牙</v>
      </c>
      <c r="BI232" s="37" t="str">
        <f t="array" ref="BI232">IF($A232="","", INDEX(CS!$B$1:$B$15025,MATCH($A232,CS!$B:$B,0)+COLUMN(C$1),1))</f>
        <v>熊爪</v>
      </c>
      <c r="BJ232" s="37" t="str">
        <f t="array" ref="BJ232">IF($A232="","", INDEX(CS!$B$1:$B$15025,MATCH($A232,CS!$B:$B,0)+COLUMN(D$1),1))</f>
        <v>熊の強打</v>
      </c>
      <c r="BK232" s="37" t="str">
        <f t="array" ref="BK232">IF($A232="","", INDEX(CS!$B$1:$B$15025,MATCH($A232,CS!$B:$B,0)+COLUMN(E$1),1))</f>
        <v>反応</v>
      </c>
      <c r="BL232" s="37" t="str">
        <f t="array" ref="BL232">IF($A232="","", INDEX(CS!$B$1:$B$15025,MATCH($A232,CS!$B:$B,0)+COLUMN(F$1),1))</f>
        <v/>
      </c>
      <c r="BM232" s="37" t="str">
        <f t="array" ref="BM232">IF($A232="","", INDEX(CS!$B$1:$B$15025,MATCH($A232,CS!$B:$B,0)+COLUMN(G$1),1))</f>
        <v>野生感覚</v>
      </c>
      <c r="BN232" s="37" t="str">
        <f t="array" ref="BN232">IF($A232="","", INDEX(CS!$B$1:$B$15025,MATCH($A232,CS!$B:$B,0)+COLUMN(H$1),1))</f>
        <v/>
      </c>
      <c r="BO232" s="37" t="str">
        <f t="array" ref="BO232">IF($A232="","", INDEX(CS!$B$1:$B$15025,MATCH($A232,CS!$B:$B,0)+COLUMN(I$1),1))</f>
        <v/>
      </c>
      <c r="BP232" s="37" t="str">
        <f t="array" ref="BP232">IF($A232="","", INDEX(CS!$B$1:$B$15025,MATCH($A232,CS!$B:$B,0)+COLUMN(J$1),1))</f>
        <v/>
      </c>
      <c r="BS232" s="74"/>
      <c r="BV232" s="37" t="s">
        <v>2659</v>
      </c>
      <c r="BW232" s="57">
        <v>130.0</v>
      </c>
      <c r="BX232" s="75">
        <v>20.0</v>
      </c>
      <c r="BY232" s="75">
        <v>20.0</v>
      </c>
      <c r="BZ232" s="75">
        <v>80.0</v>
      </c>
      <c r="CA232" s="75">
        <v>10.0</v>
      </c>
      <c r="CD232" s="75">
        <v>4.0</v>
      </c>
      <c r="CE232" s="75"/>
      <c r="CG232" s="37" t="s">
        <v>2725</v>
      </c>
      <c r="CH232" s="37" t="s">
        <v>2725</v>
      </c>
      <c r="CK232" s="37" t="s">
        <v>2725</v>
      </c>
      <c r="CN232" s="37" t="s">
        <v>2891</v>
      </c>
    </row>
    <row r="233" ht="18.75" customHeight="1" outlineLevel="1">
      <c r="A233" s="37" t="s">
        <v>1516</v>
      </c>
      <c r="B233" s="71"/>
      <c r="C233" s="37" t="s">
        <v>2891</v>
      </c>
      <c r="D233" s="72" t="str">
        <f t="shared" si="12"/>
        <v>685/485/200</v>
      </c>
      <c r="E233" s="37">
        <v>1.0</v>
      </c>
      <c r="F233" s="37">
        <v>100.0</v>
      </c>
      <c r="I233" s="37">
        <v>100.0</v>
      </c>
      <c r="J233" s="37">
        <v>90.0</v>
      </c>
      <c r="K233" s="73">
        <v>0.0</v>
      </c>
      <c r="L233" s="37">
        <v>50.0</v>
      </c>
      <c r="M233" s="37">
        <v>65.0</v>
      </c>
      <c r="N233" s="37">
        <v>80.0</v>
      </c>
      <c r="O233" s="37">
        <v>280.0</v>
      </c>
      <c r="P233" s="37">
        <v>0.0</v>
      </c>
      <c r="Q233" s="64"/>
      <c r="R233" s="64"/>
      <c r="S233" s="64"/>
      <c r="T233" s="64"/>
      <c r="U233" s="64"/>
      <c r="V233" s="64"/>
      <c r="W233" s="64"/>
      <c r="X233" s="64"/>
      <c r="Y233" s="64"/>
      <c r="Z233" s="64"/>
      <c r="AA233" s="64"/>
      <c r="AC233" s="37">
        <v>-35.0</v>
      </c>
      <c r="AD233" s="37">
        <v>10.0</v>
      </c>
      <c r="AF233" s="37">
        <v>15.0</v>
      </c>
      <c r="AG233" s="37">
        <v>10.0</v>
      </c>
      <c r="AJ233" s="39">
        <v>0.0</v>
      </c>
      <c r="AK233" s="39">
        <v>50.0</v>
      </c>
      <c r="AL233" s="39">
        <v>0.0</v>
      </c>
      <c r="AM233" s="39">
        <v>25.0</v>
      </c>
      <c r="AN233" s="39">
        <v>0.0</v>
      </c>
      <c r="AO233" s="39">
        <v>0.0</v>
      </c>
      <c r="AP233" s="39">
        <v>0.0</v>
      </c>
      <c r="AQ233" s="39">
        <v>75.0</v>
      </c>
      <c r="AR233" s="39">
        <v>50.0</v>
      </c>
      <c r="AS233" s="39">
        <v>0.0</v>
      </c>
      <c r="AT233" s="39">
        <v>0.0</v>
      </c>
      <c r="AU233" s="39">
        <v>0.0</v>
      </c>
      <c r="AV233" s="39">
        <v>0.0</v>
      </c>
      <c r="AW233" s="39">
        <v>0.0</v>
      </c>
      <c r="AX233" s="39">
        <v>0.0</v>
      </c>
      <c r="AY233" s="39">
        <v>0.0</v>
      </c>
      <c r="AZ233" s="39">
        <v>0.0</v>
      </c>
      <c r="BA233" s="39">
        <v>0.0</v>
      </c>
      <c r="BB233" s="39">
        <v>150.0</v>
      </c>
      <c r="BC233" s="39">
        <v>0.0</v>
      </c>
      <c r="BD233" s="39">
        <v>100.0</v>
      </c>
      <c r="BE233" s="39">
        <v>0.0</v>
      </c>
      <c r="BF233" s="39">
        <v>120.0</v>
      </c>
      <c r="BG233" s="37" t="str">
        <f t="array" ref="BG233">IF($A233="","", INDEX(CS!$B$1:$B$15025,MATCH($A233,CS!$B:$B,0)+COLUMN(A$1),1))</f>
        <v>牙</v>
      </c>
      <c r="BH233" s="37" t="str">
        <f t="array" ref="BH233">IF($A233="","", INDEX(CS!$B$1:$B$15025,MATCH($A233,CS!$B:$B,0)+COLUMN(B$1),1))</f>
        <v>尾</v>
      </c>
      <c r="BI233" s="37" t="str">
        <f t="array" ref="BI233">IF($A233="","", INDEX(CS!$B$1:$B$15025,MATCH($A233,CS!$B:$B,0)+COLUMN(C$1),1))</f>
        <v>デスロール</v>
      </c>
      <c r="BJ233" s="37" t="str">
        <f t="array" ref="BJ233">IF($A233="","", INDEX(CS!$B$1:$B$15025,MATCH($A233,CS!$B:$B,0)+COLUMN(D$1),1))</f>
        <v>強靭な顎</v>
      </c>
      <c r="BK233" s="37" t="str">
        <f t="array" ref="BK233">IF($A233="","", INDEX(CS!$B$1:$B$15025,MATCH($A233,CS!$B:$B,0)+COLUMN(E$1),1))</f>
        <v>反応</v>
      </c>
      <c r="BL233" s="37" t="str">
        <f t="array" ref="BL233">IF($A233="","", INDEX(CS!$B$1:$B$15025,MATCH($A233,CS!$B:$B,0)+COLUMN(F$1),1))</f>
        <v/>
      </c>
      <c r="BM233" s="37" t="str">
        <f t="array" ref="BM233">IF($A233="","", INDEX(CS!$B$1:$B$15025,MATCH($A233,CS!$B:$B,0)+COLUMN(G$1),1))</f>
        <v>野生感覚</v>
      </c>
      <c r="BN233" s="37" t="str">
        <f t="array" ref="BN233">IF($A233="","", INDEX(CS!$B$1:$B$15025,MATCH($A233,CS!$B:$B,0)+COLUMN(H$1),1))</f>
        <v/>
      </c>
      <c r="BO233" s="37" t="str">
        <f t="array" ref="BO233">IF($A233="","", INDEX(CS!$B$1:$B$15025,MATCH($A233,CS!$B:$B,0)+COLUMN(I$1),1))</f>
        <v/>
      </c>
      <c r="BP233" s="37" t="str">
        <f t="array" ref="BP233">IF($A233="","", INDEX(CS!$B$1:$B$15025,MATCH($A233,CS!$B:$B,0)+COLUMN(J$1),1))</f>
        <v/>
      </c>
      <c r="BS233" s="74"/>
      <c r="BV233" s="37" t="s">
        <v>2659</v>
      </c>
      <c r="BW233" s="57">
        <v>130.0</v>
      </c>
      <c r="BX233" s="75">
        <v>10.0</v>
      </c>
      <c r="BY233" s="75">
        <v>0.0</v>
      </c>
      <c r="BZ233" s="75">
        <v>90.0</v>
      </c>
      <c r="CA233" s="75">
        <v>30.0</v>
      </c>
      <c r="CD233" s="75">
        <v>4.0</v>
      </c>
      <c r="CE233" s="75"/>
      <c r="CG233" s="37" t="s">
        <v>2725</v>
      </c>
      <c r="CH233" s="37" t="s">
        <v>2725</v>
      </c>
      <c r="CI233" s="37" t="s">
        <v>2725</v>
      </c>
      <c r="CK233" s="37" t="s">
        <v>2725</v>
      </c>
      <c r="CN233" s="37" t="s">
        <v>2891</v>
      </c>
    </row>
    <row r="234" ht="18.75" customHeight="1" outlineLevel="1">
      <c r="A234" s="90" t="s">
        <v>1521</v>
      </c>
      <c r="B234" s="91"/>
      <c r="C234" s="90" t="s">
        <v>2891</v>
      </c>
      <c r="D234" s="92" t="str">
        <f t="shared" si="12"/>
        <v>515/390/125</v>
      </c>
      <c r="E234" s="93">
        <v>1.0</v>
      </c>
      <c r="F234" s="90">
        <v>90.0</v>
      </c>
      <c r="G234" s="79"/>
      <c r="H234" s="79"/>
      <c r="I234" s="90">
        <v>75.0</v>
      </c>
      <c r="J234" s="90">
        <v>20.0</v>
      </c>
      <c r="K234" s="94">
        <v>0.0</v>
      </c>
      <c r="L234" s="90">
        <v>25.0</v>
      </c>
      <c r="M234" s="90">
        <v>110.0</v>
      </c>
      <c r="N234" s="90">
        <v>70.0</v>
      </c>
      <c r="O234" s="90">
        <v>250.0</v>
      </c>
      <c r="P234" s="90">
        <v>0.0</v>
      </c>
      <c r="Q234" s="82"/>
      <c r="R234" s="82"/>
      <c r="S234" s="82"/>
      <c r="T234" s="82"/>
      <c r="U234" s="82"/>
      <c r="V234" s="82"/>
      <c r="W234" s="82"/>
      <c r="X234" s="82"/>
      <c r="Y234" s="82"/>
      <c r="Z234" s="82"/>
      <c r="AA234" s="82"/>
      <c r="AB234" s="79"/>
      <c r="AC234" s="90">
        <v>-35.0</v>
      </c>
      <c r="AD234" s="90">
        <v>10.0</v>
      </c>
      <c r="AE234" s="79"/>
      <c r="AF234" s="90">
        <v>15.0</v>
      </c>
      <c r="AG234" s="90">
        <v>10.0</v>
      </c>
      <c r="AH234" s="79"/>
      <c r="AI234" s="79"/>
      <c r="AJ234" s="90">
        <v>0.0</v>
      </c>
      <c r="AK234" s="90">
        <v>0.0</v>
      </c>
      <c r="AL234" s="90">
        <v>0.0</v>
      </c>
      <c r="AM234" s="90">
        <v>75.0</v>
      </c>
      <c r="AN234" s="90">
        <v>0.0</v>
      </c>
      <c r="AO234" s="90">
        <v>0.0</v>
      </c>
      <c r="AP234" s="90">
        <v>0.0</v>
      </c>
      <c r="AQ234" s="90">
        <v>0.0</v>
      </c>
      <c r="AR234" s="90">
        <v>50.0</v>
      </c>
      <c r="AS234" s="90">
        <v>0.0</v>
      </c>
      <c r="AT234" s="90">
        <v>0.0</v>
      </c>
      <c r="AU234" s="90">
        <v>0.0</v>
      </c>
      <c r="AV234" s="90">
        <v>0.0</v>
      </c>
      <c r="AW234" s="90">
        <v>0.0</v>
      </c>
      <c r="AX234" s="90">
        <v>0.0</v>
      </c>
      <c r="AY234" s="90">
        <v>0.0</v>
      </c>
      <c r="AZ234" s="90">
        <v>0.0</v>
      </c>
      <c r="BA234" s="90">
        <v>0.0</v>
      </c>
      <c r="BB234" s="90">
        <v>0.0</v>
      </c>
      <c r="BC234" s="90">
        <v>0.0</v>
      </c>
      <c r="BD234" s="90">
        <v>0.0</v>
      </c>
      <c r="BE234" s="90">
        <v>0.0</v>
      </c>
      <c r="BF234" s="90">
        <v>20.0</v>
      </c>
      <c r="BG234" s="79" t="str">
        <f t="array" ref="BG234">IF($A234="","", INDEX(CS!$B$1:$B$15025,MATCH($A234,CS!$B:$B,0)+COLUMN(A$1),1))</f>
        <v>後脚蹴り</v>
      </c>
      <c r="BH234" s="79" t="str">
        <f t="array" ref="BH234">IF($A234="","", INDEX(CS!$B$1:$B$15025,MATCH($A234,CS!$B:$B,0)+COLUMN(B$1),1))</f>
        <v>馬の突進</v>
      </c>
      <c r="BI234" s="79" t="str">
        <f t="array" ref="BI234">IF($A234="","", INDEX(CS!$B$1:$B$15025,MATCH($A234,CS!$B:$B,0)+COLUMN(C$1),1))</f>
        <v>蹄撃強化</v>
      </c>
      <c r="BJ234" s="79" t="str">
        <f t="array" ref="BJ234">IF($A234="","", INDEX(CS!$B$1:$B$15025,MATCH($A234,CS!$B:$B,0)+COLUMN(D$1),1))</f>
        <v>踏みつけ</v>
      </c>
      <c r="BK234" s="79" t="str">
        <f t="array" ref="BK234">IF($A234="","", INDEX(CS!$B$1:$B$15025,MATCH($A234,CS!$B:$B,0)+COLUMN(E$1),1))</f>
        <v>反応</v>
      </c>
      <c r="BL234" s="79" t="str">
        <f t="array" ref="BL234">IF($A234="","", INDEX(CS!$B$1:$B$15025,MATCH($A234,CS!$B:$B,0)+COLUMN(F$1),1))</f>
        <v/>
      </c>
      <c r="BM234" s="79" t="str">
        <f t="array" ref="BM234">IF($A234="","", INDEX(CS!$B$1:$B$15025,MATCH($A234,CS!$B:$B,0)+COLUMN(G$1),1))</f>
        <v>野生感覚</v>
      </c>
      <c r="BN234" s="79" t="str">
        <f t="array" ref="BN234">IF($A234="","", INDEX(CS!$B$1:$B$15025,MATCH($A234,CS!$B:$B,0)+COLUMN(H$1),1))</f>
        <v/>
      </c>
      <c r="BO234" s="79" t="str">
        <f t="array" ref="BO234">IF($A234="","", INDEX(CS!$B$1:$B$15025,MATCH($A234,CS!$B:$B,0)+COLUMN(I$1),1))</f>
        <v/>
      </c>
      <c r="BP234" s="79" t="str">
        <f t="array" ref="BP234">IF($A234="","", INDEX(CS!$B$1:$B$15025,MATCH($A234,CS!$B:$B,0)+COLUMN(J$1),1))</f>
        <v/>
      </c>
      <c r="BQ234" s="79"/>
      <c r="BR234" s="79"/>
      <c r="BS234" s="83"/>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row>
    <row r="235" ht="18.75" customHeight="1" outlineLevel="1">
      <c r="A235" s="90" t="s">
        <v>1528</v>
      </c>
      <c r="B235" s="91"/>
      <c r="C235" s="90" t="s">
        <v>2891</v>
      </c>
      <c r="D235" s="92" t="str">
        <f t="shared" si="12"/>
        <v>550/375/175</v>
      </c>
      <c r="E235" s="93">
        <v>1.0</v>
      </c>
      <c r="F235" s="90">
        <v>105.0</v>
      </c>
      <c r="G235" s="79"/>
      <c r="H235" s="79"/>
      <c r="I235" s="90">
        <v>95.0</v>
      </c>
      <c r="J235" s="90">
        <v>15.0</v>
      </c>
      <c r="K235" s="94">
        <v>0.0</v>
      </c>
      <c r="L235" s="90">
        <v>25.0</v>
      </c>
      <c r="M235" s="90">
        <v>70.0</v>
      </c>
      <c r="N235" s="90">
        <v>65.0</v>
      </c>
      <c r="O235" s="90">
        <v>250.0</v>
      </c>
      <c r="P235" s="90">
        <v>0.0</v>
      </c>
      <c r="Q235" s="82"/>
      <c r="R235" s="82"/>
      <c r="S235" s="82"/>
      <c r="T235" s="82"/>
      <c r="U235" s="82"/>
      <c r="V235" s="82"/>
      <c r="W235" s="82"/>
      <c r="X235" s="82"/>
      <c r="Y235" s="82"/>
      <c r="Z235" s="82"/>
      <c r="AA235" s="82"/>
      <c r="AB235" s="79"/>
      <c r="AC235" s="90">
        <v>-35.0</v>
      </c>
      <c r="AD235" s="90">
        <v>15.0</v>
      </c>
      <c r="AE235" s="79"/>
      <c r="AF235" s="90">
        <v>10.0</v>
      </c>
      <c r="AG235" s="90">
        <v>10.0</v>
      </c>
      <c r="AH235" s="79"/>
      <c r="AI235" s="79"/>
      <c r="AJ235" s="90">
        <v>0.0</v>
      </c>
      <c r="AK235" s="90">
        <v>50.0</v>
      </c>
      <c r="AL235" s="90">
        <v>0.0</v>
      </c>
      <c r="AM235" s="90">
        <v>25.0</v>
      </c>
      <c r="AN235" s="90">
        <v>0.0</v>
      </c>
      <c r="AO235" s="90">
        <v>0.0</v>
      </c>
      <c r="AP235" s="90">
        <v>0.0</v>
      </c>
      <c r="AQ235" s="90">
        <v>25.0</v>
      </c>
      <c r="AR235" s="90">
        <v>75.0</v>
      </c>
      <c r="AS235" s="90">
        <v>0.0</v>
      </c>
      <c r="AT235" s="90">
        <v>0.0</v>
      </c>
      <c r="AU235" s="90">
        <v>0.0</v>
      </c>
      <c r="AV235" s="90">
        <v>0.0</v>
      </c>
      <c r="AW235" s="90">
        <v>0.0</v>
      </c>
      <c r="AX235" s="90">
        <v>0.0</v>
      </c>
      <c r="AY235" s="90">
        <v>0.0</v>
      </c>
      <c r="AZ235" s="90">
        <v>0.0</v>
      </c>
      <c r="BA235" s="90">
        <v>0.0</v>
      </c>
      <c r="BB235" s="90">
        <v>120.0</v>
      </c>
      <c r="BC235" s="90">
        <v>0.0</v>
      </c>
      <c r="BD235" s="90">
        <v>0.0</v>
      </c>
      <c r="BE235" s="90">
        <v>0.0</v>
      </c>
      <c r="BF235" s="90">
        <v>40.0</v>
      </c>
      <c r="BG235" s="79" t="str">
        <f t="array" ref="BG235">IF($A235="","", INDEX(CS!$B$1:$B$15025,MATCH($A235,CS!$B:$B,0)+COLUMN(A$1),1))</f>
        <v>牙</v>
      </c>
      <c r="BH235" s="79" t="str">
        <f t="array" ref="BH235">IF($A235="","", INDEX(CS!$B$1:$B$15025,MATCH($A235,CS!$B:$B,0)+COLUMN(B$1),1))</f>
        <v>猪の突進</v>
      </c>
      <c r="BI235" s="79" t="str">
        <f t="array" ref="BI235">IF($A235="","", INDEX(CS!$B$1:$B$15025,MATCH($A235,CS!$B:$B,0)+COLUMN(C$1),1))</f>
        <v>猪突猛進</v>
      </c>
      <c r="BJ235" s="79" t="str">
        <f t="array" ref="BJ235">IF($A235="","", INDEX(CS!$B$1:$B$15025,MATCH($A235,CS!$B:$B,0)+COLUMN(D$1),1))</f>
        <v>踏みつけ</v>
      </c>
      <c r="BK235" s="79" t="str">
        <f t="array" ref="BK235">IF($A235="","", INDEX(CS!$B$1:$B$15025,MATCH($A235,CS!$B:$B,0)+COLUMN(E$1),1))</f>
        <v>反応</v>
      </c>
      <c r="BL235" s="79" t="str">
        <f t="array" ref="BL235">IF($A235="","", INDEX(CS!$B$1:$B$15025,MATCH($A235,CS!$B:$B,0)+COLUMN(F$1),1))</f>
        <v/>
      </c>
      <c r="BM235" s="79" t="str">
        <f t="array" ref="BM235">IF($A235="","", INDEX(CS!$B$1:$B$15025,MATCH($A235,CS!$B:$B,0)+COLUMN(G$1),1))</f>
        <v>野生感覚</v>
      </c>
      <c r="BN235" s="79" t="str">
        <f t="array" ref="BN235">IF($A235="","", INDEX(CS!$B$1:$B$15025,MATCH($A235,CS!$B:$B,0)+COLUMN(H$1),1))</f>
        <v/>
      </c>
      <c r="BO235" s="79" t="str">
        <f t="array" ref="BO235">IF($A235="","", INDEX(CS!$B$1:$B$15025,MATCH($A235,CS!$B:$B,0)+COLUMN(I$1),1))</f>
        <v/>
      </c>
      <c r="BP235" s="79" t="str">
        <f t="array" ref="BP235">IF($A235="","", INDEX(CS!$B$1:$B$15025,MATCH($A235,CS!$B:$B,0)+COLUMN(J$1),1))</f>
        <v/>
      </c>
      <c r="BQ235" s="79"/>
      <c r="BR235" s="79"/>
      <c r="BS235" s="83"/>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row>
    <row r="236" ht="18.75" customHeight="1" outlineLevel="1">
      <c r="A236" s="90" t="s">
        <v>1533</v>
      </c>
      <c r="B236" s="91"/>
      <c r="C236" s="90" t="s">
        <v>2891</v>
      </c>
      <c r="D236" s="92" t="str">
        <f t="shared" si="12"/>
        <v>755/505/250</v>
      </c>
      <c r="E236" s="93">
        <v>1.0</v>
      </c>
      <c r="F236" s="90">
        <v>105.0</v>
      </c>
      <c r="G236" s="79"/>
      <c r="H236" s="79"/>
      <c r="I236" s="90">
        <v>100.0</v>
      </c>
      <c r="J236" s="90">
        <v>90.0</v>
      </c>
      <c r="K236" s="94">
        <v>0.0</v>
      </c>
      <c r="L236" s="90">
        <v>50.0</v>
      </c>
      <c r="M236" s="90">
        <v>80.0</v>
      </c>
      <c r="N236" s="90">
        <v>80.0</v>
      </c>
      <c r="O236" s="90">
        <v>250.0</v>
      </c>
      <c r="P236" s="90">
        <v>0.0</v>
      </c>
      <c r="Q236" s="82"/>
      <c r="R236" s="82"/>
      <c r="S236" s="82"/>
      <c r="T236" s="82"/>
      <c r="U236" s="82"/>
      <c r="V236" s="82"/>
      <c r="W236" s="82"/>
      <c r="X236" s="82"/>
      <c r="Y236" s="82"/>
      <c r="Z236" s="82"/>
      <c r="AA236" s="82"/>
      <c r="AB236" s="79"/>
      <c r="AC236" s="90">
        <v>-35.0</v>
      </c>
      <c r="AD236" s="90">
        <v>15.0</v>
      </c>
      <c r="AE236" s="79"/>
      <c r="AF236" s="90">
        <v>15.0</v>
      </c>
      <c r="AG236" s="90">
        <v>10.0</v>
      </c>
      <c r="AH236" s="79"/>
      <c r="AI236" s="79"/>
      <c r="AJ236" s="90">
        <v>0.0</v>
      </c>
      <c r="AK236" s="90">
        <v>75.0</v>
      </c>
      <c r="AL236" s="90">
        <v>25.0</v>
      </c>
      <c r="AM236" s="90">
        <v>50.0</v>
      </c>
      <c r="AN236" s="90">
        <v>0.0</v>
      </c>
      <c r="AO236" s="90">
        <v>0.0</v>
      </c>
      <c r="AP236" s="90">
        <v>0.0</v>
      </c>
      <c r="AQ236" s="90">
        <v>25.0</v>
      </c>
      <c r="AR236" s="90">
        <v>75.0</v>
      </c>
      <c r="AS236" s="90">
        <v>0.0</v>
      </c>
      <c r="AT236" s="90">
        <v>0.0</v>
      </c>
      <c r="AU236" s="90">
        <v>0.0</v>
      </c>
      <c r="AV236" s="90">
        <v>0.0</v>
      </c>
      <c r="AW236" s="90">
        <v>0.0</v>
      </c>
      <c r="AX236" s="90">
        <v>0.0</v>
      </c>
      <c r="AY236" s="90">
        <v>0.0</v>
      </c>
      <c r="AZ236" s="90">
        <v>0.0</v>
      </c>
      <c r="BA236" s="90"/>
      <c r="BB236" s="90">
        <v>120.0</v>
      </c>
      <c r="BC236" s="90">
        <v>140.0</v>
      </c>
      <c r="BD236" s="90">
        <v>0.0</v>
      </c>
      <c r="BE236" s="90">
        <v>0.0</v>
      </c>
      <c r="BF236" s="90">
        <v>40.0</v>
      </c>
      <c r="BG236" s="79" t="str">
        <f t="array" ref="BG236">IF($A236="","", INDEX(CS!$B$1:$B$15025,MATCH($A236,CS!$B:$B,0)+COLUMN(A$1),1))</f>
        <v>爪</v>
      </c>
      <c r="BH236" s="79" t="str">
        <f t="array" ref="BH236">IF($A236="","", INDEX(CS!$B$1:$B$15025,MATCH($A236,CS!$B:$B,0)+COLUMN(B$1),1))</f>
        <v>牙</v>
      </c>
      <c r="BI236" s="79" t="str">
        <f t="array" ref="BI236">IF($A236="","", INDEX(CS!$B$1:$B$15025,MATCH($A236,CS!$B:$B,0)+COLUMN(C$1),1))</f>
        <v>獅子の咆哮</v>
      </c>
      <c r="BJ236" s="79" t="str">
        <f t="array" ref="BJ236">IF($A236="","", INDEX(CS!$B$1:$B$15025,MATCH($A236,CS!$B:$B,0)+COLUMN(D$1),1))</f>
        <v>猛獣の飛びかかり</v>
      </c>
      <c r="BK236" s="79" t="str">
        <f t="array" ref="BK236">IF($A236="","", INDEX(CS!$B$1:$B$15025,MATCH($A236,CS!$B:$B,0)+COLUMN(E$1),1))</f>
        <v>反応</v>
      </c>
      <c r="BL236" s="79" t="str">
        <f t="array" ref="BL236">IF($A236="","", INDEX(CS!$B$1:$B$15025,MATCH($A236,CS!$B:$B,0)+COLUMN(F$1),1))</f>
        <v/>
      </c>
      <c r="BM236" s="79" t="str">
        <f t="array" ref="BM236">IF($A236="","", INDEX(CS!$B$1:$B$15025,MATCH($A236,CS!$B:$B,0)+COLUMN(G$1),1))</f>
        <v>野生感覚</v>
      </c>
      <c r="BN236" s="79" t="str">
        <f t="array" ref="BN236">IF($A236="","", INDEX(CS!$B$1:$B$15025,MATCH($A236,CS!$B:$B,0)+COLUMN(H$1),1))</f>
        <v/>
      </c>
      <c r="BO236" s="79" t="str">
        <f t="array" ref="BO236">IF($A236="","", INDEX(CS!$B$1:$B$15025,MATCH($A236,CS!$B:$B,0)+COLUMN(I$1),1))</f>
        <v/>
      </c>
      <c r="BP236" s="79" t="str">
        <f t="array" ref="BP236">IF($A236="","", INDEX(CS!$B$1:$B$15025,MATCH($A236,CS!$B:$B,0)+COLUMN(J$1),1))</f>
        <v/>
      </c>
      <c r="BQ236" s="79"/>
      <c r="BR236" s="79"/>
      <c r="BS236" s="83"/>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row>
    <row r="237" ht="18.75" customHeight="1" outlineLevel="1">
      <c r="A237" s="90" t="s">
        <v>1537</v>
      </c>
      <c r="B237" s="91"/>
      <c r="C237" s="90" t="s">
        <v>2891</v>
      </c>
      <c r="D237" s="92" t="str">
        <f t="shared" si="12"/>
        <v>580/430/150</v>
      </c>
      <c r="E237" s="93">
        <v>1.0</v>
      </c>
      <c r="F237" s="90">
        <v>85.0</v>
      </c>
      <c r="G237" s="79"/>
      <c r="H237" s="79"/>
      <c r="I237" s="90">
        <v>75.0</v>
      </c>
      <c r="J237" s="90">
        <v>70.0</v>
      </c>
      <c r="K237" s="94">
        <v>0.0</v>
      </c>
      <c r="L237" s="90">
        <v>40.0</v>
      </c>
      <c r="M237" s="90">
        <v>85.0</v>
      </c>
      <c r="N237" s="90">
        <v>75.0</v>
      </c>
      <c r="O237" s="90">
        <v>150.0</v>
      </c>
      <c r="P237" s="90">
        <v>0.0</v>
      </c>
      <c r="Q237" s="82"/>
      <c r="R237" s="82"/>
      <c r="S237" s="82"/>
      <c r="T237" s="82"/>
      <c r="U237" s="82"/>
      <c r="V237" s="82"/>
      <c r="W237" s="82"/>
      <c r="X237" s="82"/>
      <c r="Y237" s="82"/>
      <c r="Z237" s="82"/>
      <c r="AA237" s="82"/>
      <c r="AB237" s="79"/>
      <c r="AC237" s="90">
        <v>-35.0</v>
      </c>
      <c r="AD237" s="90">
        <v>10.0</v>
      </c>
      <c r="AE237" s="79"/>
      <c r="AF237" s="90">
        <v>10.0</v>
      </c>
      <c r="AG237" s="90">
        <v>10.0</v>
      </c>
      <c r="AH237" s="79"/>
      <c r="AI237" s="79"/>
      <c r="AJ237" s="90">
        <v>0.0</v>
      </c>
      <c r="AK237" s="90">
        <v>0.0</v>
      </c>
      <c r="AL237" s="90">
        <v>25.0</v>
      </c>
      <c r="AM237" s="90">
        <v>75.0</v>
      </c>
      <c r="AN237" s="90">
        <v>0.0</v>
      </c>
      <c r="AO237" s="90">
        <v>0.0</v>
      </c>
      <c r="AP237" s="90">
        <v>0.0</v>
      </c>
      <c r="AQ237" s="90">
        <v>0.0</v>
      </c>
      <c r="AR237" s="90">
        <v>50.0</v>
      </c>
      <c r="AS237" s="90">
        <v>0.0</v>
      </c>
      <c r="AT237" s="90">
        <v>0.0</v>
      </c>
      <c r="AU237" s="90">
        <v>0.0</v>
      </c>
      <c r="AV237" s="90">
        <v>0.0</v>
      </c>
      <c r="AW237" s="90">
        <v>0.0</v>
      </c>
      <c r="AX237" s="90">
        <v>0.0</v>
      </c>
      <c r="AY237" s="90">
        <v>0.0</v>
      </c>
      <c r="AZ237" s="90">
        <v>0.0</v>
      </c>
      <c r="BA237" s="90">
        <v>120.0</v>
      </c>
      <c r="BB237" s="90"/>
      <c r="BC237" s="90"/>
      <c r="BD237" s="90"/>
      <c r="BE237" s="90"/>
      <c r="BF237" s="90">
        <v>20.0</v>
      </c>
      <c r="BG237" s="79" t="str">
        <f t="array" ref="BG237">IF($A237="","", INDEX(CS!$B$1:$B$15025,MATCH($A237,CS!$B:$B,0)+COLUMN(A$1),1))</f>
        <v>角</v>
      </c>
      <c r="BH237" s="79" t="str">
        <f t="array" ref="BH237">IF($A237="","", INDEX(CS!$B$1:$B$15025,MATCH($A237,CS!$B:$B,0)+COLUMN(B$1),1))</f>
        <v>山羊の突進</v>
      </c>
      <c r="BI237" s="79" t="str">
        <f t="array" ref="BI237">IF($A237="","", INDEX(CS!$B$1:$B$15025,MATCH($A237,CS!$B:$B,0)+COLUMN(C$1),1))</f>
        <v>強靭な角</v>
      </c>
      <c r="BJ237" s="79" t="str">
        <f t="array" ref="BJ237">IF($A237="","", INDEX(CS!$B$1:$B$15025,MATCH($A237,CS!$B:$B,0)+COLUMN(D$1),1))</f>
        <v>岩場適応</v>
      </c>
      <c r="BK237" s="79" t="str">
        <f t="array" ref="BK237">IF($A237="","", INDEX(CS!$B$1:$B$15025,MATCH($A237,CS!$B:$B,0)+COLUMN(E$1),1))</f>
        <v>反応</v>
      </c>
      <c r="BL237" s="79" t="str">
        <f t="array" ref="BL237">IF($A237="","", INDEX(CS!$B$1:$B$15025,MATCH($A237,CS!$B:$B,0)+COLUMN(F$1),1))</f>
        <v/>
      </c>
      <c r="BM237" s="79" t="str">
        <f t="array" ref="BM237">IF($A237="","", INDEX(CS!$B$1:$B$15025,MATCH($A237,CS!$B:$B,0)+COLUMN(G$1),1))</f>
        <v>野生感覚</v>
      </c>
      <c r="BN237" s="79" t="str">
        <f t="array" ref="BN237">IF($A237="","", INDEX(CS!$B$1:$B$15025,MATCH($A237,CS!$B:$B,0)+COLUMN(H$1),1))</f>
        <v/>
      </c>
      <c r="BO237" s="79" t="str">
        <f t="array" ref="BO237">IF($A237="","", INDEX(CS!$B$1:$B$15025,MATCH($A237,CS!$B:$B,0)+COLUMN(I$1),1))</f>
        <v/>
      </c>
      <c r="BP237" s="79" t="str">
        <f t="array" ref="BP237">IF($A237="","", INDEX(CS!$B$1:$B$15025,MATCH($A237,CS!$B:$B,0)+COLUMN(J$1),1))</f>
        <v/>
      </c>
      <c r="BQ237" s="79"/>
      <c r="BR237" s="79"/>
      <c r="BS237" s="83"/>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row>
    <row r="238" ht="18.75" customHeight="1" outlineLevel="1">
      <c r="A238" s="90" t="s">
        <v>1547</v>
      </c>
      <c r="B238" s="91"/>
      <c r="C238" s="90" t="s">
        <v>2891</v>
      </c>
      <c r="D238" s="92" t="str">
        <f t="shared" si="12"/>
        <v>730/430/300</v>
      </c>
      <c r="E238" s="93">
        <v>1.0</v>
      </c>
      <c r="F238" s="90">
        <v>60.0</v>
      </c>
      <c r="G238" s="79"/>
      <c r="H238" s="79"/>
      <c r="I238" s="90">
        <v>70.0</v>
      </c>
      <c r="J238" s="90">
        <v>45.0</v>
      </c>
      <c r="K238" s="94">
        <v>0.0</v>
      </c>
      <c r="L238" s="90">
        <v>50.0</v>
      </c>
      <c r="M238" s="90">
        <v>105.0</v>
      </c>
      <c r="N238" s="90">
        <v>100.0</v>
      </c>
      <c r="O238" s="90">
        <v>100.0</v>
      </c>
      <c r="P238" s="90">
        <v>0.0</v>
      </c>
      <c r="Q238" s="82"/>
      <c r="R238" s="82"/>
      <c r="S238" s="82"/>
      <c r="T238" s="82"/>
      <c r="U238" s="82"/>
      <c r="V238" s="82"/>
      <c r="W238" s="82"/>
      <c r="X238" s="82"/>
      <c r="Y238" s="82"/>
      <c r="Z238" s="82"/>
      <c r="AA238" s="82"/>
      <c r="AB238" s="79"/>
      <c r="AC238" s="90">
        <v>-35.0</v>
      </c>
      <c r="AD238" s="90">
        <v>10.0</v>
      </c>
      <c r="AE238" s="79"/>
      <c r="AF238" s="90">
        <v>10.0</v>
      </c>
      <c r="AG238" s="90">
        <v>10.0</v>
      </c>
      <c r="AH238" s="79"/>
      <c r="AI238" s="79"/>
      <c r="AJ238" s="90">
        <v>0.0</v>
      </c>
      <c r="AK238" s="90">
        <v>0.0</v>
      </c>
      <c r="AL238" s="90">
        <v>75.0</v>
      </c>
      <c r="AM238" s="90">
        <v>75.0</v>
      </c>
      <c r="AN238" s="90">
        <v>0.0</v>
      </c>
      <c r="AO238" s="90">
        <v>0.0</v>
      </c>
      <c r="AP238" s="90">
        <v>0.0</v>
      </c>
      <c r="AQ238" s="90">
        <v>50.0</v>
      </c>
      <c r="AR238" s="90">
        <v>100.0</v>
      </c>
      <c r="AS238" s="90">
        <v>0.0</v>
      </c>
      <c r="AT238" s="90">
        <v>0.0</v>
      </c>
      <c r="AU238" s="90">
        <v>0.0</v>
      </c>
      <c r="AV238" s="90">
        <v>0.0</v>
      </c>
      <c r="AW238" s="90">
        <v>0.0</v>
      </c>
      <c r="AX238" s="90">
        <v>0.0</v>
      </c>
      <c r="AY238" s="90">
        <v>0.0</v>
      </c>
      <c r="AZ238" s="90">
        <v>0.0</v>
      </c>
      <c r="BA238" s="90"/>
      <c r="BB238" s="90"/>
      <c r="BC238" s="90">
        <v>100.0</v>
      </c>
      <c r="BD238" s="90"/>
      <c r="BE238" s="90">
        <v>100.0</v>
      </c>
      <c r="BF238" s="90">
        <v>10.0</v>
      </c>
      <c r="BG238" s="79" t="str">
        <f t="array" ref="BG238">IF($A238="","", INDEX(CS!$B$1:$B$15025,MATCH($A238,CS!$B:$B,0)+COLUMN(A$1),1))</f>
        <v>爪</v>
      </c>
      <c r="BH238" s="79" t="str">
        <f t="array" ref="BH238">IF($A238="","", INDEX(CS!$B$1:$B$15025,MATCH($A238,CS!$B:$B,0)+COLUMN(B$1),1))</f>
        <v>翼</v>
      </c>
      <c r="BI238" s="79" t="str">
        <f t="array" ref="BI238">IF($A238="","", INDEX(CS!$B$1:$B$15025,MATCH($A238,CS!$B:$B,0)+COLUMN(C$1),1))</f>
        <v>梟の急降下</v>
      </c>
      <c r="BJ238" s="79" t="str">
        <f t="array" ref="BJ238">IF($A238="","", INDEX(CS!$B$1:$B$15025,MATCH($A238,CS!$B:$B,0)+COLUMN(D$1),1))</f>
        <v>梟の眼</v>
      </c>
      <c r="BK238" s="79" t="str">
        <f t="array" ref="BK238">IF($A238="","", INDEX(CS!$B$1:$B$15025,MATCH($A238,CS!$B:$B,0)+COLUMN(E$1),1))</f>
        <v>反応</v>
      </c>
      <c r="BL238" s="79" t="str">
        <f t="array" ref="BL238">IF($A238="","", INDEX(CS!$B$1:$B$15025,MATCH($A238,CS!$B:$B,0)+COLUMN(F$1),1))</f>
        <v/>
      </c>
      <c r="BM238" s="79" t="str">
        <f t="array" ref="BM238">IF($A238="","", INDEX(CS!$B$1:$B$15025,MATCH($A238,CS!$B:$B,0)+COLUMN(G$1),1))</f>
        <v>野生感覚</v>
      </c>
      <c r="BN238" s="79" t="str">
        <f t="array" ref="BN238">IF($A238="","", INDEX(CS!$B$1:$B$15025,MATCH($A238,CS!$B:$B,0)+COLUMN(H$1),1))</f>
        <v/>
      </c>
      <c r="BO238" s="79" t="str">
        <f t="array" ref="BO238">IF($A238="","", INDEX(CS!$B$1:$B$15025,MATCH($A238,CS!$B:$B,0)+COLUMN(I$1),1))</f>
        <v/>
      </c>
      <c r="BP238" s="79" t="str">
        <f t="array" ref="BP238">IF($A238="","", INDEX(CS!$B$1:$B$15025,MATCH($A238,CS!$B:$B,0)+COLUMN(J$1),1))</f>
        <v/>
      </c>
      <c r="BQ238" s="79"/>
      <c r="BR238" s="79"/>
      <c r="BS238" s="83"/>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row>
    <row r="239" ht="18.75" customHeight="1" outlineLevel="1">
      <c r="A239" s="90" t="s">
        <v>1554</v>
      </c>
      <c r="B239" s="91"/>
      <c r="C239" s="90" t="s">
        <v>2891</v>
      </c>
      <c r="D239" s="92" t="str">
        <f t="shared" si="12"/>
        <v>575/400/175</v>
      </c>
      <c r="E239" s="93">
        <v>1.0</v>
      </c>
      <c r="F239" s="90">
        <v>75.0</v>
      </c>
      <c r="G239" s="79"/>
      <c r="H239" s="79"/>
      <c r="I239" s="90">
        <v>75.0</v>
      </c>
      <c r="J239" s="90">
        <v>70.0</v>
      </c>
      <c r="K239" s="94">
        <v>0.0</v>
      </c>
      <c r="L239" s="90">
        <v>35.0</v>
      </c>
      <c r="M239" s="90">
        <v>75.0</v>
      </c>
      <c r="N239" s="90">
        <v>70.0</v>
      </c>
      <c r="O239" s="90">
        <v>100.0</v>
      </c>
      <c r="P239" s="90">
        <v>0.0</v>
      </c>
      <c r="Q239" s="82"/>
      <c r="R239" s="82"/>
      <c r="S239" s="82"/>
      <c r="T239" s="82"/>
      <c r="U239" s="82"/>
      <c r="V239" s="82"/>
      <c r="W239" s="82"/>
      <c r="X239" s="82"/>
      <c r="Y239" s="82"/>
      <c r="Z239" s="82"/>
      <c r="AA239" s="82"/>
      <c r="AB239" s="79"/>
      <c r="AC239" s="90">
        <v>-35.0</v>
      </c>
      <c r="AD239" s="90">
        <v>10.0</v>
      </c>
      <c r="AE239" s="79"/>
      <c r="AF239" s="90">
        <v>10.0</v>
      </c>
      <c r="AG239" s="90">
        <v>10.0</v>
      </c>
      <c r="AH239" s="79"/>
      <c r="AI239" s="79"/>
      <c r="AJ239" s="90">
        <v>0.0</v>
      </c>
      <c r="AK239" s="90">
        <v>0.0</v>
      </c>
      <c r="AL239" s="90">
        <v>25.0</v>
      </c>
      <c r="AM239" s="90">
        <v>50.0</v>
      </c>
      <c r="AN239" s="90">
        <v>0.0</v>
      </c>
      <c r="AO239" s="90">
        <v>0.0</v>
      </c>
      <c r="AP239" s="90">
        <v>0.0</v>
      </c>
      <c r="AQ239" s="90">
        <v>50.0</v>
      </c>
      <c r="AR239" s="90">
        <v>50.0</v>
      </c>
      <c r="AS239" s="90">
        <v>0.0</v>
      </c>
      <c r="AT239" s="90">
        <v>0.0</v>
      </c>
      <c r="AU239" s="90">
        <v>0.0</v>
      </c>
      <c r="AV239" s="90">
        <v>0.0</v>
      </c>
      <c r="AW239" s="90">
        <v>0.0</v>
      </c>
      <c r="AX239" s="90">
        <v>0.0</v>
      </c>
      <c r="AY239" s="90">
        <v>0.0</v>
      </c>
      <c r="AZ239" s="90">
        <v>0.0</v>
      </c>
      <c r="BA239" s="90"/>
      <c r="BB239" s="90">
        <v>80.0</v>
      </c>
      <c r="BC239" s="90"/>
      <c r="BD239" s="90">
        <v>80.0</v>
      </c>
      <c r="BE239" s="90"/>
      <c r="BF239" s="90">
        <v>30.0</v>
      </c>
      <c r="BG239" s="79" t="str">
        <f t="array" ref="BG239">IF($A239="","", INDEX(CS!$B$1:$B$15025,MATCH($A239,CS!$B:$B,0)+COLUMN(A$1),1))</f>
        <v>牙</v>
      </c>
      <c r="BH239" s="79" t="str">
        <f t="array" ref="BH239">IF($A239="","", INDEX(CS!$B$1:$B$15025,MATCH($A239,CS!$B:$B,0)+COLUMN(B$1),1))</f>
        <v>尾</v>
      </c>
      <c r="BI239" s="79" t="str">
        <f t="array" ref="BI239">IF($A239="","", INDEX(CS!$B$1:$B$15025,MATCH($A239,CS!$B:$B,0)+COLUMN(C$1),1))</f>
        <v>鱗皮</v>
      </c>
      <c r="BJ239" s="79" t="str">
        <f t="array" ref="BJ239">IF($A239="","", INDEX(CS!$B$1:$B$15025,MATCH($A239,CS!$B:$B,0)+COLUMN(D$1),1))</f>
        <v>爬行</v>
      </c>
      <c r="BK239" s="79" t="str">
        <f t="array" ref="BK239">IF($A239="","", INDEX(CS!$B$1:$B$15025,MATCH($A239,CS!$B:$B,0)+COLUMN(E$1),1))</f>
        <v>反応</v>
      </c>
      <c r="BL239" s="79" t="str">
        <f t="array" ref="BL239">IF($A239="","", INDEX(CS!$B$1:$B$15025,MATCH($A239,CS!$B:$B,0)+COLUMN(F$1),1))</f>
        <v/>
      </c>
      <c r="BM239" s="79" t="str">
        <f t="array" ref="BM239">IF($A239="","", INDEX(CS!$B$1:$B$15025,MATCH($A239,CS!$B:$B,0)+COLUMN(G$1),1))</f>
        <v>野生感覚</v>
      </c>
      <c r="BN239" s="79" t="str">
        <f t="array" ref="BN239">IF($A239="","", INDEX(CS!$B$1:$B$15025,MATCH($A239,CS!$B:$B,0)+COLUMN(H$1),1))</f>
        <v/>
      </c>
      <c r="BO239" s="79" t="str">
        <f t="array" ref="BO239">IF($A239="","", INDEX(CS!$B$1:$B$15025,MATCH($A239,CS!$B:$B,0)+COLUMN(I$1),1))</f>
        <v/>
      </c>
      <c r="BP239" s="79" t="str">
        <f t="array" ref="BP239">IF($A239="","", INDEX(CS!$B$1:$B$15025,MATCH($A239,CS!$B:$B,0)+COLUMN(J$1),1))</f>
        <v/>
      </c>
      <c r="BQ239" s="79"/>
      <c r="BR239" s="79"/>
      <c r="BS239" s="83"/>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row>
    <row r="240" ht="18.75" customHeight="1" outlineLevel="1">
      <c r="A240" s="90" t="s">
        <v>1561</v>
      </c>
      <c r="B240" s="91"/>
      <c r="C240" s="90" t="s">
        <v>2891</v>
      </c>
      <c r="D240" s="92" t="str">
        <f t="shared" si="12"/>
        <v>720/445/275</v>
      </c>
      <c r="E240" s="93">
        <v>1.0</v>
      </c>
      <c r="F240" s="90">
        <v>80.0</v>
      </c>
      <c r="G240" s="79"/>
      <c r="H240" s="79"/>
      <c r="I240" s="90">
        <v>75.0</v>
      </c>
      <c r="J240" s="90">
        <v>55.0</v>
      </c>
      <c r="K240" s="94">
        <v>0.0</v>
      </c>
      <c r="L240" s="90">
        <v>50.0</v>
      </c>
      <c r="M240" s="90">
        <v>95.0</v>
      </c>
      <c r="N240" s="90">
        <v>90.0</v>
      </c>
      <c r="O240" s="90">
        <v>150.0</v>
      </c>
      <c r="P240" s="90">
        <v>0.0</v>
      </c>
      <c r="Q240" s="82"/>
      <c r="R240" s="82"/>
      <c r="S240" s="82"/>
      <c r="T240" s="82"/>
      <c r="U240" s="82"/>
      <c r="V240" s="82"/>
      <c r="W240" s="82"/>
      <c r="X240" s="82"/>
      <c r="Y240" s="82"/>
      <c r="Z240" s="82"/>
      <c r="AA240" s="82"/>
      <c r="AB240" s="79"/>
      <c r="AC240" s="90">
        <v>-35.0</v>
      </c>
      <c r="AD240" s="90">
        <v>10.0</v>
      </c>
      <c r="AE240" s="79"/>
      <c r="AF240" s="90">
        <v>10.0</v>
      </c>
      <c r="AG240" s="90">
        <v>10.0</v>
      </c>
      <c r="AH240" s="79"/>
      <c r="AI240" s="79"/>
      <c r="AJ240" s="90">
        <v>0.0</v>
      </c>
      <c r="AK240" s="90">
        <v>0.0</v>
      </c>
      <c r="AL240" s="90">
        <v>50.0</v>
      </c>
      <c r="AM240" s="90">
        <v>75.0</v>
      </c>
      <c r="AN240" s="90">
        <v>75.0</v>
      </c>
      <c r="AO240" s="90">
        <v>0.0</v>
      </c>
      <c r="AP240" s="90">
        <v>0.0</v>
      </c>
      <c r="AQ240" s="90">
        <v>25.0</v>
      </c>
      <c r="AR240" s="90">
        <v>50.0</v>
      </c>
      <c r="AS240" s="90">
        <v>0.0</v>
      </c>
      <c r="AT240" s="90">
        <v>0.0</v>
      </c>
      <c r="AU240" s="90">
        <v>0.0</v>
      </c>
      <c r="AV240" s="90">
        <v>0.0</v>
      </c>
      <c r="AW240" s="90">
        <v>0.0</v>
      </c>
      <c r="AX240" s="90">
        <v>0.0</v>
      </c>
      <c r="AY240" s="90">
        <v>0.0</v>
      </c>
      <c r="AZ240" s="90">
        <v>0.0</v>
      </c>
      <c r="BA240" s="90"/>
      <c r="BB240" s="90"/>
      <c r="BC240" s="90"/>
      <c r="BD240" s="90"/>
      <c r="BE240" s="90"/>
      <c r="BF240" s="90">
        <v>10.0</v>
      </c>
      <c r="BG240" s="79" t="str">
        <f t="array" ref="BG240">IF($A240="","", INDEX(CS!$B$1:$B$15025,MATCH($A240,CS!$B:$B,0)+COLUMN(A$1),1))</f>
        <v>猿の拳</v>
      </c>
      <c r="BH240" s="79" t="str">
        <f t="array" ref="BH240">IF($A240="","", INDEX(CS!$B$1:$B$15025,MATCH($A240,CS!$B:$B,0)+COLUMN(B$1),1))</f>
        <v>投石</v>
      </c>
      <c r="BI240" s="79" t="str">
        <f t="array" ref="BI240">IF($A240="","", INDEX(CS!$B$1:$B$15025,MATCH($A240,CS!$B:$B,0)+COLUMN(C$1),1))</f>
        <v>器用な手</v>
      </c>
      <c r="BJ240" s="79" t="str">
        <f t="array" ref="BJ240">IF($A240="","", INDEX(CS!$B$1:$B$15025,MATCH($A240,CS!$B:$B,0)+COLUMN(D$1),1))</f>
        <v>樹上移動</v>
      </c>
      <c r="BK240" s="79" t="str">
        <f t="array" ref="BK240">IF($A240="","", INDEX(CS!$B$1:$B$15025,MATCH($A240,CS!$B:$B,0)+COLUMN(E$1),1))</f>
        <v>反応</v>
      </c>
      <c r="BL240" s="79" t="str">
        <f t="array" ref="BL240">IF($A240="","", INDEX(CS!$B$1:$B$15025,MATCH($A240,CS!$B:$B,0)+COLUMN(F$1),1))</f>
        <v/>
      </c>
      <c r="BM240" s="79" t="str">
        <f t="array" ref="BM240">IF($A240="","", INDEX(CS!$B$1:$B$15025,MATCH($A240,CS!$B:$B,0)+COLUMN(G$1),1))</f>
        <v>野生感覚</v>
      </c>
      <c r="BN240" s="79" t="str">
        <f t="array" ref="BN240">IF($A240="","", INDEX(CS!$B$1:$B$15025,MATCH($A240,CS!$B:$B,0)+COLUMN(H$1),1))</f>
        <v/>
      </c>
      <c r="BO240" s="79" t="str">
        <f t="array" ref="BO240">IF($A240="","", INDEX(CS!$B$1:$B$15025,MATCH($A240,CS!$B:$B,0)+COLUMN(I$1),1))</f>
        <v/>
      </c>
      <c r="BP240" s="79" t="str">
        <f t="array" ref="BP240">IF($A240="","", INDEX(CS!$B$1:$B$15025,MATCH($A240,CS!$B:$B,0)+COLUMN(J$1),1))</f>
        <v/>
      </c>
      <c r="BQ240" s="79"/>
      <c r="BR240" s="79"/>
      <c r="BS240" s="83"/>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row>
    <row r="241" ht="18.75" customHeight="1" outlineLevel="1">
      <c r="A241" s="90" t="s">
        <v>1573</v>
      </c>
      <c r="B241" s="91"/>
      <c r="C241" s="90" t="s">
        <v>2891</v>
      </c>
      <c r="D241" s="92" t="str">
        <f t="shared" si="12"/>
        <v>730/430/300</v>
      </c>
      <c r="E241" s="93">
        <v>1.0</v>
      </c>
      <c r="F241" s="90">
        <v>60.0</v>
      </c>
      <c r="G241" s="79"/>
      <c r="H241" s="79"/>
      <c r="I241" s="90">
        <v>70.0</v>
      </c>
      <c r="J241" s="90">
        <v>45.0</v>
      </c>
      <c r="K241" s="94">
        <v>0.0</v>
      </c>
      <c r="L241" s="90">
        <v>50.0</v>
      </c>
      <c r="M241" s="90">
        <v>110.0</v>
      </c>
      <c r="N241" s="90">
        <v>95.0</v>
      </c>
      <c r="O241" s="90">
        <v>80.0</v>
      </c>
      <c r="P241" s="90">
        <v>0.0</v>
      </c>
      <c r="Q241" s="82"/>
      <c r="R241" s="82"/>
      <c r="S241" s="82"/>
      <c r="T241" s="82"/>
      <c r="U241" s="82"/>
      <c r="V241" s="82"/>
      <c r="W241" s="82"/>
      <c r="X241" s="82"/>
      <c r="Y241" s="82"/>
      <c r="Z241" s="82"/>
      <c r="AA241" s="82"/>
      <c r="AB241" s="79"/>
      <c r="AC241" s="90">
        <v>-35.0</v>
      </c>
      <c r="AD241" s="90">
        <v>10.0</v>
      </c>
      <c r="AE241" s="79"/>
      <c r="AF241" s="90">
        <v>10.0</v>
      </c>
      <c r="AG241" s="90">
        <v>10.0</v>
      </c>
      <c r="AH241" s="79"/>
      <c r="AI241" s="79"/>
      <c r="AJ241" s="90">
        <v>0.0</v>
      </c>
      <c r="AK241" s="90">
        <v>0.0</v>
      </c>
      <c r="AL241" s="90">
        <v>50.0</v>
      </c>
      <c r="AM241" s="90">
        <v>75.0</v>
      </c>
      <c r="AN241" s="90">
        <v>0.0</v>
      </c>
      <c r="AO241" s="90">
        <v>0.0</v>
      </c>
      <c r="AP241" s="90">
        <v>0.0</v>
      </c>
      <c r="AQ241" s="90">
        <v>100.0</v>
      </c>
      <c r="AR241" s="90">
        <v>75.0</v>
      </c>
      <c r="AS241" s="90">
        <v>0.0</v>
      </c>
      <c r="AT241" s="90">
        <v>0.0</v>
      </c>
      <c r="AU241" s="90">
        <v>0.0</v>
      </c>
      <c r="AV241" s="90">
        <v>0.0</v>
      </c>
      <c r="AW241" s="90">
        <v>0.0</v>
      </c>
      <c r="AX241" s="90">
        <v>0.0</v>
      </c>
      <c r="AY241" s="90">
        <v>0.0</v>
      </c>
      <c r="AZ241" s="90">
        <v>0.0</v>
      </c>
      <c r="BA241" s="90"/>
      <c r="BB241" s="90">
        <v>90.0</v>
      </c>
      <c r="BC241" s="90">
        <v>90.0</v>
      </c>
      <c r="BD241" s="90">
        <v>30.0</v>
      </c>
      <c r="BE241" s="90"/>
      <c r="BF241" s="90"/>
      <c r="BG241" s="79" t="str">
        <f t="array" ref="BG241">IF($A241="","", INDEX(CS!$B$1:$B$15025,MATCH($A241,CS!$B:$B,0)+COLUMN(A$1),1))</f>
        <v>牙</v>
      </c>
      <c r="BH241" s="79" t="str">
        <f t="array" ref="BH241">IF($A241="","", INDEX(CS!$B$1:$B$15025,MATCH($A241,CS!$B:$B,0)+COLUMN(B$1),1))</f>
        <v>爪</v>
      </c>
      <c r="BI241" s="79" t="str">
        <f t="array" ref="BI241">IF($A241="","", INDEX(CS!$B$1:$B$15025,MATCH($A241,CS!$B:$B,0)+COLUMN(C$1),1))</f>
        <v>狐の身軽さ</v>
      </c>
      <c r="BJ241" s="79" t="str">
        <f t="array" ref="BJ241">IF($A241="","", INDEX(CS!$B$1:$B$15025,MATCH($A241,CS!$B:$B,0)+COLUMN(D$1),1))</f>
        <v>忍び足</v>
      </c>
      <c r="BK241" s="79" t="str">
        <f t="array" ref="BK241">IF($A241="","", INDEX(CS!$B$1:$B$15025,MATCH($A241,CS!$B:$B,0)+COLUMN(E$1),1))</f>
        <v>反応</v>
      </c>
      <c r="BL241" s="79" t="str">
        <f t="array" ref="BL241">IF($A241="","", INDEX(CS!$B$1:$B$15025,MATCH($A241,CS!$B:$B,0)+COLUMN(F$1),1))</f>
        <v/>
      </c>
      <c r="BM241" s="79" t="str">
        <f t="array" ref="BM241">IF($A241="","", INDEX(CS!$B$1:$B$15025,MATCH($A241,CS!$B:$B,0)+COLUMN(G$1),1))</f>
        <v>野生感覚</v>
      </c>
      <c r="BN241" s="79" t="str">
        <f t="array" ref="BN241">IF($A241="","", INDEX(CS!$B$1:$B$15025,MATCH($A241,CS!$B:$B,0)+COLUMN(H$1),1))</f>
        <v/>
      </c>
      <c r="BO241" s="79" t="str">
        <f t="array" ref="BO241">IF($A241="","", INDEX(CS!$B$1:$B$15025,MATCH($A241,CS!$B:$B,0)+COLUMN(I$1),1))</f>
        <v/>
      </c>
      <c r="BP241" s="79" t="str">
        <f t="array" ref="BP241">IF($A241="","", INDEX(CS!$B$1:$B$15025,MATCH($A241,CS!$B:$B,0)+COLUMN(J$1),1))</f>
        <v/>
      </c>
      <c r="BQ241" s="79"/>
      <c r="BR241" s="79"/>
      <c r="BS241" s="83"/>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row>
    <row r="242" ht="18.75" customHeight="1" outlineLevel="1">
      <c r="A242" s="90" t="s">
        <v>1580</v>
      </c>
      <c r="B242" s="91"/>
      <c r="C242" s="90" t="s">
        <v>2891</v>
      </c>
      <c r="D242" s="92" t="str">
        <f t="shared" si="12"/>
        <v>530/455/75</v>
      </c>
      <c r="E242" s="93">
        <v>1.0</v>
      </c>
      <c r="F242" s="90">
        <v>110.0</v>
      </c>
      <c r="G242" s="79"/>
      <c r="H242" s="79"/>
      <c r="I242" s="90">
        <v>70.0</v>
      </c>
      <c r="J242" s="90">
        <v>120.0</v>
      </c>
      <c r="K242" s="94">
        <v>0.0</v>
      </c>
      <c r="L242" s="90">
        <v>60.0</v>
      </c>
      <c r="M242" s="90">
        <v>35.0</v>
      </c>
      <c r="N242" s="90">
        <v>60.0</v>
      </c>
      <c r="O242" s="90">
        <v>180.0</v>
      </c>
      <c r="P242" s="90">
        <v>0.0</v>
      </c>
      <c r="Q242" s="82"/>
      <c r="R242" s="82"/>
      <c r="S242" s="82"/>
      <c r="T242" s="82"/>
      <c r="U242" s="82"/>
      <c r="V242" s="82"/>
      <c r="W242" s="82"/>
      <c r="X242" s="82"/>
      <c r="Y242" s="82"/>
      <c r="Z242" s="82"/>
      <c r="AA242" s="82"/>
      <c r="AB242" s="79"/>
      <c r="AC242" s="90">
        <v>-35.0</v>
      </c>
      <c r="AD242" s="90">
        <v>20.0</v>
      </c>
      <c r="AE242" s="79"/>
      <c r="AF242" s="90">
        <v>10.0</v>
      </c>
      <c r="AG242" s="90">
        <v>10.0</v>
      </c>
      <c r="AH242" s="79"/>
      <c r="AI242" s="79"/>
      <c r="AJ242" s="90">
        <v>0.0</v>
      </c>
      <c r="AK242" s="90">
        <v>0.0</v>
      </c>
      <c r="AL242" s="90">
        <v>25.0</v>
      </c>
      <c r="AM242" s="90">
        <v>25.0</v>
      </c>
      <c r="AN242" s="90">
        <v>0.0</v>
      </c>
      <c r="AO242" s="90">
        <v>0.0</v>
      </c>
      <c r="AP242" s="90">
        <v>0.0</v>
      </c>
      <c r="AQ242" s="90">
        <v>0.0</v>
      </c>
      <c r="AR242" s="90">
        <v>25.0</v>
      </c>
      <c r="AS242" s="90">
        <v>0.0</v>
      </c>
      <c r="AT242" s="90">
        <v>0.0</v>
      </c>
      <c r="AU242" s="90">
        <v>0.0</v>
      </c>
      <c r="AV242" s="90">
        <v>0.0</v>
      </c>
      <c r="AW242" s="90">
        <v>0.0</v>
      </c>
      <c r="AX242" s="90">
        <v>0.0</v>
      </c>
      <c r="AY242" s="90">
        <v>0.0</v>
      </c>
      <c r="AZ242" s="90">
        <v>0.0</v>
      </c>
      <c r="BA242" s="90"/>
      <c r="BB242" s="90">
        <v>60.0</v>
      </c>
      <c r="BC242" s="90"/>
      <c r="BD242" s="90"/>
      <c r="BE242" s="90"/>
      <c r="BF242" s="90">
        <v>150.0</v>
      </c>
      <c r="BG242" s="79" t="str">
        <f t="array" ref="BG242">IF($A242="","", INDEX(CS!$B$1:$B$15025,MATCH($A242,CS!$B:$B,0)+COLUMN(A$1),1))</f>
        <v>牙</v>
      </c>
      <c r="BH242" s="79" t="str">
        <f t="array" ref="BH242">IF($A242="","", INDEX(CS!$B$1:$B$15025,MATCH($A242,CS!$B:$B,0)+COLUMN(B$1),1))</f>
        <v>甲羅体当たり</v>
      </c>
      <c r="BI242" s="79" t="str">
        <f t="array" ref="BI242">IF($A242="","", INDEX(CS!$B$1:$B$15025,MATCH($A242,CS!$B:$B,0)+COLUMN(C$1),1))</f>
        <v>甲羅</v>
      </c>
      <c r="BJ242" s="79" t="str">
        <f t="array" ref="BJ242">IF($A242="","", INDEX(CS!$B$1:$B$15025,MATCH($A242,CS!$B:$B,0)+COLUMN(D$1),1))</f>
        <v>甲羅防御</v>
      </c>
      <c r="BK242" s="79" t="str">
        <f t="array" ref="BK242">IF($A242="","", INDEX(CS!$B$1:$B$15025,MATCH($A242,CS!$B:$B,0)+COLUMN(E$1),1))</f>
        <v>反応</v>
      </c>
      <c r="BL242" s="79" t="str">
        <f t="array" ref="BL242">IF($A242="","", INDEX(CS!$B$1:$B$15025,MATCH($A242,CS!$B:$B,0)+COLUMN(F$1),1))</f>
        <v/>
      </c>
      <c r="BM242" s="79" t="str">
        <f t="array" ref="BM242">IF($A242="","", INDEX(CS!$B$1:$B$15025,MATCH($A242,CS!$B:$B,0)+COLUMN(G$1),1))</f>
        <v>野生感覚</v>
      </c>
      <c r="BN242" s="79" t="str">
        <f t="array" ref="BN242">IF($A242="","", INDEX(CS!$B$1:$B$15025,MATCH($A242,CS!$B:$B,0)+COLUMN(H$1),1))</f>
        <v/>
      </c>
      <c r="BO242" s="79" t="str">
        <f t="array" ref="BO242">IF($A242="","", INDEX(CS!$B$1:$B$15025,MATCH($A242,CS!$B:$B,0)+COLUMN(I$1),1))</f>
        <v/>
      </c>
      <c r="BP242" s="79" t="str">
        <f t="array" ref="BP242">IF($A242="","", INDEX(CS!$B$1:$B$15025,MATCH($A242,CS!$B:$B,0)+COLUMN(J$1),1))</f>
        <v/>
      </c>
      <c r="BQ242" s="79"/>
      <c r="BR242" s="79"/>
      <c r="BS242" s="83"/>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row>
    <row r="243" ht="18.75" customHeight="1" outlineLevel="1">
      <c r="A243" s="90" t="s">
        <v>1590</v>
      </c>
      <c r="B243" s="91"/>
      <c r="C243" s="90" t="s">
        <v>2891</v>
      </c>
      <c r="D243" s="92" t="str">
        <f t="shared" si="12"/>
        <v>675/450/225</v>
      </c>
      <c r="E243" s="93">
        <v>1.0</v>
      </c>
      <c r="F243" s="90">
        <v>85.0</v>
      </c>
      <c r="G243" s="79"/>
      <c r="H243" s="79"/>
      <c r="I243" s="90">
        <v>75.0</v>
      </c>
      <c r="J243" s="90">
        <v>55.0</v>
      </c>
      <c r="K243" s="94">
        <v>0.0</v>
      </c>
      <c r="L243" s="90">
        <v>40.0</v>
      </c>
      <c r="M243" s="90">
        <v>110.0</v>
      </c>
      <c r="N243" s="90">
        <v>85.0</v>
      </c>
      <c r="O243" s="90">
        <v>200.0</v>
      </c>
      <c r="P243" s="90">
        <v>0.0</v>
      </c>
      <c r="Q243" s="82"/>
      <c r="R243" s="82"/>
      <c r="S243" s="82"/>
      <c r="T243" s="82"/>
      <c r="U243" s="82"/>
      <c r="V243" s="82"/>
      <c r="W243" s="82"/>
      <c r="X243" s="82"/>
      <c r="Y243" s="82"/>
      <c r="Z243" s="82"/>
      <c r="AA243" s="82"/>
      <c r="AB243" s="79"/>
      <c r="AC243" s="90">
        <v>-35.0</v>
      </c>
      <c r="AD243" s="90">
        <v>10.0</v>
      </c>
      <c r="AE243" s="79"/>
      <c r="AF243" s="90">
        <v>10.0</v>
      </c>
      <c r="AG243" s="90">
        <v>10.0</v>
      </c>
      <c r="AH243" s="79"/>
      <c r="AI243" s="79"/>
      <c r="AJ243" s="90">
        <v>0.0</v>
      </c>
      <c r="AK243" s="90">
        <v>0.0</v>
      </c>
      <c r="AL243" s="90">
        <v>50.0</v>
      </c>
      <c r="AM243" s="90">
        <v>75.0</v>
      </c>
      <c r="AN243" s="90">
        <v>0.0</v>
      </c>
      <c r="AO243" s="90">
        <v>0.0</v>
      </c>
      <c r="AP243" s="90">
        <v>0.0</v>
      </c>
      <c r="AQ243" s="90">
        <v>25.0</v>
      </c>
      <c r="AR243" s="90">
        <v>75.0</v>
      </c>
      <c r="AS243" s="90">
        <v>0.0</v>
      </c>
      <c r="AT243" s="90">
        <v>0.0</v>
      </c>
      <c r="AU243" s="90">
        <v>0.0</v>
      </c>
      <c r="AV243" s="90">
        <v>0.0</v>
      </c>
      <c r="AW243" s="90">
        <v>0.0</v>
      </c>
      <c r="AX243" s="90">
        <v>0.0</v>
      </c>
      <c r="AY243" s="90">
        <v>0.0</v>
      </c>
      <c r="AZ243" s="90">
        <v>0.0</v>
      </c>
      <c r="BA243" s="90">
        <v>100.0</v>
      </c>
      <c r="BB243" s="90"/>
      <c r="BC243" s="90"/>
      <c r="BD243" s="90"/>
      <c r="BE243" s="90"/>
      <c r="BF243" s="90">
        <v>20.0</v>
      </c>
      <c r="BG243" s="79" t="str">
        <f t="array" ref="BG243">IF($A243="","", INDEX(CS!$B$1:$B$15025,MATCH($A243,CS!$B:$B,0)+COLUMN(A$1),1))</f>
        <v>角</v>
      </c>
      <c r="BH243" s="79" t="str">
        <f t="array" ref="BH243">IF($A243="","", INDEX(CS!$B$1:$B$15025,MATCH($A243,CS!$B:$B,0)+COLUMN(B$1),1))</f>
        <v>鹿の突進</v>
      </c>
      <c r="BI243" s="79" t="str">
        <f t="array" ref="BI243">IF($A243="","", INDEX(CS!$B$1:$B$15025,MATCH($A243,CS!$B:$B,0)+COLUMN(C$1),1))</f>
        <v>後脚蹴り</v>
      </c>
      <c r="BJ243" s="79" t="str">
        <f t="array" ref="BJ243">IF($A243="","", INDEX(CS!$B$1:$B$15025,MATCH($A243,CS!$B:$B,0)+COLUMN(D$1),1))</f>
        <v>警戒耳</v>
      </c>
      <c r="BK243" s="79" t="str">
        <f t="array" ref="BK243">IF($A243="","", INDEX(CS!$B$1:$B$15025,MATCH($A243,CS!$B:$B,0)+COLUMN(E$1),1))</f>
        <v>反応</v>
      </c>
      <c r="BL243" s="79" t="str">
        <f t="array" ref="BL243">IF($A243="","", INDEX(CS!$B$1:$B$15025,MATCH($A243,CS!$B:$B,0)+COLUMN(F$1),1))</f>
        <v/>
      </c>
      <c r="BM243" s="79" t="str">
        <f t="array" ref="BM243">IF($A243="","", INDEX(CS!$B$1:$B$15025,MATCH($A243,CS!$B:$B,0)+COLUMN(G$1),1))</f>
        <v>野生感覚</v>
      </c>
      <c r="BN243" s="79" t="str">
        <f t="array" ref="BN243">IF($A243="","", INDEX(CS!$B$1:$B$15025,MATCH($A243,CS!$B:$B,0)+COLUMN(H$1),1))</f>
        <v/>
      </c>
      <c r="BO243" s="79" t="str">
        <f t="array" ref="BO243">IF($A243="","", INDEX(CS!$B$1:$B$15025,MATCH($A243,CS!$B:$B,0)+COLUMN(I$1),1))</f>
        <v/>
      </c>
      <c r="BP243" s="79" t="str">
        <f t="array" ref="BP243">IF($A243="","", INDEX(CS!$B$1:$B$15025,MATCH($A243,CS!$B:$B,0)+COLUMN(J$1),1))</f>
        <v/>
      </c>
      <c r="BQ243" s="79"/>
      <c r="BR243" s="79"/>
      <c r="BS243" s="83"/>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row>
    <row r="244" ht="18.75" customHeight="1" outlineLevel="1">
      <c r="A244" s="90"/>
      <c r="B244" s="91"/>
      <c r="C244" s="90"/>
      <c r="D244" s="92"/>
      <c r="E244" s="93"/>
      <c r="F244" s="90"/>
      <c r="G244" s="79"/>
      <c r="H244" s="79"/>
      <c r="I244" s="90"/>
      <c r="J244" s="90"/>
      <c r="K244" s="94"/>
      <c r="L244" s="90"/>
      <c r="M244" s="90"/>
      <c r="N244" s="90"/>
      <c r="O244" s="90"/>
      <c r="P244" s="90" t="s">
        <v>29</v>
      </c>
      <c r="Q244" s="82"/>
      <c r="R244" s="82"/>
      <c r="S244" s="82"/>
      <c r="T244" s="82"/>
      <c r="U244" s="82"/>
      <c r="V244" s="82"/>
      <c r="W244" s="82"/>
      <c r="X244" s="82"/>
      <c r="Y244" s="82"/>
      <c r="Z244" s="82"/>
      <c r="AA244" s="82"/>
      <c r="AB244" s="79"/>
      <c r="AC244" s="90"/>
      <c r="AD244" s="90"/>
      <c r="AE244" s="79"/>
      <c r="AF244" s="90"/>
      <c r="AG244" s="90"/>
      <c r="AH244" s="79"/>
      <c r="AI244" s="79"/>
      <c r="AJ244" s="79"/>
      <c r="AK244" s="90"/>
      <c r="AL244" s="79"/>
      <c r="AM244" s="90"/>
      <c r="AN244" s="79"/>
      <c r="AO244" s="90"/>
      <c r="AP244" s="90"/>
      <c r="AQ244" s="90"/>
      <c r="AR244" s="90"/>
      <c r="AS244" s="79"/>
      <c r="AT244" s="79"/>
      <c r="AU244" s="79"/>
      <c r="AV244" s="79"/>
      <c r="AW244" s="79"/>
      <c r="AX244" s="79"/>
      <c r="AY244" s="79"/>
      <c r="AZ244" s="79"/>
      <c r="BA244" s="90"/>
      <c r="BB244" s="90"/>
      <c r="BC244" s="90"/>
      <c r="BD244" s="90"/>
      <c r="BE244" s="90"/>
      <c r="BF244" s="90"/>
      <c r="BG244" s="79" t="str">
        <f t="array" ref="BG244">IF($A244="","", INDEX(CS!$B$1:$B$15025,MATCH($A244,CS!$B:$B,0)+COLUMN(A$1),1))</f>
        <v/>
      </c>
      <c r="BH244" s="79" t="str">
        <f t="array" ref="BH244">IF($A244="","", INDEX(CS!$B$1:$B$15025,MATCH($A244,CS!$B:$B,0)+COLUMN(B$1),1))</f>
        <v/>
      </c>
      <c r="BI244" s="79" t="str">
        <f t="array" ref="BI244">IF($A244="","", INDEX(CS!$B$1:$B$15025,MATCH($A244,CS!$B:$B,0)+COLUMN(C$1),1))</f>
        <v/>
      </c>
      <c r="BJ244" s="79" t="str">
        <f t="array" ref="BJ244">IF($A244="","", INDEX(CS!$B$1:$B$15025,MATCH($A244,CS!$B:$B,0)+COLUMN(D$1),1))</f>
        <v/>
      </c>
      <c r="BK244" s="79" t="str">
        <f t="array" ref="BK244">IF($A244="","", INDEX(CS!$B$1:$B$15025,MATCH($A244,CS!$B:$B,0)+COLUMN(E$1),1))</f>
        <v/>
      </c>
      <c r="BL244" s="79" t="str">
        <f t="array" ref="BL244">IF($A244="","", INDEX(CS!$B$1:$B$15025,MATCH($A244,CS!$B:$B,0)+COLUMN(F$1),1))</f>
        <v/>
      </c>
      <c r="BM244" s="79" t="str">
        <f t="array" ref="BM244">IF($A244="","", INDEX(CS!$B$1:$B$15025,MATCH($A244,CS!$B:$B,0)+COLUMN(G$1),1))</f>
        <v/>
      </c>
      <c r="BN244" s="79" t="str">
        <f t="array" ref="BN244">IF($A244="","", INDEX(CS!$B$1:$B$15025,MATCH($A244,CS!$B:$B,0)+COLUMN(H$1),1))</f>
        <v/>
      </c>
      <c r="BO244" s="79" t="str">
        <f t="array" ref="BO244">IF($A244="","", INDEX(CS!$B$1:$B$15025,MATCH($A244,CS!$B:$B,0)+COLUMN(I$1),1))</f>
        <v/>
      </c>
      <c r="BP244" s="79" t="str">
        <f t="array" ref="BP244">IF($A244="","", INDEX(CS!$B$1:$B$15025,MATCH($A244,CS!$B:$B,0)+COLUMN(J$1),1))</f>
        <v/>
      </c>
      <c r="BQ244" s="79"/>
      <c r="BR244" s="79"/>
      <c r="BS244" s="83"/>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row>
    <row r="245" ht="18.75" customHeight="1">
      <c r="B245" s="85" t="s">
        <v>2892</v>
      </c>
      <c r="D245" s="72"/>
      <c r="E245" s="39">
        <v>1.0</v>
      </c>
      <c r="K245" s="73"/>
      <c r="P245" s="37" t="s">
        <v>29</v>
      </c>
      <c r="Q245" s="64"/>
      <c r="R245" s="64"/>
      <c r="S245" s="64"/>
      <c r="T245" s="64"/>
      <c r="U245" s="64"/>
      <c r="V245" s="64"/>
      <c r="W245" s="64"/>
      <c r="X245" s="64"/>
      <c r="Y245" s="64"/>
      <c r="Z245" s="64"/>
      <c r="AA245" s="64"/>
      <c r="BG245" s="79" t="str">
        <f t="array" ref="BG245">IF($A245="","", INDEX(CS!$B$1:$B$15025,MATCH($A245,CS!$B:$B,0)+COLUMN(A$1),1))</f>
        <v/>
      </c>
      <c r="BH245" s="79" t="str">
        <f t="array" ref="BH245">IF($A245="","", INDEX(CS!$B$1:$B$15025,MATCH($A245,CS!$B:$B,0)+COLUMN(B$1),1))</f>
        <v/>
      </c>
      <c r="BI245" s="79" t="str">
        <f t="array" ref="BI245">IF($A245="","", INDEX(CS!$B$1:$B$15025,MATCH($A245,CS!$B:$B,0)+COLUMN(C$1),1))</f>
        <v/>
      </c>
      <c r="BJ245" s="79" t="str">
        <f t="array" ref="BJ245">IF($A245="","", INDEX(CS!$B$1:$B$15025,MATCH($A245,CS!$B:$B,0)+COLUMN(D$1),1))</f>
        <v/>
      </c>
      <c r="BK245" s="79" t="str">
        <f t="array" ref="BK245">IF($A245="","", INDEX(CS!$B$1:$B$15025,MATCH($A245,CS!$B:$B,0)+COLUMN(E$1),1))</f>
        <v/>
      </c>
      <c r="BL245" s="79" t="str">
        <f t="array" ref="BL245">IF($A245="","", INDEX(CS!$B$1:$B$15025,MATCH($A245,CS!$B:$B,0)+COLUMN(F$1),1))</f>
        <v/>
      </c>
      <c r="BM245" s="79" t="str">
        <f t="array" ref="BM245">IF($A245="","", INDEX(CS!$B$1:$B$15025,MATCH($A245,CS!$B:$B,0)+COLUMN(G$1),1))</f>
        <v/>
      </c>
      <c r="BN245" s="79" t="str">
        <f t="array" ref="BN245">IF($A245="","", INDEX(CS!$B$1:$B$15025,MATCH($A245,CS!$B:$B,0)+COLUMN(H$1),1))</f>
        <v/>
      </c>
      <c r="BO245" s="79" t="str">
        <f t="array" ref="BO245">IF($A245="","", INDEX(CS!$B$1:$B$15025,MATCH($A245,CS!$B:$B,0)+COLUMN(I$1),1))</f>
        <v/>
      </c>
      <c r="BP245" s="79" t="str">
        <f t="array" ref="BP245">IF($A245="","", INDEX(CS!$B$1:$B$15025,MATCH($A245,CS!$B:$B,0)+COLUMN(J$1),1))</f>
        <v/>
      </c>
      <c r="BS245" s="74"/>
      <c r="BW245" s="57"/>
      <c r="BX245" s="57"/>
      <c r="BY245" s="57"/>
      <c r="BZ245" s="57"/>
      <c r="CA245" s="57"/>
    </row>
    <row r="246" ht="18.75" customHeight="1" outlineLevel="1">
      <c r="A246" s="39" t="s">
        <v>1598</v>
      </c>
      <c r="B246" s="71"/>
      <c r="C246" s="39" t="s">
        <v>2893</v>
      </c>
      <c r="D246" s="72" t="str">
        <f t="shared" ref="D246:D253" si="13">SUM(AJ246:AZ246,F246:N246)&amp;"/"&amp;SUM(F246:N246)&amp;"/"&amp;SUM(AJ246:AZ246)</f>
        <v>635/460/175</v>
      </c>
      <c r="E246" s="39">
        <v>1.0</v>
      </c>
      <c r="F246" s="39">
        <v>105.0</v>
      </c>
      <c r="I246" s="39">
        <v>85.0</v>
      </c>
      <c r="J246" s="39">
        <v>100.0</v>
      </c>
      <c r="K246" s="87">
        <v>0.0</v>
      </c>
      <c r="L246" s="39">
        <v>45.0</v>
      </c>
      <c r="M246" s="39">
        <v>55.0</v>
      </c>
      <c r="N246" s="39">
        <v>70.0</v>
      </c>
      <c r="O246" s="39">
        <v>160.0</v>
      </c>
      <c r="P246" s="37">
        <v>0.0</v>
      </c>
      <c r="Q246" s="64"/>
      <c r="R246" s="64"/>
      <c r="S246" s="64"/>
      <c r="T246" s="64"/>
      <c r="U246" s="64"/>
      <c r="V246" s="64"/>
      <c r="W246" s="64"/>
      <c r="X246" s="64"/>
      <c r="Y246" s="64"/>
      <c r="Z246" s="64"/>
      <c r="AA246" s="64"/>
      <c r="AJ246" s="39">
        <v>0.0</v>
      </c>
      <c r="AK246" s="39">
        <v>50.0</v>
      </c>
      <c r="AL246" s="39">
        <v>25.0</v>
      </c>
      <c r="AM246" s="39">
        <v>25.0</v>
      </c>
      <c r="AN246" s="39">
        <v>0.0</v>
      </c>
      <c r="AO246" s="39">
        <v>0.0</v>
      </c>
      <c r="AP246" s="39">
        <v>0.0</v>
      </c>
      <c r="AQ246" s="39">
        <v>25.0</v>
      </c>
      <c r="AR246" s="39">
        <v>50.0</v>
      </c>
      <c r="AS246" s="39">
        <v>0.0</v>
      </c>
      <c r="AT246" s="39">
        <v>0.0</v>
      </c>
      <c r="AU246" s="39">
        <v>0.0</v>
      </c>
      <c r="AV246" s="39">
        <v>0.0</v>
      </c>
      <c r="AW246" s="39">
        <v>0.0</v>
      </c>
      <c r="AX246" s="39">
        <v>0.0</v>
      </c>
      <c r="AY246" s="39">
        <v>0.0</v>
      </c>
      <c r="AZ246" s="39">
        <v>0.0</v>
      </c>
      <c r="BA246" s="39">
        <v>30.0</v>
      </c>
      <c r="BB246" s="39">
        <v>40.0</v>
      </c>
      <c r="BC246" s="39">
        <v>60.0</v>
      </c>
      <c r="BD246" s="39">
        <v>0.0</v>
      </c>
      <c r="BE246" s="39">
        <v>40.0</v>
      </c>
      <c r="BF246" s="39">
        <v>100.0</v>
      </c>
      <c r="BG246" s="79" t="str">
        <f t="array" ref="BG246">IF($A246="","", INDEX(CS!$B$1:$B$15025,MATCH($A246,CS!$B:$B,0)+COLUMN(A$1),1))</f>
        <v>甲虫角撃</v>
      </c>
      <c r="BH246" s="79" t="str">
        <f t="array" ref="BH246">IF($A246="","", INDEX(CS!$B$1:$B$15025,MATCH($A246,CS!$B:$B,0)+COLUMN(B$1),1))</f>
        <v>甲虫の複眼</v>
      </c>
      <c r="BI246" s="79" t="str">
        <f t="array" ref="BI246">IF($A246="","", INDEX(CS!$B$1:$B$15025,MATCH($A246,CS!$B:$B,0)+COLUMN(C$1),1))</f>
        <v>硬質外殻</v>
      </c>
      <c r="BJ246" s="79" t="str">
        <f t="array" ref="BJ246">IF($A246="","", INDEX(CS!$B$1:$B$15025,MATCH($A246,CS!$B:$B,0)+COLUMN(D$1),1))</f>
        <v>突進甲角</v>
      </c>
      <c r="BK246" s="79" t="str">
        <f t="array" ref="BK246">IF($A246="","", INDEX(CS!$B$1:$B$15025,MATCH($A246,CS!$B:$B,0)+COLUMN(E$1),1))</f>
        <v>虫の体当たり</v>
      </c>
      <c r="BL246" s="79" t="str">
        <f t="array" ref="BL246">IF($A246="","", INDEX(CS!$B$1:$B$15025,MATCH($A246,CS!$B:$B,0)+COLUMN(F$1),1))</f>
        <v/>
      </c>
      <c r="BM246" s="79" t="str">
        <f t="array" ref="BM246">IF($A246="","", INDEX(CS!$B$1:$B$15025,MATCH($A246,CS!$B:$B,0)+COLUMN(G$1),1))</f>
        <v>虫の反応</v>
      </c>
      <c r="BN246" s="79" t="str">
        <f t="array" ref="BN246">IF($A246="","", INDEX(CS!$B$1:$B$15025,MATCH($A246,CS!$B:$B,0)+COLUMN(H$1),1))</f>
        <v/>
      </c>
      <c r="BO246" s="79" t="str">
        <f t="array" ref="BO246">IF($A246="","", INDEX(CS!$B$1:$B$15025,MATCH($A246,CS!$B:$B,0)+COLUMN(I$1),1))</f>
        <v/>
      </c>
      <c r="BP246" s="79" t="str">
        <f t="array" ref="BP246">IF($A246="","", INDEX(CS!$B$1:$B$15025,MATCH($A246,CS!$B:$B,0)+COLUMN(J$1),1))</f>
        <v/>
      </c>
      <c r="BS246" s="74"/>
      <c r="BW246" s="57"/>
      <c r="BX246" s="75"/>
      <c r="BY246" s="75"/>
      <c r="BZ246" s="75"/>
      <c r="CA246" s="75"/>
      <c r="CD246" s="75"/>
      <c r="CE246" s="75"/>
    </row>
    <row r="247" ht="18.75" customHeight="1" outlineLevel="1">
      <c r="A247" s="39" t="s">
        <v>1609</v>
      </c>
      <c r="B247" s="71"/>
      <c r="C247" s="39" t="s">
        <v>2893</v>
      </c>
      <c r="D247" s="72" t="str">
        <f t="shared" si="13"/>
        <v>685/460/225</v>
      </c>
      <c r="E247" s="39">
        <v>1.0</v>
      </c>
      <c r="F247" s="39">
        <v>95.0</v>
      </c>
      <c r="I247" s="39">
        <v>100.0</v>
      </c>
      <c r="J247" s="39">
        <v>85.0</v>
      </c>
      <c r="K247" s="87">
        <v>0.0</v>
      </c>
      <c r="L247" s="39">
        <v>40.0</v>
      </c>
      <c r="M247" s="39">
        <v>65.0</v>
      </c>
      <c r="N247" s="39">
        <v>75.0</v>
      </c>
      <c r="O247" s="39">
        <v>170.0</v>
      </c>
      <c r="P247" s="37">
        <v>0.0</v>
      </c>
      <c r="Q247" s="64"/>
      <c r="R247" s="64"/>
      <c r="S247" s="64"/>
      <c r="T247" s="64"/>
      <c r="U247" s="64"/>
      <c r="V247" s="64"/>
      <c r="W247" s="64"/>
      <c r="X247" s="64"/>
      <c r="Y247" s="64"/>
      <c r="Z247" s="64"/>
      <c r="AA247" s="64"/>
      <c r="AJ247" s="39">
        <v>0.0</v>
      </c>
      <c r="AK247" s="39">
        <v>75.0</v>
      </c>
      <c r="AL247" s="39">
        <v>25.0</v>
      </c>
      <c r="AM247" s="39">
        <v>50.0</v>
      </c>
      <c r="AN247" s="39">
        <v>0.0</v>
      </c>
      <c r="AO247" s="39">
        <v>0.0</v>
      </c>
      <c r="AP247" s="39">
        <v>0.0</v>
      </c>
      <c r="AQ247" s="39">
        <v>25.0</v>
      </c>
      <c r="AR247" s="39">
        <v>50.0</v>
      </c>
      <c r="AS247" s="39">
        <v>0.0</v>
      </c>
      <c r="AT247" s="39">
        <v>0.0</v>
      </c>
      <c r="AU247" s="39">
        <v>0.0</v>
      </c>
      <c r="AV247" s="39">
        <v>0.0</v>
      </c>
      <c r="AW247" s="39">
        <v>0.0</v>
      </c>
      <c r="AX247" s="39">
        <v>0.0</v>
      </c>
      <c r="AY247" s="39">
        <v>0.0</v>
      </c>
      <c r="AZ247" s="39">
        <v>0.0</v>
      </c>
      <c r="BA247" s="39">
        <v>0.0</v>
      </c>
      <c r="BB247" s="39">
        <v>140.0</v>
      </c>
      <c r="BC247" s="39">
        <v>70.0</v>
      </c>
      <c r="BD247" s="39">
        <v>0.0</v>
      </c>
      <c r="BE247" s="39">
        <v>40.0</v>
      </c>
      <c r="BF247" s="39">
        <v>80.0</v>
      </c>
      <c r="BG247" s="79" t="str">
        <f t="array" ref="BG247">IF($A247="","", INDEX(CS!$B$1:$B$15025,MATCH($A247,CS!$B:$B,0)+COLUMN(A$1),1))</f>
        <v>鍬形大顎</v>
      </c>
      <c r="BH247" s="79" t="str">
        <f t="array" ref="BH247">IF($A247="","", INDEX(CS!$B$1:$B$15025,MATCH($A247,CS!$B:$B,0)+COLUMN(B$1),1))</f>
        <v>挟み込み</v>
      </c>
      <c r="BI247" s="79" t="str">
        <f t="array" ref="BI247">IF($A247="","", INDEX(CS!$B$1:$B$15025,MATCH($A247,CS!$B:$B,0)+COLUMN(C$1),1))</f>
        <v>鍬形の複眼</v>
      </c>
      <c r="BJ247" s="79" t="str">
        <f t="array" ref="BJ247">IF($A247="","", INDEX(CS!$B$1:$B$15025,MATCH($A247,CS!$B:$B,0)+COLUMN(D$1),1))</f>
        <v>大顎強化</v>
      </c>
      <c r="BK247" s="79" t="str">
        <f t="array" ref="BK247">IF($A247="","", INDEX(CS!$B$1:$B$15025,MATCH($A247,CS!$B:$B,0)+COLUMN(E$1),1))</f>
        <v>虫の体当たり</v>
      </c>
      <c r="BL247" s="79" t="str">
        <f t="array" ref="BL247">IF($A247="","", INDEX(CS!$B$1:$B$15025,MATCH($A247,CS!$B:$B,0)+COLUMN(F$1),1))</f>
        <v/>
      </c>
      <c r="BM247" s="79" t="str">
        <f t="array" ref="BM247">IF($A247="","", INDEX(CS!$B$1:$B$15025,MATCH($A247,CS!$B:$B,0)+COLUMN(G$1),1))</f>
        <v>虫の反応</v>
      </c>
      <c r="BN247" s="79" t="str">
        <f t="array" ref="BN247">IF($A247="","", INDEX(CS!$B$1:$B$15025,MATCH($A247,CS!$B:$B,0)+COLUMN(H$1),1))</f>
        <v/>
      </c>
      <c r="BO247" s="79" t="str">
        <f t="array" ref="BO247">IF($A247="","", INDEX(CS!$B$1:$B$15025,MATCH($A247,CS!$B:$B,0)+COLUMN(I$1),1))</f>
        <v/>
      </c>
      <c r="BP247" s="79" t="str">
        <f t="array" ref="BP247">IF($A247="","", INDEX(CS!$B$1:$B$15025,MATCH($A247,CS!$B:$B,0)+COLUMN(J$1),1))</f>
        <v/>
      </c>
      <c r="BS247" s="74"/>
      <c r="BW247" s="57"/>
      <c r="BX247" s="75"/>
      <c r="BY247" s="75"/>
      <c r="BZ247" s="75"/>
      <c r="CA247" s="75"/>
      <c r="CD247" s="75"/>
      <c r="CE247" s="75"/>
    </row>
    <row r="248" ht="18.75" customHeight="1" outlineLevel="1">
      <c r="A248" s="39" t="s">
        <v>1617</v>
      </c>
      <c r="B248" s="71"/>
      <c r="C248" s="39" t="s">
        <v>2893</v>
      </c>
      <c r="D248" s="72" t="str">
        <f t="shared" si="13"/>
        <v>740/465/275</v>
      </c>
      <c r="E248" s="39">
        <v>1.0</v>
      </c>
      <c r="F248" s="39">
        <v>75.0</v>
      </c>
      <c r="I248" s="39">
        <v>95.0</v>
      </c>
      <c r="J248" s="39">
        <v>55.0</v>
      </c>
      <c r="K248" s="87">
        <v>0.0</v>
      </c>
      <c r="L248" s="39">
        <v>45.0</v>
      </c>
      <c r="M248" s="39">
        <v>100.0</v>
      </c>
      <c r="N248" s="39">
        <v>95.0</v>
      </c>
      <c r="O248" s="39">
        <v>150.0</v>
      </c>
      <c r="P248" s="37">
        <v>0.0</v>
      </c>
      <c r="Q248" s="64"/>
      <c r="R248" s="64"/>
      <c r="S248" s="64"/>
      <c r="T248" s="64"/>
      <c r="U248" s="64"/>
      <c r="V248" s="64"/>
      <c r="W248" s="64"/>
      <c r="X248" s="64"/>
      <c r="Y248" s="64"/>
      <c r="Z248" s="64"/>
      <c r="AA248" s="64"/>
      <c r="AJ248" s="39">
        <v>0.0</v>
      </c>
      <c r="AK248" s="39">
        <v>25.0</v>
      </c>
      <c r="AL248" s="39">
        <v>50.0</v>
      </c>
      <c r="AM248" s="39">
        <v>75.0</v>
      </c>
      <c r="AN248" s="39">
        <v>25.0</v>
      </c>
      <c r="AO248" s="39">
        <v>0.0</v>
      </c>
      <c r="AP248" s="39">
        <v>0.0</v>
      </c>
      <c r="AQ248" s="39">
        <v>50.0</v>
      </c>
      <c r="AR248" s="39">
        <v>50.0</v>
      </c>
      <c r="AS248" s="39">
        <v>0.0</v>
      </c>
      <c r="AT248" s="39">
        <v>0.0</v>
      </c>
      <c r="AU248" s="39">
        <v>0.0</v>
      </c>
      <c r="AV248" s="39">
        <v>0.0</v>
      </c>
      <c r="AW248" s="39">
        <v>0.0</v>
      </c>
      <c r="AX248" s="39">
        <v>0.0</v>
      </c>
      <c r="AY248" s="39">
        <v>0.0</v>
      </c>
      <c r="AZ248" s="39">
        <v>0.0</v>
      </c>
      <c r="BA248" s="39">
        <v>0.0</v>
      </c>
      <c r="BB248" s="39">
        <v>20.0</v>
      </c>
      <c r="BC248" s="39">
        <v>140.0</v>
      </c>
      <c r="BD248" s="39">
        <v>0.0</v>
      </c>
      <c r="BE248" s="39">
        <v>40.0</v>
      </c>
      <c r="BF248" s="39">
        <v>20.0</v>
      </c>
      <c r="BG248" s="79" t="str">
        <f t="array" ref="BG248">IF($A248="","", INDEX(CS!$B$1:$B$15025,MATCH($A248,CS!$B:$B,0)+COLUMN(A$1),1))</f>
        <v>鎌爪</v>
      </c>
      <c r="BH248" s="79" t="str">
        <f t="array" ref="BH248">IF($A248="","", INDEX(CS!$B$1:$B$15025,MATCH($A248,CS!$B:$B,0)+COLUMN(B$1),1))</f>
        <v>連続鎌</v>
      </c>
      <c r="BI248" s="79" t="str">
        <f t="array" ref="BI248">IF($A248="","", INDEX(CS!$B$1:$B$15025,MATCH($A248,CS!$B:$B,0)+COLUMN(C$1),1))</f>
        <v>蟷螂の複眼</v>
      </c>
      <c r="BJ248" s="79" t="str">
        <f t="array" ref="BJ248">IF($A248="","", INDEX(CS!$B$1:$B$15025,MATCH($A248,CS!$B:$B,0)+COLUMN(D$1),1))</f>
        <v>待ち伏せ</v>
      </c>
      <c r="BK248" s="79" t="str">
        <f t="array" ref="BK248">IF($A248="","", INDEX(CS!$B$1:$B$15025,MATCH($A248,CS!$B:$B,0)+COLUMN(E$1),1))</f>
        <v>虫の体当たり</v>
      </c>
      <c r="BL248" s="79" t="str">
        <f t="array" ref="BL248">IF($A248="","", INDEX(CS!$B$1:$B$15025,MATCH($A248,CS!$B:$B,0)+COLUMN(F$1),1))</f>
        <v/>
      </c>
      <c r="BM248" s="79" t="str">
        <f t="array" ref="BM248">IF($A248="","", INDEX(CS!$B$1:$B$15025,MATCH($A248,CS!$B:$B,0)+COLUMN(G$1),1))</f>
        <v>虫の反応</v>
      </c>
      <c r="BN248" s="79" t="str">
        <f t="array" ref="BN248">IF($A248="","", INDEX(CS!$B$1:$B$15025,MATCH($A248,CS!$B:$B,0)+COLUMN(H$1),1))</f>
        <v/>
      </c>
      <c r="BO248" s="79" t="str">
        <f t="array" ref="BO248">IF($A248="","", INDEX(CS!$B$1:$B$15025,MATCH($A248,CS!$B:$B,0)+COLUMN(I$1),1))</f>
        <v/>
      </c>
      <c r="BP248" s="79" t="str">
        <f t="array" ref="BP248">IF($A248="","", INDEX(CS!$B$1:$B$15025,MATCH($A248,CS!$B:$B,0)+COLUMN(J$1),1))</f>
        <v/>
      </c>
      <c r="BS248" s="74"/>
      <c r="BW248" s="57"/>
      <c r="BX248" s="75"/>
      <c r="BY248" s="75"/>
      <c r="BZ248" s="75"/>
      <c r="CA248" s="75"/>
      <c r="CD248" s="75"/>
      <c r="CE248" s="75"/>
    </row>
    <row r="249" ht="18.75" customHeight="1" outlineLevel="1">
      <c r="A249" s="39" t="s">
        <v>1625</v>
      </c>
      <c r="B249" s="71"/>
      <c r="C249" s="39" t="s">
        <v>2893</v>
      </c>
      <c r="D249" s="72" t="str">
        <f t="shared" si="13"/>
        <v>630/430/200</v>
      </c>
      <c r="E249" s="39">
        <v>1.0</v>
      </c>
      <c r="F249" s="39">
        <v>60.0</v>
      </c>
      <c r="I249" s="39">
        <v>75.0</v>
      </c>
      <c r="J249" s="39">
        <v>45.0</v>
      </c>
      <c r="K249" s="87">
        <v>0.0</v>
      </c>
      <c r="L249" s="39">
        <v>40.0</v>
      </c>
      <c r="M249" s="39">
        <v>120.0</v>
      </c>
      <c r="N249" s="39">
        <v>90.0</v>
      </c>
      <c r="O249" s="39">
        <v>90.0</v>
      </c>
      <c r="P249" s="37">
        <v>0.0</v>
      </c>
      <c r="Q249" s="64"/>
      <c r="R249" s="64"/>
      <c r="S249" s="64"/>
      <c r="T249" s="64"/>
      <c r="U249" s="64"/>
      <c r="V249" s="64"/>
      <c r="W249" s="64"/>
      <c r="X249" s="64"/>
      <c r="Y249" s="64"/>
      <c r="Z249" s="64"/>
      <c r="AA249" s="64"/>
      <c r="AJ249" s="39">
        <v>0.0</v>
      </c>
      <c r="AK249" s="39">
        <v>0.0</v>
      </c>
      <c r="AL249" s="39">
        <v>25.0</v>
      </c>
      <c r="AM249" s="39">
        <v>75.0</v>
      </c>
      <c r="AN249" s="39">
        <v>0.0</v>
      </c>
      <c r="AO249" s="39">
        <v>0.0</v>
      </c>
      <c r="AP249" s="39">
        <v>0.0</v>
      </c>
      <c r="AQ249" s="39">
        <v>25.0</v>
      </c>
      <c r="AR249" s="39">
        <v>75.0</v>
      </c>
      <c r="AS249" s="39">
        <v>0.0</v>
      </c>
      <c r="AT249" s="39">
        <v>0.0</v>
      </c>
      <c r="AU249" s="39">
        <v>0.0</v>
      </c>
      <c r="AV249" s="39">
        <v>0.0</v>
      </c>
      <c r="AW249" s="39">
        <v>0.0</v>
      </c>
      <c r="AX249" s="39">
        <v>0.0</v>
      </c>
      <c r="AY249" s="39">
        <v>0.0</v>
      </c>
      <c r="AZ249" s="39">
        <v>0.0</v>
      </c>
      <c r="BA249" s="39">
        <v>0.0</v>
      </c>
      <c r="BB249" s="39">
        <v>30.0</v>
      </c>
      <c r="BC249" s="39">
        <v>30.0</v>
      </c>
      <c r="BD249" s="39">
        <v>120.0</v>
      </c>
      <c r="BE249" s="39">
        <v>100.0</v>
      </c>
      <c r="BF249" s="39">
        <v>20.0</v>
      </c>
      <c r="BG249" s="79" t="str">
        <f t="array" ref="BG249">IF($A249="","", INDEX(CS!$B$1:$B$15025,MATCH($A249,CS!$B:$B,0)+COLUMN(A$1),1))</f>
        <v>蜂の毒針</v>
      </c>
      <c r="BH249" s="79" t="str">
        <f t="array" ref="BH249">IF($A249="","", INDEX(CS!$B$1:$B$15025,MATCH($A249,CS!$B:$B,0)+COLUMN(B$1),1))</f>
        <v>蜂の複眼</v>
      </c>
      <c r="BI249" s="79" t="str">
        <f t="array" ref="BI249">IF($A249="","", INDEX(CS!$B$1:$B$15025,MATCH($A249,CS!$B:$B,0)+COLUMN(C$1),1))</f>
        <v>翅音加速</v>
      </c>
      <c r="BJ249" s="79" t="str">
        <f t="array" ref="BJ249">IF($A249="","", INDEX(CS!$B$1:$B$15025,MATCH($A249,CS!$B:$B,0)+COLUMN(D$1),1))</f>
        <v>急降下刺突</v>
      </c>
      <c r="BK249" s="79" t="str">
        <f t="array" ref="BK249">IF($A249="","", INDEX(CS!$B$1:$B$15025,MATCH($A249,CS!$B:$B,0)+COLUMN(E$1),1))</f>
        <v>虫の体当たり</v>
      </c>
      <c r="BL249" s="79" t="str">
        <f t="array" ref="BL249">IF($A249="","", INDEX(CS!$B$1:$B$15025,MATCH($A249,CS!$B:$B,0)+COLUMN(F$1),1))</f>
        <v/>
      </c>
      <c r="BM249" s="79" t="str">
        <f t="array" ref="BM249">IF($A249="","", INDEX(CS!$B$1:$B$15025,MATCH($A249,CS!$B:$B,0)+COLUMN(G$1),1))</f>
        <v>虫の反応</v>
      </c>
      <c r="BN249" s="79" t="str">
        <f t="array" ref="BN249">IF($A249="","", INDEX(CS!$B$1:$B$15025,MATCH($A249,CS!$B:$B,0)+COLUMN(H$1),1))</f>
        <v/>
      </c>
      <c r="BO249" s="79" t="str">
        <f t="array" ref="BO249">IF($A249="","", INDEX(CS!$B$1:$B$15025,MATCH($A249,CS!$B:$B,0)+COLUMN(I$1),1))</f>
        <v/>
      </c>
      <c r="BP249" s="79" t="str">
        <f t="array" ref="BP249">IF($A249="","", INDEX(CS!$B$1:$B$15025,MATCH($A249,CS!$B:$B,0)+COLUMN(J$1),1))</f>
        <v/>
      </c>
      <c r="BS249" s="74"/>
      <c r="BW249" s="57"/>
      <c r="BX249" s="75"/>
      <c r="BY249" s="75"/>
      <c r="BZ249" s="75"/>
      <c r="CA249" s="75"/>
      <c r="CD249" s="75"/>
      <c r="CE249" s="75"/>
    </row>
    <row r="250" ht="18.75" customHeight="1" outlineLevel="1">
      <c r="A250" s="39" t="s">
        <v>1633</v>
      </c>
      <c r="B250" s="71"/>
      <c r="C250" s="39" t="s">
        <v>2893</v>
      </c>
      <c r="D250" s="72" t="str">
        <f t="shared" si="13"/>
        <v>655/455/200</v>
      </c>
      <c r="E250" s="39">
        <v>1.0</v>
      </c>
      <c r="F250" s="39">
        <v>85.0</v>
      </c>
      <c r="I250" s="39">
        <v>80.0</v>
      </c>
      <c r="J250" s="39">
        <v>85.0</v>
      </c>
      <c r="K250" s="87">
        <v>0.0</v>
      </c>
      <c r="L250" s="39">
        <v>50.0</v>
      </c>
      <c r="M250" s="39">
        <v>75.0</v>
      </c>
      <c r="N250" s="39">
        <v>80.0</v>
      </c>
      <c r="O250" s="39">
        <v>100.0</v>
      </c>
      <c r="P250" s="37">
        <v>0.0</v>
      </c>
      <c r="Q250" s="64"/>
      <c r="R250" s="64"/>
      <c r="S250" s="64"/>
      <c r="T250" s="64"/>
      <c r="U250" s="64"/>
      <c r="V250" s="64"/>
      <c r="W250" s="64"/>
      <c r="X250" s="64"/>
      <c r="Y250" s="64"/>
      <c r="Z250" s="64"/>
      <c r="AA250" s="64"/>
      <c r="AJ250" s="39">
        <v>50.0</v>
      </c>
      <c r="AK250" s="39">
        <v>0.0</v>
      </c>
      <c r="AL250" s="39">
        <v>25.0</v>
      </c>
      <c r="AM250" s="39">
        <v>25.0</v>
      </c>
      <c r="AN250" s="39">
        <v>50.0</v>
      </c>
      <c r="AO250" s="39">
        <v>0.0</v>
      </c>
      <c r="AP250" s="39">
        <v>0.0</v>
      </c>
      <c r="AQ250" s="39">
        <v>0.0</v>
      </c>
      <c r="AR250" s="39">
        <v>50.0</v>
      </c>
      <c r="AS250" s="39">
        <v>0.0</v>
      </c>
      <c r="AT250" s="39">
        <v>0.0</v>
      </c>
      <c r="AU250" s="39">
        <v>0.0</v>
      </c>
      <c r="AV250" s="39">
        <v>0.0</v>
      </c>
      <c r="AW250" s="39">
        <v>0.0</v>
      </c>
      <c r="AX250" s="39">
        <v>0.0</v>
      </c>
      <c r="AY250" s="39">
        <v>0.0</v>
      </c>
      <c r="AZ250" s="39">
        <v>0.0</v>
      </c>
      <c r="BA250" s="39">
        <v>0.0</v>
      </c>
      <c r="BB250" s="39">
        <v>100.0</v>
      </c>
      <c r="BC250" s="39">
        <v>50.0</v>
      </c>
      <c r="BD250" s="39">
        <v>0.0</v>
      </c>
      <c r="BE250" s="39">
        <v>0.0</v>
      </c>
      <c r="BF250" s="39">
        <v>40.0</v>
      </c>
      <c r="BG250" s="79" t="str">
        <f t="array" ref="BG250">IF($A250="","", INDEX(CS!$B$1:$B$15025,MATCH($A250,CS!$B:$B,0)+COLUMN(A$1),1))</f>
        <v>蟻の大顎</v>
      </c>
      <c r="BH250" s="79" t="str">
        <f t="array" ref="BH250">IF($A250="","", INDEX(CS!$B$1:$B$15025,MATCH($A250,CS!$B:$B,0)+COLUMN(B$1),1))</f>
        <v>群体連携</v>
      </c>
      <c r="BI250" s="79" t="str">
        <f t="array" ref="BI250">IF($A250="","", INDEX(CS!$B$1:$B$15025,MATCH($A250,CS!$B:$B,0)+COLUMN(C$1),1))</f>
        <v>蟻の外殻</v>
      </c>
      <c r="BJ250" s="79" t="str">
        <f t="array" ref="BJ250">IF($A250="","", INDEX(CS!$B$1:$B$15025,MATCH($A250,CS!$B:$B,0)+COLUMN(D$1),1))</f>
        <v>蟻の嗅覚</v>
      </c>
      <c r="BK250" s="79" t="str">
        <f t="array" ref="BK250">IF($A250="","", INDEX(CS!$B$1:$B$15025,MATCH($A250,CS!$B:$B,0)+COLUMN(E$1),1))</f>
        <v>虫の体当たり</v>
      </c>
      <c r="BL250" s="79" t="str">
        <f t="array" ref="BL250">IF($A250="","", INDEX(CS!$B$1:$B$15025,MATCH($A250,CS!$B:$B,0)+COLUMN(F$1),1))</f>
        <v/>
      </c>
      <c r="BM250" s="79" t="str">
        <f t="array" ref="BM250">IF($A250="","", INDEX(CS!$B$1:$B$15025,MATCH($A250,CS!$B:$B,0)+COLUMN(G$1),1))</f>
        <v>挟み込み</v>
      </c>
      <c r="BN250" s="79" t="str">
        <f t="array" ref="BN250">IF($A250="","", INDEX(CS!$B$1:$B$15025,MATCH($A250,CS!$B:$B,0)+COLUMN(H$1),1))</f>
        <v/>
      </c>
      <c r="BO250" s="79" t="str">
        <f t="array" ref="BO250">IF($A250="","", INDEX(CS!$B$1:$B$15025,MATCH($A250,CS!$B:$B,0)+COLUMN(I$1),1))</f>
        <v/>
      </c>
      <c r="BP250" s="79" t="str">
        <f t="array" ref="BP250">IF($A250="","", INDEX(CS!$B$1:$B$15025,MATCH($A250,CS!$B:$B,0)+COLUMN(J$1),1))</f>
        <v/>
      </c>
      <c r="BS250" s="74"/>
      <c r="BW250" s="57"/>
      <c r="BX250" s="75"/>
      <c r="BY250" s="75"/>
      <c r="BZ250" s="75"/>
      <c r="CA250" s="75"/>
      <c r="CD250" s="75"/>
      <c r="CE250" s="75"/>
    </row>
    <row r="251" ht="18.75" customHeight="1" outlineLevel="1">
      <c r="A251" s="39" t="s">
        <v>1640</v>
      </c>
      <c r="B251" s="71"/>
      <c r="C251" s="39" t="s">
        <v>2893</v>
      </c>
      <c r="D251" s="72" t="str">
        <f t="shared" si="13"/>
        <v>740/440/300</v>
      </c>
      <c r="E251" s="39">
        <v>1.0</v>
      </c>
      <c r="F251" s="39">
        <v>70.0</v>
      </c>
      <c r="I251" s="39">
        <v>80.0</v>
      </c>
      <c r="J251" s="39">
        <v>60.0</v>
      </c>
      <c r="K251" s="87">
        <v>0.0</v>
      </c>
      <c r="L251" s="39">
        <v>50.0</v>
      </c>
      <c r="M251" s="39">
        <v>90.0</v>
      </c>
      <c r="N251" s="39">
        <v>90.0</v>
      </c>
      <c r="O251" s="39">
        <v>120.0</v>
      </c>
      <c r="P251" s="37">
        <v>0.0</v>
      </c>
      <c r="Q251" s="64"/>
      <c r="R251" s="64"/>
      <c r="S251" s="64"/>
      <c r="T251" s="64"/>
      <c r="U251" s="64"/>
      <c r="V251" s="64"/>
      <c r="W251" s="64"/>
      <c r="X251" s="64"/>
      <c r="Y251" s="64"/>
      <c r="Z251" s="64"/>
      <c r="AA251" s="64"/>
      <c r="AJ251" s="39">
        <v>0.0</v>
      </c>
      <c r="AK251" s="39">
        <v>0.0</v>
      </c>
      <c r="AL251" s="39">
        <v>50.0</v>
      </c>
      <c r="AM251" s="39">
        <v>50.0</v>
      </c>
      <c r="AN251" s="39">
        <v>50.0</v>
      </c>
      <c r="AO251" s="39">
        <v>0.0</v>
      </c>
      <c r="AP251" s="39">
        <v>0.0</v>
      </c>
      <c r="AQ251" s="39">
        <v>75.0</v>
      </c>
      <c r="AR251" s="39">
        <v>75.0</v>
      </c>
      <c r="AS251" s="39">
        <v>0.0</v>
      </c>
      <c r="AT251" s="39">
        <v>0.0</v>
      </c>
      <c r="AU251" s="39">
        <v>0.0</v>
      </c>
      <c r="AV251" s="39">
        <v>0.0</v>
      </c>
      <c r="AW251" s="39">
        <v>0.0</v>
      </c>
      <c r="AX251" s="39">
        <v>0.0</v>
      </c>
      <c r="AY251" s="39">
        <v>0.0</v>
      </c>
      <c r="AZ251" s="39">
        <v>0.0</v>
      </c>
      <c r="BA251" s="39">
        <v>0.0</v>
      </c>
      <c r="BB251" s="39">
        <v>110.0</v>
      </c>
      <c r="BC251" s="39">
        <v>40.0</v>
      </c>
      <c r="BD251" s="39">
        <v>0.0</v>
      </c>
      <c r="BE251" s="39">
        <v>0.0</v>
      </c>
      <c r="BF251" s="39">
        <v>20.0</v>
      </c>
      <c r="BG251" s="79" t="str">
        <f t="array" ref="BG251">IF($A251="","", INDEX(CS!$B$1:$B$15025,MATCH($A251,CS!$B:$B,0)+COLUMN(A$1),1))</f>
        <v>蜘蛛の毒牙</v>
      </c>
      <c r="BH251" s="79" t="str">
        <f t="array" ref="BH251">IF($A251="","", INDEX(CS!$B$1:$B$15025,MATCH($A251,CS!$B:$B,0)+COLUMN(B$1),1))</f>
        <v>糸吐き</v>
      </c>
      <c r="BI251" s="79" t="str">
        <f t="array" ref="BI251">IF($A251="","", INDEX(CS!$B$1:$B$15025,MATCH($A251,CS!$B:$B,0)+COLUMN(C$1),1))</f>
        <v>蜘蛛の複眼</v>
      </c>
      <c r="BJ251" s="79" t="str">
        <f t="array" ref="BJ251">IF($A251="","", INDEX(CS!$B$1:$B$15025,MATCH($A251,CS!$B:$B,0)+COLUMN(D$1),1))</f>
        <v>巣網感知</v>
      </c>
      <c r="BK251" s="79" t="str">
        <f t="array" ref="BK251">IF($A251="","", INDEX(CS!$B$1:$B$15025,MATCH($A251,CS!$B:$B,0)+COLUMN(E$1),1))</f>
        <v>虫の体当たり</v>
      </c>
      <c r="BL251" s="79" t="str">
        <f t="array" ref="BL251">IF($A251="","", INDEX(CS!$B$1:$B$15025,MATCH($A251,CS!$B:$B,0)+COLUMN(F$1),1))</f>
        <v/>
      </c>
      <c r="BM251" s="79" t="str">
        <f t="array" ref="BM251">IF($A251="","", INDEX(CS!$B$1:$B$15025,MATCH($A251,CS!$B:$B,0)+COLUMN(G$1),1))</f>
        <v>虫の反応</v>
      </c>
      <c r="BN251" s="79" t="str">
        <f t="array" ref="BN251">IF($A251="","", INDEX(CS!$B$1:$B$15025,MATCH($A251,CS!$B:$B,0)+COLUMN(H$1),1))</f>
        <v/>
      </c>
      <c r="BO251" s="79" t="str">
        <f t="array" ref="BO251">IF($A251="","", INDEX(CS!$B$1:$B$15025,MATCH($A251,CS!$B:$B,0)+COLUMN(I$1),1))</f>
        <v/>
      </c>
      <c r="BP251" s="79" t="str">
        <f t="array" ref="BP251">IF($A251="","", INDEX(CS!$B$1:$B$15025,MATCH($A251,CS!$B:$B,0)+COLUMN(J$1),1))</f>
        <v/>
      </c>
      <c r="BS251" s="74"/>
      <c r="BW251" s="57"/>
      <c r="BX251" s="75"/>
      <c r="BY251" s="75"/>
      <c r="BZ251" s="75"/>
      <c r="CA251" s="75"/>
      <c r="CD251" s="75"/>
      <c r="CE251" s="75"/>
    </row>
    <row r="252" ht="18.75" customHeight="1" outlineLevel="1">
      <c r="A252" s="39" t="s">
        <v>1647</v>
      </c>
      <c r="B252" s="71"/>
      <c r="C252" s="39" t="s">
        <v>2893</v>
      </c>
      <c r="D252" s="72" t="str">
        <f t="shared" si="13"/>
        <v>660/460/200</v>
      </c>
      <c r="E252" s="39">
        <v>1.0</v>
      </c>
      <c r="F252" s="39">
        <v>90.0</v>
      </c>
      <c r="I252" s="39">
        <v>90.0</v>
      </c>
      <c r="J252" s="39">
        <v>70.0</v>
      </c>
      <c r="K252" s="87">
        <v>0.0</v>
      </c>
      <c r="L252" s="39">
        <v>40.0</v>
      </c>
      <c r="M252" s="39">
        <v>90.0</v>
      </c>
      <c r="N252" s="39">
        <v>80.0</v>
      </c>
      <c r="O252" s="39">
        <v>180.0</v>
      </c>
      <c r="P252" s="37">
        <v>0.0</v>
      </c>
      <c r="Q252" s="64"/>
      <c r="R252" s="64"/>
      <c r="S252" s="64"/>
      <c r="T252" s="64"/>
      <c r="U252" s="64"/>
      <c r="V252" s="64"/>
      <c r="W252" s="64"/>
      <c r="X252" s="64"/>
      <c r="Y252" s="64"/>
      <c r="Z252" s="64"/>
      <c r="AA252" s="64"/>
      <c r="AJ252" s="39">
        <v>0.0</v>
      </c>
      <c r="AK252" s="39">
        <v>25.0</v>
      </c>
      <c r="AL252" s="39">
        <v>25.0</v>
      </c>
      <c r="AM252" s="39">
        <v>50.0</v>
      </c>
      <c r="AN252" s="39">
        <v>0.0</v>
      </c>
      <c r="AO252" s="39">
        <v>0.0</v>
      </c>
      <c r="AP252" s="39">
        <v>0.0</v>
      </c>
      <c r="AQ252" s="39">
        <v>50.0</v>
      </c>
      <c r="AR252" s="39">
        <v>50.0</v>
      </c>
      <c r="AS252" s="39">
        <v>0.0</v>
      </c>
      <c r="AT252" s="39">
        <v>0.0</v>
      </c>
      <c r="AU252" s="39">
        <v>0.0</v>
      </c>
      <c r="AV252" s="39">
        <v>0.0</v>
      </c>
      <c r="AW252" s="39">
        <v>0.0</v>
      </c>
      <c r="AX252" s="39">
        <v>0.0</v>
      </c>
      <c r="AY252" s="39">
        <v>0.0</v>
      </c>
      <c r="AZ252" s="39">
        <v>0.0</v>
      </c>
      <c r="BA252" s="39">
        <v>0.0</v>
      </c>
      <c r="BB252" s="39">
        <v>100.0</v>
      </c>
      <c r="BC252" s="39">
        <v>50.0</v>
      </c>
      <c r="BD252" s="39">
        <v>30.0</v>
      </c>
      <c r="BE252" s="39">
        <v>0.0</v>
      </c>
      <c r="BF252" s="39">
        <v>50.0</v>
      </c>
      <c r="BG252" s="79" t="str">
        <f t="array" ref="BG252">IF($A252="","", INDEX(CS!$B$1:$B$15025,MATCH($A252,CS!$B:$B,0)+COLUMN(A$1),1))</f>
        <v>百足の毒顎</v>
      </c>
      <c r="BH252" s="79" t="str">
        <f t="array" ref="BH252">IF($A252="","", INDEX(CS!$B$1:$B$15025,MATCH($A252,CS!$B:$B,0)+COLUMN(B$1),1))</f>
        <v>百足連撃</v>
      </c>
      <c r="BI252" s="79" t="str">
        <f t="array" ref="BI252">IF($A252="","", INDEX(CS!$B$1:$B$15025,MATCH($A252,CS!$B:$B,0)+COLUMN(C$1),1))</f>
        <v>多眼感知</v>
      </c>
      <c r="BJ252" s="79" t="str">
        <f t="array" ref="BJ252">IF($A252="","", INDEX(CS!$B$1:$B$15025,MATCH($A252,CS!$B:$B,0)+COLUMN(D$1),1))</f>
        <v>長躯回避</v>
      </c>
      <c r="BK252" s="79" t="str">
        <f t="array" ref="BK252">IF($A252="","", INDEX(CS!$B$1:$B$15025,MATCH($A252,CS!$B:$B,0)+COLUMN(E$1),1))</f>
        <v>虫の体当たり</v>
      </c>
      <c r="BL252" s="79" t="str">
        <f t="array" ref="BL252">IF($A252="","", INDEX(CS!$B$1:$B$15025,MATCH($A252,CS!$B:$B,0)+COLUMN(F$1),1))</f>
        <v/>
      </c>
      <c r="BM252" s="79" t="str">
        <f t="array" ref="BM252">IF($A252="","", INDEX(CS!$B$1:$B$15025,MATCH($A252,CS!$B:$B,0)+COLUMN(G$1),1))</f>
        <v>虫の反応</v>
      </c>
      <c r="BN252" s="79" t="str">
        <f t="array" ref="BN252">IF($A252="","", INDEX(CS!$B$1:$B$15025,MATCH($A252,CS!$B:$B,0)+COLUMN(H$1),1))</f>
        <v/>
      </c>
      <c r="BO252" s="79" t="str">
        <f t="array" ref="BO252">IF($A252="","", INDEX(CS!$B$1:$B$15025,MATCH($A252,CS!$B:$B,0)+COLUMN(I$1),1))</f>
        <v/>
      </c>
      <c r="BP252" s="79" t="str">
        <f t="array" ref="BP252">IF($A252="","", INDEX(CS!$B$1:$B$15025,MATCH($A252,CS!$B:$B,0)+COLUMN(J$1),1))</f>
        <v/>
      </c>
      <c r="BS252" s="74"/>
      <c r="BW252" s="57"/>
      <c r="BX252" s="75"/>
      <c r="BY252" s="75"/>
      <c r="BZ252" s="75"/>
      <c r="CA252" s="75"/>
      <c r="CD252" s="75"/>
      <c r="CE252" s="75"/>
    </row>
    <row r="253" ht="18.75" customHeight="1" outlineLevel="1">
      <c r="A253" s="39" t="s">
        <v>1656</v>
      </c>
      <c r="B253" s="71"/>
      <c r="C253" s="39" t="s">
        <v>2893</v>
      </c>
      <c r="D253" s="72" t="str">
        <f t="shared" si="13"/>
        <v>680/480/200</v>
      </c>
      <c r="E253" s="39">
        <v>1.0</v>
      </c>
      <c r="F253" s="39">
        <v>95.0</v>
      </c>
      <c r="I253" s="39">
        <v>95.0</v>
      </c>
      <c r="J253" s="39">
        <v>95.0</v>
      </c>
      <c r="K253" s="87">
        <v>0.0</v>
      </c>
      <c r="L253" s="39">
        <v>45.0</v>
      </c>
      <c r="M253" s="39">
        <v>65.0</v>
      </c>
      <c r="N253" s="39">
        <v>85.0</v>
      </c>
      <c r="O253" s="39">
        <v>160.0</v>
      </c>
      <c r="P253" s="37">
        <v>0.0</v>
      </c>
      <c r="Q253" s="64"/>
      <c r="R253" s="64"/>
      <c r="S253" s="64"/>
      <c r="T253" s="64"/>
      <c r="U253" s="64"/>
      <c r="V253" s="64"/>
      <c r="W253" s="64"/>
      <c r="X253" s="64"/>
      <c r="Y253" s="64"/>
      <c r="Z253" s="64"/>
      <c r="AA253" s="64"/>
      <c r="AJ253" s="39">
        <v>0.0</v>
      </c>
      <c r="AK253" s="39">
        <v>50.0</v>
      </c>
      <c r="AL253" s="39">
        <v>25.0</v>
      </c>
      <c r="AM253" s="39">
        <v>25.0</v>
      </c>
      <c r="AN253" s="39">
        <v>0.0</v>
      </c>
      <c r="AO253" s="39">
        <v>0.0</v>
      </c>
      <c r="AP253" s="39">
        <v>0.0</v>
      </c>
      <c r="AQ253" s="39">
        <v>50.0</v>
      </c>
      <c r="AR253" s="39">
        <v>50.0</v>
      </c>
      <c r="AS253" s="39">
        <v>0.0</v>
      </c>
      <c r="AT253" s="39">
        <v>0.0</v>
      </c>
      <c r="AU253" s="39">
        <v>0.0</v>
      </c>
      <c r="AV253" s="39">
        <v>0.0</v>
      </c>
      <c r="AW253" s="39">
        <v>0.0</v>
      </c>
      <c r="AX253" s="39">
        <v>0.0</v>
      </c>
      <c r="AY253" s="39">
        <v>0.0</v>
      </c>
      <c r="AZ253" s="39">
        <v>0.0</v>
      </c>
      <c r="BA253" s="39">
        <v>0.0</v>
      </c>
      <c r="BB253" s="39">
        <v>30.0</v>
      </c>
      <c r="BC253" s="39">
        <v>100.0</v>
      </c>
      <c r="BD253" s="39">
        <v>120.0</v>
      </c>
      <c r="BE253" s="39">
        <v>0.0</v>
      </c>
      <c r="BF253" s="39">
        <v>70.0</v>
      </c>
      <c r="BG253" s="79" t="str">
        <f t="array" ref="BG253">IF($A253="","", INDEX(CS!$B$1:$B$15025,MATCH($A253,CS!$B:$B,0)+COLUMN(A$1),1))</f>
        <v>蠍の毒針</v>
      </c>
      <c r="BH253" s="79" t="str">
        <f t="array" ref="BH253">IF($A253="","", INDEX(CS!$B$1:$B$15025,MATCH($A253,CS!$B:$B,0)+COLUMN(B$1),1))</f>
        <v>鋏撃</v>
      </c>
      <c r="BI253" s="79" t="str">
        <f t="array" ref="BI253">IF($A253="","", INDEX(CS!$B$1:$B$15025,MATCH($A253,CS!$B:$B,0)+COLUMN(C$1),1))</f>
        <v>蠍の複眼</v>
      </c>
      <c r="BJ253" s="79" t="str">
        <f t="array" ref="BJ253">IF($A253="","", INDEX(CS!$B$1:$B$15025,MATCH($A253,CS!$B:$B,0)+COLUMN(D$1),1))</f>
        <v>蠍の甲殻</v>
      </c>
      <c r="BK253" s="79" t="str">
        <f t="array" ref="BK253">IF($A253="","", INDEX(CS!$B$1:$B$15025,MATCH($A253,CS!$B:$B,0)+COLUMN(E$1),1))</f>
        <v>虫の体当たり</v>
      </c>
      <c r="BL253" s="79" t="str">
        <f t="array" ref="BL253">IF($A253="","", INDEX(CS!$B$1:$B$15025,MATCH($A253,CS!$B:$B,0)+COLUMN(F$1),1))</f>
        <v/>
      </c>
      <c r="BM253" s="79" t="str">
        <f t="array" ref="BM253">IF($A253="","", INDEX(CS!$B$1:$B$15025,MATCH($A253,CS!$B:$B,0)+COLUMN(G$1),1))</f>
        <v>虫の反応</v>
      </c>
      <c r="BN253" s="79" t="str">
        <f t="array" ref="BN253">IF($A253="","", INDEX(CS!$B$1:$B$15025,MATCH($A253,CS!$B:$B,0)+COLUMN(H$1),1))</f>
        <v/>
      </c>
      <c r="BO253" s="79" t="str">
        <f t="array" ref="BO253">IF($A253="","", INDEX(CS!$B$1:$B$15025,MATCH($A253,CS!$B:$B,0)+COLUMN(I$1),1))</f>
        <v/>
      </c>
      <c r="BP253" s="79" t="str">
        <f t="array" ref="BP253">IF($A253="","", INDEX(CS!$B$1:$B$15025,MATCH($A253,CS!$B:$B,0)+COLUMN(J$1),1))</f>
        <v/>
      </c>
      <c r="BS253" s="74"/>
      <c r="BW253" s="57"/>
      <c r="BX253" s="75"/>
      <c r="BY253" s="75"/>
      <c r="BZ253" s="75"/>
      <c r="CA253" s="75"/>
      <c r="CD253" s="75"/>
      <c r="CE253" s="75"/>
    </row>
    <row r="254" ht="18.75" customHeight="1">
      <c r="A254" s="39"/>
      <c r="B254" s="71"/>
      <c r="C254" s="39"/>
      <c r="D254" s="72"/>
      <c r="E254" s="39"/>
      <c r="K254" s="73"/>
      <c r="P254" s="37" t="s">
        <v>29</v>
      </c>
      <c r="Q254" s="64"/>
      <c r="R254" s="64"/>
      <c r="S254" s="64"/>
      <c r="T254" s="64"/>
      <c r="U254" s="64"/>
      <c r="V254" s="64"/>
      <c r="W254" s="64"/>
      <c r="X254" s="64"/>
      <c r="Y254" s="64"/>
      <c r="Z254" s="64"/>
      <c r="AA254" s="64"/>
      <c r="AK254" s="39"/>
      <c r="AM254" s="39"/>
      <c r="AO254" s="39"/>
      <c r="AP254" s="39"/>
      <c r="AQ254" s="39"/>
      <c r="AR254" s="39"/>
      <c r="BA254" s="39"/>
      <c r="BB254" s="39"/>
      <c r="BC254" s="39"/>
      <c r="BD254" s="39"/>
      <c r="BE254" s="39"/>
      <c r="BF254" s="39"/>
      <c r="BG254" s="79" t="str">
        <f t="array" ref="BG254">IF($A254="","", INDEX(CS!$B$1:$B$15025,MATCH($A254,CS!$B:$B,0)+COLUMN(A$1),1))</f>
        <v/>
      </c>
      <c r="BH254" s="79" t="str">
        <f t="array" ref="BH254">IF($A254="","", INDEX(CS!$B$1:$B$15025,MATCH($A254,CS!$B:$B,0)+COLUMN(B$1),1))</f>
        <v/>
      </c>
      <c r="BI254" s="79" t="str">
        <f t="array" ref="BI254">IF($A254="","", INDEX(CS!$B$1:$B$15025,MATCH($A254,CS!$B:$B,0)+COLUMN(C$1),1))</f>
        <v/>
      </c>
      <c r="BJ254" s="79" t="str">
        <f t="array" ref="BJ254">IF($A254="","", INDEX(CS!$B$1:$B$15025,MATCH($A254,CS!$B:$B,0)+COLUMN(D$1),1))</f>
        <v/>
      </c>
      <c r="BK254" s="79" t="str">
        <f t="array" ref="BK254">IF($A254="","", INDEX(CS!$B$1:$B$15025,MATCH($A254,CS!$B:$B,0)+COLUMN(E$1),1))</f>
        <v/>
      </c>
      <c r="BL254" s="79" t="str">
        <f t="array" ref="BL254">IF($A254="","", INDEX(CS!$B$1:$B$15025,MATCH($A254,CS!$B:$B,0)+COLUMN(F$1),1))</f>
        <v/>
      </c>
      <c r="BM254" s="79" t="str">
        <f t="array" ref="BM254">IF($A254="","", INDEX(CS!$B$1:$B$15025,MATCH($A254,CS!$B:$B,0)+COLUMN(G$1),1))</f>
        <v/>
      </c>
      <c r="BN254" s="79" t="str">
        <f t="array" ref="BN254">IF($A254="","", INDEX(CS!$B$1:$B$15025,MATCH($A254,CS!$B:$B,0)+COLUMN(H$1),1))</f>
        <v/>
      </c>
      <c r="BO254" s="79" t="str">
        <f t="array" ref="BO254">IF($A254="","", INDEX(CS!$B$1:$B$15025,MATCH($A254,CS!$B:$B,0)+COLUMN(I$1),1))</f>
        <v/>
      </c>
      <c r="BP254" s="79" t="str">
        <f t="array" ref="BP254">IF($A254="","", INDEX(CS!$B$1:$B$15025,MATCH($A254,CS!$B:$B,0)+COLUMN(J$1),1))</f>
        <v/>
      </c>
      <c r="BS254" s="74"/>
      <c r="BW254" s="57"/>
      <c r="BX254" s="75"/>
      <c r="BY254" s="75"/>
      <c r="BZ254" s="75"/>
      <c r="CA254" s="75"/>
      <c r="CD254" s="75"/>
      <c r="CE254" s="75"/>
    </row>
    <row r="255" ht="18.75" customHeight="1">
      <c r="A255" s="79"/>
      <c r="B255" s="85" t="s">
        <v>2894</v>
      </c>
      <c r="C255" s="90"/>
      <c r="D255" s="92"/>
      <c r="E255" s="93"/>
      <c r="F255" s="90"/>
      <c r="G255" s="79"/>
      <c r="H255" s="79"/>
      <c r="I255" s="90"/>
      <c r="J255" s="90"/>
      <c r="K255" s="94"/>
      <c r="L255" s="90"/>
      <c r="M255" s="90"/>
      <c r="N255" s="90"/>
      <c r="O255" s="79"/>
      <c r="P255" s="79" t="s">
        <v>29</v>
      </c>
      <c r="Q255" s="82"/>
      <c r="R255" s="82"/>
      <c r="S255" s="82"/>
      <c r="T255" s="82"/>
      <c r="U255" s="82"/>
      <c r="V255" s="82"/>
      <c r="W255" s="82"/>
      <c r="X255" s="82"/>
      <c r="Y255" s="82"/>
      <c r="Z255" s="82"/>
      <c r="AA255" s="82"/>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79"/>
      <c r="AZ255" s="79"/>
      <c r="BA255" s="79"/>
      <c r="BB255" s="79"/>
      <c r="BC255" s="79"/>
      <c r="BD255" s="79"/>
      <c r="BE255" s="79"/>
      <c r="BF255" s="79"/>
      <c r="BG255" s="79" t="str">
        <f t="array" ref="BG255">IF($A255="","", INDEX(CS!$B$1:$B$15025,MATCH($A255,CS!$B:$B,0)+COLUMN(A$1),1))</f>
        <v/>
      </c>
      <c r="BH255" s="79" t="str">
        <f t="array" ref="BH255">IF($A255="","", INDEX(CS!$B$1:$B$15025,MATCH($A255,CS!$B:$B,0)+COLUMN(B$1),1))</f>
        <v/>
      </c>
      <c r="BI255" s="79" t="str">
        <f t="array" ref="BI255">IF($A255="","", INDEX(CS!$B$1:$B$15025,MATCH($A255,CS!$B:$B,0)+COLUMN(C$1),1))</f>
        <v/>
      </c>
      <c r="BJ255" s="79" t="str">
        <f t="array" ref="BJ255">IF($A255="","", INDEX(CS!$B$1:$B$15025,MATCH($A255,CS!$B:$B,0)+COLUMN(D$1),1))</f>
        <v/>
      </c>
      <c r="BK255" s="79" t="str">
        <f t="array" ref="BK255">IF($A255="","", INDEX(CS!$B$1:$B$15025,MATCH($A255,CS!$B:$B,0)+COLUMN(E$1),1))</f>
        <v/>
      </c>
      <c r="BL255" s="79" t="str">
        <f t="array" ref="BL255">IF($A255="","", INDEX(CS!$B$1:$B$15025,MATCH($A255,CS!$B:$B,0)+COLUMN(F$1),1))</f>
        <v/>
      </c>
      <c r="BM255" s="79" t="str">
        <f t="array" ref="BM255">IF($A255="","", INDEX(CS!$B$1:$B$15025,MATCH($A255,CS!$B:$B,0)+COLUMN(G$1),1))</f>
        <v/>
      </c>
      <c r="BN255" s="79" t="str">
        <f t="array" ref="BN255">IF($A255="","", INDEX(CS!$B$1:$B$15025,MATCH($A255,CS!$B:$B,0)+COLUMN(H$1),1))</f>
        <v/>
      </c>
      <c r="BO255" s="79" t="str">
        <f t="array" ref="BO255">IF($A255="","", INDEX(CS!$B$1:$B$15025,MATCH($A255,CS!$B:$B,0)+COLUMN(I$1),1))</f>
        <v/>
      </c>
      <c r="BP255" s="79" t="str">
        <f t="array" ref="BP255">IF($A255="","", INDEX(CS!$B$1:$B$15025,MATCH($A255,CS!$B:$B,0)+COLUMN(J$1),1))</f>
        <v/>
      </c>
      <c r="BQ255" s="79"/>
      <c r="BR255" s="79"/>
      <c r="BS255" s="83"/>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row>
    <row r="256" ht="18.75" customHeight="1" outlineLevel="1">
      <c r="A256" s="90" t="s">
        <v>1664</v>
      </c>
      <c r="B256" s="95"/>
      <c r="C256" s="90" t="s">
        <v>2893</v>
      </c>
      <c r="D256" s="92" t="str">
        <f t="shared" ref="D256:D262" si="14">SUM(AJ256:AZ256,F256:N256)&amp;"/"&amp;SUM(F256:N256)&amp;"/"&amp;SUM(AJ256:AZ256)</f>
        <v>535/435/100</v>
      </c>
      <c r="E256" s="93">
        <v>1.0</v>
      </c>
      <c r="F256" s="39">
        <v>75.0</v>
      </c>
      <c r="G256" s="79"/>
      <c r="H256" s="79"/>
      <c r="I256" s="41">
        <v>90.0</v>
      </c>
      <c r="J256" s="41">
        <v>60.0</v>
      </c>
      <c r="K256" s="96">
        <v>0.0</v>
      </c>
      <c r="L256" s="97">
        <v>50.0</v>
      </c>
      <c r="M256" s="90">
        <v>75.0</v>
      </c>
      <c r="N256" s="90">
        <v>85.0</v>
      </c>
      <c r="O256" s="79"/>
      <c r="P256" s="79">
        <v>0.0</v>
      </c>
      <c r="Q256" s="82"/>
      <c r="R256" s="82"/>
      <c r="S256" s="82"/>
      <c r="T256" s="82"/>
      <c r="U256" s="82"/>
      <c r="V256" s="82"/>
      <c r="W256" s="82"/>
      <c r="X256" s="82"/>
      <c r="Y256" s="82"/>
      <c r="Z256" s="82"/>
      <c r="AA256" s="82"/>
      <c r="AB256" s="79"/>
      <c r="AC256" s="79"/>
      <c r="AD256" s="79"/>
      <c r="AE256" s="79"/>
      <c r="AF256" s="79"/>
      <c r="AG256" s="79"/>
      <c r="AH256" s="79"/>
      <c r="AI256" s="79"/>
      <c r="AJ256" s="90">
        <v>0.0</v>
      </c>
      <c r="AK256" s="90">
        <v>25.0</v>
      </c>
      <c r="AL256" s="90">
        <v>25.0</v>
      </c>
      <c r="AM256" s="90">
        <v>25.0</v>
      </c>
      <c r="AN256" s="90">
        <v>0.0</v>
      </c>
      <c r="AO256" s="90">
        <v>0.0</v>
      </c>
      <c r="AP256" s="90">
        <v>0.0</v>
      </c>
      <c r="AQ256" s="90">
        <v>0.0</v>
      </c>
      <c r="AR256" s="90">
        <v>25.0</v>
      </c>
      <c r="AS256" s="90">
        <v>0.0</v>
      </c>
      <c r="AT256" s="90">
        <v>0.0</v>
      </c>
      <c r="AU256" s="90">
        <v>0.0</v>
      </c>
      <c r="AV256" s="90">
        <v>0.0</v>
      </c>
      <c r="AW256" s="90">
        <v>0.0</v>
      </c>
      <c r="AX256" s="90">
        <v>0.0</v>
      </c>
      <c r="AY256" s="90">
        <v>0.0</v>
      </c>
      <c r="AZ256" s="90">
        <v>0.0</v>
      </c>
      <c r="BA256" s="79"/>
      <c r="BB256" s="90">
        <v>50.0</v>
      </c>
      <c r="BC256" s="79"/>
      <c r="BD256" s="79"/>
      <c r="BE256" s="79"/>
      <c r="BF256" s="79"/>
      <c r="BG256" s="79" t="str">
        <f t="array" ref="BG256">IF($A256="","", INDEX(CS!$B$1:$B$15025,MATCH($A256,CS!$B:$B,0)+COLUMN(A$1),1))</f>
        <v>穿牙</v>
      </c>
      <c r="BH256" s="79" t="str">
        <f t="array" ref="BH256">IF($A256="","", INDEX(CS!$B$1:$B$15025,MATCH($A256,CS!$B:$B,0)+COLUMN(B$1),1))</f>
        <v/>
      </c>
      <c r="BI256" s="79" t="str">
        <f t="array" ref="BI256">IF($A256="","", INDEX(CS!$B$1:$B$15025,MATCH($A256,CS!$B:$B,0)+COLUMN(C$1),1))</f>
        <v>変形牙</v>
      </c>
      <c r="BJ256" s="79" t="str">
        <f t="array" ref="BJ256">IF($A256="","", INDEX(CS!$B$1:$B$15025,MATCH($A256,CS!$B:$B,0)+COLUMN(D$1),1))</f>
        <v/>
      </c>
      <c r="BK256" s="79" t="str">
        <f t="array" ref="BK256">IF($A256="","", INDEX(CS!$B$1:$B$15025,MATCH($A256,CS!$B:$B,0)+COLUMN(E$1),1))</f>
        <v>牙強化</v>
      </c>
      <c r="BL256" s="79" t="str">
        <f t="array" ref="BL256">IF($A256="","", INDEX(CS!$B$1:$B$15025,MATCH($A256,CS!$B:$B,0)+COLUMN(F$1),1))</f>
        <v>牙</v>
      </c>
      <c r="BM256" s="79" t="str">
        <f t="array" ref="BM256">IF($A256="","", INDEX(CS!$B$1:$B$15025,MATCH($A256,CS!$B:$B,0)+COLUMN(G$1),1))</f>
        <v>牙操作</v>
      </c>
      <c r="BN256" s="79" t="str">
        <f t="array" ref="BN256">IF($A256="","", INDEX(CS!$B$1:$B$15025,MATCH($A256,CS!$B:$B,0)+COLUMN(H$1),1))</f>
        <v/>
      </c>
      <c r="BO256" s="79" t="str">
        <f t="array" ref="BO256">IF($A256="","", INDEX(CS!$B$1:$B$15025,MATCH($A256,CS!$B:$B,0)+COLUMN(I$1),1))</f>
        <v>鋭き牙</v>
      </c>
      <c r="BP256" s="79" t="str">
        <f t="array" ref="BP256">IF($A256="","", INDEX(CS!$B$1:$B$15025,MATCH($A256,CS!$B:$B,0)+COLUMN(J$1),1))</f>
        <v/>
      </c>
      <c r="BQ256" s="79"/>
      <c r="BR256" s="79"/>
      <c r="BS256" s="83"/>
      <c r="BT256" s="79"/>
      <c r="BU256" s="90" t="s">
        <v>2895</v>
      </c>
      <c r="BV256" s="79"/>
      <c r="BW256" s="79"/>
      <c r="BX256" s="79"/>
      <c r="BY256" s="79"/>
      <c r="BZ256" s="79"/>
      <c r="CA256" s="79"/>
      <c r="CB256" s="79"/>
      <c r="CC256" s="79"/>
      <c r="CD256" s="79"/>
      <c r="CE256" s="79"/>
      <c r="CF256" s="79"/>
      <c r="CG256" s="79"/>
      <c r="CH256" s="79"/>
      <c r="CI256" s="79"/>
      <c r="CJ256" s="79"/>
      <c r="CK256" s="79"/>
      <c r="CL256" s="79"/>
      <c r="CM256" s="79"/>
      <c r="CN256" s="79"/>
      <c r="CO256" s="79"/>
      <c r="CP256" s="79"/>
    </row>
    <row r="257" ht="18.75" customHeight="1" outlineLevel="1">
      <c r="A257" s="90" t="s">
        <v>1675</v>
      </c>
      <c r="B257" s="95"/>
      <c r="C257" s="90" t="s">
        <v>2893</v>
      </c>
      <c r="D257" s="92" t="str">
        <f t="shared" si="14"/>
        <v>575/450/125</v>
      </c>
      <c r="E257" s="93">
        <v>1.0</v>
      </c>
      <c r="F257" s="39">
        <v>75.0</v>
      </c>
      <c r="G257" s="79"/>
      <c r="H257" s="79"/>
      <c r="I257" s="41">
        <v>85.0</v>
      </c>
      <c r="J257" s="41">
        <v>60.0</v>
      </c>
      <c r="K257" s="96">
        <v>0.0</v>
      </c>
      <c r="L257" s="97">
        <v>50.0</v>
      </c>
      <c r="M257" s="90">
        <v>90.0</v>
      </c>
      <c r="N257" s="90">
        <v>90.0</v>
      </c>
      <c r="O257" s="79"/>
      <c r="P257" s="79">
        <v>0.0</v>
      </c>
      <c r="Q257" s="82"/>
      <c r="R257" s="82"/>
      <c r="S257" s="82"/>
      <c r="T257" s="82"/>
      <c r="U257" s="82"/>
      <c r="V257" s="82"/>
      <c r="W257" s="82"/>
      <c r="X257" s="82"/>
      <c r="Y257" s="82"/>
      <c r="Z257" s="82"/>
      <c r="AA257" s="82"/>
      <c r="AB257" s="79"/>
      <c r="AC257" s="79"/>
      <c r="AD257" s="79"/>
      <c r="AE257" s="79"/>
      <c r="AF257" s="79"/>
      <c r="AG257" s="79"/>
      <c r="AH257" s="79"/>
      <c r="AI257" s="79"/>
      <c r="AJ257" s="90">
        <v>0.0</v>
      </c>
      <c r="AK257" s="90">
        <v>0.0</v>
      </c>
      <c r="AL257" s="90">
        <v>25.0</v>
      </c>
      <c r="AM257" s="90">
        <v>50.0</v>
      </c>
      <c r="AN257" s="90">
        <v>0.0</v>
      </c>
      <c r="AO257" s="90">
        <v>0.0</v>
      </c>
      <c r="AP257" s="90">
        <v>0.0</v>
      </c>
      <c r="AQ257" s="90">
        <v>25.0</v>
      </c>
      <c r="AR257" s="90">
        <v>25.0</v>
      </c>
      <c r="AS257" s="90">
        <v>0.0</v>
      </c>
      <c r="AT257" s="90">
        <v>0.0</v>
      </c>
      <c r="AU257" s="90">
        <v>0.0</v>
      </c>
      <c r="AV257" s="90">
        <v>0.0</v>
      </c>
      <c r="AW257" s="90">
        <v>0.0</v>
      </c>
      <c r="AX257" s="90">
        <v>0.0</v>
      </c>
      <c r="AY257" s="90">
        <v>0.0</v>
      </c>
      <c r="AZ257" s="90">
        <v>0.0</v>
      </c>
      <c r="BA257" s="79"/>
      <c r="BB257" s="79"/>
      <c r="BC257" s="90">
        <v>50.0</v>
      </c>
      <c r="BD257" s="79"/>
      <c r="BE257" s="79"/>
      <c r="BF257" s="79"/>
      <c r="BG257" s="79" t="str">
        <f t="array" ref="BG257">IF($A257="","", INDEX(CS!$B$1:$B$15025,MATCH($A257,CS!$B:$B,0)+COLUMN(A$1),1))</f>
        <v>裂爪</v>
      </c>
      <c r="BH257" s="79" t="str">
        <f t="array" ref="BH257">IF($A257="","", INDEX(CS!$B$1:$B$15025,MATCH($A257,CS!$B:$B,0)+COLUMN(B$1),1))</f>
        <v/>
      </c>
      <c r="BI257" s="79" t="str">
        <f t="array" ref="BI257">IF($A257="","", INDEX(CS!$B$1:$B$15025,MATCH($A257,CS!$B:$B,0)+COLUMN(C$1),1))</f>
        <v>変形爪</v>
      </c>
      <c r="BJ257" s="79" t="str">
        <f t="array" ref="BJ257">IF($A257="","", INDEX(CS!$B$1:$B$15025,MATCH($A257,CS!$B:$B,0)+COLUMN(D$1),1))</f>
        <v/>
      </c>
      <c r="BK257" s="79" t="str">
        <f t="array" ref="BK257">IF($A257="","", INDEX(CS!$B$1:$B$15025,MATCH($A257,CS!$B:$B,0)+COLUMN(E$1),1))</f>
        <v>爪強化</v>
      </c>
      <c r="BL257" s="79" t="str">
        <f t="array" ref="BL257">IF($A257="","", INDEX(CS!$B$1:$B$15025,MATCH($A257,CS!$B:$B,0)+COLUMN(F$1),1))</f>
        <v>爪</v>
      </c>
      <c r="BM257" s="79" t="str">
        <f t="array" ref="BM257">IF($A257="","", INDEX(CS!$B$1:$B$15025,MATCH($A257,CS!$B:$B,0)+COLUMN(G$1),1))</f>
        <v>爪操作</v>
      </c>
      <c r="BN257" s="79" t="str">
        <f t="array" ref="BN257">IF($A257="","", INDEX(CS!$B$1:$B$15025,MATCH($A257,CS!$B:$B,0)+COLUMN(H$1),1))</f>
        <v/>
      </c>
      <c r="BO257" s="79" t="str">
        <f t="array" ref="BO257">IF($A257="","", INDEX(CS!$B$1:$B$15025,MATCH($A257,CS!$B:$B,0)+COLUMN(I$1),1))</f>
        <v>鋭き爪</v>
      </c>
      <c r="BP257" s="79" t="str">
        <f t="array" ref="BP257">IF($A257="","", INDEX(CS!$B$1:$B$15025,MATCH($A257,CS!$B:$B,0)+COLUMN(J$1),1))</f>
        <v/>
      </c>
      <c r="BQ257" s="79"/>
      <c r="BR257" s="79"/>
      <c r="BS257" s="83"/>
      <c r="BT257" s="79"/>
      <c r="BU257" s="90" t="s">
        <v>2896</v>
      </c>
      <c r="BV257" s="79"/>
      <c r="BW257" s="79"/>
      <c r="BX257" s="79"/>
      <c r="BY257" s="79"/>
      <c r="BZ257" s="79"/>
      <c r="CA257" s="79"/>
      <c r="CB257" s="79"/>
      <c r="CC257" s="79"/>
      <c r="CD257" s="79"/>
      <c r="CE257" s="79"/>
      <c r="CF257" s="79"/>
      <c r="CG257" s="79"/>
      <c r="CH257" s="79"/>
      <c r="CI257" s="79"/>
      <c r="CJ257" s="79"/>
      <c r="CK257" s="79"/>
      <c r="CL257" s="79"/>
      <c r="CM257" s="79"/>
      <c r="CN257" s="79"/>
      <c r="CO257" s="79"/>
      <c r="CP257" s="79"/>
    </row>
    <row r="258" ht="18.75" customHeight="1" outlineLevel="1">
      <c r="A258" s="90" t="s">
        <v>1686</v>
      </c>
      <c r="B258" s="95"/>
      <c r="C258" s="90" t="s">
        <v>2893</v>
      </c>
      <c r="D258" s="92" t="str">
        <f t="shared" si="14"/>
        <v>525/450/75</v>
      </c>
      <c r="E258" s="93">
        <v>1.0</v>
      </c>
      <c r="F258" s="39">
        <v>90.0</v>
      </c>
      <c r="G258" s="79"/>
      <c r="H258" s="79"/>
      <c r="I258" s="41">
        <v>100.0</v>
      </c>
      <c r="J258" s="41">
        <v>75.0</v>
      </c>
      <c r="K258" s="96">
        <v>0.0</v>
      </c>
      <c r="L258" s="97">
        <v>50.0</v>
      </c>
      <c r="M258" s="90">
        <v>60.0</v>
      </c>
      <c r="N258" s="90">
        <v>75.0</v>
      </c>
      <c r="O258" s="79"/>
      <c r="P258" s="79">
        <v>0.0</v>
      </c>
      <c r="Q258" s="82"/>
      <c r="R258" s="82"/>
      <c r="S258" s="82"/>
      <c r="T258" s="82"/>
      <c r="U258" s="82"/>
      <c r="V258" s="82"/>
      <c r="W258" s="82"/>
      <c r="X258" s="82"/>
      <c r="Y258" s="82"/>
      <c r="Z258" s="82"/>
      <c r="AA258" s="82"/>
      <c r="AB258" s="79"/>
      <c r="AC258" s="79"/>
      <c r="AD258" s="79"/>
      <c r="AE258" s="79"/>
      <c r="AF258" s="79"/>
      <c r="AG258" s="79"/>
      <c r="AH258" s="79"/>
      <c r="AI258" s="79"/>
      <c r="AJ258" s="90">
        <v>0.0</v>
      </c>
      <c r="AK258" s="90">
        <v>50.0</v>
      </c>
      <c r="AL258" s="90">
        <v>0.0</v>
      </c>
      <c r="AM258" s="90">
        <v>0.0</v>
      </c>
      <c r="AN258" s="90">
        <v>0.0</v>
      </c>
      <c r="AO258" s="90">
        <v>0.0</v>
      </c>
      <c r="AP258" s="90">
        <v>0.0</v>
      </c>
      <c r="AQ258" s="90">
        <v>0.0</v>
      </c>
      <c r="AR258" s="90">
        <v>25.0</v>
      </c>
      <c r="AS258" s="90">
        <v>0.0</v>
      </c>
      <c r="AT258" s="90">
        <v>0.0</v>
      </c>
      <c r="AU258" s="90">
        <v>0.0</v>
      </c>
      <c r="AV258" s="90">
        <v>0.0</v>
      </c>
      <c r="AW258" s="90">
        <v>0.0</v>
      </c>
      <c r="AX258" s="90">
        <v>0.0</v>
      </c>
      <c r="AY258" s="90">
        <v>0.0</v>
      </c>
      <c r="AZ258" s="90">
        <v>0.0</v>
      </c>
      <c r="BA258" s="90">
        <v>50.0</v>
      </c>
      <c r="BB258" s="79"/>
      <c r="BC258" s="79"/>
      <c r="BD258" s="79"/>
      <c r="BE258" s="79"/>
      <c r="BF258" s="79"/>
      <c r="BG258" s="79" t="str">
        <f t="array" ref="BG258">IF($A258="","", INDEX(CS!$B$1:$B$15025,MATCH($A258,CS!$B:$B,0)+COLUMN(A$1),1))</f>
        <v>槍角</v>
      </c>
      <c r="BH258" s="79" t="str">
        <f t="array" ref="BH258">IF($A258="","", INDEX(CS!$B$1:$B$15025,MATCH($A258,CS!$B:$B,0)+COLUMN(B$1),1))</f>
        <v/>
      </c>
      <c r="BI258" s="79" t="str">
        <f t="array" ref="BI258">IF($A258="","", INDEX(CS!$B$1:$B$15025,MATCH($A258,CS!$B:$B,0)+COLUMN(C$1),1))</f>
        <v>変形角</v>
      </c>
      <c r="BJ258" s="79" t="str">
        <f t="array" ref="BJ258">IF($A258="","", INDEX(CS!$B$1:$B$15025,MATCH($A258,CS!$B:$B,0)+COLUMN(D$1),1))</f>
        <v/>
      </c>
      <c r="BK258" s="79" t="str">
        <f t="array" ref="BK258">IF($A258="","", INDEX(CS!$B$1:$B$15025,MATCH($A258,CS!$B:$B,0)+COLUMN(E$1),1))</f>
        <v>角強化</v>
      </c>
      <c r="BL258" s="79" t="str">
        <f t="array" ref="BL258">IF($A258="","", INDEX(CS!$B$1:$B$15025,MATCH($A258,CS!$B:$B,0)+COLUMN(F$1),1))</f>
        <v>角</v>
      </c>
      <c r="BM258" s="79" t="str">
        <f t="array" ref="BM258">IF($A258="","", INDEX(CS!$B$1:$B$15025,MATCH($A258,CS!$B:$B,0)+COLUMN(G$1),1))</f>
        <v>角操作</v>
      </c>
      <c r="BN258" s="79" t="str">
        <f t="array" ref="BN258">IF($A258="","", INDEX(CS!$B$1:$B$15025,MATCH($A258,CS!$B:$B,0)+COLUMN(H$1),1))</f>
        <v/>
      </c>
      <c r="BO258" s="79" t="str">
        <f t="array" ref="BO258">IF($A258="","", INDEX(CS!$B$1:$B$15025,MATCH($A258,CS!$B:$B,0)+COLUMN(I$1),1))</f>
        <v>鋭き角</v>
      </c>
      <c r="BP258" s="79" t="str">
        <f t="array" ref="BP258">IF($A258="","", INDEX(CS!$B$1:$B$15025,MATCH($A258,CS!$B:$B,0)+COLUMN(J$1),1))</f>
        <v/>
      </c>
      <c r="BQ258" s="79"/>
      <c r="BR258" s="79"/>
      <c r="BS258" s="83"/>
      <c r="BT258" s="79"/>
      <c r="BU258" s="90" t="s">
        <v>2897</v>
      </c>
      <c r="BV258" s="79"/>
      <c r="BW258" s="79"/>
      <c r="BX258" s="79"/>
      <c r="BY258" s="79"/>
      <c r="BZ258" s="79"/>
      <c r="CA258" s="79"/>
      <c r="CB258" s="79"/>
      <c r="CC258" s="79"/>
      <c r="CD258" s="79"/>
      <c r="CE258" s="79"/>
      <c r="CF258" s="79"/>
      <c r="CG258" s="79"/>
      <c r="CH258" s="79"/>
      <c r="CI258" s="79"/>
      <c r="CJ258" s="79"/>
      <c r="CK258" s="79"/>
      <c r="CL258" s="79"/>
      <c r="CM258" s="79"/>
      <c r="CN258" s="79"/>
      <c r="CO258" s="79"/>
      <c r="CP258" s="79"/>
    </row>
    <row r="259" ht="18.75" customHeight="1" outlineLevel="1">
      <c r="A259" s="90" t="s">
        <v>1697</v>
      </c>
      <c r="B259" s="95"/>
      <c r="C259" s="90" t="s">
        <v>2893</v>
      </c>
      <c r="D259" s="92" t="str">
        <f t="shared" si="14"/>
        <v>530/455/75</v>
      </c>
      <c r="E259" s="93">
        <v>1.0</v>
      </c>
      <c r="F259" s="39">
        <v>100.0</v>
      </c>
      <c r="G259" s="79"/>
      <c r="H259" s="79"/>
      <c r="I259" s="41">
        <v>65.0</v>
      </c>
      <c r="J259" s="41">
        <v>110.0</v>
      </c>
      <c r="K259" s="96">
        <v>0.0</v>
      </c>
      <c r="L259" s="97">
        <v>60.0</v>
      </c>
      <c r="M259" s="90">
        <v>50.0</v>
      </c>
      <c r="N259" s="90">
        <v>70.0</v>
      </c>
      <c r="O259" s="79"/>
      <c r="P259" s="79">
        <v>0.0</v>
      </c>
      <c r="Q259" s="82"/>
      <c r="R259" s="82"/>
      <c r="S259" s="82"/>
      <c r="T259" s="82"/>
      <c r="U259" s="82"/>
      <c r="V259" s="82"/>
      <c r="W259" s="82"/>
      <c r="X259" s="82"/>
      <c r="Y259" s="82"/>
      <c r="Z259" s="82"/>
      <c r="AA259" s="82"/>
      <c r="AB259" s="79"/>
      <c r="AC259" s="79"/>
      <c r="AD259" s="79"/>
      <c r="AE259" s="79"/>
      <c r="AF259" s="79"/>
      <c r="AG259" s="79"/>
      <c r="AH259" s="79"/>
      <c r="AI259" s="79"/>
      <c r="AJ259" s="90">
        <v>0.0</v>
      </c>
      <c r="AK259" s="90">
        <v>25.0</v>
      </c>
      <c r="AL259" s="90">
        <v>0.0</v>
      </c>
      <c r="AM259" s="90">
        <v>0.0</v>
      </c>
      <c r="AN259" s="90">
        <v>25.0</v>
      </c>
      <c r="AO259" s="90">
        <v>0.0</v>
      </c>
      <c r="AP259" s="90">
        <v>0.0</v>
      </c>
      <c r="AQ259" s="90">
        <v>0.0</v>
      </c>
      <c r="AR259" s="90">
        <v>25.0</v>
      </c>
      <c r="AS259" s="90">
        <v>0.0</v>
      </c>
      <c r="AT259" s="90">
        <v>0.0</v>
      </c>
      <c r="AU259" s="90">
        <v>0.0</v>
      </c>
      <c r="AV259" s="90">
        <v>0.0</v>
      </c>
      <c r="AW259" s="90">
        <v>0.0</v>
      </c>
      <c r="AX259" s="90">
        <v>0.0</v>
      </c>
      <c r="AY259" s="90">
        <v>0.0</v>
      </c>
      <c r="AZ259" s="90">
        <v>0.0</v>
      </c>
      <c r="BA259" s="79"/>
      <c r="BB259" s="79"/>
      <c r="BC259" s="79"/>
      <c r="BD259" s="79"/>
      <c r="BE259" s="79"/>
      <c r="BF259" s="90">
        <v>50.0</v>
      </c>
      <c r="BG259" s="79" t="str">
        <f t="array" ref="BG259">IF($A259="","", INDEX(CS!$B$1:$B$15025,MATCH($A259,CS!$B:$B,0)+COLUMN(A$1),1))</f>
        <v>装甲突撃</v>
      </c>
      <c r="BH259" s="79" t="str">
        <f t="array" ref="BH259">IF($A259="","", INDEX(CS!$B$1:$B$15025,MATCH($A259,CS!$B:$B,0)+COLUMN(B$1),1))</f>
        <v/>
      </c>
      <c r="BI259" s="79" t="str">
        <f t="array" ref="BI259">IF($A259="","", INDEX(CS!$B$1:$B$15025,MATCH($A259,CS!$B:$B,0)+COLUMN(C$1),1))</f>
        <v>変形装甲</v>
      </c>
      <c r="BJ259" s="79" t="str">
        <f t="array" ref="BJ259">IF($A259="","", INDEX(CS!$B$1:$B$15025,MATCH($A259,CS!$B:$B,0)+COLUMN(D$1),1))</f>
        <v/>
      </c>
      <c r="BK259" s="79" t="str">
        <f t="array" ref="BK259">IF($A259="","", INDEX(CS!$B$1:$B$15025,MATCH($A259,CS!$B:$B,0)+COLUMN(E$1),1))</f>
        <v>装甲強化</v>
      </c>
      <c r="BL259" s="79" t="str">
        <f t="array" ref="BL259">IF($A259="","", INDEX(CS!$B$1:$B$15025,MATCH($A259,CS!$B:$B,0)+COLUMN(F$1),1))</f>
        <v>踏みつけ</v>
      </c>
      <c r="BM259" s="79" t="str">
        <f t="array" ref="BM259">IF($A259="","", INDEX(CS!$B$1:$B$15025,MATCH($A259,CS!$B:$B,0)+COLUMN(G$1),1))</f>
        <v>装甲操作</v>
      </c>
      <c r="BN259" s="79" t="str">
        <f t="array" ref="BN259">IF($A259="","", INDEX(CS!$B$1:$B$15025,MATCH($A259,CS!$B:$B,0)+COLUMN(H$1),1))</f>
        <v/>
      </c>
      <c r="BO259" s="79" t="str">
        <f t="array" ref="BO259">IF($A259="","", INDEX(CS!$B$1:$B$15025,MATCH($A259,CS!$B:$B,0)+COLUMN(I$1),1))</f>
        <v>鋭き装甲</v>
      </c>
      <c r="BP259" s="79" t="str">
        <f t="array" ref="BP259">IF($A259="","", INDEX(CS!$B$1:$B$15025,MATCH($A259,CS!$B:$B,0)+COLUMN(J$1),1))</f>
        <v/>
      </c>
      <c r="BQ259" s="79"/>
      <c r="BR259" s="79"/>
      <c r="BS259" s="83"/>
      <c r="BT259" s="79"/>
      <c r="BU259" s="90" t="s">
        <v>2898</v>
      </c>
      <c r="BV259" s="79"/>
      <c r="BW259" s="79"/>
      <c r="BX259" s="79"/>
      <c r="BY259" s="79"/>
      <c r="BZ259" s="79"/>
      <c r="CA259" s="79"/>
      <c r="CB259" s="79"/>
      <c r="CC259" s="79"/>
      <c r="CD259" s="79"/>
      <c r="CE259" s="79"/>
      <c r="CF259" s="79"/>
      <c r="CG259" s="79"/>
      <c r="CH259" s="79"/>
      <c r="CI259" s="79"/>
      <c r="CJ259" s="79"/>
      <c r="CK259" s="79"/>
      <c r="CL259" s="79"/>
      <c r="CM259" s="79"/>
      <c r="CN259" s="79"/>
      <c r="CO259" s="79"/>
      <c r="CP259" s="79"/>
    </row>
    <row r="260" ht="18.75" customHeight="1" outlineLevel="1">
      <c r="A260" s="90" t="s">
        <v>1708</v>
      </c>
      <c r="B260" s="95"/>
      <c r="C260" s="90" t="s">
        <v>2893</v>
      </c>
      <c r="D260" s="92" t="str">
        <f t="shared" si="14"/>
        <v>625/450/175</v>
      </c>
      <c r="E260" s="93">
        <v>1.0</v>
      </c>
      <c r="F260" s="39">
        <v>70.0</v>
      </c>
      <c r="G260" s="79"/>
      <c r="H260" s="79"/>
      <c r="I260" s="41">
        <v>70.0</v>
      </c>
      <c r="J260" s="41">
        <v>55.0</v>
      </c>
      <c r="K260" s="96">
        <v>0.0</v>
      </c>
      <c r="L260" s="97">
        <v>50.0</v>
      </c>
      <c r="M260" s="90">
        <v>115.0</v>
      </c>
      <c r="N260" s="90">
        <v>90.0</v>
      </c>
      <c r="O260" s="79"/>
      <c r="P260" s="79">
        <v>0.0</v>
      </c>
      <c r="Q260" s="82"/>
      <c r="R260" s="82"/>
      <c r="S260" s="82"/>
      <c r="T260" s="82"/>
      <c r="U260" s="82"/>
      <c r="V260" s="82"/>
      <c r="W260" s="82"/>
      <c r="X260" s="82"/>
      <c r="Y260" s="82"/>
      <c r="Z260" s="82"/>
      <c r="AA260" s="82"/>
      <c r="AB260" s="79"/>
      <c r="AC260" s="79"/>
      <c r="AD260" s="79"/>
      <c r="AE260" s="79"/>
      <c r="AF260" s="79"/>
      <c r="AG260" s="79"/>
      <c r="AH260" s="79"/>
      <c r="AI260" s="79"/>
      <c r="AJ260" s="90">
        <v>0.0</v>
      </c>
      <c r="AK260" s="90">
        <v>0.0</v>
      </c>
      <c r="AL260" s="90">
        <v>25.0</v>
      </c>
      <c r="AM260" s="90">
        <v>75.0</v>
      </c>
      <c r="AN260" s="90">
        <v>0.0</v>
      </c>
      <c r="AO260" s="90">
        <v>0.0</v>
      </c>
      <c r="AP260" s="90">
        <v>0.0</v>
      </c>
      <c r="AQ260" s="90">
        <v>25.0</v>
      </c>
      <c r="AR260" s="90">
        <v>50.0</v>
      </c>
      <c r="AS260" s="90">
        <v>0.0</v>
      </c>
      <c r="AT260" s="90">
        <v>0.0</v>
      </c>
      <c r="AU260" s="90">
        <v>0.0</v>
      </c>
      <c r="AV260" s="90">
        <v>0.0</v>
      </c>
      <c r="AW260" s="90">
        <v>0.0</v>
      </c>
      <c r="AX260" s="90">
        <v>0.0</v>
      </c>
      <c r="AY260" s="90">
        <v>0.0</v>
      </c>
      <c r="AZ260" s="90">
        <v>0.0</v>
      </c>
      <c r="BA260" s="79"/>
      <c r="BB260" s="79"/>
      <c r="BC260" s="79"/>
      <c r="BD260" s="79"/>
      <c r="BE260" s="90">
        <v>50.0</v>
      </c>
      <c r="BF260" s="79"/>
      <c r="BG260" s="79" t="str">
        <f t="array" ref="BG260">IF($A260="","", INDEX(CS!$B$1:$B$15025,MATCH($A260,CS!$B:$B,0)+COLUMN(A$1),1))</f>
        <v>翼刃</v>
      </c>
      <c r="BH260" s="79" t="str">
        <f t="array" ref="BH260">IF($A260="","", INDEX(CS!$B$1:$B$15025,MATCH($A260,CS!$B:$B,0)+COLUMN(B$1),1))</f>
        <v/>
      </c>
      <c r="BI260" s="79" t="str">
        <f t="array" ref="BI260">IF($A260="","", INDEX(CS!$B$1:$B$15025,MATCH($A260,CS!$B:$B,0)+COLUMN(C$1),1))</f>
        <v>変形翼</v>
      </c>
      <c r="BJ260" s="79" t="str">
        <f t="array" ref="BJ260">IF($A260="","", INDEX(CS!$B$1:$B$15025,MATCH($A260,CS!$B:$B,0)+COLUMN(D$1),1))</f>
        <v/>
      </c>
      <c r="BK260" s="79" t="str">
        <f t="array" ref="BK260">IF($A260="","", INDEX(CS!$B$1:$B$15025,MATCH($A260,CS!$B:$B,0)+COLUMN(E$1),1))</f>
        <v>翼強化</v>
      </c>
      <c r="BL260" s="79" t="str">
        <f t="array" ref="BL260">IF($A260="","", INDEX(CS!$B$1:$B$15025,MATCH($A260,CS!$B:$B,0)+COLUMN(F$1),1))</f>
        <v>翼</v>
      </c>
      <c r="BM260" s="79" t="str">
        <f t="array" ref="BM260">IF($A260="","", INDEX(CS!$B$1:$B$15025,MATCH($A260,CS!$B:$B,0)+COLUMN(G$1),1))</f>
        <v>翼操作</v>
      </c>
      <c r="BN260" s="79" t="str">
        <f t="array" ref="BN260">IF($A260="","", INDEX(CS!$B$1:$B$15025,MATCH($A260,CS!$B:$B,0)+COLUMN(H$1),1))</f>
        <v/>
      </c>
      <c r="BO260" s="79" t="str">
        <f t="array" ref="BO260">IF($A260="","", INDEX(CS!$B$1:$B$15025,MATCH($A260,CS!$B:$B,0)+COLUMN(I$1),1))</f>
        <v>鋭き翼</v>
      </c>
      <c r="BP260" s="79" t="str">
        <f t="array" ref="BP260">IF($A260="","", INDEX(CS!$B$1:$B$15025,MATCH($A260,CS!$B:$B,0)+COLUMN(J$1),1))</f>
        <v/>
      </c>
      <c r="BQ260" s="79"/>
      <c r="BR260" s="79"/>
      <c r="BS260" s="83"/>
      <c r="BT260" s="79"/>
      <c r="BU260" s="90" t="s">
        <v>2899</v>
      </c>
      <c r="BV260" s="79"/>
      <c r="BW260" s="79"/>
      <c r="BX260" s="79"/>
      <c r="BY260" s="79"/>
      <c r="BZ260" s="79"/>
      <c r="CA260" s="79"/>
      <c r="CB260" s="79"/>
      <c r="CC260" s="79"/>
      <c r="CD260" s="79"/>
      <c r="CE260" s="79"/>
      <c r="CF260" s="79"/>
      <c r="CG260" s="79"/>
      <c r="CH260" s="79"/>
      <c r="CI260" s="79"/>
      <c r="CJ260" s="79"/>
      <c r="CK260" s="79"/>
      <c r="CL260" s="79"/>
      <c r="CM260" s="79"/>
      <c r="CN260" s="79"/>
      <c r="CO260" s="79"/>
      <c r="CP260" s="79"/>
    </row>
    <row r="261" ht="18.75" customHeight="1" outlineLevel="1">
      <c r="A261" s="90" t="s">
        <v>1719</v>
      </c>
      <c r="B261" s="95"/>
      <c r="C261" s="90" t="s">
        <v>2893</v>
      </c>
      <c r="D261" s="92" t="str">
        <f t="shared" si="14"/>
        <v>600/450/150</v>
      </c>
      <c r="E261" s="93">
        <v>1.0</v>
      </c>
      <c r="F261" s="39">
        <v>80.0</v>
      </c>
      <c r="G261" s="79"/>
      <c r="H261" s="79"/>
      <c r="I261" s="41">
        <v>85.0</v>
      </c>
      <c r="J261" s="41">
        <v>70.0</v>
      </c>
      <c r="K261" s="96">
        <v>0.0</v>
      </c>
      <c r="L261" s="97">
        <v>50.0</v>
      </c>
      <c r="M261" s="90">
        <v>80.0</v>
      </c>
      <c r="N261" s="90">
        <v>85.0</v>
      </c>
      <c r="O261" s="79"/>
      <c r="P261" s="79">
        <v>0.0</v>
      </c>
      <c r="Q261" s="82"/>
      <c r="R261" s="82"/>
      <c r="S261" s="82"/>
      <c r="T261" s="82"/>
      <c r="U261" s="82"/>
      <c r="V261" s="82"/>
      <c r="W261" s="82"/>
      <c r="X261" s="82"/>
      <c r="Y261" s="82"/>
      <c r="Z261" s="82"/>
      <c r="AA261" s="82"/>
      <c r="AB261" s="79"/>
      <c r="AC261" s="79"/>
      <c r="AD261" s="79"/>
      <c r="AE261" s="79"/>
      <c r="AF261" s="79"/>
      <c r="AG261" s="79"/>
      <c r="AH261" s="79"/>
      <c r="AI261" s="79"/>
      <c r="AJ261" s="90">
        <v>0.0</v>
      </c>
      <c r="AK261" s="90">
        <v>25.0</v>
      </c>
      <c r="AL261" s="90">
        <v>25.0</v>
      </c>
      <c r="AM261" s="90">
        <v>25.0</v>
      </c>
      <c r="AN261" s="90">
        <v>25.0</v>
      </c>
      <c r="AO261" s="90">
        <v>0.0</v>
      </c>
      <c r="AP261" s="90">
        <v>0.0</v>
      </c>
      <c r="AQ261" s="90">
        <v>25.0</v>
      </c>
      <c r="AR261" s="90">
        <v>25.0</v>
      </c>
      <c r="AS261" s="90">
        <v>0.0</v>
      </c>
      <c r="AT261" s="90">
        <v>0.0</v>
      </c>
      <c r="AU261" s="90">
        <v>0.0</v>
      </c>
      <c r="AV261" s="90">
        <v>0.0</v>
      </c>
      <c r="AW261" s="90">
        <v>0.0</v>
      </c>
      <c r="AX261" s="90">
        <v>0.0</v>
      </c>
      <c r="AY261" s="90">
        <v>0.0</v>
      </c>
      <c r="AZ261" s="90">
        <v>0.0</v>
      </c>
      <c r="BA261" s="79"/>
      <c r="BB261" s="79"/>
      <c r="BC261" s="79"/>
      <c r="BD261" s="90">
        <v>50.0</v>
      </c>
      <c r="BE261" s="79"/>
      <c r="BF261" s="79"/>
      <c r="BG261" s="79" t="str">
        <f t="array" ref="BG261">IF($A261="","", INDEX(CS!$B$1:$B$15025,MATCH($A261,CS!$B:$B,0)+COLUMN(A$1),1))</f>
        <v>尾槍</v>
      </c>
      <c r="BH261" s="79" t="str">
        <f t="array" ref="BH261">IF($A261="","", INDEX(CS!$B$1:$B$15025,MATCH($A261,CS!$B:$B,0)+COLUMN(B$1),1))</f>
        <v/>
      </c>
      <c r="BI261" s="79" t="str">
        <f t="array" ref="BI261">IF($A261="","", INDEX(CS!$B$1:$B$15025,MATCH($A261,CS!$B:$B,0)+COLUMN(C$1),1))</f>
        <v>変形尾</v>
      </c>
      <c r="BJ261" s="79" t="str">
        <f t="array" ref="BJ261">IF($A261="","", INDEX(CS!$B$1:$B$15025,MATCH($A261,CS!$B:$B,0)+COLUMN(D$1),1))</f>
        <v/>
      </c>
      <c r="BK261" s="79" t="str">
        <f t="array" ref="BK261">IF($A261="","", INDEX(CS!$B$1:$B$15025,MATCH($A261,CS!$B:$B,0)+COLUMN(E$1),1))</f>
        <v>尾強化</v>
      </c>
      <c r="BL261" s="79" t="str">
        <f t="array" ref="BL261">IF($A261="","", INDEX(CS!$B$1:$B$15025,MATCH($A261,CS!$B:$B,0)+COLUMN(F$1),1))</f>
        <v>尾</v>
      </c>
      <c r="BM261" s="79" t="str">
        <f t="array" ref="BM261">IF($A261="","", INDEX(CS!$B$1:$B$15025,MATCH($A261,CS!$B:$B,0)+COLUMN(G$1),1))</f>
        <v>尾操作</v>
      </c>
      <c r="BN261" s="79" t="str">
        <f t="array" ref="BN261">IF($A261="","", INDEX(CS!$B$1:$B$15025,MATCH($A261,CS!$B:$B,0)+COLUMN(H$1),1))</f>
        <v/>
      </c>
      <c r="BO261" s="79" t="str">
        <f t="array" ref="BO261">IF($A261="","", INDEX(CS!$B$1:$B$15025,MATCH($A261,CS!$B:$B,0)+COLUMN(I$1),1))</f>
        <v>鋭き尾</v>
      </c>
      <c r="BP261" s="79" t="str">
        <f t="array" ref="BP261">IF($A261="","", INDEX(CS!$B$1:$B$15025,MATCH($A261,CS!$B:$B,0)+COLUMN(J$1),1))</f>
        <v/>
      </c>
      <c r="BQ261" s="79"/>
      <c r="BR261" s="79"/>
      <c r="BS261" s="83"/>
      <c r="BT261" s="79"/>
      <c r="BU261" s="90" t="s">
        <v>2900</v>
      </c>
      <c r="BV261" s="79"/>
      <c r="BW261" s="79"/>
      <c r="BX261" s="79"/>
      <c r="BY261" s="79"/>
      <c r="BZ261" s="79"/>
      <c r="CA261" s="79"/>
      <c r="CB261" s="79"/>
      <c r="CC261" s="79"/>
      <c r="CD261" s="79"/>
      <c r="CE261" s="79"/>
      <c r="CF261" s="79"/>
      <c r="CG261" s="79"/>
      <c r="CH261" s="79"/>
      <c r="CI261" s="79"/>
      <c r="CJ261" s="79"/>
      <c r="CK261" s="79"/>
      <c r="CL261" s="79"/>
      <c r="CM261" s="79"/>
      <c r="CN261" s="79"/>
      <c r="CO261" s="79"/>
      <c r="CP261" s="79"/>
    </row>
    <row r="262" ht="18.75" customHeight="1" outlineLevel="1">
      <c r="A262" s="90" t="s">
        <v>1730</v>
      </c>
      <c r="B262" s="95"/>
      <c r="C262" s="90" t="s">
        <v>2893</v>
      </c>
      <c r="D262" s="92" t="str">
        <f t="shared" si="14"/>
        <v>605/455/150</v>
      </c>
      <c r="E262" s="93">
        <v>1.0</v>
      </c>
      <c r="F262" s="39">
        <v>80.0</v>
      </c>
      <c r="G262" s="79"/>
      <c r="H262" s="79"/>
      <c r="I262" s="41">
        <v>80.0</v>
      </c>
      <c r="J262" s="41">
        <v>85.0</v>
      </c>
      <c r="K262" s="96">
        <v>0.0</v>
      </c>
      <c r="L262" s="97">
        <v>50.0</v>
      </c>
      <c r="M262" s="90">
        <v>75.0</v>
      </c>
      <c r="N262" s="90">
        <v>85.0</v>
      </c>
      <c r="O262" s="79"/>
      <c r="P262" s="79">
        <v>0.0</v>
      </c>
      <c r="Q262" s="82"/>
      <c r="R262" s="82"/>
      <c r="S262" s="82"/>
      <c r="T262" s="82"/>
      <c r="U262" s="82"/>
      <c r="V262" s="82"/>
      <c r="W262" s="82"/>
      <c r="X262" s="82"/>
      <c r="Y262" s="82"/>
      <c r="Z262" s="82"/>
      <c r="AA262" s="82"/>
      <c r="AB262" s="79"/>
      <c r="AC262" s="79"/>
      <c r="AD262" s="79"/>
      <c r="AE262" s="79"/>
      <c r="AF262" s="79"/>
      <c r="AG262" s="79"/>
      <c r="AH262" s="79"/>
      <c r="AI262" s="79"/>
      <c r="AJ262" s="90">
        <v>0.0</v>
      </c>
      <c r="AK262" s="90">
        <v>0.0</v>
      </c>
      <c r="AL262" s="90">
        <v>25.0</v>
      </c>
      <c r="AM262" s="90">
        <v>25.0</v>
      </c>
      <c r="AN262" s="90">
        <v>50.0</v>
      </c>
      <c r="AO262" s="90">
        <v>0.0</v>
      </c>
      <c r="AP262" s="90">
        <v>0.0</v>
      </c>
      <c r="AQ262" s="90">
        <v>25.0</v>
      </c>
      <c r="AR262" s="90">
        <v>25.0</v>
      </c>
      <c r="AS262" s="90">
        <v>0.0</v>
      </c>
      <c r="AT262" s="90">
        <v>0.0</v>
      </c>
      <c r="AU262" s="90">
        <v>0.0</v>
      </c>
      <c r="AV262" s="90">
        <v>0.0</v>
      </c>
      <c r="AW262" s="90">
        <v>0.0</v>
      </c>
      <c r="AX262" s="90">
        <v>0.0</v>
      </c>
      <c r="AY262" s="90">
        <v>0.0</v>
      </c>
      <c r="AZ262" s="90">
        <v>0.0</v>
      </c>
      <c r="BA262" s="79"/>
      <c r="BB262" s="79"/>
      <c r="BC262" s="79"/>
      <c r="BD262" s="90"/>
      <c r="BE262" s="79"/>
      <c r="BF262" s="90">
        <v>25.0</v>
      </c>
      <c r="BG262" s="90" t="s">
        <v>1732</v>
      </c>
      <c r="BH262" s="79"/>
      <c r="BI262" s="90" t="s">
        <v>1737</v>
      </c>
      <c r="BJ262" s="79"/>
      <c r="BK262" s="90" t="s">
        <v>1742</v>
      </c>
      <c r="BL262" s="79"/>
      <c r="BM262" s="90" t="s">
        <v>1747</v>
      </c>
      <c r="BN262" s="79"/>
      <c r="BO262" s="90" t="s">
        <v>1752</v>
      </c>
      <c r="BP262" s="90" t="s">
        <v>1756</v>
      </c>
      <c r="BQ262" s="79"/>
      <c r="BR262" s="79"/>
      <c r="BS262" s="83"/>
      <c r="BT262" s="79"/>
      <c r="BU262" s="90"/>
      <c r="BV262" s="79"/>
      <c r="BW262" s="79"/>
      <c r="BX262" s="79"/>
      <c r="BY262" s="79"/>
      <c r="BZ262" s="79"/>
      <c r="CA262" s="79"/>
      <c r="CB262" s="79"/>
      <c r="CC262" s="79"/>
      <c r="CD262" s="79"/>
      <c r="CE262" s="79"/>
      <c r="CF262" s="79"/>
      <c r="CG262" s="79"/>
      <c r="CH262" s="79"/>
      <c r="CI262" s="79"/>
      <c r="CJ262" s="79"/>
      <c r="CK262" s="79"/>
      <c r="CL262" s="79"/>
      <c r="CM262" s="79"/>
      <c r="CN262" s="79"/>
      <c r="CO262" s="79"/>
      <c r="CP262" s="79"/>
    </row>
    <row r="263" ht="18.75" customHeight="1">
      <c r="A263" s="90"/>
      <c r="B263" s="95"/>
      <c r="C263" s="90"/>
      <c r="D263" s="92"/>
      <c r="E263" s="93"/>
      <c r="G263" s="79"/>
      <c r="H263" s="79"/>
      <c r="I263" s="41"/>
      <c r="J263" s="41"/>
      <c r="K263" s="96"/>
      <c r="L263" s="97"/>
      <c r="M263" s="90"/>
      <c r="N263" s="90"/>
      <c r="O263" s="79"/>
      <c r="P263" s="79" t="s">
        <v>29</v>
      </c>
      <c r="Q263" s="82"/>
      <c r="R263" s="82"/>
      <c r="S263" s="82"/>
      <c r="T263" s="82"/>
      <c r="U263" s="82"/>
      <c r="V263" s="82"/>
      <c r="W263" s="82"/>
      <c r="X263" s="82"/>
      <c r="Y263" s="82"/>
      <c r="Z263" s="82"/>
      <c r="AA263" s="82"/>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79"/>
      <c r="AZ263" s="79"/>
      <c r="BA263" s="79"/>
      <c r="BB263" s="79"/>
      <c r="BC263" s="79"/>
      <c r="BD263" s="79"/>
      <c r="BE263" s="79"/>
      <c r="BF263" s="79"/>
      <c r="BG263" s="79" t="str">
        <f t="array" ref="BG263">IF($A263="","", INDEX(CS!$B$1:$B$15025,MATCH($A263,CS!$B:$B,0)+COLUMN(A$1),1))</f>
        <v/>
      </c>
      <c r="BH263" s="79" t="str">
        <f t="array" ref="BH263">IF($A263="","", INDEX(CS!$B$1:$B$15025,MATCH($A263,CS!$B:$B,0)+COLUMN(B$1),1))</f>
        <v/>
      </c>
      <c r="BI263" s="79" t="str">
        <f t="array" ref="BI263">IF($A263="","", INDEX(CS!$B$1:$B$15025,MATCH($A263,CS!$B:$B,0)+COLUMN(C$1),1))</f>
        <v/>
      </c>
      <c r="BJ263" s="79" t="str">
        <f t="array" ref="BJ263">IF($A263="","", INDEX(CS!$B$1:$B$15025,MATCH($A263,CS!$B:$B,0)+COLUMN(D$1),1))</f>
        <v/>
      </c>
      <c r="BK263" s="79" t="str">
        <f t="array" ref="BK263">IF($A263="","", INDEX(CS!$B$1:$B$15025,MATCH($A263,CS!$B:$B,0)+COLUMN(E$1),1))</f>
        <v/>
      </c>
      <c r="BL263" s="79" t="str">
        <f t="array" ref="BL263">IF($A263="","", INDEX(CS!$B$1:$B$15025,MATCH($A263,CS!$B:$B,0)+COLUMN(F$1),1))</f>
        <v/>
      </c>
      <c r="BM263" s="79" t="str">
        <f t="array" ref="BM263">IF($A263="","", INDEX(CS!$B$1:$B$15025,MATCH($A263,CS!$B:$B,0)+COLUMN(G$1),1))</f>
        <v/>
      </c>
      <c r="BN263" s="79" t="str">
        <f t="array" ref="BN263">IF($A263="","", INDEX(CS!$B$1:$B$15025,MATCH($A263,CS!$B:$B,0)+COLUMN(H$1),1))</f>
        <v/>
      </c>
      <c r="BO263" s="79" t="str">
        <f t="array" ref="BO263">IF($A263="","", INDEX(CS!$B$1:$B$15025,MATCH($A263,CS!$B:$B,0)+COLUMN(I$1),1))</f>
        <v/>
      </c>
      <c r="BP263" s="79" t="str">
        <f t="array" ref="BP263">IF($A263="","", INDEX(CS!$B$1:$B$15025,MATCH($A263,CS!$B:$B,0)+COLUMN(J$1),1))</f>
        <v/>
      </c>
      <c r="BQ263" s="79"/>
      <c r="BR263" s="79"/>
      <c r="BS263" s="83"/>
      <c r="BT263" s="79"/>
      <c r="BU263" s="90"/>
      <c r="BV263" s="79"/>
      <c r="BW263" s="79"/>
      <c r="BX263" s="79"/>
      <c r="BY263" s="79"/>
      <c r="BZ263" s="79"/>
      <c r="CA263" s="79"/>
      <c r="CB263" s="79"/>
      <c r="CC263" s="79"/>
      <c r="CD263" s="79"/>
      <c r="CE263" s="79"/>
      <c r="CF263" s="79"/>
      <c r="CG263" s="79"/>
      <c r="CH263" s="79"/>
      <c r="CI263" s="79"/>
      <c r="CJ263" s="79"/>
      <c r="CK263" s="79"/>
      <c r="CL263" s="79"/>
      <c r="CM263" s="79"/>
      <c r="CN263" s="79"/>
      <c r="CO263" s="79"/>
      <c r="CP263" s="79"/>
    </row>
    <row r="264" ht="18.75" customHeight="1">
      <c r="A264" s="79"/>
      <c r="B264" s="85" t="s">
        <v>2901</v>
      </c>
      <c r="C264" s="90"/>
      <c r="D264" s="92"/>
      <c r="E264" s="93"/>
      <c r="F264" s="90"/>
      <c r="G264" s="79"/>
      <c r="H264" s="79"/>
      <c r="I264" s="90"/>
      <c r="J264" s="90"/>
      <c r="K264" s="94"/>
      <c r="L264" s="90"/>
      <c r="M264" s="90"/>
      <c r="N264" s="90"/>
      <c r="O264" s="79"/>
      <c r="P264" s="79" t="s">
        <v>29</v>
      </c>
      <c r="Q264" s="82"/>
      <c r="R264" s="82"/>
      <c r="S264" s="82"/>
      <c r="T264" s="82"/>
      <c r="U264" s="82"/>
      <c r="V264" s="82"/>
      <c r="W264" s="82"/>
      <c r="X264" s="82"/>
      <c r="Y264" s="82"/>
      <c r="Z264" s="82"/>
      <c r="AA264" s="82"/>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79"/>
      <c r="AZ264" s="79"/>
      <c r="BA264" s="79"/>
      <c r="BB264" s="79"/>
      <c r="BC264" s="79"/>
      <c r="BD264" s="79"/>
      <c r="BE264" s="79"/>
      <c r="BF264" s="79"/>
      <c r="BG264" s="79" t="str">
        <f t="array" ref="BG264">IF($A264="","", INDEX(CS!$B$1:$B$15025,MATCH($A264,CS!$B:$B,0)+COLUMN(A$1),1))</f>
        <v/>
      </c>
      <c r="BH264" s="79" t="str">
        <f t="array" ref="BH264">IF($A264="","", INDEX(CS!$B$1:$B$15025,MATCH($A264,CS!$B:$B,0)+COLUMN(B$1),1))</f>
        <v/>
      </c>
      <c r="BI264" s="79" t="str">
        <f t="array" ref="BI264">IF($A264="","", INDEX(CS!$B$1:$B$15025,MATCH($A264,CS!$B:$B,0)+COLUMN(C$1),1))</f>
        <v/>
      </c>
      <c r="BJ264" s="79" t="str">
        <f t="array" ref="BJ264">IF($A264="","", INDEX(CS!$B$1:$B$15025,MATCH($A264,CS!$B:$B,0)+COLUMN(D$1),1))</f>
        <v/>
      </c>
      <c r="BK264" s="79" t="str">
        <f t="array" ref="BK264">IF($A264="","", INDEX(CS!$B$1:$B$15025,MATCH($A264,CS!$B:$B,0)+COLUMN(E$1),1))</f>
        <v/>
      </c>
      <c r="BL264" s="79" t="str">
        <f t="array" ref="BL264">IF($A264="","", INDEX(CS!$B$1:$B$15025,MATCH($A264,CS!$B:$B,0)+COLUMN(F$1),1))</f>
        <v/>
      </c>
      <c r="BM264" s="79" t="str">
        <f t="array" ref="BM264">IF($A264="","", INDEX(CS!$B$1:$B$15025,MATCH($A264,CS!$B:$B,0)+COLUMN(G$1),1))</f>
        <v/>
      </c>
      <c r="BN264" s="79" t="str">
        <f t="array" ref="BN264">IF($A264="","", INDEX(CS!$B$1:$B$15025,MATCH($A264,CS!$B:$B,0)+COLUMN(H$1),1))</f>
        <v/>
      </c>
      <c r="BO264" s="79" t="str">
        <f t="array" ref="BO264">IF($A264="","", INDEX(CS!$B$1:$B$15025,MATCH($A264,CS!$B:$B,0)+COLUMN(I$1),1))</f>
        <v/>
      </c>
      <c r="BP264" s="79" t="str">
        <f t="array" ref="BP264">IF($A264="","", INDEX(CS!$B$1:$B$15025,MATCH($A264,CS!$B:$B,0)+COLUMN(J$1),1))</f>
        <v/>
      </c>
      <c r="BQ264" s="79"/>
      <c r="BR264" s="79"/>
      <c r="BS264" s="83"/>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row>
    <row r="265" ht="18.75" customHeight="1">
      <c r="A265" s="79" t="s">
        <v>1760</v>
      </c>
      <c r="B265" s="95"/>
      <c r="C265" s="90" t="s">
        <v>2891</v>
      </c>
      <c r="D265" s="92" t="str">
        <f t="shared" ref="D265:D273" si="15">SUM(AJ265:AZ265,F265:N265)&amp;"/"&amp;SUM(F265:N265)&amp;"/"&amp;SUM(AJ265:AZ265)</f>
        <v>755/605/150</v>
      </c>
      <c r="E265" s="93">
        <v>1.0</v>
      </c>
      <c r="F265" s="37">
        <v>75.0</v>
      </c>
      <c r="G265" s="79"/>
      <c r="H265" s="79"/>
      <c r="I265" s="41">
        <v>70.0</v>
      </c>
      <c r="J265" s="41">
        <v>50.0</v>
      </c>
      <c r="K265" s="96">
        <v>200.0</v>
      </c>
      <c r="L265" s="97">
        <v>75.0</v>
      </c>
      <c r="M265" s="90">
        <v>70.0</v>
      </c>
      <c r="N265" s="90">
        <v>65.0</v>
      </c>
      <c r="O265" s="79"/>
      <c r="P265" s="79">
        <v>0.0</v>
      </c>
      <c r="Q265" s="82"/>
      <c r="R265" s="82"/>
      <c r="S265" s="82"/>
      <c r="T265" s="82"/>
      <c r="U265" s="82"/>
      <c r="V265" s="82"/>
      <c r="W265" s="82"/>
      <c r="X265" s="82"/>
      <c r="Y265" s="82"/>
      <c r="Z265" s="82"/>
      <c r="AA265" s="82"/>
      <c r="AB265" s="79"/>
      <c r="AC265" s="79"/>
      <c r="AD265" s="79"/>
      <c r="AE265" s="79"/>
      <c r="AF265" s="79"/>
      <c r="AG265" s="79"/>
      <c r="AH265" s="79"/>
      <c r="AI265" s="79"/>
      <c r="AJ265" s="90">
        <v>0.0</v>
      </c>
      <c r="AK265" s="90">
        <v>0.0</v>
      </c>
      <c r="AL265" s="90">
        <v>0.0</v>
      </c>
      <c r="AM265" s="90">
        <v>0.0</v>
      </c>
      <c r="AN265" s="90">
        <v>0.0</v>
      </c>
      <c r="AO265" s="90">
        <v>0.0</v>
      </c>
      <c r="AP265" s="90">
        <v>0.0</v>
      </c>
      <c r="AQ265" s="90">
        <v>0.0</v>
      </c>
      <c r="AR265" s="90">
        <v>0.0</v>
      </c>
      <c r="AS265" s="90">
        <v>0.0</v>
      </c>
      <c r="AT265" s="90">
        <v>0.0</v>
      </c>
      <c r="AU265" s="90">
        <v>0.0</v>
      </c>
      <c r="AV265" s="90">
        <v>0.0</v>
      </c>
      <c r="AW265" s="90">
        <v>0.0</v>
      </c>
      <c r="AX265" s="90">
        <v>0.0</v>
      </c>
      <c r="AY265" s="97">
        <v>150.0</v>
      </c>
      <c r="AZ265" s="90">
        <v>0.0</v>
      </c>
      <c r="BA265" s="79"/>
      <c r="BB265" s="79"/>
      <c r="BC265" s="79"/>
      <c r="BD265" s="79"/>
      <c r="BE265" s="79"/>
      <c r="BF265" s="79"/>
      <c r="BG265" s="79" t="str">
        <f t="array" ref="BG265">IF($A265="","", INDEX(CS!$B$1:$B$15025,MATCH($A265,CS!$B:$B,0)+COLUMN(A$1),1))</f>
        <v>炎の適用</v>
      </c>
      <c r="BH265" s="79" t="str">
        <f t="array" ref="BH265">IF($A265="","", INDEX(CS!$B$1:$B$15025,MATCH($A265,CS!$B:$B,0)+COLUMN(B$1),1))</f>
        <v>火炎</v>
      </c>
      <c r="BI265" s="79" t="str">
        <f t="array" ref="BI265">IF($A265="","", INDEX(CS!$B$1:$B$15025,MATCH($A265,CS!$B:$B,0)+COLUMN(C$1),1))</f>
        <v>炎の体</v>
      </c>
      <c r="BJ265" s="79" t="str">
        <f t="array" ref="BJ265">IF($A265="","", INDEX(CS!$B$1:$B$15025,MATCH($A265,CS!$B:$B,0)+COLUMN(D$1),1))</f>
        <v/>
      </c>
      <c r="BK265" s="79" t="str">
        <f t="array" ref="BK265">IF($A265="","", INDEX(CS!$B$1:$B$15025,MATCH($A265,CS!$B:$B,0)+COLUMN(E$1),1))</f>
        <v>反応</v>
      </c>
      <c r="BL265" s="79" t="str">
        <f t="array" ref="BL265">IF($A265="","", INDEX(CS!$B$1:$B$15025,MATCH($A265,CS!$B:$B,0)+COLUMN(F$1),1))</f>
        <v/>
      </c>
      <c r="BM265" s="79" t="str">
        <f t="array" ref="BM265">IF($A265="","", INDEX(CS!$B$1:$B$15025,MATCH($A265,CS!$B:$B,0)+COLUMN(G$1),1))</f>
        <v>火球</v>
      </c>
      <c r="BN265" s="79" t="str">
        <f t="array" ref="BN265">IF($A265="","", INDEX(CS!$B$1:$B$15025,MATCH($A265,CS!$B:$B,0)+COLUMN(H$1),1))</f>
        <v/>
      </c>
      <c r="BO265" s="79" t="str">
        <f t="array" ref="BO265">IF($A265="","", INDEX(CS!$B$1:$B$15025,MATCH($A265,CS!$B:$B,0)+COLUMN(I$1),1))</f>
        <v>炎強化</v>
      </c>
      <c r="BP265" s="79" t="str">
        <f t="array" ref="BP265">IF($A265="","", INDEX(CS!$B$1:$B$15025,MATCH($A265,CS!$B:$B,0)+COLUMN(J$1),1))</f>
        <v>炎の唾</v>
      </c>
      <c r="BQ265" s="79"/>
      <c r="BR265" s="79"/>
      <c r="BS265" s="83"/>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row>
    <row r="266" ht="18.75" customHeight="1" outlineLevel="1">
      <c r="A266" s="79" t="s">
        <v>1763</v>
      </c>
      <c r="B266" s="95"/>
      <c r="C266" s="90" t="s">
        <v>2891</v>
      </c>
      <c r="D266" s="92" t="str">
        <f t="shared" si="15"/>
        <v>755/605/150</v>
      </c>
      <c r="E266" s="93">
        <v>1.0</v>
      </c>
      <c r="F266" s="37">
        <v>75.0</v>
      </c>
      <c r="G266" s="79"/>
      <c r="H266" s="79"/>
      <c r="I266" s="41">
        <v>70.0</v>
      </c>
      <c r="J266" s="41">
        <v>50.0</v>
      </c>
      <c r="K266" s="96">
        <v>200.0</v>
      </c>
      <c r="L266" s="97">
        <v>75.0</v>
      </c>
      <c r="M266" s="90">
        <v>70.0</v>
      </c>
      <c r="N266" s="90">
        <v>65.0</v>
      </c>
      <c r="O266" s="79"/>
      <c r="P266" s="79">
        <v>0.0</v>
      </c>
      <c r="Q266" s="82"/>
      <c r="R266" s="82"/>
      <c r="S266" s="82"/>
      <c r="T266" s="82"/>
      <c r="U266" s="82"/>
      <c r="V266" s="82"/>
      <c r="W266" s="82"/>
      <c r="X266" s="82"/>
      <c r="Y266" s="82"/>
      <c r="Z266" s="82"/>
      <c r="AA266" s="82"/>
      <c r="AB266" s="79"/>
      <c r="AC266" s="79"/>
      <c r="AD266" s="79"/>
      <c r="AE266" s="79"/>
      <c r="AF266" s="79"/>
      <c r="AG266" s="79"/>
      <c r="AH266" s="79"/>
      <c r="AI266" s="79"/>
      <c r="AJ266" s="90">
        <v>0.0</v>
      </c>
      <c r="AK266" s="90">
        <v>0.0</v>
      </c>
      <c r="AL266" s="90">
        <v>0.0</v>
      </c>
      <c r="AM266" s="90">
        <v>0.0</v>
      </c>
      <c r="AN266" s="90">
        <v>0.0</v>
      </c>
      <c r="AO266" s="90">
        <v>0.0</v>
      </c>
      <c r="AP266" s="90">
        <v>0.0</v>
      </c>
      <c r="AQ266" s="90">
        <v>0.0</v>
      </c>
      <c r="AR266" s="90">
        <v>0.0</v>
      </c>
      <c r="AS266" s="90">
        <v>0.0</v>
      </c>
      <c r="AT266" s="90">
        <v>0.0</v>
      </c>
      <c r="AU266" s="90">
        <v>0.0</v>
      </c>
      <c r="AV266" s="90">
        <v>0.0</v>
      </c>
      <c r="AW266" s="90">
        <v>0.0</v>
      </c>
      <c r="AX266" s="90">
        <v>0.0</v>
      </c>
      <c r="AY266" s="97">
        <v>150.0</v>
      </c>
      <c r="AZ266" s="90">
        <v>0.0</v>
      </c>
      <c r="BA266" s="79"/>
      <c r="BB266" s="79"/>
      <c r="BC266" s="79"/>
      <c r="BD266" s="79"/>
      <c r="BE266" s="79"/>
      <c r="BF266" s="79"/>
      <c r="BG266" s="79" t="str">
        <f t="array" ref="BG266">IF($A266="","", INDEX(CS!$B$1:$B$15025,MATCH($A266,CS!$B:$B,0)+COLUMN(A$1),1))</f>
        <v>氷の適用</v>
      </c>
      <c r="BH266" s="79" t="str">
        <f t="array" ref="BH266">IF($A266="","", INDEX(CS!$B$1:$B$15025,MATCH($A266,CS!$B:$B,0)+COLUMN(B$1),1))</f>
        <v>冷気の光線</v>
      </c>
      <c r="BI266" s="79" t="str">
        <f t="array" ref="BI266">IF($A266="","", INDEX(CS!$B$1:$B$15025,MATCH($A266,CS!$B:$B,0)+COLUMN(C$1),1))</f>
        <v>氷の体</v>
      </c>
      <c r="BJ266" s="79" t="str">
        <f t="array" ref="BJ266">IF($A266="","", INDEX(CS!$B$1:$B$15025,MATCH($A266,CS!$B:$B,0)+COLUMN(D$1),1))</f>
        <v/>
      </c>
      <c r="BK266" s="79" t="str">
        <f t="array" ref="BK266">IF($A266="","", INDEX(CS!$B$1:$B$15025,MATCH($A266,CS!$B:$B,0)+COLUMN(E$1),1))</f>
        <v>反応</v>
      </c>
      <c r="BL266" s="79" t="str">
        <f t="array" ref="BL266">IF($A266="","", INDEX(CS!$B$1:$B$15025,MATCH($A266,CS!$B:$B,0)+COLUMN(F$1),1))</f>
        <v/>
      </c>
      <c r="BM266" s="79" t="str">
        <f t="array" ref="BM266">IF($A266="","", INDEX(CS!$B$1:$B$15025,MATCH($A266,CS!$B:$B,0)+COLUMN(G$1),1))</f>
        <v>氷柱弾</v>
      </c>
      <c r="BN266" s="79" t="str">
        <f t="array" ref="BN266">IF($A266="","", INDEX(CS!$B$1:$B$15025,MATCH($A266,CS!$B:$B,0)+COLUMN(H$1),1))</f>
        <v/>
      </c>
      <c r="BO266" s="79" t="str">
        <f t="array" ref="BO266">IF($A266="","", INDEX(CS!$B$1:$B$15025,MATCH($A266,CS!$B:$B,0)+COLUMN(I$1),1))</f>
        <v>氷強化</v>
      </c>
      <c r="BP266" s="79" t="str">
        <f t="array" ref="BP266">IF($A266="","", INDEX(CS!$B$1:$B$15025,MATCH($A266,CS!$B:$B,0)+COLUMN(J$1),1))</f>
        <v>氷の唾</v>
      </c>
      <c r="BQ266" s="79"/>
      <c r="BR266" s="79"/>
      <c r="BS266" s="83"/>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row>
    <row r="267" ht="18.75" customHeight="1" outlineLevel="1">
      <c r="A267" s="79" t="s">
        <v>1766</v>
      </c>
      <c r="B267" s="95"/>
      <c r="C267" s="90" t="s">
        <v>2891</v>
      </c>
      <c r="D267" s="92" t="str">
        <f t="shared" si="15"/>
        <v>755/605/150</v>
      </c>
      <c r="E267" s="93">
        <v>1.0</v>
      </c>
      <c r="F267" s="37">
        <v>75.0</v>
      </c>
      <c r="G267" s="79"/>
      <c r="H267" s="79"/>
      <c r="I267" s="41">
        <v>70.0</v>
      </c>
      <c r="J267" s="41">
        <v>50.0</v>
      </c>
      <c r="K267" s="96">
        <v>200.0</v>
      </c>
      <c r="L267" s="97">
        <v>75.0</v>
      </c>
      <c r="M267" s="90">
        <v>70.0</v>
      </c>
      <c r="N267" s="90">
        <v>65.0</v>
      </c>
      <c r="O267" s="79"/>
      <c r="P267" s="79">
        <v>0.0</v>
      </c>
      <c r="Q267" s="82"/>
      <c r="R267" s="82"/>
      <c r="S267" s="82"/>
      <c r="T267" s="82"/>
      <c r="U267" s="82"/>
      <c r="V267" s="82"/>
      <c r="W267" s="82"/>
      <c r="X267" s="82"/>
      <c r="Y267" s="82"/>
      <c r="Z267" s="82"/>
      <c r="AA267" s="82"/>
      <c r="AB267" s="79"/>
      <c r="AC267" s="79"/>
      <c r="AD267" s="79"/>
      <c r="AE267" s="79"/>
      <c r="AF267" s="79"/>
      <c r="AG267" s="79"/>
      <c r="AH267" s="79"/>
      <c r="AI267" s="79"/>
      <c r="AJ267" s="90">
        <v>0.0</v>
      </c>
      <c r="AK267" s="90">
        <v>0.0</v>
      </c>
      <c r="AL267" s="90">
        <v>0.0</v>
      </c>
      <c r="AM267" s="90">
        <v>0.0</v>
      </c>
      <c r="AN267" s="90">
        <v>0.0</v>
      </c>
      <c r="AO267" s="90">
        <v>0.0</v>
      </c>
      <c r="AP267" s="90">
        <v>0.0</v>
      </c>
      <c r="AQ267" s="90">
        <v>0.0</v>
      </c>
      <c r="AR267" s="90">
        <v>0.0</v>
      </c>
      <c r="AS267" s="90">
        <v>0.0</v>
      </c>
      <c r="AT267" s="90">
        <v>0.0</v>
      </c>
      <c r="AU267" s="90">
        <v>0.0</v>
      </c>
      <c r="AV267" s="90">
        <v>0.0</v>
      </c>
      <c r="AW267" s="90">
        <v>0.0</v>
      </c>
      <c r="AX267" s="90">
        <v>0.0</v>
      </c>
      <c r="AY267" s="97">
        <v>150.0</v>
      </c>
      <c r="AZ267" s="90">
        <v>0.0</v>
      </c>
      <c r="BA267" s="79"/>
      <c r="BB267" s="79"/>
      <c r="BC267" s="79"/>
      <c r="BD267" s="79"/>
      <c r="BE267" s="79"/>
      <c r="BF267" s="79"/>
      <c r="BG267" s="79" t="str">
        <f t="array" ref="BG267">IF($A267="","", INDEX(CS!$B$1:$B$15025,MATCH($A267,CS!$B:$B,0)+COLUMN(A$1),1))</f>
        <v>風の適用</v>
      </c>
      <c r="BH267" s="79" t="str">
        <f t="array" ref="BH267">IF($A267="","", INDEX(CS!$B$1:$B$15025,MATCH($A267,CS!$B:$B,0)+COLUMN(B$1),1))</f>
        <v>突風</v>
      </c>
      <c r="BI267" s="79" t="str">
        <f t="array" ref="BI267">IF($A267="","", INDEX(CS!$B$1:$B$15025,MATCH($A267,CS!$B:$B,0)+COLUMN(C$1),1))</f>
        <v>風の体</v>
      </c>
      <c r="BJ267" s="79" t="str">
        <f t="array" ref="BJ267">IF($A267="","", INDEX(CS!$B$1:$B$15025,MATCH($A267,CS!$B:$B,0)+COLUMN(D$1),1))</f>
        <v/>
      </c>
      <c r="BK267" s="79" t="str">
        <f t="array" ref="BK267">IF($A267="","", INDEX(CS!$B$1:$B$15025,MATCH($A267,CS!$B:$B,0)+COLUMN(E$1),1))</f>
        <v>反応</v>
      </c>
      <c r="BL267" s="79" t="str">
        <f t="array" ref="BL267">IF($A267="","", INDEX(CS!$B$1:$B$15025,MATCH($A267,CS!$B:$B,0)+COLUMN(F$1),1))</f>
        <v/>
      </c>
      <c r="BM267" s="79" t="str">
        <f t="array" ref="BM267">IF($A267="","", INDEX(CS!$B$1:$B$15025,MATCH($A267,CS!$B:$B,0)+COLUMN(G$1),1))</f>
        <v>上昇烈風</v>
      </c>
      <c r="BN267" s="79" t="str">
        <f t="array" ref="BN267">IF($A267="","", INDEX(CS!$B$1:$B$15025,MATCH($A267,CS!$B:$B,0)+COLUMN(H$1),1))</f>
        <v/>
      </c>
      <c r="BO267" s="79" t="str">
        <f t="array" ref="BO267">IF($A267="","", INDEX(CS!$B$1:$B$15025,MATCH($A267,CS!$B:$B,0)+COLUMN(I$1),1))</f>
        <v>風強化</v>
      </c>
      <c r="BP267" s="79" t="str">
        <f t="array" ref="BP267">IF($A267="","", INDEX(CS!$B$1:$B$15025,MATCH($A267,CS!$B:$B,0)+COLUMN(J$1),1))</f>
        <v>風の唾</v>
      </c>
      <c r="BQ267" s="79"/>
      <c r="BR267" s="79"/>
      <c r="BS267" s="83"/>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row>
    <row r="268" ht="18.75" customHeight="1" outlineLevel="1">
      <c r="A268" s="79" t="s">
        <v>1775</v>
      </c>
      <c r="B268" s="95"/>
      <c r="C268" s="90" t="s">
        <v>2891</v>
      </c>
      <c r="D268" s="92" t="str">
        <f t="shared" si="15"/>
        <v>755/605/150</v>
      </c>
      <c r="E268" s="93">
        <v>1.0</v>
      </c>
      <c r="F268" s="37">
        <v>75.0</v>
      </c>
      <c r="G268" s="79"/>
      <c r="H268" s="79"/>
      <c r="I268" s="41">
        <v>70.0</v>
      </c>
      <c r="J268" s="41">
        <v>50.0</v>
      </c>
      <c r="K268" s="96">
        <v>200.0</v>
      </c>
      <c r="L268" s="97">
        <v>75.0</v>
      </c>
      <c r="M268" s="90">
        <v>70.0</v>
      </c>
      <c r="N268" s="90">
        <v>65.0</v>
      </c>
      <c r="O268" s="79"/>
      <c r="P268" s="79">
        <v>0.0</v>
      </c>
      <c r="Q268" s="82"/>
      <c r="R268" s="82"/>
      <c r="S268" s="82"/>
      <c r="T268" s="82"/>
      <c r="U268" s="82"/>
      <c r="V268" s="82"/>
      <c r="W268" s="82"/>
      <c r="X268" s="82"/>
      <c r="Y268" s="82"/>
      <c r="Z268" s="82"/>
      <c r="AA268" s="82"/>
      <c r="AB268" s="79"/>
      <c r="AC268" s="79"/>
      <c r="AD268" s="79"/>
      <c r="AE268" s="79"/>
      <c r="AF268" s="79"/>
      <c r="AG268" s="79"/>
      <c r="AH268" s="79"/>
      <c r="AI268" s="79"/>
      <c r="AJ268" s="90">
        <v>0.0</v>
      </c>
      <c r="AK268" s="90">
        <v>0.0</v>
      </c>
      <c r="AL268" s="90">
        <v>0.0</v>
      </c>
      <c r="AM268" s="90">
        <v>0.0</v>
      </c>
      <c r="AN268" s="90">
        <v>0.0</v>
      </c>
      <c r="AO268" s="90">
        <v>0.0</v>
      </c>
      <c r="AP268" s="90">
        <v>0.0</v>
      </c>
      <c r="AQ268" s="90">
        <v>0.0</v>
      </c>
      <c r="AR268" s="90">
        <v>0.0</v>
      </c>
      <c r="AS268" s="90">
        <v>0.0</v>
      </c>
      <c r="AT268" s="90">
        <v>0.0</v>
      </c>
      <c r="AU268" s="90">
        <v>0.0</v>
      </c>
      <c r="AV268" s="90">
        <v>0.0</v>
      </c>
      <c r="AW268" s="90">
        <v>0.0</v>
      </c>
      <c r="AX268" s="90">
        <v>0.0</v>
      </c>
      <c r="AY268" s="97">
        <v>150.0</v>
      </c>
      <c r="AZ268" s="90">
        <v>0.0</v>
      </c>
      <c r="BA268" s="79"/>
      <c r="BB268" s="79"/>
      <c r="BC268" s="79"/>
      <c r="BD268" s="79"/>
      <c r="BE268" s="79"/>
      <c r="BF268" s="79"/>
      <c r="BG268" s="79" t="str">
        <f t="array" ref="BG268">IF($A268="","", INDEX(CS!$B$1:$B$15025,MATCH($A268,CS!$B:$B,0)+COLUMN(A$1),1))</f>
        <v>雷の適用</v>
      </c>
      <c r="BH268" s="79" t="str">
        <f t="array" ref="BH268">IF($A268="","", INDEX(CS!$B$1:$B$15025,MATCH($A268,CS!$B:$B,0)+COLUMN(B$1),1))</f>
        <v>放電</v>
      </c>
      <c r="BI268" s="79" t="str">
        <f t="array" ref="BI268">IF($A268="","", INDEX(CS!$B$1:$B$15025,MATCH($A268,CS!$B:$B,0)+COLUMN(C$1),1))</f>
        <v>雷の体</v>
      </c>
      <c r="BJ268" s="79" t="str">
        <f t="array" ref="BJ268">IF($A268="","", INDEX(CS!$B$1:$B$15025,MATCH($A268,CS!$B:$B,0)+COLUMN(D$1),1))</f>
        <v/>
      </c>
      <c r="BK268" s="79" t="str">
        <f t="array" ref="BK268">IF($A268="","", INDEX(CS!$B$1:$B$15025,MATCH($A268,CS!$B:$B,0)+COLUMN(E$1),1))</f>
        <v>反応</v>
      </c>
      <c r="BL268" s="79" t="str">
        <f t="array" ref="BL268">IF($A268="","", INDEX(CS!$B$1:$B$15025,MATCH($A268,CS!$B:$B,0)+COLUMN(F$1),1))</f>
        <v/>
      </c>
      <c r="BM268" s="79" t="str">
        <f t="array" ref="BM268">IF($A268="","", INDEX(CS!$B$1:$B$15025,MATCH($A268,CS!$B:$B,0)+COLUMN(G$1),1))</f>
        <v>電弧放電</v>
      </c>
      <c r="BN268" s="79" t="str">
        <f t="array" ref="BN268">IF($A268="","", INDEX(CS!$B$1:$B$15025,MATCH($A268,CS!$B:$B,0)+COLUMN(H$1),1))</f>
        <v/>
      </c>
      <c r="BO268" s="79" t="str">
        <f t="array" ref="BO268">IF($A268="","", INDEX(CS!$B$1:$B$15025,MATCH($A268,CS!$B:$B,0)+COLUMN(I$1),1))</f>
        <v>雷強化</v>
      </c>
      <c r="BP268" s="79" t="str">
        <f t="array" ref="BP268">IF($A268="","", INDEX(CS!$B$1:$B$15025,MATCH($A268,CS!$B:$B,0)+COLUMN(J$1),1))</f>
        <v>雷の唾</v>
      </c>
      <c r="BQ268" s="79"/>
      <c r="BR268" s="79"/>
      <c r="BS268" s="83"/>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row>
    <row r="269" ht="18.75" customHeight="1" outlineLevel="1">
      <c r="A269" s="79" t="s">
        <v>1778</v>
      </c>
      <c r="B269" s="95"/>
      <c r="C269" s="90" t="s">
        <v>2891</v>
      </c>
      <c r="D269" s="92" t="str">
        <f t="shared" si="15"/>
        <v>755/605/150</v>
      </c>
      <c r="E269" s="93">
        <v>1.0</v>
      </c>
      <c r="F269" s="37">
        <v>75.0</v>
      </c>
      <c r="G269" s="79"/>
      <c r="H269" s="79"/>
      <c r="I269" s="41">
        <v>70.0</v>
      </c>
      <c r="J269" s="41">
        <v>50.0</v>
      </c>
      <c r="K269" s="96">
        <v>200.0</v>
      </c>
      <c r="L269" s="97">
        <v>75.0</v>
      </c>
      <c r="M269" s="90">
        <v>70.0</v>
      </c>
      <c r="N269" s="90">
        <v>65.0</v>
      </c>
      <c r="O269" s="79"/>
      <c r="P269" s="79">
        <v>0.0</v>
      </c>
      <c r="Q269" s="82"/>
      <c r="R269" s="82"/>
      <c r="S269" s="82"/>
      <c r="T269" s="82"/>
      <c r="U269" s="82"/>
      <c r="V269" s="82"/>
      <c r="W269" s="82"/>
      <c r="X269" s="82"/>
      <c r="Y269" s="82"/>
      <c r="Z269" s="82"/>
      <c r="AA269" s="82"/>
      <c r="AB269" s="79"/>
      <c r="AC269" s="79"/>
      <c r="AD269" s="79"/>
      <c r="AE269" s="79"/>
      <c r="AF269" s="79"/>
      <c r="AG269" s="79"/>
      <c r="AH269" s="79"/>
      <c r="AI269" s="79"/>
      <c r="AJ269" s="90">
        <v>0.0</v>
      </c>
      <c r="AK269" s="90">
        <v>0.0</v>
      </c>
      <c r="AL269" s="90">
        <v>0.0</v>
      </c>
      <c r="AM269" s="90">
        <v>0.0</v>
      </c>
      <c r="AN269" s="90">
        <v>0.0</v>
      </c>
      <c r="AO269" s="90">
        <v>0.0</v>
      </c>
      <c r="AP269" s="90">
        <v>0.0</v>
      </c>
      <c r="AQ269" s="90">
        <v>0.0</v>
      </c>
      <c r="AR269" s="90">
        <v>0.0</v>
      </c>
      <c r="AS269" s="90">
        <v>0.0</v>
      </c>
      <c r="AT269" s="90">
        <v>0.0</v>
      </c>
      <c r="AU269" s="90">
        <v>0.0</v>
      </c>
      <c r="AV269" s="90">
        <v>0.0</v>
      </c>
      <c r="AW269" s="90">
        <v>0.0</v>
      </c>
      <c r="AX269" s="90">
        <v>0.0</v>
      </c>
      <c r="AY269" s="97">
        <v>150.0</v>
      </c>
      <c r="AZ269" s="90">
        <v>0.0</v>
      </c>
      <c r="BA269" s="79"/>
      <c r="BB269" s="79"/>
      <c r="BC269" s="79"/>
      <c r="BD269" s="79"/>
      <c r="BE269" s="79"/>
      <c r="BF269" s="79"/>
      <c r="BG269" s="79" t="str">
        <f t="array" ref="BG269">IF($A269="","", INDEX(CS!$B$1:$B$15025,MATCH($A269,CS!$B:$B,0)+COLUMN(A$1),1))</f>
        <v>毒の適用</v>
      </c>
      <c r="BH269" s="79" t="str">
        <f t="array" ref="BH269">IF($A269="","", INDEX(CS!$B$1:$B$15025,MATCH($A269,CS!$B:$B,0)+COLUMN(B$1),1))</f>
        <v>酸滴</v>
      </c>
      <c r="BI269" s="79" t="str">
        <f t="array" ref="BI269">IF($A269="","", INDEX(CS!$B$1:$B$15025,MATCH($A269,CS!$B:$B,0)+COLUMN(C$1),1))</f>
        <v>毒の体</v>
      </c>
      <c r="BJ269" s="79" t="str">
        <f t="array" ref="BJ269">IF($A269="","", INDEX(CS!$B$1:$B$15025,MATCH($A269,CS!$B:$B,0)+COLUMN(D$1),1))</f>
        <v/>
      </c>
      <c r="BK269" s="79" t="str">
        <f t="array" ref="BK269">IF($A269="","", INDEX(CS!$B$1:$B$15025,MATCH($A269,CS!$B:$B,0)+COLUMN(E$1),1))</f>
        <v>反応</v>
      </c>
      <c r="BL269" s="79" t="str">
        <f t="array" ref="BL269">IF($A269="","", INDEX(CS!$B$1:$B$15025,MATCH($A269,CS!$B:$B,0)+COLUMN(F$1),1))</f>
        <v/>
      </c>
      <c r="BM269" s="79" t="str">
        <f t="array" ref="BM269">IF($A269="","", INDEX(CS!$B$1:$B$15025,MATCH($A269,CS!$B:$B,0)+COLUMN(G$1),1))</f>
        <v>毒霧</v>
      </c>
      <c r="BN269" s="79" t="str">
        <f t="array" ref="BN269">IF($A269="","", INDEX(CS!$B$1:$B$15025,MATCH($A269,CS!$B:$B,0)+COLUMN(H$1),1))</f>
        <v/>
      </c>
      <c r="BO269" s="79" t="str">
        <f t="array" ref="BO269">IF($A269="","", INDEX(CS!$B$1:$B$15025,MATCH($A269,CS!$B:$B,0)+COLUMN(I$1),1))</f>
        <v>毒強化</v>
      </c>
      <c r="BP269" s="79" t="str">
        <f t="array" ref="BP269">IF($A269="","", INDEX(CS!$B$1:$B$15025,MATCH($A269,CS!$B:$B,0)+COLUMN(J$1),1))</f>
        <v>毒の唾</v>
      </c>
      <c r="BQ269" s="79"/>
      <c r="BR269" s="79"/>
      <c r="BS269" s="83"/>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row>
    <row r="270" ht="18.75" customHeight="1" outlineLevel="1">
      <c r="A270" s="79" t="s">
        <v>1781</v>
      </c>
      <c r="B270" s="95"/>
      <c r="C270" s="90" t="s">
        <v>2891</v>
      </c>
      <c r="D270" s="92" t="str">
        <f t="shared" si="15"/>
        <v>755/605/150</v>
      </c>
      <c r="E270" s="93">
        <v>1.0</v>
      </c>
      <c r="F270" s="37">
        <v>75.0</v>
      </c>
      <c r="G270" s="79"/>
      <c r="H270" s="79"/>
      <c r="I270" s="41">
        <v>70.0</v>
      </c>
      <c r="J270" s="41">
        <v>50.0</v>
      </c>
      <c r="K270" s="96">
        <v>200.0</v>
      </c>
      <c r="L270" s="97">
        <v>75.0</v>
      </c>
      <c r="M270" s="90">
        <v>70.0</v>
      </c>
      <c r="N270" s="90">
        <v>65.0</v>
      </c>
      <c r="O270" s="79"/>
      <c r="P270" s="79">
        <v>0.0</v>
      </c>
      <c r="Q270" s="82"/>
      <c r="R270" s="82"/>
      <c r="S270" s="82"/>
      <c r="T270" s="82"/>
      <c r="U270" s="82"/>
      <c r="V270" s="82"/>
      <c r="W270" s="82"/>
      <c r="X270" s="82"/>
      <c r="Y270" s="82"/>
      <c r="Z270" s="82"/>
      <c r="AA270" s="82"/>
      <c r="AB270" s="79"/>
      <c r="AC270" s="79"/>
      <c r="AD270" s="79"/>
      <c r="AE270" s="79"/>
      <c r="AF270" s="79"/>
      <c r="AG270" s="79"/>
      <c r="AH270" s="79"/>
      <c r="AI270" s="79"/>
      <c r="AJ270" s="90">
        <v>0.0</v>
      </c>
      <c r="AK270" s="90">
        <v>0.0</v>
      </c>
      <c r="AL270" s="90">
        <v>0.0</v>
      </c>
      <c r="AM270" s="90">
        <v>0.0</v>
      </c>
      <c r="AN270" s="90">
        <v>0.0</v>
      </c>
      <c r="AO270" s="90">
        <v>0.0</v>
      </c>
      <c r="AP270" s="90">
        <v>0.0</v>
      </c>
      <c r="AQ270" s="90">
        <v>0.0</v>
      </c>
      <c r="AR270" s="90">
        <v>0.0</v>
      </c>
      <c r="AS270" s="90">
        <v>0.0</v>
      </c>
      <c r="AT270" s="90">
        <v>0.0</v>
      </c>
      <c r="AU270" s="90">
        <v>0.0</v>
      </c>
      <c r="AV270" s="90">
        <v>0.0</v>
      </c>
      <c r="AW270" s="90">
        <v>0.0</v>
      </c>
      <c r="AX270" s="90">
        <v>0.0</v>
      </c>
      <c r="AY270" s="97">
        <v>150.0</v>
      </c>
      <c r="AZ270" s="90">
        <v>0.0</v>
      </c>
      <c r="BA270" s="79"/>
      <c r="BB270" s="79"/>
      <c r="BC270" s="79"/>
      <c r="BD270" s="79"/>
      <c r="BE270" s="79"/>
      <c r="BF270" s="79"/>
      <c r="BG270" s="79" t="str">
        <f t="array" ref="BG270">IF($A270="","", INDEX(CS!$B$1:$B$15025,MATCH($A270,CS!$B:$B,0)+COLUMN(A$1),1))</f>
        <v>水の適用</v>
      </c>
      <c r="BH270" s="79" t="str">
        <f t="array" ref="BH270">IF($A270="","", INDEX(CS!$B$1:$B$15025,MATCH($A270,CS!$B:$B,0)+COLUMN(B$1),1))</f>
        <v>水力</v>
      </c>
      <c r="BI270" s="79" t="str">
        <f t="array" ref="BI270">IF($A270="","", INDEX(CS!$B$1:$B$15025,MATCH($A270,CS!$B:$B,0)+COLUMN(C$1),1))</f>
        <v>水の体</v>
      </c>
      <c r="BJ270" s="79" t="str">
        <f t="array" ref="BJ270">IF($A270="","", INDEX(CS!$B$1:$B$15025,MATCH($A270,CS!$B:$B,0)+COLUMN(D$1),1))</f>
        <v/>
      </c>
      <c r="BK270" s="79" t="str">
        <f t="array" ref="BK270">IF($A270="","", INDEX(CS!$B$1:$B$15025,MATCH($A270,CS!$B:$B,0)+COLUMN(E$1),1))</f>
        <v>反応</v>
      </c>
      <c r="BL270" s="79" t="str">
        <f t="array" ref="BL270">IF($A270="","", INDEX(CS!$B$1:$B$15025,MATCH($A270,CS!$B:$B,0)+COLUMN(F$1),1))</f>
        <v/>
      </c>
      <c r="BM270" s="79" t="str">
        <f t="array" ref="BM270">IF($A270="","", INDEX(CS!$B$1:$B$15025,MATCH($A270,CS!$B:$B,0)+COLUMN(G$1),1))</f>
        <v>川の鞭</v>
      </c>
      <c r="BN270" s="79" t="str">
        <f t="array" ref="BN270">IF($A270="","", INDEX(CS!$B$1:$B$15025,MATCH($A270,CS!$B:$B,0)+COLUMN(H$1),1))</f>
        <v/>
      </c>
      <c r="BO270" s="79" t="str">
        <f t="array" ref="BO270">IF($A270="","", INDEX(CS!$B$1:$B$15025,MATCH($A270,CS!$B:$B,0)+COLUMN(I$1),1))</f>
        <v>水強化</v>
      </c>
      <c r="BP270" s="79" t="str">
        <f t="array" ref="BP270">IF($A270="","", INDEX(CS!$B$1:$B$15025,MATCH($A270,CS!$B:$B,0)+COLUMN(J$1),1))</f>
        <v>水の唾</v>
      </c>
      <c r="BQ270" s="79"/>
      <c r="BR270" s="79"/>
      <c r="BS270" s="83"/>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row>
    <row r="271" ht="18.75" customHeight="1" outlineLevel="1">
      <c r="A271" s="97" t="s">
        <v>1788</v>
      </c>
      <c r="B271" s="95"/>
      <c r="C271" s="90" t="s">
        <v>2891</v>
      </c>
      <c r="D271" s="92" t="str">
        <f t="shared" si="15"/>
        <v>755/605/150</v>
      </c>
      <c r="E271" s="93">
        <v>1.0</v>
      </c>
      <c r="F271" s="37">
        <v>75.0</v>
      </c>
      <c r="G271" s="79"/>
      <c r="H271" s="79"/>
      <c r="I271" s="41">
        <v>70.0</v>
      </c>
      <c r="J271" s="41">
        <v>50.0</v>
      </c>
      <c r="K271" s="96">
        <v>200.0</v>
      </c>
      <c r="L271" s="97">
        <v>75.0</v>
      </c>
      <c r="M271" s="90">
        <v>70.0</v>
      </c>
      <c r="N271" s="90">
        <v>65.0</v>
      </c>
      <c r="O271" s="79"/>
      <c r="P271" s="79">
        <v>0.0</v>
      </c>
      <c r="Q271" s="82"/>
      <c r="R271" s="82"/>
      <c r="S271" s="82"/>
      <c r="T271" s="82"/>
      <c r="U271" s="82"/>
      <c r="V271" s="82"/>
      <c r="W271" s="82"/>
      <c r="X271" s="82"/>
      <c r="Y271" s="82"/>
      <c r="Z271" s="82"/>
      <c r="AA271" s="82"/>
      <c r="AB271" s="79"/>
      <c r="AC271" s="79"/>
      <c r="AD271" s="79"/>
      <c r="AE271" s="79"/>
      <c r="AF271" s="79"/>
      <c r="AG271" s="79"/>
      <c r="AH271" s="79"/>
      <c r="AI271" s="79"/>
      <c r="AJ271" s="90">
        <v>0.0</v>
      </c>
      <c r="AK271" s="90">
        <v>0.0</v>
      </c>
      <c r="AL271" s="90">
        <v>0.0</v>
      </c>
      <c r="AM271" s="90">
        <v>0.0</v>
      </c>
      <c r="AN271" s="90">
        <v>0.0</v>
      </c>
      <c r="AO271" s="90">
        <v>0.0</v>
      </c>
      <c r="AP271" s="90">
        <v>0.0</v>
      </c>
      <c r="AQ271" s="90">
        <v>0.0</v>
      </c>
      <c r="AR271" s="90">
        <v>0.0</v>
      </c>
      <c r="AS271" s="90">
        <v>0.0</v>
      </c>
      <c r="AT271" s="90">
        <v>0.0</v>
      </c>
      <c r="AU271" s="90">
        <v>0.0</v>
      </c>
      <c r="AV271" s="90">
        <v>0.0</v>
      </c>
      <c r="AW271" s="90">
        <v>0.0</v>
      </c>
      <c r="AX271" s="90">
        <v>0.0</v>
      </c>
      <c r="AY271" s="97">
        <v>150.0</v>
      </c>
      <c r="AZ271" s="90">
        <v>0.0</v>
      </c>
      <c r="BA271" s="79"/>
      <c r="BB271" s="79"/>
      <c r="BC271" s="79"/>
      <c r="BD271" s="79"/>
      <c r="BE271" s="79"/>
      <c r="BF271" s="79"/>
      <c r="BG271" s="79" t="str">
        <f t="array" ref="BG271">IF($A271="","", INDEX(CS!$B$1:$B$15025,MATCH($A271,CS!$B:$B,0)+COLUMN(A$1),1))</f>
        <v>石の適用</v>
      </c>
      <c r="BH271" s="79" t="str">
        <f t="array" ref="BH271">IF($A271="","", INDEX(CS!$B$1:$B$15025,MATCH($A271,CS!$B:$B,0)+COLUMN(B$1),1))</f>
        <v>魔法の石</v>
      </c>
      <c r="BI271" s="79" t="str">
        <f t="array" ref="BI271">IF($A271="","", INDEX(CS!$B$1:$B$15025,MATCH($A271,CS!$B:$B,0)+COLUMN(C$1),1))</f>
        <v>石の体</v>
      </c>
      <c r="BJ271" s="79" t="str">
        <f t="array" ref="BJ271">IF($A271="","", INDEX(CS!$B$1:$B$15025,MATCH($A271,CS!$B:$B,0)+COLUMN(D$1),1))</f>
        <v/>
      </c>
      <c r="BK271" s="79" t="str">
        <f t="array" ref="BK271">IF($A271="","", INDEX(CS!$B$1:$B$15025,MATCH($A271,CS!$B:$B,0)+COLUMN(E$1),1))</f>
        <v>反応</v>
      </c>
      <c r="BL271" s="79" t="str">
        <f t="array" ref="BL271">IF($A271="","", INDEX(CS!$B$1:$B$15025,MATCH($A271,CS!$B:$B,0)+COLUMN(F$1),1))</f>
        <v/>
      </c>
      <c r="BM271" s="79" t="str">
        <f t="array" ref="BM271">IF($A271="","", INDEX(CS!$B$1:$B$15025,MATCH($A271,CS!$B:$B,0)+COLUMN(G$1),1))</f>
        <v>水晶片</v>
      </c>
      <c r="BN271" s="79" t="str">
        <f t="array" ref="BN271">IF($A271="","", INDEX(CS!$B$1:$B$15025,MATCH($A271,CS!$B:$B,0)+COLUMN(H$1),1))</f>
        <v/>
      </c>
      <c r="BO271" s="79" t="str">
        <f t="array" ref="BO271">IF($A271="","", INDEX(CS!$B$1:$B$15025,MATCH($A271,CS!$B:$B,0)+COLUMN(I$1),1))</f>
        <v>地強化</v>
      </c>
      <c r="BP271" s="79" t="str">
        <f t="array" ref="BP271">IF($A271="","", INDEX(CS!$B$1:$B$15025,MATCH($A271,CS!$B:$B,0)+COLUMN(J$1),1))</f>
        <v>地の吐息</v>
      </c>
      <c r="BQ271" s="79"/>
      <c r="BR271" s="79"/>
      <c r="BS271" s="83"/>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row>
    <row r="272" ht="18.75" customHeight="1" outlineLevel="1">
      <c r="A272" s="97" t="s">
        <v>1797</v>
      </c>
      <c r="B272" s="95"/>
      <c r="C272" s="90" t="s">
        <v>2891</v>
      </c>
      <c r="D272" s="92" t="str">
        <f t="shared" si="15"/>
        <v>755/605/150</v>
      </c>
      <c r="E272" s="93">
        <v>1.0</v>
      </c>
      <c r="F272" s="37">
        <v>75.0</v>
      </c>
      <c r="G272" s="79"/>
      <c r="H272" s="79"/>
      <c r="I272" s="41">
        <v>70.0</v>
      </c>
      <c r="J272" s="41">
        <v>50.0</v>
      </c>
      <c r="K272" s="96">
        <v>200.0</v>
      </c>
      <c r="L272" s="97">
        <v>75.0</v>
      </c>
      <c r="M272" s="90">
        <v>70.0</v>
      </c>
      <c r="N272" s="90">
        <v>65.0</v>
      </c>
      <c r="O272" s="79"/>
      <c r="P272" s="79">
        <v>0.0</v>
      </c>
      <c r="Q272" s="82"/>
      <c r="R272" s="82"/>
      <c r="S272" s="82"/>
      <c r="T272" s="82"/>
      <c r="U272" s="82"/>
      <c r="V272" s="82"/>
      <c r="W272" s="82"/>
      <c r="X272" s="82"/>
      <c r="Y272" s="82"/>
      <c r="Z272" s="82"/>
      <c r="AA272" s="82"/>
      <c r="AB272" s="79"/>
      <c r="AC272" s="79"/>
      <c r="AD272" s="79"/>
      <c r="AE272" s="79"/>
      <c r="AF272" s="79"/>
      <c r="AG272" s="79"/>
      <c r="AH272" s="79"/>
      <c r="AI272" s="79"/>
      <c r="AJ272" s="90">
        <v>0.0</v>
      </c>
      <c r="AK272" s="90">
        <v>0.0</v>
      </c>
      <c r="AL272" s="90">
        <v>0.0</v>
      </c>
      <c r="AM272" s="90">
        <v>0.0</v>
      </c>
      <c r="AN272" s="90">
        <v>0.0</v>
      </c>
      <c r="AO272" s="90">
        <v>0.0</v>
      </c>
      <c r="AP272" s="90">
        <v>0.0</v>
      </c>
      <c r="AQ272" s="90">
        <v>0.0</v>
      </c>
      <c r="AR272" s="90">
        <v>0.0</v>
      </c>
      <c r="AS272" s="90">
        <v>0.0</v>
      </c>
      <c r="AT272" s="90">
        <v>0.0</v>
      </c>
      <c r="AU272" s="90">
        <v>0.0</v>
      </c>
      <c r="AV272" s="90">
        <v>0.0</v>
      </c>
      <c r="AW272" s="90">
        <v>0.0</v>
      </c>
      <c r="AX272" s="90">
        <v>0.0</v>
      </c>
      <c r="AY272" s="97">
        <v>150.0</v>
      </c>
      <c r="AZ272" s="90">
        <v>0.0</v>
      </c>
      <c r="BA272" s="79"/>
      <c r="BB272" s="79"/>
      <c r="BC272" s="79"/>
      <c r="BD272" s="79"/>
      <c r="BE272" s="79"/>
      <c r="BF272" s="79"/>
      <c r="BG272" s="79" t="str">
        <f t="array" ref="BG272">IF($A272="","", INDEX(CS!$B$1:$B$15025,MATCH($A272,CS!$B:$B,0)+COLUMN(A$1),1))</f>
        <v>太陽の適用</v>
      </c>
      <c r="BH272" s="79" t="str">
        <f t="array" ref="BH272">IF($A272="","", INDEX(CS!$B$1:$B$15025,MATCH($A272,CS!$B:$B,0)+COLUMN(B$1),1))</f>
        <v>光線</v>
      </c>
      <c r="BI272" s="79" t="str">
        <f t="array" ref="BI272">IF($A272="","", INDEX(CS!$B$1:$B$15025,MATCH($A272,CS!$B:$B,0)+COLUMN(C$1),1))</f>
        <v>太陽の体</v>
      </c>
      <c r="BJ272" s="79" t="str">
        <f t="array" ref="BJ272">IF($A272="","", INDEX(CS!$B$1:$B$15025,MATCH($A272,CS!$B:$B,0)+COLUMN(D$1),1))</f>
        <v/>
      </c>
      <c r="BK272" s="79" t="str">
        <f t="array" ref="BK272">IF($A272="","", INDEX(CS!$B$1:$B$15025,MATCH($A272,CS!$B:$B,0)+COLUMN(E$1),1))</f>
        <v>反応</v>
      </c>
      <c r="BL272" s="79" t="str">
        <f t="array" ref="BL272">IF($A272="","", INDEX(CS!$B$1:$B$15025,MATCH($A272,CS!$B:$B,0)+COLUMN(F$1),1))</f>
        <v/>
      </c>
      <c r="BM272" s="79" t="str">
        <f t="array" ref="BM272">IF($A272="","", INDEX(CS!$B$1:$B$15025,MATCH($A272,CS!$B:$B,0)+COLUMN(G$1),1))</f>
        <v>火球</v>
      </c>
      <c r="BN272" s="79" t="str">
        <f t="array" ref="BN272">IF($A272="","", INDEX(CS!$B$1:$B$15025,MATCH($A272,CS!$B:$B,0)+COLUMN(H$1),1))</f>
        <v/>
      </c>
      <c r="BO272" s="79" t="str">
        <f t="array" ref="BO272">IF($A272="","", INDEX(CS!$B$1:$B$15025,MATCH($A272,CS!$B:$B,0)+COLUMN(I$1),1))</f>
        <v>太陽強化</v>
      </c>
      <c r="BP272" s="79" t="str">
        <f t="array" ref="BP272">IF($A272="","", INDEX(CS!$B$1:$B$15025,MATCH($A272,CS!$B:$B,0)+COLUMN(J$1),1))</f>
        <v>太陽の吐息</v>
      </c>
      <c r="BQ272" s="79"/>
      <c r="BR272" s="79"/>
      <c r="BS272" s="83"/>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row>
    <row r="273" ht="18.75" customHeight="1" outlineLevel="1">
      <c r="A273" s="97" t="s">
        <v>1812</v>
      </c>
      <c r="B273" s="95"/>
      <c r="C273" s="90" t="s">
        <v>2891</v>
      </c>
      <c r="D273" s="92" t="str">
        <f t="shared" si="15"/>
        <v>755/605/150</v>
      </c>
      <c r="E273" s="93">
        <v>1.0</v>
      </c>
      <c r="F273" s="37">
        <v>75.0</v>
      </c>
      <c r="G273" s="79"/>
      <c r="H273" s="79"/>
      <c r="I273" s="41">
        <v>70.0</v>
      </c>
      <c r="J273" s="41">
        <v>50.0</v>
      </c>
      <c r="K273" s="96">
        <v>200.0</v>
      </c>
      <c r="L273" s="97">
        <v>75.0</v>
      </c>
      <c r="M273" s="90">
        <v>70.0</v>
      </c>
      <c r="N273" s="90">
        <v>65.0</v>
      </c>
      <c r="O273" s="79"/>
      <c r="P273" s="79">
        <v>0.0</v>
      </c>
      <c r="Q273" s="82"/>
      <c r="R273" s="82"/>
      <c r="S273" s="82"/>
      <c r="T273" s="82"/>
      <c r="U273" s="82"/>
      <c r="V273" s="82"/>
      <c r="W273" s="82"/>
      <c r="X273" s="82"/>
      <c r="Y273" s="82"/>
      <c r="Z273" s="82"/>
      <c r="AA273" s="82"/>
      <c r="AB273" s="79"/>
      <c r="AC273" s="79"/>
      <c r="AD273" s="79"/>
      <c r="AE273" s="79"/>
      <c r="AF273" s="79"/>
      <c r="AG273" s="79"/>
      <c r="AH273" s="79"/>
      <c r="AI273" s="79"/>
      <c r="AJ273" s="90">
        <v>0.0</v>
      </c>
      <c r="AK273" s="90">
        <v>0.0</v>
      </c>
      <c r="AL273" s="90">
        <v>0.0</v>
      </c>
      <c r="AM273" s="90">
        <v>0.0</v>
      </c>
      <c r="AN273" s="90">
        <v>0.0</v>
      </c>
      <c r="AO273" s="90">
        <v>0.0</v>
      </c>
      <c r="AP273" s="90">
        <v>0.0</v>
      </c>
      <c r="AQ273" s="90">
        <v>0.0</v>
      </c>
      <c r="AR273" s="90">
        <v>0.0</v>
      </c>
      <c r="AS273" s="90">
        <v>0.0</v>
      </c>
      <c r="AT273" s="90">
        <v>0.0</v>
      </c>
      <c r="AU273" s="90">
        <v>0.0</v>
      </c>
      <c r="AV273" s="90">
        <v>0.0</v>
      </c>
      <c r="AW273" s="90">
        <v>0.0</v>
      </c>
      <c r="AX273" s="90">
        <v>0.0</v>
      </c>
      <c r="AY273" s="97">
        <v>150.0</v>
      </c>
      <c r="AZ273" s="90">
        <v>0.0</v>
      </c>
      <c r="BA273" s="79"/>
      <c r="BB273" s="79"/>
      <c r="BC273" s="79"/>
      <c r="BD273" s="79"/>
      <c r="BE273" s="79"/>
      <c r="BF273" s="79"/>
      <c r="BG273" s="79" t="str">
        <f t="array" ref="BG273">IF($A273="","", INDEX(CS!$B$1:$B$15025,MATCH($A273,CS!$B:$B,0)+COLUMN(A$1),1))</f>
        <v>月の適用</v>
      </c>
      <c r="BH273" s="79" t="str">
        <f t="array" ref="BH273">IF($A273="","", INDEX(CS!$B$1:$B$15025,MATCH($A273,CS!$B:$B,0)+COLUMN(B$1),1))</f>
        <v>冷気の光線</v>
      </c>
      <c r="BI273" s="79" t="str">
        <f t="array" ref="BI273">IF($A273="","", INDEX(CS!$B$1:$B$15025,MATCH($A273,CS!$B:$B,0)+COLUMN(C$1),1))</f>
        <v>月の体</v>
      </c>
      <c r="BJ273" s="79" t="str">
        <f t="array" ref="BJ273">IF($A273="","", INDEX(CS!$B$1:$B$15025,MATCH($A273,CS!$B:$B,0)+COLUMN(D$1),1))</f>
        <v/>
      </c>
      <c r="BK273" s="79" t="str">
        <f t="array" ref="BK273">IF($A273="","", INDEX(CS!$B$1:$B$15025,MATCH($A273,CS!$B:$B,0)+COLUMN(E$1),1))</f>
        <v>反応</v>
      </c>
      <c r="BL273" s="79" t="str">
        <f t="array" ref="BL273">IF($A273="","", INDEX(CS!$B$1:$B$15025,MATCH($A273,CS!$B:$B,0)+COLUMN(F$1),1))</f>
        <v/>
      </c>
      <c r="BM273" s="79" t="str">
        <f t="array" ref="BM273">IF($A273="","", INDEX(CS!$B$1:$B$15025,MATCH($A273,CS!$B:$B,0)+COLUMN(G$1),1))</f>
        <v>光線</v>
      </c>
      <c r="BN273" s="79" t="str">
        <f t="array" ref="BN273">IF($A273="","", INDEX(CS!$B$1:$B$15025,MATCH($A273,CS!$B:$B,0)+COLUMN(H$1),1))</f>
        <v/>
      </c>
      <c r="BO273" s="79" t="str">
        <f t="array" ref="BO273">IF($A273="","", INDEX(CS!$B$1:$B$15025,MATCH($A273,CS!$B:$B,0)+COLUMN(I$1),1))</f>
        <v>月光強化</v>
      </c>
      <c r="BP273" s="79" t="str">
        <f t="array" ref="BP273">IF($A273="","", INDEX(CS!$B$1:$B$15025,MATCH($A273,CS!$B:$B,0)+COLUMN(J$1),1))</f>
        <v>月の吐息</v>
      </c>
      <c r="BQ273" s="79"/>
      <c r="BR273" s="79"/>
      <c r="BS273" s="83"/>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row>
    <row r="274" ht="18.75" customHeight="1" outlineLevel="1">
      <c r="A274" s="79"/>
      <c r="B274" s="85" t="s">
        <v>2902</v>
      </c>
      <c r="C274" s="90" t="s">
        <v>2891</v>
      </c>
      <c r="D274" s="92"/>
      <c r="E274" s="93"/>
      <c r="F274" s="90"/>
      <c r="G274" s="79"/>
      <c r="H274" s="79"/>
      <c r="I274" s="90"/>
      <c r="J274" s="90"/>
      <c r="K274" s="94"/>
      <c r="L274" s="90"/>
      <c r="M274" s="90"/>
      <c r="N274" s="90"/>
      <c r="O274" s="79"/>
      <c r="P274" s="79" t="s">
        <v>29</v>
      </c>
      <c r="Q274" s="82"/>
      <c r="R274" s="82"/>
      <c r="S274" s="82"/>
      <c r="T274" s="82"/>
      <c r="U274" s="82"/>
      <c r="V274" s="82"/>
      <c r="W274" s="82"/>
      <c r="X274" s="82"/>
      <c r="Y274" s="82"/>
      <c r="Z274" s="82"/>
      <c r="AA274" s="82"/>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79"/>
      <c r="AZ274" s="79"/>
      <c r="BA274" s="79"/>
      <c r="BB274" s="79"/>
      <c r="BC274" s="79"/>
      <c r="BD274" s="79"/>
      <c r="BE274" s="79"/>
      <c r="BF274" s="79"/>
      <c r="BG274" s="79" t="str">
        <f t="array" ref="BG274">IF($A274="","", INDEX(CS!$B$1:$B$15025,MATCH($A274,CS!$B:$B,0)+COLUMN(A$1),1))</f>
        <v/>
      </c>
      <c r="BH274" s="79" t="str">
        <f t="array" ref="BH274">IF($A274="","", INDEX(CS!$B$1:$B$15025,MATCH($A274,CS!$B:$B,0)+COLUMN(B$1),1))</f>
        <v/>
      </c>
      <c r="BI274" s="79" t="str">
        <f t="array" ref="BI274">IF($A274="","", INDEX(CS!$B$1:$B$15025,MATCH($A274,CS!$B:$B,0)+COLUMN(C$1),1))</f>
        <v/>
      </c>
      <c r="BJ274" s="79" t="str">
        <f t="array" ref="BJ274">IF($A274="","", INDEX(CS!$B$1:$B$15025,MATCH($A274,CS!$B:$B,0)+COLUMN(D$1),1))</f>
        <v/>
      </c>
      <c r="BK274" s="79" t="str">
        <f t="array" ref="BK274">IF($A274="","", INDEX(CS!$B$1:$B$15025,MATCH($A274,CS!$B:$B,0)+COLUMN(E$1),1))</f>
        <v/>
      </c>
      <c r="BL274" s="79" t="str">
        <f t="array" ref="BL274">IF($A274="","", INDEX(CS!$B$1:$B$15025,MATCH($A274,CS!$B:$B,0)+COLUMN(F$1),1))</f>
        <v/>
      </c>
      <c r="BM274" s="79" t="str">
        <f t="array" ref="BM274">IF($A274="","", INDEX(CS!$B$1:$B$15025,MATCH($A274,CS!$B:$B,0)+COLUMN(G$1),1))</f>
        <v/>
      </c>
      <c r="BN274" s="79" t="str">
        <f t="array" ref="BN274">IF($A274="","", INDEX(CS!$B$1:$B$15025,MATCH($A274,CS!$B:$B,0)+COLUMN(H$1),1))</f>
        <v/>
      </c>
      <c r="BO274" s="79" t="str">
        <f t="array" ref="BO274">IF($A274="","", INDEX(CS!$B$1:$B$15025,MATCH($A274,CS!$B:$B,0)+COLUMN(I$1),1))</f>
        <v/>
      </c>
      <c r="BP274" s="79" t="str">
        <f t="array" ref="BP274">IF($A274="","", INDEX(CS!$B$1:$B$15025,MATCH($A274,CS!$B:$B,0)+COLUMN(J$1),1))</f>
        <v/>
      </c>
      <c r="BQ274" s="79"/>
      <c r="BR274" s="79"/>
      <c r="BS274" s="83"/>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row>
    <row r="275" ht="18.75" customHeight="1" outlineLevel="1">
      <c r="A275" s="90" t="s">
        <v>1820</v>
      </c>
      <c r="B275" s="95"/>
      <c r="C275" s="90" t="s">
        <v>2891</v>
      </c>
      <c r="D275" s="92" t="str">
        <f t="shared" ref="D275:D279" si="16">SUM(AJ275:AZ275,F275:N275)&amp;"/"&amp;SUM(F275:N275)&amp;"/"&amp;SUM(AJ275:AZ275)</f>
        <v>880/630/250</v>
      </c>
      <c r="E275" s="93">
        <v>1.0</v>
      </c>
      <c r="F275" s="39">
        <v>100.0</v>
      </c>
      <c r="G275" s="79"/>
      <c r="H275" s="79"/>
      <c r="I275" s="41">
        <v>90.0</v>
      </c>
      <c r="J275" s="41">
        <v>85.0</v>
      </c>
      <c r="K275" s="96">
        <v>100.0</v>
      </c>
      <c r="L275" s="97">
        <v>85.0</v>
      </c>
      <c r="M275" s="90">
        <v>85.0</v>
      </c>
      <c r="N275" s="90">
        <v>85.0</v>
      </c>
      <c r="O275" s="79"/>
      <c r="P275" s="79">
        <v>0.0</v>
      </c>
      <c r="Q275" s="82"/>
      <c r="R275" s="82"/>
      <c r="S275" s="82"/>
      <c r="T275" s="82"/>
      <c r="U275" s="82"/>
      <c r="V275" s="82"/>
      <c r="W275" s="82"/>
      <c r="X275" s="82"/>
      <c r="Y275" s="82"/>
      <c r="Z275" s="82"/>
      <c r="AA275" s="82"/>
      <c r="AB275" s="79"/>
      <c r="AC275" s="79"/>
      <c r="AD275" s="79"/>
      <c r="AE275" s="79"/>
      <c r="AF275" s="79"/>
      <c r="AG275" s="79"/>
      <c r="AH275" s="79"/>
      <c r="AI275" s="79"/>
      <c r="AJ275" s="90">
        <v>0.0</v>
      </c>
      <c r="AK275" s="90">
        <v>25.0</v>
      </c>
      <c r="AL275" s="90">
        <v>50.0</v>
      </c>
      <c r="AM275" s="90">
        <v>50.0</v>
      </c>
      <c r="AN275" s="90">
        <v>0.0</v>
      </c>
      <c r="AO275" s="90">
        <v>0.0</v>
      </c>
      <c r="AP275" s="90">
        <v>0.0</v>
      </c>
      <c r="AQ275" s="90">
        <v>25.0</v>
      </c>
      <c r="AR275" s="90">
        <v>50.0</v>
      </c>
      <c r="AS275" s="90">
        <v>0.0</v>
      </c>
      <c r="AT275" s="90">
        <v>0.0</v>
      </c>
      <c r="AU275" s="90">
        <v>0.0</v>
      </c>
      <c r="AV275" s="90">
        <v>0.0</v>
      </c>
      <c r="AW275" s="90">
        <v>0.0</v>
      </c>
      <c r="AX275" s="90">
        <v>0.0</v>
      </c>
      <c r="AY275" s="97">
        <v>50.0</v>
      </c>
      <c r="AZ275" s="90">
        <v>0.0</v>
      </c>
      <c r="BA275" s="79"/>
      <c r="BB275" s="79"/>
      <c r="BC275" s="79"/>
      <c r="BD275" s="79"/>
      <c r="BE275" s="79"/>
      <c r="BF275" s="79"/>
      <c r="BG275" s="79" t="str">
        <f t="array" ref="BG275">IF($A275="","", INDEX(CS!$B$1:$B$15025,MATCH($A275,CS!$B:$B,0)+COLUMN(A$1),1))</f>
        <v>幻獣の肉体</v>
      </c>
      <c r="BH275" s="79" t="str">
        <f t="array" ref="BH275">IF($A275="","", INDEX(CS!$B$1:$B$15025,MATCH($A275,CS!$B:$B,0)+COLUMN(B$1),1))</f>
        <v/>
      </c>
      <c r="BI275" s="79" t="str">
        <f t="array" ref="BI275">IF($A275="","", INDEX(CS!$B$1:$B$15025,MATCH($A275,CS!$B:$B,0)+COLUMN(C$1),1))</f>
        <v>再生</v>
      </c>
      <c r="BJ275" s="79" t="str">
        <f t="array" ref="BJ275">IF($A275="","", INDEX(CS!$B$1:$B$15025,MATCH($A275,CS!$B:$B,0)+COLUMN(D$1),1))</f>
        <v/>
      </c>
      <c r="BK275" s="79" t="str">
        <f t="array" ref="BK275">IF($A275="","", INDEX(CS!$B$1:$B$15025,MATCH($A275,CS!$B:$B,0)+COLUMN(E$1),1))</f>
        <v>超常感覚</v>
      </c>
      <c r="BL275" s="79" t="str">
        <f t="array" ref="BL275">IF($A275="","", INDEX(CS!$B$1:$B$15025,MATCH($A275,CS!$B:$B,0)+COLUMN(F$1),1))</f>
        <v/>
      </c>
      <c r="BM275" s="79" t="str">
        <f t="array" ref="BM275">IF($A275="","", INDEX(CS!$B$1:$B$15025,MATCH($A275,CS!$B:$B,0)+COLUMN(G$1),1))</f>
        <v>超常移動</v>
      </c>
      <c r="BN275" s="79" t="str">
        <f t="array" ref="BN275">IF($A275="","", INDEX(CS!$B$1:$B$15025,MATCH($A275,CS!$B:$B,0)+COLUMN(H$1),1))</f>
        <v/>
      </c>
      <c r="BO275" s="79" t="str">
        <f t="array" ref="BO275">IF($A275="","", INDEX(CS!$B$1:$B$15025,MATCH($A275,CS!$B:$B,0)+COLUMN(I$1),1))</f>
        <v>幻獣の生命力</v>
      </c>
      <c r="BP275" s="79" t="str">
        <f t="array" ref="BP275">IF($A275="","", INDEX(CS!$B$1:$B$15025,MATCH($A275,CS!$B:$B,0)+COLUMN(J$1),1))</f>
        <v>幻獣覚醒</v>
      </c>
      <c r="BQ275" s="79"/>
      <c r="BR275" s="79"/>
      <c r="BS275" s="83"/>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row>
    <row r="276" ht="18.75" customHeight="1" outlineLevel="1">
      <c r="A276" s="90" t="s">
        <v>1838</v>
      </c>
      <c r="B276" s="95"/>
      <c r="C276" s="90" t="s">
        <v>2891</v>
      </c>
      <c r="D276" s="92" t="str">
        <f t="shared" si="16"/>
        <v>810/610/200</v>
      </c>
      <c r="E276" s="93">
        <v>1.0</v>
      </c>
      <c r="F276" s="39">
        <v>95.0</v>
      </c>
      <c r="G276" s="79"/>
      <c r="H276" s="79"/>
      <c r="I276" s="41">
        <v>75.0</v>
      </c>
      <c r="J276" s="41">
        <v>100.0</v>
      </c>
      <c r="K276" s="96">
        <v>100.0</v>
      </c>
      <c r="L276" s="97">
        <v>100.0</v>
      </c>
      <c r="M276" s="90">
        <v>65.0</v>
      </c>
      <c r="N276" s="90">
        <v>75.0</v>
      </c>
      <c r="O276" s="79"/>
      <c r="P276" s="90">
        <v>50.0</v>
      </c>
      <c r="Q276" s="82"/>
      <c r="R276" s="82"/>
      <c r="S276" s="82"/>
      <c r="T276" s="82"/>
      <c r="U276" s="82"/>
      <c r="V276" s="82"/>
      <c r="W276" s="82"/>
      <c r="X276" s="82"/>
      <c r="Y276" s="82"/>
      <c r="Z276" s="82"/>
      <c r="AA276" s="82"/>
      <c r="AB276" s="79"/>
      <c r="AC276" s="79"/>
      <c r="AD276" s="79"/>
      <c r="AE276" s="79"/>
      <c r="AF276" s="79"/>
      <c r="AG276" s="79"/>
      <c r="AH276" s="79"/>
      <c r="AI276" s="79"/>
      <c r="AJ276" s="90">
        <v>0.0</v>
      </c>
      <c r="AK276" s="90">
        <v>0.0</v>
      </c>
      <c r="AL276" s="90">
        <v>50.0</v>
      </c>
      <c r="AM276" s="90">
        <v>0.0</v>
      </c>
      <c r="AN276" s="90">
        <v>0.0</v>
      </c>
      <c r="AO276" s="90">
        <v>0.0</v>
      </c>
      <c r="AP276" s="90">
        <v>0.0</v>
      </c>
      <c r="AQ276" s="90">
        <v>0.0</v>
      </c>
      <c r="AR276" s="90">
        <v>50.0</v>
      </c>
      <c r="AS276" s="90">
        <v>0.0</v>
      </c>
      <c r="AT276" s="90">
        <v>0.0</v>
      </c>
      <c r="AU276" s="90">
        <v>0.0</v>
      </c>
      <c r="AV276" s="90">
        <v>0.0</v>
      </c>
      <c r="AW276" s="90">
        <v>0.0</v>
      </c>
      <c r="AX276" s="90">
        <v>0.0</v>
      </c>
      <c r="AY276" s="97">
        <v>50.0</v>
      </c>
      <c r="AZ276" s="90">
        <v>50.0</v>
      </c>
      <c r="BA276" s="79"/>
      <c r="BB276" s="79"/>
      <c r="BC276" s="79"/>
      <c r="BD276" s="79"/>
      <c r="BE276" s="79"/>
      <c r="BF276" s="79"/>
      <c r="BG276" s="79" t="str">
        <f t="array" ref="BG276">IF($A276="","", INDEX(CS!$B$1:$B$15025,MATCH($A276,CS!$B:$B,0)+COLUMN(A$1),1))</f>
        <v>結界</v>
      </c>
      <c r="BH276" s="79" t="str">
        <f t="array" ref="BH276">IF($A276="","", INDEX(CS!$B$1:$B$15025,MATCH($A276,CS!$B:$B,0)+COLUMN(B$1),1))</f>
        <v/>
      </c>
      <c r="BI276" s="79" t="str">
        <f t="array" ref="BI276">IF($A276="","", INDEX(CS!$B$1:$B$15025,MATCH($A276,CS!$B:$B,0)+COLUMN(C$1),1))</f>
        <v>耐性貫通</v>
      </c>
      <c r="BJ276" s="79" t="str">
        <f t="array" ref="BJ276">IF($A276="","", INDEX(CS!$B$1:$B$15025,MATCH($A276,CS!$B:$B,0)+COLUMN(D$1),1))</f>
        <v/>
      </c>
      <c r="BK276" s="79" t="str">
        <f t="array" ref="BK276">IF($A276="","", INDEX(CS!$B$1:$B$15025,MATCH($A276,CS!$B:$B,0)+COLUMN(E$1),1))</f>
        <v>浄化</v>
      </c>
      <c r="BL276" s="79" t="str">
        <f t="array" ref="BL276">IF($A276="","", INDEX(CS!$B$1:$B$15025,MATCH($A276,CS!$B:$B,0)+COLUMN(F$1),1))</f>
        <v/>
      </c>
      <c r="BM276" s="79" t="str">
        <f t="array" ref="BM276">IF($A276="","", INDEX(CS!$B$1:$B$15025,MATCH($A276,CS!$B:$B,0)+COLUMN(G$1),1))</f>
        <v>ダメージ安定化</v>
      </c>
      <c r="BN276" s="79" t="str">
        <f t="array" ref="BN276">IF($A276="","", INDEX(CS!$B$1:$B$15025,MATCH($A276,CS!$B:$B,0)+COLUMN(H$1),1))</f>
        <v/>
      </c>
      <c r="BO276" s="79" t="str">
        <f t="array" ref="BO276">IF($A276="","", INDEX(CS!$B$1:$B$15025,MATCH($A276,CS!$B:$B,0)+COLUMN(I$1),1))</f>
        <v>神獣の加護</v>
      </c>
      <c r="BP276" s="79" t="str">
        <f t="array" ref="BP276">IF($A276="","", INDEX(CS!$B$1:$B$15025,MATCH($A276,CS!$B:$B,0)+COLUMN(J$1),1))</f>
        <v>神眼</v>
      </c>
      <c r="BQ276" s="79"/>
      <c r="BR276" s="79"/>
      <c r="BS276" s="83"/>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row>
    <row r="277" ht="18.75" customHeight="1" outlineLevel="1">
      <c r="A277" s="90" t="s">
        <v>1857</v>
      </c>
      <c r="B277" s="95"/>
      <c r="C277" s="90" t="s">
        <v>2891</v>
      </c>
      <c r="D277" s="92" t="str">
        <f t="shared" si="16"/>
        <v>850/625/225</v>
      </c>
      <c r="E277" s="93">
        <v>1.0</v>
      </c>
      <c r="F277" s="39">
        <v>110.0</v>
      </c>
      <c r="G277" s="79"/>
      <c r="H277" s="79"/>
      <c r="I277" s="41">
        <v>105.0</v>
      </c>
      <c r="J277" s="41">
        <v>75.0</v>
      </c>
      <c r="K277" s="96">
        <v>100.0</v>
      </c>
      <c r="L277" s="97">
        <v>50.0</v>
      </c>
      <c r="M277" s="90">
        <v>100.0</v>
      </c>
      <c r="N277" s="90">
        <v>85.0</v>
      </c>
      <c r="O277" s="79"/>
      <c r="P277" s="90">
        <v>-25.0</v>
      </c>
      <c r="Q277" s="82"/>
      <c r="R277" s="82"/>
      <c r="S277" s="82"/>
      <c r="T277" s="82"/>
      <c r="U277" s="82"/>
      <c r="V277" s="82"/>
      <c r="W277" s="82"/>
      <c r="X277" s="82"/>
      <c r="Y277" s="82"/>
      <c r="Z277" s="82"/>
      <c r="AA277" s="82"/>
      <c r="AB277" s="79"/>
      <c r="AC277" s="79"/>
      <c r="AD277" s="79"/>
      <c r="AE277" s="79"/>
      <c r="AF277" s="79"/>
      <c r="AG277" s="79"/>
      <c r="AH277" s="79"/>
      <c r="AI277" s="79"/>
      <c r="AJ277" s="90">
        <v>0.0</v>
      </c>
      <c r="AK277" s="90">
        <v>75.0</v>
      </c>
      <c r="AL277" s="90">
        <v>0.0</v>
      </c>
      <c r="AM277" s="90">
        <v>50.0</v>
      </c>
      <c r="AN277" s="90">
        <v>0.0</v>
      </c>
      <c r="AO277" s="90">
        <v>0.0</v>
      </c>
      <c r="AP277" s="90">
        <v>0.0</v>
      </c>
      <c r="AQ277" s="90">
        <v>25.0</v>
      </c>
      <c r="AR277" s="90">
        <v>75.0</v>
      </c>
      <c r="AS277" s="90">
        <v>0.0</v>
      </c>
      <c r="AT277" s="90">
        <v>0.0</v>
      </c>
      <c r="AU277" s="90">
        <v>0.0</v>
      </c>
      <c r="AV277" s="90">
        <v>0.0</v>
      </c>
      <c r="AW277" s="90">
        <v>0.0</v>
      </c>
      <c r="AX277" s="90">
        <v>0.0</v>
      </c>
      <c r="AY277" s="97">
        <v>0.0</v>
      </c>
      <c r="AZ277" s="90">
        <v>0.0</v>
      </c>
      <c r="BA277" s="79"/>
      <c r="BB277" s="79"/>
      <c r="BC277" s="79"/>
      <c r="BD277" s="79"/>
      <c r="BE277" s="79"/>
      <c r="BF277" s="79"/>
      <c r="BG277" s="79" t="str">
        <f t="array" ref="BG277">IF($A277="","", INDEX(CS!$B$1:$B$15025,MATCH($A277,CS!$B:$B,0)+COLUMN(A$1),1))</f>
        <v>高威圧</v>
      </c>
      <c r="BH277" s="79" t="str">
        <f t="array" ref="BH277">IF($A277="","", INDEX(CS!$B$1:$B$15025,MATCH($A277,CS!$B:$B,0)+COLUMN(B$1),1))</f>
        <v/>
      </c>
      <c r="BI277" s="79" t="str">
        <f t="array" ref="BI277">IF($A277="","", INDEX(CS!$B$1:$B$15025,MATCH($A277,CS!$B:$B,0)+COLUMN(C$1),1))</f>
        <v>狂気の咆哮</v>
      </c>
      <c r="BJ277" s="79" t="str">
        <f t="array" ref="BJ277">IF($A277="","", INDEX(CS!$B$1:$B$15025,MATCH($A277,CS!$B:$B,0)+COLUMN(D$1),1))</f>
        <v/>
      </c>
      <c r="BK277" s="79" t="str">
        <f t="array" ref="BK277">IF($A277="","", INDEX(CS!$B$1:$B$15025,MATCH($A277,CS!$B:$B,0)+COLUMN(E$1),1))</f>
        <v>凶獣の疾走</v>
      </c>
      <c r="BL277" s="79" t="str">
        <f t="array" ref="BL277">IF($A277="","", INDEX(CS!$B$1:$B$15025,MATCH($A277,CS!$B:$B,0)+COLUMN(F$1),1))</f>
        <v/>
      </c>
      <c r="BM277" s="79" t="str">
        <f t="array" ref="BM277">IF($A277="","", INDEX(CS!$B$1:$B$15025,MATCH($A277,CS!$B:$B,0)+COLUMN(G$1),1))</f>
        <v>血の匂い</v>
      </c>
      <c r="BN277" s="79" t="str">
        <f t="array" ref="BN277">IF($A277="","", INDEX(CS!$B$1:$B$15025,MATCH($A277,CS!$B:$B,0)+COLUMN(H$1),1))</f>
        <v/>
      </c>
      <c r="BO277" s="79" t="str">
        <f t="array" ref="BO277">IF($A277="","", INDEX(CS!$B$1:$B$15025,MATCH($A277,CS!$B:$B,0)+COLUMN(I$1),1))</f>
        <v>蹂躙強化</v>
      </c>
      <c r="BP277" s="79" t="str">
        <f t="array" ref="BP277">IF($A277="","", INDEX(CS!$B$1:$B$15025,MATCH($A277,CS!$B:$B,0)+COLUMN(J$1),1))</f>
        <v>恐怖の気配</v>
      </c>
      <c r="BQ277" s="79"/>
      <c r="BR277" s="79"/>
      <c r="BS277" s="83"/>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row>
    <row r="278" ht="18.75" customHeight="1" outlineLevel="1">
      <c r="A278" s="90" t="s">
        <v>1876</v>
      </c>
      <c r="B278" s="95"/>
      <c r="C278" s="90" t="s">
        <v>2891</v>
      </c>
      <c r="D278" s="92" t="str">
        <f t="shared" si="16"/>
        <v>840/590/250</v>
      </c>
      <c r="E278" s="93">
        <v>1.0</v>
      </c>
      <c r="F278" s="39">
        <v>80.0</v>
      </c>
      <c r="G278" s="79"/>
      <c r="H278" s="79"/>
      <c r="I278" s="41">
        <v>70.0</v>
      </c>
      <c r="J278" s="41">
        <v>65.0</v>
      </c>
      <c r="K278" s="96">
        <v>100.0</v>
      </c>
      <c r="L278" s="97">
        <v>90.0</v>
      </c>
      <c r="M278" s="90">
        <v>100.0</v>
      </c>
      <c r="N278" s="90">
        <v>85.0</v>
      </c>
      <c r="O278" s="79"/>
      <c r="P278" s="79">
        <v>0.0</v>
      </c>
      <c r="Q278" s="82"/>
      <c r="R278" s="82"/>
      <c r="S278" s="82"/>
      <c r="T278" s="82"/>
      <c r="U278" s="82"/>
      <c r="V278" s="82"/>
      <c r="W278" s="82"/>
      <c r="X278" s="82"/>
      <c r="Y278" s="82"/>
      <c r="Z278" s="82"/>
      <c r="AA278" s="82"/>
      <c r="AB278" s="79"/>
      <c r="AC278" s="79"/>
      <c r="AD278" s="79"/>
      <c r="AE278" s="79"/>
      <c r="AF278" s="79"/>
      <c r="AG278" s="79"/>
      <c r="AH278" s="79"/>
      <c r="AI278" s="79"/>
      <c r="AJ278" s="90">
        <v>0.0</v>
      </c>
      <c r="AK278" s="90">
        <v>25.0</v>
      </c>
      <c r="AL278" s="90">
        <v>50.0</v>
      </c>
      <c r="AM278" s="90">
        <v>50.0</v>
      </c>
      <c r="AN278" s="90">
        <v>0.0</v>
      </c>
      <c r="AO278" s="90">
        <v>0.0</v>
      </c>
      <c r="AP278" s="90">
        <v>0.0</v>
      </c>
      <c r="AQ278" s="90">
        <v>75.0</v>
      </c>
      <c r="AR278" s="90">
        <v>50.0</v>
      </c>
      <c r="AS278" s="90">
        <v>0.0</v>
      </c>
      <c r="AT278" s="90">
        <v>0.0</v>
      </c>
      <c r="AU278" s="90">
        <v>0.0</v>
      </c>
      <c r="AV278" s="90">
        <v>0.0</v>
      </c>
      <c r="AW278" s="90">
        <v>0.0</v>
      </c>
      <c r="AX278" s="90">
        <v>0.0</v>
      </c>
      <c r="AY278" s="97">
        <v>0.0</v>
      </c>
      <c r="AZ278" s="90">
        <v>0.0</v>
      </c>
      <c r="BA278" s="79"/>
      <c r="BB278" s="79"/>
      <c r="BC278" s="79"/>
      <c r="BD278" s="79"/>
      <c r="BE278" s="79"/>
      <c r="BF278" s="79"/>
      <c r="BG278" s="79" t="str">
        <f t="array" ref="BG278">IF($A278="","", INDEX(CS!$B$1:$B$15025,MATCH($A278,CS!$B:$B,0)+COLUMN(A$1),1))</f>
        <v>妖気</v>
      </c>
      <c r="BH278" s="79" t="str">
        <f t="array" ref="BH278">IF($A278="","", INDEX(CS!$B$1:$B$15025,MATCH($A278,CS!$B:$B,0)+COLUMN(B$1),1))</f>
        <v/>
      </c>
      <c r="BI278" s="79" t="str">
        <f t="array" ref="BI278">IF($A278="","", INDEX(CS!$B$1:$B$15025,MATCH($A278,CS!$B:$B,0)+COLUMN(C$1),1))</f>
        <v>幻惑</v>
      </c>
      <c r="BJ278" s="79" t="str">
        <f t="array" ref="BJ278">IF($A278="","", INDEX(CS!$B$1:$B$15025,MATCH($A278,CS!$B:$B,0)+COLUMN(D$1),1))</f>
        <v/>
      </c>
      <c r="BK278" s="79" t="str">
        <f t="array" ref="BK278">IF($A278="","", INDEX(CS!$B$1:$B$15025,MATCH($A278,CS!$B:$B,0)+COLUMN(E$1),1))</f>
        <v>隠形</v>
      </c>
      <c r="BL278" s="79" t="str">
        <f t="array" ref="BL278">IF($A278="","", INDEX(CS!$B$1:$B$15025,MATCH($A278,CS!$B:$B,0)+COLUMN(F$1),1))</f>
        <v/>
      </c>
      <c r="BM278" s="79" t="str">
        <f t="array" ref="BM278">IF($A278="","", INDEX(CS!$B$1:$B$15025,MATCH($A278,CS!$B:$B,0)+COLUMN(G$1),1))</f>
        <v>変化</v>
      </c>
      <c r="BN278" s="79" t="str">
        <f t="array" ref="BN278">IF($A278="","", INDEX(CS!$B$1:$B$15025,MATCH($A278,CS!$B:$B,0)+COLUMN(H$1),1))</f>
        <v/>
      </c>
      <c r="BO278" s="79" t="str">
        <f t="array" ref="BO278">IF($A278="","", INDEX(CS!$B$1:$B$15025,MATCH($A278,CS!$B:$B,0)+COLUMN(I$1),1))</f>
        <v>呪詛</v>
      </c>
      <c r="BP278" s="79" t="str">
        <f t="array" ref="BP278">IF($A278="","", INDEX(CS!$B$1:$B$15025,MATCH($A278,CS!$B:$B,0)+COLUMN(J$1),1))</f>
        <v>妖足</v>
      </c>
      <c r="BQ278" s="79"/>
      <c r="BR278" s="79"/>
      <c r="BS278" s="83"/>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row>
    <row r="279" ht="18.75" customHeight="1" outlineLevel="1">
      <c r="A279" s="90" t="s">
        <v>1894</v>
      </c>
      <c r="B279" s="95"/>
      <c r="C279" s="90" t="s">
        <v>2891</v>
      </c>
      <c r="D279" s="92" t="str">
        <f t="shared" si="16"/>
        <v>735/535/200</v>
      </c>
      <c r="E279" s="93">
        <v>1.0</v>
      </c>
      <c r="F279" s="39">
        <v>110.0</v>
      </c>
      <c r="G279" s="79"/>
      <c r="H279" s="79"/>
      <c r="I279" s="41">
        <v>100.0</v>
      </c>
      <c r="J279" s="41">
        <v>85.0</v>
      </c>
      <c r="K279" s="96">
        <v>0.0</v>
      </c>
      <c r="L279" s="97">
        <v>60.0</v>
      </c>
      <c r="M279" s="90">
        <v>90.0</v>
      </c>
      <c r="N279" s="90">
        <v>90.0</v>
      </c>
      <c r="O279" s="79"/>
      <c r="P279" s="79">
        <v>0.0</v>
      </c>
      <c r="Q279" s="82"/>
      <c r="R279" s="82"/>
      <c r="S279" s="82"/>
      <c r="T279" s="82"/>
      <c r="U279" s="82"/>
      <c r="V279" s="82"/>
      <c r="W279" s="82"/>
      <c r="X279" s="82"/>
      <c r="Y279" s="82"/>
      <c r="Z279" s="82"/>
      <c r="AA279" s="82"/>
      <c r="AB279" s="79"/>
      <c r="AC279" s="79"/>
      <c r="AD279" s="79"/>
      <c r="AE279" s="79"/>
      <c r="AF279" s="79"/>
      <c r="AG279" s="79"/>
      <c r="AH279" s="79"/>
      <c r="AI279" s="79"/>
      <c r="AJ279" s="90">
        <v>0.0</v>
      </c>
      <c r="AK279" s="90">
        <v>50.0</v>
      </c>
      <c r="AL279" s="90">
        <v>50.0</v>
      </c>
      <c r="AM279" s="90">
        <v>0.0</v>
      </c>
      <c r="AN279" s="90">
        <v>0.0</v>
      </c>
      <c r="AO279" s="90">
        <v>0.0</v>
      </c>
      <c r="AP279" s="90">
        <v>0.0</v>
      </c>
      <c r="AQ279" s="90">
        <v>0.0</v>
      </c>
      <c r="AR279" s="90">
        <v>100.0</v>
      </c>
      <c r="AS279" s="90">
        <v>0.0</v>
      </c>
      <c r="AT279" s="90">
        <v>0.0</v>
      </c>
      <c r="AU279" s="90">
        <v>0.0</v>
      </c>
      <c r="AV279" s="90">
        <v>0.0</v>
      </c>
      <c r="AW279" s="90">
        <v>0.0</v>
      </c>
      <c r="AX279" s="90">
        <v>0.0</v>
      </c>
      <c r="AY279" s="97">
        <v>0.0</v>
      </c>
      <c r="AZ279" s="90">
        <v>0.0</v>
      </c>
      <c r="BA279" s="79"/>
      <c r="BB279" s="79"/>
      <c r="BC279" s="79"/>
      <c r="BD279" s="79"/>
      <c r="BE279" s="79"/>
      <c r="BF279" s="79"/>
      <c r="BG279" s="79" t="str">
        <f t="array" ref="BG279">IF($A279="","", INDEX(CS!$B$1:$B$15025,MATCH($A279,CS!$B:$B,0)+COLUMN(A$1),1))</f>
        <v>多頭化Ⅰ</v>
      </c>
      <c r="BH279" s="79" t="str">
        <f t="array" ref="BH279">IF($A279="","", INDEX(CS!$B$1:$B$15025,MATCH($A279,CS!$B:$B,0)+COLUMN(B$1),1))</f>
        <v/>
      </c>
      <c r="BI279" s="79" t="str">
        <f t="array" ref="BI279">IF($A279="","", INDEX(CS!$B$1:$B$15025,MATCH($A279,CS!$B:$B,0)+COLUMN(C$1),1))</f>
        <v>多方向警戒</v>
      </c>
      <c r="BJ279" s="79" t="str">
        <f t="array" ref="BJ279">IF($A279="","", INDEX(CS!$B$1:$B$15025,MATCH($A279,CS!$B:$B,0)+COLUMN(D$1),1))</f>
        <v/>
      </c>
      <c r="BK279" s="79" t="str">
        <f t="array" ref="BK279">IF($A279="","", INDEX(CS!$B$1:$B$15025,MATCH($A279,CS!$B:$B,0)+COLUMN(E$1),1))</f>
        <v>多頭制御</v>
      </c>
      <c r="BL279" s="79" t="str">
        <f t="array" ref="BL279">IF($A279="","", INDEX(CS!$B$1:$B$15025,MATCH($A279,CS!$B:$B,0)+COLUMN(F$1),1))</f>
        <v/>
      </c>
      <c r="BM279" s="79" t="str">
        <f t="array" ref="BM279">IF($A279="","", INDEX(CS!$B$1:$B$15025,MATCH($A279,CS!$B:$B,0)+COLUMN(G$1),1))</f>
        <v>多頭連携</v>
      </c>
      <c r="BN279" s="79" t="str">
        <f t="array" ref="BN279">IF($A279="","", INDEX(CS!$B$1:$B$15025,MATCH($A279,CS!$B:$B,0)+COLUMN(H$1),1))</f>
        <v/>
      </c>
      <c r="BO279" s="79" t="str">
        <f t="array" ref="BO279">IF($A279="","", INDEX(CS!$B$1:$B$15025,MATCH($A279,CS!$B:$B,0)+COLUMN(I$1),1))</f>
        <v>多頭化Ⅱ</v>
      </c>
      <c r="BP279" s="79" t="str">
        <f t="array" ref="BP279">IF($A279="","", INDEX(CS!$B$1:$B$15025,MATCH($A279,CS!$B:$B,0)+COLUMN(J$1),1))</f>
        <v>完全統制</v>
      </c>
      <c r="BQ279" s="79"/>
      <c r="BR279" s="79"/>
      <c r="BS279" s="83"/>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row>
    <row r="280" ht="18.75" customHeight="1" outlineLevel="1">
      <c r="A280" s="97"/>
      <c r="B280" s="95"/>
      <c r="C280" s="90"/>
      <c r="D280" s="92"/>
      <c r="E280" s="93"/>
      <c r="G280" s="79"/>
      <c r="H280" s="79"/>
      <c r="I280" s="41"/>
      <c r="J280" s="41"/>
      <c r="K280" s="96"/>
      <c r="L280" s="97"/>
      <c r="M280" s="90"/>
      <c r="N280" s="90"/>
      <c r="O280" s="79"/>
      <c r="P280" s="79" t="s">
        <v>29</v>
      </c>
      <c r="Q280" s="82"/>
      <c r="R280" s="82"/>
      <c r="S280" s="82"/>
      <c r="T280" s="82"/>
      <c r="U280" s="82"/>
      <c r="V280" s="82"/>
      <c r="W280" s="82"/>
      <c r="X280" s="82"/>
      <c r="Y280" s="82"/>
      <c r="Z280" s="82"/>
      <c r="AA280" s="82"/>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7"/>
      <c r="AZ280" s="79"/>
      <c r="BA280" s="79"/>
      <c r="BB280" s="79"/>
      <c r="BC280" s="79"/>
      <c r="BD280" s="79"/>
      <c r="BE280" s="79"/>
      <c r="BF280" s="79"/>
      <c r="BG280" s="79"/>
      <c r="BH280" s="79"/>
      <c r="BI280" s="79"/>
      <c r="BJ280" s="79"/>
      <c r="BK280" s="79"/>
      <c r="BL280" s="79"/>
      <c r="BM280" s="79"/>
      <c r="BN280" s="79"/>
      <c r="BO280" s="79"/>
      <c r="BP280" s="79"/>
      <c r="BQ280" s="79"/>
      <c r="BR280" s="79"/>
      <c r="BS280" s="83"/>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row>
    <row r="281" ht="18.75" customHeight="1" outlineLevel="1">
      <c r="A281" s="79"/>
      <c r="B281" s="95"/>
      <c r="C281" s="79"/>
      <c r="D281" s="98"/>
      <c r="E281" s="99"/>
      <c r="F281" s="79"/>
      <c r="G281" s="79"/>
      <c r="H281" s="79"/>
      <c r="I281" s="79"/>
      <c r="J281" s="79"/>
      <c r="K281" s="81"/>
      <c r="L281" s="79"/>
      <c r="M281" s="79"/>
      <c r="N281" s="79"/>
      <c r="O281" s="79"/>
      <c r="P281" s="79" t="s">
        <v>29</v>
      </c>
      <c r="Q281" s="82"/>
      <c r="R281" s="82"/>
      <c r="S281" s="82"/>
      <c r="T281" s="82"/>
      <c r="U281" s="82"/>
      <c r="V281" s="82"/>
      <c r="W281" s="82"/>
      <c r="X281" s="82"/>
      <c r="Y281" s="82"/>
      <c r="Z281" s="82"/>
      <c r="AA281" s="82"/>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79"/>
      <c r="AZ281" s="79"/>
      <c r="BA281" s="79"/>
      <c r="BB281" s="79"/>
      <c r="BC281" s="79"/>
      <c r="BD281" s="79"/>
      <c r="BE281" s="79"/>
      <c r="BF281" s="79"/>
      <c r="BG281" s="79" t="str">
        <f t="array" ref="BG281">IF($A281="","", INDEX(CS!$B$1:$B$15025,MATCH($A281,CS!$B:$B,0)+COLUMN(A$1),1))</f>
        <v/>
      </c>
      <c r="BH281" s="79" t="str">
        <f t="array" ref="BH281">IF($A281="","", INDEX(CS!$B$1:$B$15025,MATCH($A281,CS!$B:$B,0)+COLUMN(B$1),1))</f>
        <v/>
      </c>
      <c r="BI281" s="79" t="str">
        <f t="array" ref="BI281">IF($A281="","", INDEX(CS!$B$1:$B$15025,MATCH($A281,CS!$B:$B,0)+COLUMN(C$1),1))</f>
        <v/>
      </c>
      <c r="BJ281" s="79" t="str">
        <f t="array" ref="BJ281">IF($A281="","", INDEX(CS!$B$1:$B$15025,MATCH($A281,CS!$B:$B,0)+COLUMN(D$1),1))</f>
        <v/>
      </c>
      <c r="BK281" s="79" t="str">
        <f t="array" ref="BK281">IF($A281="","", INDEX(CS!$B$1:$B$15025,MATCH($A281,CS!$B:$B,0)+COLUMN(E$1),1))</f>
        <v/>
      </c>
      <c r="BL281" s="79" t="str">
        <f t="array" ref="BL281">IF($A281="","", INDEX(CS!$B$1:$B$15025,MATCH($A281,CS!$B:$B,0)+COLUMN(F$1),1))</f>
        <v/>
      </c>
      <c r="BM281" s="79" t="str">
        <f t="array" ref="BM281">IF($A281="","", INDEX(CS!$B$1:$B$15025,MATCH($A281,CS!$B:$B,0)+COLUMN(G$1),1))</f>
        <v/>
      </c>
      <c r="BN281" s="79" t="str">
        <f t="array" ref="BN281">IF($A281="","", INDEX(CS!$B$1:$B$15025,MATCH($A281,CS!$B:$B,0)+COLUMN(H$1),1))</f>
        <v/>
      </c>
      <c r="BO281" s="79" t="str">
        <f t="array" ref="BO281">IF($A281="","", INDEX(CS!$B$1:$B$15025,MATCH($A281,CS!$B:$B,0)+COLUMN(I$1),1))</f>
        <v/>
      </c>
      <c r="BP281" s="79" t="str">
        <f t="array" ref="BP281">IF($A281="","", INDEX(CS!$B$1:$B$15025,MATCH($A281,CS!$B:$B,0)+COLUMN(J$1),1))</f>
        <v/>
      </c>
      <c r="BQ281" s="79"/>
      <c r="BR281" s="79"/>
      <c r="BS281" s="83"/>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row>
    <row r="282" ht="18.75" customHeight="1">
      <c r="A282" s="79"/>
      <c r="B282" s="95"/>
      <c r="C282" s="79"/>
      <c r="D282" s="98"/>
      <c r="E282" s="99"/>
      <c r="F282" s="79"/>
      <c r="G282" s="79"/>
      <c r="H282" s="79"/>
      <c r="I282" s="79"/>
      <c r="J282" s="79"/>
      <c r="K282" s="81"/>
      <c r="L282" s="79"/>
      <c r="M282" s="79"/>
      <c r="N282" s="79"/>
      <c r="O282" s="79"/>
      <c r="P282" s="79" t="s">
        <v>29</v>
      </c>
      <c r="Q282" s="82"/>
      <c r="R282" s="82"/>
      <c r="S282" s="82"/>
      <c r="T282" s="82"/>
      <c r="U282" s="82"/>
      <c r="V282" s="82"/>
      <c r="W282" s="82"/>
      <c r="X282" s="82"/>
      <c r="Y282" s="82"/>
      <c r="Z282" s="82"/>
      <c r="AA282" s="82"/>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79"/>
      <c r="AZ282" s="79"/>
      <c r="BA282" s="79"/>
      <c r="BB282" s="79"/>
      <c r="BC282" s="79"/>
      <c r="BD282" s="79"/>
      <c r="BE282" s="79"/>
      <c r="BF282" s="79"/>
      <c r="BG282" s="79" t="str">
        <f t="array" ref="BG282">IF($A282="","", INDEX(CS!$B$1:$B$15025,MATCH($A282,CS!$B:$B,0)+COLUMN(A$1),1))</f>
        <v/>
      </c>
      <c r="BH282" s="79" t="str">
        <f t="array" ref="BH282">IF($A282="","", INDEX(CS!$B$1:$B$15025,MATCH($A282,CS!$B:$B,0)+COLUMN(B$1),1))</f>
        <v/>
      </c>
      <c r="BI282" s="79" t="str">
        <f t="array" ref="BI282">IF($A282="","", INDEX(CS!$B$1:$B$15025,MATCH($A282,CS!$B:$B,0)+COLUMN(C$1),1))</f>
        <v/>
      </c>
      <c r="BJ282" s="79" t="str">
        <f t="array" ref="BJ282">IF($A282="","", INDEX(CS!$B$1:$B$15025,MATCH($A282,CS!$B:$B,0)+COLUMN(D$1),1))</f>
        <v/>
      </c>
      <c r="BK282" s="79" t="str">
        <f t="array" ref="BK282">IF($A282="","", INDEX(CS!$B$1:$B$15025,MATCH($A282,CS!$B:$B,0)+COLUMN(E$1),1))</f>
        <v/>
      </c>
      <c r="BL282" s="79" t="str">
        <f t="array" ref="BL282">IF($A282="","", INDEX(CS!$B$1:$B$15025,MATCH($A282,CS!$B:$B,0)+COLUMN(F$1),1))</f>
        <v/>
      </c>
      <c r="BM282" s="79" t="str">
        <f t="array" ref="BM282">IF($A282="","", INDEX(CS!$B$1:$B$15025,MATCH($A282,CS!$B:$B,0)+COLUMN(G$1),1))</f>
        <v/>
      </c>
      <c r="BN282" s="79" t="str">
        <f t="array" ref="BN282">IF($A282="","", INDEX(CS!$B$1:$B$15025,MATCH($A282,CS!$B:$B,0)+COLUMN(H$1),1))</f>
        <v/>
      </c>
      <c r="BO282" s="79" t="str">
        <f t="array" ref="BO282">IF($A282="","", INDEX(CS!$B$1:$B$15025,MATCH($A282,CS!$B:$B,0)+COLUMN(I$1),1))</f>
        <v/>
      </c>
      <c r="BP282" s="79" t="str">
        <f t="array" ref="BP282">IF($A282="","", INDEX(CS!$B$1:$B$15025,MATCH($A282,CS!$B:$B,0)+COLUMN(J$1),1))</f>
        <v/>
      </c>
      <c r="BQ282" s="79"/>
      <c r="BR282" s="79"/>
      <c r="BS282" s="83"/>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row>
    <row r="283" ht="18.75" customHeight="1">
      <c r="A283" s="79"/>
      <c r="B283" s="95"/>
      <c r="C283" s="79"/>
      <c r="D283" s="98"/>
      <c r="E283" s="99"/>
      <c r="F283" s="79"/>
      <c r="G283" s="79"/>
      <c r="H283" s="79"/>
      <c r="I283" s="79"/>
      <c r="J283" s="79"/>
      <c r="K283" s="81"/>
      <c r="L283" s="79"/>
      <c r="M283" s="79"/>
      <c r="N283" s="79"/>
      <c r="O283" s="79"/>
      <c r="P283" s="79" t="s">
        <v>29</v>
      </c>
      <c r="Q283" s="82"/>
      <c r="R283" s="82"/>
      <c r="S283" s="82"/>
      <c r="T283" s="82"/>
      <c r="U283" s="82"/>
      <c r="V283" s="82"/>
      <c r="W283" s="82"/>
      <c r="X283" s="82"/>
      <c r="Y283" s="82"/>
      <c r="Z283" s="82"/>
      <c r="AA283" s="82"/>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79"/>
      <c r="AZ283" s="79"/>
      <c r="BA283" s="79"/>
      <c r="BB283" s="79"/>
      <c r="BC283" s="79"/>
      <c r="BD283" s="79"/>
      <c r="BE283" s="79"/>
      <c r="BF283" s="79"/>
      <c r="BG283" s="79" t="str">
        <f t="array" ref="BG283">IF($A283="","", INDEX(CS!$B$1:$B$15025,MATCH($A283,CS!$B:$B,0)+COLUMN(A$1),1))</f>
        <v/>
      </c>
      <c r="BH283" s="79" t="str">
        <f t="array" ref="BH283">IF($A283="","", INDEX(CS!$B$1:$B$15025,MATCH($A283,CS!$B:$B,0)+COLUMN(B$1),1))</f>
        <v/>
      </c>
      <c r="BI283" s="79" t="str">
        <f t="array" ref="BI283">IF($A283="","", INDEX(CS!$B$1:$B$15025,MATCH($A283,CS!$B:$B,0)+COLUMN(C$1),1))</f>
        <v/>
      </c>
      <c r="BJ283" s="79" t="str">
        <f t="array" ref="BJ283">IF($A283="","", INDEX(CS!$B$1:$B$15025,MATCH($A283,CS!$B:$B,0)+COLUMN(D$1),1))</f>
        <v/>
      </c>
      <c r="BK283" s="79" t="str">
        <f t="array" ref="BK283">IF($A283="","", INDEX(CS!$B$1:$B$15025,MATCH($A283,CS!$B:$B,0)+COLUMN(E$1),1))</f>
        <v/>
      </c>
      <c r="BL283" s="79" t="str">
        <f t="array" ref="BL283">IF($A283="","", INDEX(CS!$B$1:$B$15025,MATCH($A283,CS!$B:$B,0)+COLUMN(F$1),1))</f>
        <v/>
      </c>
      <c r="BM283" s="79" t="str">
        <f t="array" ref="BM283">IF($A283="","", INDEX(CS!$B$1:$B$15025,MATCH($A283,CS!$B:$B,0)+COLUMN(G$1),1))</f>
        <v/>
      </c>
      <c r="BN283" s="79" t="str">
        <f t="array" ref="BN283">IF($A283="","", INDEX(CS!$B$1:$B$15025,MATCH($A283,CS!$B:$B,0)+COLUMN(H$1),1))</f>
        <v/>
      </c>
      <c r="BO283" s="79" t="str">
        <f t="array" ref="BO283">IF($A283="","", INDEX(CS!$B$1:$B$15025,MATCH($A283,CS!$B:$B,0)+COLUMN(I$1),1))</f>
        <v/>
      </c>
      <c r="BP283" s="79" t="str">
        <f t="array" ref="BP283">IF($A283="","", INDEX(CS!$B$1:$B$15025,MATCH($A283,CS!$B:$B,0)+COLUMN(J$1),1))</f>
        <v/>
      </c>
      <c r="BQ283" s="79"/>
      <c r="BR283" s="79"/>
      <c r="BS283" s="83"/>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row>
    <row r="284" ht="18.75" customHeight="1">
      <c r="A284" s="79"/>
      <c r="B284" s="95" t="s">
        <v>2903</v>
      </c>
      <c r="C284" s="79"/>
      <c r="D284" s="98" t="str">
        <f t="shared" ref="D284:D290" si="17">SUM(AJ284:AZ284,F284:N284)&amp;"/"&amp;SUM(F284:N284)&amp;"/"&amp;SUM(AJ284:AZ284)</f>
        <v>0/0/0</v>
      </c>
      <c r="E284" s="99">
        <v>1.0</v>
      </c>
      <c r="F284" s="79"/>
      <c r="G284" s="79"/>
      <c r="H284" s="79"/>
      <c r="I284" s="79"/>
      <c r="J284" s="79"/>
      <c r="K284" s="81"/>
      <c r="L284" s="79"/>
      <c r="M284" s="79"/>
      <c r="N284" s="79"/>
      <c r="O284" s="79"/>
      <c r="P284" s="79" t="s">
        <v>29</v>
      </c>
      <c r="Q284" s="82"/>
      <c r="R284" s="82"/>
      <c r="S284" s="82"/>
      <c r="T284" s="82"/>
      <c r="U284" s="82"/>
      <c r="V284" s="82"/>
      <c r="W284" s="82"/>
      <c r="X284" s="82"/>
      <c r="Y284" s="82"/>
      <c r="Z284" s="82"/>
      <c r="AA284" s="82"/>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79"/>
      <c r="AZ284" s="79"/>
      <c r="BA284" s="79"/>
      <c r="BB284" s="79"/>
      <c r="BC284" s="79"/>
      <c r="BD284" s="79"/>
      <c r="BE284" s="79"/>
      <c r="BF284" s="79"/>
      <c r="BG284" s="79" t="str">
        <f t="array" ref="BG284">IF($A284="","", INDEX(CS!$B$1:$B$15025,MATCH($A284,CS!$B:$B,0)+COLUMN(A$1),1))</f>
        <v/>
      </c>
      <c r="BH284" s="79" t="str">
        <f t="array" ref="BH284">IF($A284="","", INDEX(CS!$B$1:$B$15025,MATCH($A284,CS!$B:$B,0)+COLUMN(B$1),1))</f>
        <v/>
      </c>
      <c r="BI284" s="79" t="str">
        <f t="array" ref="BI284">IF($A284="","", INDEX(CS!$B$1:$B$15025,MATCH($A284,CS!$B:$B,0)+COLUMN(C$1),1))</f>
        <v/>
      </c>
      <c r="BJ284" s="79" t="str">
        <f t="array" ref="BJ284">IF($A284="","", INDEX(CS!$B$1:$B$15025,MATCH($A284,CS!$B:$B,0)+COLUMN(D$1),1))</f>
        <v/>
      </c>
      <c r="BK284" s="79" t="str">
        <f t="array" ref="BK284">IF($A284="","", INDEX(CS!$B$1:$B$15025,MATCH($A284,CS!$B:$B,0)+COLUMN(E$1),1))</f>
        <v/>
      </c>
      <c r="BL284" s="79" t="str">
        <f t="array" ref="BL284">IF($A284="","", INDEX(CS!$B$1:$B$15025,MATCH($A284,CS!$B:$B,0)+COLUMN(F$1),1))</f>
        <v/>
      </c>
      <c r="BM284" s="79" t="str">
        <f t="array" ref="BM284">IF($A284="","", INDEX(CS!$B$1:$B$15025,MATCH($A284,CS!$B:$B,0)+COLUMN(G$1),1))</f>
        <v/>
      </c>
      <c r="BN284" s="79" t="str">
        <f t="array" ref="BN284">IF($A284="","", INDEX(CS!$B$1:$B$15025,MATCH($A284,CS!$B:$B,0)+COLUMN(H$1),1))</f>
        <v/>
      </c>
      <c r="BO284" s="79" t="str">
        <f t="array" ref="BO284">IF($A284="","", INDEX(CS!$B$1:$B$15025,MATCH($A284,CS!$B:$B,0)+COLUMN(I$1),1))</f>
        <v/>
      </c>
      <c r="BP284" s="79" t="str">
        <f t="array" ref="BP284">IF($A284="","", INDEX(CS!$B$1:$B$15025,MATCH($A284,CS!$B:$B,0)+COLUMN(J$1),1))</f>
        <v/>
      </c>
      <c r="BQ284" s="79"/>
      <c r="BR284" s="79"/>
      <c r="BS284" s="83"/>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row>
    <row r="285" ht="18.75" customHeight="1" outlineLevel="1">
      <c r="A285" s="90" t="s">
        <v>1928</v>
      </c>
      <c r="B285" s="91"/>
      <c r="C285" s="79"/>
      <c r="D285" s="92" t="str">
        <f t="shared" si="17"/>
        <v>255/255/0</v>
      </c>
      <c r="E285" s="93">
        <v>1.0</v>
      </c>
      <c r="F285" s="90">
        <v>90.0</v>
      </c>
      <c r="G285" s="79"/>
      <c r="H285" s="79"/>
      <c r="I285" s="90">
        <v>55.0</v>
      </c>
      <c r="J285" s="90">
        <v>5.0</v>
      </c>
      <c r="K285" s="94">
        <v>0.0</v>
      </c>
      <c r="L285" s="90">
        <v>5.0</v>
      </c>
      <c r="M285" s="90">
        <v>40.0</v>
      </c>
      <c r="N285" s="90">
        <v>60.0</v>
      </c>
      <c r="O285" s="90">
        <v>100.0</v>
      </c>
      <c r="P285" s="90">
        <v>0.0</v>
      </c>
      <c r="Q285" s="100">
        <v>10.0</v>
      </c>
      <c r="R285" s="82"/>
      <c r="S285" s="100">
        <v>10.0</v>
      </c>
      <c r="T285" s="100">
        <v>25.0</v>
      </c>
      <c r="U285" s="100">
        <v>25.0</v>
      </c>
      <c r="V285" s="100">
        <v>-15.0</v>
      </c>
      <c r="W285" s="82"/>
      <c r="X285" s="82"/>
      <c r="Y285" s="82"/>
      <c r="Z285" s="100">
        <v>100.0</v>
      </c>
      <c r="AA285" s="82"/>
      <c r="AB285" s="79"/>
      <c r="AC285" s="90">
        <v>100.0</v>
      </c>
      <c r="AD285" s="79"/>
      <c r="AE285" s="90">
        <v>100.0</v>
      </c>
      <c r="AF285" s="90">
        <v>25.0</v>
      </c>
      <c r="AG285" s="90">
        <v>100.0</v>
      </c>
      <c r="AH285" s="90">
        <v>25.0</v>
      </c>
      <c r="AI285" s="90">
        <v>25.0</v>
      </c>
      <c r="AJ285" s="90">
        <v>0.0</v>
      </c>
      <c r="AK285" s="90">
        <v>0.0</v>
      </c>
      <c r="AL285" s="90">
        <v>0.0</v>
      </c>
      <c r="AM285" s="90">
        <v>-25.0</v>
      </c>
      <c r="AN285" s="90">
        <v>0.0</v>
      </c>
      <c r="AO285" s="90">
        <v>0.0</v>
      </c>
      <c r="AP285" s="90">
        <v>0.0</v>
      </c>
      <c r="AQ285" s="90">
        <v>25.0</v>
      </c>
      <c r="AR285" s="90">
        <v>0.0</v>
      </c>
      <c r="AS285" s="90">
        <v>0.0</v>
      </c>
      <c r="AT285" s="90">
        <v>0.0</v>
      </c>
      <c r="AU285" s="90">
        <v>0.0</v>
      </c>
      <c r="AV285" s="90">
        <v>0.0</v>
      </c>
      <c r="AW285" s="90">
        <v>0.0</v>
      </c>
      <c r="AX285" s="90">
        <v>0.0</v>
      </c>
      <c r="AY285" s="90">
        <v>0.0</v>
      </c>
      <c r="AZ285" s="90">
        <v>0.0</v>
      </c>
      <c r="BA285" s="90">
        <v>0.0</v>
      </c>
      <c r="BB285" s="90">
        <v>0.0</v>
      </c>
      <c r="BC285" s="90">
        <v>0.0</v>
      </c>
      <c r="BD285" s="90">
        <v>0.0</v>
      </c>
      <c r="BE285" s="90">
        <v>0.0</v>
      </c>
      <c r="BF285" s="90">
        <v>0.0</v>
      </c>
      <c r="BG285" s="79" t="str">
        <f t="array" ref="BG285">IF($A285="","", INDEX(CS!$B$1:$B$15025,MATCH($A285,CS!$B:$B,0)+COLUMN(A$1),1))</f>
        <v>粘液体当たり</v>
      </c>
      <c r="BH285" s="79" t="str">
        <f t="array" ref="BH285">IF($A285="","", INDEX(CS!$B$1:$B$15025,MATCH($A285,CS!$B:$B,0)+COLUMN(B$1),1))</f>
        <v>粘液拘束</v>
      </c>
      <c r="BI285" s="79" t="str">
        <f t="array" ref="BI285">IF($A285="","", INDEX(CS!$B$1:$B$15025,MATCH($A285,CS!$B:$B,0)+COLUMN(C$1),1))</f>
        <v>軟体</v>
      </c>
      <c r="BJ285" s="79" t="str">
        <f t="array" ref="BJ285">IF($A285="","", INDEX(CS!$B$1:$B$15025,MATCH($A285,CS!$B:$B,0)+COLUMN(D$1),1))</f>
        <v/>
      </c>
      <c r="BK285" s="79" t="str">
        <f t="array" ref="BK285">IF($A285="","", INDEX(CS!$B$1:$B$15025,MATCH($A285,CS!$B:$B,0)+COLUMN(E$1),1))</f>
        <v>粘液噴射</v>
      </c>
      <c r="BL285" s="79" t="str">
        <f t="array" ref="BL285">IF($A285="","", INDEX(CS!$B$1:$B$15025,MATCH($A285,CS!$B:$B,0)+COLUMN(F$1),1))</f>
        <v/>
      </c>
      <c r="BM285" s="79" t="str">
        <f t="array" ref="BM285">IF($A285="","", INDEX(CS!$B$1:$B$15025,MATCH($A285,CS!$B:$B,0)+COLUMN(G$1),1))</f>
        <v>粘液防御</v>
      </c>
      <c r="BN285" s="79" t="str">
        <f t="array" ref="BN285">IF($A285="","", INDEX(CS!$B$1:$B$15025,MATCH($A285,CS!$B:$B,0)+COLUMN(H$1),1))</f>
        <v/>
      </c>
      <c r="BO285" s="79" t="str">
        <f t="array" ref="BO285">IF($A285="","", INDEX(CS!$B$1:$B$15025,MATCH($A285,CS!$B:$B,0)+COLUMN(I$1),1))</f>
        <v>粘液強化</v>
      </c>
      <c r="BP285" s="79" t="str">
        <f t="array" ref="BP285">IF($A285="","", INDEX(CS!$B$1:$B$15025,MATCH($A285,CS!$B:$B,0)+COLUMN(J$1),1))</f>
        <v/>
      </c>
      <c r="BQ285" s="79"/>
      <c r="BR285" s="79"/>
      <c r="BS285" s="83"/>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row>
    <row r="286" ht="18.75" customHeight="1" outlineLevel="1">
      <c r="A286" s="90" t="s">
        <v>1939</v>
      </c>
      <c r="B286" s="91"/>
      <c r="C286" s="79"/>
      <c r="D286" s="92" t="str">
        <f t="shared" si="17"/>
        <v>295/270/25</v>
      </c>
      <c r="E286" s="93">
        <v>1.0</v>
      </c>
      <c r="F286" s="90">
        <v>90.0</v>
      </c>
      <c r="G286" s="79"/>
      <c r="H286" s="79"/>
      <c r="I286" s="90">
        <v>60.0</v>
      </c>
      <c r="J286" s="90">
        <v>5.0</v>
      </c>
      <c r="K286" s="94">
        <v>0.0</v>
      </c>
      <c r="L286" s="90">
        <v>5.0</v>
      </c>
      <c r="M286" s="90">
        <v>45.0</v>
      </c>
      <c r="N286" s="90">
        <v>65.0</v>
      </c>
      <c r="O286" s="90">
        <v>100.0</v>
      </c>
      <c r="P286" s="90">
        <v>0.0</v>
      </c>
      <c r="Q286" s="100">
        <v>10.0</v>
      </c>
      <c r="R286" s="82"/>
      <c r="S286" s="100">
        <v>10.0</v>
      </c>
      <c r="T286" s="100">
        <v>25.0</v>
      </c>
      <c r="U286" s="100">
        <v>25.0</v>
      </c>
      <c r="V286" s="100">
        <v>-15.0</v>
      </c>
      <c r="W286" s="82"/>
      <c r="X286" s="82"/>
      <c r="Y286" s="82"/>
      <c r="Z286" s="100">
        <v>100.0</v>
      </c>
      <c r="AA286" s="82"/>
      <c r="AB286" s="79"/>
      <c r="AC286" s="90">
        <v>100.0</v>
      </c>
      <c r="AD286" s="79"/>
      <c r="AE286" s="90">
        <v>100.0</v>
      </c>
      <c r="AF286" s="90">
        <v>25.0</v>
      </c>
      <c r="AG286" s="90">
        <v>100.0</v>
      </c>
      <c r="AH286" s="90">
        <v>25.0</v>
      </c>
      <c r="AI286" s="90">
        <v>25.0</v>
      </c>
      <c r="AJ286" s="90">
        <v>0.0</v>
      </c>
      <c r="AK286" s="90">
        <v>0.0</v>
      </c>
      <c r="AL286" s="90">
        <v>0.0</v>
      </c>
      <c r="AM286" s="90">
        <v>-25.0</v>
      </c>
      <c r="AN286" s="90">
        <v>0.0</v>
      </c>
      <c r="AO286" s="90">
        <v>0.0</v>
      </c>
      <c r="AP286" s="90">
        <v>0.0</v>
      </c>
      <c r="AQ286" s="90">
        <v>25.0</v>
      </c>
      <c r="AR286" s="90">
        <v>25.0</v>
      </c>
      <c r="AS286" s="90">
        <v>0.0</v>
      </c>
      <c r="AT286" s="90">
        <v>0.0</v>
      </c>
      <c r="AU286" s="90">
        <v>0.0</v>
      </c>
      <c r="AV286" s="90">
        <v>0.0</v>
      </c>
      <c r="AW286" s="90">
        <v>0.0</v>
      </c>
      <c r="AX286" s="90">
        <v>0.0</v>
      </c>
      <c r="AY286" s="90">
        <v>0.0</v>
      </c>
      <c r="AZ286" s="90">
        <v>0.0</v>
      </c>
      <c r="BA286" s="90">
        <v>0.0</v>
      </c>
      <c r="BB286" s="90">
        <v>0.0</v>
      </c>
      <c r="BC286" s="90">
        <v>0.0</v>
      </c>
      <c r="BD286" s="90">
        <v>0.0</v>
      </c>
      <c r="BE286" s="90">
        <v>0.0</v>
      </c>
      <c r="BF286" s="90">
        <v>0.0</v>
      </c>
      <c r="BG286" s="79" t="str">
        <f t="array" ref="BG286">IF($A286="","", INDEX(CS!$B$1:$B$15025,MATCH($A286,CS!$B:$B,0)+COLUMN(A$1),1))</f>
        <v>粘液体当たり</v>
      </c>
      <c r="BH286" s="79" t="str">
        <f t="array" ref="BH286">IF($A286="","", INDEX(CS!$B$1:$B$15025,MATCH($A286,CS!$B:$B,0)+COLUMN(B$1),1))</f>
        <v>毒性粘液</v>
      </c>
      <c r="BI286" s="79" t="str">
        <f t="array" ref="BI286">IF($A286="","", INDEX(CS!$B$1:$B$15025,MATCH($A286,CS!$B:$B,0)+COLUMN(C$1),1))</f>
        <v>粘液拘束</v>
      </c>
      <c r="BJ286" s="79" t="str">
        <f t="array" ref="BJ286">IF($A286="","", INDEX(CS!$B$1:$B$15025,MATCH($A286,CS!$B:$B,0)+COLUMN(D$1),1))</f>
        <v/>
      </c>
      <c r="BK286" s="79" t="str">
        <f t="array" ref="BK286">IF($A286="","", INDEX(CS!$B$1:$B$15025,MATCH($A286,CS!$B:$B,0)+COLUMN(E$1),1))</f>
        <v>粘液噴射</v>
      </c>
      <c r="BL286" s="79" t="str">
        <f t="array" ref="BL286">IF($A286="","", INDEX(CS!$B$1:$B$15025,MATCH($A286,CS!$B:$B,0)+COLUMN(F$1),1))</f>
        <v/>
      </c>
      <c r="BM286" s="79" t="str">
        <f t="array" ref="BM286">IF($A286="","", INDEX(CS!$B$1:$B$15025,MATCH($A286,CS!$B:$B,0)+COLUMN(G$1),1))</f>
        <v>粘液防御</v>
      </c>
      <c r="BN286" s="79" t="str">
        <f t="array" ref="BN286">IF($A286="","", INDEX(CS!$B$1:$B$15025,MATCH($A286,CS!$B:$B,0)+COLUMN(H$1),1))</f>
        <v/>
      </c>
      <c r="BO286" s="79" t="str">
        <f t="array" ref="BO286">IF($A286="","", INDEX(CS!$B$1:$B$15025,MATCH($A286,CS!$B:$B,0)+COLUMN(I$1),1))</f>
        <v>軟体</v>
      </c>
      <c r="BP286" s="79" t="str">
        <f t="array" ref="BP286">IF($A286="","", INDEX(CS!$B$1:$B$15025,MATCH($A286,CS!$B:$B,0)+COLUMN(J$1),1))</f>
        <v/>
      </c>
      <c r="BQ286" s="79"/>
      <c r="BR286" s="79"/>
      <c r="BS286" s="83"/>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row>
    <row r="287" ht="18.75" customHeight="1" outlineLevel="1">
      <c r="A287" s="90" t="s">
        <v>1942</v>
      </c>
      <c r="B287" s="91"/>
      <c r="C287" s="79"/>
      <c r="D287" s="92" t="str">
        <f t="shared" si="17"/>
        <v>340/340/0</v>
      </c>
      <c r="E287" s="93">
        <v>1.0</v>
      </c>
      <c r="F287" s="90">
        <v>105.0</v>
      </c>
      <c r="G287" s="79"/>
      <c r="H287" s="79"/>
      <c r="I287" s="90">
        <v>80.0</v>
      </c>
      <c r="J287" s="90">
        <v>5.0</v>
      </c>
      <c r="K287" s="94">
        <v>40.0</v>
      </c>
      <c r="L287" s="90">
        <v>10.0</v>
      </c>
      <c r="M287" s="90">
        <v>40.0</v>
      </c>
      <c r="N287" s="90">
        <v>60.0</v>
      </c>
      <c r="O287" s="90">
        <v>110.0</v>
      </c>
      <c r="P287" s="90">
        <v>0.0</v>
      </c>
      <c r="Q287" s="100">
        <v>15.0</v>
      </c>
      <c r="R287" s="82"/>
      <c r="S287" s="100">
        <v>10.0</v>
      </c>
      <c r="T287" s="100">
        <v>25.0</v>
      </c>
      <c r="U287" s="100">
        <v>25.0</v>
      </c>
      <c r="V287" s="100">
        <v>-15.0</v>
      </c>
      <c r="W287" s="100">
        <v>100.0</v>
      </c>
      <c r="X287" s="100">
        <v>-45.0</v>
      </c>
      <c r="Y287" s="82"/>
      <c r="Z287" s="100">
        <v>100.0</v>
      </c>
      <c r="AA287" s="82"/>
      <c r="AB287" s="79"/>
      <c r="AC287" s="90">
        <v>100.0</v>
      </c>
      <c r="AD287" s="79"/>
      <c r="AE287" s="90">
        <v>100.0</v>
      </c>
      <c r="AF287" s="90">
        <v>25.0</v>
      </c>
      <c r="AG287" s="90">
        <v>100.0</v>
      </c>
      <c r="AH287" s="90">
        <v>25.0</v>
      </c>
      <c r="AI287" s="90">
        <v>25.0</v>
      </c>
      <c r="AJ287" s="90">
        <v>0.0</v>
      </c>
      <c r="AK287" s="90">
        <v>0.0</v>
      </c>
      <c r="AL287" s="90">
        <v>0.0</v>
      </c>
      <c r="AM287" s="90">
        <v>-25.0</v>
      </c>
      <c r="AN287" s="90">
        <v>0.0</v>
      </c>
      <c r="AO287" s="90">
        <v>0.0</v>
      </c>
      <c r="AP287" s="90">
        <v>0.0</v>
      </c>
      <c r="AQ287" s="90">
        <v>0.0</v>
      </c>
      <c r="AR287" s="90">
        <v>0.0</v>
      </c>
      <c r="AS287" s="90">
        <v>0.0</v>
      </c>
      <c r="AT287" s="90">
        <v>0.0</v>
      </c>
      <c r="AU287" s="90">
        <v>0.0</v>
      </c>
      <c r="AV287" s="90">
        <v>0.0</v>
      </c>
      <c r="AW287" s="90">
        <v>0.0</v>
      </c>
      <c r="AX287" s="90">
        <v>0.0</v>
      </c>
      <c r="AY287" s="90">
        <v>25.0</v>
      </c>
      <c r="AZ287" s="90">
        <v>0.0</v>
      </c>
      <c r="BA287" s="90">
        <v>0.0</v>
      </c>
      <c r="BB287" s="90">
        <v>0.0</v>
      </c>
      <c r="BC287" s="90">
        <v>0.0</v>
      </c>
      <c r="BD287" s="90">
        <v>0.0</v>
      </c>
      <c r="BE287" s="90">
        <v>0.0</v>
      </c>
      <c r="BF287" s="90">
        <v>50.0</v>
      </c>
      <c r="BG287" s="79" t="str">
        <f t="array" ref="BG287">IF($A287="","", INDEX(CS!$B$1:$B$15025,MATCH($A287,CS!$B:$B,0)+COLUMN(A$1),1))</f>
        <v>粘液体当たり</v>
      </c>
      <c r="BH287" s="79" t="str">
        <f t="array" ref="BH287">IF($A287="","", INDEX(CS!$B$1:$B$15025,MATCH($A287,CS!$B:$B,0)+COLUMN(B$1),1))</f>
        <v>灼熱粘液</v>
      </c>
      <c r="BI287" s="79" t="str">
        <f t="array" ref="BI287">IF($A287="","", INDEX(CS!$B$1:$B$15025,MATCH($A287,CS!$B:$B,0)+COLUMN(C$1),1))</f>
        <v>火炎飛沫</v>
      </c>
      <c r="BJ287" s="79" t="str">
        <f t="array" ref="BJ287">IF($A287="","", INDEX(CS!$B$1:$B$15025,MATCH($A287,CS!$B:$B,0)+COLUMN(D$1),1))</f>
        <v/>
      </c>
      <c r="BK287" s="79" t="str">
        <f t="array" ref="BK287">IF($A287="","", INDEX(CS!$B$1:$B$15025,MATCH($A287,CS!$B:$B,0)+COLUMN(E$1),1))</f>
        <v>粘液拘束</v>
      </c>
      <c r="BL287" s="79" t="str">
        <f t="array" ref="BL287">IF($A287="","", INDEX(CS!$B$1:$B$15025,MATCH($A287,CS!$B:$B,0)+COLUMN(F$1),1))</f>
        <v/>
      </c>
      <c r="BM287" s="79" t="str">
        <f t="array" ref="BM287">IF($A287="","", INDEX(CS!$B$1:$B$15025,MATCH($A287,CS!$B:$B,0)+COLUMN(G$1),1))</f>
        <v>軟体</v>
      </c>
      <c r="BN287" s="79" t="str">
        <f t="array" ref="BN287">IF($A287="","", INDEX(CS!$B$1:$B$15025,MATCH($A287,CS!$B:$B,0)+COLUMN(H$1),1))</f>
        <v/>
      </c>
      <c r="BO287" s="79" t="str">
        <f t="array" ref="BO287">IF($A287="","", INDEX(CS!$B$1:$B$15025,MATCH($A287,CS!$B:$B,0)+COLUMN(I$1),1))</f>
        <v>粘液防御</v>
      </c>
      <c r="BP287" s="79" t="str">
        <f t="array" ref="BP287">IF($A287="","", INDEX(CS!$B$1:$B$15025,MATCH($A287,CS!$B:$B,0)+COLUMN(J$1),1))</f>
        <v/>
      </c>
      <c r="BQ287" s="79"/>
      <c r="BR287" s="79"/>
      <c r="BS287" s="83"/>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row>
    <row r="288" ht="18.75" customHeight="1" outlineLevel="1">
      <c r="A288" s="90" t="s">
        <v>1947</v>
      </c>
      <c r="B288" s="91"/>
      <c r="C288" s="79"/>
      <c r="D288" s="92" t="str">
        <f t="shared" si="17"/>
        <v>300/300/0</v>
      </c>
      <c r="E288" s="93">
        <v>1.0</v>
      </c>
      <c r="F288" s="90">
        <v>105.0</v>
      </c>
      <c r="G288" s="79"/>
      <c r="H288" s="79"/>
      <c r="I288" s="90">
        <v>60.0</v>
      </c>
      <c r="J288" s="90">
        <v>10.0</v>
      </c>
      <c r="K288" s="94">
        <v>20.0</v>
      </c>
      <c r="L288" s="90">
        <v>10.0</v>
      </c>
      <c r="M288" s="90">
        <v>35.0</v>
      </c>
      <c r="N288" s="90">
        <v>60.0</v>
      </c>
      <c r="O288" s="90">
        <v>100.0</v>
      </c>
      <c r="P288" s="90">
        <v>0.0</v>
      </c>
      <c r="Q288" s="100">
        <v>20.0</v>
      </c>
      <c r="R288" s="100">
        <v>10.0</v>
      </c>
      <c r="S288" s="100">
        <v>20.0</v>
      </c>
      <c r="T288" s="100">
        <v>35.0</v>
      </c>
      <c r="U288" s="100">
        <v>30.0</v>
      </c>
      <c r="V288" s="100">
        <v>-30.0</v>
      </c>
      <c r="W288" s="82"/>
      <c r="X288" s="82"/>
      <c r="Y288" s="82"/>
      <c r="Z288" s="100">
        <v>100.0</v>
      </c>
      <c r="AA288" s="82"/>
      <c r="AB288" s="79"/>
      <c r="AC288" s="90">
        <v>100.0</v>
      </c>
      <c r="AD288" s="79"/>
      <c r="AE288" s="90">
        <v>100.0</v>
      </c>
      <c r="AF288" s="79"/>
      <c r="AG288" s="90">
        <v>100.0</v>
      </c>
      <c r="AH288" s="90">
        <v>35.0</v>
      </c>
      <c r="AI288" s="90">
        <v>25.0</v>
      </c>
      <c r="AJ288" s="90">
        <v>0.0</v>
      </c>
      <c r="AK288" s="90">
        <v>0.0</v>
      </c>
      <c r="AL288" s="90">
        <v>0.0</v>
      </c>
      <c r="AM288" s="90">
        <v>-25.0</v>
      </c>
      <c r="AN288" s="90">
        <v>25.0</v>
      </c>
      <c r="AO288" s="90">
        <v>0.0</v>
      </c>
      <c r="AP288" s="90">
        <v>0.0</v>
      </c>
      <c r="AQ288" s="90">
        <v>0.0</v>
      </c>
      <c r="AR288" s="90">
        <v>0.0</v>
      </c>
      <c r="AS288" s="90">
        <v>0.0</v>
      </c>
      <c r="AT288" s="90">
        <v>0.0</v>
      </c>
      <c r="AU288" s="90">
        <v>0.0</v>
      </c>
      <c r="AV288" s="90">
        <v>0.0</v>
      </c>
      <c r="AW288" s="90">
        <v>0.0</v>
      </c>
      <c r="AX288" s="90">
        <v>0.0</v>
      </c>
      <c r="AY288" s="90">
        <v>0.0</v>
      </c>
      <c r="AZ288" s="90">
        <v>0.0</v>
      </c>
      <c r="BA288" s="90">
        <v>0.0</v>
      </c>
      <c r="BB288" s="90">
        <v>0.0</v>
      </c>
      <c r="BC288" s="90">
        <v>0.0</v>
      </c>
      <c r="BD288" s="90">
        <v>0.0</v>
      </c>
      <c r="BE288" s="90">
        <v>0.0</v>
      </c>
      <c r="BF288" s="90">
        <v>150.0</v>
      </c>
      <c r="BG288" s="79" t="str">
        <f t="array" ref="BG288">IF($A288="","", INDEX(CS!$B$1:$B$15025,MATCH($A288,CS!$B:$B,0)+COLUMN(A$1),1))</f>
        <v>粘液体当たり</v>
      </c>
      <c r="BH288" s="79" t="str">
        <f t="array" ref="BH288">IF($A288="","", INDEX(CS!$B$1:$B$15025,MATCH($A288,CS!$B:$B,0)+COLUMN(B$1),1))</f>
        <v>結晶突起</v>
      </c>
      <c r="BI288" s="79" t="str">
        <f t="array" ref="BI288">IF($A288="","", INDEX(CS!$B$1:$B$15025,MATCH($A288,CS!$B:$B,0)+COLUMN(C$1),1))</f>
        <v>結晶突起強化</v>
      </c>
      <c r="BJ288" s="79" t="str">
        <f t="array" ref="BJ288">IF($A288="","", INDEX(CS!$B$1:$B$15025,MATCH($A288,CS!$B:$B,0)+COLUMN(D$1),1))</f>
        <v/>
      </c>
      <c r="BK288" s="79" t="str">
        <f t="array" ref="BK288">IF($A288="","", INDEX(CS!$B$1:$B$15025,MATCH($A288,CS!$B:$B,0)+COLUMN(E$1),1))</f>
        <v>粘液拘束</v>
      </c>
      <c r="BL288" s="79" t="str">
        <f t="array" ref="BL288">IF($A288="","", INDEX(CS!$B$1:$B$15025,MATCH($A288,CS!$B:$B,0)+COLUMN(F$1),1))</f>
        <v/>
      </c>
      <c r="BM288" s="79" t="str">
        <f t="array" ref="BM288">IF($A288="","", INDEX(CS!$B$1:$B$15025,MATCH($A288,CS!$B:$B,0)+COLUMN(G$1),1))</f>
        <v>軟体</v>
      </c>
      <c r="BN288" s="79" t="str">
        <f t="array" ref="BN288">IF($A288="","", INDEX(CS!$B$1:$B$15025,MATCH($A288,CS!$B:$B,0)+COLUMN(H$1),1))</f>
        <v/>
      </c>
      <c r="BO288" s="79" t="str">
        <f t="array" ref="BO288">IF($A288="","", INDEX(CS!$B$1:$B$15025,MATCH($A288,CS!$B:$B,0)+COLUMN(I$1),1))</f>
        <v>粘液防御</v>
      </c>
      <c r="BP288" s="79" t="str">
        <f t="array" ref="BP288">IF($A288="","", INDEX(CS!$B$1:$B$15025,MATCH($A288,CS!$B:$B,0)+COLUMN(J$1),1))</f>
        <v/>
      </c>
      <c r="BQ288" s="79"/>
      <c r="BR288" s="79"/>
      <c r="BS288" s="83"/>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row>
    <row r="289" ht="18.75" customHeight="1" outlineLevel="1">
      <c r="A289" s="90" t="s">
        <v>1952</v>
      </c>
      <c r="B289" s="91"/>
      <c r="C289" s="79"/>
      <c r="D289" s="92" t="str">
        <f t="shared" si="17"/>
        <v>340/315/25</v>
      </c>
      <c r="E289" s="93">
        <v>1.0</v>
      </c>
      <c r="F289" s="90">
        <v>100.0</v>
      </c>
      <c r="G289" s="79"/>
      <c r="H289" s="79"/>
      <c r="I289" s="90">
        <v>65.0</v>
      </c>
      <c r="J289" s="90">
        <v>5.0</v>
      </c>
      <c r="K289" s="94">
        <v>40.0</v>
      </c>
      <c r="L289" s="90">
        <v>10.0</v>
      </c>
      <c r="M289" s="90">
        <v>35.0</v>
      </c>
      <c r="N289" s="90">
        <v>60.0</v>
      </c>
      <c r="O289" s="90">
        <v>105.0</v>
      </c>
      <c r="P289" s="90">
        <v>0.0</v>
      </c>
      <c r="Q289" s="100">
        <v>15.0</v>
      </c>
      <c r="R289" s="82"/>
      <c r="S289" s="100">
        <v>15.0</v>
      </c>
      <c r="T289" s="100">
        <v>25.0</v>
      </c>
      <c r="U289" s="100">
        <v>25.0</v>
      </c>
      <c r="V289" s="100">
        <v>-15.0</v>
      </c>
      <c r="W289" s="100">
        <v>-45.0</v>
      </c>
      <c r="X289" s="100">
        <v>100.0</v>
      </c>
      <c r="Y289" s="82"/>
      <c r="Z289" s="100">
        <v>100.0</v>
      </c>
      <c r="AA289" s="82"/>
      <c r="AB289" s="79"/>
      <c r="AC289" s="90">
        <v>100.0</v>
      </c>
      <c r="AD289" s="79"/>
      <c r="AE289" s="90">
        <v>100.0</v>
      </c>
      <c r="AF289" s="90">
        <v>25.0</v>
      </c>
      <c r="AG289" s="90">
        <v>100.0</v>
      </c>
      <c r="AH289" s="90">
        <v>25.0</v>
      </c>
      <c r="AI289" s="90">
        <v>25.0</v>
      </c>
      <c r="AJ289" s="90">
        <v>0.0</v>
      </c>
      <c r="AK289" s="90">
        <v>0.0</v>
      </c>
      <c r="AL289" s="90">
        <v>0.0</v>
      </c>
      <c r="AM289" s="90">
        <v>-25.0</v>
      </c>
      <c r="AN289" s="90">
        <v>0.0</v>
      </c>
      <c r="AO289" s="90">
        <v>0.0</v>
      </c>
      <c r="AP289" s="90">
        <v>0.0</v>
      </c>
      <c r="AQ289" s="90">
        <v>25.0</v>
      </c>
      <c r="AR289" s="90">
        <v>0.0</v>
      </c>
      <c r="AS289" s="90">
        <v>0.0</v>
      </c>
      <c r="AT289" s="90">
        <v>0.0</v>
      </c>
      <c r="AU289" s="90">
        <v>0.0</v>
      </c>
      <c r="AV289" s="90">
        <v>0.0</v>
      </c>
      <c r="AW289" s="90">
        <v>0.0</v>
      </c>
      <c r="AX289" s="90">
        <v>0.0</v>
      </c>
      <c r="AY289" s="90">
        <v>25.0</v>
      </c>
      <c r="AZ289" s="90">
        <v>0.0</v>
      </c>
      <c r="BA289" s="90">
        <v>0.0</v>
      </c>
      <c r="BB289" s="90">
        <v>0.0</v>
      </c>
      <c r="BC289" s="90">
        <v>0.0</v>
      </c>
      <c r="BD289" s="90">
        <v>0.0</v>
      </c>
      <c r="BE289" s="90">
        <v>0.0</v>
      </c>
      <c r="BF289" s="90">
        <v>80.0</v>
      </c>
      <c r="BG289" s="79" t="str">
        <f t="array" ref="BG289">IF($A289="","", INDEX(CS!$B$1:$B$15025,MATCH($A289,CS!$B:$B,0)+COLUMN(A$1),1))</f>
        <v>粘液体当たり</v>
      </c>
      <c r="BH289" s="79" t="str">
        <f t="array" ref="BH289">IF($A289="","", INDEX(CS!$B$1:$B$15025,MATCH($A289,CS!$B:$B,0)+COLUMN(B$1),1))</f>
        <v>氷結粘液</v>
      </c>
      <c r="BI289" s="79" t="str">
        <f t="array" ref="BI289">IF($A289="","", INDEX(CS!$B$1:$B$15025,MATCH($A289,CS!$B:$B,0)+COLUMN(C$1),1))</f>
        <v>氷片飛ばし</v>
      </c>
      <c r="BJ289" s="79" t="str">
        <f t="array" ref="BJ289">IF($A289="","", INDEX(CS!$B$1:$B$15025,MATCH($A289,CS!$B:$B,0)+COLUMN(D$1),1))</f>
        <v/>
      </c>
      <c r="BK289" s="79" t="str">
        <f t="array" ref="BK289">IF($A289="","", INDEX(CS!$B$1:$B$15025,MATCH($A289,CS!$B:$B,0)+COLUMN(E$1),1))</f>
        <v>粘液拘束</v>
      </c>
      <c r="BL289" s="79" t="str">
        <f t="array" ref="BL289">IF($A289="","", INDEX(CS!$B$1:$B$15025,MATCH($A289,CS!$B:$B,0)+COLUMN(F$1),1))</f>
        <v/>
      </c>
      <c r="BM289" s="79" t="str">
        <f t="array" ref="BM289">IF($A289="","", INDEX(CS!$B$1:$B$15025,MATCH($A289,CS!$B:$B,0)+COLUMN(G$1),1))</f>
        <v>軟体</v>
      </c>
      <c r="BN289" s="79" t="str">
        <f t="array" ref="BN289">IF($A289="","", INDEX(CS!$B$1:$B$15025,MATCH($A289,CS!$B:$B,0)+COLUMN(H$1),1))</f>
        <v/>
      </c>
      <c r="BO289" s="79" t="str">
        <f t="array" ref="BO289">IF($A289="","", INDEX(CS!$B$1:$B$15025,MATCH($A289,CS!$B:$B,0)+COLUMN(I$1),1))</f>
        <v>粘液防御</v>
      </c>
      <c r="BP289" s="79" t="str">
        <f t="array" ref="BP289">IF($A289="","", INDEX(CS!$B$1:$B$15025,MATCH($A289,CS!$B:$B,0)+COLUMN(J$1),1))</f>
        <v/>
      </c>
      <c r="BQ289" s="79"/>
      <c r="BR289" s="79"/>
      <c r="BS289" s="83"/>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row>
    <row r="290" ht="18.75" customHeight="1" outlineLevel="1">
      <c r="A290" s="90" t="s">
        <v>1957</v>
      </c>
      <c r="B290" s="91"/>
      <c r="C290" s="79"/>
      <c r="D290" s="92" t="str">
        <f t="shared" si="17"/>
        <v>580/405/175</v>
      </c>
      <c r="E290" s="93">
        <v>1.0</v>
      </c>
      <c r="F290" s="90">
        <v>120.0</v>
      </c>
      <c r="G290" s="79"/>
      <c r="H290" s="79"/>
      <c r="I290" s="90">
        <v>85.0</v>
      </c>
      <c r="J290" s="90">
        <v>10.0</v>
      </c>
      <c r="K290" s="94">
        <v>50.0</v>
      </c>
      <c r="L290" s="90">
        <v>20.0</v>
      </c>
      <c r="M290" s="90">
        <v>55.0</v>
      </c>
      <c r="N290" s="90">
        <v>65.0</v>
      </c>
      <c r="O290" s="90">
        <v>120.0</v>
      </c>
      <c r="P290" s="90">
        <v>-50.0</v>
      </c>
      <c r="Q290" s="100">
        <v>20.0</v>
      </c>
      <c r="R290" s="100">
        <v>10.0</v>
      </c>
      <c r="S290" s="100">
        <v>15.0</v>
      </c>
      <c r="T290" s="100">
        <v>30.0</v>
      </c>
      <c r="U290" s="100">
        <v>30.0</v>
      </c>
      <c r="V290" s="100">
        <v>-10.0</v>
      </c>
      <c r="W290" s="82"/>
      <c r="X290" s="82"/>
      <c r="Y290" s="82"/>
      <c r="Z290" s="100">
        <v>75.0</v>
      </c>
      <c r="AA290" s="82"/>
      <c r="AB290" s="79"/>
      <c r="AC290" s="90">
        <v>50.0</v>
      </c>
      <c r="AD290" s="90">
        <v>25.0</v>
      </c>
      <c r="AE290" s="90">
        <v>75.0</v>
      </c>
      <c r="AF290" s="90">
        <v>35.0</v>
      </c>
      <c r="AG290" s="90">
        <v>50.0</v>
      </c>
      <c r="AH290" s="90">
        <v>25.0</v>
      </c>
      <c r="AI290" s="90">
        <v>25.0</v>
      </c>
      <c r="AJ290" s="90">
        <v>0.0</v>
      </c>
      <c r="AK290" s="90">
        <v>75.0</v>
      </c>
      <c r="AL290" s="90">
        <v>25.0</v>
      </c>
      <c r="AM290" s="90">
        <v>25.0</v>
      </c>
      <c r="AN290" s="90">
        <v>0.0</v>
      </c>
      <c r="AO290" s="90">
        <v>0.0</v>
      </c>
      <c r="AP290" s="90">
        <v>0.0</v>
      </c>
      <c r="AQ290" s="90">
        <v>50.0</v>
      </c>
      <c r="AR290" s="90">
        <v>0.0</v>
      </c>
      <c r="AS290" s="90">
        <v>0.0</v>
      </c>
      <c r="AT290" s="90">
        <v>0.0</v>
      </c>
      <c r="AU290" s="90">
        <v>0.0</v>
      </c>
      <c r="AV290" s="90">
        <v>0.0</v>
      </c>
      <c r="AW290" s="90">
        <v>0.0</v>
      </c>
      <c r="AX290" s="90">
        <v>0.0</v>
      </c>
      <c r="AY290" s="90">
        <v>0.0</v>
      </c>
      <c r="AZ290" s="90">
        <v>0.0</v>
      </c>
      <c r="BA290" s="90">
        <v>0.0</v>
      </c>
      <c r="BB290" s="90">
        <v>0.0</v>
      </c>
      <c r="BC290" s="90">
        <v>0.0</v>
      </c>
      <c r="BD290" s="90">
        <v>0.0</v>
      </c>
      <c r="BE290" s="90">
        <v>0.0</v>
      </c>
      <c r="BF290" s="90">
        <v>0.0</v>
      </c>
      <c r="BG290" s="79" t="str">
        <f t="array" ref="BG290">IF($A290="","", INDEX(CS!$B$1:$B$15025,MATCH($A290,CS!$B:$B,0)+COLUMN(A$1),1))</f>
        <v>触手乱打</v>
      </c>
      <c r="BH290" s="79" t="str">
        <f t="array" ref="BH290">IF($A290="","", INDEX(CS!$B$1:$B$15025,MATCH($A290,CS!$B:$B,0)+COLUMN(B$1),1))</f>
        <v>触手拘束</v>
      </c>
      <c r="BI290" s="79" t="str">
        <f t="array" ref="BI290">IF($A290="","", INDEX(CS!$B$1:$B$15025,MATCH($A290,CS!$B:$B,0)+COLUMN(C$1),1))</f>
        <v>異形の触手</v>
      </c>
      <c r="BJ290" s="79" t="str">
        <f t="array" ref="BJ290">IF($A290="","", INDEX(CS!$B$1:$B$15025,MATCH($A290,CS!$B:$B,0)+COLUMN(D$1),1))</f>
        <v>軟体</v>
      </c>
      <c r="BK290" s="79" t="str">
        <f t="array" ref="BK290">IF($A290="","", INDEX(CS!$B$1:$B$15025,MATCH($A290,CS!$B:$B,0)+COLUMN(E$1),1))</f>
        <v/>
      </c>
      <c r="BL290" s="79" t="str">
        <f t="array" ref="BL290">IF($A290="","", INDEX(CS!$B$1:$B$15025,MATCH($A290,CS!$B:$B,0)+COLUMN(F$1),1))</f>
        <v>粘液噴射</v>
      </c>
      <c r="BM290" s="79" t="str">
        <f t="array" ref="BM290">IF($A290="","", INDEX(CS!$B$1:$B$15025,MATCH($A290,CS!$B:$B,0)+COLUMN(G$1),1))</f>
        <v/>
      </c>
      <c r="BN290" s="79" t="str">
        <f t="array" ref="BN290">IF($A290="","", INDEX(CS!$B$1:$B$15025,MATCH($A290,CS!$B:$B,0)+COLUMN(H$1),1))</f>
        <v>粘液防御</v>
      </c>
      <c r="BO290" s="79" t="str">
        <f t="array" ref="BO290">IF($A290="","", INDEX(CS!$B$1:$B$15025,MATCH($A290,CS!$B:$B,0)+COLUMN(I$1),1))</f>
        <v/>
      </c>
      <c r="BP290" s="79" t="str">
        <f t="array" ref="BP290">IF($A290="","", INDEX(CS!$B$1:$B$15025,MATCH($A290,CS!$B:$B,0)+COLUMN(J$1),1))</f>
        <v/>
      </c>
      <c r="BQ290" s="79"/>
      <c r="BR290" s="79"/>
      <c r="BS290" s="83"/>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row>
    <row r="291" ht="18.75" customHeight="1">
      <c r="A291" s="79"/>
      <c r="B291" s="95"/>
      <c r="C291" s="79"/>
      <c r="D291" s="98"/>
      <c r="E291" s="99"/>
      <c r="F291" s="79"/>
      <c r="G291" s="79"/>
      <c r="H291" s="79"/>
      <c r="I291" s="79"/>
      <c r="J291" s="79"/>
      <c r="K291" s="81"/>
      <c r="L291" s="79"/>
      <c r="M291" s="79"/>
      <c r="N291" s="79"/>
      <c r="O291" s="79"/>
      <c r="P291" s="79" t="s">
        <v>29</v>
      </c>
      <c r="Q291" s="82"/>
      <c r="R291" s="82"/>
      <c r="S291" s="82"/>
      <c r="T291" s="82"/>
      <c r="U291" s="82"/>
      <c r="V291" s="82"/>
      <c r="W291" s="82"/>
      <c r="X291" s="82"/>
      <c r="Y291" s="82"/>
      <c r="Z291" s="82"/>
      <c r="AA291" s="82"/>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79"/>
      <c r="AZ291" s="79"/>
      <c r="BA291" s="79"/>
      <c r="BB291" s="79"/>
      <c r="BC291" s="79"/>
      <c r="BD291" s="79"/>
      <c r="BE291" s="79"/>
      <c r="BF291" s="79"/>
      <c r="BG291" s="79" t="str">
        <f t="array" ref="BG291">IF($A291="","", INDEX(CS!$B$1:$B$15025,MATCH($A291,CS!$B:$B,0)+COLUMN(A$1),1))</f>
        <v/>
      </c>
      <c r="BH291" s="79" t="str">
        <f t="array" ref="BH291">IF($A291="","", INDEX(CS!$B$1:$B$15025,MATCH($A291,CS!$B:$B,0)+COLUMN(B$1),1))</f>
        <v/>
      </c>
      <c r="BI291" s="79" t="str">
        <f t="array" ref="BI291">IF($A291="","", INDEX(CS!$B$1:$B$15025,MATCH($A291,CS!$B:$B,0)+COLUMN(C$1),1))</f>
        <v/>
      </c>
      <c r="BJ291" s="79" t="str">
        <f t="array" ref="BJ291">IF($A291="","", INDEX(CS!$B$1:$B$15025,MATCH($A291,CS!$B:$B,0)+COLUMN(D$1),1))</f>
        <v/>
      </c>
      <c r="BK291" s="79" t="str">
        <f t="array" ref="BK291">IF($A291="","", INDEX(CS!$B$1:$B$15025,MATCH($A291,CS!$B:$B,0)+COLUMN(E$1),1))</f>
        <v/>
      </c>
      <c r="BL291" s="79" t="str">
        <f t="array" ref="BL291">IF($A291="","", INDEX(CS!$B$1:$B$15025,MATCH($A291,CS!$B:$B,0)+COLUMN(F$1),1))</f>
        <v/>
      </c>
      <c r="BM291" s="79" t="str">
        <f t="array" ref="BM291">IF($A291="","", INDEX(CS!$B$1:$B$15025,MATCH($A291,CS!$B:$B,0)+COLUMN(G$1),1))</f>
        <v/>
      </c>
      <c r="BN291" s="79" t="str">
        <f t="array" ref="BN291">IF($A291="","", INDEX(CS!$B$1:$B$15025,MATCH($A291,CS!$B:$B,0)+COLUMN(H$1),1))</f>
        <v/>
      </c>
      <c r="BO291" s="79" t="str">
        <f t="array" ref="BO291">IF($A291="","", INDEX(CS!$B$1:$B$15025,MATCH($A291,CS!$B:$B,0)+COLUMN(I$1),1))</f>
        <v/>
      </c>
      <c r="BP291" s="79" t="str">
        <f t="array" ref="BP291">IF($A291="","", INDEX(CS!$B$1:$B$15025,MATCH($A291,CS!$B:$B,0)+COLUMN(J$1),1))</f>
        <v/>
      </c>
      <c r="BQ291" s="79"/>
      <c r="BR291" s="79"/>
      <c r="BS291" s="83"/>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row>
    <row r="292" ht="18.75" customHeight="1">
      <c r="A292" s="79"/>
      <c r="B292" s="95" t="s">
        <v>2904</v>
      </c>
      <c r="C292" s="79"/>
      <c r="D292" s="98" t="str">
        <f t="shared" ref="D292:D446" si="18">SUM(AJ292:AZ292,F292:N292)&amp;"/"&amp;SUM(F292:N292)&amp;"/"&amp;SUM(AJ292:AZ292)</f>
        <v>0/0/0</v>
      </c>
      <c r="E292" s="99">
        <v>1.0</v>
      </c>
      <c r="F292" s="79"/>
      <c r="G292" s="79"/>
      <c r="H292" s="79"/>
      <c r="I292" s="79"/>
      <c r="J292" s="79"/>
      <c r="K292" s="81"/>
      <c r="L292" s="79"/>
      <c r="M292" s="79"/>
      <c r="N292" s="79"/>
      <c r="O292" s="79"/>
      <c r="P292" s="79" t="s">
        <v>29</v>
      </c>
      <c r="Q292" s="82"/>
      <c r="R292" s="82"/>
      <c r="S292" s="82"/>
      <c r="T292" s="82"/>
      <c r="U292" s="82"/>
      <c r="V292" s="82"/>
      <c r="W292" s="82"/>
      <c r="X292" s="82"/>
      <c r="Y292" s="82"/>
      <c r="Z292" s="82"/>
      <c r="AA292" s="82"/>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79"/>
      <c r="AZ292" s="79"/>
      <c r="BA292" s="79"/>
      <c r="BB292" s="79"/>
      <c r="BC292" s="79"/>
      <c r="BD292" s="79"/>
      <c r="BE292" s="79"/>
      <c r="BF292" s="79"/>
      <c r="BG292" s="79" t="str">
        <f t="array" ref="BG292">IF($A292="","", INDEX(CS!$B$1:$B$15025,MATCH($A292,CS!$B:$B,0)+COLUMN(A$1),1))</f>
        <v/>
      </c>
      <c r="BH292" s="79" t="str">
        <f t="array" ref="BH292">IF($A292="","", INDEX(CS!$B$1:$B$15025,MATCH($A292,CS!$B:$B,0)+COLUMN(B$1),1))</f>
        <v/>
      </c>
      <c r="BI292" s="79" t="str">
        <f t="array" ref="BI292">IF($A292="","", INDEX(CS!$B$1:$B$15025,MATCH($A292,CS!$B:$B,0)+COLUMN(C$1),1))</f>
        <v/>
      </c>
      <c r="BJ292" s="79" t="str">
        <f t="array" ref="BJ292">IF($A292="","", INDEX(CS!$B$1:$B$15025,MATCH($A292,CS!$B:$B,0)+COLUMN(D$1),1))</f>
        <v/>
      </c>
      <c r="BK292" s="79" t="str">
        <f t="array" ref="BK292">IF($A292="","", INDEX(CS!$B$1:$B$15025,MATCH($A292,CS!$B:$B,0)+COLUMN(E$1),1))</f>
        <v/>
      </c>
      <c r="BL292" s="79" t="str">
        <f t="array" ref="BL292">IF($A292="","", INDEX(CS!$B$1:$B$15025,MATCH($A292,CS!$B:$B,0)+COLUMN(F$1),1))</f>
        <v/>
      </c>
      <c r="BM292" s="79" t="str">
        <f t="array" ref="BM292">IF($A292="","", INDEX(CS!$B$1:$B$15025,MATCH($A292,CS!$B:$B,0)+COLUMN(G$1),1))</f>
        <v/>
      </c>
      <c r="BN292" s="79" t="str">
        <f t="array" ref="BN292">IF($A292="","", INDEX(CS!$B$1:$B$15025,MATCH($A292,CS!$B:$B,0)+COLUMN(H$1),1))</f>
        <v/>
      </c>
      <c r="BO292" s="79" t="str">
        <f t="array" ref="BO292">IF($A292="","", INDEX(CS!$B$1:$B$15025,MATCH($A292,CS!$B:$B,0)+COLUMN(I$1),1))</f>
        <v/>
      </c>
      <c r="BP292" s="79" t="str">
        <f t="array" ref="BP292">IF($A292="","", INDEX(CS!$B$1:$B$15025,MATCH($A292,CS!$B:$B,0)+COLUMN(J$1),1))</f>
        <v/>
      </c>
      <c r="BQ292" s="79"/>
      <c r="BR292" s="79"/>
      <c r="BS292" s="83"/>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row>
    <row r="293" ht="18.75" customHeight="1" outlineLevel="1">
      <c r="A293" s="90" t="s">
        <v>1965</v>
      </c>
      <c r="B293" s="91"/>
      <c r="C293" s="79"/>
      <c r="D293" s="92" t="str">
        <f t="shared" si="18"/>
        <v>320/320/0</v>
      </c>
      <c r="E293" s="93">
        <v>1.0</v>
      </c>
      <c r="F293" s="90">
        <v>110.0</v>
      </c>
      <c r="G293" s="79"/>
      <c r="H293" s="79"/>
      <c r="I293" s="90">
        <v>85.0</v>
      </c>
      <c r="J293" s="90">
        <v>15.0</v>
      </c>
      <c r="K293" s="94">
        <v>0.0</v>
      </c>
      <c r="L293" s="90">
        <v>0.0</v>
      </c>
      <c r="M293" s="90">
        <v>45.0</v>
      </c>
      <c r="N293" s="90">
        <v>65.0</v>
      </c>
      <c r="O293" s="90">
        <v>230.0</v>
      </c>
      <c r="P293" s="90">
        <v>0.0</v>
      </c>
      <c r="Q293" s="100">
        <v>10.0</v>
      </c>
      <c r="R293" s="82"/>
      <c r="S293" s="82"/>
      <c r="T293" s="100">
        <v>-15.0</v>
      </c>
      <c r="U293" s="100">
        <v>10.0</v>
      </c>
      <c r="V293" s="100">
        <v>10.0</v>
      </c>
      <c r="W293" s="100">
        <v>-45.0</v>
      </c>
      <c r="X293" s="82"/>
      <c r="Y293" s="82"/>
      <c r="Z293" s="100">
        <v>100.0</v>
      </c>
      <c r="AA293" s="82"/>
      <c r="AB293" s="79"/>
      <c r="AC293" s="90">
        <v>100.0</v>
      </c>
      <c r="AD293" s="90">
        <v>50.0</v>
      </c>
      <c r="AE293" s="90">
        <v>100.0</v>
      </c>
      <c r="AF293" s="90">
        <v>25.0</v>
      </c>
      <c r="AG293" s="90">
        <v>100.0</v>
      </c>
      <c r="AH293" s="90">
        <v>25.0</v>
      </c>
      <c r="AI293" s="90">
        <v>25.0</v>
      </c>
      <c r="AJ293" s="90">
        <v>0.0</v>
      </c>
      <c r="AK293" s="90">
        <v>0.0</v>
      </c>
      <c r="AL293" s="90">
        <v>0.0</v>
      </c>
      <c r="AM293" s="90">
        <v>0.0</v>
      </c>
      <c r="AN293" s="90">
        <v>0.0</v>
      </c>
      <c r="AO293" s="90">
        <v>0.0</v>
      </c>
      <c r="AP293" s="90">
        <v>0.0</v>
      </c>
      <c r="AQ293" s="90">
        <v>0.0</v>
      </c>
      <c r="AR293" s="90">
        <v>0.0</v>
      </c>
      <c r="AS293" s="90">
        <v>0.0</v>
      </c>
      <c r="AT293" s="90">
        <v>0.0</v>
      </c>
      <c r="AU293" s="90">
        <v>0.0</v>
      </c>
      <c r="AV293" s="90">
        <v>0.0</v>
      </c>
      <c r="AW293" s="90">
        <v>0.0</v>
      </c>
      <c r="AX293" s="90">
        <v>0.0</v>
      </c>
      <c r="AY293" s="90">
        <v>0.0</v>
      </c>
      <c r="AZ293" s="90">
        <v>0.0</v>
      </c>
      <c r="BA293" s="79"/>
      <c r="BB293" s="79"/>
      <c r="BC293" s="79"/>
      <c r="BD293" s="79"/>
      <c r="BE293" s="79"/>
      <c r="BF293" s="79"/>
      <c r="BG293" s="79" t="str">
        <f t="array" ref="BG293">IF($A293="","", INDEX(CS!$B$1:$B$15025,MATCH($A293,CS!$B:$B,0)+COLUMN(A$1),1))</f>
        <v>ゴーレム拳</v>
      </c>
      <c r="BH293" s="79" t="str">
        <f t="array" ref="BH293">IF($A293="","", INDEX(CS!$B$1:$B$15025,MATCH($A293,CS!$B:$B,0)+COLUMN(B$1),1))</f>
        <v>ゴーレム投石</v>
      </c>
      <c r="BI293" s="79" t="str">
        <f t="array" ref="BI293">IF($A293="","", INDEX(CS!$B$1:$B$15025,MATCH($A293,CS!$B:$B,0)+COLUMN(C$1),1))</f>
        <v>堅牢な体</v>
      </c>
      <c r="BJ293" s="79" t="str">
        <f t="array" ref="BJ293">IF($A293="","", INDEX(CS!$B$1:$B$15025,MATCH($A293,CS!$B:$B,0)+COLUMN(D$1),1))</f>
        <v/>
      </c>
      <c r="BK293" s="79" t="str">
        <f t="array" ref="BK293">IF($A293="","", INDEX(CS!$B$1:$B$15025,MATCH($A293,CS!$B:$B,0)+COLUMN(E$1),1))</f>
        <v>踏みつけ</v>
      </c>
      <c r="BL293" s="79" t="str">
        <f t="array" ref="BL293">IF($A293="","", INDEX(CS!$B$1:$B$15025,MATCH($A293,CS!$B:$B,0)+COLUMN(F$1),1))</f>
        <v/>
      </c>
      <c r="BM293" s="79" t="str">
        <f t="array" ref="BM293">IF($A293="","", INDEX(CS!$B$1:$B$15025,MATCH($A293,CS!$B:$B,0)+COLUMN(G$1),1))</f>
        <v>魔法核</v>
      </c>
      <c r="BN293" s="79" t="str">
        <f t="array" ref="BN293">IF($A293="","", INDEX(CS!$B$1:$B$15025,MATCH($A293,CS!$B:$B,0)+COLUMN(H$1),1))</f>
        <v/>
      </c>
      <c r="BO293" s="79" t="str">
        <f t="array" ref="BO293">IF($A293="","", INDEX(CS!$B$1:$B$15025,MATCH($A293,CS!$B:$B,0)+COLUMN(I$1),1))</f>
        <v>樹皮</v>
      </c>
      <c r="BP293" s="79" t="str">
        <f t="array" ref="BP293">IF($A293="","", INDEX(CS!$B$1:$B$15025,MATCH($A293,CS!$B:$B,0)+COLUMN(J$1),1))</f>
        <v/>
      </c>
      <c r="BQ293" s="79"/>
      <c r="BR293" s="79"/>
      <c r="BS293" s="83"/>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row>
    <row r="294" ht="18.75" customHeight="1" outlineLevel="1">
      <c r="A294" s="90" t="s">
        <v>1974</v>
      </c>
      <c r="B294" s="91"/>
      <c r="C294" s="79"/>
      <c r="D294" s="92" t="str">
        <f t="shared" si="18"/>
        <v>320/320/0</v>
      </c>
      <c r="E294" s="93">
        <v>1.0</v>
      </c>
      <c r="F294" s="90">
        <v>125.0</v>
      </c>
      <c r="G294" s="79"/>
      <c r="H294" s="79"/>
      <c r="I294" s="90">
        <v>90.0</v>
      </c>
      <c r="J294" s="90">
        <v>10.0</v>
      </c>
      <c r="K294" s="94">
        <v>0.0</v>
      </c>
      <c r="L294" s="90">
        <v>0.0</v>
      </c>
      <c r="M294" s="90">
        <v>35.0</v>
      </c>
      <c r="N294" s="90">
        <v>60.0</v>
      </c>
      <c r="O294" s="90">
        <v>260.0</v>
      </c>
      <c r="P294" s="90">
        <v>0.0</v>
      </c>
      <c r="Q294" s="100">
        <v>15.0</v>
      </c>
      <c r="R294" s="82"/>
      <c r="S294" s="100">
        <v>10.0</v>
      </c>
      <c r="T294" s="100">
        <v>20.0</v>
      </c>
      <c r="U294" s="100">
        <v>20.0</v>
      </c>
      <c r="V294" s="100">
        <v>-15.0</v>
      </c>
      <c r="W294" s="82"/>
      <c r="X294" s="82"/>
      <c r="Y294" s="82"/>
      <c r="Z294" s="100">
        <v>100.0</v>
      </c>
      <c r="AA294" s="82"/>
      <c r="AB294" s="79"/>
      <c r="AC294" s="90">
        <v>100.0</v>
      </c>
      <c r="AD294" s="90">
        <v>60.0</v>
      </c>
      <c r="AE294" s="90">
        <v>100.0</v>
      </c>
      <c r="AF294" s="90">
        <v>30.0</v>
      </c>
      <c r="AG294" s="90">
        <v>100.0</v>
      </c>
      <c r="AH294" s="90">
        <v>30.0</v>
      </c>
      <c r="AI294" s="90">
        <v>30.0</v>
      </c>
      <c r="AJ294" s="90">
        <v>0.0</v>
      </c>
      <c r="AK294" s="90">
        <v>0.0</v>
      </c>
      <c r="AL294" s="90">
        <v>0.0</v>
      </c>
      <c r="AM294" s="90">
        <v>0.0</v>
      </c>
      <c r="AN294" s="90">
        <v>0.0</v>
      </c>
      <c r="AO294" s="90">
        <v>0.0</v>
      </c>
      <c r="AP294" s="90">
        <v>0.0</v>
      </c>
      <c r="AQ294" s="90">
        <v>0.0</v>
      </c>
      <c r="AR294" s="90">
        <v>0.0</v>
      </c>
      <c r="AS294" s="90">
        <v>0.0</v>
      </c>
      <c r="AT294" s="90">
        <v>0.0</v>
      </c>
      <c r="AU294" s="90">
        <v>0.0</v>
      </c>
      <c r="AV294" s="90">
        <v>0.0</v>
      </c>
      <c r="AW294" s="90">
        <v>0.0</v>
      </c>
      <c r="AX294" s="90">
        <v>0.0</v>
      </c>
      <c r="AY294" s="90">
        <v>0.0</v>
      </c>
      <c r="AZ294" s="90">
        <v>0.0</v>
      </c>
      <c r="BA294" s="79"/>
      <c r="BB294" s="79"/>
      <c r="BC294" s="79"/>
      <c r="BD294" s="79"/>
      <c r="BE294" s="79"/>
      <c r="BF294" s="79"/>
      <c r="BG294" s="79" t="str">
        <f t="array" ref="BG294">IF($A294="","", INDEX(CS!$B$1:$B$15025,MATCH($A294,CS!$B:$B,0)+COLUMN(A$1),1))</f>
        <v>ゴーレム拳</v>
      </c>
      <c r="BH294" s="79" t="str">
        <f t="array" ref="BH294">IF($A294="","", INDEX(CS!$B$1:$B$15025,MATCH($A294,CS!$B:$B,0)+COLUMN(B$1),1))</f>
        <v>ゴーレム投石</v>
      </c>
      <c r="BI294" s="79" t="str">
        <f t="array" ref="BI294">IF($A294="","", INDEX(CS!$B$1:$B$15025,MATCH($A294,CS!$B:$B,0)+COLUMN(C$1),1))</f>
        <v>堅牢な体</v>
      </c>
      <c r="BJ294" s="79" t="str">
        <f t="array" ref="BJ294">IF($A294="","", INDEX(CS!$B$1:$B$15025,MATCH($A294,CS!$B:$B,0)+COLUMN(D$1),1))</f>
        <v/>
      </c>
      <c r="BK294" s="79" t="str">
        <f t="array" ref="BK294">IF($A294="","", INDEX(CS!$B$1:$B$15025,MATCH($A294,CS!$B:$B,0)+COLUMN(E$1),1))</f>
        <v>踏みつけ</v>
      </c>
      <c r="BL294" s="79" t="str">
        <f t="array" ref="BL294">IF($A294="","", INDEX(CS!$B$1:$B$15025,MATCH($A294,CS!$B:$B,0)+COLUMN(F$1),1))</f>
        <v/>
      </c>
      <c r="BM294" s="79" t="str">
        <f t="array" ref="BM294">IF($A294="","", INDEX(CS!$B$1:$B$15025,MATCH($A294,CS!$B:$B,0)+COLUMN(G$1),1))</f>
        <v>魔法核</v>
      </c>
      <c r="BN294" s="79" t="str">
        <f t="array" ref="BN294">IF($A294="","", INDEX(CS!$B$1:$B$15025,MATCH($A294,CS!$B:$B,0)+COLUMN(H$1),1))</f>
        <v/>
      </c>
      <c r="BO294" s="79" t="str">
        <f t="array" ref="BO294">IF($A294="","", INDEX(CS!$B$1:$B$15025,MATCH($A294,CS!$B:$B,0)+COLUMN(I$1),1))</f>
        <v>軟体</v>
      </c>
      <c r="BP294" s="79" t="str">
        <f t="array" ref="BP294">IF($A294="","", INDEX(CS!$B$1:$B$15025,MATCH($A294,CS!$B:$B,0)+COLUMN(J$1),1))</f>
        <v/>
      </c>
      <c r="BQ294" s="79"/>
      <c r="BR294" s="79"/>
      <c r="BS294" s="83"/>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row>
    <row r="295" ht="18.75" customHeight="1" outlineLevel="1">
      <c r="A295" s="90" t="s">
        <v>1975</v>
      </c>
      <c r="B295" s="91"/>
      <c r="C295" s="79"/>
      <c r="D295" s="92" t="str">
        <f t="shared" si="18"/>
        <v>340/340/0</v>
      </c>
      <c r="E295" s="93">
        <v>1.0</v>
      </c>
      <c r="F295" s="90">
        <v>140.0</v>
      </c>
      <c r="G295" s="79"/>
      <c r="H295" s="79"/>
      <c r="I295" s="90">
        <v>100.0</v>
      </c>
      <c r="J295" s="90">
        <v>10.0</v>
      </c>
      <c r="K295" s="94">
        <v>0.0</v>
      </c>
      <c r="L295" s="90">
        <v>0.0</v>
      </c>
      <c r="M295" s="90">
        <v>30.0</v>
      </c>
      <c r="N295" s="90">
        <v>60.0</v>
      </c>
      <c r="O295" s="90">
        <v>300.0</v>
      </c>
      <c r="P295" s="90">
        <v>0.0</v>
      </c>
      <c r="Q295" s="100">
        <v>25.0</v>
      </c>
      <c r="R295" s="82"/>
      <c r="S295" s="100">
        <v>20.0</v>
      </c>
      <c r="T295" s="100">
        <v>30.0</v>
      </c>
      <c r="U295" s="100">
        <v>30.0</v>
      </c>
      <c r="V295" s="100">
        <v>10.0</v>
      </c>
      <c r="W295" s="82"/>
      <c r="X295" s="82"/>
      <c r="Y295" s="82"/>
      <c r="Z295" s="100">
        <v>100.0</v>
      </c>
      <c r="AA295" s="82"/>
      <c r="AB295" s="79"/>
      <c r="AC295" s="90">
        <v>100.0</v>
      </c>
      <c r="AD295" s="90">
        <v>75.0</v>
      </c>
      <c r="AE295" s="90">
        <v>100.0</v>
      </c>
      <c r="AF295" s="90">
        <v>40.0</v>
      </c>
      <c r="AG295" s="90">
        <v>100.0</v>
      </c>
      <c r="AH295" s="90">
        <v>35.0</v>
      </c>
      <c r="AI295" s="90">
        <v>35.0</v>
      </c>
      <c r="AJ295" s="90">
        <v>0.0</v>
      </c>
      <c r="AK295" s="90">
        <v>0.0</v>
      </c>
      <c r="AL295" s="90">
        <v>0.0</v>
      </c>
      <c r="AM295" s="90">
        <v>0.0</v>
      </c>
      <c r="AN295" s="90">
        <v>0.0</v>
      </c>
      <c r="AO295" s="90">
        <v>0.0</v>
      </c>
      <c r="AP295" s="90">
        <v>0.0</v>
      </c>
      <c r="AQ295" s="90">
        <v>0.0</v>
      </c>
      <c r="AR295" s="90">
        <v>0.0</v>
      </c>
      <c r="AS295" s="90">
        <v>0.0</v>
      </c>
      <c r="AT295" s="90">
        <v>0.0</v>
      </c>
      <c r="AU295" s="90">
        <v>0.0</v>
      </c>
      <c r="AV295" s="90">
        <v>0.0</v>
      </c>
      <c r="AW295" s="90">
        <v>0.0</v>
      </c>
      <c r="AX295" s="90">
        <v>0.0</v>
      </c>
      <c r="AY295" s="90">
        <v>0.0</v>
      </c>
      <c r="AZ295" s="90">
        <v>0.0</v>
      </c>
      <c r="BA295" s="79"/>
      <c r="BB295" s="79"/>
      <c r="BC295" s="79"/>
      <c r="BD295" s="79"/>
      <c r="BE295" s="79"/>
      <c r="BF295" s="79"/>
      <c r="BG295" s="79" t="str">
        <f t="array" ref="BG295">IF($A295="","", INDEX(CS!$B$1:$B$15025,MATCH($A295,CS!$B:$B,0)+COLUMN(A$1),1))</f>
        <v>ゴーレム拳</v>
      </c>
      <c r="BH295" s="79" t="str">
        <f t="array" ref="BH295">IF($A295="","", INDEX(CS!$B$1:$B$15025,MATCH($A295,CS!$B:$B,0)+COLUMN(B$1),1))</f>
        <v>ゴーレム投石</v>
      </c>
      <c r="BI295" s="79" t="str">
        <f t="array" ref="BI295">IF($A295="","", INDEX(CS!$B$1:$B$15025,MATCH($A295,CS!$B:$B,0)+COLUMN(C$1),1))</f>
        <v>堅牢な体</v>
      </c>
      <c r="BJ295" s="79" t="str">
        <f t="array" ref="BJ295">IF($A295="","", INDEX(CS!$B$1:$B$15025,MATCH($A295,CS!$B:$B,0)+COLUMN(D$1),1))</f>
        <v/>
      </c>
      <c r="BK295" s="79" t="str">
        <f t="array" ref="BK295">IF($A295="","", INDEX(CS!$B$1:$B$15025,MATCH($A295,CS!$B:$B,0)+COLUMN(E$1),1))</f>
        <v>踏みつけ</v>
      </c>
      <c r="BL295" s="79" t="str">
        <f t="array" ref="BL295">IF($A295="","", INDEX(CS!$B$1:$B$15025,MATCH($A295,CS!$B:$B,0)+COLUMN(F$1),1))</f>
        <v/>
      </c>
      <c r="BM295" s="79" t="str">
        <f t="array" ref="BM295">IF($A295="","", INDEX(CS!$B$1:$B$15025,MATCH($A295,CS!$B:$B,0)+COLUMN(G$1),1))</f>
        <v>魔法核</v>
      </c>
      <c r="BN295" s="79" t="str">
        <f t="array" ref="BN295">IF($A295="","", INDEX(CS!$B$1:$B$15025,MATCH($A295,CS!$B:$B,0)+COLUMN(H$1),1))</f>
        <v/>
      </c>
      <c r="BO295" s="79" t="str">
        <f t="array" ref="BO295">IF($A295="","", INDEX(CS!$B$1:$B$15025,MATCH($A295,CS!$B:$B,0)+COLUMN(I$1),1))</f>
        <v>石の体</v>
      </c>
      <c r="BP295" s="79" t="str">
        <f t="array" ref="BP295">IF($A295="","", INDEX(CS!$B$1:$B$15025,MATCH($A295,CS!$B:$B,0)+COLUMN(J$1),1))</f>
        <v/>
      </c>
      <c r="BQ295" s="79"/>
      <c r="BR295" s="79"/>
      <c r="BS295" s="83"/>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row>
    <row r="296" ht="18.75" customHeight="1" outlineLevel="1">
      <c r="A296" s="90" t="s">
        <v>1976</v>
      </c>
      <c r="B296" s="91"/>
      <c r="C296" s="79"/>
      <c r="D296" s="92" t="str">
        <f t="shared" si="18"/>
        <v>370/370/0</v>
      </c>
      <c r="E296" s="93">
        <v>1.0</v>
      </c>
      <c r="F296" s="90">
        <v>155.0</v>
      </c>
      <c r="G296" s="79"/>
      <c r="H296" s="79"/>
      <c r="I296" s="90">
        <v>110.0</v>
      </c>
      <c r="J296" s="90">
        <v>15.0</v>
      </c>
      <c r="K296" s="94">
        <v>0.0</v>
      </c>
      <c r="L296" s="90">
        <v>0.0</v>
      </c>
      <c r="M296" s="90">
        <v>25.0</v>
      </c>
      <c r="N296" s="90">
        <v>65.0</v>
      </c>
      <c r="O296" s="90">
        <v>300.0</v>
      </c>
      <c r="P296" s="90">
        <v>0.0</v>
      </c>
      <c r="Q296" s="100">
        <v>30.0</v>
      </c>
      <c r="R296" s="82"/>
      <c r="S296" s="100">
        <v>25.0</v>
      </c>
      <c r="T296" s="100">
        <v>35.0</v>
      </c>
      <c r="U296" s="100">
        <v>35.0</v>
      </c>
      <c r="V296" s="100">
        <v>20.0</v>
      </c>
      <c r="W296" s="100">
        <v>10.0</v>
      </c>
      <c r="X296" s="82"/>
      <c r="Y296" s="100">
        <v>-30.0</v>
      </c>
      <c r="Z296" s="100">
        <v>100.0</v>
      </c>
      <c r="AA296" s="82"/>
      <c r="AB296" s="79"/>
      <c r="AC296" s="90">
        <v>100.0</v>
      </c>
      <c r="AD296" s="90">
        <v>80.0</v>
      </c>
      <c r="AE296" s="90">
        <v>100.0</v>
      </c>
      <c r="AF296" s="90">
        <v>45.0</v>
      </c>
      <c r="AG296" s="90">
        <v>100.0</v>
      </c>
      <c r="AH296" s="90">
        <v>40.0</v>
      </c>
      <c r="AI296" s="90">
        <v>40.0</v>
      </c>
      <c r="AJ296" s="90">
        <v>0.0</v>
      </c>
      <c r="AK296" s="90">
        <v>0.0</v>
      </c>
      <c r="AL296" s="90">
        <v>0.0</v>
      </c>
      <c r="AM296" s="90">
        <v>0.0</v>
      </c>
      <c r="AN296" s="90">
        <v>0.0</v>
      </c>
      <c r="AO296" s="90">
        <v>0.0</v>
      </c>
      <c r="AP296" s="90">
        <v>0.0</v>
      </c>
      <c r="AQ296" s="90">
        <v>0.0</v>
      </c>
      <c r="AR296" s="90">
        <v>0.0</v>
      </c>
      <c r="AS296" s="90">
        <v>0.0</v>
      </c>
      <c r="AT296" s="90">
        <v>0.0</v>
      </c>
      <c r="AU296" s="90">
        <v>0.0</v>
      </c>
      <c r="AV296" s="90">
        <v>0.0</v>
      </c>
      <c r="AW296" s="90">
        <v>0.0</v>
      </c>
      <c r="AX296" s="90">
        <v>0.0</v>
      </c>
      <c r="AY296" s="90">
        <v>0.0</v>
      </c>
      <c r="AZ296" s="90">
        <v>0.0</v>
      </c>
      <c r="BA296" s="79"/>
      <c r="BB296" s="79"/>
      <c r="BC296" s="79"/>
      <c r="BD296" s="79"/>
      <c r="BE296" s="79"/>
      <c r="BF296" s="79"/>
      <c r="BG296" s="79" t="str">
        <f t="array" ref="BG296">IF($A296="","", INDEX(CS!$B$1:$B$15025,MATCH($A296,CS!$B:$B,0)+COLUMN(A$1),1))</f>
        <v>ゴーレム拳</v>
      </c>
      <c r="BH296" s="79" t="str">
        <f t="array" ref="BH296">IF($A296="","", INDEX(CS!$B$1:$B$15025,MATCH($A296,CS!$B:$B,0)+COLUMN(B$1),1))</f>
        <v>ゴーレム投石</v>
      </c>
      <c r="BI296" s="79" t="str">
        <f t="array" ref="BI296">IF($A296="","", INDEX(CS!$B$1:$B$15025,MATCH($A296,CS!$B:$B,0)+COLUMN(C$1),1))</f>
        <v>堅牢な体</v>
      </c>
      <c r="BJ296" s="79" t="str">
        <f t="array" ref="BJ296">IF($A296="","", INDEX(CS!$B$1:$B$15025,MATCH($A296,CS!$B:$B,0)+COLUMN(D$1),1))</f>
        <v/>
      </c>
      <c r="BK296" s="79" t="str">
        <f t="array" ref="BK296">IF($A296="","", INDEX(CS!$B$1:$B$15025,MATCH($A296,CS!$B:$B,0)+COLUMN(E$1),1))</f>
        <v>踏みつけ</v>
      </c>
      <c r="BL296" s="79" t="str">
        <f t="array" ref="BL296">IF($A296="","", INDEX(CS!$B$1:$B$15025,MATCH($A296,CS!$B:$B,0)+COLUMN(F$1),1))</f>
        <v/>
      </c>
      <c r="BM296" s="79" t="str">
        <f t="array" ref="BM296">IF($A296="","", INDEX(CS!$B$1:$B$15025,MATCH($A296,CS!$B:$B,0)+COLUMN(G$1),1))</f>
        <v>魔法核</v>
      </c>
      <c r="BN296" s="79" t="str">
        <f t="array" ref="BN296">IF($A296="","", INDEX(CS!$B$1:$B$15025,MATCH($A296,CS!$B:$B,0)+COLUMN(H$1),1))</f>
        <v/>
      </c>
      <c r="BO296" s="79" t="str">
        <f t="array" ref="BO296">IF($A296="","", INDEX(CS!$B$1:$B$15025,MATCH($A296,CS!$B:$B,0)+COLUMN(I$1),1))</f>
        <v>外皮</v>
      </c>
      <c r="BP296" s="79" t="str">
        <f t="array" ref="BP296">IF($A296="","", INDEX(CS!$B$1:$B$15025,MATCH($A296,CS!$B:$B,0)+COLUMN(J$1),1))</f>
        <v/>
      </c>
      <c r="BQ296" s="79"/>
      <c r="BR296" s="79"/>
      <c r="BS296" s="83"/>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row>
    <row r="297" ht="18.75" customHeight="1" outlineLevel="1">
      <c r="A297" s="90" t="s">
        <v>1977</v>
      </c>
      <c r="B297" s="91"/>
      <c r="C297" s="79"/>
      <c r="D297" s="92" t="str">
        <f t="shared" si="18"/>
        <v>360/360/0</v>
      </c>
      <c r="E297" s="93">
        <v>1.0</v>
      </c>
      <c r="F297" s="90">
        <v>120.0</v>
      </c>
      <c r="G297" s="79"/>
      <c r="H297" s="79"/>
      <c r="I297" s="90">
        <v>95.0</v>
      </c>
      <c r="J297" s="90">
        <v>20.0</v>
      </c>
      <c r="K297" s="94">
        <v>0.0</v>
      </c>
      <c r="L297" s="90">
        <v>10.0</v>
      </c>
      <c r="M297" s="90">
        <v>50.0</v>
      </c>
      <c r="N297" s="90">
        <v>65.0</v>
      </c>
      <c r="O297" s="90">
        <v>260.0</v>
      </c>
      <c r="P297" s="90">
        <v>0.0</v>
      </c>
      <c r="Q297" s="100">
        <v>10.0</v>
      </c>
      <c r="R297" s="82"/>
      <c r="S297" s="82"/>
      <c r="T297" s="100">
        <v>5.0</v>
      </c>
      <c r="U297" s="100">
        <v>5.0</v>
      </c>
      <c r="V297" s="100">
        <v>5.0</v>
      </c>
      <c r="W297" s="100">
        <v>-30.0</v>
      </c>
      <c r="X297" s="82"/>
      <c r="Y297" s="82"/>
      <c r="Z297" s="100">
        <v>50.0</v>
      </c>
      <c r="AA297" s="82"/>
      <c r="AB297" s="79"/>
      <c r="AC297" s="90">
        <v>100.0</v>
      </c>
      <c r="AD297" s="90">
        <v>35.0</v>
      </c>
      <c r="AE297" s="90">
        <v>25.0</v>
      </c>
      <c r="AF297" s="90">
        <v>20.0</v>
      </c>
      <c r="AG297" s="90">
        <v>100.0</v>
      </c>
      <c r="AH297" s="90">
        <v>15.0</v>
      </c>
      <c r="AI297" s="90">
        <v>15.0</v>
      </c>
      <c r="AJ297" s="90">
        <v>0.0</v>
      </c>
      <c r="AK297" s="90">
        <v>0.0</v>
      </c>
      <c r="AL297" s="90">
        <v>0.0</v>
      </c>
      <c r="AM297" s="90">
        <v>0.0</v>
      </c>
      <c r="AN297" s="90">
        <v>0.0</v>
      </c>
      <c r="AO297" s="90">
        <v>0.0</v>
      </c>
      <c r="AP297" s="90">
        <v>0.0</v>
      </c>
      <c r="AQ297" s="90">
        <v>0.0</v>
      </c>
      <c r="AR297" s="90">
        <v>0.0</v>
      </c>
      <c r="AS297" s="90">
        <v>0.0</v>
      </c>
      <c r="AT297" s="90">
        <v>0.0</v>
      </c>
      <c r="AU297" s="90">
        <v>0.0</v>
      </c>
      <c r="AV297" s="90">
        <v>0.0</v>
      </c>
      <c r="AW297" s="90">
        <v>0.0</v>
      </c>
      <c r="AX297" s="90">
        <v>0.0</v>
      </c>
      <c r="AY297" s="90">
        <v>0.0</v>
      </c>
      <c r="AZ297" s="90">
        <v>0.0</v>
      </c>
      <c r="BA297" s="79"/>
      <c r="BB297" s="79"/>
      <c r="BC297" s="79"/>
      <c r="BD297" s="79"/>
      <c r="BE297" s="79"/>
      <c r="BF297" s="79"/>
      <c r="BG297" s="79" t="str">
        <f t="array" ref="BG297">IF($A297="","", INDEX(CS!$B$1:$B$15025,MATCH($A297,CS!$B:$B,0)+COLUMN(A$1),1))</f>
        <v>ゴーレム拳</v>
      </c>
      <c r="BH297" s="79" t="str">
        <f t="array" ref="BH297">IF($A297="","", INDEX(CS!$B$1:$B$15025,MATCH($A297,CS!$B:$B,0)+COLUMN(B$1),1))</f>
        <v>ゴーレム投石</v>
      </c>
      <c r="BI297" s="79" t="str">
        <f t="array" ref="BI297">IF($A297="","", INDEX(CS!$B$1:$B$15025,MATCH($A297,CS!$B:$B,0)+COLUMN(C$1),1))</f>
        <v>堅牢な体</v>
      </c>
      <c r="BJ297" s="79" t="str">
        <f t="array" ref="BJ297">IF($A297="","", INDEX(CS!$B$1:$B$15025,MATCH($A297,CS!$B:$B,0)+COLUMN(D$1),1))</f>
        <v/>
      </c>
      <c r="BK297" s="79" t="str">
        <f t="array" ref="BK297">IF($A297="","", INDEX(CS!$B$1:$B$15025,MATCH($A297,CS!$B:$B,0)+COLUMN(E$1),1))</f>
        <v>踏みつけ</v>
      </c>
      <c r="BL297" s="79" t="str">
        <f t="array" ref="BL297">IF($A297="","", INDEX(CS!$B$1:$B$15025,MATCH($A297,CS!$B:$B,0)+COLUMN(F$1),1))</f>
        <v/>
      </c>
      <c r="BM297" s="79" t="str">
        <f t="array" ref="BM297">IF($A297="","", INDEX(CS!$B$1:$B$15025,MATCH($A297,CS!$B:$B,0)+COLUMN(G$1),1))</f>
        <v>魔法核</v>
      </c>
      <c r="BN297" s="79" t="str">
        <f t="array" ref="BN297">IF($A297="","", INDEX(CS!$B$1:$B$15025,MATCH($A297,CS!$B:$B,0)+COLUMN(H$1),1))</f>
        <v/>
      </c>
      <c r="BO297" s="79" t="str">
        <f t="array" ref="BO297">IF($A297="","", INDEX(CS!$B$1:$B$15025,MATCH($A297,CS!$B:$B,0)+COLUMN(I$1),1))</f>
        <v>屍者の肉体</v>
      </c>
      <c r="BP297" s="79" t="str">
        <f t="array" ref="BP297">IF($A297="","", INDEX(CS!$B$1:$B$15025,MATCH($A297,CS!$B:$B,0)+COLUMN(J$1),1))</f>
        <v/>
      </c>
      <c r="BQ297" s="79"/>
      <c r="BR297" s="79"/>
      <c r="BS297" s="83"/>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row>
    <row r="298" ht="18.75" customHeight="1" outlineLevel="1">
      <c r="A298" s="90" t="s">
        <v>1978</v>
      </c>
      <c r="B298" s="91"/>
      <c r="C298" s="79"/>
      <c r="D298" s="92" t="str">
        <f t="shared" si="18"/>
        <v>340/340/0</v>
      </c>
      <c r="E298" s="93">
        <v>1.0</v>
      </c>
      <c r="F298" s="90">
        <v>100.0</v>
      </c>
      <c r="G298" s="79"/>
      <c r="H298" s="79"/>
      <c r="I298" s="90">
        <v>90.0</v>
      </c>
      <c r="J298" s="90">
        <v>20.0</v>
      </c>
      <c r="K298" s="94">
        <v>0.0</v>
      </c>
      <c r="L298" s="90">
        <v>0.0</v>
      </c>
      <c r="M298" s="90">
        <v>60.0</v>
      </c>
      <c r="N298" s="90">
        <v>70.0</v>
      </c>
      <c r="O298" s="90">
        <v>220.0</v>
      </c>
      <c r="P298" s="90">
        <v>0.0</v>
      </c>
      <c r="Q298" s="100">
        <v>15.0</v>
      </c>
      <c r="R298" s="82"/>
      <c r="S298" s="82"/>
      <c r="T298" s="100">
        <v>15.0</v>
      </c>
      <c r="U298" s="100">
        <v>30.0</v>
      </c>
      <c r="V298" s="100">
        <v>-30.0</v>
      </c>
      <c r="W298" s="82"/>
      <c r="X298" s="82"/>
      <c r="Y298" s="82"/>
      <c r="Z298" s="100">
        <v>100.0</v>
      </c>
      <c r="AA298" s="82"/>
      <c r="AB298" s="79"/>
      <c r="AC298" s="90">
        <v>100.0</v>
      </c>
      <c r="AD298" s="90">
        <v>50.0</v>
      </c>
      <c r="AE298" s="90">
        <v>100.0</v>
      </c>
      <c r="AF298" s="90">
        <v>20.0</v>
      </c>
      <c r="AG298" s="90">
        <v>100.0</v>
      </c>
      <c r="AH298" s="90">
        <v>25.0</v>
      </c>
      <c r="AI298" s="90">
        <v>25.0</v>
      </c>
      <c r="AJ298" s="90">
        <v>0.0</v>
      </c>
      <c r="AK298" s="90">
        <v>0.0</v>
      </c>
      <c r="AL298" s="90">
        <v>0.0</v>
      </c>
      <c r="AM298" s="90">
        <v>0.0</v>
      </c>
      <c r="AN298" s="90">
        <v>0.0</v>
      </c>
      <c r="AO298" s="90">
        <v>0.0</v>
      </c>
      <c r="AP298" s="90">
        <v>0.0</v>
      </c>
      <c r="AQ298" s="90">
        <v>0.0</v>
      </c>
      <c r="AR298" s="90">
        <v>0.0</v>
      </c>
      <c r="AS298" s="90">
        <v>0.0</v>
      </c>
      <c r="AT298" s="90">
        <v>0.0</v>
      </c>
      <c r="AU298" s="90">
        <v>0.0</v>
      </c>
      <c r="AV298" s="90">
        <v>0.0</v>
      </c>
      <c r="AW298" s="90">
        <v>0.0</v>
      </c>
      <c r="AX298" s="90">
        <v>0.0</v>
      </c>
      <c r="AY298" s="90">
        <v>0.0</v>
      </c>
      <c r="AZ298" s="90">
        <v>0.0</v>
      </c>
      <c r="BA298" s="79"/>
      <c r="BB298" s="79"/>
      <c r="BC298" s="79"/>
      <c r="BD298" s="79"/>
      <c r="BE298" s="79"/>
      <c r="BF298" s="79"/>
      <c r="BG298" s="79" t="str">
        <f t="array" ref="BG298">IF($A298="","", INDEX(CS!$B$1:$B$15025,MATCH($A298,CS!$B:$B,0)+COLUMN(A$1),1))</f>
        <v>ゴーレム拳</v>
      </c>
      <c r="BH298" s="79" t="str">
        <f t="array" ref="BH298">IF($A298="","", INDEX(CS!$B$1:$B$15025,MATCH($A298,CS!$B:$B,0)+COLUMN(B$1),1))</f>
        <v>ゴーレム投石</v>
      </c>
      <c r="BI298" s="79" t="str">
        <f t="array" ref="BI298">IF($A298="","", INDEX(CS!$B$1:$B$15025,MATCH($A298,CS!$B:$B,0)+COLUMN(C$1),1))</f>
        <v>堅牢な体</v>
      </c>
      <c r="BJ298" s="79" t="str">
        <f t="array" ref="BJ298">IF($A298="","", INDEX(CS!$B$1:$B$15025,MATCH($A298,CS!$B:$B,0)+COLUMN(D$1),1))</f>
        <v/>
      </c>
      <c r="BK298" s="79" t="str">
        <f t="array" ref="BK298">IF($A298="","", INDEX(CS!$B$1:$B$15025,MATCH($A298,CS!$B:$B,0)+COLUMN(E$1),1))</f>
        <v>踏みつけ</v>
      </c>
      <c r="BL298" s="79" t="str">
        <f t="array" ref="BL298">IF($A298="","", INDEX(CS!$B$1:$B$15025,MATCH($A298,CS!$B:$B,0)+COLUMN(F$1),1))</f>
        <v/>
      </c>
      <c r="BM298" s="79" t="str">
        <f t="array" ref="BM298">IF($A298="","", INDEX(CS!$B$1:$B$15025,MATCH($A298,CS!$B:$B,0)+COLUMN(G$1),1))</f>
        <v>魔法核</v>
      </c>
      <c r="BN298" s="79" t="str">
        <f t="array" ref="BN298">IF($A298="","", INDEX(CS!$B$1:$B$15025,MATCH($A298,CS!$B:$B,0)+COLUMN(H$1),1))</f>
        <v/>
      </c>
      <c r="BO298" s="79" t="str">
        <f t="array" ref="BO298">IF($A298="","", INDEX(CS!$B$1:$B$15025,MATCH($A298,CS!$B:$B,0)+COLUMN(I$1),1))</f>
        <v>骨の身体</v>
      </c>
      <c r="BP298" s="79" t="str">
        <f t="array" ref="BP298">IF($A298="","", INDEX(CS!$B$1:$B$15025,MATCH($A298,CS!$B:$B,0)+COLUMN(J$1),1))</f>
        <v/>
      </c>
      <c r="BQ298" s="79"/>
      <c r="BR298" s="79"/>
      <c r="BS298" s="83"/>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row>
    <row r="299" ht="18.75" customHeight="1" outlineLevel="1">
      <c r="A299" s="39" t="s">
        <v>1979</v>
      </c>
      <c r="B299" s="71"/>
      <c r="D299" s="101" t="str">
        <f t="shared" si="18"/>
        <v>370/370/0</v>
      </c>
      <c r="E299" s="39">
        <v>1.0</v>
      </c>
      <c r="F299" s="39">
        <v>120.0</v>
      </c>
      <c r="I299" s="39">
        <v>85.0</v>
      </c>
      <c r="J299" s="39">
        <v>15.0</v>
      </c>
      <c r="K299" s="87">
        <v>35.0</v>
      </c>
      <c r="L299" s="39">
        <v>0.0</v>
      </c>
      <c r="M299" s="39">
        <v>50.0</v>
      </c>
      <c r="N299" s="39">
        <v>65.0</v>
      </c>
      <c r="O299" s="39">
        <v>240.0</v>
      </c>
      <c r="P299" s="37">
        <v>0.0</v>
      </c>
      <c r="Q299" s="102">
        <v>20.0</v>
      </c>
      <c r="R299" s="102">
        <v>25.0</v>
      </c>
      <c r="S299" s="102">
        <v>20.0</v>
      </c>
      <c r="T299" s="102">
        <v>30.0</v>
      </c>
      <c r="U299" s="102">
        <v>25.0</v>
      </c>
      <c r="V299" s="102">
        <v>-30.0</v>
      </c>
      <c r="W299" s="64"/>
      <c r="X299" s="64"/>
      <c r="Y299" s="102">
        <v>10.0</v>
      </c>
      <c r="Z299" s="102">
        <v>100.0</v>
      </c>
      <c r="AA299" s="64"/>
      <c r="AC299" s="39">
        <v>100.0</v>
      </c>
      <c r="AD299" s="39">
        <v>60.0</v>
      </c>
      <c r="AE299" s="39">
        <v>100.0</v>
      </c>
      <c r="AF299" s="39">
        <v>30.0</v>
      </c>
      <c r="AG299" s="39">
        <v>100.0</v>
      </c>
      <c r="AH299" s="39">
        <v>35.0</v>
      </c>
      <c r="AI299" s="39">
        <v>30.0</v>
      </c>
      <c r="AJ299" s="39">
        <v>0.0</v>
      </c>
      <c r="AK299" s="39">
        <v>0.0</v>
      </c>
      <c r="AL299" s="39">
        <v>0.0</v>
      </c>
      <c r="AM299" s="39">
        <v>0.0</v>
      </c>
      <c r="AN299" s="39">
        <v>0.0</v>
      </c>
      <c r="AO299" s="39">
        <v>0.0</v>
      </c>
      <c r="AP299" s="39">
        <v>0.0</v>
      </c>
      <c r="AQ299" s="39">
        <v>0.0</v>
      </c>
      <c r="AR299" s="39">
        <v>0.0</v>
      </c>
      <c r="AS299" s="39">
        <v>0.0</v>
      </c>
      <c r="AT299" s="39">
        <v>0.0</v>
      </c>
      <c r="AU299" s="39">
        <v>0.0</v>
      </c>
      <c r="AV299" s="39">
        <v>0.0</v>
      </c>
      <c r="AW299" s="39">
        <v>0.0</v>
      </c>
      <c r="AX299" s="39">
        <v>0.0</v>
      </c>
      <c r="AY299" s="39">
        <v>0.0</v>
      </c>
      <c r="AZ299" s="39">
        <v>0.0</v>
      </c>
      <c r="BG299" s="79" t="str">
        <f t="array" ref="BG299">IF($A299="","", INDEX(CS!$B$1:$B$15025,MATCH($A299,CS!$B:$B,0)+COLUMN(A$1),1))</f>
        <v>ゴーレム拳</v>
      </c>
      <c r="BH299" s="79" t="str">
        <f t="array" ref="BH299">IF($A299="","", INDEX(CS!$B$1:$B$15025,MATCH($A299,CS!$B:$B,0)+COLUMN(B$1),1))</f>
        <v>ゴーレム投石</v>
      </c>
      <c r="BI299" s="79" t="str">
        <f t="array" ref="BI299">IF($A299="","", INDEX(CS!$B$1:$B$15025,MATCH($A299,CS!$B:$B,0)+COLUMN(C$1),1))</f>
        <v>堅牢な体</v>
      </c>
      <c r="BJ299" s="79" t="str">
        <f t="array" ref="BJ299">IF($A299="","", INDEX(CS!$B$1:$B$15025,MATCH($A299,CS!$B:$B,0)+COLUMN(D$1),1))</f>
        <v/>
      </c>
      <c r="BK299" s="79" t="str">
        <f t="array" ref="BK299">IF($A299="","", INDEX(CS!$B$1:$B$15025,MATCH($A299,CS!$B:$B,0)+COLUMN(E$1),1))</f>
        <v>踏みつけ</v>
      </c>
      <c r="BL299" s="79" t="str">
        <f t="array" ref="BL299">IF($A299="","", INDEX(CS!$B$1:$B$15025,MATCH($A299,CS!$B:$B,0)+COLUMN(F$1),1))</f>
        <v/>
      </c>
      <c r="BM299" s="79" t="str">
        <f t="array" ref="BM299">IF($A299="","", INDEX(CS!$B$1:$B$15025,MATCH($A299,CS!$B:$B,0)+COLUMN(G$1),1))</f>
        <v>魔法核</v>
      </c>
      <c r="BN299" s="79" t="str">
        <f t="array" ref="BN299">IF($A299="","", INDEX(CS!$B$1:$B$15025,MATCH($A299,CS!$B:$B,0)+COLUMN(H$1),1))</f>
        <v/>
      </c>
      <c r="BO299" s="79" t="str">
        <f t="array" ref="BO299">IF($A299="","", INDEX(CS!$B$1:$B$15025,MATCH($A299,CS!$B:$B,0)+COLUMN(I$1),1))</f>
        <v>結晶突起</v>
      </c>
      <c r="BP299" s="79" t="str">
        <f t="array" ref="BP299">IF($A299="","", INDEX(CS!$B$1:$B$15025,MATCH($A299,CS!$B:$B,0)+COLUMN(J$1),1))</f>
        <v/>
      </c>
      <c r="BS299" s="74"/>
    </row>
    <row r="300" ht="18.75" customHeight="1" outlineLevel="1">
      <c r="A300" s="39" t="s">
        <v>1980</v>
      </c>
      <c r="B300" s="85"/>
      <c r="D300" s="101" t="str">
        <f t="shared" si="18"/>
        <v>370/370/0</v>
      </c>
      <c r="E300" s="39">
        <v>1.0</v>
      </c>
      <c r="F300" s="39">
        <v>130.0</v>
      </c>
      <c r="I300" s="39">
        <v>95.0</v>
      </c>
      <c r="J300" s="39">
        <v>10.0</v>
      </c>
      <c r="K300" s="87">
        <v>40.0</v>
      </c>
      <c r="L300" s="39">
        <v>0.0</v>
      </c>
      <c r="M300" s="39">
        <v>35.0</v>
      </c>
      <c r="N300" s="39">
        <v>60.0</v>
      </c>
      <c r="O300" s="39">
        <v>260.0</v>
      </c>
      <c r="P300" s="37">
        <v>0.0</v>
      </c>
      <c r="Q300" s="102">
        <v>20.0</v>
      </c>
      <c r="R300" s="64"/>
      <c r="S300" s="102">
        <v>15.0</v>
      </c>
      <c r="T300" s="102">
        <v>25.0</v>
      </c>
      <c r="U300" s="102">
        <v>25.0</v>
      </c>
      <c r="V300" s="102">
        <v>-15.0</v>
      </c>
      <c r="W300" s="102">
        <v>-45.0</v>
      </c>
      <c r="X300" s="102">
        <v>100.0</v>
      </c>
      <c r="Y300" s="64"/>
      <c r="Z300" s="102">
        <v>100.0</v>
      </c>
      <c r="AA300" s="64"/>
      <c r="AC300" s="39">
        <v>100.0</v>
      </c>
      <c r="AD300" s="39">
        <v>60.0</v>
      </c>
      <c r="AE300" s="39">
        <v>100.0</v>
      </c>
      <c r="AF300" s="39">
        <v>35.0</v>
      </c>
      <c r="AG300" s="39">
        <v>100.0</v>
      </c>
      <c r="AH300" s="39">
        <v>30.0</v>
      </c>
      <c r="AI300" s="39">
        <v>30.0</v>
      </c>
      <c r="AJ300" s="39">
        <v>0.0</v>
      </c>
      <c r="AK300" s="39">
        <v>0.0</v>
      </c>
      <c r="AL300" s="39">
        <v>0.0</v>
      </c>
      <c r="AM300" s="39">
        <v>0.0</v>
      </c>
      <c r="AN300" s="39">
        <v>0.0</v>
      </c>
      <c r="AO300" s="39">
        <v>0.0</v>
      </c>
      <c r="AP300" s="39">
        <v>0.0</v>
      </c>
      <c r="AQ300" s="39">
        <v>0.0</v>
      </c>
      <c r="AR300" s="39">
        <v>0.0</v>
      </c>
      <c r="AS300" s="39">
        <v>0.0</v>
      </c>
      <c r="AT300" s="39">
        <v>0.0</v>
      </c>
      <c r="AU300" s="39">
        <v>0.0</v>
      </c>
      <c r="AV300" s="39">
        <v>0.0</v>
      </c>
      <c r="AW300" s="39">
        <v>0.0</v>
      </c>
      <c r="AX300" s="39">
        <v>0.0</v>
      </c>
      <c r="AY300" s="39">
        <v>0.0</v>
      </c>
      <c r="AZ300" s="39">
        <v>0.0</v>
      </c>
      <c r="BG300" s="79" t="str">
        <f t="array" ref="BG300">IF($A300="","", INDEX(CS!$B$1:$B$15025,MATCH($A300,CS!$B:$B,0)+COLUMN(A$1),1))</f>
        <v>ゴーレム拳</v>
      </c>
      <c r="BH300" s="79" t="str">
        <f t="array" ref="BH300">IF($A300="","", INDEX(CS!$B$1:$B$15025,MATCH($A300,CS!$B:$B,0)+COLUMN(B$1),1))</f>
        <v>ゴーレム投石</v>
      </c>
      <c r="BI300" s="79" t="str">
        <f t="array" ref="BI300">IF($A300="","", INDEX(CS!$B$1:$B$15025,MATCH($A300,CS!$B:$B,0)+COLUMN(C$1),1))</f>
        <v>堅牢な体</v>
      </c>
      <c r="BJ300" s="79" t="str">
        <f t="array" ref="BJ300">IF($A300="","", INDEX(CS!$B$1:$B$15025,MATCH($A300,CS!$B:$B,0)+COLUMN(D$1),1))</f>
        <v/>
      </c>
      <c r="BK300" s="79" t="str">
        <f t="array" ref="BK300">IF($A300="","", INDEX(CS!$B$1:$B$15025,MATCH($A300,CS!$B:$B,0)+COLUMN(E$1),1))</f>
        <v>踏みつけ</v>
      </c>
      <c r="BL300" s="79" t="str">
        <f t="array" ref="BL300">IF($A300="","", INDEX(CS!$B$1:$B$15025,MATCH($A300,CS!$B:$B,0)+COLUMN(F$1),1))</f>
        <v/>
      </c>
      <c r="BM300" s="79" t="str">
        <f t="array" ref="BM300">IF($A300="","", INDEX(CS!$B$1:$B$15025,MATCH($A300,CS!$B:$B,0)+COLUMN(G$1),1))</f>
        <v>魔法核</v>
      </c>
      <c r="BN300" s="79" t="str">
        <f t="array" ref="BN300">IF($A300="","", INDEX(CS!$B$1:$B$15025,MATCH($A300,CS!$B:$B,0)+COLUMN(H$1),1))</f>
        <v/>
      </c>
      <c r="BO300" s="79" t="str">
        <f t="array" ref="BO300">IF($A300="","", INDEX(CS!$B$1:$B$15025,MATCH($A300,CS!$B:$B,0)+COLUMN(I$1),1))</f>
        <v>氷の体</v>
      </c>
      <c r="BP300" s="79" t="str">
        <f t="array" ref="BP300">IF($A300="","", INDEX(CS!$B$1:$B$15025,MATCH($A300,CS!$B:$B,0)+COLUMN(J$1),1))</f>
        <v/>
      </c>
      <c r="BS300" s="74"/>
    </row>
    <row r="301" ht="18.75" customHeight="1" outlineLevel="1">
      <c r="A301" s="39" t="s">
        <v>1982</v>
      </c>
      <c r="B301" s="71"/>
      <c r="D301" s="101" t="str">
        <f t="shared" si="18"/>
        <v>405/405/0</v>
      </c>
      <c r="E301" s="39">
        <v>1.0</v>
      </c>
      <c r="F301" s="39">
        <v>145.0</v>
      </c>
      <c r="I301" s="39">
        <v>110.0</v>
      </c>
      <c r="J301" s="39">
        <v>10.0</v>
      </c>
      <c r="K301" s="87">
        <v>50.0</v>
      </c>
      <c r="L301" s="39">
        <v>0.0</v>
      </c>
      <c r="M301" s="39">
        <v>30.0</v>
      </c>
      <c r="N301" s="39">
        <v>60.0</v>
      </c>
      <c r="O301" s="39">
        <v>300.0</v>
      </c>
      <c r="P301" s="37">
        <v>0.0</v>
      </c>
      <c r="Q301" s="102">
        <v>25.0</v>
      </c>
      <c r="R301" s="64"/>
      <c r="S301" s="102">
        <v>20.0</v>
      </c>
      <c r="T301" s="102">
        <v>30.0</v>
      </c>
      <c r="U301" s="102">
        <v>30.0</v>
      </c>
      <c r="V301" s="102">
        <v>10.0</v>
      </c>
      <c r="W301" s="102">
        <v>100.0</v>
      </c>
      <c r="X301" s="102">
        <v>-45.0</v>
      </c>
      <c r="Y301" s="64"/>
      <c r="Z301" s="102">
        <v>100.0</v>
      </c>
      <c r="AA301" s="64"/>
      <c r="AC301" s="39">
        <v>100.0</v>
      </c>
      <c r="AD301" s="39">
        <v>75.0</v>
      </c>
      <c r="AE301" s="39">
        <v>100.0</v>
      </c>
      <c r="AF301" s="39">
        <v>40.0</v>
      </c>
      <c r="AG301" s="39">
        <v>100.0</v>
      </c>
      <c r="AH301" s="39">
        <v>35.0</v>
      </c>
      <c r="AI301" s="39">
        <v>35.0</v>
      </c>
      <c r="AJ301" s="39">
        <v>0.0</v>
      </c>
      <c r="AK301" s="39">
        <v>0.0</v>
      </c>
      <c r="AL301" s="39">
        <v>0.0</v>
      </c>
      <c r="AM301" s="39">
        <v>0.0</v>
      </c>
      <c r="AN301" s="39">
        <v>0.0</v>
      </c>
      <c r="AO301" s="39">
        <v>0.0</v>
      </c>
      <c r="AP301" s="39">
        <v>0.0</v>
      </c>
      <c r="AQ301" s="39">
        <v>0.0</v>
      </c>
      <c r="AR301" s="39">
        <v>0.0</v>
      </c>
      <c r="AS301" s="39">
        <v>0.0</v>
      </c>
      <c r="AT301" s="39">
        <v>0.0</v>
      </c>
      <c r="AU301" s="39">
        <v>0.0</v>
      </c>
      <c r="AV301" s="39">
        <v>0.0</v>
      </c>
      <c r="AW301" s="39">
        <v>0.0</v>
      </c>
      <c r="AX301" s="39">
        <v>0.0</v>
      </c>
      <c r="AY301" s="39">
        <v>0.0</v>
      </c>
      <c r="AZ301" s="39">
        <v>0.0</v>
      </c>
      <c r="BG301" s="79" t="str">
        <f t="array" ref="BG301">IF($A301="","", INDEX(CS!$B$1:$B$15025,MATCH($A301,CS!$B:$B,0)+COLUMN(A$1),1))</f>
        <v>ゴーレム拳</v>
      </c>
      <c r="BH301" s="79" t="str">
        <f t="array" ref="BH301">IF($A301="","", INDEX(CS!$B$1:$B$15025,MATCH($A301,CS!$B:$B,0)+COLUMN(B$1),1))</f>
        <v>ゴーレム投石</v>
      </c>
      <c r="BI301" s="79" t="str">
        <f t="array" ref="BI301">IF($A301="","", INDEX(CS!$B$1:$B$15025,MATCH($A301,CS!$B:$B,0)+COLUMN(C$1),1))</f>
        <v>堅牢な体</v>
      </c>
      <c r="BJ301" s="79" t="str">
        <f t="array" ref="BJ301">IF($A301="","", INDEX(CS!$B$1:$B$15025,MATCH($A301,CS!$B:$B,0)+COLUMN(D$1),1))</f>
        <v/>
      </c>
      <c r="BK301" s="79" t="str">
        <f t="array" ref="BK301">IF($A301="","", INDEX(CS!$B$1:$B$15025,MATCH($A301,CS!$B:$B,0)+COLUMN(E$1),1))</f>
        <v>踏みつけ</v>
      </c>
      <c r="BL301" s="79" t="str">
        <f t="array" ref="BL301">IF($A301="","", INDEX(CS!$B$1:$B$15025,MATCH($A301,CS!$B:$B,0)+COLUMN(F$1),1))</f>
        <v/>
      </c>
      <c r="BM301" s="79" t="str">
        <f t="array" ref="BM301">IF($A301="","", INDEX(CS!$B$1:$B$15025,MATCH($A301,CS!$B:$B,0)+COLUMN(G$1),1))</f>
        <v>魔法核</v>
      </c>
      <c r="BN301" s="79" t="str">
        <f t="array" ref="BN301">IF($A301="","", INDEX(CS!$B$1:$B$15025,MATCH($A301,CS!$B:$B,0)+COLUMN(H$1),1))</f>
        <v/>
      </c>
      <c r="BO301" s="79" t="str">
        <f t="array" ref="BO301">IF($A301="","", INDEX(CS!$B$1:$B$15025,MATCH($A301,CS!$B:$B,0)+COLUMN(I$1),1))</f>
        <v>炎の体</v>
      </c>
      <c r="BP301" s="79" t="str">
        <f t="array" ref="BP301">IF($A301="","", INDEX(CS!$B$1:$B$15025,MATCH($A301,CS!$B:$B,0)+COLUMN(J$1),1))</f>
        <v/>
      </c>
      <c r="BQ301" s="39">
        <v>5.0</v>
      </c>
      <c r="BR301" s="39" t="s">
        <v>2905</v>
      </c>
      <c r="BS301" s="74"/>
    </row>
    <row r="302" ht="18.75" customHeight="1" outlineLevel="1">
      <c r="A302" s="39" t="s">
        <v>1984</v>
      </c>
      <c r="B302" s="71"/>
      <c r="D302" s="101" t="str">
        <f t="shared" si="18"/>
        <v>350/350/0</v>
      </c>
      <c r="E302" s="39">
        <v>1.0</v>
      </c>
      <c r="F302" s="39">
        <v>110.0</v>
      </c>
      <c r="I302" s="39">
        <v>80.0</v>
      </c>
      <c r="J302" s="39">
        <v>10.0</v>
      </c>
      <c r="K302" s="87">
        <v>25.0</v>
      </c>
      <c r="L302" s="39">
        <v>0.0</v>
      </c>
      <c r="M302" s="39">
        <v>60.0</v>
      </c>
      <c r="N302" s="39">
        <v>65.0</v>
      </c>
      <c r="O302" s="39">
        <v>240.0</v>
      </c>
      <c r="P302" s="37">
        <v>0.0</v>
      </c>
      <c r="Q302" s="102">
        <v>20.0</v>
      </c>
      <c r="R302" s="64"/>
      <c r="S302" s="102">
        <v>25.0</v>
      </c>
      <c r="T302" s="102">
        <v>50.0</v>
      </c>
      <c r="U302" s="102">
        <v>50.0</v>
      </c>
      <c r="V302" s="102">
        <v>15.0</v>
      </c>
      <c r="W302" s="64"/>
      <c r="X302" s="64"/>
      <c r="Y302" s="64"/>
      <c r="Z302" s="102">
        <v>100.0</v>
      </c>
      <c r="AA302" s="64"/>
      <c r="AC302" s="39">
        <v>100.0</v>
      </c>
      <c r="AD302" s="39">
        <v>50.0</v>
      </c>
      <c r="AE302" s="39">
        <v>100.0</v>
      </c>
      <c r="AF302" s="39">
        <v>25.0</v>
      </c>
      <c r="AG302" s="39">
        <v>100.0</v>
      </c>
      <c r="AH302" s="39">
        <v>40.0</v>
      </c>
      <c r="AI302" s="39">
        <v>35.0</v>
      </c>
      <c r="AJ302" s="39">
        <v>0.0</v>
      </c>
      <c r="AK302" s="39">
        <v>0.0</v>
      </c>
      <c r="AL302" s="39">
        <v>0.0</v>
      </c>
      <c r="AM302" s="39">
        <v>0.0</v>
      </c>
      <c r="AN302" s="39">
        <v>0.0</v>
      </c>
      <c r="AO302" s="39">
        <v>0.0</v>
      </c>
      <c r="AP302" s="39">
        <v>0.0</v>
      </c>
      <c r="AQ302" s="39">
        <v>0.0</v>
      </c>
      <c r="AR302" s="39">
        <v>0.0</v>
      </c>
      <c r="AS302" s="39">
        <v>0.0</v>
      </c>
      <c r="AT302" s="39">
        <v>0.0</v>
      </c>
      <c r="AU302" s="39">
        <v>0.0</v>
      </c>
      <c r="AV302" s="39">
        <v>0.0</v>
      </c>
      <c r="AW302" s="39">
        <v>0.0</v>
      </c>
      <c r="AX302" s="39">
        <v>0.0</v>
      </c>
      <c r="AY302" s="39">
        <v>0.0</v>
      </c>
      <c r="AZ302" s="39">
        <v>0.0</v>
      </c>
      <c r="BG302" s="79" t="str">
        <f t="array" ref="BG302">IF($A302="","", INDEX(CS!$B$1:$B$15025,MATCH($A302,CS!$B:$B,0)+COLUMN(A$1),1))</f>
        <v>ゴーレム拳</v>
      </c>
      <c r="BH302" s="79" t="str">
        <f t="array" ref="BH302">IF($A302="","", INDEX(CS!$B$1:$B$15025,MATCH($A302,CS!$B:$B,0)+COLUMN(B$1),1))</f>
        <v>ゴーレム投石</v>
      </c>
      <c r="BI302" s="79" t="str">
        <f t="array" ref="BI302">IF($A302="","", INDEX(CS!$B$1:$B$15025,MATCH($A302,CS!$B:$B,0)+COLUMN(C$1),1))</f>
        <v>堅牢な体</v>
      </c>
      <c r="BJ302" s="79" t="str">
        <f t="array" ref="BJ302">IF($A302="","", INDEX(CS!$B$1:$B$15025,MATCH($A302,CS!$B:$B,0)+COLUMN(D$1),1))</f>
        <v/>
      </c>
      <c r="BK302" s="79" t="str">
        <f t="array" ref="BK302">IF($A302="","", INDEX(CS!$B$1:$B$15025,MATCH($A302,CS!$B:$B,0)+COLUMN(E$1),1))</f>
        <v>踏みつけ</v>
      </c>
      <c r="BL302" s="79" t="str">
        <f t="array" ref="BL302">IF($A302="","", INDEX(CS!$B$1:$B$15025,MATCH($A302,CS!$B:$B,0)+COLUMN(F$1),1))</f>
        <v/>
      </c>
      <c r="BM302" s="79" t="str">
        <f t="array" ref="BM302">IF($A302="","", INDEX(CS!$B$1:$B$15025,MATCH($A302,CS!$B:$B,0)+COLUMN(G$1),1))</f>
        <v>魔法核</v>
      </c>
      <c r="BN302" s="79" t="str">
        <f t="array" ref="BN302">IF($A302="","", INDEX(CS!$B$1:$B$15025,MATCH($A302,CS!$B:$B,0)+COLUMN(H$1),1))</f>
        <v/>
      </c>
      <c r="BO302" s="79" t="str">
        <f t="array" ref="BO302">IF($A302="","", INDEX(CS!$B$1:$B$15025,MATCH($A302,CS!$B:$B,0)+COLUMN(I$1),1))</f>
        <v>地の適用</v>
      </c>
      <c r="BP302" s="79" t="str">
        <f t="array" ref="BP302">IF($A302="","", INDEX(CS!$B$1:$B$15025,MATCH($A302,CS!$B:$B,0)+COLUMN(J$1),1))</f>
        <v/>
      </c>
      <c r="BQ302" s="39">
        <v>5.0</v>
      </c>
      <c r="BR302" s="39" t="s">
        <v>2905</v>
      </c>
      <c r="BS302" s="74"/>
    </row>
    <row r="303" ht="18.75" customHeight="1" outlineLevel="1">
      <c r="A303" s="39" t="s">
        <v>1986</v>
      </c>
      <c r="B303" s="71"/>
      <c r="D303" s="101" t="str">
        <f t="shared" si="18"/>
        <v>455/455/0</v>
      </c>
      <c r="E303" s="39">
        <v>1.0</v>
      </c>
      <c r="F303" s="39">
        <v>140.0</v>
      </c>
      <c r="I303" s="39">
        <v>105.0</v>
      </c>
      <c r="J303" s="39">
        <v>30.0</v>
      </c>
      <c r="K303" s="87">
        <v>30.0</v>
      </c>
      <c r="L303" s="39">
        <v>0.0</v>
      </c>
      <c r="M303" s="39">
        <v>75.0</v>
      </c>
      <c r="N303" s="39">
        <v>75.0</v>
      </c>
      <c r="O303" s="39">
        <v>260.0</v>
      </c>
      <c r="P303" s="37">
        <v>0.0</v>
      </c>
      <c r="Q303" s="102">
        <v>35.0</v>
      </c>
      <c r="R303" s="102">
        <v>25.0</v>
      </c>
      <c r="S303" s="102">
        <v>30.0</v>
      </c>
      <c r="T303" s="102">
        <v>40.0</v>
      </c>
      <c r="U303" s="102">
        <v>40.0</v>
      </c>
      <c r="V303" s="102">
        <v>30.0</v>
      </c>
      <c r="W303" s="102">
        <v>20.0</v>
      </c>
      <c r="X303" s="102">
        <v>20.0</v>
      </c>
      <c r="Y303" s="102">
        <v>10.0</v>
      </c>
      <c r="Z303" s="102">
        <v>100.0</v>
      </c>
      <c r="AA303" s="64"/>
      <c r="AC303" s="39">
        <v>100.0</v>
      </c>
      <c r="AD303" s="39">
        <v>85.0</v>
      </c>
      <c r="AE303" s="39">
        <v>100.0</v>
      </c>
      <c r="AF303" s="39">
        <v>50.0</v>
      </c>
      <c r="AG303" s="39">
        <v>100.0</v>
      </c>
      <c r="AH303" s="39">
        <v>45.0</v>
      </c>
      <c r="AI303" s="39">
        <v>45.0</v>
      </c>
      <c r="AJ303" s="39">
        <v>0.0</v>
      </c>
      <c r="AK303" s="39">
        <v>0.0</v>
      </c>
      <c r="AL303" s="39">
        <v>0.0</v>
      </c>
      <c r="AM303" s="39">
        <v>0.0</v>
      </c>
      <c r="AN303" s="39">
        <v>0.0</v>
      </c>
      <c r="AO303" s="39">
        <v>0.0</v>
      </c>
      <c r="AP303" s="39">
        <v>0.0</v>
      </c>
      <c r="AQ303" s="39">
        <v>0.0</v>
      </c>
      <c r="AR303" s="39">
        <v>0.0</v>
      </c>
      <c r="AS303" s="39">
        <v>0.0</v>
      </c>
      <c r="AT303" s="39">
        <v>0.0</v>
      </c>
      <c r="AU303" s="39">
        <v>0.0</v>
      </c>
      <c r="AV303" s="39">
        <v>0.0</v>
      </c>
      <c r="AW303" s="39">
        <v>0.0</v>
      </c>
      <c r="AX303" s="39">
        <v>0.0</v>
      </c>
      <c r="AY303" s="39">
        <v>0.0</v>
      </c>
      <c r="AZ303" s="39">
        <v>0.0</v>
      </c>
      <c r="BG303" s="79" t="str">
        <f t="array" ref="BG303">IF($A303="","", INDEX(CS!$B$1:$B$15025,MATCH($A303,CS!$B:$B,0)+COLUMN(A$1),1))</f>
        <v>ゴーレム拳</v>
      </c>
      <c r="BH303" s="79" t="str">
        <f t="array" ref="BH303">IF($A303="","", INDEX(CS!$B$1:$B$15025,MATCH($A303,CS!$B:$B,0)+COLUMN(B$1),1))</f>
        <v>ゴーレム投石</v>
      </c>
      <c r="BI303" s="79" t="str">
        <f t="array" ref="BI303">IF($A303="","", INDEX(CS!$B$1:$B$15025,MATCH($A303,CS!$B:$B,0)+COLUMN(C$1),1))</f>
        <v>堅牢な体</v>
      </c>
      <c r="BJ303" s="79" t="str">
        <f t="array" ref="BJ303">IF($A303="","", INDEX(CS!$B$1:$B$15025,MATCH($A303,CS!$B:$B,0)+COLUMN(D$1),1))</f>
        <v/>
      </c>
      <c r="BK303" s="79" t="str">
        <f t="array" ref="BK303">IF($A303="","", INDEX(CS!$B$1:$B$15025,MATCH($A303,CS!$B:$B,0)+COLUMN(E$1),1))</f>
        <v>踏みつけ</v>
      </c>
      <c r="BL303" s="79" t="str">
        <f t="array" ref="BL303">IF($A303="","", INDEX(CS!$B$1:$B$15025,MATCH($A303,CS!$B:$B,0)+COLUMN(F$1),1))</f>
        <v/>
      </c>
      <c r="BM303" s="79" t="str">
        <f t="array" ref="BM303">IF($A303="","", INDEX(CS!$B$1:$B$15025,MATCH($A303,CS!$B:$B,0)+COLUMN(G$1),1))</f>
        <v>魔法核</v>
      </c>
      <c r="BN303" s="79" t="str">
        <f t="array" ref="BN303">IF($A303="","", INDEX(CS!$B$1:$B$15025,MATCH($A303,CS!$B:$B,0)+COLUMN(H$1),1))</f>
        <v/>
      </c>
      <c r="BO303" s="79" t="str">
        <f t="array" ref="BO303">IF($A303="","", INDEX(CS!$B$1:$B$15025,MATCH($A303,CS!$B:$B,0)+COLUMN(I$1),1))</f>
        <v>魔法の守り</v>
      </c>
      <c r="BP303" s="79" t="str">
        <f t="array" ref="BP303">IF($A303="","", INDEX(CS!$B$1:$B$15025,MATCH($A303,CS!$B:$B,0)+COLUMN(J$1),1))</f>
        <v/>
      </c>
      <c r="BQ303" s="39">
        <v>5.0</v>
      </c>
      <c r="BR303" s="39" t="s">
        <v>2905</v>
      </c>
      <c r="BS303" s="74"/>
    </row>
    <row r="304" ht="18.75" customHeight="1" outlineLevel="1">
      <c r="A304" s="39" t="s">
        <v>1987</v>
      </c>
      <c r="B304" s="71"/>
      <c r="D304" s="101" t="str">
        <f t="shared" si="18"/>
        <v>405/405/0</v>
      </c>
      <c r="E304" s="39">
        <v>1.0</v>
      </c>
      <c r="F304" s="39">
        <v>180.0</v>
      </c>
      <c r="I304" s="39">
        <v>120.0</v>
      </c>
      <c r="J304" s="39">
        <v>15.0</v>
      </c>
      <c r="K304" s="87">
        <v>0.0</v>
      </c>
      <c r="L304" s="39">
        <v>0.0</v>
      </c>
      <c r="M304" s="39">
        <v>25.0</v>
      </c>
      <c r="N304" s="39">
        <v>65.0</v>
      </c>
      <c r="O304" s="39">
        <v>320.0</v>
      </c>
      <c r="P304" s="37">
        <v>0.0</v>
      </c>
      <c r="Q304" s="102">
        <v>50.0</v>
      </c>
      <c r="R304" s="102">
        <v>15.0</v>
      </c>
      <c r="S304" s="102">
        <v>40.0</v>
      </c>
      <c r="T304" s="102">
        <v>50.0</v>
      </c>
      <c r="U304" s="102">
        <v>50.0</v>
      </c>
      <c r="V304" s="102">
        <v>40.0</v>
      </c>
      <c r="W304" s="102">
        <v>25.0</v>
      </c>
      <c r="X304" s="102">
        <v>25.0</v>
      </c>
      <c r="Y304" s="102">
        <v>15.0</v>
      </c>
      <c r="Z304" s="102">
        <v>100.0</v>
      </c>
      <c r="AA304" s="64"/>
      <c r="AC304" s="39">
        <v>100.0</v>
      </c>
      <c r="AD304" s="39">
        <v>100.0</v>
      </c>
      <c r="AE304" s="39">
        <v>100.0</v>
      </c>
      <c r="AF304" s="39">
        <v>60.0</v>
      </c>
      <c r="AG304" s="39">
        <v>100.0</v>
      </c>
      <c r="AH304" s="39">
        <v>50.0</v>
      </c>
      <c r="AI304" s="39">
        <v>50.0</v>
      </c>
      <c r="AJ304" s="39">
        <v>0.0</v>
      </c>
      <c r="AK304" s="39">
        <v>0.0</v>
      </c>
      <c r="AL304" s="39">
        <v>0.0</v>
      </c>
      <c r="AM304" s="39">
        <v>0.0</v>
      </c>
      <c r="AN304" s="39">
        <v>0.0</v>
      </c>
      <c r="AO304" s="39">
        <v>0.0</v>
      </c>
      <c r="AP304" s="39">
        <v>0.0</v>
      </c>
      <c r="AQ304" s="39">
        <v>0.0</v>
      </c>
      <c r="AR304" s="39">
        <v>0.0</v>
      </c>
      <c r="AS304" s="39">
        <v>0.0</v>
      </c>
      <c r="AT304" s="39">
        <v>0.0</v>
      </c>
      <c r="AU304" s="39">
        <v>0.0</v>
      </c>
      <c r="AV304" s="39">
        <v>0.0</v>
      </c>
      <c r="AW304" s="39">
        <v>0.0</v>
      </c>
      <c r="AX304" s="39">
        <v>0.0</v>
      </c>
      <c r="AY304" s="39">
        <v>0.0</v>
      </c>
      <c r="AZ304" s="39">
        <v>0.0</v>
      </c>
      <c r="BG304" s="79" t="str">
        <f t="array" ref="BG304">IF($A304="","", INDEX(CS!$B$1:$B$15025,MATCH($A304,CS!$B:$B,0)+COLUMN(A$1),1))</f>
        <v>ゴーレム拳</v>
      </c>
      <c r="BH304" s="79" t="str">
        <f t="array" ref="BH304">IF($A304="","", INDEX(CS!$B$1:$B$15025,MATCH($A304,CS!$B:$B,0)+COLUMN(B$1),1))</f>
        <v>ゴーレム投石</v>
      </c>
      <c r="BI304" s="79" t="str">
        <f t="array" ref="BI304">IF($A304="","", INDEX(CS!$B$1:$B$15025,MATCH($A304,CS!$B:$B,0)+COLUMN(C$1),1))</f>
        <v>堅牢な体</v>
      </c>
      <c r="BJ304" s="79" t="str">
        <f t="array" ref="BJ304">IF($A304="","", INDEX(CS!$B$1:$B$15025,MATCH($A304,CS!$B:$B,0)+COLUMN(D$1),1))</f>
        <v/>
      </c>
      <c r="BK304" s="79" t="str">
        <f t="array" ref="BK304">IF($A304="","", INDEX(CS!$B$1:$B$15025,MATCH($A304,CS!$B:$B,0)+COLUMN(E$1),1))</f>
        <v>踏みつけ</v>
      </c>
      <c r="BL304" s="79" t="str">
        <f t="array" ref="BL304">IF($A304="","", INDEX(CS!$B$1:$B$15025,MATCH($A304,CS!$B:$B,0)+COLUMN(F$1),1))</f>
        <v/>
      </c>
      <c r="BM304" s="79" t="str">
        <f t="array" ref="BM304">IF($A304="","", INDEX(CS!$B$1:$B$15025,MATCH($A304,CS!$B:$B,0)+COLUMN(G$1),1))</f>
        <v>魔法核</v>
      </c>
      <c r="BN304" s="79" t="str">
        <f t="array" ref="BN304">IF($A304="","", INDEX(CS!$B$1:$B$15025,MATCH($A304,CS!$B:$B,0)+COLUMN(H$1),1))</f>
        <v/>
      </c>
      <c r="BO304" s="79" t="str">
        <f t="array" ref="BO304">IF($A304="","", INDEX(CS!$B$1:$B$15025,MATCH($A304,CS!$B:$B,0)+COLUMN(I$1),1))</f>
        <v>硬質外殻</v>
      </c>
      <c r="BP304" s="79" t="str">
        <f t="array" ref="BP304">IF($A304="","", INDEX(CS!$B$1:$B$15025,MATCH($A304,CS!$B:$B,0)+COLUMN(J$1),1))</f>
        <v/>
      </c>
      <c r="BQ304" s="39">
        <v>5.0</v>
      </c>
      <c r="BR304" s="39" t="s">
        <v>2905</v>
      </c>
      <c r="BS304" s="74"/>
    </row>
    <row r="305" ht="18.75" customHeight="1" outlineLevel="1">
      <c r="A305" s="39" t="s">
        <v>1988</v>
      </c>
      <c r="B305" s="71"/>
      <c r="D305" s="101" t="str">
        <f t="shared" si="18"/>
        <v>310/310/0</v>
      </c>
      <c r="E305" s="39">
        <v>1.0</v>
      </c>
      <c r="F305" s="39">
        <v>120.0</v>
      </c>
      <c r="I305" s="39">
        <v>90.0</v>
      </c>
      <c r="J305" s="39">
        <v>10.0</v>
      </c>
      <c r="K305" s="87">
        <v>0.0</v>
      </c>
      <c r="L305" s="39">
        <v>0.0</v>
      </c>
      <c r="M305" s="39">
        <v>35.0</v>
      </c>
      <c r="N305" s="39">
        <v>55.0</v>
      </c>
      <c r="O305" s="39">
        <v>260.0</v>
      </c>
      <c r="P305" s="37">
        <v>0.0</v>
      </c>
      <c r="Q305" s="102">
        <v>15.0</v>
      </c>
      <c r="R305" s="64"/>
      <c r="S305" s="102">
        <v>15.0</v>
      </c>
      <c r="T305" s="102">
        <v>30.0</v>
      </c>
      <c r="U305" s="102">
        <v>30.0</v>
      </c>
      <c r="V305" s="102">
        <v>-15.0</v>
      </c>
      <c r="W305" s="102">
        <v>-15.0</v>
      </c>
      <c r="X305" s="102">
        <v>20.0</v>
      </c>
      <c r="Y305" s="64"/>
      <c r="Z305" s="102">
        <v>100.0</v>
      </c>
      <c r="AA305" s="64"/>
      <c r="AC305" s="39">
        <v>100.0</v>
      </c>
      <c r="AD305" s="39">
        <v>55.0</v>
      </c>
      <c r="AE305" s="39">
        <v>100.0</v>
      </c>
      <c r="AF305" s="39">
        <v>30.0</v>
      </c>
      <c r="AG305" s="39">
        <v>100.0</v>
      </c>
      <c r="AH305" s="39">
        <v>30.0</v>
      </c>
      <c r="AI305" s="39">
        <v>30.0</v>
      </c>
      <c r="AJ305" s="39">
        <v>0.0</v>
      </c>
      <c r="AK305" s="39">
        <v>0.0</v>
      </c>
      <c r="AL305" s="39">
        <v>0.0</v>
      </c>
      <c r="AM305" s="39">
        <v>0.0</v>
      </c>
      <c r="AN305" s="39">
        <v>0.0</v>
      </c>
      <c r="AO305" s="39">
        <v>0.0</v>
      </c>
      <c r="AP305" s="39">
        <v>0.0</v>
      </c>
      <c r="AQ305" s="39">
        <v>0.0</v>
      </c>
      <c r="AR305" s="39">
        <v>0.0</v>
      </c>
      <c r="AS305" s="39">
        <v>0.0</v>
      </c>
      <c r="AT305" s="39">
        <v>0.0</v>
      </c>
      <c r="AU305" s="39">
        <v>0.0</v>
      </c>
      <c r="AV305" s="39">
        <v>0.0</v>
      </c>
      <c r="AW305" s="39">
        <v>0.0</v>
      </c>
      <c r="AX305" s="39">
        <v>0.0</v>
      </c>
      <c r="AY305" s="39">
        <v>0.0</v>
      </c>
      <c r="AZ305" s="39">
        <v>0.0</v>
      </c>
      <c r="BG305" s="79" t="str">
        <f t="array" ref="BG305">IF($A305="","", INDEX(CS!$B$1:$B$15025,MATCH($A305,CS!$B:$B,0)+COLUMN(A$1),1))</f>
        <v>ゴーレム拳</v>
      </c>
      <c r="BH305" s="79" t="str">
        <f t="array" ref="BH305">IF($A305="","", INDEX(CS!$B$1:$B$15025,MATCH($A305,CS!$B:$B,0)+COLUMN(B$1),1))</f>
        <v>ゴーレム投石</v>
      </c>
      <c r="BI305" s="79" t="str">
        <f t="array" ref="BI305">IF($A305="","", INDEX(CS!$B$1:$B$15025,MATCH($A305,CS!$B:$B,0)+COLUMN(C$1),1))</f>
        <v>堅牢な体</v>
      </c>
      <c r="BJ305" s="79" t="str">
        <f t="array" ref="BJ305">IF($A305="","", INDEX(CS!$B$1:$B$15025,MATCH($A305,CS!$B:$B,0)+COLUMN(D$1),1))</f>
        <v/>
      </c>
      <c r="BK305" s="79" t="str">
        <f t="array" ref="BK305">IF($A305="","", INDEX(CS!$B$1:$B$15025,MATCH($A305,CS!$B:$B,0)+COLUMN(E$1),1))</f>
        <v>踏みつけ</v>
      </c>
      <c r="BL305" s="79" t="str">
        <f t="array" ref="BL305">IF($A305="","", INDEX(CS!$B$1:$B$15025,MATCH($A305,CS!$B:$B,0)+COLUMN(F$1),1))</f>
        <v/>
      </c>
      <c r="BM305" s="79" t="str">
        <f t="array" ref="BM305">IF($A305="","", INDEX(CS!$B$1:$B$15025,MATCH($A305,CS!$B:$B,0)+COLUMN(G$1),1))</f>
        <v>魔法核</v>
      </c>
      <c r="BN305" s="79" t="str">
        <f t="array" ref="BN305">IF($A305="","", INDEX(CS!$B$1:$B$15025,MATCH($A305,CS!$B:$B,0)+COLUMN(H$1),1))</f>
        <v/>
      </c>
      <c r="BO305" s="79" t="str">
        <f t="array" ref="BO305">IF($A305="","", INDEX(CS!$B$1:$B$15025,MATCH($A305,CS!$B:$B,0)+COLUMN(I$1),1))</f>
        <v>軟体</v>
      </c>
      <c r="BP305" s="79" t="str">
        <f t="array" ref="BP305">IF($A305="","", INDEX(CS!$B$1:$B$15025,MATCH($A305,CS!$B:$B,0)+COLUMN(J$1),1))</f>
        <v/>
      </c>
      <c r="BQ305" s="39">
        <v>5.0</v>
      </c>
      <c r="BR305" s="39" t="s">
        <v>2905</v>
      </c>
      <c r="BS305" s="74"/>
    </row>
    <row r="306" ht="18.75" customHeight="1">
      <c r="A306" s="39"/>
      <c r="B306" s="71"/>
      <c r="D306" s="72" t="str">
        <f t="shared" si="18"/>
        <v>0/0/0</v>
      </c>
      <c r="E306" s="37">
        <v>1.0</v>
      </c>
      <c r="K306" s="73"/>
      <c r="P306" s="37" t="s">
        <v>29</v>
      </c>
      <c r="Q306" s="64"/>
      <c r="R306" s="64"/>
      <c r="S306" s="64"/>
      <c r="T306" s="64"/>
      <c r="U306" s="64"/>
      <c r="V306" s="64"/>
      <c r="W306" s="64"/>
      <c r="X306" s="64">
        <v>30.0</v>
      </c>
      <c r="Y306" s="64"/>
      <c r="Z306" s="64"/>
      <c r="AA306" s="64"/>
      <c r="AF306" s="37">
        <v>30.0</v>
      </c>
      <c r="BG306" s="79" t="str">
        <f t="array" ref="BG306">IF($A306="","", INDEX(CS!$B$1:$B$15025,MATCH($A306,CS!$B:$B,0)+COLUMN(A$1),1))</f>
        <v/>
      </c>
      <c r="BH306" s="79" t="str">
        <f t="array" ref="BH306">IF($A306="","", INDEX(CS!$B$1:$B$15025,MATCH($A306,CS!$B:$B,0)+COLUMN(B$1),1))</f>
        <v/>
      </c>
      <c r="BI306" s="79" t="str">
        <f t="array" ref="BI306">IF($A306="","", INDEX(CS!$B$1:$B$15025,MATCH($A306,CS!$B:$B,0)+COLUMN(C$1),1))</f>
        <v/>
      </c>
      <c r="BJ306" s="79" t="str">
        <f t="array" ref="BJ306">IF($A306="","", INDEX(CS!$B$1:$B$15025,MATCH($A306,CS!$B:$B,0)+COLUMN(D$1),1))</f>
        <v/>
      </c>
      <c r="BK306" s="79" t="str">
        <f t="array" ref="BK306">IF($A306="","", INDEX(CS!$B$1:$B$15025,MATCH($A306,CS!$B:$B,0)+COLUMN(E$1),1))</f>
        <v/>
      </c>
      <c r="BL306" s="79" t="str">
        <f t="array" ref="BL306">IF($A306="","", INDEX(CS!$B$1:$B$15025,MATCH($A306,CS!$B:$B,0)+COLUMN(F$1),1))</f>
        <v/>
      </c>
      <c r="BM306" s="79" t="str">
        <f t="array" ref="BM306">IF($A306="","", INDEX(CS!$B$1:$B$15025,MATCH($A306,CS!$B:$B,0)+COLUMN(G$1),1))</f>
        <v/>
      </c>
      <c r="BN306" s="79" t="str">
        <f t="array" ref="BN306">IF($A306="","", INDEX(CS!$B$1:$B$15025,MATCH($A306,CS!$B:$B,0)+COLUMN(H$1),1))</f>
        <v/>
      </c>
      <c r="BO306" s="79" t="str">
        <f t="array" ref="BO306">IF($A306="","", INDEX(CS!$B$1:$B$15025,MATCH($A306,CS!$B:$B,0)+COLUMN(I$1),1))</f>
        <v/>
      </c>
      <c r="BP306" s="79" t="str">
        <f t="array" ref="BP306">IF($A306="","", INDEX(CS!$B$1:$B$15025,MATCH($A306,CS!$B:$B,0)+COLUMN(J$1),1))</f>
        <v/>
      </c>
      <c r="BS306" s="74"/>
    </row>
    <row r="307" ht="18.75" customHeight="1">
      <c r="B307" s="85" t="s">
        <v>2906</v>
      </c>
      <c r="C307" s="37" t="s">
        <v>2891</v>
      </c>
      <c r="D307" s="72" t="str">
        <f t="shared" si="18"/>
        <v>0/0/0</v>
      </c>
      <c r="E307" s="37">
        <v>1.0</v>
      </c>
      <c r="K307" s="73"/>
      <c r="P307" s="37" t="s">
        <v>29</v>
      </c>
      <c r="Q307" s="64"/>
      <c r="R307" s="64"/>
      <c r="S307" s="64"/>
      <c r="T307" s="64"/>
      <c r="U307" s="64"/>
      <c r="V307" s="64"/>
      <c r="W307" s="64"/>
      <c r="X307" s="64"/>
      <c r="Y307" s="64"/>
      <c r="Z307" s="64"/>
      <c r="AA307" s="64"/>
      <c r="BG307" s="79" t="str">
        <f t="array" ref="BG307">IF($A307="","", INDEX(CS!$B$1:$B$15025,MATCH($A307,CS!$B:$B,0)+COLUMN(A$1),1))</f>
        <v/>
      </c>
      <c r="BH307" s="79" t="str">
        <f t="array" ref="BH307">IF($A307="","", INDEX(CS!$B$1:$B$15025,MATCH($A307,CS!$B:$B,0)+COLUMN(B$1),1))</f>
        <v/>
      </c>
      <c r="BI307" s="79" t="str">
        <f t="array" ref="BI307">IF($A307="","", INDEX(CS!$B$1:$B$15025,MATCH($A307,CS!$B:$B,0)+COLUMN(C$1),1))</f>
        <v/>
      </c>
      <c r="BJ307" s="79" t="str">
        <f t="array" ref="BJ307">IF($A307="","", INDEX(CS!$B$1:$B$15025,MATCH($A307,CS!$B:$B,0)+COLUMN(D$1),1))</f>
        <v/>
      </c>
      <c r="BK307" s="79" t="str">
        <f t="array" ref="BK307">IF($A307="","", INDEX(CS!$B$1:$B$15025,MATCH($A307,CS!$B:$B,0)+COLUMN(E$1),1))</f>
        <v/>
      </c>
      <c r="BL307" s="79" t="str">
        <f t="array" ref="BL307">IF($A307="","", INDEX(CS!$B$1:$B$15025,MATCH($A307,CS!$B:$B,0)+COLUMN(F$1),1))</f>
        <v/>
      </c>
      <c r="BM307" s="79" t="str">
        <f t="array" ref="BM307">IF($A307="","", INDEX(CS!$B$1:$B$15025,MATCH($A307,CS!$B:$B,0)+COLUMN(G$1),1))</f>
        <v/>
      </c>
      <c r="BN307" s="79" t="str">
        <f t="array" ref="BN307">IF($A307="","", INDEX(CS!$B$1:$B$15025,MATCH($A307,CS!$B:$B,0)+COLUMN(H$1),1))</f>
        <v/>
      </c>
      <c r="BO307" s="79" t="str">
        <f t="array" ref="BO307">IF($A307="","", INDEX(CS!$B$1:$B$15025,MATCH($A307,CS!$B:$B,0)+COLUMN(I$1),1))</f>
        <v/>
      </c>
      <c r="BP307" s="79" t="str">
        <f t="array" ref="BP307">IF($A307="","", INDEX(CS!$B$1:$B$15025,MATCH($A307,CS!$B:$B,0)+COLUMN(J$1),1))</f>
        <v/>
      </c>
      <c r="BS307" s="74"/>
      <c r="BW307" s="57"/>
      <c r="BX307" s="57"/>
      <c r="BY307" s="57"/>
      <c r="BZ307" s="57"/>
      <c r="CA307" s="57"/>
    </row>
    <row r="308" ht="18.75" customHeight="1" outlineLevel="1">
      <c r="A308" s="37" t="s">
        <v>1920</v>
      </c>
      <c r="B308" s="85" t="s">
        <v>2907</v>
      </c>
      <c r="C308" s="37" t="s">
        <v>2891</v>
      </c>
      <c r="D308" s="72" t="str">
        <f t="shared" si="18"/>
        <v>635/505/130</v>
      </c>
      <c r="E308" s="37">
        <v>1.0</v>
      </c>
      <c r="F308" s="37">
        <v>100.0</v>
      </c>
      <c r="I308" s="37">
        <v>85.0</v>
      </c>
      <c r="J308" s="37">
        <v>70.0</v>
      </c>
      <c r="K308" s="73">
        <v>50.0</v>
      </c>
      <c r="L308" s="37">
        <v>50.0</v>
      </c>
      <c r="M308" s="37">
        <v>75.0</v>
      </c>
      <c r="N308" s="37">
        <v>75.0</v>
      </c>
      <c r="O308" s="37">
        <v>250.0</v>
      </c>
      <c r="P308" s="37">
        <v>0.0</v>
      </c>
      <c r="Q308" s="64">
        <v>5.0</v>
      </c>
      <c r="R308" s="64">
        <v>5.0</v>
      </c>
      <c r="S308" s="64"/>
      <c r="T308" s="64"/>
      <c r="U308" s="64"/>
      <c r="V308" s="64"/>
      <c r="W308" s="64"/>
      <c r="X308" s="64"/>
      <c r="Y308" s="64"/>
      <c r="Z308" s="64">
        <v>5.0</v>
      </c>
      <c r="AA308" s="64"/>
      <c r="AC308" s="37">
        <v>-15.0</v>
      </c>
      <c r="AD308" s="37">
        <v>5.0</v>
      </c>
      <c r="AE308" s="37">
        <v>5.0</v>
      </c>
      <c r="AJ308" s="39">
        <v>0.0</v>
      </c>
      <c r="AK308" s="39">
        <v>50.0</v>
      </c>
      <c r="AL308" s="39">
        <v>0.0</v>
      </c>
      <c r="AM308" s="39">
        <v>0.0</v>
      </c>
      <c r="AN308" s="39">
        <v>0.0</v>
      </c>
      <c r="AO308" s="41">
        <v>0.0</v>
      </c>
      <c r="AP308" s="41">
        <v>0.0</v>
      </c>
      <c r="AQ308" s="41">
        <v>40.0</v>
      </c>
      <c r="AR308" s="41">
        <v>40.0</v>
      </c>
      <c r="AS308" s="39">
        <v>0.0</v>
      </c>
      <c r="AT308" s="39">
        <v>0.0</v>
      </c>
      <c r="AU308" s="39">
        <v>0.0</v>
      </c>
      <c r="AV308" s="39">
        <v>0.0</v>
      </c>
      <c r="AW308" s="39">
        <v>0.0</v>
      </c>
      <c r="AX308" s="39">
        <v>0.0</v>
      </c>
      <c r="AY308" s="39">
        <v>0.0</v>
      </c>
      <c r="AZ308" s="39">
        <v>0.0</v>
      </c>
      <c r="BA308" s="39">
        <v>0.0</v>
      </c>
      <c r="BB308" s="39">
        <v>120.0</v>
      </c>
      <c r="BC308" s="39">
        <v>110.0</v>
      </c>
      <c r="BD308" s="39">
        <v>130.0</v>
      </c>
      <c r="BE308" s="39">
        <v>80.0</v>
      </c>
      <c r="BF308" s="39">
        <v>100.0</v>
      </c>
      <c r="BG308" s="79" t="str">
        <f t="array" ref="BG308">IF($A308="","", INDEX(CS!$B$1:$B$15025,MATCH($A308,CS!$B:$B,0)+COLUMN(A$1),1))</f>
        <v>爪</v>
      </c>
      <c r="BH308" s="79" t="str">
        <f t="array" ref="BH308">IF($A308="","", INDEX(CS!$B$1:$B$15025,MATCH($A308,CS!$B:$B,0)+COLUMN(B$1),1))</f>
        <v/>
      </c>
      <c r="BI308" s="79" t="str">
        <f t="array" ref="BI308">IF($A308="","", INDEX(CS!$B$1:$B$15025,MATCH($A308,CS!$B:$B,0)+COLUMN(C$1),1))</f>
        <v>翼</v>
      </c>
      <c r="BJ308" s="79" t="str">
        <f t="array" ref="BJ308">IF($A308="","", INDEX(CS!$B$1:$B$15025,MATCH($A308,CS!$B:$B,0)+COLUMN(D$1),1))</f>
        <v/>
      </c>
      <c r="BK308" s="79" t="str">
        <f t="array" ref="BK308">IF($A308="","", INDEX(CS!$B$1:$B$15025,MATCH($A308,CS!$B:$B,0)+COLUMN(E$1),1))</f>
        <v>威圧</v>
      </c>
      <c r="BL308" s="79" t="str">
        <f t="array" ref="BL308">IF($A308="","", INDEX(CS!$B$1:$B$15025,MATCH($A308,CS!$B:$B,0)+COLUMN(F$1),1))</f>
        <v>毒の唾</v>
      </c>
      <c r="BM308" s="79" t="str">
        <f t="array" ref="BM308">IF($A308="","", INDEX(CS!$B$1:$B$15025,MATCH($A308,CS!$B:$B,0)+COLUMN(G$1),1))</f>
        <v/>
      </c>
      <c r="BN308" s="79" t="str">
        <f t="array" ref="BN308">IF($A308="","", INDEX(CS!$B$1:$B$15025,MATCH($A308,CS!$B:$B,0)+COLUMN(H$1),1))</f>
        <v>毒の尾</v>
      </c>
      <c r="BO308" s="79" t="str">
        <f t="array" ref="BO308">IF($A308="","", INDEX(CS!$B$1:$B$15025,MATCH($A308,CS!$B:$B,0)+COLUMN(I$1),1))</f>
        <v>外皮</v>
      </c>
      <c r="BP308" s="79" t="str">
        <f t="array" ref="BP308">IF($A308="","", INDEX(CS!$B$1:$B$15025,MATCH($A308,CS!$B:$B,0)+COLUMN(J$1),1))</f>
        <v/>
      </c>
      <c r="BS308" s="74"/>
      <c r="BV308" s="37" t="s">
        <v>2659</v>
      </c>
      <c r="BW308" s="57">
        <v>200.0</v>
      </c>
      <c r="BX308" s="75">
        <v>0.0</v>
      </c>
      <c r="BY308" s="75">
        <v>0.0</v>
      </c>
      <c r="BZ308" s="75">
        <v>180.0</v>
      </c>
      <c r="CA308" s="75">
        <v>20.0</v>
      </c>
      <c r="CD308" s="75">
        <v>2.0</v>
      </c>
      <c r="CE308" s="75"/>
      <c r="CG308" s="37" t="s">
        <v>2725</v>
      </c>
      <c r="CH308" s="37" t="s">
        <v>2725</v>
      </c>
      <c r="CI308" s="37" t="s">
        <v>2725</v>
      </c>
      <c r="CJ308" s="37" t="s">
        <v>2725</v>
      </c>
      <c r="CK308" s="37" t="s">
        <v>2725</v>
      </c>
      <c r="CN308" s="37" t="s">
        <v>2908</v>
      </c>
    </row>
    <row r="309" ht="18.75" customHeight="1" outlineLevel="1">
      <c r="A309" s="41" t="s">
        <v>1914</v>
      </c>
      <c r="B309" s="85" t="s">
        <v>2909</v>
      </c>
      <c r="C309" s="37" t="s">
        <v>2891</v>
      </c>
      <c r="D309" s="72" t="str">
        <f t="shared" si="18"/>
        <v>635/505/130</v>
      </c>
      <c r="E309" s="37">
        <v>1.0</v>
      </c>
      <c r="F309" s="37">
        <v>100.0</v>
      </c>
      <c r="I309" s="41">
        <v>90.0</v>
      </c>
      <c r="J309" s="41">
        <v>90.0</v>
      </c>
      <c r="K309" s="73">
        <v>50.0</v>
      </c>
      <c r="L309" s="37">
        <v>50.0</v>
      </c>
      <c r="M309" s="41">
        <v>50.0</v>
      </c>
      <c r="N309" s="37">
        <v>75.0</v>
      </c>
      <c r="O309" s="37">
        <v>250.0</v>
      </c>
      <c r="P309" s="37">
        <v>0.0</v>
      </c>
      <c r="Q309" s="64">
        <v>5.0</v>
      </c>
      <c r="R309" s="64">
        <v>5.0</v>
      </c>
      <c r="S309" s="64"/>
      <c r="T309" s="64"/>
      <c r="U309" s="64"/>
      <c r="V309" s="64"/>
      <c r="W309" s="64"/>
      <c r="X309" s="64"/>
      <c r="Y309" s="64"/>
      <c r="Z309" s="64">
        <v>5.0</v>
      </c>
      <c r="AA309" s="64"/>
      <c r="AC309" s="37">
        <v>-15.0</v>
      </c>
      <c r="AD309" s="37">
        <v>5.0</v>
      </c>
      <c r="AE309" s="37">
        <v>5.0</v>
      </c>
      <c r="AJ309" s="39">
        <v>0.0</v>
      </c>
      <c r="AK309" s="39">
        <v>50.0</v>
      </c>
      <c r="AL309" s="39">
        <v>0.0</v>
      </c>
      <c r="AM309" s="39">
        <v>0.0</v>
      </c>
      <c r="AN309" s="39">
        <v>0.0</v>
      </c>
      <c r="AO309" s="41">
        <v>0.0</v>
      </c>
      <c r="AP309" s="41">
        <v>0.0</v>
      </c>
      <c r="AQ309" s="41">
        <v>40.0</v>
      </c>
      <c r="AR309" s="41">
        <v>40.0</v>
      </c>
      <c r="AS309" s="39">
        <v>0.0</v>
      </c>
      <c r="AT309" s="39">
        <v>0.0</v>
      </c>
      <c r="AU309" s="39">
        <v>0.0</v>
      </c>
      <c r="AV309" s="39">
        <v>0.0</v>
      </c>
      <c r="AW309" s="39">
        <v>0.0</v>
      </c>
      <c r="AX309" s="39">
        <v>0.0</v>
      </c>
      <c r="AY309" s="39">
        <v>0.0</v>
      </c>
      <c r="AZ309" s="39">
        <v>0.0</v>
      </c>
      <c r="BA309" s="39">
        <v>0.0</v>
      </c>
      <c r="BB309" s="39">
        <v>120.0</v>
      </c>
      <c r="BC309" s="41">
        <v>130.0</v>
      </c>
      <c r="BD309" s="39">
        <v>130.0</v>
      </c>
      <c r="BE309" s="41">
        <v>0.0</v>
      </c>
      <c r="BF309" s="41">
        <v>125.0</v>
      </c>
      <c r="BG309" s="37" t="str">
        <f t="array" ref="BG309">IF($A309="","", INDEX(CS!$B$1:$B$15025,MATCH($A309,CS!$B:$B,0)+COLUMN(A$1),1))</f>
        <v>毒の唾</v>
      </c>
      <c r="BH309" s="37" t="str">
        <f t="array" ref="BH309">IF($A309="","", INDEX(CS!$B$1:$B$15025,MATCH($A309,CS!$B:$B,0)+COLUMN(B$1),1))</f>
        <v>爪</v>
      </c>
      <c r="BI309" s="37" t="str">
        <f t="array" ref="BI309">IF($A309="","", INDEX(CS!$B$1:$B$15025,MATCH($A309,CS!$B:$B,0)+COLUMN(C$1),1))</f>
        <v>外皮</v>
      </c>
      <c r="BJ309" s="37" t="str">
        <f t="array" ref="BJ309">IF($A309="","", INDEX(CS!$B$1:$B$15025,MATCH($A309,CS!$B:$B,0)+COLUMN(D$1),1))</f>
        <v/>
      </c>
      <c r="BK309" s="37" t="str">
        <f t="array" ref="BK309">IF($A309="","", INDEX(CS!$B$1:$B$15025,MATCH($A309,CS!$B:$B,0)+COLUMN(E$1),1))</f>
        <v>地竜の吐息</v>
      </c>
      <c r="BL309" s="37" t="str">
        <f t="array" ref="BL309">IF($A309="","", INDEX(CS!$B$1:$B$15025,MATCH($A309,CS!$B:$B,0)+COLUMN(F$1),1))</f>
        <v/>
      </c>
      <c r="BM309" s="37" t="str">
        <f t="array" ref="BM309">IF($A309="","", INDEX(CS!$B$1:$B$15025,MATCH($A309,CS!$B:$B,0)+COLUMN(G$1),1))</f>
        <v>踏みつけ</v>
      </c>
      <c r="BN309" s="37" t="str">
        <f t="array" ref="BN309">IF($A309="","", INDEX(CS!$B$1:$B$15025,MATCH($A309,CS!$B:$B,0)+COLUMN(H$1),1))</f>
        <v/>
      </c>
      <c r="BO309" s="37" t="str">
        <f t="array" ref="BO309">IF($A309="","", INDEX(CS!$B$1:$B$15025,MATCH($A309,CS!$B:$B,0)+COLUMN(I$1),1))</f>
        <v>尾</v>
      </c>
      <c r="BP309" s="37" t="str">
        <f t="array" ref="BP309">IF($A309="","", INDEX(CS!$B$1:$B$15025,MATCH($A309,CS!$B:$B,0)+COLUMN(J$1),1))</f>
        <v/>
      </c>
      <c r="BS309" s="74"/>
      <c r="BV309" s="37" t="s">
        <v>2659</v>
      </c>
      <c r="BW309" s="57">
        <v>200.0</v>
      </c>
      <c r="BX309" s="75">
        <v>0.0</v>
      </c>
      <c r="BY309" s="75">
        <v>0.0</v>
      </c>
      <c r="BZ309" s="75">
        <v>180.0</v>
      </c>
      <c r="CA309" s="75">
        <v>20.0</v>
      </c>
      <c r="CD309" s="75">
        <v>2.0</v>
      </c>
      <c r="CE309" s="75"/>
      <c r="CG309" s="37" t="s">
        <v>2725</v>
      </c>
      <c r="CH309" s="37" t="s">
        <v>2725</v>
      </c>
      <c r="CI309" s="37" t="s">
        <v>2725</v>
      </c>
      <c r="CJ309" s="37" t="s">
        <v>2725</v>
      </c>
      <c r="CK309" s="37" t="s">
        <v>2725</v>
      </c>
      <c r="CN309" s="37" t="s">
        <v>2908</v>
      </c>
    </row>
    <row r="310" ht="18.75" customHeight="1">
      <c r="A310" s="90"/>
      <c r="B310" s="91"/>
      <c r="C310" s="79"/>
      <c r="D310" s="98" t="str">
        <f t="shared" si="18"/>
        <v>0/0/0</v>
      </c>
      <c r="E310" s="99">
        <v>1.0</v>
      </c>
      <c r="F310" s="79"/>
      <c r="G310" s="79"/>
      <c r="H310" s="79"/>
      <c r="I310" s="79"/>
      <c r="J310" s="79"/>
      <c r="K310" s="81"/>
      <c r="L310" s="79"/>
      <c r="M310" s="79"/>
      <c r="N310" s="79"/>
      <c r="O310" s="79"/>
      <c r="P310" s="79" t="s">
        <v>29</v>
      </c>
      <c r="Q310" s="82"/>
      <c r="R310" s="82"/>
      <c r="S310" s="82"/>
      <c r="T310" s="82"/>
      <c r="U310" s="82"/>
      <c r="V310" s="82"/>
      <c r="W310" s="82"/>
      <c r="X310" s="82"/>
      <c r="Y310" s="82"/>
      <c r="Z310" s="82"/>
      <c r="AA310" s="82"/>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79"/>
      <c r="AZ310" s="79"/>
      <c r="BA310" s="79"/>
      <c r="BB310" s="79"/>
      <c r="BC310" s="79"/>
      <c r="BD310" s="79"/>
      <c r="BE310" s="79"/>
      <c r="BF310" s="79"/>
      <c r="BG310" s="79" t="str">
        <f t="array" ref="BG310">IF($A310="","", INDEX(CS!$B$1:$B$15025,MATCH($A310,CS!$B:$B,0)+COLUMN(A$1),1))</f>
        <v/>
      </c>
      <c r="BH310" s="79" t="str">
        <f t="array" ref="BH310">IF($A310="","", INDEX(CS!$B$1:$B$15025,MATCH($A310,CS!$B:$B,0)+COLUMN(B$1),1))</f>
        <v/>
      </c>
      <c r="BI310" s="79" t="str">
        <f t="array" ref="BI310">IF($A310="","", INDEX(CS!$B$1:$B$15025,MATCH($A310,CS!$B:$B,0)+COLUMN(C$1),1))</f>
        <v/>
      </c>
      <c r="BJ310" s="79" t="str">
        <f t="array" ref="BJ310">IF($A310="","", INDEX(CS!$B$1:$B$15025,MATCH($A310,CS!$B:$B,0)+COLUMN(D$1),1))</f>
        <v/>
      </c>
      <c r="BK310" s="79" t="str">
        <f t="array" ref="BK310">IF($A310="","", INDEX(CS!$B$1:$B$15025,MATCH($A310,CS!$B:$B,0)+COLUMN(E$1),1))</f>
        <v/>
      </c>
      <c r="BL310" s="79" t="str">
        <f t="array" ref="BL310">IF($A310="","", INDEX(CS!$B$1:$B$15025,MATCH($A310,CS!$B:$B,0)+COLUMN(F$1),1))</f>
        <v/>
      </c>
      <c r="BM310" s="79" t="str">
        <f t="array" ref="BM310">IF($A310="","", INDEX(CS!$B$1:$B$15025,MATCH($A310,CS!$B:$B,0)+COLUMN(G$1),1))</f>
        <v/>
      </c>
      <c r="BN310" s="79" t="str">
        <f t="array" ref="BN310">IF($A310="","", INDEX(CS!$B$1:$B$15025,MATCH($A310,CS!$B:$B,0)+COLUMN(H$1),1))</f>
        <v/>
      </c>
      <c r="BO310" s="79" t="str">
        <f t="array" ref="BO310">IF($A310="","", INDEX(CS!$B$1:$B$15025,MATCH($A310,CS!$B:$B,0)+COLUMN(I$1),1))</f>
        <v/>
      </c>
      <c r="BP310" s="79" t="str">
        <f t="array" ref="BP310">IF($A310="","", INDEX(CS!$B$1:$B$15025,MATCH($A310,CS!$B:$B,0)+COLUMN(J$1),1))</f>
        <v/>
      </c>
      <c r="BQ310" s="79"/>
      <c r="BR310" s="79"/>
      <c r="BS310" s="83"/>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row>
    <row r="311" ht="18.75" customHeight="1">
      <c r="A311" s="90"/>
      <c r="B311" s="91"/>
      <c r="C311" s="79"/>
      <c r="D311" s="98" t="str">
        <f t="shared" si="18"/>
        <v>0/0/0</v>
      </c>
      <c r="E311" s="99">
        <v>1.0</v>
      </c>
      <c r="F311" s="79"/>
      <c r="G311" s="79"/>
      <c r="H311" s="79"/>
      <c r="I311" s="79"/>
      <c r="J311" s="79"/>
      <c r="K311" s="81"/>
      <c r="L311" s="79"/>
      <c r="M311" s="79"/>
      <c r="N311" s="79"/>
      <c r="O311" s="79"/>
      <c r="P311" s="79" t="s">
        <v>29</v>
      </c>
      <c r="Q311" s="82"/>
      <c r="R311" s="82"/>
      <c r="S311" s="82"/>
      <c r="T311" s="82"/>
      <c r="U311" s="82"/>
      <c r="V311" s="82"/>
      <c r="W311" s="82"/>
      <c r="X311" s="82"/>
      <c r="Y311" s="82"/>
      <c r="Z311" s="82"/>
      <c r="AA311" s="82"/>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79"/>
      <c r="AZ311" s="79"/>
      <c r="BA311" s="79"/>
      <c r="BB311" s="79"/>
      <c r="BC311" s="79"/>
      <c r="BD311" s="79"/>
      <c r="BE311" s="79"/>
      <c r="BF311" s="79"/>
      <c r="BG311" s="79" t="str">
        <f t="array" ref="BG311">IF($A311="","", INDEX(CS!$B$1:$B$15025,MATCH($A311,CS!$B:$B,0)+COLUMN(A$1),1))</f>
        <v/>
      </c>
      <c r="BH311" s="79" t="str">
        <f t="array" ref="BH311">IF($A311="","", INDEX(CS!$B$1:$B$15025,MATCH($A311,CS!$B:$B,0)+COLUMN(B$1),1))</f>
        <v/>
      </c>
      <c r="BI311" s="79" t="str">
        <f t="array" ref="BI311">IF($A311="","", INDEX(CS!$B$1:$B$15025,MATCH($A311,CS!$B:$B,0)+COLUMN(C$1),1))</f>
        <v/>
      </c>
      <c r="BJ311" s="79" t="str">
        <f t="array" ref="BJ311">IF($A311="","", INDEX(CS!$B$1:$B$15025,MATCH($A311,CS!$B:$B,0)+COLUMN(D$1),1))</f>
        <v/>
      </c>
      <c r="BK311" s="79" t="str">
        <f t="array" ref="BK311">IF($A311="","", INDEX(CS!$B$1:$B$15025,MATCH($A311,CS!$B:$B,0)+COLUMN(E$1),1))</f>
        <v/>
      </c>
      <c r="BL311" s="79" t="str">
        <f t="array" ref="BL311">IF($A311="","", INDEX(CS!$B$1:$B$15025,MATCH($A311,CS!$B:$B,0)+COLUMN(F$1),1))</f>
        <v/>
      </c>
      <c r="BM311" s="79" t="str">
        <f t="array" ref="BM311">IF($A311="","", INDEX(CS!$B$1:$B$15025,MATCH($A311,CS!$B:$B,0)+COLUMN(G$1),1))</f>
        <v/>
      </c>
      <c r="BN311" s="79" t="str">
        <f t="array" ref="BN311">IF($A311="","", INDEX(CS!$B$1:$B$15025,MATCH($A311,CS!$B:$B,0)+COLUMN(H$1),1))</f>
        <v/>
      </c>
      <c r="BO311" s="79" t="str">
        <f t="array" ref="BO311">IF($A311="","", INDEX(CS!$B$1:$B$15025,MATCH($A311,CS!$B:$B,0)+COLUMN(I$1),1))</f>
        <v/>
      </c>
      <c r="BP311" s="79" t="str">
        <f t="array" ref="BP311">IF($A311="","", INDEX(CS!$B$1:$B$15025,MATCH($A311,CS!$B:$B,0)+COLUMN(J$1),1))</f>
        <v/>
      </c>
      <c r="BQ311" s="79"/>
      <c r="BR311" s="79"/>
      <c r="BS311" s="83"/>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row>
    <row r="312" ht="18.75" customHeight="1">
      <c r="A312" s="90"/>
      <c r="B312" s="91"/>
      <c r="C312" s="79"/>
      <c r="D312" s="98" t="str">
        <f t="shared" si="18"/>
        <v>0/0/0</v>
      </c>
      <c r="E312" s="99">
        <v>1.0</v>
      </c>
      <c r="F312" s="79"/>
      <c r="G312" s="79"/>
      <c r="H312" s="79"/>
      <c r="I312" s="79"/>
      <c r="J312" s="79"/>
      <c r="K312" s="81"/>
      <c r="L312" s="79"/>
      <c r="M312" s="79"/>
      <c r="N312" s="79"/>
      <c r="O312" s="79"/>
      <c r="P312" s="79" t="s">
        <v>29</v>
      </c>
      <c r="Q312" s="82"/>
      <c r="R312" s="82"/>
      <c r="S312" s="82"/>
      <c r="T312" s="82"/>
      <c r="U312" s="82"/>
      <c r="V312" s="82"/>
      <c r="W312" s="82"/>
      <c r="X312" s="82"/>
      <c r="Y312" s="82"/>
      <c r="Z312" s="82"/>
      <c r="AA312" s="82"/>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79"/>
      <c r="AZ312" s="79"/>
      <c r="BA312" s="79"/>
      <c r="BB312" s="79"/>
      <c r="BC312" s="79"/>
      <c r="BD312" s="79"/>
      <c r="BE312" s="79"/>
      <c r="BF312" s="79"/>
      <c r="BG312" s="79" t="str">
        <f t="array" ref="BG312">IF($A312="","", INDEX(CS!$B$1:$B$15025,MATCH($A312,CS!$B:$B,0)+COLUMN(A$1),1))</f>
        <v/>
      </c>
      <c r="BH312" s="79" t="str">
        <f t="array" ref="BH312">IF($A312="","", INDEX(CS!$B$1:$B$15025,MATCH($A312,CS!$B:$B,0)+COLUMN(B$1),1))</f>
        <v/>
      </c>
      <c r="BI312" s="79" t="str">
        <f t="array" ref="BI312">IF($A312="","", INDEX(CS!$B$1:$B$15025,MATCH($A312,CS!$B:$B,0)+COLUMN(C$1),1))</f>
        <v/>
      </c>
      <c r="BJ312" s="79" t="str">
        <f t="array" ref="BJ312">IF($A312="","", INDEX(CS!$B$1:$B$15025,MATCH($A312,CS!$B:$B,0)+COLUMN(D$1),1))</f>
        <v/>
      </c>
      <c r="BK312" s="79" t="str">
        <f t="array" ref="BK312">IF($A312="","", INDEX(CS!$B$1:$B$15025,MATCH($A312,CS!$B:$B,0)+COLUMN(E$1),1))</f>
        <v/>
      </c>
      <c r="BL312" s="79" t="str">
        <f t="array" ref="BL312">IF($A312="","", INDEX(CS!$B$1:$B$15025,MATCH($A312,CS!$B:$B,0)+COLUMN(F$1),1))</f>
        <v/>
      </c>
      <c r="BM312" s="79" t="str">
        <f t="array" ref="BM312">IF($A312="","", INDEX(CS!$B$1:$B$15025,MATCH($A312,CS!$B:$B,0)+COLUMN(G$1),1))</f>
        <v/>
      </c>
      <c r="BN312" s="79" t="str">
        <f t="array" ref="BN312">IF($A312="","", INDEX(CS!$B$1:$B$15025,MATCH($A312,CS!$B:$B,0)+COLUMN(H$1),1))</f>
        <v/>
      </c>
      <c r="BO312" s="79" t="str">
        <f t="array" ref="BO312">IF($A312="","", INDEX(CS!$B$1:$B$15025,MATCH($A312,CS!$B:$B,0)+COLUMN(I$1),1))</f>
        <v/>
      </c>
      <c r="BP312" s="79" t="str">
        <f t="array" ref="BP312">IF($A312="","", INDEX(CS!$B$1:$B$15025,MATCH($A312,CS!$B:$B,0)+COLUMN(J$1),1))</f>
        <v/>
      </c>
      <c r="BQ312" s="79"/>
      <c r="BR312" s="79"/>
      <c r="BS312" s="83"/>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row>
    <row r="313" ht="18.75" customHeight="1">
      <c r="A313" s="90"/>
      <c r="B313" s="91"/>
      <c r="C313" s="79"/>
      <c r="D313" s="98" t="str">
        <f t="shared" si="18"/>
        <v>0/0/0</v>
      </c>
      <c r="E313" s="99">
        <v>1.0</v>
      </c>
      <c r="F313" s="79"/>
      <c r="G313" s="79"/>
      <c r="H313" s="79"/>
      <c r="I313" s="79"/>
      <c r="J313" s="79"/>
      <c r="K313" s="81"/>
      <c r="L313" s="79"/>
      <c r="M313" s="79"/>
      <c r="N313" s="79"/>
      <c r="O313" s="79"/>
      <c r="P313" s="79" t="s">
        <v>29</v>
      </c>
      <c r="Q313" s="82"/>
      <c r="R313" s="82"/>
      <c r="S313" s="82"/>
      <c r="T313" s="82"/>
      <c r="U313" s="82"/>
      <c r="V313" s="82"/>
      <c r="W313" s="82"/>
      <c r="X313" s="82"/>
      <c r="Y313" s="82"/>
      <c r="Z313" s="82"/>
      <c r="AA313" s="82"/>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79"/>
      <c r="AZ313" s="79"/>
      <c r="BA313" s="79"/>
      <c r="BB313" s="79"/>
      <c r="BC313" s="79"/>
      <c r="BD313" s="79"/>
      <c r="BE313" s="79"/>
      <c r="BF313" s="79"/>
      <c r="BG313" s="79" t="str">
        <f t="array" ref="BG313">IF($A313="","", INDEX(CS!$B$1:$B$15025,MATCH($A313,CS!$B:$B,0)+COLUMN(A$1),1))</f>
        <v/>
      </c>
      <c r="BH313" s="79" t="str">
        <f t="array" ref="BH313">IF($A313="","", INDEX(CS!$B$1:$B$15025,MATCH($A313,CS!$B:$B,0)+COLUMN(B$1),1))</f>
        <v/>
      </c>
      <c r="BI313" s="79" t="str">
        <f t="array" ref="BI313">IF($A313="","", INDEX(CS!$B$1:$B$15025,MATCH($A313,CS!$B:$B,0)+COLUMN(C$1),1))</f>
        <v/>
      </c>
      <c r="BJ313" s="79" t="str">
        <f t="array" ref="BJ313">IF($A313="","", INDEX(CS!$B$1:$B$15025,MATCH($A313,CS!$B:$B,0)+COLUMN(D$1),1))</f>
        <v/>
      </c>
      <c r="BK313" s="79" t="str">
        <f t="array" ref="BK313">IF($A313="","", INDEX(CS!$B$1:$B$15025,MATCH($A313,CS!$B:$B,0)+COLUMN(E$1),1))</f>
        <v/>
      </c>
      <c r="BL313" s="79" t="str">
        <f t="array" ref="BL313">IF($A313="","", INDEX(CS!$B$1:$B$15025,MATCH($A313,CS!$B:$B,0)+COLUMN(F$1),1))</f>
        <v/>
      </c>
      <c r="BM313" s="79" t="str">
        <f t="array" ref="BM313">IF($A313="","", INDEX(CS!$B$1:$B$15025,MATCH($A313,CS!$B:$B,0)+COLUMN(G$1),1))</f>
        <v/>
      </c>
      <c r="BN313" s="79" t="str">
        <f t="array" ref="BN313">IF($A313="","", INDEX(CS!$B$1:$B$15025,MATCH($A313,CS!$B:$B,0)+COLUMN(H$1),1))</f>
        <v/>
      </c>
      <c r="BO313" s="79" t="str">
        <f t="array" ref="BO313">IF($A313="","", INDEX(CS!$B$1:$B$15025,MATCH($A313,CS!$B:$B,0)+COLUMN(I$1),1))</f>
        <v/>
      </c>
      <c r="BP313" s="79" t="str">
        <f t="array" ref="BP313">IF($A313="","", INDEX(CS!$B$1:$B$15025,MATCH($A313,CS!$B:$B,0)+COLUMN(J$1),1))</f>
        <v/>
      </c>
      <c r="BQ313" s="79"/>
      <c r="BR313" s="79"/>
      <c r="BS313" s="83"/>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row>
    <row r="314" ht="18.75" customHeight="1">
      <c r="A314" s="90"/>
      <c r="B314" s="91"/>
      <c r="C314" s="79"/>
      <c r="D314" s="98" t="str">
        <f t="shared" si="18"/>
        <v>0/0/0</v>
      </c>
      <c r="E314" s="99">
        <v>1.0</v>
      </c>
      <c r="F314" s="79"/>
      <c r="G314" s="79"/>
      <c r="H314" s="79"/>
      <c r="I314" s="79"/>
      <c r="J314" s="79"/>
      <c r="K314" s="81"/>
      <c r="L314" s="79"/>
      <c r="M314" s="79"/>
      <c r="N314" s="79"/>
      <c r="O314" s="79"/>
      <c r="P314" s="79" t="s">
        <v>29</v>
      </c>
      <c r="Q314" s="82"/>
      <c r="R314" s="82"/>
      <c r="S314" s="82"/>
      <c r="T314" s="82"/>
      <c r="U314" s="82"/>
      <c r="V314" s="82"/>
      <c r="W314" s="82"/>
      <c r="X314" s="82"/>
      <c r="Y314" s="82"/>
      <c r="Z314" s="82"/>
      <c r="AA314" s="82"/>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79"/>
      <c r="AZ314" s="79"/>
      <c r="BA314" s="79"/>
      <c r="BB314" s="79"/>
      <c r="BC314" s="79"/>
      <c r="BD314" s="79"/>
      <c r="BE314" s="79"/>
      <c r="BF314" s="79"/>
      <c r="BG314" s="79" t="str">
        <f t="array" ref="BG314">IF($A314="","", INDEX(CS!$B$1:$B$15025,MATCH($A314,CS!$B:$B,0)+COLUMN(A$1),1))</f>
        <v/>
      </c>
      <c r="BH314" s="79" t="str">
        <f t="array" ref="BH314">IF($A314="","", INDEX(CS!$B$1:$B$15025,MATCH($A314,CS!$B:$B,0)+COLUMN(B$1),1))</f>
        <v/>
      </c>
      <c r="BI314" s="79" t="str">
        <f t="array" ref="BI314">IF($A314="","", INDEX(CS!$B$1:$B$15025,MATCH($A314,CS!$B:$B,0)+COLUMN(C$1),1))</f>
        <v/>
      </c>
      <c r="BJ314" s="79" t="str">
        <f t="array" ref="BJ314">IF($A314="","", INDEX(CS!$B$1:$B$15025,MATCH($A314,CS!$B:$B,0)+COLUMN(D$1),1))</f>
        <v/>
      </c>
      <c r="BK314" s="79" t="str">
        <f t="array" ref="BK314">IF($A314="","", INDEX(CS!$B$1:$B$15025,MATCH($A314,CS!$B:$B,0)+COLUMN(E$1),1))</f>
        <v/>
      </c>
      <c r="BL314" s="79" t="str">
        <f t="array" ref="BL314">IF($A314="","", INDEX(CS!$B$1:$B$15025,MATCH($A314,CS!$B:$B,0)+COLUMN(F$1),1))</f>
        <v/>
      </c>
      <c r="BM314" s="79" t="str">
        <f t="array" ref="BM314">IF($A314="","", INDEX(CS!$B$1:$B$15025,MATCH($A314,CS!$B:$B,0)+COLUMN(G$1),1))</f>
        <v/>
      </c>
      <c r="BN314" s="79" t="str">
        <f t="array" ref="BN314">IF($A314="","", INDEX(CS!$B$1:$B$15025,MATCH($A314,CS!$B:$B,0)+COLUMN(H$1),1))</f>
        <v/>
      </c>
      <c r="BO314" s="79" t="str">
        <f t="array" ref="BO314">IF($A314="","", INDEX(CS!$B$1:$B$15025,MATCH($A314,CS!$B:$B,0)+COLUMN(I$1),1))</f>
        <v/>
      </c>
      <c r="BP314" s="79" t="str">
        <f t="array" ref="BP314">IF($A314="","", INDEX(CS!$B$1:$B$15025,MATCH($A314,CS!$B:$B,0)+COLUMN(J$1),1))</f>
        <v/>
      </c>
      <c r="BQ314" s="79"/>
      <c r="BR314" s="79"/>
      <c r="BS314" s="83"/>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row>
    <row r="315" ht="18.75" customHeight="1">
      <c r="A315" s="90"/>
      <c r="B315" s="91"/>
      <c r="C315" s="79"/>
      <c r="D315" s="98" t="str">
        <f t="shared" si="18"/>
        <v>0/0/0</v>
      </c>
      <c r="E315" s="99">
        <v>1.0</v>
      </c>
      <c r="F315" s="79"/>
      <c r="G315" s="79"/>
      <c r="H315" s="79"/>
      <c r="I315" s="79"/>
      <c r="J315" s="79"/>
      <c r="K315" s="81"/>
      <c r="L315" s="79"/>
      <c r="M315" s="79"/>
      <c r="N315" s="79"/>
      <c r="O315" s="79"/>
      <c r="P315" s="79" t="s">
        <v>29</v>
      </c>
      <c r="Q315" s="82"/>
      <c r="R315" s="82"/>
      <c r="S315" s="82"/>
      <c r="T315" s="82"/>
      <c r="U315" s="82"/>
      <c r="V315" s="82"/>
      <c r="W315" s="82"/>
      <c r="X315" s="82"/>
      <c r="Y315" s="82"/>
      <c r="Z315" s="82"/>
      <c r="AA315" s="82"/>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79"/>
      <c r="AZ315" s="79"/>
      <c r="BA315" s="79"/>
      <c r="BB315" s="79"/>
      <c r="BC315" s="79"/>
      <c r="BD315" s="79"/>
      <c r="BE315" s="79"/>
      <c r="BF315" s="79"/>
      <c r="BG315" s="79" t="str">
        <f t="array" ref="BG315">IF($A315="","", INDEX(CS!$B$1:$B$15025,MATCH($A315,CS!$B:$B,0)+COLUMN(A$1),1))</f>
        <v/>
      </c>
      <c r="BH315" s="79" t="str">
        <f t="array" ref="BH315">IF($A315="","", INDEX(CS!$B$1:$B$15025,MATCH($A315,CS!$B:$B,0)+COLUMN(B$1),1))</f>
        <v/>
      </c>
      <c r="BI315" s="79" t="str">
        <f t="array" ref="BI315">IF($A315="","", INDEX(CS!$B$1:$B$15025,MATCH($A315,CS!$B:$B,0)+COLUMN(C$1),1))</f>
        <v/>
      </c>
      <c r="BJ315" s="79" t="str">
        <f t="array" ref="BJ315">IF($A315="","", INDEX(CS!$B$1:$B$15025,MATCH($A315,CS!$B:$B,0)+COLUMN(D$1),1))</f>
        <v/>
      </c>
      <c r="BK315" s="79" t="str">
        <f t="array" ref="BK315">IF($A315="","", INDEX(CS!$B$1:$B$15025,MATCH($A315,CS!$B:$B,0)+COLUMN(E$1),1))</f>
        <v/>
      </c>
      <c r="BL315" s="79" t="str">
        <f t="array" ref="BL315">IF($A315="","", INDEX(CS!$B$1:$B$15025,MATCH($A315,CS!$B:$B,0)+COLUMN(F$1),1))</f>
        <v/>
      </c>
      <c r="BM315" s="79" t="str">
        <f t="array" ref="BM315">IF($A315="","", INDEX(CS!$B$1:$B$15025,MATCH($A315,CS!$B:$B,0)+COLUMN(G$1),1))</f>
        <v/>
      </c>
      <c r="BN315" s="79" t="str">
        <f t="array" ref="BN315">IF($A315="","", INDEX(CS!$B$1:$B$15025,MATCH($A315,CS!$B:$B,0)+COLUMN(H$1),1))</f>
        <v/>
      </c>
      <c r="BO315" s="79" t="str">
        <f t="array" ref="BO315">IF($A315="","", INDEX(CS!$B$1:$B$15025,MATCH($A315,CS!$B:$B,0)+COLUMN(I$1),1))</f>
        <v/>
      </c>
      <c r="BP315" s="79" t="str">
        <f t="array" ref="BP315">IF($A315="","", INDEX(CS!$B$1:$B$15025,MATCH($A315,CS!$B:$B,0)+COLUMN(J$1),1))</f>
        <v/>
      </c>
      <c r="BQ315" s="79"/>
      <c r="BR315" s="79"/>
      <c r="BS315" s="83"/>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row>
    <row r="316" ht="18.75" customHeight="1">
      <c r="A316" s="90"/>
      <c r="B316" s="91"/>
      <c r="C316" s="79"/>
      <c r="D316" s="98" t="str">
        <f t="shared" si="18"/>
        <v>0/0/0</v>
      </c>
      <c r="E316" s="99">
        <v>1.0</v>
      </c>
      <c r="F316" s="79"/>
      <c r="G316" s="79"/>
      <c r="H316" s="79"/>
      <c r="I316" s="79"/>
      <c r="J316" s="79"/>
      <c r="K316" s="81"/>
      <c r="L316" s="79"/>
      <c r="M316" s="79"/>
      <c r="N316" s="79"/>
      <c r="O316" s="79"/>
      <c r="P316" s="79" t="s">
        <v>29</v>
      </c>
      <c r="Q316" s="82"/>
      <c r="R316" s="82"/>
      <c r="S316" s="82"/>
      <c r="T316" s="82"/>
      <c r="U316" s="82"/>
      <c r="V316" s="82"/>
      <c r="W316" s="82"/>
      <c r="X316" s="82"/>
      <c r="Y316" s="82"/>
      <c r="Z316" s="82"/>
      <c r="AA316" s="82"/>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79"/>
      <c r="AZ316" s="79"/>
      <c r="BA316" s="79"/>
      <c r="BB316" s="79"/>
      <c r="BC316" s="79"/>
      <c r="BD316" s="79"/>
      <c r="BE316" s="79"/>
      <c r="BF316" s="79"/>
      <c r="BG316" s="79" t="str">
        <f t="array" ref="BG316">IF($A316="","", INDEX(CS!$B$1:$B$15025,MATCH($A316,CS!$B:$B,0)+COLUMN(A$1),1))</f>
        <v/>
      </c>
      <c r="BH316" s="79" t="str">
        <f t="array" ref="BH316">IF($A316="","", INDEX(CS!$B$1:$B$15025,MATCH($A316,CS!$B:$B,0)+COLUMN(B$1),1))</f>
        <v/>
      </c>
      <c r="BI316" s="79" t="str">
        <f t="array" ref="BI316">IF($A316="","", INDEX(CS!$B$1:$B$15025,MATCH($A316,CS!$B:$B,0)+COLUMN(C$1),1))</f>
        <v/>
      </c>
      <c r="BJ316" s="79" t="str">
        <f t="array" ref="BJ316">IF($A316="","", INDEX(CS!$B$1:$B$15025,MATCH($A316,CS!$B:$B,0)+COLUMN(D$1),1))</f>
        <v/>
      </c>
      <c r="BK316" s="79" t="str">
        <f t="array" ref="BK316">IF($A316="","", INDEX(CS!$B$1:$B$15025,MATCH($A316,CS!$B:$B,0)+COLUMN(E$1),1))</f>
        <v/>
      </c>
      <c r="BL316" s="79" t="str">
        <f t="array" ref="BL316">IF($A316="","", INDEX(CS!$B$1:$B$15025,MATCH($A316,CS!$B:$B,0)+COLUMN(F$1),1))</f>
        <v/>
      </c>
      <c r="BM316" s="79" t="str">
        <f t="array" ref="BM316">IF($A316="","", INDEX(CS!$B$1:$B$15025,MATCH($A316,CS!$B:$B,0)+COLUMN(G$1),1))</f>
        <v/>
      </c>
      <c r="BN316" s="79" t="str">
        <f t="array" ref="BN316">IF($A316="","", INDEX(CS!$B$1:$B$15025,MATCH($A316,CS!$B:$B,0)+COLUMN(H$1),1))</f>
        <v/>
      </c>
      <c r="BO316" s="79" t="str">
        <f t="array" ref="BO316">IF($A316="","", INDEX(CS!$B$1:$B$15025,MATCH($A316,CS!$B:$B,0)+COLUMN(I$1),1))</f>
        <v/>
      </c>
      <c r="BP316" s="79" t="str">
        <f t="array" ref="BP316">IF($A316="","", INDEX(CS!$B$1:$B$15025,MATCH($A316,CS!$B:$B,0)+COLUMN(J$1),1))</f>
        <v/>
      </c>
      <c r="BQ316" s="79"/>
      <c r="BR316" s="79"/>
      <c r="BS316" s="83"/>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row>
    <row r="317" ht="18.75" customHeight="1">
      <c r="A317" s="79"/>
      <c r="B317" s="91"/>
      <c r="C317" s="79" t="s">
        <v>2891</v>
      </c>
      <c r="D317" s="98" t="str">
        <f t="shared" si="18"/>
        <v>0/0/0</v>
      </c>
      <c r="E317" s="99">
        <v>1.0</v>
      </c>
      <c r="F317" s="79"/>
      <c r="G317" s="79"/>
      <c r="H317" s="79"/>
      <c r="I317" s="79"/>
      <c r="J317" s="79"/>
      <c r="K317" s="81"/>
      <c r="L317" s="79"/>
      <c r="M317" s="79"/>
      <c r="N317" s="79"/>
      <c r="O317" s="79"/>
      <c r="P317" s="79" t="s">
        <v>29</v>
      </c>
      <c r="Q317" s="82"/>
      <c r="R317" s="82"/>
      <c r="S317" s="82"/>
      <c r="T317" s="82"/>
      <c r="U317" s="82"/>
      <c r="V317" s="82"/>
      <c r="W317" s="82"/>
      <c r="X317" s="82"/>
      <c r="Y317" s="82"/>
      <c r="Z317" s="82"/>
      <c r="AA317" s="82"/>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79"/>
      <c r="AZ317" s="79"/>
      <c r="BA317" s="79"/>
      <c r="BB317" s="79"/>
      <c r="BC317" s="79"/>
      <c r="BD317" s="79"/>
      <c r="BE317" s="79"/>
      <c r="BF317" s="79"/>
      <c r="BG317" s="79" t="str">
        <f t="array" ref="BG317">IF($A317="","", INDEX(CS!$B$1:$B$15025,MATCH($A317,CS!$B:$B,0)+COLUMN(A$1),1))</f>
        <v/>
      </c>
      <c r="BH317" s="79" t="str">
        <f t="array" ref="BH317">IF($A317="","", INDEX(CS!$B$1:$B$15025,MATCH($A317,CS!$B:$B,0)+COLUMN(B$1),1))</f>
        <v/>
      </c>
      <c r="BI317" s="79" t="str">
        <f t="array" ref="BI317">IF($A317="","", INDEX(CS!$B$1:$B$15025,MATCH($A317,CS!$B:$B,0)+COLUMN(C$1),1))</f>
        <v/>
      </c>
      <c r="BJ317" s="79" t="str">
        <f t="array" ref="BJ317">IF($A317="","", INDEX(CS!$B$1:$B$15025,MATCH($A317,CS!$B:$B,0)+COLUMN(D$1),1))</f>
        <v/>
      </c>
      <c r="BK317" s="79" t="str">
        <f t="array" ref="BK317">IF($A317="","", INDEX(CS!$B$1:$B$15025,MATCH($A317,CS!$B:$B,0)+COLUMN(E$1),1))</f>
        <v/>
      </c>
      <c r="BL317" s="79" t="str">
        <f t="array" ref="BL317">IF($A317="","", INDEX(CS!$B$1:$B$15025,MATCH($A317,CS!$B:$B,0)+COLUMN(F$1),1))</f>
        <v/>
      </c>
      <c r="BM317" s="79" t="str">
        <f t="array" ref="BM317">IF($A317="","", INDEX(CS!$B$1:$B$15025,MATCH($A317,CS!$B:$B,0)+COLUMN(G$1),1))</f>
        <v/>
      </c>
      <c r="BN317" s="79" t="str">
        <f t="array" ref="BN317">IF($A317="","", INDEX(CS!$B$1:$B$15025,MATCH($A317,CS!$B:$B,0)+COLUMN(H$1),1))</f>
        <v/>
      </c>
      <c r="BO317" s="79" t="str">
        <f t="array" ref="BO317">IF($A317="","", INDEX(CS!$B$1:$B$15025,MATCH($A317,CS!$B:$B,0)+COLUMN(I$1),1))</f>
        <v/>
      </c>
      <c r="BP317" s="79" t="str">
        <f t="array" ref="BP317">IF($A317="","", INDEX(CS!$B$1:$B$15025,MATCH($A317,CS!$B:$B,0)+COLUMN(J$1),1))</f>
        <v/>
      </c>
      <c r="BQ317" s="79"/>
      <c r="BR317" s="79"/>
      <c r="BS317" s="83"/>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row>
    <row r="318" ht="18.75" customHeight="1">
      <c r="A318" s="79"/>
      <c r="B318" s="91"/>
      <c r="C318" s="79" t="s">
        <v>2891</v>
      </c>
      <c r="D318" s="98" t="str">
        <f t="shared" si="18"/>
        <v>0/0/0</v>
      </c>
      <c r="E318" s="99">
        <v>1.0</v>
      </c>
      <c r="F318" s="79"/>
      <c r="G318" s="79"/>
      <c r="H318" s="79"/>
      <c r="I318" s="79"/>
      <c r="J318" s="79"/>
      <c r="K318" s="81"/>
      <c r="L318" s="79"/>
      <c r="M318" s="79"/>
      <c r="N318" s="79"/>
      <c r="O318" s="79"/>
      <c r="P318" s="79" t="s">
        <v>29</v>
      </c>
      <c r="Q318" s="82"/>
      <c r="R318" s="82"/>
      <c r="S318" s="82"/>
      <c r="T318" s="82"/>
      <c r="U318" s="82"/>
      <c r="V318" s="82"/>
      <c r="W318" s="82"/>
      <c r="X318" s="82"/>
      <c r="Y318" s="82"/>
      <c r="Z318" s="82"/>
      <c r="AA318" s="82"/>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79"/>
      <c r="AZ318" s="79"/>
      <c r="BA318" s="79"/>
      <c r="BB318" s="79"/>
      <c r="BC318" s="79"/>
      <c r="BD318" s="79"/>
      <c r="BE318" s="79"/>
      <c r="BF318" s="79"/>
      <c r="BG318" s="79" t="str">
        <f t="array" ref="BG318">IF($A318="","", INDEX(CS!$B$1:$B$15025,MATCH($A318,CS!$B:$B,0)+COLUMN(A$1),1))</f>
        <v/>
      </c>
      <c r="BH318" s="79" t="str">
        <f t="array" ref="BH318">IF($A318="","", INDEX(CS!$B$1:$B$15025,MATCH($A318,CS!$B:$B,0)+COLUMN(B$1),1))</f>
        <v/>
      </c>
      <c r="BI318" s="79" t="str">
        <f t="array" ref="BI318">IF($A318="","", INDEX(CS!$B$1:$B$15025,MATCH($A318,CS!$B:$B,0)+COLUMN(C$1),1))</f>
        <v/>
      </c>
      <c r="BJ318" s="79" t="str">
        <f t="array" ref="BJ318">IF($A318="","", INDEX(CS!$B$1:$B$15025,MATCH($A318,CS!$B:$B,0)+COLUMN(D$1),1))</f>
        <v/>
      </c>
      <c r="BK318" s="79" t="str">
        <f t="array" ref="BK318">IF($A318="","", INDEX(CS!$B$1:$B$15025,MATCH($A318,CS!$B:$B,0)+COLUMN(E$1),1))</f>
        <v/>
      </c>
      <c r="BL318" s="79" t="str">
        <f t="array" ref="BL318">IF($A318="","", INDEX(CS!$B$1:$B$15025,MATCH($A318,CS!$B:$B,0)+COLUMN(F$1),1))</f>
        <v/>
      </c>
      <c r="BM318" s="79" t="str">
        <f t="array" ref="BM318">IF($A318="","", INDEX(CS!$B$1:$B$15025,MATCH($A318,CS!$B:$B,0)+COLUMN(G$1),1))</f>
        <v/>
      </c>
      <c r="BN318" s="79" t="str">
        <f t="array" ref="BN318">IF($A318="","", INDEX(CS!$B$1:$B$15025,MATCH($A318,CS!$B:$B,0)+COLUMN(H$1),1))</f>
        <v/>
      </c>
      <c r="BO318" s="79" t="str">
        <f t="array" ref="BO318">IF($A318="","", INDEX(CS!$B$1:$B$15025,MATCH($A318,CS!$B:$B,0)+COLUMN(I$1),1))</f>
        <v/>
      </c>
      <c r="BP318" s="79" t="str">
        <f t="array" ref="BP318">IF($A318="","", INDEX(CS!$B$1:$B$15025,MATCH($A318,CS!$B:$B,0)+COLUMN(J$1),1))</f>
        <v/>
      </c>
      <c r="BQ318" s="79"/>
      <c r="BR318" s="79"/>
      <c r="BS318" s="83"/>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row>
    <row r="319" ht="18.75" customHeight="1">
      <c r="A319" s="79"/>
      <c r="B319" s="91"/>
      <c r="C319" s="79" t="s">
        <v>2891</v>
      </c>
      <c r="D319" s="98" t="str">
        <f t="shared" si="18"/>
        <v>0/0/0</v>
      </c>
      <c r="E319" s="99">
        <v>1.0</v>
      </c>
      <c r="F319" s="79"/>
      <c r="G319" s="79"/>
      <c r="H319" s="79"/>
      <c r="I319" s="79"/>
      <c r="J319" s="79"/>
      <c r="K319" s="81"/>
      <c r="L319" s="79"/>
      <c r="M319" s="79"/>
      <c r="N319" s="79"/>
      <c r="O319" s="79"/>
      <c r="P319" s="79" t="s">
        <v>29</v>
      </c>
      <c r="Q319" s="82"/>
      <c r="R319" s="82"/>
      <c r="S319" s="82"/>
      <c r="T319" s="82"/>
      <c r="U319" s="82"/>
      <c r="V319" s="82"/>
      <c r="W319" s="82"/>
      <c r="X319" s="82"/>
      <c r="Y319" s="82"/>
      <c r="Z319" s="82"/>
      <c r="AA319" s="82"/>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79"/>
      <c r="AZ319" s="79"/>
      <c r="BA319" s="79"/>
      <c r="BB319" s="79"/>
      <c r="BC319" s="79"/>
      <c r="BD319" s="79"/>
      <c r="BE319" s="79"/>
      <c r="BF319" s="79"/>
      <c r="BG319" s="79" t="str">
        <f t="array" ref="BG319">IF($A319="","", INDEX(CS!$B$1:$B$15025,MATCH($A319,CS!$B:$B,0)+COLUMN(A$1),1))</f>
        <v/>
      </c>
      <c r="BH319" s="79" t="str">
        <f t="array" ref="BH319">IF($A319="","", INDEX(CS!$B$1:$B$15025,MATCH($A319,CS!$B:$B,0)+COLUMN(B$1),1))</f>
        <v/>
      </c>
      <c r="BI319" s="79" t="str">
        <f t="array" ref="BI319">IF($A319="","", INDEX(CS!$B$1:$B$15025,MATCH($A319,CS!$B:$B,0)+COLUMN(C$1),1))</f>
        <v/>
      </c>
      <c r="BJ319" s="79" t="str">
        <f t="array" ref="BJ319">IF($A319="","", INDEX(CS!$B$1:$B$15025,MATCH($A319,CS!$B:$B,0)+COLUMN(D$1),1))</f>
        <v/>
      </c>
      <c r="BK319" s="79" t="str">
        <f t="array" ref="BK319">IF($A319="","", INDEX(CS!$B$1:$B$15025,MATCH($A319,CS!$B:$B,0)+COLUMN(E$1),1))</f>
        <v/>
      </c>
      <c r="BL319" s="79" t="str">
        <f t="array" ref="BL319">IF($A319="","", INDEX(CS!$B$1:$B$15025,MATCH($A319,CS!$B:$B,0)+COLUMN(F$1),1))</f>
        <v/>
      </c>
      <c r="BM319" s="79" t="str">
        <f t="array" ref="BM319">IF($A319="","", INDEX(CS!$B$1:$B$15025,MATCH($A319,CS!$B:$B,0)+COLUMN(G$1),1))</f>
        <v/>
      </c>
      <c r="BN319" s="79" t="str">
        <f t="array" ref="BN319">IF($A319="","", INDEX(CS!$B$1:$B$15025,MATCH($A319,CS!$B:$B,0)+COLUMN(H$1),1))</f>
        <v/>
      </c>
      <c r="BO319" s="79" t="str">
        <f t="array" ref="BO319">IF($A319="","", INDEX(CS!$B$1:$B$15025,MATCH($A319,CS!$B:$B,0)+COLUMN(I$1),1))</f>
        <v/>
      </c>
      <c r="BP319" s="79" t="str">
        <f t="array" ref="BP319">IF($A319="","", INDEX(CS!$B$1:$B$15025,MATCH($A319,CS!$B:$B,0)+COLUMN(J$1),1))</f>
        <v/>
      </c>
      <c r="BQ319" s="79"/>
      <c r="BR319" s="79"/>
      <c r="BS319" s="83"/>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row>
    <row r="320" ht="18.75" customHeight="1">
      <c r="A320" s="79"/>
      <c r="B320" s="91"/>
      <c r="C320" s="79" t="s">
        <v>2891</v>
      </c>
      <c r="D320" s="98" t="str">
        <f t="shared" si="18"/>
        <v>0/0/0</v>
      </c>
      <c r="E320" s="99">
        <v>1.0</v>
      </c>
      <c r="F320" s="79"/>
      <c r="G320" s="79"/>
      <c r="H320" s="79"/>
      <c r="I320" s="79"/>
      <c r="J320" s="79"/>
      <c r="K320" s="81"/>
      <c r="L320" s="79"/>
      <c r="M320" s="79"/>
      <c r="N320" s="79"/>
      <c r="O320" s="79"/>
      <c r="P320" s="79" t="s">
        <v>29</v>
      </c>
      <c r="Q320" s="82"/>
      <c r="R320" s="82"/>
      <c r="S320" s="82"/>
      <c r="T320" s="82"/>
      <c r="U320" s="82"/>
      <c r="V320" s="82"/>
      <c r="W320" s="82"/>
      <c r="X320" s="82"/>
      <c r="Y320" s="82"/>
      <c r="Z320" s="82"/>
      <c r="AA320" s="82"/>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79"/>
      <c r="AZ320" s="79"/>
      <c r="BA320" s="79"/>
      <c r="BB320" s="79"/>
      <c r="BC320" s="79"/>
      <c r="BD320" s="79"/>
      <c r="BE320" s="79"/>
      <c r="BF320" s="79"/>
      <c r="BG320" s="79" t="str">
        <f t="array" ref="BG320">IF($A320="","", INDEX(CS!$B$1:$B$15025,MATCH($A320,CS!$B:$B,0)+COLUMN(A$1),1))</f>
        <v/>
      </c>
      <c r="BH320" s="79" t="str">
        <f t="array" ref="BH320">IF($A320="","", INDEX(CS!$B$1:$B$15025,MATCH($A320,CS!$B:$B,0)+COLUMN(B$1),1))</f>
        <v/>
      </c>
      <c r="BI320" s="79" t="str">
        <f t="array" ref="BI320">IF($A320="","", INDEX(CS!$B$1:$B$15025,MATCH($A320,CS!$B:$B,0)+COLUMN(C$1),1))</f>
        <v/>
      </c>
      <c r="BJ320" s="79" t="str">
        <f t="array" ref="BJ320">IF($A320="","", INDEX(CS!$B$1:$B$15025,MATCH($A320,CS!$B:$B,0)+COLUMN(D$1),1))</f>
        <v/>
      </c>
      <c r="BK320" s="79" t="str">
        <f t="array" ref="BK320">IF($A320="","", INDEX(CS!$B$1:$B$15025,MATCH($A320,CS!$B:$B,0)+COLUMN(E$1),1))</f>
        <v/>
      </c>
      <c r="BL320" s="79" t="str">
        <f t="array" ref="BL320">IF($A320="","", INDEX(CS!$B$1:$B$15025,MATCH($A320,CS!$B:$B,0)+COLUMN(F$1),1))</f>
        <v/>
      </c>
      <c r="BM320" s="79" t="str">
        <f t="array" ref="BM320">IF($A320="","", INDEX(CS!$B$1:$B$15025,MATCH($A320,CS!$B:$B,0)+COLUMN(G$1),1))</f>
        <v/>
      </c>
      <c r="BN320" s="79" t="str">
        <f t="array" ref="BN320">IF($A320="","", INDEX(CS!$B$1:$B$15025,MATCH($A320,CS!$B:$B,0)+COLUMN(H$1),1))</f>
        <v/>
      </c>
      <c r="BO320" s="79" t="str">
        <f t="array" ref="BO320">IF($A320="","", INDEX(CS!$B$1:$B$15025,MATCH($A320,CS!$B:$B,0)+COLUMN(I$1),1))</f>
        <v/>
      </c>
      <c r="BP320" s="79" t="str">
        <f t="array" ref="BP320">IF($A320="","", INDEX(CS!$B$1:$B$15025,MATCH($A320,CS!$B:$B,0)+COLUMN(J$1),1))</f>
        <v/>
      </c>
      <c r="BQ320" s="79"/>
      <c r="BR320" s="79"/>
      <c r="BS320" s="83"/>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row>
    <row r="321" ht="18.75" customHeight="1">
      <c r="A321" s="79"/>
      <c r="B321" s="91"/>
      <c r="C321" s="79" t="s">
        <v>2891</v>
      </c>
      <c r="D321" s="98" t="str">
        <f t="shared" si="18"/>
        <v>0/0/0</v>
      </c>
      <c r="E321" s="99">
        <v>1.0</v>
      </c>
      <c r="F321" s="79"/>
      <c r="G321" s="79"/>
      <c r="H321" s="79"/>
      <c r="I321" s="79"/>
      <c r="J321" s="79"/>
      <c r="K321" s="81"/>
      <c r="L321" s="79"/>
      <c r="M321" s="79"/>
      <c r="N321" s="79"/>
      <c r="O321" s="79"/>
      <c r="P321" s="79" t="s">
        <v>29</v>
      </c>
      <c r="Q321" s="82"/>
      <c r="R321" s="82"/>
      <c r="S321" s="82"/>
      <c r="T321" s="82"/>
      <c r="U321" s="82"/>
      <c r="V321" s="82"/>
      <c r="W321" s="82"/>
      <c r="X321" s="82"/>
      <c r="Y321" s="82"/>
      <c r="Z321" s="82"/>
      <c r="AA321" s="82"/>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79"/>
      <c r="AZ321" s="79"/>
      <c r="BA321" s="79"/>
      <c r="BB321" s="79"/>
      <c r="BC321" s="79"/>
      <c r="BD321" s="79"/>
      <c r="BE321" s="79"/>
      <c r="BF321" s="79"/>
      <c r="BG321" s="79" t="str">
        <f t="array" ref="BG321">IF($A321="","", INDEX(CS!$B$1:$B$15025,MATCH($A321,CS!$B:$B,0)+COLUMN(A$1),1))</f>
        <v/>
      </c>
      <c r="BH321" s="79" t="str">
        <f t="array" ref="BH321">IF($A321="","", INDEX(CS!$B$1:$B$15025,MATCH($A321,CS!$B:$B,0)+COLUMN(B$1),1))</f>
        <v/>
      </c>
      <c r="BI321" s="79" t="str">
        <f t="array" ref="BI321">IF($A321="","", INDEX(CS!$B$1:$B$15025,MATCH($A321,CS!$B:$B,0)+COLUMN(C$1),1))</f>
        <v/>
      </c>
      <c r="BJ321" s="79" t="str">
        <f t="array" ref="BJ321">IF($A321="","", INDEX(CS!$B$1:$B$15025,MATCH($A321,CS!$B:$B,0)+COLUMN(D$1),1))</f>
        <v/>
      </c>
      <c r="BK321" s="79" t="str">
        <f t="array" ref="BK321">IF($A321="","", INDEX(CS!$B$1:$B$15025,MATCH($A321,CS!$B:$B,0)+COLUMN(E$1),1))</f>
        <v/>
      </c>
      <c r="BL321" s="79" t="str">
        <f t="array" ref="BL321">IF($A321="","", INDEX(CS!$B$1:$B$15025,MATCH($A321,CS!$B:$B,0)+COLUMN(F$1),1))</f>
        <v/>
      </c>
      <c r="BM321" s="79" t="str">
        <f t="array" ref="BM321">IF($A321="","", INDEX(CS!$B$1:$B$15025,MATCH($A321,CS!$B:$B,0)+COLUMN(G$1),1))</f>
        <v/>
      </c>
      <c r="BN321" s="79" t="str">
        <f t="array" ref="BN321">IF($A321="","", INDEX(CS!$B$1:$B$15025,MATCH($A321,CS!$B:$B,0)+COLUMN(H$1),1))</f>
        <v/>
      </c>
      <c r="BO321" s="79" t="str">
        <f t="array" ref="BO321">IF($A321="","", INDEX(CS!$B$1:$B$15025,MATCH($A321,CS!$B:$B,0)+COLUMN(I$1),1))</f>
        <v/>
      </c>
      <c r="BP321" s="79" t="str">
        <f t="array" ref="BP321">IF($A321="","", INDEX(CS!$B$1:$B$15025,MATCH($A321,CS!$B:$B,0)+COLUMN(J$1),1))</f>
        <v/>
      </c>
      <c r="BQ321" s="79"/>
      <c r="BR321" s="79"/>
      <c r="BS321" s="83"/>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row>
    <row r="322" ht="18.75" customHeight="1">
      <c r="A322" s="79"/>
      <c r="B322" s="91"/>
      <c r="C322" s="79" t="s">
        <v>2891</v>
      </c>
      <c r="D322" s="98" t="str">
        <f t="shared" si="18"/>
        <v>0/0/0</v>
      </c>
      <c r="E322" s="99">
        <v>1.0</v>
      </c>
      <c r="F322" s="79"/>
      <c r="G322" s="79"/>
      <c r="H322" s="79"/>
      <c r="I322" s="79"/>
      <c r="J322" s="79"/>
      <c r="K322" s="81"/>
      <c r="L322" s="79"/>
      <c r="M322" s="79"/>
      <c r="N322" s="79"/>
      <c r="O322" s="79"/>
      <c r="P322" s="79" t="s">
        <v>29</v>
      </c>
      <c r="Q322" s="82"/>
      <c r="R322" s="82"/>
      <c r="S322" s="82"/>
      <c r="T322" s="82"/>
      <c r="U322" s="82"/>
      <c r="V322" s="82"/>
      <c r="W322" s="82"/>
      <c r="X322" s="82"/>
      <c r="Y322" s="82"/>
      <c r="Z322" s="82"/>
      <c r="AA322" s="82"/>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79"/>
      <c r="AZ322" s="79"/>
      <c r="BA322" s="79"/>
      <c r="BB322" s="79"/>
      <c r="BC322" s="79"/>
      <c r="BD322" s="79"/>
      <c r="BE322" s="79"/>
      <c r="BF322" s="79"/>
      <c r="BG322" s="79" t="str">
        <f t="array" ref="BG322">IF($A322="","", INDEX(CS!$B$1:$B$15025,MATCH($A322,CS!$B:$B,0)+COLUMN(A$1),1))</f>
        <v/>
      </c>
      <c r="BH322" s="79" t="str">
        <f t="array" ref="BH322">IF($A322="","", INDEX(CS!$B$1:$B$15025,MATCH($A322,CS!$B:$B,0)+COLUMN(B$1),1))</f>
        <v/>
      </c>
      <c r="BI322" s="79" t="str">
        <f t="array" ref="BI322">IF($A322="","", INDEX(CS!$B$1:$B$15025,MATCH($A322,CS!$B:$B,0)+COLUMN(C$1),1))</f>
        <v/>
      </c>
      <c r="BJ322" s="79" t="str">
        <f t="array" ref="BJ322">IF($A322="","", INDEX(CS!$B$1:$B$15025,MATCH($A322,CS!$B:$B,0)+COLUMN(D$1),1))</f>
        <v/>
      </c>
      <c r="BK322" s="79" t="str">
        <f t="array" ref="BK322">IF($A322="","", INDEX(CS!$B$1:$B$15025,MATCH($A322,CS!$B:$B,0)+COLUMN(E$1),1))</f>
        <v/>
      </c>
      <c r="BL322" s="79" t="str">
        <f t="array" ref="BL322">IF($A322="","", INDEX(CS!$B$1:$B$15025,MATCH($A322,CS!$B:$B,0)+COLUMN(F$1),1))</f>
        <v/>
      </c>
      <c r="BM322" s="79" t="str">
        <f t="array" ref="BM322">IF($A322="","", INDEX(CS!$B$1:$B$15025,MATCH($A322,CS!$B:$B,0)+COLUMN(G$1),1))</f>
        <v/>
      </c>
      <c r="BN322" s="79" t="str">
        <f t="array" ref="BN322">IF($A322="","", INDEX(CS!$B$1:$B$15025,MATCH($A322,CS!$B:$B,0)+COLUMN(H$1),1))</f>
        <v/>
      </c>
      <c r="BO322" s="79" t="str">
        <f t="array" ref="BO322">IF($A322="","", INDEX(CS!$B$1:$B$15025,MATCH($A322,CS!$B:$B,0)+COLUMN(I$1),1))</f>
        <v/>
      </c>
      <c r="BP322" s="79" t="str">
        <f t="array" ref="BP322">IF($A322="","", INDEX(CS!$B$1:$B$15025,MATCH($A322,CS!$B:$B,0)+COLUMN(J$1),1))</f>
        <v/>
      </c>
      <c r="BQ322" s="79"/>
      <c r="BR322" s="79"/>
      <c r="BS322" s="83"/>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row>
    <row r="323" ht="18.75" customHeight="1">
      <c r="A323" s="79"/>
      <c r="B323" s="91"/>
      <c r="C323" s="79" t="s">
        <v>2891</v>
      </c>
      <c r="D323" s="98" t="str">
        <f t="shared" si="18"/>
        <v>0/0/0</v>
      </c>
      <c r="E323" s="99">
        <v>1.0</v>
      </c>
      <c r="F323" s="79"/>
      <c r="G323" s="79"/>
      <c r="H323" s="79"/>
      <c r="I323" s="79"/>
      <c r="J323" s="79"/>
      <c r="K323" s="81"/>
      <c r="L323" s="79"/>
      <c r="M323" s="79"/>
      <c r="N323" s="79"/>
      <c r="O323" s="79"/>
      <c r="P323" s="79" t="s">
        <v>29</v>
      </c>
      <c r="Q323" s="82"/>
      <c r="R323" s="82"/>
      <c r="S323" s="82"/>
      <c r="T323" s="82"/>
      <c r="U323" s="82"/>
      <c r="V323" s="82"/>
      <c r="W323" s="82"/>
      <c r="X323" s="82"/>
      <c r="Y323" s="82"/>
      <c r="Z323" s="82"/>
      <c r="AA323" s="82"/>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79"/>
      <c r="AZ323" s="79"/>
      <c r="BA323" s="79"/>
      <c r="BB323" s="79"/>
      <c r="BC323" s="79"/>
      <c r="BD323" s="79"/>
      <c r="BE323" s="79"/>
      <c r="BF323" s="79"/>
      <c r="BG323" s="79" t="str">
        <f t="array" ref="BG323">IF($A323="","", INDEX(CS!$B$1:$B$15025,MATCH($A323,CS!$B:$B,0)+COLUMN(A$1),1))</f>
        <v/>
      </c>
      <c r="BH323" s="79" t="str">
        <f t="array" ref="BH323">IF($A323="","", INDEX(CS!$B$1:$B$15025,MATCH($A323,CS!$B:$B,0)+COLUMN(B$1),1))</f>
        <v/>
      </c>
      <c r="BI323" s="79" t="str">
        <f t="array" ref="BI323">IF($A323="","", INDEX(CS!$B$1:$B$15025,MATCH($A323,CS!$B:$B,0)+COLUMN(C$1),1))</f>
        <v/>
      </c>
      <c r="BJ323" s="79" t="str">
        <f t="array" ref="BJ323">IF($A323="","", INDEX(CS!$B$1:$B$15025,MATCH($A323,CS!$B:$B,0)+COLUMN(D$1),1))</f>
        <v/>
      </c>
      <c r="BK323" s="79" t="str">
        <f t="array" ref="BK323">IF($A323="","", INDEX(CS!$B$1:$B$15025,MATCH($A323,CS!$B:$B,0)+COLUMN(E$1),1))</f>
        <v/>
      </c>
      <c r="BL323" s="79" t="str">
        <f t="array" ref="BL323">IF($A323="","", INDEX(CS!$B$1:$B$15025,MATCH($A323,CS!$B:$B,0)+COLUMN(F$1),1))</f>
        <v/>
      </c>
      <c r="BM323" s="79" t="str">
        <f t="array" ref="BM323">IF($A323="","", INDEX(CS!$B$1:$B$15025,MATCH($A323,CS!$B:$B,0)+COLUMN(G$1),1))</f>
        <v/>
      </c>
      <c r="BN323" s="79" t="str">
        <f t="array" ref="BN323">IF($A323="","", INDEX(CS!$B$1:$B$15025,MATCH($A323,CS!$B:$B,0)+COLUMN(H$1),1))</f>
        <v/>
      </c>
      <c r="BO323" s="79" t="str">
        <f t="array" ref="BO323">IF($A323="","", INDEX(CS!$B$1:$B$15025,MATCH($A323,CS!$B:$B,0)+COLUMN(I$1),1))</f>
        <v/>
      </c>
      <c r="BP323" s="79" t="str">
        <f t="array" ref="BP323">IF($A323="","", INDEX(CS!$B$1:$B$15025,MATCH($A323,CS!$B:$B,0)+COLUMN(J$1),1))</f>
        <v/>
      </c>
      <c r="BQ323" s="79"/>
      <c r="BR323" s="79"/>
      <c r="BS323" s="83"/>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row>
    <row r="324" ht="18.75" customHeight="1">
      <c r="B324" s="71"/>
      <c r="C324" s="37" t="s">
        <v>2891</v>
      </c>
      <c r="D324" s="72" t="str">
        <f t="shared" si="18"/>
        <v>0/0/0</v>
      </c>
      <c r="E324" s="37">
        <v>1.0</v>
      </c>
      <c r="K324" s="73"/>
      <c r="P324" s="37" t="s">
        <v>29</v>
      </c>
      <c r="Q324" s="64"/>
      <c r="R324" s="64"/>
      <c r="S324" s="64"/>
      <c r="T324" s="64"/>
      <c r="U324" s="64"/>
      <c r="V324" s="64"/>
      <c r="W324" s="64"/>
      <c r="X324" s="64"/>
      <c r="Y324" s="64"/>
      <c r="Z324" s="64"/>
      <c r="AA324" s="64"/>
      <c r="BG324" s="37" t="str">
        <f t="array" ref="BG324">IF($A324="","", INDEX(CS!$B$1:$B$15025,MATCH($A324,CS!$B:$B,0)+COLUMN(A$1),1))</f>
        <v/>
      </c>
      <c r="BH324" s="37" t="str">
        <f t="array" ref="BH324">IF($A324="","", INDEX(CS!$B$1:$B$15025,MATCH($A324,CS!$B:$B,0)+COLUMN(B$1),1))</f>
        <v/>
      </c>
      <c r="BI324" s="37" t="str">
        <f t="array" ref="BI324">IF($A324="","", INDEX(CS!$B$1:$B$15025,MATCH($A324,CS!$B:$B,0)+COLUMN(C$1),1))</f>
        <v/>
      </c>
      <c r="BJ324" s="37" t="str">
        <f t="array" ref="BJ324">IF($A324="","", INDEX(CS!$B$1:$B$15025,MATCH($A324,CS!$B:$B,0)+COLUMN(D$1),1))</f>
        <v/>
      </c>
      <c r="BK324" s="37" t="str">
        <f t="array" ref="BK324">IF($A324="","", INDEX(CS!$B$1:$B$15025,MATCH($A324,CS!$B:$B,0)+COLUMN(E$1),1))</f>
        <v/>
      </c>
      <c r="BL324" s="37" t="str">
        <f t="array" ref="BL324">IF($A324="","", INDEX(CS!$B$1:$B$15025,MATCH($A324,CS!$B:$B,0)+COLUMN(F$1),1))</f>
        <v/>
      </c>
      <c r="BM324" s="37" t="str">
        <f t="array" ref="BM324">IF($A324="","", INDEX(CS!$B$1:$B$15025,MATCH($A324,CS!$B:$B,0)+COLUMN(G$1),1))</f>
        <v/>
      </c>
      <c r="BN324" s="37" t="str">
        <f t="array" ref="BN324">IF($A324="","", INDEX(CS!$B$1:$B$15025,MATCH($A324,CS!$B:$B,0)+COLUMN(H$1),1))</f>
        <v/>
      </c>
      <c r="BO324" s="37" t="str">
        <f t="array" ref="BO324">IF($A324="","", INDEX(CS!$B$1:$B$15025,MATCH($A324,CS!$B:$B,0)+COLUMN(I$1),1))</f>
        <v/>
      </c>
      <c r="BP324" s="37" t="str">
        <f t="array" ref="BP324">IF($A324="","", INDEX(CS!$B$1:$B$15025,MATCH($A324,CS!$B:$B,0)+COLUMN(J$1),1))</f>
        <v/>
      </c>
      <c r="BS324" s="74"/>
    </row>
    <row r="325" ht="18.75" customHeight="1">
      <c r="B325" s="71"/>
      <c r="C325" s="37" t="s">
        <v>2891</v>
      </c>
      <c r="D325" s="72" t="str">
        <f t="shared" si="18"/>
        <v>0/0/0</v>
      </c>
      <c r="E325" s="37">
        <v>1.0</v>
      </c>
      <c r="K325" s="73"/>
      <c r="P325" s="37" t="s">
        <v>29</v>
      </c>
      <c r="Q325" s="64"/>
      <c r="R325" s="64"/>
      <c r="S325" s="64"/>
      <c r="T325" s="64"/>
      <c r="U325" s="64"/>
      <c r="V325" s="64"/>
      <c r="W325" s="64"/>
      <c r="X325" s="64"/>
      <c r="Y325" s="64"/>
      <c r="Z325" s="64"/>
      <c r="AA325" s="64"/>
      <c r="BG325" s="37" t="str">
        <f t="array" ref="BG325">IF($A325="","", INDEX(CS!$B$1:$B$15025,MATCH($A325,CS!$B:$B,0)+COLUMN(A$1),1))</f>
        <v/>
      </c>
      <c r="BH325" s="37" t="str">
        <f t="array" ref="BH325">IF($A325="","", INDEX(CS!$B$1:$B$15025,MATCH($A325,CS!$B:$B,0)+COLUMN(B$1),1))</f>
        <v/>
      </c>
      <c r="BI325" s="37" t="str">
        <f t="array" ref="BI325">IF($A325="","", INDEX(CS!$B$1:$B$15025,MATCH($A325,CS!$B:$B,0)+COLUMN(C$1),1))</f>
        <v/>
      </c>
      <c r="BJ325" s="37" t="str">
        <f t="array" ref="BJ325">IF($A325="","", INDEX(CS!$B$1:$B$15025,MATCH($A325,CS!$B:$B,0)+COLUMN(D$1),1))</f>
        <v/>
      </c>
      <c r="BK325" s="37" t="str">
        <f t="array" ref="BK325">IF($A325="","", INDEX(CS!$B$1:$B$15025,MATCH($A325,CS!$B:$B,0)+COLUMN(E$1),1))</f>
        <v/>
      </c>
      <c r="BL325" s="37" t="str">
        <f t="array" ref="BL325">IF($A325="","", INDEX(CS!$B$1:$B$15025,MATCH($A325,CS!$B:$B,0)+COLUMN(F$1),1))</f>
        <v/>
      </c>
      <c r="BM325" s="37" t="str">
        <f t="array" ref="BM325">IF($A325="","", INDEX(CS!$B$1:$B$15025,MATCH($A325,CS!$B:$B,0)+COLUMN(G$1),1))</f>
        <v/>
      </c>
      <c r="BN325" s="37" t="str">
        <f t="array" ref="BN325">IF($A325="","", INDEX(CS!$B$1:$B$15025,MATCH($A325,CS!$B:$B,0)+COLUMN(H$1),1))</f>
        <v/>
      </c>
      <c r="BO325" s="37" t="str">
        <f t="array" ref="BO325">IF($A325="","", INDEX(CS!$B$1:$B$15025,MATCH($A325,CS!$B:$B,0)+COLUMN(I$1),1))</f>
        <v/>
      </c>
      <c r="BP325" s="37" t="str">
        <f t="array" ref="BP325">IF($A325="","", INDEX(CS!$B$1:$B$15025,MATCH($A325,CS!$B:$B,0)+COLUMN(J$1),1))</f>
        <v/>
      </c>
      <c r="BS325" s="74"/>
    </row>
    <row r="326" ht="18.75" customHeight="1">
      <c r="B326" s="71"/>
      <c r="C326" s="37" t="s">
        <v>2891</v>
      </c>
      <c r="D326" s="72" t="str">
        <f t="shared" si="18"/>
        <v>0/0/0</v>
      </c>
      <c r="E326" s="37">
        <v>1.0</v>
      </c>
      <c r="K326" s="73"/>
      <c r="P326" s="37" t="s">
        <v>29</v>
      </c>
      <c r="Q326" s="64"/>
      <c r="R326" s="64"/>
      <c r="S326" s="64"/>
      <c r="T326" s="64"/>
      <c r="U326" s="64"/>
      <c r="V326" s="64"/>
      <c r="W326" s="64"/>
      <c r="X326" s="64"/>
      <c r="Y326" s="64"/>
      <c r="Z326" s="64"/>
      <c r="AA326" s="64"/>
      <c r="BG326" s="37" t="str">
        <f t="array" ref="BG326">IF($A326="","", INDEX(CS!$B$1:$B$15025,MATCH($A326,CS!$B:$B,0)+COLUMN(A$1),1))</f>
        <v/>
      </c>
      <c r="BH326" s="37" t="str">
        <f t="array" ref="BH326">IF($A326="","", INDEX(CS!$B$1:$B$15025,MATCH($A326,CS!$B:$B,0)+COLUMN(B$1),1))</f>
        <v/>
      </c>
      <c r="BI326" s="37" t="str">
        <f t="array" ref="BI326">IF($A326="","", INDEX(CS!$B$1:$B$15025,MATCH($A326,CS!$B:$B,0)+COLUMN(C$1),1))</f>
        <v/>
      </c>
      <c r="BJ326" s="37" t="str">
        <f t="array" ref="BJ326">IF($A326="","", INDEX(CS!$B$1:$B$15025,MATCH($A326,CS!$B:$B,0)+COLUMN(D$1),1))</f>
        <v/>
      </c>
      <c r="BK326" s="37" t="str">
        <f t="array" ref="BK326">IF($A326="","", INDEX(CS!$B$1:$B$15025,MATCH($A326,CS!$B:$B,0)+COLUMN(E$1),1))</f>
        <v/>
      </c>
      <c r="BL326" s="37" t="str">
        <f t="array" ref="BL326">IF($A326="","", INDEX(CS!$B$1:$B$15025,MATCH($A326,CS!$B:$B,0)+COLUMN(F$1),1))</f>
        <v/>
      </c>
      <c r="BM326" s="37" t="str">
        <f t="array" ref="BM326">IF($A326="","", INDEX(CS!$B$1:$B$15025,MATCH($A326,CS!$B:$B,0)+COLUMN(G$1),1))</f>
        <v/>
      </c>
      <c r="BN326" s="37" t="str">
        <f t="array" ref="BN326">IF($A326="","", INDEX(CS!$B$1:$B$15025,MATCH($A326,CS!$B:$B,0)+COLUMN(H$1),1))</f>
        <v/>
      </c>
      <c r="BO326" s="37" t="str">
        <f t="array" ref="BO326">IF($A326="","", INDEX(CS!$B$1:$B$15025,MATCH($A326,CS!$B:$B,0)+COLUMN(I$1),1))</f>
        <v/>
      </c>
      <c r="BP326" s="37" t="str">
        <f t="array" ref="BP326">IF($A326="","", INDEX(CS!$B$1:$B$15025,MATCH($A326,CS!$B:$B,0)+COLUMN(J$1),1))</f>
        <v/>
      </c>
      <c r="BS326" s="74"/>
    </row>
    <row r="327" ht="18.75" customHeight="1">
      <c r="B327" s="71"/>
      <c r="C327" s="37" t="s">
        <v>2891</v>
      </c>
      <c r="D327" s="72" t="str">
        <f t="shared" si="18"/>
        <v>0/0/0</v>
      </c>
      <c r="E327" s="37">
        <v>1.0</v>
      </c>
      <c r="K327" s="73"/>
      <c r="P327" s="37" t="s">
        <v>29</v>
      </c>
      <c r="Q327" s="64"/>
      <c r="R327" s="64"/>
      <c r="S327" s="64"/>
      <c r="T327" s="64"/>
      <c r="U327" s="64"/>
      <c r="V327" s="64"/>
      <c r="W327" s="64"/>
      <c r="X327" s="64"/>
      <c r="Y327" s="64"/>
      <c r="Z327" s="64"/>
      <c r="AA327" s="64"/>
      <c r="BG327" s="37" t="str">
        <f t="array" ref="BG327">IF($A327="","", INDEX(CS!$B$1:$B$15025,MATCH($A327,CS!$B:$B,0)+COLUMN(A$1),1))</f>
        <v/>
      </c>
      <c r="BH327" s="37" t="str">
        <f t="array" ref="BH327">IF($A327="","", INDEX(CS!$B$1:$B$15025,MATCH($A327,CS!$B:$B,0)+COLUMN(B$1),1))</f>
        <v/>
      </c>
      <c r="BI327" s="37" t="str">
        <f t="array" ref="BI327">IF($A327="","", INDEX(CS!$B$1:$B$15025,MATCH($A327,CS!$B:$B,0)+COLUMN(C$1),1))</f>
        <v/>
      </c>
      <c r="BJ327" s="37" t="str">
        <f t="array" ref="BJ327">IF($A327="","", INDEX(CS!$B$1:$B$15025,MATCH($A327,CS!$B:$B,0)+COLUMN(D$1),1))</f>
        <v/>
      </c>
      <c r="BK327" s="37" t="str">
        <f t="array" ref="BK327">IF($A327="","", INDEX(CS!$B$1:$B$15025,MATCH($A327,CS!$B:$B,0)+COLUMN(E$1),1))</f>
        <v/>
      </c>
      <c r="BL327" s="37" t="str">
        <f t="array" ref="BL327">IF($A327="","", INDEX(CS!$B$1:$B$15025,MATCH($A327,CS!$B:$B,0)+COLUMN(F$1),1))</f>
        <v/>
      </c>
      <c r="BM327" s="37" t="str">
        <f t="array" ref="BM327">IF($A327="","", INDEX(CS!$B$1:$B$15025,MATCH($A327,CS!$B:$B,0)+COLUMN(G$1),1))</f>
        <v/>
      </c>
      <c r="BN327" s="37" t="str">
        <f t="array" ref="BN327">IF($A327="","", INDEX(CS!$B$1:$B$15025,MATCH($A327,CS!$B:$B,0)+COLUMN(H$1),1))</f>
        <v/>
      </c>
      <c r="BO327" s="37" t="str">
        <f t="array" ref="BO327">IF($A327="","", INDEX(CS!$B$1:$B$15025,MATCH($A327,CS!$B:$B,0)+COLUMN(I$1),1))</f>
        <v/>
      </c>
      <c r="BP327" s="37" t="str">
        <f t="array" ref="BP327">IF($A327="","", INDEX(CS!$B$1:$B$15025,MATCH($A327,CS!$B:$B,0)+COLUMN(J$1),1))</f>
        <v/>
      </c>
      <c r="BS327" s="74"/>
    </row>
    <row r="328" ht="18.75" customHeight="1">
      <c r="B328" s="71"/>
      <c r="C328" s="37" t="s">
        <v>2891</v>
      </c>
      <c r="D328" s="72" t="str">
        <f t="shared" si="18"/>
        <v>0/0/0</v>
      </c>
      <c r="E328" s="37">
        <v>1.0</v>
      </c>
      <c r="K328" s="73"/>
      <c r="P328" s="37" t="s">
        <v>29</v>
      </c>
      <c r="Q328" s="64"/>
      <c r="R328" s="64"/>
      <c r="S328" s="64"/>
      <c r="T328" s="64"/>
      <c r="U328" s="64"/>
      <c r="V328" s="64"/>
      <c r="W328" s="64"/>
      <c r="X328" s="64"/>
      <c r="Y328" s="64"/>
      <c r="Z328" s="64"/>
      <c r="AA328" s="64"/>
      <c r="BG328" s="37" t="str">
        <f t="array" ref="BG328">IF($A328="","", INDEX(CS!$B$1:$B$15025,MATCH($A328,CS!$B:$B,0)+COLUMN(A$1),1))</f>
        <v/>
      </c>
      <c r="BH328" s="37" t="str">
        <f t="array" ref="BH328">IF($A328="","", INDEX(CS!$B$1:$B$15025,MATCH($A328,CS!$B:$B,0)+COLUMN(B$1),1))</f>
        <v/>
      </c>
      <c r="BI328" s="37" t="str">
        <f t="array" ref="BI328">IF($A328="","", INDEX(CS!$B$1:$B$15025,MATCH($A328,CS!$B:$B,0)+COLUMN(C$1),1))</f>
        <v/>
      </c>
      <c r="BJ328" s="37" t="str">
        <f t="array" ref="BJ328">IF($A328="","", INDEX(CS!$B$1:$B$15025,MATCH($A328,CS!$B:$B,0)+COLUMN(D$1),1))</f>
        <v/>
      </c>
      <c r="BK328" s="37" t="str">
        <f t="array" ref="BK328">IF($A328="","", INDEX(CS!$B$1:$B$15025,MATCH($A328,CS!$B:$B,0)+COLUMN(E$1),1))</f>
        <v/>
      </c>
      <c r="BL328" s="37" t="str">
        <f t="array" ref="BL328">IF($A328="","", INDEX(CS!$B$1:$B$15025,MATCH($A328,CS!$B:$B,0)+COLUMN(F$1),1))</f>
        <v/>
      </c>
      <c r="BM328" s="37" t="str">
        <f t="array" ref="BM328">IF($A328="","", INDEX(CS!$B$1:$B$15025,MATCH($A328,CS!$B:$B,0)+COLUMN(G$1),1))</f>
        <v/>
      </c>
      <c r="BN328" s="37" t="str">
        <f t="array" ref="BN328">IF($A328="","", INDEX(CS!$B$1:$B$15025,MATCH($A328,CS!$B:$B,0)+COLUMN(H$1),1))</f>
        <v/>
      </c>
      <c r="BO328" s="37" t="str">
        <f t="array" ref="BO328">IF($A328="","", INDEX(CS!$B$1:$B$15025,MATCH($A328,CS!$B:$B,0)+COLUMN(I$1),1))</f>
        <v/>
      </c>
      <c r="BP328" s="37" t="str">
        <f t="array" ref="BP328">IF($A328="","", INDEX(CS!$B$1:$B$15025,MATCH($A328,CS!$B:$B,0)+COLUMN(J$1),1))</f>
        <v/>
      </c>
      <c r="BS328" s="74"/>
    </row>
    <row r="329" ht="18.75" customHeight="1">
      <c r="B329" s="71"/>
      <c r="C329" s="37" t="s">
        <v>2891</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INDEX(CS!$B$1:$B$15025,MATCH($A329,CS!$B:$B,0)+COLUMN(A$1),1))</f>
        <v/>
      </c>
      <c r="BH329" s="37" t="str">
        <f t="array" ref="BH329">IF($A329="","", INDEX(CS!$B$1:$B$15025,MATCH($A329,CS!$B:$B,0)+COLUMN(B$1),1))</f>
        <v/>
      </c>
      <c r="BI329" s="37" t="str">
        <f t="array" ref="BI329">IF($A329="","", INDEX(CS!$B$1:$B$15025,MATCH($A329,CS!$B:$B,0)+COLUMN(C$1),1))</f>
        <v/>
      </c>
      <c r="BJ329" s="37" t="str">
        <f t="array" ref="BJ329">IF($A329="","", INDEX(CS!$B$1:$B$15025,MATCH($A329,CS!$B:$B,0)+COLUMN(D$1),1))</f>
        <v/>
      </c>
      <c r="BK329" s="37" t="str">
        <f t="array" ref="BK329">IF($A329="","", INDEX(CS!$B$1:$B$15025,MATCH($A329,CS!$B:$B,0)+COLUMN(E$1),1))</f>
        <v/>
      </c>
      <c r="BL329" s="37" t="str">
        <f t="array" ref="BL329">IF($A329="","", INDEX(CS!$B$1:$B$15025,MATCH($A329,CS!$B:$B,0)+COLUMN(F$1),1))</f>
        <v/>
      </c>
      <c r="BM329" s="37" t="str">
        <f t="array" ref="BM329">IF($A329="","", INDEX(CS!$B$1:$B$15025,MATCH($A329,CS!$B:$B,0)+COLUMN(G$1),1))</f>
        <v/>
      </c>
      <c r="BN329" s="37" t="str">
        <f t="array" ref="BN329">IF($A329="","", INDEX(CS!$B$1:$B$15025,MATCH($A329,CS!$B:$B,0)+COLUMN(H$1),1))</f>
        <v/>
      </c>
      <c r="BO329" s="37" t="str">
        <f t="array" ref="BO329">IF($A329="","", INDEX(CS!$B$1:$B$15025,MATCH($A329,CS!$B:$B,0)+COLUMN(I$1),1))</f>
        <v/>
      </c>
      <c r="BP329" s="37" t="str">
        <f t="array" ref="BP329">IF($A329="","", INDEX(CS!$B$1:$B$15025,MATCH($A329,CS!$B:$B,0)+COLUMN(J$1),1))</f>
        <v/>
      </c>
      <c r="BS329" s="74"/>
    </row>
    <row r="330" ht="18.75" customHeight="1">
      <c r="B330" s="71"/>
      <c r="C330" s="37" t="s">
        <v>2891</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INDEX(CS!$B$1:$B$15025,MATCH($A330,CS!$B:$B,0)+COLUMN(A$1),1))</f>
        <v/>
      </c>
      <c r="BH330" s="37" t="str">
        <f t="array" ref="BH330">IF($A330="","", INDEX(CS!$B$1:$B$15025,MATCH($A330,CS!$B:$B,0)+COLUMN(B$1),1))</f>
        <v/>
      </c>
      <c r="BI330" s="37" t="str">
        <f t="array" ref="BI330">IF($A330="","", INDEX(CS!$B$1:$B$15025,MATCH($A330,CS!$B:$B,0)+COLUMN(C$1),1))</f>
        <v/>
      </c>
      <c r="BJ330" s="37" t="str">
        <f t="array" ref="BJ330">IF($A330="","", INDEX(CS!$B$1:$B$15025,MATCH($A330,CS!$B:$B,0)+COLUMN(D$1),1))</f>
        <v/>
      </c>
      <c r="BK330" s="37" t="str">
        <f t="array" ref="BK330">IF($A330="","", INDEX(CS!$B$1:$B$15025,MATCH($A330,CS!$B:$B,0)+COLUMN(E$1),1))</f>
        <v/>
      </c>
      <c r="BL330" s="37" t="str">
        <f t="array" ref="BL330">IF($A330="","", INDEX(CS!$B$1:$B$15025,MATCH($A330,CS!$B:$B,0)+COLUMN(F$1),1))</f>
        <v/>
      </c>
      <c r="BM330" s="37" t="str">
        <f t="array" ref="BM330">IF($A330="","", INDEX(CS!$B$1:$B$15025,MATCH($A330,CS!$B:$B,0)+COLUMN(G$1),1))</f>
        <v/>
      </c>
      <c r="BN330" s="37" t="str">
        <f t="array" ref="BN330">IF($A330="","", INDEX(CS!$B$1:$B$15025,MATCH($A330,CS!$B:$B,0)+COLUMN(H$1),1))</f>
        <v/>
      </c>
      <c r="BO330" s="37" t="str">
        <f t="array" ref="BO330">IF($A330="","", INDEX(CS!$B$1:$B$15025,MATCH($A330,CS!$B:$B,0)+COLUMN(I$1),1))</f>
        <v/>
      </c>
      <c r="BP330" s="37" t="str">
        <f t="array" ref="BP330">IF($A330="","", INDEX(CS!$B$1:$B$15025,MATCH($A330,CS!$B:$B,0)+COLUMN(J$1),1))</f>
        <v/>
      </c>
      <c r="BS330" s="74"/>
    </row>
    <row r="331" ht="18.75" customHeight="1">
      <c r="B331" s="71"/>
      <c r="C331" s="37" t="s">
        <v>2891</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INDEX(CS!$B$1:$B$15025,MATCH($A331,CS!$B:$B,0)+COLUMN(A$1),1))</f>
        <v/>
      </c>
      <c r="BH331" s="37" t="str">
        <f t="array" ref="BH331">IF($A331="","", INDEX(CS!$B$1:$B$15025,MATCH($A331,CS!$B:$B,0)+COLUMN(B$1),1))</f>
        <v/>
      </c>
      <c r="BI331" s="37" t="str">
        <f t="array" ref="BI331">IF($A331="","", INDEX(CS!$B$1:$B$15025,MATCH($A331,CS!$B:$B,0)+COLUMN(C$1),1))</f>
        <v/>
      </c>
      <c r="BJ331" s="37" t="str">
        <f t="array" ref="BJ331">IF($A331="","", INDEX(CS!$B$1:$B$15025,MATCH($A331,CS!$B:$B,0)+COLUMN(D$1),1))</f>
        <v/>
      </c>
      <c r="BK331" s="37" t="str">
        <f t="array" ref="BK331">IF($A331="","", INDEX(CS!$B$1:$B$15025,MATCH($A331,CS!$B:$B,0)+COLUMN(E$1),1))</f>
        <v/>
      </c>
      <c r="BL331" s="37" t="str">
        <f t="array" ref="BL331">IF($A331="","", INDEX(CS!$B$1:$B$15025,MATCH($A331,CS!$B:$B,0)+COLUMN(F$1),1))</f>
        <v/>
      </c>
      <c r="BM331" s="37" t="str">
        <f t="array" ref="BM331">IF($A331="","", INDEX(CS!$B$1:$B$15025,MATCH($A331,CS!$B:$B,0)+COLUMN(G$1),1))</f>
        <v/>
      </c>
      <c r="BN331" s="37" t="str">
        <f t="array" ref="BN331">IF($A331="","", INDEX(CS!$B$1:$B$15025,MATCH($A331,CS!$B:$B,0)+COLUMN(H$1),1))</f>
        <v/>
      </c>
      <c r="BO331" s="37" t="str">
        <f t="array" ref="BO331">IF($A331="","", INDEX(CS!$B$1:$B$15025,MATCH($A331,CS!$B:$B,0)+COLUMN(I$1),1))</f>
        <v/>
      </c>
      <c r="BP331" s="37" t="str">
        <f t="array" ref="BP331">IF($A331="","", INDEX(CS!$B$1:$B$15025,MATCH($A331,CS!$B:$B,0)+COLUMN(J$1),1))</f>
        <v/>
      </c>
      <c r="BS331" s="74"/>
    </row>
    <row r="332" ht="18.75" customHeight="1">
      <c r="B332" s="71"/>
      <c r="C332" s="37" t="s">
        <v>2891</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INDEX(CS!$B$1:$B$15025,MATCH($A332,CS!$B:$B,0)+COLUMN(A$1),1))</f>
        <v/>
      </c>
      <c r="BH332" s="37" t="str">
        <f t="array" ref="BH332">IF($A332="","", INDEX(CS!$B$1:$B$15025,MATCH($A332,CS!$B:$B,0)+COLUMN(B$1),1))</f>
        <v/>
      </c>
      <c r="BI332" s="37" t="str">
        <f t="array" ref="BI332">IF($A332="","", INDEX(CS!$B$1:$B$15025,MATCH($A332,CS!$B:$B,0)+COLUMN(C$1),1))</f>
        <v/>
      </c>
      <c r="BJ332" s="37" t="str">
        <f t="array" ref="BJ332">IF($A332="","", INDEX(CS!$B$1:$B$15025,MATCH($A332,CS!$B:$B,0)+COLUMN(D$1),1))</f>
        <v/>
      </c>
      <c r="BK332" s="37" t="str">
        <f t="array" ref="BK332">IF($A332="","", INDEX(CS!$B$1:$B$15025,MATCH($A332,CS!$B:$B,0)+COLUMN(E$1),1))</f>
        <v/>
      </c>
      <c r="BL332" s="37" t="str">
        <f t="array" ref="BL332">IF($A332="","", INDEX(CS!$B$1:$B$15025,MATCH($A332,CS!$B:$B,0)+COLUMN(F$1),1))</f>
        <v/>
      </c>
      <c r="BM332" s="37" t="str">
        <f t="array" ref="BM332">IF($A332="","", INDEX(CS!$B$1:$B$15025,MATCH($A332,CS!$B:$B,0)+COLUMN(G$1),1))</f>
        <v/>
      </c>
      <c r="BN332" s="37" t="str">
        <f t="array" ref="BN332">IF($A332="","", INDEX(CS!$B$1:$B$15025,MATCH($A332,CS!$B:$B,0)+COLUMN(H$1),1))</f>
        <v/>
      </c>
      <c r="BO332" s="37" t="str">
        <f t="array" ref="BO332">IF($A332="","", INDEX(CS!$B$1:$B$15025,MATCH($A332,CS!$B:$B,0)+COLUMN(I$1),1))</f>
        <v/>
      </c>
      <c r="BP332" s="37" t="str">
        <f t="array" ref="BP332">IF($A332="","", INDEX(CS!$B$1:$B$15025,MATCH($A332,CS!$B:$B,0)+COLUMN(J$1),1))</f>
        <v/>
      </c>
      <c r="BS332" s="74"/>
    </row>
    <row r="333" ht="18.75" customHeight="1">
      <c r="B333" s="71"/>
      <c r="C333" s="37" t="s">
        <v>2891</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INDEX(CS!$B$1:$B$15025,MATCH($A333,CS!$B:$B,0)+COLUMN(A$1),1))</f>
        <v/>
      </c>
      <c r="BH333" s="37" t="str">
        <f t="array" ref="BH333">IF($A333="","", INDEX(CS!$B$1:$B$15025,MATCH($A333,CS!$B:$B,0)+COLUMN(B$1),1))</f>
        <v/>
      </c>
      <c r="BI333" s="37" t="str">
        <f t="array" ref="BI333">IF($A333="","", INDEX(CS!$B$1:$B$15025,MATCH($A333,CS!$B:$B,0)+COLUMN(C$1),1))</f>
        <v/>
      </c>
      <c r="BJ333" s="37" t="str">
        <f t="array" ref="BJ333">IF($A333="","", INDEX(CS!$B$1:$B$15025,MATCH($A333,CS!$B:$B,0)+COLUMN(D$1),1))</f>
        <v/>
      </c>
      <c r="BK333" s="37" t="str">
        <f t="array" ref="BK333">IF($A333="","", INDEX(CS!$B$1:$B$15025,MATCH($A333,CS!$B:$B,0)+COLUMN(E$1),1))</f>
        <v/>
      </c>
      <c r="BL333" s="37" t="str">
        <f t="array" ref="BL333">IF($A333="","", INDEX(CS!$B$1:$B$15025,MATCH($A333,CS!$B:$B,0)+COLUMN(F$1),1))</f>
        <v/>
      </c>
      <c r="BM333" s="37" t="str">
        <f t="array" ref="BM333">IF($A333="","", INDEX(CS!$B$1:$B$15025,MATCH($A333,CS!$B:$B,0)+COLUMN(G$1),1))</f>
        <v/>
      </c>
      <c r="BN333" s="37" t="str">
        <f t="array" ref="BN333">IF($A333="","", INDEX(CS!$B$1:$B$15025,MATCH($A333,CS!$B:$B,0)+COLUMN(H$1),1))</f>
        <v/>
      </c>
      <c r="BO333" s="37" t="str">
        <f t="array" ref="BO333">IF($A333="","", INDEX(CS!$B$1:$B$15025,MATCH($A333,CS!$B:$B,0)+COLUMN(I$1),1))</f>
        <v/>
      </c>
      <c r="BP333" s="37" t="str">
        <f t="array" ref="BP333">IF($A333="","", INDEX(CS!$B$1:$B$15025,MATCH($A333,CS!$B:$B,0)+COLUMN(J$1),1))</f>
        <v/>
      </c>
      <c r="BS333" s="74"/>
    </row>
    <row r="334" ht="18.75" customHeight="1">
      <c r="B334" s="71"/>
      <c r="C334" s="37" t="s">
        <v>2891</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INDEX(CS!$B$1:$B$15025,MATCH($A334,CS!$B:$B,0)+COLUMN(A$1),1))</f>
        <v/>
      </c>
      <c r="BH334" s="37" t="str">
        <f t="array" ref="BH334">IF($A334="","", INDEX(CS!$B$1:$B$15025,MATCH($A334,CS!$B:$B,0)+COLUMN(B$1),1))</f>
        <v/>
      </c>
      <c r="BI334" s="37" t="str">
        <f t="array" ref="BI334">IF($A334="","", INDEX(CS!$B$1:$B$15025,MATCH($A334,CS!$B:$B,0)+COLUMN(C$1),1))</f>
        <v/>
      </c>
      <c r="BJ334" s="37" t="str">
        <f t="array" ref="BJ334">IF($A334="","", INDEX(CS!$B$1:$B$15025,MATCH($A334,CS!$B:$B,0)+COLUMN(D$1),1))</f>
        <v/>
      </c>
      <c r="BK334" s="37" t="str">
        <f t="array" ref="BK334">IF($A334="","", INDEX(CS!$B$1:$B$15025,MATCH($A334,CS!$B:$B,0)+COLUMN(E$1),1))</f>
        <v/>
      </c>
      <c r="BL334" s="37" t="str">
        <f t="array" ref="BL334">IF($A334="","", INDEX(CS!$B$1:$B$15025,MATCH($A334,CS!$B:$B,0)+COLUMN(F$1),1))</f>
        <v/>
      </c>
      <c r="BM334" s="37" t="str">
        <f t="array" ref="BM334">IF($A334="","", INDEX(CS!$B$1:$B$15025,MATCH($A334,CS!$B:$B,0)+COLUMN(G$1),1))</f>
        <v/>
      </c>
      <c r="BN334" s="37" t="str">
        <f t="array" ref="BN334">IF($A334="","", INDEX(CS!$B$1:$B$15025,MATCH($A334,CS!$B:$B,0)+COLUMN(H$1),1))</f>
        <v/>
      </c>
      <c r="BO334" s="37" t="str">
        <f t="array" ref="BO334">IF($A334="","", INDEX(CS!$B$1:$B$15025,MATCH($A334,CS!$B:$B,0)+COLUMN(I$1),1))</f>
        <v/>
      </c>
      <c r="BP334" s="37" t="str">
        <f t="array" ref="BP334">IF($A334="","", INDEX(CS!$B$1:$B$15025,MATCH($A334,CS!$B:$B,0)+COLUMN(J$1),1))</f>
        <v/>
      </c>
      <c r="BS334" s="74"/>
    </row>
    <row r="335" ht="18.75" customHeight="1">
      <c r="B335" s="71"/>
      <c r="C335" s="37" t="s">
        <v>2891</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INDEX(CS!$B$1:$B$15025,MATCH($A335,CS!$B:$B,0)+COLUMN(A$1),1))</f>
        <v/>
      </c>
      <c r="BH335" s="37" t="str">
        <f t="array" ref="BH335">IF($A335="","", INDEX(CS!$B$1:$B$15025,MATCH($A335,CS!$B:$B,0)+COLUMN(B$1),1))</f>
        <v/>
      </c>
      <c r="BI335" s="37" t="str">
        <f t="array" ref="BI335">IF($A335="","", INDEX(CS!$B$1:$B$15025,MATCH($A335,CS!$B:$B,0)+COLUMN(C$1),1))</f>
        <v/>
      </c>
      <c r="BJ335" s="37" t="str">
        <f t="array" ref="BJ335">IF($A335="","", INDEX(CS!$B$1:$B$15025,MATCH($A335,CS!$B:$B,0)+COLUMN(D$1),1))</f>
        <v/>
      </c>
      <c r="BK335" s="37" t="str">
        <f t="array" ref="BK335">IF($A335="","", INDEX(CS!$B$1:$B$15025,MATCH($A335,CS!$B:$B,0)+COLUMN(E$1),1))</f>
        <v/>
      </c>
      <c r="BL335" s="37" t="str">
        <f t="array" ref="BL335">IF($A335="","", INDEX(CS!$B$1:$B$15025,MATCH($A335,CS!$B:$B,0)+COLUMN(F$1),1))</f>
        <v/>
      </c>
      <c r="BM335" s="37" t="str">
        <f t="array" ref="BM335">IF($A335="","", INDEX(CS!$B$1:$B$15025,MATCH($A335,CS!$B:$B,0)+COLUMN(G$1),1))</f>
        <v/>
      </c>
      <c r="BN335" s="37" t="str">
        <f t="array" ref="BN335">IF($A335="","", INDEX(CS!$B$1:$B$15025,MATCH($A335,CS!$B:$B,0)+COLUMN(H$1),1))</f>
        <v/>
      </c>
      <c r="BO335" s="37" t="str">
        <f t="array" ref="BO335">IF($A335="","", INDEX(CS!$B$1:$B$15025,MATCH($A335,CS!$B:$B,0)+COLUMN(I$1),1))</f>
        <v/>
      </c>
      <c r="BP335" s="37" t="str">
        <f t="array" ref="BP335">IF($A335="","", INDEX(CS!$B$1:$B$15025,MATCH($A335,CS!$B:$B,0)+COLUMN(J$1),1))</f>
        <v/>
      </c>
      <c r="BS335" s="74"/>
    </row>
    <row r="336" ht="18.75" customHeight="1">
      <c r="B336" s="71"/>
      <c r="C336" s="37" t="s">
        <v>2891</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INDEX(CS!$B$1:$B$15025,MATCH($A336,CS!$B:$B,0)+COLUMN(A$1),1))</f>
        <v/>
      </c>
      <c r="BH336" s="37" t="str">
        <f t="array" ref="BH336">IF($A336="","", INDEX(CS!$B$1:$B$15025,MATCH($A336,CS!$B:$B,0)+COLUMN(B$1),1))</f>
        <v/>
      </c>
      <c r="BI336" s="37" t="str">
        <f t="array" ref="BI336">IF($A336="","", INDEX(CS!$B$1:$B$15025,MATCH($A336,CS!$B:$B,0)+COLUMN(C$1),1))</f>
        <v/>
      </c>
      <c r="BJ336" s="37" t="str">
        <f t="array" ref="BJ336">IF($A336="","", INDEX(CS!$B$1:$B$15025,MATCH($A336,CS!$B:$B,0)+COLUMN(D$1),1))</f>
        <v/>
      </c>
      <c r="BK336" s="37" t="str">
        <f t="array" ref="BK336">IF($A336="","", INDEX(CS!$B$1:$B$15025,MATCH($A336,CS!$B:$B,0)+COLUMN(E$1),1))</f>
        <v/>
      </c>
      <c r="BL336" s="37" t="str">
        <f t="array" ref="BL336">IF($A336="","", INDEX(CS!$B$1:$B$15025,MATCH($A336,CS!$B:$B,0)+COLUMN(F$1),1))</f>
        <v/>
      </c>
      <c r="BM336" s="37" t="str">
        <f t="array" ref="BM336">IF($A336="","", INDEX(CS!$B$1:$B$15025,MATCH($A336,CS!$B:$B,0)+COLUMN(G$1),1))</f>
        <v/>
      </c>
      <c r="BN336" s="37" t="str">
        <f t="array" ref="BN336">IF($A336="","", INDEX(CS!$B$1:$B$15025,MATCH($A336,CS!$B:$B,0)+COLUMN(H$1),1))</f>
        <v/>
      </c>
      <c r="BO336" s="37" t="str">
        <f t="array" ref="BO336">IF($A336="","", INDEX(CS!$B$1:$B$15025,MATCH($A336,CS!$B:$B,0)+COLUMN(I$1),1))</f>
        <v/>
      </c>
      <c r="BP336" s="37" t="str">
        <f t="array" ref="BP336">IF($A336="","", INDEX(CS!$B$1:$B$15025,MATCH($A336,CS!$B:$B,0)+COLUMN(J$1),1))</f>
        <v/>
      </c>
      <c r="BS336" s="74"/>
    </row>
    <row r="337" ht="18.75" customHeight="1">
      <c r="B337" s="71"/>
      <c r="C337" s="37" t="s">
        <v>2891</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INDEX(CS!$B$1:$B$15025,MATCH($A337,CS!$B:$B,0)+COLUMN(A$1),1))</f>
        <v/>
      </c>
      <c r="BH337" s="37" t="str">
        <f t="array" ref="BH337">IF($A337="","", INDEX(CS!$B$1:$B$15025,MATCH($A337,CS!$B:$B,0)+COLUMN(B$1),1))</f>
        <v/>
      </c>
      <c r="BI337" s="37" t="str">
        <f t="array" ref="BI337">IF($A337="","", INDEX(CS!$B$1:$B$15025,MATCH($A337,CS!$B:$B,0)+COLUMN(C$1),1))</f>
        <v/>
      </c>
      <c r="BJ337" s="37" t="str">
        <f t="array" ref="BJ337">IF($A337="","", INDEX(CS!$B$1:$B$15025,MATCH($A337,CS!$B:$B,0)+COLUMN(D$1),1))</f>
        <v/>
      </c>
      <c r="BK337" s="37" t="str">
        <f t="array" ref="BK337">IF($A337="","", INDEX(CS!$B$1:$B$15025,MATCH($A337,CS!$B:$B,0)+COLUMN(E$1),1))</f>
        <v/>
      </c>
      <c r="BL337" s="37" t="str">
        <f t="array" ref="BL337">IF($A337="","", INDEX(CS!$B$1:$B$15025,MATCH($A337,CS!$B:$B,0)+COLUMN(F$1),1))</f>
        <v/>
      </c>
      <c r="BM337" s="37" t="str">
        <f t="array" ref="BM337">IF($A337="","", INDEX(CS!$B$1:$B$15025,MATCH($A337,CS!$B:$B,0)+COLUMN(G$1),1))</f>
        <v/>
      </c>
      <c r="BN337" s="37" t="str">
        <f t="array" ref="BN337">IF($A337="","", INDEX(CS!$B$1:$B$15025,MATCH($A337,CS!$B:$B,0)+COLUMN(H$1),1))</f>
        <v/>
      </c>
      <c r="BO337" s="37" t="str">
        <f t="array" ref="BO337">IF($A337="","", INDEX(CS!$B$1:$B$15025,MATCH($A337,CS!$B:$B,0)+COLUMN(I$1),1))</f>
        <v/>
      </c>
      <c r="BP337" s="37" t="str">
        <f t="array" ref="BP337">IF($A337="","", INDEX(CS!$B$1:$B$15025,MATCH($A337,CS!$B:$B,0)+COLUMN(J$1),1))</f>
        <v/>
      </c>
      <c r="BS337" s="74"/>
    </row>
    <row r="338" ht="18.75" customHeight="1">
      <c r="B338" s="71"/>
      <c r="C338" s="37" t="s">
        <v>2891</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INDEX(CS!$B$1:$B$15025,MATCH($A338,CS!$B:$B,0)+COLUMN(A$1),1))</f>
        <v/>
      </c>
      <c r="BH338" s="37" t="str">
        <f t="array" ref="BH338">IF($A338="","", INDEX(CS!$B$1:$B$15025,MATCH($A338,CS!$B:$B,0)+COLUMN(B$1),1))</f>
        <v/>
      </c>
      <c r="BI338" s="37" t="str">
        <f t="array" ref="BI338">IF($A338="","", INDEX(CS!$B$1:$B$15025,MATCH($A338,CS!$B:$B,0)+COLUMN(C$1),1))</f>
        <v/>
      </c>
      <c r="BJ338" s="37" t="str">
        <f t="array" ref="BJ338">IF($A338="","", INDEX(CS!$B$1:$B$15025,MATCH($A338,CS!$B:$B,0)+COLUMN(D$1),1))</f>
        <v/>
      </c>
      <c r="BK338" s="37" t="str">
        <f t="array" ref="BK338">IF($A338="","", INDEX(CS!$B$1:$B$15025,MATCH($A338,CS!$B:$B,0)+COLUMN(E$1),1))</f>
        <v/>
      </c>
      <c r="BL338" s="37" t="str">
        <f t="array" ref="BL338">IF($A338="","", INDEX(CS!$B$1:$B$15025,MATCH($A338,CS!$B:$B,0)+COLUMN(F$1),1))</f>
        <v/>
      </c>
      <c r="BM338" s="37" t="str">
        <f t="array" ref="BM338">IF($A338="","", INDEX(CS!$B$1:$B$15025,MATCH($A338,CS!$B:$B,0)+COLUMN(G$1),1))</f>
        <v/>
      </c>
      <c r="BN338" s="37" t="str">
        <f t="array" ref="BN338">IF($A338="","", INDEX(CS!$B$1:$B$15025,MATCH($A338,CS!$B:$B,0)+COLUMN(H$1),1))</f>
        <v/>
      </c>
      <c r="BO338" s="37" t="str">
        <f t="array" ref="BO338">IF($A338="","", INDEX(CS!$B$1:$B$15025,MATCH($A338,CS!$B:$B,0)+COLUMN(I$1),1))</f>
        <v/>
      </c>
      <c r="BP338" s="37" t="str">
        <f t="array" ref="BP338">IF($A338="","", INDEX(CS!$B$1:$B$15025,MATCH($A338,CS!$B:$B,0)+COLUMN(J$1),1))</f>
        <v/>
      </c>
      <c r="BS338" s="74"/>
    </row>
    <row r="339" ht="18.75" customHeight="1">
      <c r="B339" s="71"/>
      <c r="C339" s="37" t="s">
        <v>2891</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INDEX(CS!$B$1:$B$15025,MATCH($A339,CS!$B:$B,0)+COLUMN(A$1),1))</f>
        <v/>
      </c>
      <c r="BH339" s="37" t="str">
        <f t="array" ref="BH339">IF($A339="","", INDEX(CS!$B$1:$B$15025,MATCH($A339,CS!$B:$B,0)+COLUMN(B$1),1))</f>
        <v/>
      </c>
      <c r="BI339" s="37" t="str">
        <f t="array" ref="BI339">IF($A339="","", INDEX(CS!$B$1:$B$15025,MATCH($A339,CS!$B:$B,0)+COLUMN(C$1),1))</f>
        <v/>
      </c>
      <c r="BJ339" s="37" t="str">
        <f t="array" ref="BJ339">IF($A339="","", INDEX(CS!$B$1:$B$15025,MATCH($A339,CS!$B:$B,0)+COLUMN(D$1),1))</f>
        <v/>
      </c>
      <c r="BK339" s="37" t="str">
        <f t="array" ref="BK339">IF($A339="","", INDEX(CS!$B$1:$B$15025,MATCH($A339,CS!$B:$B,0)+COLUMN(E$1),1))</f>
        <v/>
      </c>
      <c r="BL339" s="37" t="str">
        <f t="array" ref="BL339">IF($A339="","", INDEX(CS!$B$1:$B$15025,MATCH($A339,CS!$B:$B,0)+COLUMN(F$1),1))</f>
        <v/>
      </c>
      <c r="BM339" s="37" t="str">
        <f t="array" ref="BM339">IF($A339="","", INDEX(CS!$B$1:$B$15025,MATCH($A339,CS!$B:$B,0)+COLUMN(G$1),1))</f>
        <v/>
      </c>
      <c r="BN339" s="37" t="str">
        <f t="array" ref="BN339">IF($A339="","", INDEX(CS!$B$1:$B$15025,MATCH($A339,CS!$B:$B,0)+COLUMN(H$1),1))</f>
        <v/>
      </c>
      <c r="BO339" s="37" t="str">
        <f t="array" ref="BO339">IF($A339="","", INDEX(CS!$B$1:$B$15025,MATCH($A339,CS!$B:$B,0)+COLUMN(I$1),1))</f>
        <v/>
      </c>
      <c r="BP339" s="37" t="str">
        <f t="array" ref="BP339">IF($A339="","", INDEX(CS!$B$1:$B$15025,MATCH($A339,CS!$B:$B,0)+COLUMN(J$1),1))</f>
        <v/>
      </c>
      <c r="BS339" s="74"/>
    </row>
    <row r="340" ht="18.75" customHeight="1">
      <c r="B340" s="71"/>
      <c r="C340" s="37" t="s">
        <v>2891</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INDEX(CS!$B$1:$B$15025,MATCH($A340,CS!$B:$B,0)+COLUMN(A$1),1))</f>
        <v/>
      </c>
      <c r="BH340" s="37" t="str">
        <f t="array" ref="BH340">IF($A340="","", INDEX(CS!$B$1:$B$15025,MATCH($A340,CS!$B:$B,0)+COLUMN(B$1),1))</f>
        <v/>
      </c>
      <c r="BI340" s="37" t="str">
        <f t="array" ref="BI340">IF($A340="","", INDEX(CS!$B$1:$B$15025,MATCH($A340,CS!$B:$B,0)+COLUMN(C$1),1))</f>
        <v/>
      </c>
      <c r="BJ340" s="37" t="str">
        <f t="array" ref="BJ340">IF($A340="","", INDEX(CS!$B$1:$B$15025,MATCH($A340,CS!$B:$B,0)+COLUMN(D$1),1))</f>
        <v/>
      </c>
      <c r="BK340" s="37" t="str">
        <f t="array" ref="BK340">IF($A340="","", INDEX(CS!$B$1:$B$15025,MATCH($A340,CS!$B:$B,0)+COLUMN(E$1),1))</f>
        <v/>
      </c>
      <c r="BL340" s="37" t="str">
        <f t="array" ref="BL340">IF($A340="","", INDEX(CS!$B$1:$B$15025,MATCH($A340,CS!$B:$B,0)+COLUMN(F$1),1))</f>
        <v/>
      </c>
      <c r="BM340" s="37" t="str">
        <f t="array" ref="BM340">IF($A340="","", INDEX(CS!$B$1:$B$15025,MATCH($A340,CS!$B:$B,0)+COLUMN(G$1),1))</f>
        <v/>
      </c>
      <c r="BN340" s="37" t="str">
        <f t="array" ref="BN340">IF($A340="","", INDEX(CS!$B$1:$B$15025,MATCH($A340,CS!$B:$B,0)+COLUMN(H$1),1))</f>
        <v/>
      </c>
      <c r="BO340" s="37" t="str">
        <f t="array" ref="BO340">IF($A340="","", INDEX(CS!$B$1:$B$15025,MATCH($A340,CS!$B:$B,0)+COLUMN(I$1),1))</f>
        <v/>
      </c>
      <c r="BP340" s="37" t="str">
        <f t="array" ref="BP340">IF($A340="","", INDEX(CS!$B$1:$B$15025,MATCH($A340,CS!$B:$B,0)+COLUMN(J$1),1))</f>
        <v/>
      </c>
      <c r="BS340" s="74"/>
    </row>
    <row r="341" ht="18.75" customHeight="1">
      <c r="B341" s="71"/>
      <c r="C341" s="37" t="s">
        <v>2891</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INDEX(CS!$B$1:$B$15025,MATCH($A341,CS!$B:$B,0)+COLUMN(A$1),1))</f>
        <v/>
      </c>
      <c r="BH341" s="37" t="str">
        <f t="array" ref="BH341">IF($A341="","", INDEX(CS!$B$1:$B$15025,MATCH($A341,CS!$B:$B,0)+COLUMN(B$1),1))</f>
        <v/>
      </c>
      <c r="BI341" s="37" t="str">
        <f t="array" ref="BI341">IF($A341="","", INDEX(CS!$B$1:$B$15025,MATCH($A341,CS!$B:$B,0)+COLUMN(C$1),1))</f>
        <v/>
      </c>
      <c r="BJ341" s="37" t="str">
        <f t="array" ref="BJ341">IF($A341="","", INDEX(CS!$B$1:$B$15025,MATCH($A341,CS!$B:$B,0)+COLUMN(D$1),1))</f>
        <v/>
      </c>
      <c r="BK341" s="37" t="str">
        <f t="array" ref="BK341">IF($A341="","", INDEX(CS!$B$1:$B$15025,MATCH($A341,CS!$B:$B,0)+COLUMN(E$1),1))</f>
        <v/>
      </c>
      <c r="BL341" s="37" t="str">
        <f t="array" ref="BL341">IF($A341="","", INDEX(CS!$B$1:$B$15025,MATCH($A341,CS!$B:$B,0)+COLUMN(F$1),1))</f>
        <v/>
      </c>
      <c r="BM341" s="37" t="str">
        <f t="array" ref="BM341">IF($A341="","", INDEX(CS!$B$1:$B$15025,MATCH($A341,CS!$B:$B,0)+COLUMN(G$1),1))</f>
        <v/>
      </c>
      <c r="BN341" s="37" t="str">
        <f t="array" ref="BN341">IF($A341="","", INDEX(CS!$B$1:$B$15025,MATCH($A341,CS!$B:$B,0)+COLUMN(H$1),1))</f>
        <v/>
      </c>
      <c r="BO341" s="37" t="str">
        <f t="array" ref="BO341">IF($A341="","", INDEX(CS!$B$1:$B$15025,MATCH($A341,CS!$B:$B,0)+COLUMN(I$1),1))</f>
        <v/>
      </c>
      <c r="BP341" s="37" t="str">
        <f t="array" ref="BP341">IF($A341="","", INDEX(CS!$B$1:$B$15025,MATCH($A341,CS!$B:$B,0)+COLUMN(J$1),1))</f>
        <v/>
      </c>
      <c r="BS341" s="74"/>
    </row>
    <row r="342" ht="18.75" customHeight="1">
      <c r="B342" s="71"/>
      <c r="C342" s="37" t="s">
        <v>2891</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INDEX(CS!$B$1:$B$15025,MATCH($A342,CS!$B:$B,0)+COLUMN(A$1),1))</f>
        <v/>
      </c>
      <c r="BH342" s="37" t="str">
        <f t="array" ref="BH342">IF($A342="","", INDEX(CS!$B$1:$B$15025,MATCH($A342,CS!$B:$B,0)+COLUMN(B$1),1))</f>
        <v/>
      </c>
      <c r="BI342" s="37" t="str">
        <f t="array" ref="BI342">IF($A342="","", INDEX(CS!$B$1:$B$15025,MATCH($A342,CS!$B:$B,0)+COLUMN(C$1),1))</f>
        <v/>
      </c>
      <c r="BJ342" s="37" t="str">
        <f t="array" ref="BJ342">IF($A342="","", INDEX(CS!$B$1:$B$15025,MATCH($A342,CS!$B:$B,0)+COLUMN(D$1),1))</f>
        <v/>
      </c>
      <c r="BK342" s="37" t="str">
        <f t="array" ref="BK342">IF($A342="","", INDEX(CS!$B$1:$B$15025,MATCH($A342,CS!$B:$B,0)+COLUMN(E$1),1))</f>
        <v/>
      </c>
      <c r="BL342" s="37" t="str">
        <f t="array" ref="BL342">IF($A342="","", INDEX(CS!$B$1:$B$15025,MATCH($A342,CS!$B:$B,0)+COLUMN(F$1),1))</f>
        <v/>
      </c>
      <c r="BM342" s="37" t="str">
        <f t="array" ref="BM342">IF($A342="","", INDEX(CS!$B$1:$B$15025,MATCH($A342,CS!$B:$B,0)+COLUMN(G$1),1))</f>
        <v/>
      </c>
      <c r="BN342" s="37" t="str">
        <f t="array" ref="BN342">IF($A342="","", INDEX(CS!$B$1:$B$15025,MATCH($A342,CS!$B:$B,0)+COLUMN(H$1),1))</f>
        <v/>
      </c>
      <c r="BO342" s="37" t="str">
        <f t="array" ref="BO342">IF($A342="","", INDEX(CS!$B$1:$B$15025,MATCH($A342,CS!$B:$B,0)+COLUMN(I$1),1))</f>
        <v/>
      </c>
      <c r="BP342" s="37" t="str">
        <f t="array" ref="BP342">IF($A342="","", INDEX(CS!$B$1:$B$15025,MATCH($A342,CS!$B:$B,0)+COLUMN(J$1),1))</f>
        <v/>
      </c>
      <c r="BS342" s="74"/>
    </row>
    <row r="343" ht="18.75" customHeight="1">
      <c r="B343" s="71"/>
      <c r="C343" s="37" t="s">
        <v>2891</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INDEX(CS!$B$1:$B$15025,MATCH($A343,CS!$B:$B,0)+COLUMN(A$1),1))</f>
        <v/>
      </c>
      <c r="BH343" s="37" t="str">
        <f t="array" ref="BH343">IF($A343="","", INDEX(CS!$B$1:$B$15025,MATCH($A343,CS!$B:$B,0)+COLUMN(B$1),1))</f>
        <v/>
      </c>
      <c r="BI343" s="37" t="str">
        <f t="array" ref="BI343">IF($A343="","", INDEX(CS!$B$1:$B$15025,MATCH($A343,CS!$B:$B,0)+COLUMN(C$1),1))</f>
        <v/>
      </c>
      <c r="BJ343" s="37" t="str">
        <f t="array" ref="BJ343">IF($A343="","", INDEX(CS!$B$1:$B$15025,MATCH($A343,CS!$B:$B,0)+COLUMN(D$1),1))</f>
        <v/>
      </c>
      <c r="BK343" s="37" t="str">
        <f t="array" ref="BK343">IF($A343="","", INDEX(CS!$B$1:$B$15025,MATCH($A343,CS!$B:$B,0)+COLUMN(E$1),1))</f>
        <v/>
      </c>
      <c r="BL343" s="37" t="str">
        <f t="array" ref="BL343">IF($A343="","", INDEX(CS!$B$1:$B$15025,MATCH($A343,CS!$B:$B,0)+COLUMN(F$1),1))</f>
        <v/>
      </c>
      <c r="BM343" s="37" t="str">
        <f t="array" ref="BM343">IF($A343="","", INDEX(CS!$B$1:$B$15025,MATCH($A343,CS!$B:$B,0)+COLUMN(G$1),1))</f>
        <v/>
      </c>
      <c r="BN343" s="37" t="str">
        <f t="array" ref="BN343">IF($A343="","", INDEX(CS!$B$1:$B$15025,MATCH($A343,CS!$B:$B,0)+COLUMN(H$1),1))</f>
        <v/>
      </c>
      <c r="BO343" s="37" t="str">
        <f t="array" ref="BO343">IF($A343="","", INDEX(CS!$B$1:$B$15025,MATCH($A343,CS!$B:$B,0)+COLUMN(I$1),1))</f>
        <v/>
      </c>
      <c r="BP343" s="37" t="str">
        <f t="array" ref="BP343">IF($A343="","", INDEX(CS!$B$1:$B$15025,MATCH($A343,CS!$B:$B,0)+COLUMN(J$1),1))</f>
        <v/>
      </c>
      <c r="BS343" s="74"/>
    </row>
    <row r="344" ht="18.75" customHeight="1">
      <c r="B344" s="71"/>
      <c r="C344" s="37" t="s">
        <v>2891</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INDEX(CS!$B$1:$B$15025,MATCH($A344,CS!$B:$B,0)+COLUMN(A$1),1))</f>
        <v/>
      </c>
      <c r="BH344" s="37" t="str">
        <f t="array" ref="BH344">IF($A344="","", INDEX(CS!$B$1:$B$15025,MATCH($A344,CS!$B:$B,0)+COLUMN(B$1),1))</f>
        <v/>
      </c>
      <c r="BI344" s="37" t="str">
        <f t="array" ref="BI344">IF($A344="","", INDEX(CS!$B$1:$B$15025,MATCH($A344,CS!$B:$B,0)+COLUMN(C$1),1))</f>
        <v/>
      </c>
      <c r="BJ344" s="37" t="str">
        <f t="array" ref="BJ344">IF($A344="","", INDEX(CS!$B$1:$B$15025,MATCH($A344,CS!$B:$B,0)+COLUMN(D$1),1))</f>
        <v/>
      </c>
      <c r="BK344" s="37" t="str">
        <f t="array" ref="BK344">IF($A344="","", INDEX(CS!$B$1:$B$15025,MATCH($A344,CS!$B:$B,0)+COLUMN(E$1),1))</f>
        <v/>
      </c>
      <c r="BL344" s="37" t="str">
        <f t="array" ref="BL344">IF($A344="","", INDEX(CS!$B$1:$B$15025,MATCH($A344,CS!$B:$B,0)+COLUMN(F$1),1))</f>
        <v/>
      </c>
      <c r="BM344" s="37" t="str">
        <f t="array" ref="BM344">IF($A344="","", INDEX(CS!$B$1:$B$15025,MATCH($A344,CS!$B:$B,0)+COLUMN(G$1),1))</f>
        <v/>
      </c>
      <c r="BN344" s="37" t="str">
        <f t="array" ref="BN344">IF($A344="","", INDEX(CS!$B$1:$B$15025,MATCH($A344,CS!$B:$B,0)+COLUMN(H$1),1))</f>
        <v/>
      </c>
      <c r="BO344" s="37" t="str">
        <f t="array" ref="BO344">IF($A344="","", INDEX(CS!$B$1:$B$15025,MATCH($A344,CS!$B:$B,0)+COLUMN(I$1),1))</f>
        <v/>
      </c>
      <c r="BP344" s="37" t="str">
        <f t="array" ref="BP344">IF($A344="","", INDEX(CS!$B$1:$B$15025,MATCH($A344,CS!$B:$B,0)+COLUMN(J$1),1))</f>
        <v/>
      </c>
      <c r="BS344" s="74"/>
    </row>
    <row r="345" ht="18.75" customHeight="1">
      <c r="B345" s="71"/>
      <c r="C345" s="37" t="s">
        <v>2891</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INDEX(CS!$B$1:$B$15025,MATCH($A345,CS!$B:$B,0)+COLUMN(A$1),1))</f>
        <v/>
      </c>
      <c r="BH345" s="37" t="str">
        <f t="array" ref="BH345">IF($A345="","", INDEX(CS!$B$1:$B$15025,MATCH($A345,CS!$B:$B,0)+COLUMN(B$1),1))</f>
        <v/>
      </c>
      <c r="BI345" s="37" t="str">
        <f t="array" ref="BI345">IF($A345="","", INDEX(CS!$B$1:$B$15025,MATCH($A345,CS!$B:$B,0)+COLUMN(C$1),1))</f>
        <v/>
      </c>
      <c r="BJ345" s="37" t="str">
        <f t="array" ref="BJ345">IF($A345="","", INDEX(CS!$B$1:$B$15025,MATCH($A345,CS!$B:$B,0)+COLUMN(D$1),1))</f>
        <v/>
      </c>
      <c r="BK345" s="37" t="str">
        <f t="array" ref="BK345">IF($A345="","", INDEX(CS!$B$1:$B$15025,MATCH($A345,CS!$B:$B,0)+COLUMN(E$1),1))</f>
        <v/>
      </c>
      <c r="BL345" s="37" t="str">
        <f t="array" ref="BL345">IF($A345="","", INDEX(CS!$B$1:$B$15025,MATCH($A345,CS!$B:$B,0)+COLUMN(F$1),1))</f>
        <v/>
      </c>
      <c r="BM345" s="37" t="str">
        <f t="array" ref="BM345">IF($A345="","", INDEX(CS!$B$1:$B$15025,MATCH($A345,CS!$B:$B,0)+COLUMN(G$1),1))</f>
        <v/>
      </c>
      <c r="BN345" s="37" t="str">
        <f t="array" ref="BN345">IF($A345="","", INDEX(CS!$B$1:$B$15025,MATCH($A345,CS!$B:$B,0)+COLUMN(H$1),1))</f>
        <v/>
      </c>
      <c r="BO345" s="37" t="str">
        <f t="array" ref="BO345">IF($A345="","", INDEX(CS!$B$1:$B$15025,MATCH($A345,CS!$B:$B,0)+COLUMN(I$1),1))</f>
        <v/>
      </c>
      <c r="BP345" s="37" t="str">
        <f t="array" ref="BP345">IF($A345="","", INDEX(CS!$B$1:$B$15025,MATCH($A345,CS!$B:$B,0)+COLUMN(J$1),1))</f>
        <v/>
      </c>
      <c r="BS345" s="74"/>
    </row>
    <row r="346" ht="18.75" customHeight="1">
      <c r="B346" s="71"/>
      <c r="C346" s="37" t="s">
        <v>2891</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INDEX(CS!$B$1:$B$15025,MATCH($A346,CS!$B:$B,0)+COLUMN(A$1),1))</f>
        <v/>
      </c>
      <c r="BH346" s="37" t="str">
        <f t="array" ref="BH346">IF($A346="","", INDEX(CS!$B$1:$B$15025,MATCH($A346,CS!$B:$B,0)+COLUMN(B$1),1))</f>
        <v/>
      </c>
      <c r="BI346" s="37" t="str">
        <f t="array" ref="BI346">IF($A346="","", INDEX(CS!$B$1:$B$15025,MATCH($A346,CS!$B:$B,0)+COLUMN(C$1),1))</f>
        <v/>
      </c>
      <c r="BJ346" s="37" t="str">
        <f t="array" ref="BJ346">IF($A346="","", INDEX(CS!$B$1:$B$15025,MATCH($A346,CS!$B:$B,0)+COLUMN(D$1),1))</f>
        <v/>
      </c>
      <c r="BK346" s="37" t="str">
        <f t="array" ref="BK346">IF($A346="","", INDEX(CS!$B$1:$B$15025,MATCH($A346,CS!$B:$B,0)+COLUMN(E$1),1))</f>
        <v/>
      </c>
      <c r="BL346" s="37" t="str">
        <f t="array" ref="BL346">IF($A346="","", INDEX(CS!$B$1:$B$15025,MATCH($A346,CS!$B:$B,0)+COLUMN(F$1),1))</f>
        <v/>
      </c>
      <c r="BM346" s="37" t="str">
        <f t="array" ref="BM346">IF($A346="","", INDEX(CS!$B$1:$B$15025,MATCH($A346,CS!$B:$B,0)+COLUMN(G$1),1))</f>
        <v/>
      </c>
      <c r="BN346" s="37" t="str">
        <f t="array" ref="BN346">IF($A346="","", INDEX(CS!$B$1:$B$15025,MATCH($A346,CS!$B:$B,0)+COLUMN(H$1),1))</f>
        <v/>
      </c>
      <c r="BO346" s="37" t="str">
        <f t="array" ref="BO346">IF($A346="","", INDEX(CS!$B$1:$B$15025,MATCH($A346,CS!$B:$B,0)+COLUMN(I$1),1))</f>
        <v/>
      </c>
      <c r="BP346" s="37" t="str">
        <f t="array" ref="BP346">IF($A346="","", INDEX(CS!$B$1:$B$15025,MATCH($A346,CS!$B:$B,0)+COLUMN(J$1),1))</f>
        <v/>
      </c>
      <c r="BS346" s="74"/>
    </row>
    <row r="347" ht="18.75" customHeight="1">
      <c r="B347" s="71"/>
      <c r="C347" s="37" t="s">
        <v>2891</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INDEX(CS!$B$1:$B$15025,MATCH($A347,CS!$B:$B,0)+COLUMN(A$1),1))</f>
        <v/>
      </c>
      <c r="BH347" s="37" t="str">
        <f t="array" ref="BH347">IF($A347="","", INDEX(CS!$B$1:$B$15025,MATCH($A347,CS!$B:$B,0)+COLUMN(B$1),1))</f>
        <v/>
      </c>
      <c r="BI347" s="37" t="str">
        <f t="array" ref="BI347">IF($A347="","", INDEX(CS!$B$1:$B$15025,MATCH($A347,CS!$B:$B,0)+COLUMN(C$1),1))</f>
        <v/>
      </c>
      <c r="BJ347" s="37" t="str">
        <f t="array" ref="BJ347">IF($A347="","", INDEX(CS!$B$1:$B$15025,MATCH($A347,CS!$B:$B,0)+COLUMN(D$1),1))</f>
        <v/>
      </c>
      <c r="BK347" s="37" t="str">
        <f t="array" ref="BK347">IF($A347="","", INDEX(CS!$B$1:$B$15025,MATCH($A347,CS!$B:$B,0)+COLUMN(E$1),1))</f>
        <v/>
      </c>
      <c r="BL347" s="37" t="str">
        <f t="array" ref="BL347">IF($A347="","", INDEX(CS!$B$1:$B$15025,MATCH($A347,CS!$B:$B,0)+COLUMN(F$1),1))</f>
        <v/>
      </c>
      <c r="BM347" s="37" t="str">
        <f t="array" ref="BM347">IF($A347="","", INDEX(CS!$B$1:$B$15025,MATCH($A347,CS!$B:$B,0)+COLUMN(G$1),1))</f>
        <v/>
      </c>
      <c r="BN347" s="37" t="str">
        <f t="array" ref="BN347">IF($A347="","", INDEX(CS!$B$1:$B$15025,MATCH($A347,CS!$B:$B,0)+COLUMN(H$1),1))</f>
        <v/>
      </c>
      <c r="BO347" s="37" t="str">
        <f t="array" ref="BO347">IF($A347="","", INDEX(CS!$B$1:$B$15025,MATCH($A347,CS!$B:$B,0)+COLUMN(I$1),1))</f>
        <v/>
      </c>
      <c r="BP347" s="37" t="str">
        <f t="array" ref="BP347">IF($A347="","", INDEX(CS!$B$1:$B$15025,MATCH($A347,CS!$B:$B,0)+COLUMN(J$1),1))</f>
        <v/>
      </c>
      <c r="BS347" s="74"/>
    </row>
    <row r="348" ht="18.75" customHeight="1">
      <c r="B348" s="71"/>
      <c r="C348" s="37" t="s">
        <v>2891</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INDEX(CS!$B$1:$B$15025,MATCH($A348,CS!$B:$B,0)+COLUMN(A$1),1))</f>
        <v/>
      </c>
      <c r="BH348" s="37" t="str">
        <f t="array" ref="BH348">IF($A348="","", INDEX(CS!$B$1:$B$15025,MATCH($A348,CS!$B:$B,0)+COLUMN(B$1),1))</f>
        <v/>
      </c>
      <c r="BI348" s="37" t="str">
        <f t="array" ref="BI348">IF($A348="","", INDEX(CS!$B$1:$B$15025,MATCH($A348,CS!$B:$B,0)+COLUMN(C$1),1))</f>
        <v/>
      </c>
      <c r="BJ348" s="37" t="str">
        <f t="array" ref="BJ348">IF($A348="","", INDEX(CS!$B$1:$B$15025,MATCH($A348,CS!$B:$B,0)+COLUMN(D$1),1))</f>
        <v/>
      </c>
      <c r="BK348" s="37" t="str">
        <f t="array" ref="BK348">IF($A348="","", INDEX(CS!$B$1:$B$15025,MATCH($A348,CS!$B:$B,0)+COLUMN(E$1),1))</f>
        <v/>
      </c>
      <c r="BL348" s="37" t="str">
        <f t="array" ref="BL348">IF($A348="","", INDEX(CS!$B$1:$B$15025,MATCH($A348,CS!$B:$B,0)+COLUMN(F$1),1))</f>
        <v/>
      </c>
      <c r="BM348" s="37" t="str">
        <f t="array" ref="BM348">IF($A348="","", INDEX(CS!$B$1:$B$15025,MATCH($A348,CS!$B:$B,0)+COLUMN(G$1),1))</f>
        <v/>
      </c>
      <c r="BN348" s="37" t="str">
        <f t="array" ref="BN348">IF($A348="","", INDEX(CS!$B$1:$B$15025,MATCH($A348,CS!$B:$B,0)+COLUMN(H$1),1))</f>
        <v/>
      </c>
      <c r="BO348" s="37" t="str">
        <f t="array" ref="BO348">IF($A348="","", INDEX(CS!$B$1:$B$15025,MATCH($A348,CS!$B:$B,0)+COLUMN(I$1),1))</f>
        <v/>
      </c>
      <c r="BP348" s="37" t="str">
        <f t="array" ref="BP348">IF($A348="","", INDEX(CS!$B$1:$B$15025,MATCH($A348,CS!$B:$B,0)+COLUMN(J$1),1))</f>
        <v/>
      </c>
      <c r="BS348" s="74"/>
    </row>
    <row r="349" ht="18.75" customHeight="1">
      <c r="B349" s="71"/>
      <c r="C349" s="37" t="s">
        <v>2891</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INDEX(CS!$B$1:$B$15025,MATCH($A349,CS!$B:$B,0)+COLUMN(A$1),1))</f>
        <v/>
      </c>
      <c r="BH349" s="37" t="str">
        <f t="array" ref="BH349">IF($A349="","", INDEX(CS!$B$1:$B$15025,MATCH($A349,CS!$B:$B,0)+COLUMN(B$1),1))</f>
        <v/>
      </c>
      <c r="BI349" s="37" t="str">
        <f t="array" ref="BI349">IF($A349="","", INDEX(CS!$B$1:$B$15025,MATCH($A349,CS!$B:$B,0)+COLUMN(C$1),1))</f>
        <v/>
      </c>
      <c r="BJ349" s="37" t="str">
        <f t="array" ref="BJ349">IF($A349="","", INDEX(CS!$B$1:$B$15025,MATCH($A349,CS!$B:$B,0)+COLUMN(D$1),1))</f>
        <v/>
      </c>
      <c r="BK349" s="37" t="str">
        <f t="array" ref="BK349">IF($A349="","", INDEX(CS!$B$1:$B$15025,MATCH($A349,CS!$B:$B,0)+COLUMN(E$1),1))</f>
        <v/>
      </c>
      <c r="BL349" s="37" t="str">
        <f t="array" ref="BL349">IF($A349="","", INDEX(CS!$B$1:$B$15025,MATCH($A349,CS!$B:$B,0)+COLUMN(F$1),1))</f>
        <v/>
      </c>
      <c r="BM349" s="37" t="str">
        <f t="array" ref="BM349">IF($A349="","", INDEX(CS!$B$1:$B$15025,MATCH($A349,CS!$B:$B,0)+COLUMN(G$1),1))</f>
        <v/>
      </c>
      <c r="BN349" s="37" t="str">
        <f t="array" ref="BN349">IF($A349="","", INDEX(CS!$B$1:$B$15025,MATCH($A349,CS!$B:$B,0)+COLUMN(H$1),1))</f>
        <v/>
      </c>
      <c r="BO349" s="37" t="str">
        <f t="array" ref="BO349">IF($A349="","", INDEX(CS!$B$1:$B$15025,MATCH($A349,CS!$B:$B,0)+COLUMN(I$1),1))</f>
        <v/>
      </c>
      <c r="BP349" s="37" t="str">
        <f t="array" ref="BP349">IF($A349="","", INDEX(CS!$B$1:$B$15025,MATCH($A349,CS!$B:$B,0)+COLUMN(J$1),1))</f>
        <v/>
      </c>
      <c r="BS349" s="74"/>
    </row>
    <row r="350" ht="18.75" customHeight="1">
      <c r="B350" s="71"/>
      <c r="C350" s="37" t="s">
        <v>2891</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INDEX(CS!$B$1:$B$15025,MATCH($A350,CS!$B:$B,0)+COLUMN(A$1),1))</f>
        <v/>
      </c>
      <c r="BH350" s="37" t="str">
        <f t="array" ref="BH350">IF($A350="","", INDEX(CS!$B$1:$B$15025,MATCH($A350,CS!$B:$B,0)+COLUMN(B$1),1))</f>
        <v/>
      </c>
      <c r="BI350" s="37" t="str">
        <f t="array" ref="BI350">IF($A350="","", INDEX(CS!$B$1:$B$15025,MATCH($A350,CS!$B:$B,0)+COLUMN(C$1),1))</f>
        <v/>
      </c>
      <c r="BJ350" s="37" t="str">
        <f t="array" ref="BJ350">IF($A350="","", INDEX(CS!$B$1:$B$15025,MATCH($A350,CS!$B:$B,0)+COLUMN(D$1),1))</f>
        <v/>
      </c>
      <c r="BK350" s="37" t="str">
        <f t="array" ref="BK350">IF($A350="","", INDEX(CS!$B$1:$B$15025,MATCH($A350,CS!$B:$B,0)+COLUMN(E$1),1))</f>
        <v/>
      </c>
      <c r="BL350" s="37" t="str">
        <f t="array" ref="BL350">IF($A350="","", INDEX(CS!$B$1:$B$15025,MATCH($A350,CS!$B:$B,0)+COLUMN(F$1),1))</f>
        <v/>
      </c>
      <c r="BM350" s="37" t="str">
        <f t="array" ref="BM350">IF($A350="","", INDEX(CS!$B$1:$B$15025,MATCH($A350,CS!$B:$B,0)+COLUMN(G$1),1))</f>
        <v/>
      </c>
      <c r="BN350" s="37" t="str">
        <f t="array" ref="BN350">IF($A350="","", INDEX(CS!$B$1:$B$15025,MATCH($A350,CS!$B:$B,0)+COLUMN(H$1),1))</f>
        <v/>
      </c>
      <c r="BO350" s="37" t="str">
        <f t="array" ref="BO350">IF($A350="","", INDEX(CS!$B$1:$B$15025,MATCH($A350,CS!$B:$B,0)+COLUMN(I$1),1))</f>
        <v/>
      </c>
      <c r="BP350" s="37" t="str">
        <f t="array" ref="BP350">IF($A350="","", INDEX(CS!$B$1:$B$15025,MATCH($A350,CS!$B:$B,0)+COLUMN(J$1),1))</f>
        <v/>
      </c>
      <c r="BS350" s="74"/>
    </row>
    <row r="351" ht="18.75" customHeight="1">
      <c r="B351" s="71"/>
      <c r="C351" s="37" t="s">
        <v>2891</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INDEX(CS!$B$1:$B$15025,MATCH($A351,CS!$B:$B,0)+COLUMN(A$1),1))</f>
        <v/>
      </c>
      <c r="BH351" s="37" t="str">
        <f t="array" ref="BH351">IF($A351="","", INDEX(CS!$B$1:$B$15025,MATCH($A351,CS!$B:$B,0)+COLUMN(B$1),1))</f>
        <v/>
      </c>
      <c r="BI351" s="37" t="str">
        <f t="array" ref="BI351">IF($A351="","", INDEX(CS!$B$1:$B$15025,MATCH($A351,CS!$B:$B,0)+COLUMN(C$1),1))</f>
        <v/>
      </c>
      <c r="BJ351" s="37" t="str">
        <f t="array" ref="BJ351">IF($A351="","", INDEX(CS!$B$1:$B$15025,MATCH($A351,CS!$B:$B,0)+COLUMN(D$1),1))</f>
        <v/>
      </c>
      <c r="BK351" s="37" t="str">
        <f t="array" ref="BK351">IF($A351="","", INDEX(CS!$B$1:$B$15025,MATCH($A351,CS!$B:$B,0)+COLUMN(E$1),1))</f>
        <v/>
      </c>
      <c r="BL351" s="37" t="str">
        <f t="array" ref="BL351">IF($A351="","", INDEX(CS!$B$1:$B$15025,MATCH($A351,CS!$B:$B,0)+COLUMN(F$1),1))</f>
        <v/>
      </c>
      <c r="BM351" s="37" t="str">
        <f t="array" ref="BM351">IF($A351="","", INDEX(CS!$B$1:$B$15025,MATCH($A351,CS!$B:$B,0)+COLUMN(G$1),1))</f>
        <v/>
      </c>
      <c r="BN351" s="37" t="str">
        <f t="array" ref="BN351">IF($A351="","", INDEX(CS!$B$1:$B$15025,MATCH($A351,CS!$B:$B,0)+COLUMN(H$1),1))</f>
        <v/>
      </c>
      <c r="BO351" s="37" t="str">
        <f t="array" ref="BO351">IF($A351="","", INDEX(CS!$B$1:$B$15025,MATCH($A351,CS!$B:$B,0)+COLUMN(I$1),1))</f>
        <v/>
      </c>
      <c r="BP351" s="37" t="str">
        <f t="array" ref="BP351">IF($A351="","", INDEX(CS!$B$1:$B$15025,MATCH($A351,CS!$B:$B,0)+COLUMN(J$1),1))</f>
        <v/>
      </c>
      <c r="BS351" s="74"/>
    </row>
    <row r="352" ht="18.75" customHeight="1">
      <c r="B352" s="71"/>
      <c r="C352" s="37" t="s">
        <v>2891</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INDEX(CS!$B$1:$B$15025,MATCH($A352,CS!$B:$B,0)+COLUMN(A$1),1))</f>
        <v/>
      </c>
      <c r="BH352" s="37" t="str">
        <f t="array" ref="BH352">IF($A352="","", INDEX(CS!$B$1:$B$15025,MATCH($A352,CS!$B:$B,0)+COLUMN(B$1),1))</f>
        <v/>
      </c>
      <c r="BI352" s="37" t="str">
        <f t="array" ref="BI352">IF($A352="","", INDEX(CS!$B$1:$B$15025,MATCH($A352,CS!$B:$B,0)+COLUMN(C$1),1))</f>
        <v/>
      </c>
      <c r="BJ352" s="37" t="str">
        <f t="array" ref="BJ352">IF($A352="","", INDEX(CS!$B$1:$B$15025,MATCH($A352,CS!$B:$B,0)+COLUMN(D$1),1))</f>
        <v/>
      </c>
      <c r="BK352" s="37" t="str">
        <f t="array" ref="BK352">IF($A352="","", INDEX(CS!$B$1:$B$15025,MATCH($A352,CS!$B:$B,0)+COLUMN(E$1),1))</f>
        <v/>
      </c>
      <c r="BL352" s="37" t="str">
        <f t="array" ref="BL352">IF($A352="","", INDEX(CS!$B$1:$B$15025,MATCH($A352,CS!$B:$B,0)+COLUMN(F$1),1))</f>
        <v/>
      </c>
      <c r="BM352" s="37" t="str">
        <f t="array" ref="BM352">IF($A352="","", INDEX(CS!$B$1:$B$15025,MATCH($A352,CS!$B:$B,0)+COLUMN(G$1),1))</f>
        <v/>
      </c>
      <c r="BN352" s="37" t="str">
        <f t="array" ref="BN352">IF($A352="","", INDEX(CS!$B$1:$B$15025,MATCH($A352,CS!$B:$B,0)+COLUMN(H$1),1))</f>
        <v/>
      </c>
      <c r="BO352" s="37" t="str">
        <f t="array" ref="BO352">IF($A352="","", INDEX(CS!$B$1:$B$15025,MATCH($A352,CS!$B:$B,0)+COLUMN(I$1),1))</f>
        <v/>
      </c>
      <c r="BP352" s="37" t="str">
        <f t="array" ref="BP352">IF($A352="","", INDEX(CS!$B$1:$B$15025,MATCH($A352,CS!$B:$B,0)+COLUMN(J$1),1))</f>
        <v/>
      </c>
      <c r="BS352" s="74"/>
    </row>
    <row r="353" ht="18.75" customHeight="1">
      <c r="B353" s="71"/>
      <c r="C353" s="37" t="s">
        <v>2891</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INDEX(CS!$B$1:$B$15025,MATCH($A353,CS!$B:$B,0)+COLUMN(A$1),1))</f>
        <v/>
      </c>
      <c r="BH353" s="37" t="str">
        <f t="array" ref="BH353">IF($A353="","", INDEX(CS!$B$1:$B$15025,MATCH($A353,CS!$B:$B,0)+COLUMN(B$1),1))</f>
        <v/>
      </c>
      <c r="BI353" s="37" t="str">
        <f t="array" ref="BI353">IF($A353="","", INDEX(CS!$B$1:$B$15025,MATCH($A353,CS!$B:$B,0)+COLUMN(C$1),1))</f>
        <v/>
      </c>
      <c r="BJ353" s="37" t="str">
        <f t="array" ref="BJ353">IF($A353="","", INDEX(CS!$B$1:$B$15025,MATCH($A353,CS!$B:$B,0)+COLUMN(D$1),1))</f>
        <v/>
      </c>
      <c r="BK353" s="37" t="str">
        <f t="array" ref="BK353">IF($A353="","", INDEX(CS!$B$1:$B$15025,MATCH($A353,CS!$B:$B,0)+COLUMN(E$1),1))</f>
        <v/>
      </c>
      <c r="BL353" s="37" t="str">
        <f t="array" ref="BL353">IF($A353="","", INDEX(CS!$B$1:$B$15025,MATCH($A353,CS!$B:$B,0)+COLUMN(F$1),1))</f>
        <v/>
      </c>
      <c r="BM353" s="37" t="str">
        <f t="array" ref="BM353">IF($A353="","", INDEX(CS!$B$1:$B$15025,MATCH($A353,CS!$B:$B,0)+COLUMN(G$1),1))</f>
        <v/>
      </c>
      <c r="BN353" s="37" t="str">
        <f t="array" ref="BN353">IF($A353="","", INDEX(CS!$B$1:$B$15025,MATCH($A353,CS!$B:$B,0)+COLUMN(H$1),1))</f>
        <v/>
      </c>
      <c r="BO353" s="37" t="str">
        <f t="array" ref="BO353">IF($A353="","", INDEX(CS!$B$1:$B$15025,MATCH($A353,CS!$B:$B,0)+COLUMN(I$1),1))</f>
        <v/>
      </c>
      <c r="BP353" s="37" t="str">
        <f t="array" ref="BP353">IF($A353="","", INDEX(CS!$B$1:$B$15025,MATCH($A353,CS!$B:$B,0)+COLUMN(J$1),1))</f>
        <v/>
      </c>
      <c r="BS353" s="74"/>
    </row>
    <row r="354" ht="18.75" customHeight="1">
      <c r="B354" s="71"/>
      <c r="C354" s="37" t="s">
        <v>2891</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INDEX(CS!$B$1:$B$15025,MATCH($A354,CS!$B:$B,0)+COLUMN(A$1),1))</f>
        <v/>
      </c>
      <c r="BH354" s="37" t="str">
        <f t="array" ref="BH354">IF($A354="","", INDEX(CS!$B$1:$B$15025,MATCH($A354,CS!$B:$B,0)+COLUMN(B$1),1))</f>
        <v/>
      </c>
      <c r="BI354" s="37" t="str">
        <f t="array" ref="BI354">IF($A354="","", INDEX(CS!$B$1:$B$15025,MATCH($A354,CS!$B:$B,0)+COLUMN(C$1),1))</f>
        <v/>
      </c>
      <c r="BJ354" s="37" t="str">
        <f t="array" ref="BJ354">IF($A354="","", INDEX(CS!$B$1:$B$15025,MATCH($A354,CS!$B:$B,0)+COLUMN(D$1),1))</f>
        <v/>
      </c>
      <c r="BK354" s="37" t="str">
        <f t="array" ref="BK354">IF($A354="","", INDEX(CS!$B$1:$B$15025,MATCH($A354,CS!$B:$B,0)+COLUMN(E$1),1))</f>
        <v/>
      </c>
      <c r="BL354" s="37" t="str">
        <f t="array" ref="BL354">IF($A354="","", INDEX(CS!$B$1:$B$15025,MATCH($A354,CS!$B:$B,0)+COLUMN(F$1),1))</f>
        <v/>
      </c>
      <c r="BM354" s="37" t="str">
        <f t="array" ref="BM354">IF($A354="","", INDEX(CS!$B$1:$B$15025,MATCH($A354,CS!$B:$B,0)+COLUMN(G$1),1))</f>
        <v/>
      </c>
      <c r="BN354" s="37" t="str">
        <f t="array" ref="BN354">IF($A354="","", INDEX(CS!$B$1:$B$15025,MATCH($A354,CS!$B:$B,0)+COLUMN(H$1),1))</f>
        <v/>
      </c>
      <c r="BO354" s="37" t="str">
        <f t="array" ref="BO354">IF($A354="","", INDEX(CS!$B$1:$B$15025,MATCH($A354,CS!$B:$B,0)+COLUMN(I$1),1))</f>
        <v/>
      </c>
      <c r="BP354" s="37" t="str">
        <f t="array" ref="BP354">IF($A354="","", INDEX(CS!$B$1:$B$15025,MATCH($A354,CS!$B:$B,0)+COLUMN(J$1),1))</f>
        <v/>
      </c>
      <c r="BS354" s="74"/>
    </row>
    <row r="355" ht="18.75" customHeight="1">
      <c r="B355" s="71"/>
      <c r="C355" s="37" t="s">
        <v>2891</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INDEX(CS!$B$1:$B$15025,MATCH($A355,CS!$B:$B,0)+COLUMN(A$1),1))</f>
        <v/>
      </c>
      <c r="BH355" s="37" t="str">
        <f t="array" ref="BH355">IF($A355="","", INDEX(CS!$B$1:$B$15025,MATCH($A355,CS!$B:$B,0)+COLUMN(B$1),1))</f>
        <v/>
      </c>
      <c r="BI355" s="37" t="str">
        <f t="array" ref="BI355">IF($A355="","", INDEX(CS!$B$1:$B$15025,MATCH($A355,CS!$B:$B,0)+COLUMN(C$1),1))</f>
        <v/>
      </c>
      <c r="BJ355" s="37" t="str">
        <f t="array" ref="BJ355">IF($A355="","", INDEX(CS!$B$1:$B$15025,MATCH($A355,CS!$B:$B,0)+COLUMN(D$1),1))</f>
        <v/>
      </c>
      <c r="BK355" s="37" t="str">
        <f t="array" ref="BK355">IF($A355="","", INDEX(CS!$B$1:$B$15025,MATCH($A355,CS!$B:$B,0)+COLUMN(E$1),1))</f>
        <v/>
      </c>
      <c r="BL355" s="37" t="str">
        <f t="array" ref="BL355">IF($A355="","", INDEX(CS!$B$1:$B$15025,MATCH($A355,CS!$B:$B,0)+COLUMN(F$1),1))</f>
        <v/>
      </c>
      <c r="BM355" s="37" t="str">
        <f t="array" ref="BM355">IF($A355="","", INDEX(CS!$B$1:$B$15025,MATCH($A355,CS!$B:$B,0)+COLUMN(G$1),1))</f>
        <v/>
      </c>
      <c r="BN355" s="37" t="str">
        <f t="array" ref="BN355">IF($A355="","", INDEX(CS!$B$1:$B$15025,MATCH($A355,CS!$B:$B,0)+COLUMN(H$1),1))</f>
        <v/>
      </c>
      <c r="BO355" s="37" t="str">
        <f t="array" ref="BO355">IF($A355="","", INDEX(CS!$B$1:$B$15025,MATCH($A355,CS!$B:$B,0)+COLUMN(I$1),1))</f>
        <v/>
      </c>
      <c r="BP355" s="37" t="str">
        <f t="array" ref="BP355">IF($A355="","", INDEX(CS!$B$1:$B$15025,MATCH($A355,CS!$B:$B,0)+COLUMN(J$1),1))</f>
        <v/>
      </c>
      <c r="BS355" s="74"/>
    </row>
    <row r="356" ht="18.75" customHeight="1">
      <c r="B356" s="71"/>
      <c r="C356" s="37" t="s">
        <v>2891</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INDEX(CS!$B$1:$B$15025,MATCH($A356,CS!$B:$B,0)+COLUMN(A$1),1))</f>
        <v/>
      </c>
      <c r="BH356" s="37" t="str">
        <f t="array" ref="BH356">IF($A356="","", INDEX(CS!$B$1:$B$15025,MATCH($A356,CS!$B:$B,0)+COLUMN(B$1),1))</f>
        <v/>
      </c>
      <c r="BI356" s="37" t="str">
        <f t="array" ref="BI356">IF($A356="","", INDEX(CS!$B$1:$B$15025,MATCH($A356,CS!$B:$B,0)+COLUMN(C$1),1))</f>
        <v/>
      </c>
      <c r="BJ356" s="37" t="str">
        <f t="array" ref="BJ356">IF($A356="","", INDEX(CS!$B$1:$B$15025,MATCH($A356,CS!$B:$B,0)+COLUMN(D$1),1))</f>
        <v/>
      </c>
      <c r="BK356" s="37" t="str">
        <f t="array" ref="BK356">IF($A356="","", INDEX(CS!$B$1:$B$15025,MATCH($A356,CS!$B:$B,0)+COLUMN(E$1),1))</f>
        <v/>
      </c>
      <c r="BL356" s="37" t="str">
        <f t="array" ref="BL356">IF($A356="","", INDEX(CS!$B$1:$B$15025,MATCH($A356,CS!$B:$B,0)+COLUMN(F$1),1))</f>
        <v/>
      </c>
      <c r="BM356" s="37" t="str">
        <f t="array" ref="BM356">IF($A356="","", INDEX(CS!$B$1:$B$15025,MATCH($A356,CS!$B:$B,0)+COLUMN(G$1),1))</f>
        <v/>
      </c>
      <c r="BN356" s="37" t="str">
        <f t="array" ref="BN356">IF($A356="","", INDEX(CS!$B$1:$B$15025,MATCH($A356,CS!$B:$B,0)+COLUMN(H$1),1))</f>
        <v/>
      </c>
      <c r="BO356" s="37" t="str">
        <f t="array" ref="BO356">IF($A356="","", INDEX(CS!$B$1:$B$15025,MATCH($A356,CS!$B:$B,0)+COLUMN(I$1),1))</f>
        <v/>
      </c>
      <c r="BP356" s="37" t="str">
        <f t="array" ref="BP356">IF($A356="","", INDEX(CS!$B$1:$B$15025,MATCH($A356,CS!$B:$B,0)+COLUMN(J$1),1))</f>
        <v/>
      </c>
      <c r="BS356" s="74"/>
    </row>
    <row r="357" ht="18.75" customHeight="1">
      <c r="B357" s="71"/>
      <c r="C357" s="37" t="s">
        <v>2891</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INDEX(CS!$B$1:$B$15025,MATCH($A357,CS!$B:$B,0)+COLUMN(A$1),1))</f>
        <v/>
      </c>
      <c r="BH357" s="37" t="str">
        <f t="array" ref="BH357">IF($A357="","", INDEX(CS!$B$1:$B$15025,MATCH($A357,CS!$B:$B,0)+COLUMN(B$1),1))</f>
        <v/>
      </c>
      <c r="BI357" s="37" t="str">
        <f t="array" ref="BI357">IF($A357="","", INDEX(CS!$B$1:$B$15025,MATCH($A357,CS!$B:$B,0)+COLUMN(C$1),1))</f>
        <v/>
      </c>
      <c r="BJ357" s="37" t="str">
        <f t="array" ref="BJ357">IF($A357="","", INDEX(CS!$B$1:$B$15025,MATCH($A357,CS!$B:$B,0)+COLUMN(D$1),1))</f>
        <v/>
      </c>
      <c r="BK357" s="37" t="str">
        <f t="array" ref="BK357">IF($A357="","", INDEX(CS!$B$1:$B$15025,MATCH($A357,CS!$B:$B,0)+COLUMN(E$1),1))</f>
        <v/>
      </c>
      <c r="BL357" s="37" t="str">
        <f t="array" ref="BL357">IF($A357="","", INDEX(CS!$B$1:$B$15025,MATCH($A357,CS!$B:$B,0)+COLUMN(F$1),1))</f>
        <v/>
      </c>
      <c r="BM357" s="37" t="str">
        <f t="array" ref="BM357">IF($A357="","", INDEX(CS!$B$1:$B$15025,MATCH($A357,CS!$B:$B,0)+COLUMN(G$1),1))</f>
        <v/>
      </c>
      <c r="BN357" s="37" t="str">
        <f t="array" ref="BN357">IF($A357="","", INDEX(CS!$B$1:$B$15025,MATCH($A357,CS!$B:$B,0)+COLUMN(H$1),1))</f>
        <v/>
      </c>
      <c r="BO357" s="37" t="str">
        <f t="array" ref="BO357">IF($A357="","", INDEX(CS!$B$1:$B$15025,MATCH($A357,CS!$B:$B,0)+COLUMN(I$1),1))</f>
        <v/>
      </c>
      <c r="BP357" s="37" t="str">
        <f t="array" ref="BP357">IF($A357="","", INDEX(CS!$B$1:$B$15025,MATCH($A357,CS!$B:$B,0)+COLUMN(J$1),1))</f>
        <v/>
      </c>
      <c r="BS357" s="74"/>
    </row>
    <row r="358" ht="18.75" customHeight="1">
      <c r="B358" s="71"/>
      <c r="C358" s="37" t="s">
        <v>2891</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INDEX(CS!$B$1:$B$15025,MATCH($A358,CS!$B:$B,0)+COLUMN(A$1),1))</f>
        <v/>
      </c>
      <c r="BH358" s="37" t="str">
        <f t="array" ref="BH358">IF($A358="","", INDEX(CS!$B$1:$B$15025,MATCH($A358,CS!$B:$B,0)+COLUMN(B$1),1))</f>
        <v/>
      </c>
      <c r="BI358" s="37" t="str">
        <f t="array" ref="BI358">IF($A358="","", INDEX(CS!$B$1:$B$15025,MATCH($A358,CS!$B:$B,0)+COLUMN(C$1),1))</f>
        <v/>
      </c>
      <c r="BJ358" s="37" t="str">
        <f t="array" ref="BJ358">IF($A358="","", INDEX(CS!$B$1:$B$15025,MATCH($A358,CS!$B:$B,0)+COLUMN(D$1),1))</f>
        <v/>
      </c>
      <c r="BK358" s="37" t="str">
        <f t="array" ref="BK358">IF($A358="","", INDEX(CS!$B$1:$B$15025,MATCH($A358,CS!$B:$B,0)+COLUMN(E$1),1))</f>
        <v/>
      </c>
      <c r="BL358" s="37" t="str">
        <f t="array" ref="BL358">IF($A358="","", INDEX(CS!$B$1:$B$15025,MATCH($A358,CS!$B:$B,0)+COLUMN(F$1),1))</f>
        <v/>
      </c>
      <c r="BM358" s="37" t="str">
        <f t="array" ref="BM358">IF($A358="","", INDEX(CS!$B$1:$B$15025,MATCH($A358,CS!$B:$B,0)+COLUMN(G$1),1))</f>
        <v/>
      </c>
      <c r="BN358" s="37" t="str">
        <f t="array" ref="BN358">IF($A358="","", INDEX(CS!$B$1:$B$15025,MATCH($A358,CS!$B:$B,0)+COLUMN(H$1),1))</f>
        <v/>
      </c>
      <c r="BO358" s="37" t="str">
        <f t="array" ref="BO358">IF($A358="","", INDEX(CS!$B$1:$B$15025,MATCH($A358,CS!$B:$B,0)+COLUMN(I$1),1))</f>
        <v/>
      </c>
      <c r="BP358" s="37" t="str">
        <f t="array" ref="BP358">IF($A358="","", INDEX(CS!$B$1:$B$15025,MATCH($A358,CS!$B:$B,0)+COLUMN(J$1),1))</f>
        <v/>
      </c>
      <c r="BS358" s="74"/>
    </row>
    <row r="359" ht="18.75" customHeight="1">
      <c r="B359" s="71"/>
      <c r="C359" s="37" t="s">
        <v>2891</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INDEX(CS!$B$1:$B$15025,MATCH($A359,CS!$B:$B,0)+COLUMN(A$1),1))</f>
        <v/>
      </c>
      <c r="BH359" s="37" t="str">
        <f t="array" ref="BH359">IF($A359="","", INDEX(CS!$B$1:$B$15025,MATCH($A359,CS!$B:$B,0)+COLUMN(B$1),1))</f>
        <v/>
      </c>
      <c r="BI359" s="37" t="str">
        <f t="array" ref="BI359">IF($A359="","", INDEX(CS!$B$1:$B$15025,MATCH($A359,CS!$B:$B,0)+COLUMN(C$1),1))</f>
        <v/>
      </c>
      <c r="BJ359" s="37" t="str">
        <f t="array" ref="BJ359">IF($A359="","", INDEX(CS!$B$1:$B$15025,MATCH($A359,CS!$B:$B,0)+COLUMN(D$1),1))</f>
        <v/>
      </c>
      <c r="BK359" s="37" t="str">
        <f t="array" ref="BK359">IF($A359="","", INDEX(CS!$B$1:$B$15025,MATCH($A359,CS!$B:$B,0)+COLUMN(E$1),1))</f>
        <v/>
      </c>
      <c r="BL359" s="37" t="str">
        <f t="array" ref="BL359">IF($A359="","", INDEX(CS!$B$1:$B$15025,MATCH($A359,CS!$B:$B,0)+COLUMN(F$1),1))</f>
        <v/>
      </c>
      <c r="BM359" s="37" t="str">
        <f t="array" ref="BM359">IF($A359="","", INDEX(CS!$B$1:$B$15025,MATCH($A359,CS!$B:$B,0)+COLUMN(G$1),1))</f>
        <v/>
      </c>
      <c r="BN359" s="37" t="str">
        <f t="array" ref="BN359">IF($A359="","", INDEX(CS!$B$1:$B$15025,MATCH($A359,CS!$B:$B,0)+COLUMN(H$1),1))</f>
        <v/>
      </c>
      <c r="BO359" s="37" t="str">
        <f t="array" ref="BO359">IF($A359="","", INDEX(CS!$B$1:$B$15025,MATCH($A359,CS!$B:$B,0)+COLUMN(I$1),1))</f>
        <v/>
      </c>
      <c r="BP359" s="37" t="str">
        <f t="array" ref="BP359">IF($A359="","", INDEX(CS!$B$1:$B$15025,MATCH($A359,CS!$B:$B,0)+COLUMN(J$1),1))</f>
        <v/>
      </c>
      <c r="BS359" s="74"/>
    </row>
    <row r="360" ht="18.75" customHeight="1">
      <c r="B360" s="71"/>
      <c r="C360" s="37" t="s">
        <v>2891</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INDEX(CS!$B$1:$B$15025,MATCH($A360,CS!$B:$B,0)+COLUMN(A$1),1))</f>
        <v/>
      </c>
      <c r="BH360" s="37" t="str">
        <f t="array" ref="BH360">IF($A360="","", INDEX(CS!$B$1:$B$15025,MATCH($A360,CS!$B:$B,0)+COLUMN(B$1),1))</f>
        <v/>
      </c>
      <c r="BI360" s="37" t="str">
        <f t="array" ref="BI360">IF($A360="","", INDEX(CS!$B$1:$B$15025,MATCH($A360,CS!$B:$B,0)+COLUMN(C$1),1))</f>
        <v/>
      </c>
      <c r="BJ360" s="37" t="str">
        <f t="array" ref="BJ360">IF($A360="","", INDEX(CS!$B$1:$B$15025,MATCH($A360,CS!$B:$B,0)+COLUMN(D$1),1))</f>
        <v/>
      </c>
      <c r="BK360" s="37" t="str">
        <f t="array" ref="BK360">IF($A360="","", INDEX(CS!$B$1:$B$15025,MATCH($A360,CS!$B:$B,0)+COLUMN(E$1),1))</f>
        <v/>
      </c>
      <c r="BL360" s="37" t="str">
        <f t="array" ref="BL360">IF($A360="","", INDEX(CS!$B$1:$B$15025,MATCH($A360,CS!$B:$B,0)+COLUMN(F$1),1))</f>
        <v/>
      </c>
      <c r="BM360" s="37" t="str">
        <f t="array" ref="BM360">IF($A360="","", INDEX(CS!$B$1:$B$15025,MATCH($A360,CS!$B:$B,0)+COLUMN(G$1),1))</f>
        <v/>
      </c>
      <c r="BN360" s="37" t="str">
        <f t="array" ref="BN360">IF($A360="","", INDEX(CS!$B$1:$B$15025,MATCH($A360,CS!$B:$B,0)+COLUMN(H$1),1))</f>
        <v/>
      </c>
      <c r="BO360" s="37" t="str">
        <f t="array" ref="BO360">IF($A360="","", INDEX(CS!$B$1:$B$15025,MATCH($A360,CS!$B:$B,0)+COLUMN(I$1),1))</f>
        <v/>
      </c>
      <c r="BP360" s="37" t="str">
        <f t="array" ref="BP360">IF($A360="","", INDEX(CS!$B$1:$B$15025,MATCH($A360,CS!$B:$B,0)+COLUMN(J$1),1))</f>
        <v/>
      </c>
      <c r="BS360" s="74"/>
    </row>
    <row r="361" ht="18.75" customHeight="1">
      <c r="B361" s="71"/>
      <c r="C361" s="37" t="s">
        <v>2891</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INDEX(CS!$B$1:$B$15025,MATCH($A361,CS!$B:$B,0)+COLUMN(A$1),1))</f>
        <v/>
      </c>
      <c r="BH361" s="37" t="str">
        <f t="array" ref="BH361">IF($A361="","", INDEX(CS!$B$1:$B$15025,MATCH($A361,CS!$B:$B,0)+COLUMN(B$1),1))</f>
        <v/>
      </c>
      <c r="BI361" s="37" t="str">
        <f t="array" ref="BI361">IF($A361="","", INDEX(CS!$B$1:$B$15025,MATCH($A361,CS!$B:$B,0)+COLUMN(C$1),1))</f>
        <v/>
      </c>
      <c r="BJ361" s="37" t="str">
        <f t="array" ref="BJ361">IF($A361="","", INDEX(CS!$B$1:$B$15025,MATCH($A361,CS!$B:$B,0)+COLUMN(D$1),1))</f>
        <v/>
      </c>
      <c r="BK361" s="37" t="str">
        <f t="array" ref="BK361">IF($A361="","", INDEX(CS!$B$1:$B$15025,MATCH($A361,CS!$B:$B,0)+COLUMN(E$1),1))</f>
        <v/>
      </c>
      <c r="BL361" s="37" t="str">
        <f t="array" ref="BL361">IF($A361="","", INDEX(CS!$B$1:$B$15025,MATCH($A361,CS!$B:$B,0)+COLUMN(F$1),1))</f>
        <v/>
      </c>
      <c r="BM361" s="37" t="str">
        <f t="array" ref="BM361">IF($A361="","", INDEX(CS!$B$1:$B$15025,MATCH($A361,CS!$B:$B,0)+COLUMN(G$1),1))</f>
        <v/>
      </c>
      <c r="BN361" s="37" t="str">
        <f t="array" ref="BN361">IF($A361="","", INDEX(CS!$B$1:$B$15025,MATCH($A361,CS!$B:$B,0)+COLUMN(H$1),1))</f>
        <v/>
      </c>
      <c r="BO361" s="37" t="str">
        <f t="array" ref="BO361">IF($A361="","", INDEX(CS!$B$1:$B$15025,MATCH($A361,CS!$B:$B,0)+COLUMN(I$1),1))</f>
        <v/>
      </c>
      <c r="BP361" s="37" t="str">
        <f t="array" ref="BP361">IF($A361="","", INDEX(CS!$B$1:$B$15025,MATCH($A361,CS!$B:$B,0)+COLUMN(J$1),1))</f>
        <v/>
      </c>
      <c r="BS361" s="74"/>
    </row>
    <row r="362" ht="18.75" customHeight="1">
      <c r="B362" s="71"/>
      <c r="C362" s="37" t="s">
        <v>2891</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INDEX(CS!$B$1:$B$15025,MATCH($A362,CS!$B:$B,0)+COLUMN(A$1),1))</f>
        <v/>
      </c>
      <c r="BH362" s="37" t="str">
        <f t="array" ref="BH362">IF($A362="","", INDEX(CS!$B$1:$B$15025,MATCH($A362,CS!$B:$B,0)+COLUMN(B$1),1))</f>
        <v/>
      </c>
      <c r="BI362" s="37" t="str">
        <f t="array" ref="BI362">IF($A362="","", INDEX(CS!$B$1:$B$15025,MATCH($A362,CS!$B:$B,0)+COLUMN(C$1),1))</f>
        <v/>
      </c>
      <c r="BJ362" s="37" t="str">
        <f t="array" ref="BJ362">IF($A362="","", INDEX(CS!$B$1:$B$15025,MATCH($A362,CS!$B:$B,0)+COLUMN(D$1),1))</f>
        <v/>
      </c>
      <c r="BK362" s="37" t="str">
        <f t="array" ref="BK362">IF($A362="","", INDEX(CS!$B$1:$B$15025,MATCH($A362,CS!$B:$B,0)+COLUMN(E$1),1))</f>
        <v/>
      </c>
      <c r="BL362" s="37" t="str">
        <f t="array" ref="BL362">IF($A362="","", INDEX(CS!$B$1:$B$15025,MATCH($A362,CS!$B:$B,0)+COLUMN(F$1),1))</f>
        <v/>
      </c>
      <c r="BM362" s="37" t="str">
        <f t="array" ref="BM362">IF($A362="","", INDEX(CS!$B$1:$B$15025,MATCH($A362,CS!$B:$B,0)+COLUMN(G$1),1))</f>
        <v/>
      </c>
      <c r="BN362" s="37" t="str">
        <f t="array" ref="BN362">IF($A362="","", INDEX(CS!$B$1:$B$15025,MATCH($A362,CS!$B:$B,0)+COLUMN(H$1),1))</f>
        <v/>
      </c>
      <c r="BO362" s="37" t="str">
        <f t="array" ref="BO362">IF($A362="","", INDEX(CS!$B$1:$B$15025,MATCH($A362,CS!$B:$B,0)+COLUMN(I$1),1))</f>
        <v/>
      </c>
      <c r="BP362" s="37" t="str">
        <f t="array" ref="BP362">IF($A362="","", INDEX(CS!$B$1:$B$15025,MATCH($A362,CS!$B:$B,0)+COLUMN(J$1),1))</f>
        <v/>
      </c>
      <c r="BS362" s="74"/>
    </row>
    <row r="363" ht="18.75" customHeight="1">
      <c r="B363" s="71"/>
      <c r="C363" s="37" t="s">
        <v>2891</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INDEX(CS!$B$1:$B$15025,MATCH($A363,CS!$B:$B,0)+COLUMN(A$1),1))</f>
        <v/>
      </c>
      <c r="BH363" s="37" t="str">
        <f t="array" ref="BH363">IF($A363="","", INDEX(CS!$B$1:$B$15025,MATCH($A363,CS!$B:$B,0)+COLUMN(B$1),1))</f>
        <v/>
      </c>
      <c r="BI363" s="37" t="str">
        <f t="array" ref="BI363">IF($A363="","", INDEX(CS!$B$1:$B$15025,MATCH($A363,CS!$B:$B,0)+COLUMN(C$1),1))</f>
        <v/>
      </c>
      <c r="BJ363" s="37" t="str">
        <f t="array" ref="BJ363">IF($A363="","", INDEX(CS!$B$1:$B$15025,MATCH($A363,CS!$B:$B,0)+COLUMN(D$1),1))</f>
        <v/>
      </c>
      <c r="BK363" s="37" t="str">
        <f t="array" ref="BK363">IF($A363="","", INDEX(CS!$B$1:$B$15025,MATCH($A363,CS!$B:$B,0)+COLUMN(E$1),1))</f>
        <v/>
      </c>
      <c r="BL363" s="37" t="str">
        <f t="array" ref="BL363">IF($A363="","", INDEX(CS!$B$1:$B$15025,MATCH($A363,CS!$B:$B,0)+COLUMN(F$1),1))</f>
        <v/>
      </c>
      <c r="BM363" s="37" t="str">
        <f t="array" ref="BM363">IF($A363="","", INDEX(CS!$B$1:$B$15025,MATCH($A363,CS!$B:$B,0)+COLUMN(G$1),1))</f>
        <v/>
      </c>
      <c r="BN363" s="37" t="str">
        <f t="array" ref="BN363">IF($A363="","", INDEX(CS!$B$1:$B$15025,MATCH($A363,CS!$B:$B,0)+COLUMN(H$1),1))</f>
        <v/>
      </c>
      <c r="BO363" s="37" t="str">
        <f t="array" ref="BO363">IF($A363="","", INDEX(CS!$B$1:$B$15025,MATCH($A363,CS!$B:$B,0)+COLUMN(I$1),1))</f>
        <v/>
      </c>
      <c r="BP363" s="37" t="str">
        <f t="array" ref="BP363">IF($A363="","", INDEX(CS!$B$1:$B$15025,MATCH($A363,CS!$B:$B,0)+COLUMN(J$1),1))</f>
        <v/>
      </c>
      <c r="BS363" s="74"/>
    </row>
    <row r="364" ht="18.75" customHeight="1">
      <c r="B364" s="71"/>
      <c r="C364" s="37" t="s">
        <v>2891</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INDEX(CS!$B$1:$B$15025,MATCH($A364,CS!$B:$B,0)+COLUMN(A$1),1))</f>
        <v/>
      </c>
      <c r="BH364" s="37" t="str">
        <f t="array" ref="BH364">IF($A364="","", INDEX(CS!$B$1:$B$15025,MATCH($A364,CS!$B:$B,0)+COLUMN(B$1),1))</f>
        <v/>
      </c>
      <c r="BI364" s="37" t="str">
        <f t="array" ref="BI364">IF($A364="","", INDEX(CS!$B$1:$B$15025,MATCH($A364,CS!$B:$B,0)+COLUMN(C$1),1))</f>
        <v/>
      </c>
      <c r="BJ364" s="37" t="str">
        <f t="array" ref="BJ364">IF($A364="","", INDEX(CS!$B$1:$B$15025,MATCH($A364,CS!$B:$B,0)+COLUMN(D$1),1))</f>
        <v/>
      </c>
      <c r="BK364" s="37" t="str">
        <f t="array" ref="BK364">IF($A364="","", INDEX(CS!$B$1:$B$15025,MATCH($A364,CS!$B:$B,0)+COLUMN(E$1),1))</f>
        <v/>
      </c>
      <c r="BL364" s="37" t="str">
        <f t="array" ref="BL364">IF($A364="","", INDEX(CS!$B$1:$B$15025,MATCH($A364,CS!$B:$B,0)+COLUMN(F$1),1))</f>
        <v/>
      </c>
      <c r="BM364" s="37" t="str">
        <f t="array" ref="BM364">IF($A364="","", INDEX(CS!$B$1:$B$15025,MATCH($A364,CS!$B:$B,0)+COLUMN(G$1),1))</f>
        <v/>
      </c>
      <c r="BN364" s="37" t="str">
        <f t="array" ref="BN364">IF($A364="","", INDEX(CS!$B$1:$B$15025,MATCH($A364,CS!$B:$B,0)+COLUMN(H$1),1))</f>
        <v/>
      </c>
      <c r="BO364" s="37" t="str">
        <f t="array" ref="BO364">IF($A364="","", INDEX(CS!$B$1:$B$15025,MATCH($A364,CS!$B:$B,0)+COLUMN(I$1),1))</f>
        <v/>
      </c>
      <c r="BP364" s="37" t="str">
        <f t="array" ref="BP364">IF($A364="","", INDEX(CS!$B$1:$B$15025,MATCH($A364,CS!$B:$B,0)+COLUMN(J$1),1))</f>
        <v/>
      </c>
      <c r="BS364" s="74"/>
    </row>
    <row r="365" ht="18.75" customHeight="1">
      <c r="B365" s="71"/>
      <c r="C365" s="37" t="s">
        <v>2891</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INDEX(CS!$B$1:$B$15025,MATCH($A365,CS!$B:$B,0)+COLUMN(A$1),1))</f>
        <v/>
      </c>
      <c r="BH365" s="37" t="str">
        <f t="array" ref="BH365">IF($A365="","", INDEX(CS!$B$1:$B$15025,MATCH($A365,CS!$B:$B,0)+COLUMN(B$1),1))</f>
        <v/>
      </c>
      <c r="BI365" s="37" t="str">
        <f t="array" ref="BI365">IF($A365="","", INDEX(CS!$B$1:$B$15025,MATCH($A365,CS!$B:$B,0)+COLUMN(C$1),1))</f>
        <v/>
      </c>
      <c r="BJ365" s="37" t="str">
        <f t="array" ref="BJ365">IF($A365="","", INDEX(CS!$B$1:$B$15025,MATCH($A365,CS!$B:$B,0)+COLUMN(D$1),1))</f>
        <v/>
      </c>
      <c r="BK365" s="37" t="str">
        <f t="array" ref="BK365">IF($A365="","", INDEX(CS!$B$1:$B$15025,MATCH($A365,CS!$B:$B,0)+COLUMN(E$1),1))</f>
        <v/>
      </c>
      <c r="BL365" s="37" t="str">
        <f t="array" ref="BL365">IF($A365="","", INDEX(CS!$B$1:$B$15025,MATCH($A365,CS!$B:$B,0)+COLUMN(F$1),1))</f>
        <v/>
      </c>
      <c r="BM365" s="37" t="str">
        <f t="array" ref="BM365">IF($A365="","", INDEX(CS!$B$1:$B$15025,MATCH($A365,CS!$B:$B,0)+COLUMN(G$1),1))</f>
        <v/>
      </c>
      <c r="BN365" s="37" t="str">
        <f t="array" ref="BN365">IF($A365="","", INDEX(CS!$B$1:$B$15025,MATCH($A365,CS!$B:$B,0)+COLUMN(H$1),1))</f>
        <v/>
      </c>
      <c r="BO365" s="37" t="str">
        <f t="array" ref="BO365">IF($A365="","", INDEX(CS!$B$1:$B$15025,MATCH($A365,CS!$B:$B,0)+COLUMN(I$1),1))</f>
        <v/>
      </c>
      <c r="BP365" s="37" t="str">
        <f t="array" ref="BP365">IF($A365="","", INDEX(CS!$B$1:$B$15025,MATCH($A365,CS!$B:$B,0)+COLUMN(J$1),1))</f>
        <v/>
      </c>
      <c r="BS365" s="74"/>
    </row>
    <row r="366" ht="18.75" customHeight="1">
      <c r="B366" s="71"/>
      <c r="C366" s="37" t="s">
        <v>2891</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INDEX(CS!$B$1:$B$15025,MATCH($A366,CS!$B:$B,0)+COLUMN(A$1),1))</f>
        <v/>
      </c>
      <c r="BH366" s="37" t="str">
        <f t="array" ref="BH366">IF($A366="","", INDEX(CS!$B$1:$B$15025,MATCH($A366,CS!$B:$B,0)+COLUMN(B$1),1))</f>
        <v/>
      </c>
      <c r="BI366" s="37" t="str">
        <f t="array" ref="BI366">IF($A366="","", INDEX(CS!$B$1:$B$15025,MATCH($A366,CS!$B:$B,0)+COLUMN(C$1),1))</f>
        <v/>
      </c>
      <c r="BJ366" s="37" t="str">
        <f t="array" ref="BJ366">IF($A366="","", INDEX(CS!$B$1:$B$15025,MATCH($A366,CS!$B:$B,0)+COLUMN(D$1),1))</f>
        <v/>
      </c>
      <c r="BK366" s="37" t="str">
        <f t="array" ref="BK366">IF($A366="","", INDEX(CS!$B$1:$B$15025,MATCH($A366,CS!$B:$B,0)+COLUMN(E$1),1))</f>
        <v/>
      </c>
      <c r="BL366" s="37" t="str">
        <f t="array" ref="BL366">IF($A366="","", INDEX(CS!$B$1:$B$15025,MATCH($A366,CS!$B:$B,0)+COLUMN(F$1),1))</f>
        <v/>
      </c>
      <c r="BM366" s="37" t="str">
        <f t="array" ref="BM366">IF($A366="","", INDEX(CS!$B$1:$B$15025,MATCH($A366,CS!$B:$B,0)+COLUMN(G$1),1))</f>
        <v/>
      </c>
      <c r="BN366" s="37" t="str">
        <f t="array" ref="BN366">IF($A366="","", INDEX(CS!$B$1:$B$15025,MATCH($A366,CS!$B:$B,0)+COLUMN(H$1),1))</f>
        <v/>
      </c>
      <c r="BO366" s="37" t="str">
        <f t="array" ref="BO366">IF($A366="","", INDEX(CS!$B$1:$B$15025,MATCH($A366,CS!$B:$B,0)+COLUMN(I$1),1))</f>
        <v/>
      </c>
      <c r="BP366" s="37" t="str">
        <f t="array" ref="BP366">IF($A366="","", INDEX(CS!$B$1:$B$15025,MATCH($A366,CS!$B:$B,0)+COLUMN(J$1),1))</f>
        <v/>
      </c>
      <c r="BS366" s="74"/>
    </row>
    <row r="367" ht="18.75" customHeight="1">
      <c r="B367" s="71"/>
      <c r="C367" s="37" t="s">
        <v>2891</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INDEX(CS!$B$1:$B$15025,MATCH($A367,CS!$B:$B,0)+COLUMN(A$1),1))</f>
        <v/>
      </c>
      <c r="BH367" s="37" t="str">
        <f t="array" ref="BH367">IF($A367="","", INDEX(CS!$B$1:$B$15025,MATCH($A367,CS!$B:$B,0)+COLUMN(B$1),1))</f>
        <v/>
      </c>
      <c r="BI367" s="37" t="str">
        <f t="array" ref="BI367">IF($A367="","", INDEX(CS!$B$1:$B$15025,MATCH($A367,CS!$B:$B,0)+COLUMN(C$1),1))</f>
        <v/>
      </c>
      <c r="BJ367" s="37" t="str">
        <f t="array" ref="BJ367">IF($A367="","", INDEX(CS!$B$1:$B$15025,MATCH($A367,CS!$B:$B,0)+COLUMN(D$1),1))</f>
        <v/>
      </c>
      <c r="BK367" s="37" t="str">
        <f t="array" ref="BK367">IF($A367="","", INDEX(CS!$B$1:$B$15025,MATCH($A367,CS!$B:$B,0)+COLUMN(E$1),1))</f>
        <v/>
      </c>
      <c r="BL367" s="37" t="str">
        <f t="array" ref="BL367">IF($A367="","", INDEX(CS!$B$1:$B$15025,MATCH($A367,CS!$B:$B,0)+COLUMN(F$1),1))</f>
        <v/>
      </c>
      <c r="BM367" s="37" t="str">
        <f t="array" ref="BM367">IF($A367="","", INDEX(CS!$B$1:$B$15025,MATCH($A367,CS!$B:$B,0)+COLUMN(G$1),1))</f>
        <v/>
      </c>
      <c r="BN367" s="37" t="str">
        <f t="array" ref="BN367">IF($A367="","", INDEX(CS!$B$1:$B$15025,MATCH($A367,CS!$B:$B,0)+COLUMN(H$1),1))</f>
        <v/>
      </c>
      <c r="BO367" s="37" t="str">
        <f t="array" ref="BO367">IF($A367="","", INDEX(CS!$B$1:$B$15025,MATCH($A367,CS!$B:$B,0)+COLUMN(I$1),1))</f>
        <v/>
      </c>
      <c r="BP367" s="37" t="str">
        <f t="array" ref="BP367">IF($A367="","", INDEX(CS!$B$1:$B$15025,MATCH($A367,CS!$B:$B,0)+COLUMN(J$1),1))</f>
        <v/>
      </c>
      <c r="BS367" s="74"/>
    </row>
    <row r="368" ht="18.75" customHeight="1">
      <c r="B368" s="71"/>
      <c r="C368" s="37" t="s">
        <v>2891</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INDEX(CS!$B$1:$B$15025,MATCH($A368,CS!$B:$B,0)+COLUMN(A$1),1))</f>
        <v/>
      </c>
      <c r="BH368" s="37" t="str">
        <f t="array" ref="BH368">IF($A368="","", INDEX(CS!$B$1:$B$15025,MATCH($A368,CS!$B:$B,0)+COLUMN(B$1),1))</f>
        <v/>
      </c>
      <c r="BI368" s="37" t="str">
        <f t="array" ref="BI368">IF($A368="","", INDEX(CS!$B$1:$B$15025,MATCH($A368,CS!$B:$B,0)+COLUMN(C$1),1))</f>
        <v/>
      </c>
      <c r="BJ368" s="37" t="str">
        <f t="array" ref="BJ368">IF($A368="","", INDEX(CS!$B$1:$B$15025,MATCH($A368,CS!$B:$B,0)+COLUMN(D$1),1))</f>
        <v/>
      </c>
      <c r="BK368" s="37" t="str">
        <f t="array" ref="BK368">IF($A368="","", INDEX(CS!$B$1:$B$15025,MATCH($A368,CS!$B:$B,0)+COLUMN(E$1),1))</f>
        <v/>
      </c>
      <c r="BL368" s="37" t="str">
        <f t="array" ref="BL368">IF($A368="","", INDEX(CS!$B$1:$B$15025,MATCH($A368,CS!$B:$B,0)+COLUMN(F$1),1))</f>
        <v/>
      </c>
      <c r="BM368" s="37" t="str">
        <f t="array" ref="BM368">IF($A368="","", INDEX(CS!$B$1:$B$15025,MATCH($A368,CS!$B:$B,0)+COLUMN(G$1),1))</f>
        <v/>
      </c>
      <c r="BN368" s="37" t="str">
        <f t="array" ref="BN368">IF($A368="","", INDEX(CS!$B$1:$B$15025,MATCH($A368,CS!$B:$B,0)+COLUMN(H$1),1))</f>
        <v/>
      </c>
      <c r="BO368" s="37" t="str">
        <f t="array" ref="BO368">IF($A368="","", INDEX(CS!$B$1:$B$15025,MATCH($A368,CS!$B:$B,0)+COLUMN(I$1),1))</f>
        <v/>
      </c>
      <c r="BP368" s="37" t="str">
        <f t="array" ref="BP368">IF($A368="","", INDEX(CS!$B$1:$B$15025,MATCH($A368,CS!$B:$B,0)+COLUMN(J$1),1))</f>
        <v/>
      </c>
      <c r="BS368" s="74"/>
    </row>
    <row r="369" ht="18.75" customHeight="1">
      <c r="B369" s="71"/>
      <c r="C369" s="37" t="s">
        <v>2891</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INDEX(CS!$B$1:$B$15025,MATCH($A369,CS!$B:$B,0)+COLUMN(A$1),1))</f>
        <v/>
      </c>
      <c r="BH369" s="37" t="str">
        <f t="array" ref="BH369">IF($A369="","", INDEX(CS!$B$1:$B$15025,MATCH($A369,CS!$B:$B,0)+COLUMN(B$1),1))</f>
        <v/>
      </c>
      <c r="BI369" s="37" t="str">
        <f t="array" ref="BI369">IF($A369="","", INDEX(CS!$B$1:$B$15025,MATCH($A369,CS!$B:$B,0)+COLUMN(C$1),1))</f>
        <v/>
      </c>
      <c r="BJ369" s="37" t="str">
        <f t="array" ref="BJ369">IF($A369="","", INDEX(CS!$B$1:$B$15025,MATCH($A369,CS!$B:$B,0)+COLUMN(D$1),1))</f>
        <v/>
      </c>
      <c r="BK369" s="37" t="str">
        <f t="array" ref="BK369">IF($A369="","", INDEX(CS!$B$1:$B$15025,MATCH($A369,CS!$B:$B,0)+COLUMN(E$1),1))</f>
        <v/>
      </c>
      <c r="BL369" s="37" t="str">
        <f t="array" ref="BL369">IF($A369="","", INDEX(CS!$B$1:$B$15025,MATCH($A369,CS!$B:$B,0)+COLUMN(F$1),1))</f>
        <v/>
      </c>
      <c r="BM369" s="37" t="str">
        <f t="array" ref="BM369">IF($A369="","", INDEX(CS!$B$1:$B$15025,MATCH($A369,CS!$B:$B,0)+COLUMN(G$1),1))</f>
        <v/>
      </c>
      <c r="BN369" s="37" t="str">
        <f t="array" ref="BN369">IF($A369="","", INDEX(CS!$B$1:$B$15025,MATCH($A369,CS!$B:$B,0)+COLUMN(H$1),1))</f>
        <v/>
      </c>
      <c r="BO369" s="37" t="str">
        <f t="array" ref="BO369">IF($A369="","", INDEX(CS!$B$1:$B$15025,MATCH($A369,CS!$B:$B,0)+COLUMN(I$1),1))</f>
        <v/>
      </c>
      <c r="BP369" s="37" t="str">
        <f t="array" ref="BP369">IF($A369="","", INDEX(CS!$B$1:$B$15025,MATCH($A369,CS!$B:$B,0)+COLUMN(J$1),1))</f>
        <v/>
      </c>
      <c r="BS369" s="74"/>
    </row>
    <row r="370" ht="18.75" customHeight="1">
      <c r="B370" s="71"/>
      <c r="C370" s="37" t="s">
        <v>2891</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INDEX(CS!$B$1:$B$15025,MATCH($A370,CS!$B:$B,0)+COLUMN(A$1),1))</f>
        <v/>
      </c>
      <c r="BH370" s="37" t="str">
        <f t="array" ref="BH370">IF($A370="","", INDEX(CS!$B$1:$B$15025,MATCH($A370,CS!$B:$B,0)+COLUMN(B$1),1))</f>
        <v/>
      </c>
      <c r="BI370" s="37" t="str">
        <f t="array" ref="BI370">IF($A370="","", INDEX(CS!$B$1:$B$15025,MATCH($A370,CS!$B:$B,0)+COLUMN(C$1),1))</f>
        <v/>
      </c>
      <c r="BJ370" s="37" t="str">
        <f t="array" ref="BJ370">IF($A370="","", INDEX(CS!$B$1:$B$15025,MATCH($A370,CS!$B:$B,0)+COLUMN(D$1),1))</f>
        <v/>
      </c>
      <c r="BK370" s="37" t="str">
        <f t="array" ref="BK370">IF($A370="","", INDEX(CS!$B$1:$B$15025,MATCH($A370,CS!$B:$B,0)+COLUMN(E$1),1))</f>
        <v/>
      </c>
      <c r="BL370" s="37" t="str">
        <f t="array" ref="BL370">IF($A370="","", INDEX(CS!$B$1:$B$15025,MATCH($A370,CS!$B:$B,0)+COLUMN(F$1),1))</f>
        <v/>
      </c>
      <c r="BM370" s="37" t="str">
        <f t="array" ref="BM370">IF($A370="","", INDEX(CS!$B$1:$B$15025,MATCH($A370,CS!$B:$B,0)+COLUMN(G$1),1))</f>
        <v/>
      </c>
      <c r="BN370" s="37" t="str">
        <f t="array" ref="BN370">IF($A370="","", INDEX(CS!$B$1:$B$15025,MATCH($A370,CS!$B:$B,0)+COLUMN(H$1),1))</f>
        <v/>
      </c>
      <c r="BO370" s="37" t="str">
        <f t="array" ref="BO370">IF($A370="","", INDEX(CS!$B$1:$B$15025,MATCH($A370,CS!$B:$B,0)+COLUMN(I$1),1))</f>
        <v/>
      </c>
      <c r="BP370" s="37" t="str">
        <f t="array" ref="BP370">IF($A370="","", INDEX(CS!$B$1:$B$15025,MATCH($A370,CS!$B:$B,0)+COLUMN(J$1),1))</f>
        <v/>
      </c>
      <c r="BS370" s="74"/>
    </row>
    <row r="371" ht="18.75" customHeight="1">
      <c r="B371" s="71"/>
      <c r="C371" s="37" t="s">
        <v>2891</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INDEX(CS!$B$1:$B$15025,MATCH($A371,CS!$B:$B,0)+COLUMN(A$1),1))</f>
        <v/>
      </c>
      <c r="BH371" s="37" t="str">
        <f t="array" ref="BH371">IF($A371="","", INDEX(CS!$B$1:$B$15025,MATCH($A371,CS!$B:$B,0)+COLUMN(B$1),1))</f>
        <v/>
      </c>
      <c r="BI371" s="37" t="str">
        <f t="array" ref="BI371">IF($A371="","", INDEX(CS!$B$1:$B$15025,MATCH($A371,CS!$B:$B,0)+COLUMN(C$1),1))</f>
        <v/>
      </c>
      <c r="BJ371" s="37" t="str">
        <f t="array" ref="BJ371">IF($A371="","", INDEX(CS!$B$1:$B$15025,MATCH($A371,CS!$B:$B,0)+COLUMN(D$1),1))</f>
        <v/>
      </c>
      <c r="BK371" s="37" t="str">
        <f t="array" ref="BK371">IF($A371="","", INDEX(CS!$B$1:$B$15025,MATCH($A371,CS!$B:$B,0)+COLUMN(E$1),1))</f>
        <v/>
      </c>
      <c r="BL371" s="37" t="str">
        <f t="array" ref="BL371">IF($A371="","", INDEX(CS!$B$1:$B$15025,MATCH($A371,CS!$B:$B,0)+COLUMN(F$1),1))</f>
        <v/>
      </c>
      <c r="BM371" s="37" t="str">
        <f t="array" ref="BM371">IF($A371="","", INDEX(CS!$B$1:$B$15025,MATCH($A371,CS!$B:$B,0)+COLUMN(G$1),1))</f>
        <v/>
      </c>
      <c r="BN371" s="37" t="str">
        <f t="array" ref="BN371">IF($A371="","", INDEX(CS!$B$1:$B$15025,MATCH($A371,CS!$B:$B,0)+COLUMN(H$1),1))</f>
        <v/>
      </c>
      <c r="BO371" s="37" t="str">
        <f t="array" ref="BO371">IF($A371="","", INDEX(CS!$B$1:$B$15025,MATCH($A371,CS!$B:$B,0)+COLUMN(I$1),1))</f>
        <v/>
      </c>
      <c r="BP371" s="37" t="str">
        <f t="array" ref="BP371">IF($A371="","", INDEX(CS!$B$1:$B$15025,MATCH($A371,CS!$B:$B,0)+COLUMN(J$1),1))</f>
        <v/>
      </c>
      <c r="BS371" s="74"/>
    </row>
    <row r="372" ht="18.75" customHeight="1">
      <c r="B372" s="71"/>
      <c r="C372" s="37" t="s">
        <v>2891</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INDEX(CS!$B$1:$B$15025,MATCH($A372,CS!$B:$B,0)+COLUMN(A$1),1))</f>
        <v/>
      </c>
      <c r="BH372" s="37" t="str">
        <f t="array" ref="BH372">IF($A372="","", INDEX(CS!$B$1:$B$15025,MATCH($A372,CS!$B:$B,0)+COLUMN(B$1),1))</f>
        <v/>
      </c>
      <c r="BI372" s="37" t="str">
        <f t="array" ref="BI372">IF($A372="","", INDEX(CS!$B$1:$B$15025,MATCH($A372,CS!$B:$B,0)+COLUMN(C$1),1))</f>
        <v/>
      </c>
      <c r="BJ372" s="37" t="str">
        <f t="array" ref="BJ372">IF($A372="","", INDEX(CS!$B$1:$B$15025,MATCH($A372,CS!$B:$B,0)+COLUMN(D$1),1))</f>
        <v/>
      </c>
      <c r="BK372" s="37" t="str">
        <f t="array" ref="BK372">IF($A372="","", INDEX(CS!$B$1:$B$15025,MATCH($A372,CS!$B:$B,0)+COLUMN(E$1),1))</f>
        <v/>
      </c>
      <c r="BL372" s="37" t="str">
        <f t="array" ref="BL372">IF($A372="","", INDEX(CS!$B$1:$B$15025,MATCH($A372,CS!$B:$B,0)+COLUMN(F$1),1))</f>
        <v/>
      </c>
      <c r="BM372" s="37" t="str">
        <f t="array" ref="BM372">IF($A372="","", INDEX(CS!$B$1:$B$15025,MATCH($A372,CS!$B:$B,0)+COLUMN(G$1),1))</f>
        <v/>
      </c>
      <c r="BN372" s="37" t="str">
        <f t="array" ref="BN372">IF($A372="","", INDEX(CS!$B$1:$B$15025,MATCH($A372,CS!$B:$B,0)+COLUMN(H$1),1))</f>
        <v/>
      </c>
      <c r="BO372" s="37" t="str">
        <f t="array" ref="BO372">IF($A372="","", INDEX(CS!$B$1:$B$15025,MATCH($A372,CS!$B:$B,0)+COLUMN(I$1),1))</f>
        <v/>
      </c>
      <c r="BP372" s="37" t="str">
        <f t="array" ref="BP372">IF($A372="","", INDEX(CS!$B$1:$B$15025,MATCH($A372,CS!$B:$B,0)+COLUMN(J$1),1))</f>
        <v/>
      </c>
      <c r="BS372" s="74"/>
    </row>
    <row r="373" ht="18.75" customHeight="1">
      <c r="B373" s="71"/>
      <c r="C373" s="37" t="s">
        <v>2891</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INDEX(CS!$B$1:$B$15025,MATCH($A373,CS!$B:$B,0)+COLUMN(A$1),1))</f>
        <v/>
      </c>
      <c r="BH373" s="37" t="str">
        <f t="array" ref="BH373">IF($A373="","", INDEX(CS!$B$1:$B$15025,MATCH($A373,CS!$B:$B,0)+COLUMN(B$1),1))</f>
        <v/>
      </c>
      <c r="BI373" s="37" t="str">
        <f t="array" ref="BI373">IF($A373="","", INDEX(CS!$B$1:$B$15025,MATCH($A373,CS!$B:$B,0)+COLUMN(C$1),1))</f>
        <v/>
      </c>
      <c r="BJ373" s="37" t="str">
        <f t="array" ref="BJ373">IF($A373="","", INDEX(CS!$B$1:$B$15025,MATCH($A373,CS!$B:$B,0)+COLUMN(D$1),1))</f>
        <v/>
      </c>
      <c r="BK373" s="37" t="str">
        <f t="array" ref="BK373">IF($A373="","", INDEX(CS!$B$1:$B$15025,MATCH($A373,CS!$B:$B,0)+COLUMN(E$1),1))</f>
        <v/>
      </c>
      <c r="BL373" s="37" t="str">
        <f t="array" ref="BL373">IF($A373="","", INDEX(CS!$B$1:$B$15025,MATCH($A373,CS!$B:$B,0)+COLUMN(F$1),1))</f>
        <v/>
      </c>
      <c r="BM373" s="37" t="str">
        <f t="array" ref="BM373">IF($A373="","", INDEX(CS!$B$1:$B$15025,MATCH($A373,CS!$B:$B,0)+COLUMN(G$1),1))</f>
        <v/>
      </c>
      <c r="BN373" s="37" t="str">
        <f t="array" ref="BN373">IF($A373="","", INDEX(CS!$B$1:$B$15025,MATCH($A373,CS!$B:$B,0)+COLUMN(H$1),1))</f>
        <v/>
      </c>
      <c r="BO373" s="37" t="str">
        <f t="array" ref="BO373">IF($A373="","", INDEX(CS!$B$1:$B$15025,MATCH($A373,CS!$B:$B,0)+COLUMN(I$1),1))</f>
        <v/>
      </c>
      <c r="BP373" s="37" t="str">
        <f t="array" ref="BP373">IF($A373="","", INDEX(CS!$B$1:$B$15025,MATCH($A373,CS!$B:$B,0)+COLUMN(J$1),1))</f>
        <v/>
      </c>
      <c r="BS373" s="74"/>
    </row>
    <row r="374" ht="18.75" customHeight="1">
      <c r="B374" s="71"/>
      <c r="C374" s="37" t="s">
        <v>2891</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INDEX(CS!$B$1:$B$15025,MATCH($A374,CS!$B:$B,0)+COLUMN(A$1),1))</f>
        <v/>
      </c>
      <c r="BH374" s="37" t="str">
        <f t="array" ref="BH374">IF($A374="","", INDEX(CS!$B$1:$B$15025,MATCH($A374,CS!$B:$B,0)+COLUMN(B$1),1))</f>
        <v/>
      </c>
      <c r="BI374" s="37" t="str">
        <f t="array" ref="BI374">IF($A374="","", INDEX(CS!$B$1:$B$15025,MATCH($A374,CS!$B:$B,0)+COLUMN(C$1),1))</f>
        <v/>
      </c>
      <c r="BJ374" s="37" t="str">
        <f t="array" ref="BJ374">IF($A374="","", INDEX(CS!$B$1:$B$15025,MATCH($A374,CS!$B:$B,0)+COLUMN(D$1),1))</f>
        <v/>
      </c>
      <c r="BK374" s="37" t="str">
        <f t="array" ref="BK374">IF($A374="","", INDEX(CS!$B$1:$B$15025,MATCH($A374,CS!$B:$B,0)+COLUMN(E$1),1))</f>
        <v/>
      </c>
      <c r="BL374" s="37" t="str">
        <f t="array" ref="BL374">IF($A374="","", INDEX(CS!$B$1:$B$15025,MATCH($A374,CS!$B:$B,0)+COLUMN(F$1),1))</f>
        <v/>
      </c>
      <c r="BM374" s="37" t="str">
        <f t="array" ref="BM374">IF($A374="","", INDEX(CS!$B$1:$B$15025,MATCH($A374,CS!$B:$B,0)+COLUMN(G$1),1))</f>
        <v/>
      </c>
      <c r="BN374" s="37" t="str">
        <f t="array" ref="BN374">IF($A374="","", INDEX(CS!$B$1:$B$15025,MATCH($A374,CS!$B:$B,0)+COLUMN(H$1),1))</f>
        <v/>
      </c>
      <c r="BO374" s="37" t="str">
        <f t="array" ref="BO374">IF($A374="","", INDEX(CS!$B$1:$B$15025,MATCH($A374,CS!$B:$B,0)+COLUMN(I$1),1))</f>
        <v/>
      </c>
      <c r="BP374" s="37" t="str">
        <f t="array" ref="BP374">IF($A374="","", INDEX(CS!$B$1:$B$15025,MATCH($A374,CS!$B:$B,0)+COLUMN(J$1),1))</f>
        <v/>
      </c>
      <c r="BS374" s="74"/>
    </row>
    <row r="375" ht="18.75" customHeight="1">
      <c r="B375" s="71"/>
      <c r="C375" s="37" t="s">
        <v>2891</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INDEX(CS!$B$1:$B$15025,MATCH($A375,CS!$B:$B,0)+COLUMN(A$1),1))</f>
        <v/>
      </c>
      <c r="BH375" s="37" t="str">
        <f t="array" ref="BH375">IF($A375="","", INDEX(CS!$B$1:$B$15025,MATCH($A375,CS!$B:$B,0)+COLUMN(B$1),1))</f>
        <v/>
      </c>
      <c r="BI375" s="37" t="str">
        <f t="array" ref="BI375">IF($A375="","", INDEX(CS!$B$1:$B$15025,MATCH($A375,CS!$B:$B,0)+COLUMN(C$1),1))</f>
        <v/>
      </c>
      <c r="BJ375" s="37" t="str">
        <f t="array" ref="BJ375">IF($A375="","", INDEX(CS!$B$1:$B$15025,MATCH($A375,CS!$B:$B,0)+COLUMN(D$1),1))</f>
        <v/>
      </c>
      <c r="BK375" s="37" t="str">
        <f t="array" ref="BK375">IF($A375="","", INDEX(CS!$B$1:$B$15025,MATCH($A375,CS!$B:$B,0)+COLUMN(E$1),1))</f>
        <v/>
      </c>
      <c r="BL375" s="37" t="str">
        <f t="array" ref="BL375">IF($A375="","", INDEX(CS!$B$1:$B$15025,MATCH($A375,CS!$B:$B,0)+COLUMN(F$1),1))</f>
        <v/>
      </c>
      <c r="BM375" s="37" t="str">
        <f t="array" ref="BM375">IF($A375="","", INDEX(CS!$B$1:$B$15025,MATCH($A375,CS!$B:$B,0)+COLUMN(G$1),1))</f>
        <v/>
      </c>
      <c r="BN375" s="37" t="str">
        <f t="array" ref="BN375">IF($A375="","", INDEX(CS!$B$1:$B$15025,MATCH($A375,CS!$B:$B,0)+COLUMN(H$1),1))</f>
        <v/>
      </c>
      <c r="BO375" s="37" t="str">
        <f t="array" ref="BO375">IF($A375="","", INDEX(CS!$B$1:$B$15025,MATCH($A375,CS!$B:$B,0)+COLUMN(I$1),1))</f>
        <v/>
      </c>
      <c r="BP375" s="37" t="str">
        <f t="array" ref="BP375">IF($A375="","", INDEX(CS!$B$1:$B$15025,MATCH($A375,CS!$B:$B,0)+COLUMN(J$1),1))</f>
        <v/>
      </c>
      <c r="BS375" s="74"/>
    </row>
    <row r="376" ht="18.75" customHeight="1">
      <c r="B376" s="71"/>
      <c r="C376" s="37" t="s">
        <v>2891</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INDEX(CS!$B$1:$B$15025,MATCH($A376,CS!$B:$B,0)+COLUMN(A$1),1))</f>
        <v/>
      </c>
      <c r="BH376" s="37" t="str">
        <f t="array" ref="BH376">IF($A376="","", INDEX(CS!$B$1:$B$15025,MATCH($A376,CS!$B:$B,0)+COLUMN(B$1),1))</f>
        <v/>
      </c>
      <c r="BI376" s="37" t="str">
        <f t="array" ref="BI376">IF($A376="","", INDEX(CS!$B$1:$B$15025,MATCH($A376,CS!$B:$B,0)+COLUMN(C$1),1))</f>
        <v/>
      </c>
      <c r="BJ376" s="37" t="str">
        <f t="array" ref="BJ376">IF($A376="","", INDEX(CS!$B$1:$B$15025,MATCH($A376,CS!$B:$B,0)+COLUMN(D$1),1))</f>
        <v/>
      </c>
      <c r="BK376" s="37" t="str">
        <f t="array" ref="BK376">IF($A376="","", INDEX(CS!$B$1:$B$15025,MATCH($A376,CS!$B:$B,0)+COLUMN(E$1),1))</f>
        <v/>
      </c>
      <c r="BL376" s="37" t="str">
        <f t="array" ref="BL376">IF($A376="","", INDEX(CS!$B$1:$B$15025,MATCH($A376,CS!$B:$B,0)+COLUMN(F$1),1))</f>
        <v/>
      </c>
      <c r="BM376" s="37" t="str">
        <f t="array" ref="BM376">IF($A376="","", INDEX(CS!$B$1:$B$15025,MATCH($A376,CS!$B:$B,0)+COLUMN(G$1),1))</f>
        <v/>
      </c>
      <c r="BN376" s="37" t="str">
        <f t="array" ref="BN376">IF($A376="","", INDEX(CS!$B$1:$B$15025,MATCH($A376,CS!$B:$B,0)+COLUMN(H$1),1))</f>
        <v/>
      </c>
      <c r="BO376" s="37" t="str">
        <f t="array" ref="BO376">IF($A376="","", INDEX(CS!$B$1:$B$15025,MATCH($A376,CS!$B:$B,0)+COLUMN(I$1),1))</f>
        <v/>
      </c>
      <c r="BP376" s="37" t="str">
        <f t="array" ref="BP376">IF($A376="","", INDEX(CS!$B$1:$B$15025,MATCH($A376,CS!$B:$B,0)+COLUMN(J$1),1))</f>
        <v/>
      </c>
      <c r="BS376" s="74"/>
    </row>
    <row r="377" ht="18.75" customHeight="1">
      <c r="B377" s="71"/>
      <c r="C377" s="37" t="s">
        <v>2891</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INDEX(CS!$B$1:$B$15025,MATCH($A377,CS!$B:$B,0)+COLUMN(A$1),1))</f>
        <v/>
      </c>
      <c r="BH377" s="37" t="str">
        <f t="array" ref="BH377">IF($A377="","", INDEX(CS!$B$1:$B$15025,MATCH($A377,CS!$B:$B,0)+COLUMN(B$1),1))</f>
        <v/>
      </c>
      <c r="BI377" s="37" t="str">
        <f t="array" ref="BI377">IF($A377="","", INDEX(CS!$B$1:$B$15025,MATCH($A377,CS!$B:$B,0)+COLUMN(C$1),1))</f>
        <v/>
      </c>
      <c r="BJ377" s="37" t="str">
        <f t="array" ref="BJ377">IF($A377="","", INDEX(CS!$B$1:$B$15025,MATCH($A377,CS!$B:$B,0)+COLUMN(D$1),1))</f>
        <v/>
      </c>
      <c r="BK377" s="37" t="str">
        <f t="array" ref="BK377">IF($A377="","", INDEX(CS!$B$1:$B$15025,MATCH($A377,CS!$B:$B,0)+COLUMN(E$1),1))</f>
        <v/>
      </c>
      <c r="BL377" s="37" t="str">
        <f t="array" ref="BL377">IF($A377="","", INDEX(CS!$B$1:$B$15025,MATCH($A377,CS!$B:$B,0)+COLUMN(F$1),1))</f>
        <v/>
      </c>
      <c r="BM377" s="37" t="str">
        <f t="array" ref="BM377">IF($A377="","", INDEX(CS!$B$1:$B$15025,MATCH($A377,CS!$B:$B,0)+COLUMN(G$1),1))</f>
        <v/>
      </c>
      <c r="BN377" s="37" t="str">
        <f t="array" ref="BN377">IF($A377="","", INDEX(CS!$B$1:$B$15025,MATCH($A377,CS!$B:$B,0)+COLUMN(H$1),1))</f>
        <v/>
      </c>
      <c r="BO377" s="37" t="str">
        <f t="array" ref="BO377">IF($A377="","", INDEX(CS!$B$1:$B$15025,MATCH($A377,CS!$B:$B,0)+COLUMN(I$1),1))</f>
        <v/>
      </c>
      <c r="BP377" s="37" t="str">
        <f t="array" ref="BP377">IF($A377="","", INDEX(CS!$B$1:$B$15025,MATCH($A377,CS!$B:$B,0)+COLUMN(J$1),1))</f>
        <v/>
      </c>
      <c r="BS377" s="74"/>
    </row>
    <row r="378" ht="18.75" customHeight="1">
      <c r="B378" s="71"/>
      <c r="C378" s="37" t="s">
        <v>2891</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INDEX(CS!$B$1:$B$15025,MATCH($A378,CS!$B:$B,0)+COLUMN(A$1),1))</f>
        <v/>
      </c>
      <c r="BH378" s="37" t="str">
        <f t="array" ref="BH378">IF($A378="","", INDEX(CS!$B$1:$B$15025,MATCH($A378,CS!$B:$B,0)+COLUMN(B$1),1))</f>
        <v/>
      </c>
      <c r="BI378" s="37" t="str">
        <f t="array" ref="BI378">IF($A378="","", INDEX(CS!$B$1:$B$15025,MATCH($A378,CS!$B:$B,0)+COLUMN(C$1),1))</f>
        <v/>
      </c>
      <c r="BJ378" s="37" t="str">
        <f t="array" ref="BJ378">IF($A378="","", INDEX(CS!$B$1:$B$15025,MATCH($A378,CS!$B:$B,0)+COLUMN(D$1),1))</f>
        <v/>
      </c>
      <c r="BK378" s="37" t="str">
        <f t="array" ref="BK378">IF($A378="","", INDEX(CS!$B$1:$B$15025,MATCH($A378,CS!$B:$B,0)+COLUMN(E$1),1))</f>
        <v/>
      </c>
      <c r="BL378" s="37" t="str">
        <f t="array" ref="BL378">IF($A378="","", INDEX(CS!$B$1:$B$15025,MATCH($A378,CS!$B:$B,0)+COLUMN(F$1),1))</f>
        <v/>
      </c>
      <c r="BM378" s="37" t="str">
        <f t="array" ref="BM378">IF($A378="","", INDEX(CS!$B$1:$B$15025,MATCH($A378,CS!$B:$B,0)+COLUMN(G$1),1))</f>
        <v/>
      </c>
      <c r="BN378" s="37" t="str">
        <f t="array" ref="BN378">IF($A378="","", INDEX(CS!$B$1:$B$15025,MATCH($A378,CS!$B:$B,0)+COLUMN(H$1),1))</f>
        <v/>
      </c>
      <c r="BO378" s="37" t="str">
        <f t="array" ref="BO378">IF($A378="","", INDEX(CS!$B$1:$B$15025,MATCH($A378,CS!$B:$B,0)+COLUMN(I$1),1))</f>
        <v/>
      </c>
      <c r="BP378" s="37" t="str">
        <f t="array" ref="BP378">IF($A378="","", INDEX(CS!$B$1:$B$15025,MATCH($A378,CS!$B:$B,0)+COLUMN(J$1),1))</f>
        <v/>
      </c>
      <c r="BS378" s="74"/>
    </row>
    <row r="379" ht="18.75" customHeight="1">
      <c r="B379" s="71"/>
      <c r="C379" s="37" t="s">
        <v>2891</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INDEX(CS!$B$1:$B$15025,MATCH($A379,CS!$B:$B,0)+COLUMN(A$1),1))</f>
        <v/>
      </c>
      <c r="BH379" s="37" t="str">
        <f t="array" ref="BH379">IF($A379="","", INDEX(CS!$B$1:$B$15025,MATCH($A379,CS!$B:$B,0)+COLUMN(B$1),1))</f>
        <v/>
      </c>
      <c r="BI379" s="37" t="str">
        <f t="array" ref="BI379">IF($A379="","", INDEX(CS!$B$1:$B$15025,MATCH($A379,CS!$B:$B,0)+COLUMN(C$1),1))</f>
        <v/>
      </c>
      <c r="BJ379" s="37" t="str">
        <f t="array" ref="BJ379">IF($A379="","", INDEX(CS!$B$1:$B$15025,MATCH($A379,CS!$B:$B,0)+COLUMN(D$1),1))</f>
        <v/>
      </c>
      <c r="BK379" s="37" t="str">
        <f t="array" ref="BK379">IF($A379="","", INDEX(CS!$B$1:$B$15025,MATCH($A379,CS!$B:$B,0)+COLUMN(E$1),1))</f>
        <v/>
      </c>
      <c r="BL379" s="37" t="str">
        <f t="array" ref="BL379">IF($A379="","", INDEX(CS!$B$1:$B$15025,MATCH($A379,CS!$B:$B,0)+COLUMN(F$1),1))</f>
        <v/>
      </c>
      <c r="BM379" s="37" t="str">
        <f t="array" ref="BM379">IF($A379="","", INDEX(CS!$B$1:$B$15025,MATCH($A379,CS!$B:$B,0)+COLUMN(G$1),1))</f>
        <v/>
      </c>
      <c r="BN379" s="37" t="str">
        <f t="array" ref="BN379">IF($A379="","", INDEX(CS!$B$1:$B$15025,MATCH($A379,CS!$B:$B,0)+COLUMN(H$1),1))</f>
        <v/>
      </c>
      <c r="BO379" s="37" t="str">
        <f t="array" ref="BO379">IF($A379="","", INDEX(CS!$B$1:$B$15025,MATCH($A379,CS!$B:$B,0)+COLUMN(I$1),1))</f>
        <v/>
      </c>
      <c r="BP379" s="37" t="str">
        <f t="array" ref="BP379">IF($A379="","", INDEX(CS!$B$1:$B$15025,MATCH($A379,CS!$B:$B,0)+COLUMN(J$1),1))</f>
        <v/>
      </c>
      <c r="BS379" s="74"/>
    </row>
    <row r="380" ht="18.75" customHeight="1">
      <c r="B380" s="71"/>
      <c r="C380" s="37" t="s">
        <v>2891</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INDEX(CS!$B$1:$B$15025,MATCH($A380,CS!$B:$B,0)+COLUMN(A$1),1))</f>
        <v/>
      </c>
      <c r="BH380" s="37" t="str">
        <f t="array" ref="BH380">IF($A380="","", INDEX(CS!$B$1:$B$15025,MATCH($A380,CS!$B:$B,0)+COLUMN(B$1),1))</f>
        <v/>
      </c>
      <c r="BI380" s="37" t="str">
        <f t="array" ref="BI380">IF($A380="","", INDEX(CS!$B$1:$B$15025,MATCH($A380,CS!$B:$B,0)+COLUMN(C$1),1))</f>
        <v/>
      </c>
      <c r="BJ380" s="37" t="str">
        <f t="array" ref="BJ380">IF($A380="","", INDEX(CS!$B$1:$B$15025,MATCH($A380,CS!$B:$B,0)+COLUMN(D$1),1))</f>
        <v/>
      </c>
      <c r="BK380" s="37" t="str">
        <f t="array" ref="BK380">IF($A380="","", INDEX(CS!$B$1:$B$15025,MATCH($A380,CS!$B:$B,0)+COLUMN(E$1),1))</f>
        <v/>
      </c>
      <c r="BL380" s="37" t="str">
        <f t="array" ref="BL380">IF($A380="","", INDEX(CS!$B$1:$B$15025,MATCH($A380,CS!$B:$B,0)+COLUMN(F$1),1))</f>
        <v/>
      </c>
      <c r="BM380" s="37" t="str">
        <f t="array" ref="BM380">IF($A380="","", INDEX(CS!$B$1:$B$15025,MATCH($A380,CS!$B:$B,0)+COLUMN(G$1),1))</f>
        <v/>
      </c>
      <c r="BN380" s="37" t="str">
        <f t="array" ref="BN380">IF($A380="","", INDEX(CS!$B$1:$B$15025,MATCH($A380,CS!$B:$B,0)+COLUMN(H$1),1))</f>
        <v/>
      </c>
      <c r="BO380" s="37" t="str">
        <f t="array" ref="BO380">IF($A380="","", INDEX(CS!$B$1:$B$15025,MATCH($A380,CS!$B:$B,0)+COLUMN(I$1),1))</f>
        <v/>
      </c>
      <c r="BP380" s="37" t="str">
        <f t="array" ref="BP380">IF($A380="","", INDEX(CS!$B$1:$B$15025,MATCH($A380,CS!$B:$B,0)+COLUMN(J$1),1))</f>
        <v/>
      </c>
      <c r="BS380" s="74"/>
    </row>
    <row r="381" ht="18.75" customHeight="1">
      <c r="B381" s="71"/>
      <c r="C381" s="37" t="s">
        <v>2891</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INDEX(CS!$B$1:$B$15025,MATCH($A381,CS!$B:$B,0)+COLUMN(A$1),1))</f>
        <v/>
      </c>
      <c r="BH381" s="37" t="str">
        <f t="array" ref="BH381">IF($A381="","", INDEX(CS!$B$1:$B$15025,MATCH($A381,CS!$B:$B,0)+COLUMN(B$1),1))</f>
        <v/>
      </c>
      <c r="BI381" s="37" t="str">
        <f t="array" ref="BI381">IF($A381="","", INDEX(CS!$B$1:$B$15025,MATCH($A381,CS!$B:$B,0)+COLUMN(C$1),1))</f>
        <v/>
      </c>
      <c r="BJ381" s="37" t="str">
        <f t="array" ref="BJ381">IF($A381="","", INDEX(CS!$B$1:$B$15025,MATCH($A381,CS!$B:$B,0)+COLUMN(D$1),1))</f>
        <v/>
      </c>
      <c r="BK381" s="37" t="str">
        <f t="array" ref="BK381">IF($A381="","", INDEX(CS!$B$1:$B$15025,MATCH($A381,CS!$B:$B,0)+COLUMN(E$1),1))</f>
        <v/>
      </c>
      <c r="BL381" s="37" t="str">
        <f t="array" ref="BL381">IF($A381="","", INDEX(CS!$B$1:$B$15025,MATCH($A381,CS!$B:$B,0)+COLUMN(F$1),1))</f>
        <v/>
      </c>
      <c r="BM381" s="37" t="str">
        <f t="array" ref="BM381">IF($A381="","", INDEX(CS!$B$1:$B$15025,MATCH($A381,CS!$B:$B,0)+COLUMN(G$1),1))</f>
        <v/>
      </c>
      <c r="BN381" s="37" t="str">
        <f t="array" ref="BN381">IF($A381="","", INDEX(CS!$B$1:$B$15025,MATCH($A381,CS!$B:$B,0)+COLUMN(H$1),1))</f>
        <v/>
      </c>
      <c r="BO381" s="37" t="str">
        <f t="array" ref="BO381">IF($A381="","", INDEX(CS!$B$1:$B$15025,MATCH($A381,CS!$B:$B,0)+COLUMN(I$1),1))</f>
        <v/>
      </c>
      <c r="BP381" s="37" t="str">
        <f t="array" ref="BP381">IF($A381="","", INDEX(CS!$B$1:$B$15025,MATCH($A381,CS!$B:$B,0)+COLUMN(J$1),1))</f>
        <v/>
      </c>
      <c r="BS381" s="74"/>
    </row>
    <row r="382" ht="18.75" customHeight="1">
      <c r="B382" s="71"/>
      <c r="C382" s="37" t="s">
        <v>2891</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INDEX(CS!$B$1:$B$15025,MATCH($A382,CS!$B:$B,0)+COLUMN(A$1),1))</f>
        <v/>
      </c>
      <c r="BH382" s="37" t="str">
        <f t="array" ref="BH382">IF($A382="","", INDEX(CS!$B$1:$B$15025,MATCH($A382,CS!$B:$B,0)+COLUMN(B$1),1))</f>
        <v/>
      </c>
      <c r="BI382" s="37" t="str">
        <f t="array" ref="BI382">IF($A382="","", INDEX(CS!$B$1:$B$15025,MATCH($A382,CS!$B:$B,0)+COLUMN(C$1),1))</f>
        <v/>
      </c>
      <c r="BJ382" s="37" t="str">
        <f t="array" ref="BJ382">IF($A382="","", INDEX(CS!$B$1:$B$15025,MATCH($A382,CS!$B:$B,0)+COLUMN(D$1),1))</f>
        <v/>
      </c>
      <c r="BK382" s="37" t="str">
        <f t="array" ref="BK382">IF($A382="","", INDEX(CS!$B$1:$B$15025,MATCH($A382,CS!$B:$B,0)+COLUMN(E$1),1))</f>
        <v/>
      </c>
      <c r="BL382" s="37" t="str">
        <f t="array" ref="BL382">IF($A382="","", INDEX(CS!$B$1:$B$15025,MATCH($A382,CS!$B:$B,0)+COLUMN(F$1),1))</f>
        <v/>
      </c>
      <c r="BM382" s="37" t="str">
        <f t="array" ref="BM382">IF($A382="","", INDEX(CS!$B$1:$B$15025,MATCH($A382,CS!$B:$B,0)+COLUMN(G$1),1))</f>
        <v/>
      </c>
      <c r="BN382" s="37" t="str">
        <f t="array" ref="BN382">IF($A382="","", INDEX(CS!$B$1:$B$15025,MATCH($A382,CS!$B:$B,0)+COLUMN(H$1),1))</f>
        <v/>
      </c>
      <c r="BO382" s="37" t="str">
        <f t="array" ref="BO382">IF($A382="","", INDEX(CS!$B$1:$B$15025,MATCH($A382,CS!$B:$B,0)+COLUMN(I$1),1))</f>
        <v/>
      </c>
      <c r="BP382" s="37" t="str">
        <f t="array" ref="BP382">IF($A382="","", INDEX(CS!$B$1:$B$15025,MATCH($A382,CS!$B:$B,0)+COLUMN(J$1),1))</f>
        <v/>
      </c>
      <c r="BS382" s="74"/>
    </row>
    <row r="383" ht="18.75" customHeight="1">
      <c r="B383" s="71"/>
      <c r="C383" s="37" t="s">
        <v>2891</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INDEX(CS!$B$1:$B$15025,MATCH($A383,CS!$B:$B,0)+COLUMN(A$1),1))</f>
        <v/>
      </c>
      <c r="BH383" s="37" t="str">
        <f t="array" ref="BH383">IF($A383="","", INDEX(CS!$B$1:$B$15025,MATCH($A383,CS!$B:$B,0)+COLUMN(B$1),1))</f>
        <v/>
      </c>
      <c r="BI383" s="37" t="str">
        <f t="array" ref="BI383">IF($A383="","", INDEX(CS!$B$1:$B$15025,MATCH($A383,CS!$B:$B,0)+COLUMN(C$1),1))</f>
        <v/>
      </c>
      <c r="BJ383" s="37" t="str">
        <f t="array" ref="BJ383">IF($A383="","", INDEX(CS!$B$1:$B$15025,MATCH($A383,CS!$B:$B,0)+COLUMN(D$1),1))</f>
        <v/>
      </c>
      <c r="BK383" s="37" t="str">
        <f t="array" ref="BK383">IF($A383="","", INDEX(CS!$B$1:$B$15025,MATCH($A383,CS!$B:$B,0)+COLUMN(E$1),1))</f>
        <v/>
      </c>
      <c r="BL383" s="37" t="str">
        <f t="array" ref="BL383">IF($A383="","", INDEX(CS!$B$1:$B$15025,MATCH($A383,CS!$B:$B,0)+COLUMN(F$1),1))</f>
        <v/>
      </c>
      <c r="BM383" s="37" t="str">
        <f t="array" ref="BM383">IF($A383="","", INDEX(CS!$B$1:$B$15025,MATCH($A383,CS!$B:$B,0)+COLUMN(G$1),1))</f>
        <v/>
      </c>
      <c r="BN383" s="37" t="str">
        <f t="array" ref="BN383">IF($A383="","", INDEX(CS!$B$1:$B$15025,MATCH($A383,CS!$B:$B,0)+COLUMN(H$1),1))</f>
        <v/>
      </c>
      <c r="BO383" s="37" t="str">
        <f t="array" ref="BO383">IF($A383="","", INDEX(CS!$B$1:$B$15025,MATCH($A383,CS!$B:$B,0)+COLUMN(I$1),1))</f>
        <v/>
      </c>
      <c r="BP383" s="37" t="str">
        <f t="array" ref="BP383">IF($A383="","", INDEX(CS!$B$1:$B$15025,MATCH($A383,CS!$B:$B,0)+COLUMN(J$1),1))</f>
        <v/>
      </c>
      <c r="BS383" s="74"/>
    </row>
    <row r="384" ht="18.75" customHeight="1">
      <c r="B384" s="71"/>
      <c r="C384" s="37" t="s">
        <v>2891</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INDEX(CS!$B$1:$B$15025,MATCH($A384,CS!$B:$B,0)+COLUMN(A$1),1))</f>
        <v/>
      </c>
      <c r="BH384" s="37" t="str">
        <f t="array" ref="BH384">IF($A384="","", INDEX(CS!$B$1:$B$15025,MATCH($A384,CS!$B:$B,0)+COLUMN(B$1),1))</f>
        <v/>
      </c>
      <c r="BI384" s="37" t="str">
        <f t="array" ref="BI384">IF($A384="","", INDEX(CS!$B$1:$B$15025,MATCH($A384,CS!$B:$B,0)+COLUMN(C$1),1))</f>
        <v/>
      </c>
      <c r="BJ384" s="37" t="str">
        <f t="array" ref="BJ384">IF($A384="","", INDEX(CS!$B$1:$B$15025,MATCH($A384,CS!$B:$B,0)+COLUMN(D$1),1))</f>
        <v/>
      </c>
      <c r="BK384" s="37" t="str">
        <f t="array" ref="BK384">IF($A384="","", INDEX(CS!$B$1:$B$15025,MATCH($A384,CS!$B:$B,0)+COLUMN(E$1),1))</f>
        <v/>
      </c>
      <c r="BL384" s="37" t="str">
        <f t="array" ref="BL384">IF($A384="","", INDEX(CS!$B$1:$B$15025,MATCH($A384,CS!$B:$B,0)+COLUMN(F$1),1))</f>
        <v/>
      </c>
      <c r="BM384" s="37" t="str">
        <f t="array" ref="BM384">IF($A384="","", INDEX(CS!$B$1:$B$15025,MATCH($A384,CS!$B:$B,0)+COLUMN(G$1),1))</f>
        <v/>
      </c>
      <c r="BN384" s="37" t="str">
        <f t="array" ref="BN384">IF($A384="","", INDEX(CS!$B$1:$B$15025,MATCH($A384,CS!$B:$B,0)+COLUMN(H$1),1))</f>
        <v/>
      </c>
      <c r="BO384" s="37" t="str">
        <f t="array" ref="BO384">IF($A384="","", INDEX(CS!$B$1:$B$15025,MATCH($A384,CS!$B:$B,0)+COLUMN(I$1),1))</f>
        <v/>
      </c>
      <c r="BP384" s="37" t="str">
        <f t="array" ref="BP384">IF($A384="","", INDEX(CS!$B$1:$B$15025,MATCH($A384,CS!$B:$B,0)+COLUMN(J$1),1))</f>
        <v/>
      </c>
      <c r="BS384" s="74"/>
    </row>
    <row r="385" ht="18.75" customHeight="1">
      <c r="B385" s="71"/>
      <c r="C385" s="37" t="s">
        <v>2891</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INDEX(CS!$B$1:$B$15025,MATCH($A385,CS!$B:$B,0)+COLUMN(A$1),1))</f>
        <v/>
      </c>
      <c r="BH385" s="37" t="str">
        <f t="array" ref="BH385">IF($A385="","", INDEX(CS!$B$1:$B$15025,MATCH($A385,CS!$B:$B,0)+COLUMN(B$1),1))</f>
        <v/>
      </c>
      <c r="BI385" s="37" t="str">
        <f t="array" ref="BI385">IF($A385="","", INDEX(CS!$B$1:$B$15025,MATCH($A385,CS!$B:$B,0)+COLUMN(C$1),1))</f>
        <v/>
      </c>
      <c r="BJ385" s="37" t="str">
        <f t="array" ref="BJ385">IF($A385="","", INDEX(CS!$B$1:$B$15025,MATCH($A385,CS!$B:$B,0)+COLUMN(D$1),1))</f>
        <v/>
      </c>
      <c r="BK385" s="37" t="str">
        <f t="array" ref="BK385">IF($A385="","", INDEX(CS!$B$1:$B$15025,MATCH($A385,CS!$B:$B,0)+COLUMN(E$1),1))</f>
        <v/>
      </c>
      <c r="BL385" s="37" t="str">
        <f t="array" ref="BL385">IF($A385="","", INDEX(CS!$B$1:$B$15025,MATCH($A385,CS!$B:$B,0)+COLUMN(F$1),1))</f>
        <v/>
      </c>
      <c r="BM385" s="37" t="str">
        <f t="array" ref="BM385">IF($A385="","", INDEX(CS!$B$1:$B$15025,MATCH($A385,CS!$B:$B,0)+COLUMN(G$1),1))</f>
        <v/>
      </c>
      <c r="BN385" s="37" t="str">
        <f t="array" ref="BN385">IF($A385="","", INDEX(CS!$B$1:$B$15025,MATCH($A385,CS!$B:$B,0)+COLUMN(H$1),1))</f>
        <v/>
      </c>
      <c r="BO385" s="37" t="str">
        <f t="array" ref="BO385">IF($A385="","", INDEX(CS!$B$1:$B$15025,MATCH($A385,CS!$B:$B,0)+COLUMN(I$1),1))</f>
        <v/>
      </c>
      <c r="BP385" s="37" t="str">
        <f t="array" ref="BP385">IF($A385="","", INDEX(CS!$B$1:$B$15025,MATCH($A385,CS!$B:$B,0)+COLUMN(J$1),1))</f>
        <v/>
      </c>
      <c r="BS385" s="74"/>
    </row>
    <row r="386" ht="18.75" customHeight="1">
      <c r="B386" s="71"/>
      <c r="C386" s="37" t="s">
        <v>2891</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INDEX(CS!$B$1:$B$15025,MATCH($A386,CS!$B:$B,0)+COLUMN(A$1),1))</f>
        <v/>
      </c>
      <c r="BH386" s="37" t="str">
        <f t="array" ref="BH386">IF($A386="","", INDEX(CS!$B$1:$B$15025,MATCH($A386,CS!$B:$B,0)+COLUMN(B$1),1))</f>
        <v/>
      </c>
      <c r="BI386" s="37" t="str">
        <f t="array" ref="BI386">IF($A386="","", INDEX(CS!$B$1:$B$15025,MATCH($A386,CS!$B:$B,0)+COLUMN(C$1),1))</f>
        <v/>
      </c>
      <c r="BJ386" s="37" t="str">
        <f t="array" ref="BJ386">IF($A386="","", INDEX(CS!$B$1:$B$15025,MATCH($A386,CS!$B:$B,0)+COLUMN(D$1),1))</f>
        <v/>
      </c>
      <c r="BK386" s="37" t="str">
        <f t="array" ref="BK386">IF($A386="","", INDEX(CS!$B$1:$B$15025,MATCH($A386,CS!$B:$B,0)+COLUMN(E$1),1))</f>
        <v/>
      </c>
      <c r="BL386" s="37" t="str">
        <f t="array" ref="BL386">IF($A386="","", INDEX(CS!$B$1:$B$15025,MATCH($A386,CS!$B:$B,0)+COLUMN(F$1),1))</f>
        <v/>
      </c>
      <c r="BM386" s="37" t="str">
        <f t="array" ref="BM386">IF($A386="","", INDEX(CS!$B$1:$B$15025,MATCH($A386,CS!$B:$B,0)+COLUMN(G$1),1))</f>
        <v/>
      </c>
      <c r="BN386" s="37" t="str">
        <f t="array" ref="BN386">IF($A386="","", INDEX(CS!$B$1:$B$15025,MATCH($A386,CS!$B:$B,0)+COLUMN(H$1),1))</f>
        <v/>
      </c>
      <c r="BO386" s="37" t="str">
        <f t="array" ref="BO386">IF($A386="","", INDEX(CS!$B$1:$B$15025,MATCH($A386,CS!$B:$B,0)+COLUMN(I$1),1))</f>
        <v/>
      </c>
      <c r="BP386" s="37" t="str">
        <f t="array" ref="BP386">IF($A386="","", INDEX(CS!$B$1:$B$15025,MATCH($A386,CS!$B:$B,0)+COLUMN(J$1),1))</f>
        <v/>
      </c>
      <c r="BS386" s="74"/>
    </row>
    <row r="387" ht="18.75" customHeight="1">
      <c r="B387" s="71"/>
      <c r="C387" s="37" t="s">
        <v>2891</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INDEX(CS!$B$1:$B$15025,MATCH($A387,CS!$B:$B,0)+COLUMN(A$1),1))</f>
        <v/>
      </c>
      <c r="BH387" s="37" t="str">
        <f t="array" ref="BH387">IF($A387="","", INDEX(CS!$B$1:$B$15025,MATCH($A387,CS!$B:$B,0)+COLUMN(B$1),1))</f>
        <v/>
      </c>
      <c r="BI387" s="37" t="str">
        <f t="array" ref="BI387">IF($A387="","", INDEX(CS!$B$1:$B$15025,MATCH($A387,CS!$B:$B,0)+COLUMN(C$1),1))</f>
        <v/>
      </c>
      <c r="BJ387" s="37" t="str">
        <f t="array" ref="BJ387">IF($A387="","", INDEX(CS!$B$1:$B$15025,MATCH($A387,CS!$B:$B,0)+COLUMN(D$1),1))</f>
        <v/>
      </c>
      <c r="BK387" s="37" t="str">
        <f t="array" ref="BK387">IF($A387="","", INDEX(CS!$B$1:$B$15025,MATCH($A387,CS!$B:$B,0)+COLUMN(E$1),1))</f>
        <v/>
      </c>
      <c r="BL387" s="37" t="str">
        <f t="array" ref="BL387">IF($A387="","", INDEX(CS!$B$1:$B$15025,MATCH($A387,CS!$B:$B,0)+COLUMN(F$1),1))</f>
        <v/>
      </c>
      <c r="BM387" s="37" t="str">
        <f t="array" ref="BM387">IF($A387="","", INDEX(CS!$B$1:$B$15025,MATCH($A387,CS!$B:$B,0)+COLUMN(G$1),1))</f>
        <v/>
      </c>
      <c r="BN387" s="37" t="str">
        <f t="array" ref="BN387">IF($A387="","", INDEX(CS!$B$1:$B$15025,MATCH($A387,CS!$B:$B,0)+COLUMN(H$1),1))</f>
        <v/>
      </c>
      <c r="BO387" s="37" t="str">
        <f t="array" ref="BO387">IF($A387="","", INDEX(CS!$B$1:$B$15025,MATCH($A387,CS!$B:$B,0)+COLUMN(I$1),1))</f>
        <v/>
      </c>
      <c r="BP387" s="37" t="str">
        <f t="array" ref="BP387">IF($A387="","", INDEX(CS!$B$1:$B$15025,MATCH($A387,CS!$B:$B,0)+COLUMN(J$1),1))</f>
        <v/>
      </c>
      <c r="BS387" s="74"/>
    </row>
    <row r="388" ht="18.75" customHeight="1">
      <c r="B388" s="71"/>
      <c r="C388" s="37" t="s">
        <v>2891</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INDEX(CS!$B$1:$B$15025,MATCH($A388,CS!$B:$B,0)+COLUMN(A$1),1))</f>
        <v/>
      </c>
      <c r="BH388" s="37" t="str">
        <f t="array" ref="BH388">IF($A388="","", INDEX(CS!$B$1:$B$15025,MATCH($A388,CS!$B:$B,0)+COLUMN(B$1),1))</f>
        <v/>
      </c>
      <c r="BI388" s="37" t="str">
        <f t="array" ref="BI388">IF($A388="","", INDEX(CS!$B$1:$B$15025,MATCH($A388,CS!$B:$B,0)+COLUMN(C$1),1))</f>
        <v/>
      </c>
      <c r="BJ388" s="37" t="str">
        <f t="array" ref="BJ388">IF($A388="","", INDEX(CS!$B$1:$B$15025,MATCH($A388,CS!$B:$B,0)+COLUMN(D$1),1))</f>
        <v/>
      </c>
      <c r="BK388" s="37" t="str">
        <f t="array" ref="BK388">IF($A388="","", INDEX(CS!$B$1:$B$15025,MATCH($A388,CS!$B:$B,0)+COLUMN(E$1),1))</f>
        <v/>
      </c>
      <c r="BL388" s="37" t="str">
        <f t="array" ref="BL388">IF($A388="","", INDEX(CS!$B$1:$B$15025,MATCH($A388,CS!$B:$B,0)+COLUMN(F$1),1))</f>
        <v/>
      </c>
      <c r="BM388" s="37" t="str">
        <f t="array" ref="BM388">IF($A388="","", INDEX(CS!$B$1:$B$15025,MATCH($A388,CS!$B:$B,0)+COLUMN(G$1),1))</f>
        <v/>
      </c>
      <c r="BN388" s="37" t="str">
        <f t="array" ref="BN388">IF($A388="","", INDEX(CS!$B$1:$B$15025,MATCH($A388,CS!$B:$B,0)+COLUMN(H$1),1))</f>
        <v/>
      </c>
      <c r="BO388" s="37" t="str">
        <f t="array" ref="BO388">IF($A388="","", INDEX(CS!$B$1:$B$15025,MATCH($A388,CS!$B:$B,0)+COLUMN(I$1),1))</f>
        <v/>
      </c>
      <c r="BP388" s="37" t="str">
        <f t="array" ref="BP388">IF($A388="","", INDEX(CS!$B$1:$B$15025,MATCH($A388,CS!$B:$B,0)+COLUMN(J$1),1))</f>
        <v/>
      </c>
      <c r="BS388" s="74"/>
    </row>
    <row r="389" ht="18.75" customHeight="1">
      <c r="B389" s="71"/>
      <c r="C389" s="37" t="s">
        <v>2891</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INDEX(CS!$B$1:$B$15025,MATCH($A389,CS!$B:$B,0)+COLUMN(A$1),1))</f>
        <v/>
      </c>
      <c r="BH389" s="37" t="str">
        <f t="array" ref="BH389">IF($A389="","", INDEX(CS!$B$1:$B$15025,MATCH($A389,CS!$B:$B,0)+COLUMN(B$1),1))</f>
        <v/>
      </c>
      <c r="BI389" s="37" t="str">
        <f t="array" ref="BI389">IF($A389="","", INDEX(CS!$B$1:$B$15025,MATCH($A389,CS!$B:$B,0)+COLUMN(C$1),1))</f>
        <v/>
      </c>
      <c r="BJ389" s="37" t="str">
        <f t="array" ref="BJ389">IF($A389="","", INDEX(CS!$B$1:$B$15025,MATCH($A389,CS!$B:$B,0)+COLUMN(D$1),1))</f>
        <v/>
      </c>
      <c r="BK389" s="37" t="str">
        <f t="array" ref="BK389">IF($A389="","", INDEX(CS!$B$1:$B$15025,MATCH($A389,CS!$B:$B,0)+COLUMN(E$1),1))</f>
        <v/>
      </c>
      <c r="BL389" s="37" t="str">
        <f t="array" ref="BL389">IF($A389="","", INDEX(CS!$B$1:$B$15025,MATCH($A389,CS!$B:$B,0)+COLUMN(F$1),1))</f>
        <v/>
      </c>
      <c r="BM389" s="37" t="str">
        <f t="array" ref="BM389">IF($A389="","", INDEX(CS!$B$1:$B$15025,MATCH($A389,CS!$B:$B,0)+COLUMN(G$1),1))</f>
        <v/>
      </c>
      <c r="BN389" s="37" t="str">
        <f t="array" ref="BN389">IF($A389="","", INDEX(CS!$B$1:$B$15025,MATCH($A389,CS!$B:$B,0)+COLUMN(H$1),1))</f>
        <v/>
      </c>
      <c r="BO389" s="37" t="str">
        <f t="array" ref="BO389">IF($A389="","", INDEX(CS!$B$1:$B$15025,MATCH($A389,CS!$B:$B,0)+COLUMN(I$1),1))</f>
        <v/>
      </c>
      <c r="BP389" s="37" t="str">
        <f t="array" ref="BP389">IF($A389="","", INDEX(CS!$B$1:$B$15025,MATCH($A389,CS!$B:$B,0)+COLUMN(J$1),1))</f>
        <v/>
      </c>
      <c r="BS389" s="74"/>
    </row>
    <row r="390" ht="18.75" customHeight="1">
      <c r="B390" s="71"/>
      <c r="C390" s="37" t="s">
        <v>2891</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INDEX(CS!$B$1:$B$15025,MATCH($A390,CS!$B:$B,0)+COLUMN(A$1),1))</f>
        <v/>
      </c>
      <c r="BH390" s="37" t="str">
        <f t="array" ref="BH390">IF($A390="","", INDEX(CS!$B$1:$B$15025,MATCH($A390,CS!$B:$B,0)+COLUMN(B$1),1))</f>
        <v/>
      </c>
      <c r="BI390" s="37" t="str">
        <f t="array" ref="BI390">IF($A390="","", INDEX(CS!$B$1:$B$15025,MATCH($A390,CS!$B:$B,0)+COLUMN(C$1),1))</f>
        <v/>
      </c>
      <c r="BJ390" s="37" t="str">
        <f t="array" ref="BJ390">IF($A390="","", INDEX(CS!$B$1:$B$15025,MATCH($A390,CS!$B:$B,0)+COLUMN(D$1),1))</f>
        <v/>
      </c>
      <c r="BK390" s="37" t="str">
        <f t="array" ref="BK390">IF($A390="","", INDEX(CS!$B$1:$B$15025,MATCH($A390,CS!$B:$B,0)+COLUMN(E$1),1))</f>
        <v/>
      </c>
      <c r="BL390" s="37" t="str">
        <f t="array" ref="BL390">IF($A390="","", INDEX(CS!$B$1:$B$15025,MATCH($A390,CS!$B:$B,0)+COLUMN(F$1),1))</f>
        <v/>
      </c>
      <c r="BM390" s="37" t="str">
        <f t="array" ref="BM390">IF($A390="","", INDEX(CS!$B$1:$B$15025,MATCH($A390,CS!$B:$B,0)+COLUMN(G$1),1))</f>
        <v/>
      </c>
      <c r="BN390" s="37" t="str">
        <f t="array" ref="BN390">IF($A390="","", INDEX(CS!$B$1:$B$15025,MATCH($A390,CS!$B:$B,0)+COLUMN(H$1),1))</f>
        <v/>
      </c>
      <c r="BO390" s="37" t="str">
        <f t="array" ref="BO390">IF($A390="","", INDEX(CS!$B$1:$B$15025,MATCH($A390,CS!$B:$B,0)+COLUMN(I$1),1))</f>
        <v/>
      </c>
      <c r="BP390" s="37" t="str">
        <f t="array" ref="BP390">IF($A390="","", INDEX(CS!$B$1:$B$15025,MATCH($A390,CS!$B:$B,0)+COLUMN(J$1),1))</f>
        <v/>
      </c>
      <c r="BS390" s="74"/>
    </row>
    <row r="391" ht="18.75" customHeight="1">
      <c r="B391" s="71"/>
      <c r="C391" s="37" t="s">
        <v>2891</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INDEX(CS!$B$1:$B$15025,MATCH($A391,CS!$B:$B,0)+COLUMN(A$1),1))</f>
        <v/>
      </c>
      <c r="BH391" s="37" t="str">
        <f t="array" ref="BH391">IF($A391="","", INDEX(CS!$B$1:$B$15025,MATCH($A391,CS!$B:$B,0)+COLUMN(B$1),1))</f>
        <v/>
      </c>
      <c r="BI391" s="37" t="str">
        <f t="array" ref="BI391">IF($A391="","", INDEX(CS!$B$1:$B$15025,MATCH($A391,CS!$B:$B,0)+COLUMN(C$1),1))</f>
        <v/>
      </c>
      <c r="BJ391" s="37" t="str">
        <f t="array" ref="BJ391">IF($A391="","", INDEX(CS!$B$1:$B$15025,MATCH($A391,CS!$B:$B,0)+COLUMN(D$1),1))</f>
        <v/>
      </c>
      <c r="BK391" s="37" t="str">
        <f t="array" ref="BK391">IF($A391="","", INDEX(CS!$B$1:$B$15025,MATCH($A391,CS!$B:$B,0)+COLUMN(E$1),1))</f>
        <v/>
      </c>
      <c r="BL391" s="37" t="str">
        <f t="array" ref="BL391">IF($A391="","", INDEX(CS!$B$1:$B$15025,MATCH($A391,CS!$B:$B,0)+COLUMN(F$1),1))</f>
        <v/>
      </c>
      <c r="BM391" s="37" t="str">
        <f t="array" ref="BM391">IF($A391="","", INDEX(CS!$B$1:$B$15025,MATCH($A391,CS!$B:$B,0)+COLUMN(G$1),1))</f>
        <v/>
      </c>
      <c r="BN391" s="37" t="str">
        <f t="array" ref="BN391">IF($A391="","", INDEX(CS!$B$1:$B$15025,MATCH($A391,CS!$B:$B,0)+COLUMN(H$1),1))</f>
        <v/>
      </c>
      <c r="BO391" s="37" t="str">
        <f t="array" ref="BO391">IF($A391="","", INDEX(CS!$B$1:$B$15025,MATCH($A391,CS!$B:$B,0)+COLUMN(I$1),1))</f>
        <v/>
      </c>
      <c r="BP391" s="37" t="str">
        <f t="array" ref="BP391">IF($A391="","", INDEX(CS!$B$1:$B$15025,MATCH($A391,CS!$B:$B,0)+COLUMN(J$1),1))</f>
        <v/>
      </c>
      <c r="BS391" s="74"/>
    </row>
    <row r="392" ht="18.75" customHeight="1">
      <c r="B392" s="71"/>
      <c r="C392" s="37" t="s">
        <v>2891</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INDEX(CS!$B$1:$B$15025,MATCH($A392,CS!$B:$B,0)+COLUMN(A$1),1))</f>
        <v/>
      </c>
      <c r="BH392" s="37" t="str">
        <f t="array" ref="BH392">IF($A392="","", INDEX(CS!$B$1:$B$15025,MATCH($A392,CS!$B:$B,0)+COLUMN(B$1),1))</f>
        <v/>
      </c>
      <c r="BI392" s="37" t="str">
        <f t="array" ref="BI392">IF($A392="","", INDEX(CS!$B$1:$B$15025,MATCH($A392,CS!$B:$B,0)+COLUMN(C$1),1))</f>
        <v/>
      </c>
      <c r="BJ392" s="37" t="str">
        <f t="array" ref="BJ392">IF($A392="","", INDEX(CS!$B$1:$B$15025,MATCH($A392,CS!$B:$B,0)+COLUMN(D$1),1))</f>
        <v/>
      </c>
      <c r="BK392" s="37" t="str">
        <f t="array" ref="BK392">IF($A392="","", INDEX(CS!$B$1:$B$15025,MATCH($A392,CS!$B:$B,0)+COLUMN(E$1),1))</f>
        <v/>
      </c>
      <c r="BL392" s="37" t="str">
        <f t="array" ref="BL392">IF($A392="","", INDEX(CS!$B$1:$B$15025,MATCH($A392,CS!$B:$B,0)+COLUMN(F$1),1))</f>
        <v/>
      </c>
      <c r="BM392" s="37" t="str">
        <f t="array" ref="BM392">IF($A392="","", INDEX(CS!$B$1:$B$15025,MATCH($A392,CS!$B:$B,0)+COLUMN(G$1),1))</f>
        <v/>
      </c>
      <c r="BN392" s="37" t="str">
        <f t="array" ref="BN392">IF($A392="","", INDEX(CS!$B$1:$B$15025,MATCH($A392,CS!$B:$B,0)+COLUMN(H$1),1))</f>
        <v/>
      </c>
      <c r="BO392" s="37" t="str">
        <f t="array" ref="BO392">IF($A392="","", INDEX(CS!$B$1:$B$15025,MATCH($A392,CS!$B:$B,0)+COLUMN(I$1),1))</f>
        <v/>
      </c>
      <c r="BP392" s="37" t="str">
        <f t="array" ref="BP392">IF($A392="","", INDEX(CS!$B$1:$B$15025,MATCH($A392,CS!$B:$B,0)+COLUMN(J$1),1))</f>
        <v/>
      </c>
      <c r="BS392" s="74"/>
    </row>
    <row r="393" ht="18.75" customHeight="1">
      <c r="B393" s="71"/>
      <c r="C393" s="37" t="s">
        <v>2891</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INDEX(CS!$B$1:$B$15025,MATCH($A393,CS!$B:$B,0)+COLUMN(A$1),1))</f>
        <v/>
      </c>
      <c r="BH393" s="37" t="str">
        <f t="array" ref="BH393">IF($A393="","", INDEX(CS!$B$1:$B$15025,MATCH($A393,CS!$B:$B,0)+COLUMN(B$1),1))</f>
        <v/>
      </c>
      <c r="BI393" s="37" t="str">
        <f t="array" ref="BI393">IF($A393="","", INDEX(CS!$B$1:$B$15025,MATCH($A393,CS!$B:$B,0)+COLUMN(C$1),1))</f>
        <v/>
      </c>
      <c r="BJ393" s="37" t="str">
        <f t="array" ref="BJ393">IF($A393="","", INDEX(CS!$B$1:$B$15025,MATCH($A393,CS!$B:$B,0)+COLUMN(D$1),1))</f>
        <v/>
      </c>
      <c r="BK393" s="37" t="str">
        <f t="array" ref="BK393">IF($A393="","", INDEX(CS!$B$1:$B$15025,MATCH($A393,CS!$B:$B,0)+COLUMN(E$1),1))</f>
        <v/>
      </c>
      <c r="BL393" s="37" t="str">
        <f t="array" ref="BL393">IF($A393="","", INDEX(CS!$B$1:$B$15025,MATCH($A393,CS!$B:$B,0)+COLUMN(F$1),1))</f>
        <v/>
      </c>
      <c r="BM393" s="37" t="str">
        <f t="array" ref="BM393">IF($A393="","", INDEX(CS!$B$1:$B$15025,MATCH($A393,CS!$B:$B,0)+COLUMN(G$1),1))</f>
        <v/>
      </c>
      <c r="BN393" s="37" t="str">
        <f t="array" ref="BN393">IF($A393="","", INDEX(CS!$B$1:$B$15025,MATCH($A393,CS!$B:$B,0)+COLUMN(H$1),1))</f>
        <v/>
      </c>
      <c r="BO393" s="37" t="str">
        <f t="array" ref="BO393">IF($A393="","", INDEX(CS!$B$1:$B$15025,MATCH($A393,CS!$B:$B,0)+COLUMN(I$1),1))</f>
        <v/>
      </c>
      <c r="BP393" s="37" t="str">
        <f t="array" ref="BP393">IF($A393="","", INDEX(CS!$B$1:$B$15025,MATCH($A393,CS!$B:$B,0)+COLUMN(J$1),1))</f>
        <v/>
      </c>
      <c r="BS393" s="74"/>
    </row>
    <row r="394" ht="18.75" customHeight="1">
      <c r="B394" s="71"/>
      <c r="C394" s="37" t="s">
        <v>2891</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INDEX(CS!$B$1:$B$15025,MATCH($A394,CS!$B:$B,0)+COLUMN(A$1),1))</f>
        <v/>
      </c>
      <c r="BH394" s="37" t="str">
        <f t="array" ref="BH394">IF($A394="","", INDEX(CS!$B$1:$B$15025,MATCH($A394,CS!$B:$B,0)+COLUMN(B$1),1))</f>
        <v/>
      </c>
      <c r="BI394" s="37" t="str">
        <f t="array" ref="BI394">IF($A394="","", INDEX(CS!$B$1:$B$15025,MATCH($A394,CS!$B:$B,0)+COLUMN(C$1),1))</f>
        <v/>
      </c>
      <c r="BJ394" s="37" t="str">
        <f t="array" ref="BJ394">IF($A394="","", INDEX(CS!$B$1:$B$15025,MATCH($A394,CS!$B:$B,0)+COLUMN(D$1),1))</f>
        <v/>
      </c>
      <c r="BK394" s="37" t="str">
        <f t="array" ref="BK394">IF($A394="","", INDEX(CS!$B$1:$B$15025,MATCH($A394,CS!$B:$B,0)+COLUMN(E$1),1))</f>
        <v/>
      </c>
      <c r="BL394" s="37" t="str">
        <f t="array" ref="BL394">IF($A394="","", INDEX(CS!$B$1:$B$15025,MATCH($A394,CS!$B:$B,0)+COLUMN(F$1),1))</f>
        <v/>
      </c>
      <c r="BM394" s="37" t="str">
        <f t="array" ref="BM394">IF($A394="","", INDEX(CS!$B$1:$B$15025,MATCH($A394,CS!$B:$B,0)+COLUMN(G$1),1))</f>
        <v/>
      </c>
      <c r="BN394" s="37" t="str">
        <f t="array" ref="BN394">IF($A394="","", INDEX(CS!$B$1:$B$15025,MATCH($A394,CS!$B:$B,0)+COLUMN(H$1),1))</f>
        <v/>
      </c>
      <c r="BO394" s="37" t="str">
        <f t="array" ref="BO394">IF($A394="","", INDEX(CS!$B$1:$B$15025,MATCH($A394,CS!$B:$B,0)+COLUMN(I$1),1))</f>
        <v/>
      </c>
      <c r="BP394" s="37" t="str">
        <f t="array" ref="BP394">IF($A394="","", INDEX(CS!$B$1:$B$15025,MATCH($A394,CS!$B:$B,0)+COLUMN(J$1),1))</f>
        <v/>
      </c>
      <c r="BS394" s="74"/>
    </row>
    <row r="395" ht="18.75" customHeight="1">
      <c r="B395" s="71"/>
      <c r="C395" s="37" t="s">
        <v>2891</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INDEX(CS!$B$1:$B$15025,MATCH($A395,CS!$B:$B,0)+COLUMN(A$1),1))</f>
        <v/>
      </c>
      <c r="BH395" s="37" t="str">
        <f t="array" ref="BH395">IF($A395="","", INDEX(CS!$B$1:$B$15025,MATCH($A395,CS!$B:$B,0)+COLUMN(B$1),1))</f>
        <v/>
      </c>
      <c r="BI395" s="37" t="str">
        <f t="array" ref="BI395">IF($A395="","", INDEX(CS!$B$1:$B$15025,MATCH($A395,CS!$B:$B,0)+COLUMN(C$1),1))</f>
        <v/>
      </c>
      <c r="BJ395" s="37" t="str">
        <f t="array" ref="BJ395">IF($A395="","", INDEX(CS!$B$1:$B$15025,MATCH($A395,CS!$B:$B,0)+COLUMN(D$1),1))</f>
        <v/>
      </c>
      <c r="BK395" s="37" t="str">
        <f t="array" ref="BK395">IF($A395="","", INDEX(CS!$B$1:$B$15025,MATCH($A395,CS!$B:$B,0)+COLUMN(E$1),1))</f>
        <v/>
      </c>
      <c r="BL395" s="37" t="str">
        <f t="array" ref="BL395">IF($A395="","", INDEX(CS!$B$1:$B$15025,MATCH($A395,CS!$B:$B,0)+COLUMN(F$1),1))</f>
        <v/>
      </c>
      <c r="BM395" s="37" t="str">
        <f t="array" ref="BM395">IF($A395="","", INDEX(CS!$B$1:$B$15025,MATCH($A395,CS!$B:$B,0)+COLUMN(G$1),1))</f>
        <v/>
      </c>
      <c r="BN395" s="37" t="str">
        <f t="array" ref="BN395">IF($A395="","", INDEX(CS!$B$1:$B$15025,MATCH($A395,CS!$B:$B,0)+COLUMN(H$1),1))</f>
        <v/>
      </c>
      <c r="BO395" s="37" t="str">
        <f t="array" ref="BO395">IF($A395="","", INDEX(CS!$B$1:$B$15025,MATCH($A395,CS!$B:$B,0)+COLUMN(I$1),1))</f>
        <v/>
      </c>
      <c r="BP395" s="37" t="str">
        <f t="array" ref="BP395">IF($A395="","", INDEX(CS!$B$1:$B$15025,MATCH($A395,CS!$B:$B,0)+COLUMN(J$1),1))</f>
        <v/>
      </c>
      <c r="BS395" s="74"/>
    </row>
    <row r="396" ht="18.75" customHeight="1">
      <c r="B396" s="71"/>
      <c r="C396" s="37" t="s">
        <v>2891</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INDEX(CS!$B$1:$B$15025,MATCH($A396,CS!$B:$B,0)+COLUMN(A$1),1))</f>
        <v/>
      </c>
      <c r="BH396" s="37" t="str">
        <f t="array" ref="BH396">IF($A396="","", INDEX(CS!$B$1:$B$15025,MATCH($A396,CS!$B:$B,0)+COLUMN(B$1),1))</f>
        <v/>
      </c>
      <c r="BI396" s="37" t="str">
        <f t="array" ref="BI396">IF($A396="","", INDEX(CS!$B$1:$B$15025,MATCH($A396,CS!$B:$B,0)+COLUMN(C$1),1))</f>
        <v/>
      </c>
      <c r="BJ396" s="37" t="str">
        <f t="array" ref="BJ396">IF($A396="","", INDEX(CS!$B$1:$B$15025,MATCH($A396,CS!$B:$B,0)+COLUMN(D$1),1))</f>
        <v/>
      </c>
      <c r="BK396" s="37" t="str">
        <f t="array" ref="BK396">IF($A396="","", INDEX(CS!$B$1:$B$15025,MATCH($A396,CS!$B:$B,0)+COLUMN(E$1),1))</f>
        <v/>
      </c>
      <c r="BL396" s="37" t="str">
        <f t="array" ref="BL396">IF($A396="","", INDEX(CS!$B$1:$B$15025,MATCH($A396,CS!$B:$B,0)+COLUMN(F$1),1))</f>
        <v/>
      </c>
      <c r="BM396" s="37" t="str">
        <f t="array" ref="BM396">IF($A396="","", INDEX(CS!$B$1:$B$15025,MATCH($A396,CS!$B:$B,0)+COLUMN(G$1),1))</f>
        <v/>
      </c>
      <c r="BN396" s="37" t="str">
        <f t="array" ref="BN396">IF($A396="","", INDEX(CS!$B$1:$B$15025,MATCH($A396,CS!$B:$B,0)+COLUMN(H$1),1))</f>
        <v/>
      </c>
      <c r="BO396" s="37" t="str">
        <f t="array" ref="BO396">IF($A396="","", INDEX(CS!$B$1:$B$15025,MATCH($A396,CS!$B:$B,0)+COLUMN(I$1),1))</f>
        <v/>
      </c>
      <c r="BP396" s="37" t="str">
        <f t="array" ref="BP396">IF($A396="","", INDEX(CS!$B$1:$B$15025,MATCH($A396,CS!$B:$B,0)+COLUMN(J$1),1))</f>
        <v/>
      </c>
      <c r="BS396" s="74"/>
    </row>
    <row r="397" ht="18.75" customHeight="1">
      <c r="B397" s="71"/>
      <c r="C397" s="37" t="s">
        <v>2891</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INDEX(CS!$B$1:$B$15025,MATCH($A397,CS!$B:$B,0)+COLUMN(A$1),1))</f>
        <v/>
      </c>
      <c r="BH397" s="37" t="str">
        <f t="array" ref="BH397">IF($A397="","", INDEX(CS!$B$1:$B$15025,MATCH($A397,CS!$B:$B,0)+COLUMN(B$1),1))</f>
        <v/>
      </c>
      <c r="BI397" s="37" t="str">
        <f t="array" ref="BI397">IF($A397="","", INDEX(CS!$B$1:$B$15025,MATCH($A397,CS!$B:$B,0)+COLUMN(C$1),1))</f>
        <v/>
      </c>
      <c r="BJ397" s="37" t="str">
        <f t="array" ref="BJ397">IF($A397="","", INDEX(CS!$B$1:$B$15025,MATCH($A397,CS!$B:$B,0)+COLUMN(D$1),1))</f>
        <v/>
      </c>
      <c r="BK397" s="37" t="str">
        <f t="array" ref="BK397">IF($A397="","", INDEX(CS!$B$1:$B$15025,MATCH($A397,CS!$B:$B,0)+COLUMN(E$1),1))</f>
        <v/>
      </c>
      <c r="BL397" s="37" t="str">
        <f t="array" ref="BL397">IF($A397="","", INDEX(CS!$B$1:$B$15025,MATCH($A397,CS!$B:$B,0)+COLUMN(F$1),1))</f>
        <v/>
      </c>
      <c r="BM397" s="37" t="str">
        <f t="array" ref="BM397">IF($A397="","", INDEX(CS!$B$1:$B$15025,MATCH($A397,CS!$B:$B,0)+COLUMN(G$1),1))</f>
        <v/>
      </c>
      <c r="BN397" s="37" t="str">
        <f t="array" ref="BN397">IF($A397="","", INDEX(CS!$B$1:$B$15025,MATCH($A397,CS!$B:$B,0)+COLUMN(H$1),1))</f>
        <v/>
      </c>
      <c r="BO397" s="37" t="str">
        <f t="array" ref="BO397">IF($A397="","", INDEX(CS!$B$1:$B$15025,MATCH($A397,CS!$B:$B,0)+COLUMN(I$1),1))</f>
        <v/>
      </c>
      <c r="BP397" s="37" t="str">
        <f t="array" ref="BP397">IF($A397="","", INDEX(CS!$B$1:$B$15025,MATCH($A397,CS!$B:$B,0)+COLUMN(J$1),1))</f>
        <v/>
      </c>
      <c r="BS397" s="74"/>
    </row>
    <row r="398" ht="18.75" customHeight="1">
      <c r="B398" s="71"/>
      <c r="C398" s="37" t="s">
        <v>2891</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INDEX(CS!$B$1:$B$15025,MATCH($A398,CS!$B:$B,0)+COLUMN(A$1),1))</f>
        <v/>
      </c>
      <c r="BH398" s="37" t="str">
        <f t="array" ref="BH398">IF($A398="","", INDEX(CS!$B$1:$B$15025,MATCH($A398,CS!$B:$B,0)+COLUMN(B$1),1))</f>
        <v/>
      </c>
      <c r="BI398" s="37" t="str">
        <f t="array" ref="BI398">IF($A398="","", INDEX(CS!$B$1:$B$15025,MATCH($A398,CS!$B:$B,0)+COLUMN(C$1),1))</f>
        <v/>
      </c>
      <c r="BJ398" s="37" t="str">
        <f t="array" ref="BJ398">IF($A398="","", INDEX(CS!$B$1:$B$15025,MATCH($A398,CS!$B:$B,0)+COLUMN(D$1),1))</f>
        <v/>
      </c>
      <c r="BK398" s="37" t="str">
        <f t="array" ref="BK398">IF($A398="","", INDEX(CS!$B$1:$B$15025,MATCH($A398,CS!$B:$B,0)+COLUMN(E$1),1))</f>
        <v/>
      </c>
      <c r="BL398" s="37" t="str">
        <f t="array" ref="BL398">IF($A398="","", INDEX(CS!$B$1:$B$15025,MATCH($A398,CS!$B:$B,0)+COLUMN(F$1),1))</f>
        <v/>
      </c>
      <c r="BM398" s="37" t="str">
        <f t="array" ref="BM398">IF($A398="","", INDEX(CS!$B$1:$B$15025,MATCH($A398,CS!$B:$B,0)+COLUMN(G$1),1))</f>
        <v/>
      </c>
      <c r="BN398" s="37" t="str">
        <f t="array" ref="BN398">IF($A398="","", INDEX(CS!$B$1:$B$15025,MATCH($A398,CS!$B:$B,0)+COLUMN(H$1),1))</f>
        <v/>
      </c>
      <c r="BO398" s="37" t="str">
        <f t="array" ref="BO398">IF($A398="","", INDEX(CS!$B$1:$B$15025,MATCH($A398,CS!$B:$B,0)+COLUMN(I$1),1))</f>
        <v/>
      </c>
      <c r="BP398" s="37" t="str">
        <f t="array" ref="BP398">IF($A398="","", INDEX(CS!$B$1:$B$15025,MATCH($A398,CS!$B:$B,0)+COLUMN(J$1),1))</f>
        <v/>
      </c>
      <c r="BS398" s="74"/>
    </row>
    <row r="399" ht="18.75" customHeight="1">
      <c r="B399" s="71"/>
      <c r="C399" s="37" t="s">
        <v>2891</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INDEX(CS!$B$1:$B$15025,MATCH($A399,CS!$B:$B,0)+COLUMN(A$1),1))</f>
        <v/>
      </c>
      <c r="BH399" s="37" t="str">
        <f t="array" ref="BH399">IF($A399="","", INDEX(CS!$B$1:$B$15025,MATCH($A399,CS!$B:$B,0)+COLUMN(B$1),1))</f>
        <v/>
      </c>
      <c r="BI399" s="37" t="str">
        <f t="array" ref="BI399">IF($A399="","", INDEX(CS!$B$1:$B$15025,MATCH($A399,CS!$B:$B,0)+COLUMN(C$1),1))</f>
        <v/>
      </c>
      <c r="BJ399" s="37" t="str">
        <f t="array" ref="BJ399">IF($A399="","", INDEX(CS!$B$1:$B$15025,MATCH($A399,CS!$B:$B,0)+COLUMN(D$1),1))</f>
        <v/>
      </c>
      <c r="BK399" s="37" t="str">
        <f t="array" ref="BK399">IF($A399="","", INDEX(CS!$B$1:$B$15025,MATCH($A399,CS!$B:$B,0)+COLUMN(E$1),1))</f>
        <v/>
      </c>
      <c r="BL399" s="37" t="str">
        <f t="array" ref="BL399">IF($A399="","", INDEX(CS!$B$1:$B$15025,MATCH($A399,CS!$B:$B,0)+COLUMN(F$1),1))</f>
        <v/>
      </c>
      <c r="BM399" s="37" t="str">
        <f t="array" ref="BM399">IF($A399="","", INDEX(CS!$B$1:$B$15025,MATCH($A399,CS!$B:$B,0)+COLUMN(G$1),1))</f>
        <v/>
      </c>
      <c r="BN399" s="37" t="str">
        <f t="array" ref="BN399">IF($A399="","", INDEX(CS!$B$1:$B$15025,MATCH($A399,CS!$B:$B,0)+COLUMN(H$1),1))</f>
        <v/>
      </c>
      <c r="BO399" s="37" t="str">
        <f t="array" ref="BO399">IF($A399="","", INDEX(CS!$B$1:$B$15025,MATCH($A399,CS!$B:$B,0)+COLUMN(I$1),1))</f>
        <v/>
      </c>
      <c r="BP399" s="37" t="str">
        <f t="array" ref="BP399">IF($A399="","", INDEX(CS!$B$1:$B$15025,MATCH($A399,CS!$B:$B,0)+COLUMN(J$1),1))</f>
        <v/>
      </c>
      <c r="BS399" s="74"/>
    </row>
    <row r="400" ht="18.75" customHeight="1">
      <c r="B400" s="71"/>
      <c r="C400" s="37" t="s">
        <v>2891</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INDEX(CS!$B$1:$B$15025,MATCH($A400,CS!$B:$B,0)+COLUMN(A$1),1))</f>
        <v/>
      </c>
      <c r="BH400" s="37" t="str">
        <f t="array" ref="BH400">IF($A400="","", INDEX(CS!$B$1:$B$15025,MATCH($A400,CS!$B:$B,0)+COLUMN(B$1),1))</f>
        <v/>
      </c>
      <c r="BI400" s="37" t="str">
        <f t="array" ref="BI400">IF($A400="","", INDEX(CS!$B$1:$B$15025,MATCH($A400,CS!$B:$B,0)+COLUMN(C$1),1))</f>
        <v/>
      </c>
      <c r="BJ400" s="37" t="str">
        <f t="array" ref="BJ400">IF($A400="","", INDEX(CS!$B$1:$B$15025,MATCH($A400,CS!$B:$B,0)+COLUMN(D$1),1))</f>
        <v/>
      </c>
      <c r="BK400" s="37" t="str">
        <f t="array" ref="BK400">IF($A400="","", INDEX(CS!$B$1:$B$15025,MATCH($A400,CS!$B:$B,0)+COLUMN(E$1),1))</f>
        <v/>
      </c>
      <c r="BL400" s="37" t="str">
        <f t="array" ref="BL400">IF($A400="","", INDEX(CS!$B$1:$B$15025,MATCH($A400,CS!$B:$B,0)+COLUMN(F$1),1))</f>
        <v/>
      </c>
      <c r="BM400" s="37" t="str">
        <f t="array" ref="BM400">IF($A400="","", INDEX(CS!$B$1:$B$15025,MATCH($A400,CS!$B:$B,0)+COLUMN(G$1),1))</f>
        <v/>
      </c>
      <c r="BN400" s="37" t="str">
        <f t="array" ref="BN400">IF($A400="","", INDEX(CS!$B$1:$B$15025,MATCH($A400,CS!$B:$B,0)+COLUMN(H$1),1))</f>
        <v/>
      </c>
      <c r="BO400" s="37" t="str">
        <f t="array" ref="BO400">IF($A400="","", INDEX(CS!$B$1:$B$15025,MATCH($A400,CS!$B:$B,0)+COLUMN(I$1),1))</f>
        <v/>
      </c>
      <c r="BP400" s="37" t="str">
        <f t="array" ref="BP400">IF($A400="","", INDEX(CS!$B$1:$B$15025,MATCH($A400,CS!$B:$B,0)+COLUMN(J$1),1))</f>
        <v/>
      </c>
      <c r="BS400" s="74"/>
    </row>
    <row r="401" ht="18.75" customHeight="1">
      <c r="B401" s="71"/>
      <c r="C401" s="37" t="s">
        <v>2891</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INDEX(CS!$B$1:$B$15025,MATCH($A401,CS!$B:$B,0)+COLUMN(A$1),1))</f>
        <v/>
      </c>
      <c r="BH401" s="37" t="str">
        <f t="array" ref="BH401">IF($A401="","", INDEX(CS!$B$1:$B$15025,MATCH($A401,CS!$B:$B,0)+COLUMN(B$1),1))</f>
        <v/>
      </c>
      <c r="BI401" s="37" t="str">
        <f t="array" ref="BI401">IF($A401="","", INDEX(CS!$B$1:$B$15025,MATCH($A401,CS!$B:$B,0)+COLUMN(C$1),1))</f>
        <v/>
      </c>
      <c r="BJ401" s="37" t="str">
        <f t="array" ref="BJ401">IF($A401="","", INDEX(CS!$B$1:$B$15025,MATCH($A401,CS!$B:$B,0)+COLUMN(D$1),1))</f>
        <v/>
      </c>
      <c r="BK401" s="37" t="str">
        <f t="array" ref="BK401">IF($A401="","", INDEX(CS!$B$1:$B$15025,MATCH($A401,CS!$B:$B,0)+COLUMN(E$1),1))</f>
        <v/>
      </c>
      <c r="BL401" s="37" t="str">
        <f t="array" ref="BL401">IF($A401="","", INDEX(CS!$B$1:$B$15025,MATCH($A401,CS!$B:$B,0)+COLUMN(F$1),1))</f>
        <v/>
      </c>
      <c r="BM401" s="37" t="str">
        <f t="array" ref="BM401">IF($A401="","", INDEX(CS!$B$1:$B$15025,MATCH($A401,CS!$B:$B,0)+COLUMN(G$1),1))</f>
        <v/>
      </c>
      <c r="BN401" s="37" t="str">
        <f t="array" ref="BN401">IF($A401="","", INDEX(CS!$B$1:$B$15025,MATCH($A401,CS!$B:$B,0)+COLUMN(H$1),1))</f>
        <v/>
      </c>
      <c r="BO401" s="37" t="str">
        <f t="array" ref="BO401">IF($A401="","", INDEX(CS!$B$1:$B$15025,MATCH($A401,CS!$B:$B,0)+COLUMN(I$1),1))</f>
        <v/>
      </c>
      <c r="BP401" s="37" t="str">
        <f t="array" ref="BP401">IF($A401="","", INDEX(CS!$B$1:$B$15025,MATCH($A401,CS!$B:$B,0)+COLUMN(J$1),1))</f>
        <v/>
      </c>
      <c r="BS401" s="74"/>
    </row>
    <row r="402" ht="18.75" customHeight="1">
      <c r="B402" s="71"/>
      <c r="C402" s="37" t="s">
        <v>2891</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INDEX(CS!$B$1:$B$15025,MATCH($A402,CS!$B:$B,0)+COLUMN(A$1),1))</f>
        <v/>
      </c>
      <c r="BH402" s="37" t="str">
        <f t="array" ref="BH402">IF($A402="","", INDEX(CS!$B$1:$B$15025,MATCH($A402,CS!$B:$B,0)+COLUMN(B$1),1))</f>
        <v/>
      </c>
      <c r="BI402" s="37" t="str">
        <f t="array" ref="BI402">IF($A402="","", INDEX(CS!$B$1:$B$15025,MATCH($A402,CS!$B:$B,0)+COLUMN(C$1),1))</f>
        <v/>
      </c>
      <c r="BJ402" s="37" t="str">
        <f t="array" ref="BJ402">IF($A402="","", INDEX(CS!$B$1:$B$15025,MATCH($A402,CS!$B:$B,0)+COLUMN(D$1),1))</f>
        <v/>
      </c>
      <c r="BK402" s="37" t="str">
        <f t="array" ref="BK402">IF($A402="","", INDEX(CS!$B$1:$B$15025,MATCH($A402,CS!$B:$B,0)+COLUMN(E$1),1))</f>
        <v/>
      </c>
      <c r="BL402" s="37" t="str">
        <f t="array" ref="BL402">IF($A402="","", INDEX(CS!$B$1:$B$15025,MATCH($A402,CS!$B:$B,0)+COLUMN(F$1),1))</f>
        <v/>
      </c>
      <c r="BM402" s="37" t="str">
        <f t="array" ref="BM402">IF($A402="","", INDEX(CS!$B$1:$B$15025,MATCH($A402,CS!$B:$B,0)+COLUMN(G$1),1))</f>
        <v/>
      </c>
      <c r="BN402" s="37" t="str">
        <f t="array" ref="BN402">IF($A402="","", INDEX(CS!$B$1:$B$15025,MATCH($A402,CS!$B:$B,0)+COLUMN(H$1),1))</f>
        <v/>
      </c>
      <c r="BO402" s="37" t="str">
        <f t="array" ref="BO402">IF($A402="","", INDEX(CS!$B$1:$B$15025,MATCH($A402,CS!$B:$B,0)+COLUMN(I$1),1))</f>
        <v/>
      </c>
      <c r="BP402" s="37" t="str">
        <f t="array" ref="BP402">IF($A402="","", INDEX(CS!$B$1:$B$15025,MATCH($A402,CS!$B:$B,0)+COLUMN(J$1),1))</f>
        <v/>
      </c>
      <c r="BS402" s="74"/>
    </row>
    <row r="403" ht="18.75" customHeight="1">
      <c r="B403" s="71"/>
      <c r="C403" s="37" t="s">
        <v>2891</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INDEX(CS!$B$1:$B$15025,MATCH($A403,CS!$B:$B,0)+COLUMN(A$1),1))</f>
        <v/>
      </c>
      <c r="BH403" s="37" t="str">
        <f t="array" ref="BH403">IF($A403="","", INDEX(CS!$B$1:$B$15025,MATCH($A403,CS!$B:$B,0)+COLUMN(B$1),1))</f>
        <v/>
      </c>
      <c r="BI403" s="37" t="str">
        <f t="array" ref="BI403">IF($A403="","", INDEX(CS!$B$1:$B$15025,MATCH($A403,CS!$B:$B,0)+COLUMN(C$1),1))</f>
        <v/>
      </c>
      <c r="BJ403" s="37" t="str">
        <f t="array" ref="BJ403">IF($A403="","", INDEX(CS!$B$1:$B$15025,MATCH($A403,CS!$B:$B,0)+COLUMN(D$1),1))</f>
        <v/>
      </c>
      <c r="BK403" s="37" t="str">
        <f t="array" ref="BK403">IF($A403="","", INDEX(CS!$B$1:$B$15025,MATCH($A403,CS!$B:$B,0)+COLUMN(E$1),1))</f>
        <v/>
      </c>
      <c r="BL403" s="37" t="str">
        <f t="array" ref="BL403">IF($A403="","", INDEX(CS!$B$1:$B$15025,MATCH($A403,CS!$B:$B,0)+COLUMN(F$1),1))</f>
        <v/>
      </c>
      <c r="BM403" s="37" t="str">
        <f t="array" ref="BM403">IF($A403="","", INDEX(CS!$B$1:$B$15025,MATCH($A403,CS!$B:$B,0)+COLUMN(G$1),1))</f>
        <v/>
      </c>
      <c r="BN403" s="37" t="str">
        <f t="array" ref="BN403">IF($A403="","", INDEX(CS!$B$1:$B$15025,MATCH($A403,CS!$B:$B,0)+COLUMN(H$1),1))</f>
        <v/>
      </c>
      <c r="BO403" s="37" t="str">
        <f t="array" ref="BO403">IF($A403="","", INDEX(CS!$B$1:$B$15025,MATCH($A403,CS!$B:$B,0)+COLUMN(I$1),1))</f>
        <v/>
      </c>
      <c r="BP403" s="37" t="str">
        <f t="array" ref="BP403">IF($A403="","", INDEX(CS!$B$1:$B$15025,MATCH($A403,CS!$B:$B,0)+COLUMN(J$1),1))</f>
        <v/>
      </c>
      <c r="BS403" s="74"/>
    </row>
    <row r="404" ht="18.75" customHeight="1">
      <c r="B404" s="71"/>
      <c r="C404" s="37" t="s">
        <v>2891</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INDEX(CS!$B$1:$B$15025,MATCH($A404,CS!$B:$B,0)+COLUMN(A$1),1))</f>
        <v/>
      </c>
      <c r="BH404" s="37" t="str">
        <f t="array" ref="BH404">IF($A404="","", INDEX(CS!$B$1:$B$15025,MATCH($A404,CS!$B:$B,0)+COLUMN(B$1),1))</f>
        <v/>
      </c>
      <c r="BI404" s="37" t="str">
        <f t="array" ref="BI404">IF($A404="","", INDEX(CS!$B$1:$B$15025,MATCH($A404,CS!$B:$B,0)+COLUMN(C$1),1))</f>
        <v/>
      </c>
      <c r="BJ404" s="37" t="str">
        <f t="array" ref="BJ404">IF($A404="","", INDEX(CS!$B$1:$B$15025,MATCH($A404,CS!$B:$B,0)+COLUMN(D$1),1))</f>
        <v/>
      </c>
      <c r="BK404" s="37" t="str">
        <f t="array" ref="BK404">IF($A404="","", INDEX(CS!$B$1:$B$15025,MATCH($A404,CS!$B:$B,0)+COLUMN(E$1),1))</f>
        <v/>
      </c>
      <c r="BL404" s="37" t="str">
        <f t="array" ref="BL404">IF($A404="","", INDEX(CS!$B$1:$B$15025,MATCH($A404,CS!$B:$B,0)+COLUMN(F$1),1))</f>
        <v/>
      </c>
      <c r="BM404" s="37" t="str">
        <f t="array" ref="BM404">IF($A404="","", INDEX(CS!$B$1:$B$15025,MATCH($A404,CS!$B:$B,0)+COLUMN(G$1),1))</f>
        <v/>
      </c>
      <c r="BN404" s="37" t="str">
        <f t="array" ref="BN404">IF($A404="","", INDEX(CS!$B$1:$B$15025,MATCH($A404,CS!$B:$B,0)+COLUMN(H$1),1))</f>
        <v/>
      </c>
      <c r="BO404" s="37" t="str">
        <f t="array" ref="BO404">IF($A404="","", INDEX(CS!$B$1:$B$15025,MATCH($A404,CS!$B:$B,0)+COLUMN(I$1),1))</f>
        <v/>
      </c>
      <c r="BP404" s="37" t="str">
        <f t="array" ref="BP404">IF($A404="","", INDEX(CS!$B$1:$B$15025,MATCH($A404,CS!$B:$B,0)+COLUMN(J$1),1))</f>
        <v/>
      </c>
      <c r="BS404" s="74"/>
    </row>
    <row r="405" ht="18.75" customHeight="1">
      <c r="B405" s="71"/>
      <c r="C405" s="37" t="s">
        <v>2891</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INDEX(CS!$B$1:$B$15025,MATCH($A405,CS!$B:$B,0)+COLUMN(A$1),1))</f>
        <v/>
      </c>
      <c r="BH405" s="37" t="str">
        <f t="array" ref="BH405">IF($A405="","", INDEX(CS!$B$1:$B$15025,MATCH($A405,CS!$B:$B,0)+COLUMN(B$1),1))</f>
        <v/>
      </c>
      <c r="BI405" s="37" t="str">
        <f t="array" ref="BI405">IF($A405="","", INDEX(CS!$B$1:$B$15025,MATCH($A405,CS!$B:$B,0)+COLUMN(C$1),1))</f>
        <v/>
      </c>
      <c r="BJ405" s="37" t="str">
        <f t="array" ref="BJ405">IF($A405="","", INDEX(CS!$B$1:$B$15025,MATCH($A405,CS!$B:$B,0)+COLUMN(D$1),1))</f>
        <v/>
      </c>
      <c r="BK405" s="37" t="str">
        <f t="array" ref="BK405">IF($A405="","", INDEX(CS!$B$1:$B$15025,MATCH($A405,CS!$B:$B,0)+COLUMN(E$1),1))</f>
        <v/>
      </c>
      <c r="BL405" s="37" t="str">
        <f t="array" ref="BL405">IF($A405="","", INDEX(CS!$B$1:$B$15025,MATCH($A405,CS!$B:$B,0)+COLUMN(F$1),1))</f>
        <v/>
      </c>
      <c r="BM405" s="37" t="str">
        <f t="array" ref="BM405">IF($A405="","", INDEX(CS!$B$1:$B$15025,MATCH($A405,CS!$B:$B,0)+COLUMN(G$1),1))</f>
        <v/>
      </c>
      <c r="BN405" s="37" t="str">
        <f t="array" ref="BN405">IF($A405="","", INDEX(CS!$B$1:$B$15025,MATCH($A405,CS!$B:$B,0)+COLUMN(H$1),1))</f>
        <v/>
      </c>
      <c r="BO405" s="37" t="str">
        <f t="array" ref="BO405">IF($A405="","", INDEX(CS!$B$1:$B$15025,MATCH($A405,CS!$B:$B,0)+COLUMN(I$1),1))</f>
        <v/>
      </c>
      <c r="BP405" s="37" t="str">
        <f t="array" ref="BP405">IF($A405="","", INDEX(CS!$B$1:$B$15025,MATCH($A405,CS!$B:$B,0)+COLUMN(J$1),1))</f>
        <v/>
      </c>
      <c r="BS405" s="74"/>
    </row>
    <row r="406" ht="18.75" customHeight="1">
      <c r="B406" s="71"/>
      <c r="C406" s="37" t="s">
        <v>2891</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INDEX(CS!$B$1:$B$15025,MATCH($A406,CS!$B:$B,0)+COLUMN(A$1),1))</f>
        <v/>
      </c>
      <c r="BH406" s="37" t="str">
        <f t="array" ref="BH406">IF($A406="","", INDEX(CS!$B$1:$B$15025,MATCH($A406,CS!$B:$B,0)+COLUMN(B$1),1))</f>
        <v/>
      </c>
      <c r="BI406" s="37" t="str">
        <f t="array" ref="BI406">IF($A406="","", INDEX(CS!$B$1:$B$15025,MATCH($A406,CS!$B:$B,0)+COLUMN(C$1),1))</f>
        <v/>
      </c>
      <c r="BJ406" s="37" t="str">
        <f t="array" ref="BJ406">IF($A406="","", INDEX(CS!$B$1:$B$15025,MATCH($A406,CS!$B:$B,0)+COLUMN(D$1),1))</f>
        <v/>
      </c>
      <c r="BK406" s="37" t="str">
        <f t="array" ref="BK406">IF($A406="","", INDEX(CS!$B$1:$B$15025,MATCH($A406,CS!$B:$B,0)+COLUMN(E$1),1))</f>
        <v/>
      </c>
      <c r="BL406" s="37" t="str">
        <f t="array" ref="BL406">IF($A406="","", INDEX(CS!$B$1:$B$15025,MATCH($A406,CS!$B:$B,0)+COLUMN(F$1),1))</f>
        <v/>
      </c>
      <c r="BM406" s="37" t="str">
        <f t="array" ref="BM406">IF($A406="","", INDEX(CS!$B$1:$B$15025,MATCH($A406,CS!$B:$B,0)+COLUMN(G$1),1))</f>
        <v/>
      </c>
      <c r="BN406" s="37" t="str">
        <f t="array" ref="BN406">IF($A406="","", INDEX(CS!$B$1:$B$15025,MATCH($A406,CS!$B:$B,0)+COLUMN(H$1),1))</f>
        <v/>
      </c>
      <c r="BO406" s="37" t="str">
        <f t="array" ref="BO406">IF($A406="","", INDEX(CS!$B$1:$B$15025,MATCH($A406,CS!$B:$B,0)+COLUMN(I$1),1))</f>
        <v/>
      </c>
      <c r="BP406" s="37" t="str">
        <f t="array" ref="BP406">IF($A406="","", INDEX(CS!$B$1:$B$15025,MATCH($A406,CS!$B:$B,0)+COLUMN(J$1),1))</f>
        <v/>
      </c>
      <c r="BS406" s="74"/>
    </row>
    <row r="407" ht="18.75" customHeight="1">
      <c r="B407" s="71"/>
      <c r="C407" s="37" t="s">
        <v>2891</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INDEX(CS!$B$1:$B$15025,MATCH($A407,CS!$B:$B,0)+COLUMN(A$1),1))</f>
        <v/>
      </c>
      <c r="BH407" s="37" t="str">
        <f t="array" ref="BH407">IF($A407="","", INDEX(CS!$B$1:$B$15025,MATCH($A407,CS!$B:$B,0)+COLUMN(B$1),1))</f>
        <v/>
      </c>
      <c r="BI407" s="37" t="str">
        <f t="array" ref="BI407">IF($A407="","", INDEX(CS!$B$1:$B$15025,MATCH($A407,CS!$B:$B,0)+COLUMN(C$1),1))</f>
        <v/>
      </c>
      <c r="BJ407" s="37" t="str">
        <f t="array" ref="BJ407">IF($A407="","", INDEX(CS!$B$1:$B$15025,MATCH($A407,CS!$B:$B,0)+COLUMN(D$1),1))</f>
        <v/>
      </c>
      <c r="BK407" s="37" t="str">
        <f t="array" ref="BK407">IF($A407="","", INDEX(CS!$B$1:$B$15025,MATCH($A407,CS!$B:$B,0)+COLUMN(E$1),1))</f>
        <v/>
      </c>
      <c r="BL407" s="37" t="str">
        <f t="array" ref="BL407">IF($A407="","", INDEX(CS!$B$1:$B$15025,MATCH($A407,CS!$B:$B,0)+COLUMN(F$1),1))</f>
        <v/>
      </c>
      <c r="BM407" s="37" t="str">
        <f t="array" ref="BM407">IF($A407="","", INDEX(CS!$B$1:$B$15025,MATCH($A407,CS!$B:$B,0)+COLUMN(G$1),1))</f>
        <v/>
      </c>
      <c r="BN407" s="37" t="str">
        <f t="array" ref="BN407">IF($A407="","", INDEX(CS!$B$1:$B$15025,MATCH($A407,CS!$B:$B,0)+COLUMN(H$1),1))</f>
        <v/>
      </c>
      <c r="BO407" s="37" t="str">
        <f t="array" ref="BO407">IF($A407="","", INDEX(CS!$B$1:$B$15025,MATCH($A407,CS!$B:$B,0)+COLUMN(I$1),1))</f>
        <v/>
      </c>
      <c r="BP407" s="37" t="str">
        <f t="array" ref="BP407">IF($A407="","", INDEX(CS!$B$1:$B$15025,MATCH($A407,CS!$B:$B,0)+COLUMN(J$1),1))</f>
        <v/>
      </c>
      <c r="BS407" s="74"/>
    </row>
    <row r="408" ht="18.75" customHeight="1">
      <c r="B408" s="71"/>
      <c r="C408" s="37" t="s">
        <v>2891</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INDEX(CS!$B$1:$B$15025,MATCH($A408,CS!$B:$B,0)+COLUMN(A$1),1))</f>
        <v/>
      </c>
      <c r="BH408" s="37" t="str">
        <f t="array" ref="BH408">IF($A408="","", INDEX(CS!$B$1:$B$15025,MATCH($A408,CS!$B:$B,0)+COLUMN(B$1),1))</f>
        <v/>
      </c>
      <c r="BI408" s="37" t="str">
        <f t="array" ref="BI408">IF($A408="","", INDEX(CS!$B$1:$B$15025,MATCH($A408,CS!$B:$B,0)+COLUMN(C$1),1))</f>
        <v/>
      </c>
      <c r="BJ408" s="37" t="str">
        <f t="array" ref="BJ408">IF($A408="","", INDEX(CS!$B$1:$B$15025,MATCH($A408,CS!$B:$B,0)+COLUMN(D$1),1))</f>
        <v/>
      </c>
      <c r="BK408" s="37" t="str">
        <f t="array" ref="BK408">IF($A408="","", INDEX(CS!$B$1:$B$15025,MATCH($A408,CS!$B:$B,0)+COLUMN(E$1),1))</f>
        <v/>
      </c>
      <c r="BL408" s="37" t="str">
        <f t="array" ref="BL408">IF($A408="","", INDEX(CS!$B$1:$B$15025,MATCH($A408,CS!$B:$B,0)+COLUMN(F$1),1))</f>
        <v/>
      </c>
      <c r="BM408" s="37" t="str">
        <f t="array" ref="BM408">IF($A408="","", INDEX(CS!$B$1:$B$15025,MATCH($A408,CS!$B:$B,0)+COLUMN(G$1),1))</f>
        <v/>
      </c>
      <c r="BN408" s="37" t="str">
        <f t="array" ref="BN408">IF($A408="","", INDEX(CS!$B$1:$B$15025,MATCH($A408,CS!$B:$B,0)+COLUMN(H$1),1))</f>
        <v/>
      </c>
      <c r="BO408" s="37" t="str">
        <f t="array" ref="BO408">IF($A408="","", INDEX(CS!$B$1:$B$15025,MATCH($A408,CS!$B:$B,0)+COLUMN(I$1),1))</f>
        <v/>
      </c>
      <c r="BP408" s="37" t="str">
        <f t="array" ref="BP408">IF($A408="","", INDEX(CS!$B$1:$B$15025,MATCH($A408,CS!$B:$B,0)+COLUMN(J$1),1))</f>
        <v/>
      </c>
      <c r="BS408" s="74"/>
    </row>
    <row r="409" ht="18.75" customHeight="1">
      <c r="B409" s="71"/>
      <c r="C409" s="37" t="s">
        <v>2891</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INDEX(CS!$B$1:$B$15025,MATCH($A409,CS!$B:$B,0)+COLUMN(A$1),1))</f>
        <v/>
      </c>
      <c r="BH409" s="37" t="str">
        <f t="array" ref="BH409">IF($A409="","", INDEX(CS!$B$1:$B$15025,MATCH($A409,CS!$B:$B,0)+COLUMN(B$1),1))</f>
        <v/>
      </c>
      <c r="BI409" s="37" t="str">
        <f t="array" ref="BI409">IF($A409="","", INDEX(CS!$B$1:$B$15025,MATCH($A409,CS!$B:$B,0)+COLUMN(C$1),1))</f>
        <v/>
      </c>
      <c r="BJ409" s="37" t="str">
        <f t="array" ref="BJ409">IF($A409="","", INDEX(CS!$B$1:$B$15025,MATCH($A409,CS!$B:$B,0)+COLUMN(D$1),1))</f>
        <v/>
      </c>
      <c r="BK409" s="37" t="str">
        <f t="array" ref="BK409">IF($A409="","", INDEX(CS!$B$1:$B$15025,MATCH($A409,CS!$B:$B,0)+COLUMN(E$1),1))</f>
        <v/>
      </c>
      <c r="BL409" s="37" t="str">
        <f t="array" ref="BL409">IF($A409="","", INDEX(CS!$B$1:$B$15025,MATCH($A409,CS!$B:$B,0)+COLUMN(F$1),1))</f>
        <v/>
      </c>
      <c r="BM409" s="37" t="str">
        <f t="array" ref="BM409">IF($A409="","", INDEX(CS!$B$1:$B$15025,MATCH($A409,CS!$B:$B,0)+COLUMN(G$1),1))</f>
        <v/>
      </c>
      <c r="BN409" s="37" t="str">
        <f t="array" ref="BN409">IF($A409="","", INDEX(CS!$B$1:$B$15025,MATCH($A409,CS!$B:$B,0)+COLUMN(H$1),1))</f>
        <v/>
      </c>
      <c r="BO409" s="37" t="str">
        <f t="array" ref="BO409">IF($A409="","", INDEX(CS!$B$1:$B$15025,MATCH($A409,CS!$B:$B,0)+COLUMN(I$1),1))</f>
        <v/>
      </c>
      <c r="BP409" s="37" t="str">
        <f t="array" ref="BP409">IF($A409="","", INDEX(CS!$B$1:$B$15025,MATCH($A409,CS!$B:$B,0)+COLUMN(J$1),1))</f>
        <v/>
      </c>
      <c r="BS409" s="74"/>
    </row>
    <row r="410" ht="18.75" customHeight="1">
      <c r="B410" s="71"/>
      <c r="C410" s="37" t="s">
        <v>2891</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INDEX(CS!$B$1:$B$15025,MATCH($A410,CS!$B:$B,0)+COLUMN(A$1),1))</f>
        <v/>
      </c>
      <c r="BH410" s="37" t="str">
        <f t="array" ref="BH410">IF($A410="","", INDEX(CS!$B$1:$B$15025,MATCH($A410,CS!$B:$B,0)+COLUMN(B$1),1))</f>
        <v/>
      </c>
      <c r="BI410" s="37" t="str">
        <f t="array" ref="BI410">IF($A410="","", INDEX(CS!$B$1:$B$15025,MATCH($A410,CS!$B:$B,0)+COLUMN(C$1),1))</f>
        <v/>
      </c>
      <c r="BJ410" s="37" t="str">
        <f t="array" ref="BJ410">IF($A410="","", INDEX(CS!$B$1:$B$15025,MATCH($A410,CS!$B:$B,0)+COLUMN(D$1),1))</f>
        <v/>
      </c>
      <c r="BK410" s="37" t="str">
        <f t="array" ref="BK410">IF($A410="","", INDEX(CS!$B$1:$B$15025,MATCH($A410,CS!$B:$B,0)+COLUMN(E$1),1))</f>
        <v/>
      </c>
      <c r="BL410" s="37" t="str">
        <f t="array" ref="BL410">IF($A410="","", INDEX(CS!$B$1:$B$15025,MATCH($A410,CS!$B:$B,0)+COLUMN(F$1),1))</f>
        <v/>
      </c>
      <c r="BM410" s="37" t="str">
        <f t="array" ref="BM410">IF($A410="","", INDEX(CS!$B$1:$B$15025,MATCH($A410,CS!$B:$B,0)+COLUMN(G$1),1))</f>
        <v/>
      </c>
      <c r="BN410" s="37" t="str">
        <f t="array" ref="BN410">IF($A410="","", INDEX(CS!$B$1:$B$15025,MATCH($A410,CS!$B:$B,0)+COLUMN(H$1),1))</f>
        <v/>
      </c>
      <c r="BO410" s="37" t="str">
        <f t="array" ref="BO410">IF($A410="","", INDEX(CS!$B$1:$B$15025,MATCH($A410,CS!$B:$B,0)+COLUMN(I$1),1))</f>
        <v/>
      </c>
      <c r="BP410" s="37" t="str">
        <f t="array" ref="BP410">IF($A410="","", INDEX(CS!$B$1:$B$15025,MATCH($A410,CS!$B:$B,0)+COLUMN(J$1),1))</f>
        <v/>
      </c>
      <c r="BS410" s="74"/>
    </row>
    <row r="411" ht="18.75" customHeight="1">
      <c r="B411" s="71"/>
      <c r="C411" s="37" t="s">
        <v>2891</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INDEX(CS!$B$1:$B$15025,MATCH($A411,CS!$B:$B,0)+COLUMN(A$1),1))</f>
        <v/>
      </c>
      <c r="BH411" s="37" t="str">
        <f t="array" ref="BH411">IF($A411="","", INDEX(CS!$B$1:$B$15025,MATCH($A411,CS!$B:$B,0)+COLUMN(B$1),1))</f>
        <v/>
      </c>
      <c r="BI411" s="37" t="str">
        <f t="array" ref="BI411">IF($A411="","", INDEX(CS!$B$1:$B$15025,MATCH($A411,CS!$B:$B,0)+COLUMN(C$1),1))</f>
        <v/>
      </c>
      <c r="BJ411" s="37" t="str">
        <f t="array" ref="BJ411">IF($A411="","", INDEX(CS!$B$1:$B$15025,MATCH($A411,CS!$B:$B,0)+COLUMN(D$1),1))</f>
        <v/>
      </c>
      <c r="BK411" s="37" t="str">
        <f t="array" ref="BK411">IF($A411="","", INDEX(CS!$B$1:$B$15025,MATCH($A411,CS!$B:$B,0)+COLUMN(E$1),1))</f>
        <v/>
      </c>
      <c r="BL411" s="37" t="str">
        <f t="array" ref="BL411">IF($A411="","", INDEX(CS!$B$1:$B$15025,MATCH($A411,CS!$B:$B,0)+COLUMN(F$1),1))</f>
        <v/>
      </c>
      <c r="BM411" s="37" t="str">
        <f t="array" ref="BM411">IF($A411="","", INDEX(CS!$B$1:$B$15025,MATCH($A411,CS!$B:$B,0)+COLUMN(G$1),1))</f>
        <v/>
      </c>
      <c r="BN411" s="37" t="str">
        <f t="array" ref="BN411">IF($A411="","", INDEX(CS!$B$1:$B$15025,MATCH($A411,CS!$B:$B,0)+COLUMN(H$1),1))</f>
        <v/>
      </c>
      <c r="BO411" s="37" t="str">
        <f t="array" ref="BO411">IF($A411="","", INDEX(CS!$B$1:$B$15025,MATCH($A411,CS!$B:$B,0)+COLUMN(I$1),1))</f>
        <v/>
      </c>
      <c r="BP411" s="37" t="str">
        <f t="array" ref="BP411">IF($A411="","", INDEX(CS!$B$1:$B$15025,MATCH($A411,CS!$B:$B,0)+COLUMN(J$1),1))</f>
        <v/>
      </c>
      <c r="BS411" s="74"/>
    </row>
    <row r="412" ht="18.75" customHeight="1">
      <c r="B412" s="71"/>
      <c r="C412" s="37" t="s">
        <v>2891</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INDEX(CS!$B$1:$B$15025,MATCH($A412,CS!$B:$B,0)+COLUMN(A$1),1))</f>
        <v/>
      </c>
      <c r="BH412" s="37" t="str">
        <f t="array" ref="BH412">IF($A412="","", INDEX(CS!$B$1:$B$15025,MATCH($A412,CS!$B:$B,0)+COLUMN(B$1),1))</f>
        <v/>
      </c>
      <c r="BI412" s="37" t="str">
        <f t="array" ref="BI412">IF($A412="","", INDEX(CS!$B$1:$B$15025,MATCH($A412,CS!$B:$B,0)+COLUMN(C$1),1))</f>
        <v/>
      </c>
      <c r="BJ412" s="37" t="str">
        <f t="array" ref="BJ412">IF($A412="","", INDEX(CS!$B$1:$B$15025,MATCH($A412,CS!$B:$B,0)+COLUMN(D$1),1))</f>
        <v/>
      </c>
      <c r="BK412" s="37" t="str">
        <f t="array" ref="BK412">IF($A412="","", INDEX(CS!$B$1:$B$15025,MATCH($A412,CS!$B:$B,0)+COLUMN(E$1),1))</f>
        <v/>
      </c>
      <c r="BL412" s="37" t="str">
        <f t="array" ref="BL412">IF($A412="","", INDEX(CS!$B$1:$B$15025,MATCH($A412,CS!$B:$B,0)+COLUMN(F$1),1))</f>
        <v/>
      </c>
      <c r="BM412" s="37" t="str">
        <f t="array" ref="BM412">IF($A412="","", INDEX(CS!$B$1:$B$15025,MATCH($A412,CS!$B:$B,0)+COLUMN(G$1),1))</f>
        <v/>
      </c>
      <c r="BN412" s="37" t="str">
        <f t="array" ref="BN412">IF($A412="","", INDEX(CS!$B$1:$B$15025,MATCH($A412,CS!$B:$B,0)+COLUMN(H$1),1))</f>
        <v/>
      </c>
      <c r="BO412" s="37" t="str">
        <f t="array" ref="BO412">IF($A412="","", INDEX(CS!$B$1:$B$15025,MATCH($A412,CS!$B:$B,0)+COLUMN(I$1),1))</f>
        <v/>
      </c>
      <c r="BP412" s="37" t="str">
        <f t="array" ref="BP412">IF($A412="","", INDEX(CS!$B$1:$B$15025,MATCH($A412,CS!$B:$B,0)+COLUMN(J$1),1))</f>
        <v/>
      </c>
      <c r="BS412" s="74"/>
    </row>
    <row r="413" ht="18.75" customHeight="1">
      <c r="B413" s="71"/>
      <c r="C413" s="37" t="s">
        <v>2891</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INDEX(CS!$B$1:$B$15025,MATCH($A413,CS!$B:$B,0)+COLUMN(A$1),1))</f>
        <v/>
      </c>
      <c r="BH413" s="37" t="str">
        <f t="array" ref="BH413">IF($A413="","", INDEX(CS!$B$1:$B$15025,MATCH($A413,CS!$B:$B,0)+COLUMN(B$1),1))</f>
        <v/>
      </c>
      <c r="BI413" s="37" t="str">
        <f t="array" ref="BI413">IF($A413="","", INDEX(CS!$B$1:$B$15025,MATCH($A413,CS!$B:$B,0)+COLUMN(C$1),1))</f>
        <v/>
      </c>
      <c r="BJ413" s="37" t="str">
        <f t="array" ref="BJ413">IF($A413="","", INDEX(CS!$B$1:$B$15025,MATCH($A413,CS!$B:$B,0)+COLUMN(D$1),1))</f>
        <v/>
      </c>
      <c r="BK413" s="37" t="str">
        <f t="array" ref="BK413">IF($A413="","", INDEX(CS!$B$1:$B$15025,MATCH($A413,CS!$B:$B,0)+COLUMN(E$1),1))</f>
        <v/>
      </c>
      <c r="BL413" s="37" t="str">
        <f t="array" ref="BL413">IF($A413="","", INDEX(CS!$B$1:$B$15025,MATCH($A413,CS!$B:$B,0)+COLUMN(F$1),1))</f>
        <v/>
      </c>
      <c r="BM413" s="37" t="str">
        <f t="array" ref="BM413">IF($A413="","", INDEX(CS!$B$1:$B$15025,MATCH($A413,CS!$B:$B,0)+COLUMN(G$1),1))</f>
        <v/>
      </c>
      <c r="BN413" s="37" t="str">
        <f t="array" ref="BN413">IF($A413="","", INDEX(CS!$B$1:$B$15025,MATCH($A413,CS!$B:$B,0)+COLUMN(H$1),1))</f>
        <v/>
      </c>
      <c r="BO413" s="37" t="str">
        <f t="array" ref="BO413">IF($A413="","", INDEX(CS!$B$1:$B$15025,MATCH($A413,CS!$B:$B,0)+COLUMN(I$1),1))</f>
        <v/>
      </c>
      <c r="BP413" s="37" t="str">
        <f t="array" ref="BP413">IF($A413="","", INDEX(CS!$B$1:$B$15025,MATCH($A413,CS!$B:$B,0)+COLUMN(J$1),1))</f>
        <v/>
      </c>
      <c r="BS413" s="74"/>
    </row>
    <row r="414" ht="18.75" customHeight="1">
      <c r="B414" s="71"/>
      <c r="C414" s="37" t="s">
        <v>2891</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INDEX(CS!$B$1:$B$15025,MATCH($A414,CS!$B:$B,0)+COLUMN(A$1),1))</f>
        <v/>
      </c>
      <c r="BH414" s="37" t="str">
        <f t="array" ref="BH414">IF($A414="","", INDEX(CS!$B$1:$B$15025,MATCH($A414,CS!$B:$B,0)+COLUMN(B$1),1))</f>
        <v/>
      </c>
      <c r="BI414" s="37" t="str">
        <f t="array" ref="BI414">IF($A414="","", INDEX(CS!$B$1:$B$15025,MATCH($A414,CS!$B:$B,0)+COLUMN(C$1),1))</f>
        <v/>
      </c>
      <c r="BJ414" s="37" t="str">
        <f t="array" ref="BJ414">IF($A414="","", INDEX(CS!$B$1:$B$15025,MATCH($A414,CS!$B:$B,0)+COLUMN(D$1),1))</f>
        <v/>
      </c>
      <c r="BK414" s="37" t="str">
        <f t="array" ref="BK414">IF($A414="","", INDEX(CS!$B$1:$B$15025,MATCH($A414,CS!$B:$B,0)+COLUMN(E$1),1))</f>
        <v/>
      </c>
      <c r="BL414" s="37" t="str">
        <f t="array" ref="BL414">IF($A414="","", INDEX(CS!$B$1:$B$15025,MATCH($A414,CS!$B:$B,0)+COLUMN(F$1),1))</f>
        <v/>
      </c>
      <c r="BM414" s="37" t="str">
        <f t="array" ref="BM414">IF($A414="","", INDEX(CS!$B$1:$B$15025,MATCH($A414,CS!$B:$B,0)+COLUMN(G$1),1))</f>
        <v/>
      </c>
      <c r="BN414" s="37" t="str">
        <f t="array" ref="BN414">IF($A414="","", INDEX(CS!$B$1:$B$15025,MATCH($A414,CS!$B:$B,0)+COLUMN(H$1),1))</f>
        <v/>
      </c>
      <c r="BO414" s="37" t="str">
        <f t="array" ref="BO414">IF($A414="","", INDEX(CS!$B$1:$B$15025,MATCH($A414,CS!$B:$B,0)+COLUMN(I$1),1))</f>
        <v/>
      </c>
      <c r="BP414" s="37" t="str">
        <f t="array" ref="BP414">IF($A414="","", INDEX(CS!$B$1:$B$15025,MATCH($A414,CS!$B:$B,0)+COLUMN(J$1),1))</f>
        <v/>
      </c>
      <c r="BS414" s="74"/>
    </row>
    <row r="415" ht="18.75" customHeight="1">
      <c r="B415" s="71"/>
      <c r="C415" s="37" t="s">
        <v>2891</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INDEX(CS!$B$1:$B$15025,MATCH($A415,CS!$B:$B,0)+COLUMN(A$1),1))</f>
        <v/>
      </c>
      <c r="BH415" s="37" t="str">
        <f t="array" ref="BH415">IF($A415="","", INDEX(CS!$B$1:$B$15025,MATCH($A415,CS!$B:$B,0)+COLUMN(B$1),1))</f>
        <v/>
      </c>
      <c r="BI415" s="37" t="str">
        <f t="array" ref="BI415">IF($A415="","", INDEX(CS!$B$1:$B$15025,MATCH($A415,CS!$B:$B,0)+COLUMN(C$1),1))</f>
        <v/>
      </c>
      <c r="BJ415" s="37" t="str">
        <f t="array" ref="BJ415">IF($A415="","", INDEX(CS!$B$1:$B$15025,MATCH($A415,CS!$B:$B,0)+COLUMN(D$1),1))</f>
        <v/>
      </c>
      <c r="BK415" s="37" t="str">
        <f t="array" ref="BK415">IF($A415="","", INDEX(CS!$B$1:$B$15025,MATCH($A415,CS!$B:$B,0)+COLUMN(E$1),1))</f>
        <v/>
      </c>
      <c r="BL415" s="37" t="str">
        <f t="array" ref="BL415">IF($A415="","", INDEX(CS!$B$1:$B$15025,MATCH($A415,CS!$B:$B,0)+COLUMN(F$1),1))</f>
        <v/>
      </c>
      <c r="BM415" s="37" t="str">
        <f t="array" ref="BM415">IF($A415="","", INDEX(CS!$B$1:$B$15025,MATCH($A415,CS!$B:$B,0)+COLUMN(G$1),1))</f>
        <v/>
      </c>
      <c r="BN415" s="37" t="str">
        <f t="array" ref="BN415">IF($A415="","", INDEX(CS!$B$1:$B$15025,MATCH($A415,CS!$B:$B,0)+COLUMN(H$1),1))</f>
        <v/>
      </c>
      <c r="BO415" s="37" t="str">
        <f t="array" ref="BO415">IF($A415="","", INDEX(CS!$B$1:$B$15025,MATCH($A415,CS!$B:$B,0)+COLUMN(I$1),1))</f>
        <v/>
      </c>
      <c r="BP415" s="37" t="str">
        <f t="array" ref="BP415">IF($A415="","", INDEX(CS!$B$1:$B$15025,MATCH($A415,CS!$B:$B,0)+COLUMN(J$1),1))</f>
        <v/>
      </c>
      <c r="BS415" s="74"/>
    </row>
    <row r="416" ht="18.75" customHeight="1">
      <c r="B416" s="71"/>
      <c r="C416" s="37" t="s">
        <v>2891</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INDEX(CS!$B$1:$B$15025,MATCH($A416,CS!$B:$B,0)+COLUMN(A$1),1))</f>
        <v/>
      </c>
      <c r="BH416" s="37" t="str">
        <f t="array" ref="BH416">IF($A416="","", INDEX(CS!$B$1:$B$15025,MATCH($A416,CS!$B:$B,0)+COLUMN(B$1),1))</f>
        <v/>
      </c>
      <c r="BI416" s="37" t="str">
        <f t="array" ref="BI416">IF($A416="","", INDEX(CS!$B$1:$B$15025,MATCH($A416,CS!$B:$B,0)+COLUMN(C$1),1))</f>
        <v/>
      </c>
      <c r="BJ416" s="37" t="str">
        <f t="array" ref="BJ416">IF($A416="","", INDEX(CS!$B$1:$B$15025,MATCH($A416,CS!$B:$B,0)+COLUMN(D$1),1))</f>
        <v/>
      </c>
      <c r="BK416" s="37" t="str">
        <f t="array" ref="BK416">IF($A416="","", INDEX(CS!$B$1:$B$15025,MATCH($A416,CS!$B:$B,0)+COLUMN(E$1),1))</f>
        <v/>
      </c>
      <c r="BL416" s="37" t="str">
        <f t="array" ref="BL416">IF($A416="","", INDEX(CS!$B$1:$B$15025,MATCH($A416,CS!$B:$B,0)+COLUMN(F$1),1))</f>
        <v/>
      </c>
      <c r="BM416" s="37" t="str">
        <f t="array" ref="BM416">IF($A416="","", INDEX(CS!$B$1:$B$15025,MATCH($A416,CS!$B:$B,0)+COLUMN(G$1),1))</f>
        <v/>
      </c>
      <c r="BN416" s="37" t="str">
        <f t="array" ref="BN416">IF($A416="","", INDEX(CS!$B$1:$B$15025,MATCH($A416,CS!$B:$B,0)+COLUMN(H$1),1))</f>
        <v/>
      </c>
      <c r="BO416" s="37" t="str">
        <f t="array" ref="BO416">IF($A416="","", INDEX(CS!$B$1:$B$15025,MATCH($A416,CS!$B:$B,0)+COLUMN(I$1),1))</f>
        <v/>
      </c>
      <c r="BP416" s="37" t="str">
        <f t="array" ref="BP416">IF($A416="","", INDEX(CS!$B$1:$B$15025,MATCH($A416,CS!$B:$B,0)+COLUMN(J$1),1))</f>
        <v/>
      </c>
      <c r="BS416" s="74"/>
    </row>
    <row r="417" ht="18.75" customHeight="1">
      <c r="B417" s="71"/>
      <c r="C417" s="37" t="s">
        <v>2891</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INDEX(CS!$B$1:$B$15025,MATCH($A417,CS!$B:$B,0)+COLUMN(A$1),1))</f>
        <v/>
      </c>
      <c r="BH417" s="37" t="str">
        <f t="array" ref="BH417">IF($A417="","", INDEX(CS!$B$1:$B$15025,MATCH($A417,CS!$B:$B,0)+COLUMN(B$1),1))</f>
        <v/>
      </c>
      <c r="BI417" s="37" t="str">
        <f t="array" ref="BI417">IF($A417="","", INDEX(CS!$B$1:$B$15025,MATCH($A417,CS!$B:$B,0)+COLUMN(C$1),1))</f>
        <v/>
      </c>
      <c r="BJ417" s="37" t="str">
        <f t="array" ref="BJ417">IF($A417="","", INDEX(CS!$B$1:$B$15025,MATCH($A417,CS!$B:$B,0)+COLUMN(D$1),1))</f>
        <v/>
      </c>
      <c r="BK417" s="37" t="str">
        <f t="array" ref="BK417">IF($A417="","", INDEX(CS!$B$1:$B$15025,MATCH($A417,CS!$B:$B,0)+COLUMN(E$1),1))</f>
        <v/>
      </c>
      <c r="BL417" s="37" t="str">
        <f t="array" ref="BL417">IF($A417="","", INDEX(CS!$B$1:$B$15025,MATCH($A417,CS!$B:$B,0)+COLUMN(F$1),1))</f>
        <v/>
      </c>
      <c r="BM417" s="37" t="str">
        <f t="array" ref="BM417">IF($A417="","", INDEX(CS!$B$1:$B$15025,MATCH($A417,CS!$B:$B,0)+COLUMN(I$1),1))</f>
        <v/>
      </c>
      <c r="BN417" s="37" t="str">
        <f t="array" ref="BN417">IF($A417="","", INDEX(CS!$B$1:$B$15025,MATCH($A417,CS!$B:$B,0)+COLUMN(J$1),1))</f>
        <v/>
      </c>
      <c r="BO417" s="37" t="str">
        <f t="array" ref="BO417">IF($A417="","", INDEX(CS!$B$1:$B$15025,MATCH($A417,CS!$B:$B,0)+COLUMN(K$1),1))</f>
        <v/>
      </c>
      <c r="BP417" s="37" t="str">
        <f t="array" ref="BP417">IF($A417="","", INDEX(CS!$B$1:$B$15025,MATCH($A417,CS!$B:$B,0)+COLUMN(L$1),1))</f>
        <v/>
      </c>
      <c r="BS417" s="74"/>
    </row>
    <row r="418" ht="18.75" customHeight="1">
      <c r="B418" s="71"/>
      <c r="C418" s="37" t="s">
        <v>2891</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INDEX(CS!$B$1:$B$15025,MATCH($A418,CS!$B:$B,0)+COLUMN(A$1),1))</f>
        <v/>
      </c>
      <c r="BH418" s="37" t="str">
        <f t="array" ref="BH418">IF($A418="","", INDEX(CS!$B$1:$B$15025,MATCH($A418,CS!$B:$B,0)+COLUMN(B$1),1))</f>
        <v/>
      </c>
      <c r="BI418" s="37" t="str">
        <f t="array" ref="BI418">IF($A418="","", INDEX(CS!$B$1:$B$15025,MATCH($A418,CS!$B:$B,0)+COLUMN(C$1),1))</f>
        <v/>
      </c>
      <c r="BJ418" s="37" t="str">
        <f t="array" ref="BJ418">IF($A418="","", INDEX(CS!$B$1:$B$15025,MATCH($A418,CS!$B:$B,0)+COLUMN(D$1),1))</f>
        <v/>
      </c>
      <c r="BK418" s="37" t="str">
        <f t="array" ref="BK418">IF($A418="","", INDEX(CS!$B$1:$B$15025,MATCH($A418,CS!$B:$B,0)+COLUMN(E$1),1))</f>
        <v/>
      </c>
      <c r="BL418" s="37" t="str">
        <f t="array" ref="BL418">IF($A418="","", INDEX(CS!$B$1:$B$15025,MATCH($A418,CS!$B:$B,0)+COLUMN(F$1),1))</f>
        <v/>
      </c>
      <c r="BM418" s="37" t="str">
        <f t="array" ref="BM418">IF($A418="","", INDEX(CS!$B$1:$B$15025,MATCH($A418,CS!$B:$B,0)+COLUMN(I$1),1))</f>
        <v/>
      </c>
      <c r="BN418" s="37" t="str">
        <f t="array" ref="BN418">IF($A418="","", INDEX(CS!$B$1:$B$15025,MATCH($A418,CS!$B:$B,0)+COLUMN(J$1),1))</f>
        <v/>
      </c>
      <c r="BO418" s="37" t="str">
        <f t="array" ref="BO418">IF($A418="","", INDEX(CS!$B$1:$B$15025,MATCH($A418,CS!$B:$B,0)+COLUMN(K$1),1))</f>
        <v/>
      </c>
      <c r="BP418" s="37" t="str">
        <f t="array" ref="BP418">IF($A418="","", INDEX(CS!$B$1:$B$15025,MATCH($A418,CS!$B:$B,0)+COLUMN(L$1),1))</f>
        <v/>
      </c>
      <c r="BS418" s="74"/>
    </row>
    <row r="419" ht="18.75" customHeight="1">
      <c r="B419" s="71"/>
      <c r="C419" s="37" t="s">
        <v>2891</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INDEX(CS!$B$1:$B$15025,MATCH($A419,CS!$B:$B,0)+COLUMN(A$1),1))</f>
        <v/>
      </c>
      <c r="BH419" s="37" t="str">
        <f t="array" ref="BH419">IF($A419="","", INDEX(CS!$B$1:$B$15025,MATCH($A419,CS!$B:$B,0)+COLUMN(B$1),1))</f>
        <v/>
      </c>
      <c r="BI419" s="37" t="str">
        <f t="array" ref="BI419">IF($A419="","", INDEX(CS!$B$1:$B$15025,MATCH($A419,CS!$B:$B,0)+COLUMN(C$1),1))</f>
        <v/>
      </c>
      <c r="BJ419" s="37" t="str">
        <f t="array" ref="BJ419">IF($A419="","", INDEX(CS!$B$1:$B$15025,MATCH($A419,CS!$B:$B,0)+COLUMN(D$1),1))</f>
        <v/>
      </c>
      <c r="BK419" s="37" t="str">
        <f t="array" ref="BK419">IF($A419="","", INDEX(CS!$B$1:$B$15025,MATCH($A419,CS!$B:$B,0)+COLUMN(E$1),1))</f>
        <v/>
      </c>
      <c r="BL419" s="37" t="str">
        <f t="array" ref="BL419">IF($A419="","", INDEX(CS!$B$1:$B$15025,MATCH($A419,CS!$B:$B,0)+COLUMN(F$1),1))</f>
        <v/>
      </c>
      <c r="BM419" s="37" t="str">
        <f t="array" ref="BM419">IF($A419="","", INDEX(CS!$B$1:$B$15025,MATCH($A419,CS!$B:$B,0)+COLUMN(I$1),1))</f>
        <v/>
      </c>
      <c r="BN419" s="37" t="str">
        <f t="array" ref="BN419">IF($A419="","", INDEX(CS!$B$1:$B$15025,MATCH($A419,CS!$B:$B,0)+COLUMN(J$1),1))</f>
        <v/>
      </c>
      <c r="BO419" s="37" t="str">
        <f t="array" ref="BO419">IF($A419="","", INDEX(CS!$B$1:$B$15025,MATCH($A419,CS!$B:$B,0)+COLUMN(K$1),1))</f>
        <v/>
      </c>
      <c r="BP419" s="37" t="str">
        <f t="array" ref="BP419">IF($A419="","", INDEX(CS!$B$1:$B$15025,MATCH($A419,CS!$B:$B,0)+COLUMN(L$1),1))</f>
        <v/>
      </c>
      <c r="BS419" s="74"/>
    </row>
    <row r="420" ht="18.75" customHeight="1">
      <c r="B420" s="71"/>
      <c r="C420" s="37" t="s">
        <v>2891</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INDEX(CS!$B$1:$B$15025,MATCH($A420,CS!$B:$B,0)+COLUMN(A$1),1))</f>
        <v/>
      </c>
      <c r="BH420" s="37" t="str">
        <f t="array" ref="BH420">IF($A420="","", INDEX(CS!$B$1:$B$15025,MATCH($A420,CS!$B:$B,0)+COLUMN(B$1),1))</f>
        <v/>
      </c>
      <c r="BI420" s="37" t="str">
        <f t="array" ref="BI420">IF($A420="","", INDEX(CS!$B$1:$B$15025,MATCH($A420,CS!$B:$B,0)+COLUMN(C$1),1))</f>
        <v/>
      </c>
      <c r="BJ420" s="37" t="str">
        <f t="array" ref="BJ420">IF($A420="","", INDEX(CS!$B$1:$B$15025,MATCH($A420,CS!$B:$B,0)+COLUMN(D$1),1))</f>
        <v/>
      </c>
      <c r="BK420" s="37" t="str">
        <f t="array" ref="BK420">IF($A420="","", INDEX(CS!$B$1:$B$15025,MATCH($A420,CS!$B:$B,0)+COLUMN(E$1),1))</f>
        <v/>
      </c>
      <c r="BL420" s="37" t="str">
        <f t="array" ref="BL420">IF($A420="","", INDEX(CS!$B$1:$B$15025,MATCH($A420,CS!$B:$B,0)+COLUMN(F$1),1))</f>
        <v/>
      </c>
      <c r="BM420" s="37" t="str">
        <f t="array" ref="BM420">IF($A420="","", INDEX(CS!$B$1:$B$15025,MATCH($A420,CS!$B:$B,0)+COLUMN(I$1),1))</f>
        <v/>
      </c>
      <c r="BN420" s="37" t="str">
        <f t="array" ref="BN420">IF($A420="","", INDEX(CS!$B$1:$B$15025,MATCH($A420,CS!$B:$B,0)+COLUMN(J$1),1))</f>
        <v/>
      </c>
      <c r="BO420" s="37" t="str">
        <f t="array" ref="BO420">IF($A420="","", INDEX(CS!$B$1:$B$15025,MATCH($A420,CS!$B:$B,0)+COLUMN(K$1),1))</f>
        <v/>
      </c>
      <c r="BP420" s="37" t="str">
        <f t="array" ref="BP420">IF($A420="","", INDEX(CS!$B$1:$B$15025,MATCH($A420,CS!$B:$B,0)+COLUMN(L$1),1))</f>
        <v/>
      </c>
      <c r="BS420" s="74"/>
    </row>
    <row r="421" ht="18.75" customHeight="1">
      <c r="B421" s="71"/>
      <c r="C421" s="37" t="s">
        <v>2891</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INDEX(CS!$B$1:$B$15025,MATCH($A421,CS!$B:$B,0)+COLUMN(A$1),1))</f>
        <v/>
      </c>
      <c r="BH421" s="37" t="str">
        <f t="array" ref="BH421">IF($A421="","", INDEX(CS!$B$1:$B$15025,MATCH($A421,CS!$B:$B,0)+COLUMN(B$1),1))</f>
        <v/>
      </c>
      <c r="BI421" s="37" t="str">
        <f t="array" ref="BI421">IF($A421="","", INDEX(CS!$B$1:$B$15025,MATCH($A421,CS!$B:$B,0)+COLUMN(C$1),1))</f>
        <v/>
      </c>
      <c r="BJ421" s="37" t="str">
        <f t="array" ref="BJ421">IF($A421="","", INDEX(CS!$B$1:$B$15025,MATCH($A421,CS!$B:$B,0)+COLUMN(D$1),1))</f>
        <v/>
      </c>
      <c r="BK421" s="37" t="str">
        <f t="array" ref="BK421">IF($A421="","", INDEX(CS!$B$1:$B$15025,MATCH($A421,CS!$B:$B,0)+COLUMN(E$1),1))</f>
        <v/>
      </c>
      <c r="BL421" s="37" t="str">
        <f t="array" ref="BL421">IF($A421="","", INDEX(CS!$B$1:$B$15025,MATCH($A421,CS!$B:$B,0)+COLUMN(F$1),1))</f>
        <v/>
      </c>
      <c r="BM421" s="37" t="str">
        <f t="array" ref="BM421">IF($A421="","", INDEX(CS!$B$1:$B$15025,MATCH($A421,CS!$B:$B,0)+COLUMN(I$1),1))</f>
        <v/>
      </c>
      <c r="BN421" s="37" t="str">
        <f t="array" ref="BN421">IF($A421="","", INDEX(CS!$B$1:$B$15025,MATCH($A421,CS!$B:$B,0)+COLUMN(J$1),1))</f>
        <v/>
      </c>
      <c r="BO421" s="37" t="str">
        <f t="array" ref="BO421">IF($A421="","", INDEX(CS!$B$1:$B$15025,MATCH($A421,CS!$B:$B,0)+COLUMN(K$1),1))</f>
        <v/>
      </c>
      <c r="BP421" s="37" t="str">
        <f t="array" ref="BP421">IF($A421="","", INDEX(CS!$B$1:$B$15025,MATCH($A421,CS!$B:$B,0)+COLUMN(L$1),1))</f>
        <v/>
      </c>
      <c r="BS421" s="74"/>
    </row>
    <row r="422" ht="18.75" customHeight="1">
      <c r="B422" s="71"/>
      <c r="C422" s="37" t="s">
        <v>2891</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INDEX(CS!$B$1:$B$15025,MATCH($A422,CS!$B:$B,0)+COLUMN(A$1),1))</f>
        <v/>
      </c>
      <c r="BH422" s="37" t="str">
        <f t="array" ref="BH422">IF($A422="","", INDEX(CS!$B$1:$B$15025,MATCH($A422,CS!$B:$B,0)+COLUMN(B$1),1))</f>
        <v/>
      </c>
      <c r="BI422" s="37" t="str">
        <f t="array" ref="BI422">IF($A422="","", INDEX(CS!$B$1:$B$15025,MATCH($A422,CS!$B:$B,0)+COLUMN(C$1),1))</f>
        <v/>
      </c>
      <c r="BJ422" s="37" t="str">
        <f t="array" ref="BJ422">IF($A422="","", INDEX(CS!$B$1:$B$15025,MATCH($A422,CS!$B:$B,0)+COLUMN(D$1),1))</f>
        <v/>
      </c>
      <c r="BK422" s="37" t="str">
        <f t="array" ref="BK422">IF($A422="","", INDEX(CS!$B$1:$B$15025,MATCH($A422,CS!$B:$B,0)+COLUMN(E$1),1))</f>
        <v/>
      </c>
      <c r="BL422" s="37" t="str">
        <f t="array" ref="BL422">IF($A422="","", INDEX(CS!$B$1:$B$15025,MATCH($A422,CS!$B:$B,0)+COLUMN(F$1),1))</f>
        <v/>
      </c>
      <c r="BM422" s="37" t="str">
        <f t="array" ref="BM422">IF($A422="","", INDEX(CS!$B$1:$B$15025,MATCH($A422,CS!$B:$B,0)+COLUMN(I$1),1))</f>
        <v/>
      </c>
      <c r="BN422" s="37" t="str">
        <f t="array" ref="BN422">IF($A422="","", INDEX(CS!$B$1:$B$15025,MATCH($A422,CS!$B:$B,0)+COLUMN(J$1),1))</f>
        <v/>
      </c>
      <c r="BO422" s="37" t="str">
        <f t="array" ref="BO422">IF($A422="","", INDEX(CS!$B$1:$B$15025,MATCH($A422,CS!$B:$B,0)+COLUMN(K$1),1))</f>
        <v/>
      </c>
      <c r="BP422" s="37" t="str">
        <f t="array" ref="BP422">IF($A422="","", INDEX(CS!$B$1:$B$15025,MATCH($A422,CS!$B:$B,0)+COLUMN(L$1),1))</f>
        <v/>
      </c>
      <c r="BS422" s="74"/>
    </row>
    <row r="423" ht="18.75" customHeight="1">
      <c r="B423" s="71"/>
      <c r="C423" s="37" t="s">
        <v>2891</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INDEX(CS!$B$1:$B$15025,MATCH($A423,CS!$B:$B,0)+COLUMN(A$1),1))</f>
        <v/>
      </c>
      <c r="BH423" s="37" t="str">
        <f t="array" ref="BH423">IF($A423="","", INDEX(CS!$B$1:$B$15025,MATCH($A423,CS!$B:$B,0)+COLUMN(B$1),1))</f>
        <v/>
      </c>
      <c r="BI423" s="37" t="str">
        <f t="array" ref="BI423">IF($A423="","", INDEX(CS!$B$1:$B$15025,MATCH($A423,CS!$B:$B,0)+COLUMN(C$1),1))</f>
        <v/>
      </c>
      <c r="BJ423" s="37" t="str">
        <f t="array" ref="BJ423">IF($A423="","", INDEX(CS!$B$1:$B$15025,MATCH($A423,CS!$B:$B,0)+COLUMN(D$1),1))</f>
        <v/>
      </c>
      <c r="BK423" s="37" t="str">
        <f t="array" ref="BK423">IF($A423="","", INDEX(CS!$B$1:$B$15025,MATCH($A423,CS!$B:$B,0)+COLUMN(E$1),1))</f>
        <v/>
      </c>
      <c r="BL423" s="37" t="str">
        <f t="array" ref="BL423">IF($A423="","", INDEX(CS!$B$1:$B$15025,MATCH($A423,CS!$B:$B,0)+COLUMN(F$1),1))</f>
        <v/>
      </c>
      <c r="BM423" s="37" t="str">
        <f t="array" ref="BM423">IF($A423="","", INDEX(CS!$B$1:$B$15025,MATCH($A423,CS!$B:$B,0)+COLUMN(I$1),1))</f>
        <v/>
      </c>
      <c r="BN423" s="37" t="str">
        <f t="array" ref="BN423">IF($A423="","", INDEX(CS!$B$1:$B$15025,MATCH($A423,CS!$B:$B,0)+COLUMN(J$1),1))</f>
        <v/>
      </c>
      <c r="BO423" s="37" t="str">
        <f t="array" ref="BO423">IF($A423="","", INDEX(CS!$B$1:$B$15025,MATCH($A423,CS!$B:$B,0)+COLUMN(K$1),1))</f>
        <v/>
      </c>
      <c r="BP423" s="37" t="str">
        <f t="array" ref="BP423">IF($A423="","", INDEX(CS!$B$1:$B$15025,MATCH($A423,CS!$B:$B,0)+COLUMN(L$1),1))</f>
        <v/>
      </c>
      <c r="BS423" s="74"/>
    </row>
    <row r="424" ht="18.75" customHeight="1">
      <c r="B424" s="71"/>
      <c r="C424" s="37" t="s">
        <v>2891</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INDEX(CS!$B$1:$B$15025,MATCH($A424,CS!$B:$B,0)+COLUMN(A$1),1))</f>
        <v/>
      </c>
      <c r="BH424" s="37" t="str">
        <f t="array" ref="BH424">IF($A424="","", INDEX(CS!$B$1:$B$15025,MATCH($A424,CS!$B:$B,0)+COLUMN(B$1),1))</f>
        <v/>
      </c>
      <c r="BI424" s="37" t="str">
        <f t="array" ref="BI424">IF($A424="","", INDEX(CS!$B$1:$B$15025,MATCH($A424,CS!$B:$B,0)+COLUMN(C$1),1))</f>
        <v/>
      </c>
      <c r="BJ424" s="37" t="str">
        <f t="array" ref="BJ424">IF($A424="","", INDEX(CS!$B$1:$B$15025,MATCH($A424,CS!$B:$B,0)+COLUMN(D$1),1))</f>
        <v/>
      </c>
      <c r="BK424" s="37" t="str">
        <f t="array" ref="BK424">IF($A424="","", INDEX(CS!$B$1:$B$15025,MATCH($A424,CS!$B:$B,0)+COLUMN(E$1),1))</f>
        <v/>
      </c>
      <c r="BL424" s="37" t="str">
        <f t="array" ref="BL424">IF($A424="","", INDEX(CS!$B$1:$B$15025,MATCH($A424,CS!$B:$B,0)+COLUMN(F$1),1))</f>
        <v/>
      </c>
      <c r="BM424" s="37" t="str">
        <f t="array" ref="BM424">IF($A424="","", INDEX(CS!$B$1:$B$15025,MATCH($A424,CS!$B:$B,0)+COLUMN(I$1),1))</f>
        <v/>
      </c>
      <c r="BN424" s="37" t="str">
        <f t="array" ref="BN424">IF($A424="","", INDEX(CS!$B$1:$B$15025,MATCH($A424,CS!$B:$B,0)+COLUMN(J$1),1))</f>
        <v/>
      </c>
      <c r="BO424" s="37" t="str">
        <f t="array" ref="BO424">IF($A424="","", INDEX(CS!$B$1:$B$15025,MATCH($A424,CS!$B:$B,0)+COLUMN(K$1),1))</f>
        <v/>
      </c>
      <c r="BP424" s="37" t="str">
        <f t="array" ref="BP424">IF($A424="","", INDEX(CS!$B$1:$B$15025,MATCH($A424,CS!$B:$B,0)+COLUMN(L$1),1))</f>
        <v/>
      </c>
      <c r="BS424" s="74"/>
    </row>
    <row r="425" ht="18.75" customHeight="1">
      <c r="B425" s="71"/>
      <c r="C425" s="37" t="s">
        <v>2891</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INDEX(CS!$B$1:$B$15025,MATCH($A425,CS!$B:$B,0)+COLUMN(A$1),1))</f>
        <v/>
      </c>
      <c r="BH425" s="37" t="str">
        <f t="array" ref="BH425">IF($A425="","", INDEX(CS!$B$1:$B$15025,MATCH($A425,CS!$B:$B,0)+COLUMN(B$1),1))</f>
        <v/>
      </c>
      <c r="BI425" s="37" t="str">
        <f t="array" ref="BI425">IF($A425="","", INDEX(CS!$B$1:$B$15025,MATCH($A425,CS!$B:$B,0)+COLUMN(C$1),1))</f>
        <v/>
      </c>
      <c r="BJ425" s="37" t="str">
        <f t="array" ref="BJ425">IF($A425="","", INDEX(CS!$B$1:$B$15025,MATCH($A425,CS!$B:$B,0)+COLUMN(D$1),1))</f>
        <v/>
      </c>
      <c r="BK425" s="37" t="str">
        <f t="array" ref="BK425">IF($A425="","", INDEX(CS!$B$1:$B$15025,MATCH($A425,CS!$B:$B,0)+COLUMN(E$1),1))</f>
        <v/>
      </c>
      <c r="BL425" s="37" t="str">
        <f t="array" ref="BL425">IF($A425="","", INDEX(CS!$B$1:$B$15025,MATCH($A425,CS!$B:$B,0)+COLUMN(F$1),1))</f>
        <v/>
      </c>
      <c r="BM425" s="37" t="str">
        <f t="array" ref="BM425">IF($A425="","", INDEX(CS!$B$1:$B$15025,MATCH($A425,CS!$B:$B,0)+COLUMN(I$1),1))</f>
        <v/>
      </c>
      <c r="BN425" s="37" t="str">
        <f t="array" ref="BN425">IF($A425="","", INDEX(CS!$B$1:$B$15025,MATCH($A425,CS!$B:$B,0)+COLUMN(J$1),1))</f>
        <v/>
      </c>
      <c r="BO425" s="37" t="str">
        <f t="array" ref="BO425">IF($A425="","", INDEX(CS!$B$1:$B$15025,MATCH($A425,CS!$B:$B,0)+COLUMN(K$1),1))</f>
        <v/>
      </c>
      <c r="BP425" s="37" t="str">
        <f t="array" ref="BP425">IF($A425="","", INDEX(CS!$B$1:$B$15025,MATCH($A425,CS!$B:$B,0)+COLUMN(L$1),1))</f>
        <v/>
      </c>
      <c r="BS425" s="74"/>
    </row>
    <row r="426" ht="18.75" customHeight="1">
      <c r="B426" s="71"/>
      <c r="C426" s="37" t="s">
        <v>2891</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INDEX(CS!$B$1:$B$15025,MATCH($A426,CS!$B:$B,0)+COLUMN(A$1),1))</f>
        <v/>
      </c>
      <c r="BH426" s="37" t="str">
        <f t="array" ref="BH426">IF($A426="","", INDEX(CS!$B$1:$B$15025,MATCH($A426,CS!$B:$B,0)+COLUMN(B$1),1))</f>
        <v/>
      </c>
      <c r="BI426" s="37" t="str">
        <f t="array" ref="BI426">IF($A426="","", INDEX(CS!$B$1:$B$15025,MATCH($A426,CS!$B:$B,0)+COLUMN(C$1),1))</f>
        <v/>
      </c>
      <c r="BJ426" s="37" t="str">
        <f t="array" ref="BJ426">IF($A426="","", INDEX(CS!$B$1:$B$15025,MATCH($A426,CS!$B:$B,0)+COLUMN(D$1),1))</f>
        <v/>
      </c>
      <c r="BK426" s="37" t="str">
        <f t="array" ref="BK426">IF($A426="","", INDEX(CS!$B$1:$B$15025,MATCH($A426,CS!$B:$B,0)+COLUMN(E$1),1))</f>
        <v/>
      </c>
      <c r="BL426" s="37" t="str">
        <f t="array" ref="BL426">IF($A426="","", INDEX(CS!$B$1:$B$15025,MATCH($A426,CS!$B:$B,0)+COLUMN(F$1),1))</f>
        <v/>
      </c>
      <c r="BM426" s="37" t="str">
        <f t="array" ref="BM426">IF($A426="","", INDEX(CS!$B$1:$B$15025,MATCH($A426,CS!$B:$B,0)+COLUMN(I$1),1))</f>
        <v/>
      </c>
      <c r="BN426" s="37" t="str">
        <f t="array" ref="BN426">IF($A426="","", INDEX(CS!$B$1:$B$15025,MATCH($A426,CS!$B:$B,0)+COLUMN(J$1),1))</f>
        <v/>
      </c>
      <c r="BO426" s="37" t="str">
        <f t="array" ref="BO426">IF($A426="","", INDEX(CS!$B$1:$B$15025,MATCH($A426,CS!$B:$B,0)+COLUMN(K$1),1))</f>
        <v/>
      </c>
      <c r="BP426" s="37" t="str">
        <f t="array" ref="BP426">IF($A426="","", INDEX(CS!$B$1:$B$15025,MATCH($A426,CS!$B:$B,0)+COLUMN(L$1),1))</f>
        <v/>
      </c>
      <c r="BS426" s="74"/>
    </row>
    <row r="427" ht="18.75" customHeight="1">
      <c r="B427" s="71"/>
      <c r="C427" s="37" t="s">
        <v>2891</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INDEX(CS!$B$1:$B$15025,MATCH($A427,CS!$B:$B,0)+COLUMN(A$1),1))</f>
        <v/>
      </c>
      <c r="BH427" s="37" t="str">
        <f t="array" ref="BH427">IF($A427="","", INDEX(CS!$B$1:$B$15025,MATCH($A427,CS!$B:$B,0)+COLUMN(B$1),1))</f>
        <v/>
      </c>
      <c r="BI427" s="37" t="str">
        <f t="array" ref="BI427">IF($A427="","", INDEX(CS!$B$1:$B$15025,MATCH($A427,CS!$B:$B,0)+COLUMN(C$1),1))</f>
        <v/>
      </c>
      <c r="BJ427" s="37" t="str">
        <f t="array" ref="BJ427">IF($A427="","", INDEX(CS!$B$1:$B$15025,MATCH($A427,CS!$B:$B,0)+COLUMN(D$1),1))</f>
        <v/>
      </c>
      <c r="BK427" s="37" t="str">
        <f t="array" ref="BK427">IF($A427="","", INDEX(CS!$B$1:$B$15025,MATCH($A427,CS!$B:$B,0)+COLUMN(E$1),1))</f>
        <v/>
      </c>
      <c r="BL427" s="37" t="str">
        <f t="array" ref="BL427">IF($A427="","", INDEX(CS!$B$1:$B$15025,MATCH($A427,CS!$B:$B,0)+COLUMN(F$1),1))</f>
        <v/>
      </c>
      <c r="BM427" s="37" t="str">
        <f t="array" ref="BM427">IF($A427="","", INDEX(CS!$B$1:$B$15025,MATCH($A427,CS!$B:$B,0)+COLUMN(I$1),1))</f>
        <v/>
      </c>
      <c r="BN427" s="37" t="str">
        <f t="array" ref="BN427">IF($A427="","", INDEX(CS!$B$1:$B$15025,MATCH($A427,CS!$B:$B,0)+COLUMN(J$1),1))</f>
        <v/>
      </c>
      <c r="BO427" s="37" t="str">
        <f t="array" ref="BO427">IF($A427="","", INDEX(CS!$B$1:$B$15025,MATCH($A427,CS!$B:$B,0)+COLUMN(K$1),1))</f>
        <v/>
      </c>
      <c r="BP427" s="37" t="str">
        <f t="array" ref="BP427">IF($A427="","", INDEX(CS!$B$1:$B$15025,MATCH($A427,CS!$B:$B,0)+COLUMN(L$1),1))</f>
        <v/>
      </c>
      <c r="BS427" s="74"/>
    </row>
    <row r="428" ht="18.75" customHeight="1">
      <c r="B428" s="71"/>
      <c r="C428" s="37" t="s">
        <v>2891</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INDEX(CS!$B$1:$B$15025,MATCH($A428,CS!$B:$B,0)+COLUMN(A$1),1))</f>
        <v/>
      </c>
      <c r="BH428" s="37" t="str">
        <f t="array" ref="BH428">IF($A428="","", INDEX(CS!$B$1:$B$15025,MATCH($A428,CS!$B:$B,0)+COLUMN(B$1),1))</f>
        <v/>
      </c>
      <c r="BI428" s="37" t="str">
        <f t="array" ref="BI428">IF($A428="","", INDEX(CS!$B$1:$B$15025,MATCH($A428,CS!$B:$B,0)+COLUMN(C$1),1))</f>
        <v/>
      </c>
      <c r="BJ428" s="37" t="str">
        <f t="array" ref="BJ428">IF($A428="","", INDEX(CS!$B$1:$B$15025,MATCH($A428,CS!$B:$B,0)+COLUMN(D$1),1))</f>
        <v/>
      </c>
      <c r="BK428" s="37" t="str">
        <f t="array" ref="BK428">IF($A428="","", INDEX(CS!$B$1:$B$15025,MATCH($A428,CS!$B:$B,0)+COLUMN(E$1),1))</f>
        <v/>
      </c>
      <c r="BL428" s="37" t="str">
        <f t="array" ref="BL428">IF($A428="","", INDEX(CS!$B$1:$B$15025,MATCH($A428,CS!$B:$B,0)+COLUMN(F$1),1))</f>
        <v/>
      </c>
      <c r="BM428" s="37" t="str">
        <f t="array" ref="BM428">IF($A428="","", INDEX(CS!$B$1:$B$15025,MATCH($A428,CS!$B:$B,0)+COLUMN(I$1),1))</f>
        <v/>
      </c>
      <c r="BN428" s="37" t="str">
        <f t="array" ref="BN428">IF($A428="","", INDEX(CS!$B$1:$B$15025,MATCH($A428,CS!$B:$B,0)+COLUMN(J$1),1))</f>
        <v/>
      </c>
      <c r="BO428" s="37" t="str">
        <f t="array" ref="BO428">IF($A428="","", INDEX(CS!$B$1:$B$15025,MATCH($A428,CS!$B:$B,0)+COLUMN(K$1),1))</f>
        <v/>
      </c>
      <c r="BP428" s="37" t="str">
        <f t="array" ref="BP428">IF($A428="","", INDEX(CS!$B$1:$B$15025,MATCH($A428,CS!$B:$B,0)+COLUMN(L$1),1))</f>
        <v/>
      </c>
      <c r="BS428" s="74"/>
    </row>
    <row r="429" ht="18.75" customHeight="1">
      <c r="B429" s="71"/>
      <c r="C429" s="37" t="s">
        <v>2891</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INDEX(CS!$B$1:$B$15025,MATCH($A429,CS!$B:$B,0)+COLUMN(A$1),1))</f>
        <v/>
      </c>
      <c r="BH429" s="37" t="str">
        <f t="array" ref="BH429">IF($A429="","", INDEX(CS!$B$1:$B$15025,MATCH($A429,CS!$B:$B,0)+COLUMN(B$1),1))</f>
        <v/>
      </c>
      <c r="BI429" s="37" t="str">
        <f t="array" ref="BI429">IF($A429="","", INDEX(CS!$B$1:$B$15025,MATCH($A429,CS!$B:$B,0)+COLUMN(C$1),1))</f>
        <v/>
      </c>
      <c r="BJ429" s="37" t="str">
        <f t="array" ref="BJ429">IF($A429="","", INDEX(CS!$B$1:$B$15025,MATCH($A429,CS!$B:$B,0)+COLUMN(D$1),1))</f>
        <v/>
      </c>
      <c r="BK429" s="37" t="str">
        <f t="array" ref="BK429">IF($A429="","", INDEX(CS!$B$1:$B$15025,MATCH($A429,CS!$B:$B,0)+COLUMN(E$1),1))</f>
        <v/>
      </c>
      <c r="BL429" s="37" t="str">
        <f t="array" ref="BL429">IF($A429="","", INDEX(CS!$B$1:$B$15025,MATCH($A429,CS!$B:$B,0)+COLUMN(F$1),1))</f>
        <v/>
      </c>
      <c r="BM429" s="37" t="str">
        <f t="array" ref="BM429">IF($A429="","", INDEX(CS!$B$1:$B$15025,MATCH($A429,CS!$B:$B,0)+COLUMN(I$1),1))</f>
        <v/>
      </c>
      <c r="BN429" s="37" t="str">
        <f t="array" ref="BN429">IF($A429="","", INDEX(CS!$B$1:$B$15025,MATCH($A429,CS!$B:$B,0)+COLUMN(J$1),1))</f>
        <v/>
      </c>
      <c r="BO429" s="37" t="str">
        <f t="array" ref="BO429">IF($A429="","", INDEX(CS!$B$1:$B$15025,MATCH($A429,CS!$B:$B,0)+COLUMN(K$1),1))</f>
        <v/>
      </c>
      <c r="BP429" s="37" t="str">
        <f t="array" ref="BP429">IF($A429="","", INDEX(CS!$B$1:$B$15025,MATCH($A429,CS!$B:$B,0)+COLUMN(L$1),1))</f>
        <v/>
      </c>
      <c r="BS429" s="74"/>
    </row>
    <row r="430" ht="18.75" customHeight="1">
      <c r="B430" s="71"/>
      <c r="C430" s="37" t="s">
        <v>2891</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INDEX(CS!$B$1:$B$15025,MATCH($A430,CS!$B:$B,0)+COLUMN(A$1),1))</f>
        <v/>
      </c>
      <c r="BH430" s="37" t="str">
        <f t="array" ref="BH430">IF($A430="","", INDEX(CS!$B$1:$B$15025,MATCH($A430,CS!$B:$B,0)+COLUMN(B$1),1))</f>
        <v/>
      </c>
      <c r="BI430" s="37" t="str">
        <f t="array" ref="BI430">IF($A430="","", INDEX(CS!$B$1:$B$15025,MATCH($A430,CS!$B:$B,0)+COLUMN(C$1),1))</f>
        <v/>
      </c>
      <c r="BJ430" s="37" t="str">
        <f t="array" ref="BJ430">IF($A430="","", INDEX(CS!$B$1:$B$15025,MATCH($A430,CS!$B:$B,0)+COLUMN(D$1),1))</f>
        <v/>
      </c>
      <c r="BK430" s="37" t="str">
        <f t="array" ref="BK430">IF($A430="","", INDEX(CS!$B$1:$B$15025,MATCH($A430,CS!$B:$B,0)+COLUMN(E$1),1))</f>
        <v/>
      </c>
      <c r="BL430" s="37" t="str">
        <f t="array" ref="BL430">IF($A430="","", INDEX(CS!$B$1:$B$15025,MATCH($A430,CS!$B:$B,0)+COLUMN(F$1),1))</f>
        <v/>
      </c>
      <c r="BM430" s="37" t="str">
        <f t="array" ref="BM430">IF($A430="","", INDEX(CS!$B$1:$B$15025,MATCH($A430,CS!$B:$B,0)+COLUMN(I$1),1))</f>
        <v/>
      </c>
      <c r="BN430" s="37" t="str">
        <f t="array" ref="BN430">IF($A430="","", INDEX(CS!$B$1:$B$15025,MATCH($A430,CS!$B:$B,0)+COLUMN(J$1),1))</f>
        <v/>
      </c>
      <c r="BO430" s="37" t="str">
        <f t="array" ref="BO430">IF($A430="","", INDEX(CS!$B$1:$B$15025,MATCH($A430,CS!$B:$B,0)+COLUMN(K$1),1))</f>
        <v/>
      </c>
      <c r="BP430" s="37" t="str">
        <f t="array" ref="BP430">IF($A430="","", INDEX(CS!$B$1:$B$15025,MATCH($A430,CS!$B:$B,0)+COLUMN(L$1),1))</f>
        <v/>
      </c>
      <c r="BS430" s="74"/>
    </row>
    <row r="431" ht="18.75" customHeight="1">
      <c r="B431" s="71"/>
      <c r="C431" s="37" t="s">
        <v>2891</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INDEX(CS!$B$1:$B$15025,MATCH($A431,CS!$B:$B,0)+COLUMN(A$1),1))</f>
        <v/>
      </c>
      <c r="BH431" s="37" t="str">
        <f t="array" ref="BH431">IF($A431="","", INDEX(CS!$B$1:$B$15025,MATCH($A431,CS!$B:$B,0)+COLUMN(B$1),1))</f>
        <v/>
      </c>
      <c r="BI431" s="37" t="str">
        <f t="array" ref="BI431">IF($A431="","", INDEX(CS!$B$1:$B$15025,MATCH($A431,CS!$B:$B,0)+COLUMN(C$1),1))</f>
        <v/>
      </c>
      <c r="BJ431" s="37" t="str">
        <f t="array" ref="BJ431">IF($A431="","", INDEX(CS!$B$1:$B$15025,MATCH($A431,CS!$B:$B,0)+COLUMN(D$1),1))</f>
        <v/>
      </c>
      <c r="BK431" s="37" t="str">
        <f t="array" ref="BK431">IF($A431="","", INDEX(CS!$B$1:$B$15025,MATCH($A431,CS!$B:$B,0)+COLUMN(E$1),1))</f>
        <v/>
      </c>
      <c r="BL431" s="37" t="str">
        <f t="array" ref="BL431">IF($A431="","", INDEX(CS!$B$1:$B$15025,MATCH($A431,CS!$B:$B,0)+COLUMN(F$1),1))</f>
        <v/>
      </c>
      <c r="BM431" s="37" t="str">
        <f t="array" ref="BM431">IF($A431="","", INDEX(CS!$B$1:$B$15025,MATCH($A431,CS!$B:$B,0)+COLUMN(I$1),1))</f>
        <v/>
      </c>
      <c r="BN431" s="37" t="str">
        <f t="array" ref="BN431">IF($A431="","", INDEX(CS!$B$1:$B$15025,MATCH($A431,CS!$B:$B,0)+COLUMN(J$1),1))</f>
        <v/>
      </c>
      <c r="BO431" s="37" t="str">
        <f t="array" ref="BO431">IF($A431="","", INDEX(CS!$B$1:$B$15025,MATCH($A431,CS!$B:$B,0)+COLUMN(K$1),1))</f>
        <v/>
      </c>
      <c r="BP431" s="37" t="str">
        <f t="array" ref="BP431">IF($A431="","", INDEX(CS!$B$1:$B$15025,MATCH($A431,CS!$B:$B,0)+COLUMN(L$1),1))</f>
        <v/>
      </c>
      <c r="BS431" s="74"/>
    </row>
    <row r="432" ht="18.75" customHeight="1">
      <c r="B432" s="71"/>
      <c r="C432" s="37" t="s">
        <v>2891</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INDEX(CS!$B$1:$B$15025,MATCH($A432,CS!$B:$B,0)+COLUMN(A$1),1))</f>
        <v/>
      </c>
      <c r="BH432" s="37" t="str">
        <f t="array" ref="BH432">IF($A432="","", INDEX(CS!$B$1:$B$15025,MATCH($A432,CS!$B:$B,0)+COLUMN(B$1),1))</f>
        <v/>
      </c>
      <c r="BI432" s="37" t="str">
        <f t="array" ref="BI432">IF($A432="","", INDEX(CS!$B$1:$B$15025,MATCH($A432,CS!$B:$B,0)+COLUMN(C$1),1))</f>
        <v/>
      </c>
      <c r="BJ432" s="37" t="str">
        <f t="array" ref="BJ432">IF($A432="","", INDEX(CS!$B$1:$B$15025,MATCH($A432,CS!$B:$B,0)+COLUMN(D$1),1))</f>
        <v/>
      </c>
      <c r="BK432" s="37" t="str">
        <f t="array" ref="BK432">IF($A432="","", INDEX(CS!$B$1:$B$15025,MATCH($A432,CS!$B:$B,0)+COLUMN(E$1),1))</f>
        <v/>
      </c>
      <c r="BL432" s="37" t="str">
        <f t="array" ref="BL432">IF($A432="","", INDEX(CS!$B$1:$B$15025,MATCH($A432,CS!$B:$B,0)+COLUMN(F$1),1))</f>
        <v/>
      </c>
      <c r="BM432" s="37" t="str">
        <f t="array" ref="BM432">IF($A432="","", INDEX(CS!$B$1:$B$15025,MATCH($A432,CS!$B:$B,0)+COLUMN(I$1),1))</f>
        <v/>
      </c>
      <c r="BN432" s="37" t="str">
        <f t="array" ref="BN432">IF($A432="","", INDEX(CS!$B$1:$B$15025,MATCH($A432,CS!$B:$B,0)+COLUMN(J$1),1))</f>
        <v/>
      </c>
      <c r="BO432" s="37" t="str">
        <f t="array" ref="BO432">IF($A432="","", INDEX(CS!$B$1:$B$15025,MATCH($A432,CS!$B:$B,0)+COLUMN(K$1),1))</f>
        <v/>
      </c>
      <c r="BP432" s="37" t="str">
        <f t="array" ref="BP432">IF($A432="","", INDEX(CS!$B$1:$B$15025,MATCH($A432,CS!$B:$B,0)+COLUMN(L$1),1))</f>
        <v/>
      </c>
      <c r="BS432" s="74"/>
    </row>
    <row r="433" ht="18.75" customHeight="1">
      <c r="B433" s="71"/>
      <c r="C433" s="37" t="s">
        <v>2891</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INDEX(CS!$B$1:$B$15025,MATCH($A433,CS!$B:$B,0)+COLUMN(A$1),1))</f>
        <v/>
      </c>
      <c r="BH433" s="37" t="str">
        <f t="array" ref="BH433">IF($A433="","", INDEX(CS!$B$1:$B$15025,MATCH($A433,CS!$B:$B,0)+COLUMN(B$1),1))</f>
        <v/>
      </c>
      <c r="BI433" s="37" t="str">
        <f t="array" ref="BI433">IF($A433="","", INDEX(CS!$B$1:$B$15025,MATCH($A433,CS!$B:$B,0)+COLUMN(C$1),1))</f>
        <v/>
      </c>
      <c r="BJ433" s="37" t="str">
        <f t="array" ref="BJ433">IF($A433="","", INDEX(CS!$B$1:$B$15025,MATCH($A433,CS!$B:$B,0)+COLUMN(D$1),1))</f>
        <v/>
      </c>
      <c r="BK433" s="37" t="str">
        <f t="array" ref="BK433">IF($A433="","", INDEX(CS!$B$1:$B$15025,MATCH($A433,CS!$B:$B,0)+COLUMN(E$1),1))</f>
        <v/>
      </c>
      <c r="BL433" s="37" t="str">
        <f t="array" ref="BL433">IF($A433="","", INDEX(CS!$B$1:$B$15025,MATCH($A433,CS!$B:$B,0)+COLUMN(F$1),1))</f>
        <v/>
      </c>
      <c r="BM433" s="37" t="str">
        <f t="array" ref="BM433">IF($A433="","", INDEX(CS!$B$1:$B$15025,MATCH($A433,CS!$B:$B,0)+COLUMN(I$1),1))</f>
        <v/>
      </c>
      <c r="BN433" s="37" t="str">
        <f t="array" ref="BN433">IF($A433="","", INDEX(CS!$B$1:$B$15025,MATCH($A433,CS!$B:$B,0)+COLUMN(J$1),1))</f>
        <v/>
      </c>
      <c r="BO433" s="37" t="str">
        <f t="array" ref="BO433">IF($A433="","", INDEX(CS!$B$1:$B$15025,MATCH($A433,CS!$B:$B,0)+COLUMN(K$1),1))</f>
        <v/>
      </c>
      <c r="BP433" s="37" t="str">
        <f t="array" ref="BP433">IF($A433="","", INDEX(CS!$B$1:$B$15025,MATCH($A433,CS!$B:$B,0)+COLUMN(L$1),1))</f>
        <v/>
      </c>
      <c r="BS433" s="74"/>
    </row>
    <row r="434" ht="18.75" customHeight="1">
      <c r="B434" s="71"/>
      <c r="C434" s="37" t="s">
        <v>2891</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INDEX(CS!$B$1:$B$15025,MATCH($A434,CS!$B:$B,0)+COLUMN(A$1),1))</f>
        <v/>
      </c>
      <c r="BH434" s="37" t="str">
        <f t="array" ref="BH434">IF($A434="","", INDEX(CS!$B$1:$B$15025,MATCH($A434,CS!$B:$B,0)+COLUMN(B$1),1))</f>
        <v/>
      </c>
      <c r="BI434" s="37" t="str">
        <f t="array" ref="BI434">IF($A434="","", INDEX(CS!$B$1:$B$15025,MATCH($A434,CS!$B:$B,0)+COLUMN(C$1),1))</f>
        <v/>
      </c>
      <c r="BJ434" s="37" t="str">
        <f t="array" ref="BJ434">IF($A434="","", INDEX(CS!$B$1:$B$15025,MATCH($A434,CS!$B:$B,0)+COLUMN(D$1),1))</f>
        <v/>
      </c>
      <c r="BK434" s="37" t="str">
        <f t="array" ref="BK434">IF($A434="","", INDEX(CS!$B$1:$B$15025,MATCH($A434,CS!$B:$B,0)+COLUMN(E$1),1))</f>
        <v/>
      </c>
      <c r="BL434" s="37" t="str">
        <f t="array" ref="BL434">IF($A434="","", INDEX(CS!$B$1:$B$15025,MATCH($A434,CS!$B:$B,0)+COLUMN(F$1),1))</f>
        <v/>
      </c>
      <c r="BM434" s="37" t="str">
        <f t="array" ref="BM434">IF($A434="","", INDEX(CS!$B$1:$B$15025,MATCH($A434,CS!$B:$B,0)+COLUMN(I$1),1))</f>
        <v/>
      </c>
      <c r="BN434" s="37" t="str">
        <f t="array" ref="BN434">IF($A434="","", INDEX(CS!$B$1:$B$15025,MATCH($A434,CS!$B:$B,0)+COLUMN(J$1),1))</f>
        <v/>
      </c>
      <c r="BO434" s="37" t="str">
        <f t="array" ref="BO434">IF($A434="","", INDEX(CS!$B$1:$B$15025,MATCH($A434,CS!$B:$B,0)+COLUMN(K$1),1))</f>
        <v/>
      </c>
      <c r="BP434" s="37" t="str">
        <f t="array" ref="BP434">IF($A434="","", INDEX(CS!$B$1:$B$15025,MATCH($A434,CS!$B:$B,0)+COLUMN(L$1),1))</f>
        <v/>
      </c>
      <c r="BS434" s="74"/>
    </row>
    <row r="435" ht="18.75" customHeight="1">
      <c r="B435" s="71"/>
      <c r="C435" s="37" t="s">
        <v>2891</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INDEX(CS!$B$1:$B$15025,MATCH($A435,CS!$B:$B,0)+COLUMN(A$1),1))</f>
        <v/>
      </c>
      <c r="BH435" s="37" t="str">
        <f t="array" ref="BH435">IF($A435="","", INDEX(CS!$B$1:$B$15025,MATCH($A435,CS!$B:$B,0)+COLUMN(B$1),1))</f>
        <v/>
      </c>
      <c r="BI435" s="37" t="str">
        <f t="array" ref="BI435">IF($A435="","", INDEX(CS!$B$1:$B$15025,MATCH($A435,CS!$B:$B,0)+COLUMN(C$1),1))</f>
        <v/>
      </c>
      <c r="BJ435" s="37" t="str">
        <f t="array" ref="BJ435">IF($A435="","", INDEX(CS!$B$1:$B$15025,MATCH($A435,CS!$B:$B,0)+COLUMN(D$1),1))</f>
        <v/>
      </c>
      <c r="BK435" s="37" t="str">
        <f t="array" ref="BK435">IF($A435="","", INDEX(CS!$B$1:$B$15025,MATCH($A435,CS!$B:$B,0)+COLUMN(E$1),1))</f>
        <v/>
      </c>
      <c r="BL435" s="37" t="str">
        <f t="array" ref="BL435">IF($A435="","", INDEX(CS!$B$1:$B$15025,MATCH($A435,CS!$B:$B,0)+COLUMN(F$1),1))</f>
        <v/>
      </c>
      <c r="BM435" s="37" t="str">
        <f t="array" ref="BM435">IF($A435="","", INDEX(CS!$B$1:$B$15025,MATCH($A435,CS!$B:$B,0)+COLUMN(I$1),1))</f>
        <v/>
      </c>
      <c r="BN435" s="37" t="str">
        <f t="array" ref="BN435">IF($A435="","", INDEX(CS!$B$1:$B$15025,MATCH($A435,CS!$B:$B,0)+COLUMN(J$1),1))</f>
        <v/>
      </c>
      <c r="BO435" s="37" t="str">
        <f t="array" ref="BO435">IF($A435="","", INDEX(CS!$B$1:$B$15025,MATCH($A435,CS!$B:$B,0)+COLUMN(K$1),1))</f>
        <v/>
      </c>
      <c r="BP435" s="37" t="str">
        <f t="array" ref="BP435">IF($A435="","", INDEX(CS!$B$1:$B$15025,MATCH($A435,CS!$B:$B,0)+COLUMN(L$1),1))</f>
        <v/>
      </c>
      <c r="BS435" s="74"/>
    </row>
    <row r="436" ht="18.75" customHeight="1">
      <c r="B436" s="71"/>
      <c r="C436" s="37" t="s">
        <v>2891</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INDEX(CS!$B$1:$B$15025,MATCH($A436,CS!$B:$B,0)+COLUMN(A$1),1))</f>
        <v/>
      </c>
      <c r="BH436" s="37" t="str">
        <f t="array" ref="BH436">IF($A436="","", INDEX(CS!$B$1:$B$15025,MATCH($A436,CS!$B:$B,0)+COLUMN(B$1),1))</f>
        <v/>
      </c>
      <c r="BI436" s="37" t="str">
        <f t="array" ref="BI436">IF($A436="","", INDEX(CS!$B$1:$B$15025,MATCH($A436,CS!$B:$B,0)+COLUMN(C$1),1))</f>
        <v/>
      </c>
      <c r="BJ436" s="37" t="str">
        <f t="array" ref="BJ436">IF($A436="","", INDEX(CS!$B$1:$B$15025,MATCH($A436,CS!$B:$B,0)+COLUMN(D$1),1))</f>
        <v/>
      </c>
      <c r="BK436" s="37" t="str">
        <f t="array" ref="BK436">IF($A436="","", INDEX(CS!$B$1:$B$15025,MATCH($A436,CS!$B:$B,0)+COLUMN(E$1),1))</f>
        <v/>
      </c>
      <c r="BL436" s="37" t="str">
        <f t="array" ref="BL436">IF($A436="","", INDEX(CS!$B$1:$B$15025,MATCH($A436,CS!$B:$B,0)+COLUMN(F$1),1))</f>
        <v/>
      </c>
      <c r="BM436" s="37" t="str">
        <f t="array" ref="BM436">IF($A436="","", INDEX(CS!$B$1:$B$15025,MATCH($A436,CS!$B:$B,0)+COLUMN(I$1),1))</f>
        <v/>
      </c>
      <c r="BN436" s="37" t="str">
        <f t="array" ref="BN436">IF($A436="","", INDEX(CS!$B$1:$B$15025,MATCH($A436,CS!$B:$B,0)+COLUMN(J$1),1))</f>
        <v/>
      </c>
      <c r="BO436" s="37" t="str">
        <f t="array" ref="BO436">IF($A436="","", INDEX(CS!$B$1:$B$15025,MATCH($A436,CS!$B:$B,0)+COLUMN(K$1),1))</f>
        <v/>
      </c>
      <c r="BP436" s="37" t="str">
        <f t="array" ref="BP436">IF($A436="","", INDEX(CS!$B$1:$B$15025,MATCH($A436,CS!$B:$B,0)+COLUMN(L$1),1))</f>
        <v/>
      </c>
      <c r="BS436" s="74"/>
    </row>
    <row r="437" ht="18.75" customHeight="1">
      <c r="B437" s="71"/>
      <c r="C437" s="37" t="s">
        <v>2891</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INDEX(CS!$B$1:$B$15025,MATCH($A437,CS!$B:$B,0)+COLUMN(A$1),1))</f>
        <v/>
      </c>
      <c r="BH437" s="37" t="str">
        <f t="array" ref="BH437">IF($A437="","", INDEX(CS!$B$1:$B$15025,MATCH($A437,CS!$B:$B,0)+COLUMN(B$1),1))</f>
        <v/>
      </c>
      <c r="BI437" s="37" t="str">
        <f t="array" ref="BI437">IF($A437="","", INDEX(CS!$B$1:$B$15025,MATCH($A437,CS!$B:$B,0)+COLUMN(C$1),1))</f>
        <v/>
      </c>
      <c r="BJ437" s="37" t="str">
        <f t="array" ref="BJ437">IF($A437="","", INDEX(CS!$B$1:$B$15025,MATCH($A437,CS!$B:$B,0)+COLUMN(D$1),1))</f>
        <v/>
      </c>
      <c r="BK437" s="37" t="str">
        <f t="array" ref="BK437">IF($A437="","", INDEX(CS!$B$1:$B$15025,MATCH($A437,CS!$B:$B,0)+COLUMN(E$1),1))</f>
        <v/>
      </c>
      <c r="BL437" s="37" t="str">
        <f t="array" ref="BL437">IF($A437="","", INDEX(CS!$B$1:$B$15025,MATCH($A437,CS!$B:$B,0)+COLUMN(F$1),1))</f>
        <v/>
      </c>
      <c r="BM437" s="37" t="str">
        <f t="array" ref="BM437">IF($A437="","", INDEX(CS!$B$1:$B$15025,MATCH($A437,CS!$B:$B,0)+COLUMN(I$1),1))</f>
        <v/>
      </c>
      <c r="BN437" s="37" t="str">
        <f t="array" ref="BN437">IF($A437="","", INDEX(CS!$B$1:$B$15025,MATCH($A437,CS!$B:$B,0)+COLUMN(J$1),1))</f>
        <v/>
      </c>
      <c r="BO437" s="37" t="str">
        <f t="array" ref="BO437">IF($A437="","", INDEX(CS!$B$1:$B$15025,MATCH($A437,CS!$B:$B,0)+COLUMN(K$1),1))</f>
        <v/>
      </c>
      <c r="BP437" s="37" t="str">
        <f t="array" ref="BP437">IF($A437="","", INDEX(CS!$B$1:$B$15025,MATCH($A437,CS!$B:$B,0)+COLUMN(L$1),1))</f>
        <v/>
      </c>
      <c r="BS437" s="74"/>
    </row>
    <row r="438" ht="18.75" customHeight="1">
      <c r="B438" s="71"/>
      <c r="C438" s="37" t="s">
        <v>2891</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INDEX(CS!$B$1:$B$15025,MATCH($A438,CS!$B:$B,0)+COLUMN(A$1),1))</f>
        <v/>
      </c>
      <c r="BH438" s="37" t="str">
        <f t="array" ref="BH438">IF($A438="","", INDEX(CS!$B$1:$B$15025,MATCH($A438,CS!$B:$B,0)+COLUMN(B$1),1))</f>
        <v/>
      </c>
      <c r="BI438" s="37" t="str">
        <f t="array" ref="BI438">IF($A438="","", INDEX(CS!$B$1:$B$15025,MATCH($A438,CS!$B:$B,0)+COLUMN(C$1),1))</f>
        <v/>
      </c>
      <c r="BJ438" s="37" t="str">
        <f t="array" ref="BJ438">IF($A438="","", INDEX(CS!$B$1:$B$15025,MATCH($A438,CS!$B:$B,0)+COLUMN(D$1),1))</f>
        <v/>
      </c>
      <c r="BK438" s="37" t="str">
        <f t="array" ref="BK438">IF($A438="","", INDEX(CS!$B$1:$B$15025,MATCH($A438,CS!$B:$B,0)+COLUMN(E$1),1))</f>
        <v/>
      </c>
      <c r="BL438" s="37" t="str">
        <f t="array" ref="BL438">IF($A438="","", INDEX(CS!$B$1:$B$15025,MATCH($A438,CS!$B:$B,0)+COLUMN(F$1),1))</f>
        <v/>
      </c>
      <c r="BM438" s="37" t="str">
        <f t="array" ref="BM438">IF($A438="","", INDEX(CS!$B$1:$B$15025,MATCH($A438,CS!$B:$B,0)+COLUMN(I$1),1))</f>
        <v/>
      </c>
      <c r="BN438" s="37" t="str">
        <f t="array" ref="BN438">IF($A438="","", INDEX(CS!$B$1:$B$15025,MATCH($A438,CS!$B:$B,0)+COLUMN(J$1),1))</f>
        <v/>
      </c>
      <c r="BO438" s="37" t="str">
        <f t="array" ref="BO438">IF($A438="","", INDEX(CS!$B$1:$B$15025,MATCH($A438,CS!$B:$B,0)+COLUMN(K$1),1))</f>
        <v/>
      </c>
      <c r="BP438" s="37" t="str">
        <f t="array" ref="BP438">IF($A438="","", INDEX(CS!$B$1:$B$15025,MATCH($A438,CS!$B:$B,0)+COLUMN(L$1),1))</f>
        <v/>
      </c>
      <c r="BS438" s="74"/>
    </row>
    <row r="439" ht="18.75" customHeight="1">
      <c r="B439" s="71"/>
      <c r="C439" s="37" t="s">
        <v>2891</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INDEX(CS!$B$1:$B$15025,MATCH($A439,CS!$B:$B,0)+COLUMN(A$1),1))</f>
        <v/>
      </c>
      <c r="BH439" s="37" t="str">
        <f t="array" ref="BH439">IF($A439="","", INDEX(CS!$B$1:$B$15025,MATCH($A439,CS!$B:$B,0)+COLUMN(B$1),1))</f>
        <v/>
      </c>
      <c r="BI439" s="37" t="str">
        <f t="array" ref="BI439">IF($A439="","", INDEX(CS!$B$1:$B$15025,MATCH($A439,CS!$B:$B,0)+COLUMN(C$1),1))</f>
        <v/>
      </c>
      <c r="BJ439" s="37" t="str">
        <f t="array" ref="BJ439">IF($A439="","", INDEX(CS!$B$1:$B$15025,MATCH($A439,CS!$B:$B,0)+COLUMN(D$1),1))</f>
        <v/>
      </c>
      <c r="BK439" s="37" t="str">
        <f t="array" ref="BK439">IF($A439="","", INDEX(CS!$B$1:$B$15025,MATCH($A439,CS!$B:$B,0)+COLUMN(E$1),1))</f>
        <v/>
      </c>
      <c r="BL439" s="37" t="str">
        <f t="array" ref="BL439">IF($A439="","", INDEX(CS!$B$1:$B$15025,MATCH($A439,CS!$B:$B,0)+COLUMN(F$1),1))</f>
        <v/>
      </c>
      <c r="BM439" s="37" t="str">
        <f t="array" ref="BM439">IF($A439="","", INDEX(CS!$B$1:$B$15025,MATCH($A439,CS!$B:$B,0)+COLUMN(I$1),1))</f>
        <v/>
      </c>
      <c r="BN439" s="37" t="str">
        <f t="array" ref="BN439">IF($A439="","", INDEX(CS!$B$1:$B$15025,MATCH($A439,CS!$B:$B,0)+COLUMN(J$1),1))</f>
        <v/>
      </c>
      <c r="BO439" s="37" t="str">
        <f t="array" ref="BO439">IF($A439="","", INDEX(CS!$B$1:$B$15025,MATCH($A439,CS!$B:$B,0)+COLUMN(K$1),1))</f>
        <v/>
      </c>
      <c r="BP439" s="37" t="str">
        <f t="array" ref="BP439">IF($A439="","", INDEX(CS!$B$1:$B$15025,MATCH($A439,CS!$B:$B,0)+COLUMN(L$1),1))</f>
        <v/>
      </c>
      <c r="BS439" s="74"/>
    </row>
    <row r="440" ht="18.75" customHeight="1">
      <c r="B440" s="71"/>
      <c r="C440" s="37" t="s">
        <v>2891</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INDEX(CS!$B$1:$B$15025,MATCH($A440,CS!$B:$B,0)+COLUMN(A$1),1))</f>
        <v/>
      </c>
      <c r="BH440" s="37" t="str">
        <f t="array" ref="BH440">IF($A440="","", INDEX(CS!$B$1:$B$15025,MATCH($A440,CS!$B:$B,0)+COLUMN(B$1),1))</f>
        <v/>
      </c>
      <c r="BI440" s="37" t="str">
        <f t="array" ref="BI440">IF($A440="","", INDEX(CS!$B$1:$B$15025,MATCH($A440,CS!$B:$B,0)+COLUMN(C$1),1))</f>
        <v/>
      </c>
      <c r="BJ440" s="37" t="str">
        <f t="array" ref="BJ440">IF($A440="","", INDEX(CS!$B$1:$B$15025,MATCH($A440,CS!$B:$B,0)+COLUMN(D$1),1))</f>
        <v/>
      </c>
      <c r="BK440" s="37" t="str">
        <f t="array" ref="BK440">IF($A440="","", INDEX(CS!$B$1:$B$15025,MATCH($A440,CS!$B:$B,0)+COLUMN(E$1),1))</f>
        <v/>
      </c>
      <c r="BL440" s="37" t="str">
        <f t="array" ref="BL440">IF($A440="","", INDEX(CS!$B$1:$B$15025,MATCH($A440,CS!$B:$B,0)+COLUMN(F$1),1))</f>
        <v/>
      </c>
      <c r="BM440" s="37" t="str">
        <f t="array" ref="BM440">IF($A440="","", INDEX(CS!$B$1:$B$15025,MATCH($A440,CS!$B:$B,0)+COLUMN(I$1),1))</f>
        <v/>
      </c>
      <c r="BN440" s="37" t="str">
        <f t="array" ref="BN440">IF($A440="","", INDEX(CS!$B$1:$B$15025,MATCH($A440,CS!$B:$B,0)+COLUMN(J$1),1))</f>
        <v/>
      </c>
      <c r="BO440" s="37" t="str">
        <f t="array" ref="BO440">IF($A440="","", INDEX(CS!$B$1:$B$15025,MATCH($A440,CS!$B:$B,0)+COLUMN(K$1),1))</f>
        <v/>
      </c>
      <c r="BP440" s="37" t="str">
        <f t="array" ref="BP440">IF($A440="","", INDEX(CS!$B$1:$B$15025,MATCH($A440,CS!$B:$B,0)+COLUMN(L$1),1))</f>
        <v/>
      </c>
      <c r="BS440" s="74"/>
    </row>
    <row r="441" ht="18.75" customHeight="1">
      <c r="B441" s="71"/>
      <c r="C441" s="37" t="s">
        <v>2891</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INDEX(CS!$B$1:$B$15025,MATCH($A441,CS!$B:$B,0)+COLUMN(A$1),1))</f>
        <v/>
      </c>
      <c r="BH441" s="37" t="str">
        <f t="array" ref="BH441">IF($A441="","", INDEX(CS!$B$1:$B$15025,MATCH($A441,CS!$B:$B,0)+COLUMN(B$1),1))</f>
        <v/>
      </c>
      <c r="BI441" s="37" t="str">
        <f t="array" ref="BI441">IF($A441="","", INDEX(CS!$B$1:$B$15025,MATCH($A441,CS!$B:$B,0)+COLUMN(C$1),1))</f>
        <v/>
      </c>
      <c r="BJ441" s="37" t="str">
        <f t="array" ref="BJ441">IF($A441="","", INDEX(CS!$B$1:$B$15025,MATCH($A441,CS!$B:$B,0)+COLUMN(D$1),1))</f>
        <v/>
      </c>
      <c r="BK441" s="37" t="str">
        <f t="array" ref="BK441">IF($A441="","", INDEX(CS!$B$1:$B$15025,MATCH($A441,CS!$B:$B,0)+COLUMN(E$1),1))</f>
        <v/>
      </c>
      <c r="BL441" s="37" t="str">
        <f t="array" ref="BL441">IF($A441="","", INDEX(CS!$B$1:$B$15025,MATCH($A441,CS!$B:$B,0)+COLUMN(F$1),1))</f>
        <v/>
      </c>
      <c r="BM441" s="37" t="str">
        <f t="array" ref="BM441">IF($A441="","", INDEX(CS!$B$1:$B$15025,MATCH($A441,CS!$B:$B,0)+COLUMN(I$1),1))</f>
        <v/>
      </c>
      <c r="BN441" s="37" t="str">
        <f t="array" ref="BN441">IF($A441="","", INDEX(CS!$B$1:$B$15025,MATCH($A441,CS!$B:$B,0)+COLUMN(J$1),1))</f>
        <v/>
      </c>
      <c r="BO441" s="37" t="str">
        <f t="array" ref="BO441">IF($A441="","", INDEX(CS!$B$1:$B$15025,MATCH($A441,CS!$B:$B,0)+COLUMN(K$1),1))</f>
        <v/>
      </c>
      <c r="BP441" s="37" t="str">
        <f t="array" ref="BP441">IF($A441="","", INDEX(CS!$B$1:$B$15025,MATCH($A441,CS!$B:$B,0)+COLUMN(L$1),1))</f>
        <v/>
      </c>
      <c r="BS441" s="74"/>
    </row>
    <row r="442" ht="18.75" customHeight="1">
      <c r="B442" s="71"/>
      <c r="C442" s="37" t="s">
        <v>2891</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INDEX(CS!$B$1:$B$15025,MATCH($A442,CS!$B:$B,0)+COLUMN(A$1),1))</f>
        <v/>
      </c>
      <c r="BH442" s="37" t="str">
        <f t="array" ref="BH442">IF($A442="","", INDEX(CS!$B$1:$B$15025,MATCH($A442,CS!$B:$B,0)+COLUMN(B$1),1))</f>
        <v/>
      </c>
      <c r="BI442" s="37" t="str">
        <f t="array" ref="BI442">IF($A442="","", INDEX(CS!$B$1:$B$15025,MATCH($A442,CS!$B:$B,0)+COLUMN(C$1),1))</f>
        <v/>
      </c>
      <c r="BJ442" s="37" t="str">
        <f t="array" ref="BJ442">IF($A442="","", INDEX(CS!$B$1:$B$15025,MATCH($A442,CS!$B:$B,0)+COLUMN(D$1),1))</f>
        <v/>
      </c>
      <c r="BK442" s="37" t="str">
        <f t="array" ref="BK442">IF($A442="","", INDEX(CS!$B$1:$B$15025,MATCH($A442,CS!$B:$B,0)+COLUMN(E$1),1))</f>
        <v/>
      </c>
      <c r="BL442" s="37" t="str">
        <f t="array" ref="BL442">IF($A442="","", INDEX(CS!$B$1:$B$15025,MATCH($A442,CS!$B:$B,0)+COLUMN(F$1),1))</f>
        <v/>
      </c>
      <c r="BM442" s="37" t="str">
        <f t="array" ref="BM442">IF($A442="","", INDEX(CS!$B$1:$B$15025,MATCH($A442,CS!$B:$B,0)+COLUMN(I$1),1))</f>
        <v/>
      </c>
      <c r="BN442" s="37" t="str">
        <f t="array" ref="BN442">IF($A442="","", INDEX(CS!$B$1:$B$15025,MATCH($A442,CS!$B:$B,0)+COLUMN(J$1),1))</f>
        <v/>
      </c>
      <c r="BO442" s="37" t="str">
        <f t="array" ref="BO442">IF($A442="","", INDEX(CS!$B$1:$B$15025,MATCH($A442,CS!$B:$B,0)+COLUMN(K$1),1))</f>
        <v/>
      </c>
      <c r="BP442" s="37" t="str">
        <f t="array" ref="BP442">IF($A442="","", INDEX(CS!$B$1:$B$15025,MATCH($A442,CS!$B:$B,0)+COLUMN(L$1),1))</f>
        <v/>
      </c>
      <c r="BS442" s="74"/>
    </row>
    <row r="443" ht="18.75" customHeight="1">
      <c r="B443" s="71"/>
      <c r="C443" s="37" t="s">
        <v>2891</v>
      </c>
      <c r="D443" s="72" t="str">
        <f t="shared" si="18"/>
        <v>0/0/0</v>
      </c>
      <c r="E443" s="37">
        <v>1.0</v>
      </c>
      <c r="K443" s="73"/>
      <c r="P443" s="37" t="s">
        <v>29</v>
      </c>
      <c r="Q443" s="64"/>
      <c r="R443" s="64"/>
      <c r="S443" s="64"/>
      <c r="T443" s="64"/>
      <c r="U443" s="64"/>
      <c r="V443" s="64"/>
      <c r="W443" s="64"/>
      <c r="X443" s="64"/>
      <c r="Y443" s="64"/>
      <c r="Z443" s="64"/>
      <c r="AA443" s="64"/>
      <c r="BG443" s="37" t="str">
        <f t="array" ref="BG443">IF($A443="","", INDEX(CS!$B$1:$B$15025,MATCH($A443,CS!$B:$B,0)+COLUMN(A$1),1))</f>
        <v/>
      </c>
      <c r="BH443" s="37" t="str">
        <f t="array" ref="BH443">IF($A443="","", INDEX(CS!$B$1:$B$15025,MATCH($A443,CS!$B:$B,0)+COLUMN(B$1),1))</f>
        <v/>
      </c>
      <c r="BI443" s="37" t="str">
        <f t="array" ref="BI443">IF($A443="","", INDEX(CS!$B$1:$B$15025,MATCH($A443,CS!$B:$B,0)+COLUMN(C$1),1))</f>
        <v/>
      </c>
      <c r="BJ443" s="37" t="str">
        <f t="array" ref="BJ443">IF($A443="","", INDEX(CS!$B$1:$B$15025,MATCH($A443,CS!$B:$B,0)+COLUMN(D$1),1))</f>
        <v/>
      </c>
      <c r="BK443" s="37" t="str">
        <f t="array" ref="BK443">IF($A443="","", INDEX(CS!$B$1:$B$15025,MATCH($A443,CS!$B:$B,0)+COLUMN(E$1),1))</f>
        <v/>
      </c>
      <c r="BL443" s="37" t="str">
        <f t="array" ref="BL443">IF($A443="","", INDEX(CS!$B$1:$B$15025,MATCH($A443,CS!$B:$B,0)+COLUMN(F$1),1))</f>
        <v/>
      </c>
      <c r="BM443" s="37" t="str">
        <f t="array" ref="BM443">IF($A443="","", INDEX(CS!$B$1:$B$15025,MATCH($A443,CS!$B:$B,0)+COLUMN(I$1),1))</f>
        <v/>
      </c>
      <c r="BN443" s="37" t="str">
        <f t="array" ref="BN443">IF($A443="","", INDEX(CS!$B$1:$B$15025,MATCH($A443,CS!$B:$B,0)+COLUMN(J$1),1))</f>
        <v/>
      </c>
      <c r="BO443" s="37" t="str">
        <f t="array" ref="BO443">IF($A443="","", INDEX(CS!$B$1:$B$15025,MATCH($A443,CS!$B:$B,0)+COLUMN(K$1),1))</f>
        <v/>
      </c>
      <c r="BP443" s="37" t="str">
        <f t="array" ref="BP443">IF($A443="","", INDEX(CS!$B$1:$B$15025,MATCH($A443,CS!$B:$B,0)+COLUMN(L$1),1))</f>
        <v/>
      </c>
      <c r="BS443" s="74"/>
    </row>
    <row r="444" ht="18.75" customHeight="1">
      <c r="B444" s="71"/>
      <c r="C444" s="37" t="s">
        <v>2891</v>
      </c>
      <c r="D444" s="72" t="str">
        <f t="shared" si="18"/>
        <v>0/0/0</v>
      </c>
      <c r="E444" s="37">
        <v>1.0</v>
      </c>
      <c r="K444" s="73"/>
      <c r="P444" s="37" t="s">
        <v>29</v>
      </c>
      <c r="Q444" s="64"/>
      <c r="R444" s="64"/>
      <c r="S444" s="64"/>
      <c r="T444" s="64"/>
      <c r="U444" s="64"/>
      <c r="V444" s="64"/>
      <c r="W444" s="64"/>
      <c r="X444" s="64"/>
      <c r="Y444" s="64"/>
      <c r="Z444" s="64"/>
      <c r="AA444" s="64"/>
      <c r="BG444" s="37" t="str">
        <f t="array" ref="BG444">IF($A444="","", INDEX(CS!$B$1:$B$15025,MATCH($A444,CS!$B:$B,0)+COLUMN(A$1),1))</f>
        <v/>
      </c>
      <c r="BH444" s="37" t="str">
        <f t="array" ref="BH444">IF($A444="","", INDEX(CS!$B$1:$B$15025,MATCH($A444,CS!$B:$B,0)+COLUMN(B$1),1))</f>
        <v/>
      </c>
      <c r="BI444" s="37" t="str">
        <f t="array" ref="BI444">IF($A444="","", INDEX(CS!$B$1:$B$15025,MATCH($A444,CS!$B:$B,0)+COLUMN(C$1),1))</f>
        <v/>
      </c>
      <c r="BJ444" s="37" t="str">
        <f t="array" ref="BJ444">IF($A444="","", INDEX(CS!$B$1:$B$15025,MATCH($A444,CS!$B:$B,0)+COLUMN(D$1),1))</f>
        <v/>
      </c>
      <c r="BK444" s="37" t="str">
        <f t="array" ref="BK444">IF($A444="","", INDEX(CS!$B$1:$B$15025,MATCH($A444,CS!$B:$B,0)+COLUMN(E$1),1))</f>
        <v/>
      </c>
      <c r="BL444" s="37" t="str">
        <f t="array" ref="BL444">IF($A444="","", INDEX(CS!$B$1:$B$15025,MATCH($A444,CS!$B:$B,0)+COLUMN(F$1),1))</f>
        <v/>
      </c>
      <c r="BM444" s="37" t="str">
        <f t="array" ref="BM444">IF($A444="","", INDEX(CS!$B$1:$B$15025,MATCH($A444,CS!$B:$B,0)+COLUMN(I$1),1))</f>
        <v/>
      </c>
      <c r="BN444" s="37" t="str">
        <f t="array" ref="BN444">IF($A444="","", INDEX(CS!$B$1:$B$15025,MATCH($A444,CS!$B:$B,0)+COLUMN(J$1),1))</f>
        <v/>
      </c>
      <c r="BO444" s="37" t="str">
        <f t="array" ref="BO444">IF($A444="","", INDEX(CS!$B$1:$B$15025,MATCH($A444,CS!$B:$B,0)+COLUMN(K$1),1))</f>
        <v/>
      </c>
      <c r="BP444" s="37" t="str">
        <f t="array" ref="BP444">IF($A444="","", INDEX(CS!$B$1:$B$15025,MATCH($A444,CS!$B:$B,0)+COLUMN(L$1),1))</f>
        <v/>
      </c>
      <c r="BS444" s="74"/>
    </row>
    <row r="445" ht="18.75" customHeight="1">
      <c r="B445" s="71"/>
      <c r="C445" s="37" t="s">
        <v>2891</v>
      </c>
      <c r="D445" s="72" t="str">
        <f t="shared" si="18"/>
        <v>0/0/0</v>
      </c>
      <c r="E445" s="37">
        <v>1.0</v>
      </c>
      <c r="K445" s="73"/>
      <c r="P445" s="37" t="s">
        <v>29</v>
      </c>
      <c r="Q445" s="64"/>
      <c r="R445" s="64"/>
      <c r="S445" s="64"/>
      <c r="T445" s="64"/>
      <c r="U445" s="64"/>
      <c r="V445" s="64"/>
      <c r="W445" s="64"/>
      <c r="X445" s="64"/>
      <c r="Y445" s="64"/>
      <c r="Z445" s="64"/>
      <c r="AA445" s="64"/>
      <c r="BG445" s="37" t="str">
        <f t="array" ref="BG445">IF($A445="","", INDEX(CS!$B$1:$B$15025,MATCH($A445,CS!$B:$B,0)+COLUMN(A$1),1))</f>
        <v/>
      </c>
      <c r="BH445" s="37" t="str">
        <f t="array" ref="BH445">IF($A445="","", INDEX(CS!$B$1:$B$15025,MATCH($A445,CS!$B:$B,0)+COLUMN(B$1),1))</f>
        <v/>
      </c>
      <c r="BI445" s="37" t="str">
        <f t="array" ref="BI445">IF($A445="","", INDEX(CS!$B$1:$B$15025,MATCH($A445,CS!$B:$B,0)+COLUMN(C$1),1))</f>
        <v/>
      </c>
      <c r="BJ445" s="37" t="str">
        <f t="array" ref="BJ445">IF($A445="","", INDEX(CS!$B$1:$B$15025,MATCH($A445,CS!$B:$B,0)+COLUMN(D$1),1))</f>
        <v/>
      </c>
      <c r="BK445" s="37" t="str">
        <f t="array" ref="BK445">IF($A445="","", INDEX(CS!$B$1:$B$15025,MATCH($A445,CS!$B:$B,0)+COLUMN(E$1),1))</f>
        <v/>
      </c>
      <c r="BL445" s="37" t="str">
        <f t="array" ref="BL445">IF($A445="","", INDEX(CS!$B$1:$B$15025,MATCH($A445,CS!$B:$B,0)+COLUMN(F$1),1))</f>
        <v/>
      </c>
      <c r="BM445" s="37" t="str">
        <f t="array" ref="BM445">IF($A445="","", INDEX(CS!$B$1:$B$15025,MATCH($A445,CS!$B:$B,0)+COLUMN(I$1),1))</f>
        <v/>
      </c>
      <c r="BN445" s="37" t="str">
        <f t="array" ref="BN445">IF($A445="","", INDEX(CS!$B$1:$B$15025,MATCH($A445,CS!$B:$B,0)+COLUMN(J$1),1))</f>
        <v/>
      </c>
      <c r="BO445" s="37" t="str">
        <f t="array" ref="BO445">IF($A445="","", INDEX(CS!$B$1:$B$15025,MATCH($A445,CS!$B:$B,0)+COLUMN(K$1),1))</f>
        <v/>
      </c>
      <c r="BP445" s="37" t="str">
        <f t="array" ref="BP445">IF($A445="","", INDEX(CS!$B$1:$B$15025,MATCH($A445,CS!$B:$B,0)+COLUMN(L$1),1))</f>
        <v/>
      </c>
      <c r="BS445" s="74"/>
    </row>
    <row r="446" ht="18.75" customHeight="1">
      <c r="B446" s="71"/>
      <c r="C446" s="37" t="s">
        <v>2891</v>
      </c>
      <c r="D446" s="72" t="str">
        <f t="shared" si="18"/>
        <v>0/0/0</v>
      </c>
      <c r="E446" s="37">
        <v>1.0</v>
      </c>
      <c r="K446" s="73"/>
      <c r="P446" s="37" t="s">
        <v>29</v>
      </c>
      <c r="Q446" s="64"/>
      <c r="R446" s="64"/>
      <c r="S446" s="64"/>
      <c r="T446" s="64"/>
      <c r="U446" s="64"/>
      <c r="V446" s="64"/>
      <c r="W446" s="64"/>
      <c r="X446" s="64"/>
      <c r="Y446" s="64"/>
      <c r="Z446" s="64"/>
      <c r="AA446" s="64"/>
      <c r="BG446" s="37" t="str">
        <f t="array" ref="BG446">IF($A446="","", INDEX(CS!$B$1:$B$15025,MATCH($A446,CS!$B:$B,0)+COLUMN(A$1),1))</f>
        <v/>
      </c>
      <c r="BH446" s="37" t="str">
        <f t="array" ref="BH446">IF($A446="","", INDEX(CS!$B$1:$B$15025,MATCH($A446,CS!$B:$B,0)+COLUMN(B$1),1))</f>
        <v/>
      </c>
      <c r="BI446" s="37" t="str">
        <f t="array" ref="BI446">IF($A446="","", INDEX(CS!$B$1:$B$15025,MATCH($A446,CS!$B:$B,0)+COLUMN(C$1),1))</f>
        <v/>
      </c>
      <c r="BJ446" s="37" t="str">
        <f t="array" ref="BJ446">IF($A446="","", INDEX(CS!$B$1:$B$15025,MATCH($A446,CS!$B:$B,0)+COLUMN(D$1),1))</f>
        <v/>
      </c>
      <c r="BK446" s="37" t="str">
        <f t="array" ref="BK446">IF($A446="","", INDEX(CS!$B$1:$B$15025,MATCH($A446,CS!$B:$B,0)+COLUMN(E$1),1))</f>
        <v/>
      </c>
      <c r="BL446" s="37" t="str">
        <f t="array" ref="BL446">IF($A446="","", INDEX(CS!$B$1:$B$15025,MATCH($A446,CS!$B:$B,0)+COLUMN(F$1),1))</f>
        <v/>
      </c>
      <c r="BM446" s="37" t="str">
        <f t="array" ref="BM446">IF($A446="","", INDEX(CS!$B$1:$B$15025,MATCH($A446,CS!$B:$B,0)+COLUMN(I$1),1))</f>
        <v/>
      </c>
      <c r="BN446" s="37" t="str">
        <f t="array" ref="BN446">IF($A446="","", INDEX(CS!$B$1:$B$15025,MATCH($A446,CS!$B:$B,0)+COLUMN(J$1),1))</f>
        <v/>
      </c>
      <c r="BO446" s="37" t="str">
        <f t="array" ref="BO446">IF($A446="","", INDEX(CS!$B$1:$B$15025,MATCH($A446,CS!$B:$B,0)+COLUMN(K$1),1))</f>
        <v/>
      </c>
      <c r="BP446" s="37" t="str">
        <f t="array" ref="BP446">IF($A446="","", INDEX(CS!$B$1:$B$15025,MATCH($A446,CS!$B:$B,0)+COLUMN(L$1),1))</f>
        <v/>
      </c>
      <c r="BS446" s="74"/>
    </row>
    <row r="447" ht="18.75" customHeight="1">
      <c r="B447" s="71"/>
      <c r="D447" s="72"/>
      <c r="K447" s="73"/>
      <c r="P447" s="37" t="s">
        <v>29</v>
      </c>
      <c r="Q447" s="64"/>
      <c r="R447" s="64"/>
      <c r="S447" s="64"/>
      <c r="T447" s="64"/>
      <c r="U447" s="64"/>
      <c r="V447" s="64"/>
      <c r="W447" s="64"/>
      <c r="X447" s="64"/>
      <c r="Y447" s="64"/>
      <c r="Z447" s="64"/>
      <c r="AA447" s="64"/>
      <c r="BS447" s="74"/>
    </row>
    <row r="448" ht="18.75" customHeight="1">
      <c r="B448" s="71"/>
      <c r="D448" s="72"/>
      <c r="K448" s="73"/>
      <c r="P448" s="37" t="s">
        <v>29</v>
      </c>
      <c r="Q448" s="64"/>
      <c r="R448" s="64"/>
      <c r="S448" s="64"/>
      <c r="T448" s="64"/>
      <c r="U448" s="64"/>
      <c r="V448" s="64"/>
      <c r="W448" s="64"/>
      <c r="X448" s="64"/>
      <c r="Y448" s="64"/>
      <c r="Z448" s="64"/>
      <c r="AA448" s="64"/>
      <c r="BS448" s="74"/>
    </row>
    <row r="449" ht="18.75" customHeight="1">
      <c r="B449" s="71"/>
      <c r="D449" s="72"/>
      <c r="K449" s="73"/>
      <c r="P449" s="37" t="s">
        <v>29</v>
      </c>
      <c r="Q449" s="64"/>
      <c r="R449" s="64"/>
      <c r="S449" s="64"/>
      <c r="T449" s="64"/>
      <c r="U449" s="64"/>
      <c r="V449" s="64"/>
      <c r="W449" s="64"/>
      <c r="X449" s="64"/>
      <c r="Y449" s="64"/>
      <c r="Z449" s="64"/>
      <c r="AA449" s="64"/>
      <c r="BS449" s="74"/>
    </row>
    <row r="450" ht="18.75" customHeight="1">
      <c r="B450" s="71"/>
      <c r="D450" s="72"/>
      <c r="K450" s="73"/>
      <c r="P450" s="37" t="s">
        <v>29</v>
      </c>
      <c r="Q450" s="64"/>
      <c r="R450" s="64"/>
      <c r="S450" s="64"/>
      <c r="T450" s="64"/>
      <c r="U450" s="64"/>
      <c r="V450" s="64"/>
      <c r="W450" s="64"/>
      <c r="X450" s="64"/>
      <c r="Y450" s="64"/>
      <c r="Z450" s="64"/>
      <c r="AA450" s="64"/>
      <c r="BS450" s="74"/>
    </row>
    <row r="451" ht="18.75" customHeight="1">
      <c r="B451" s="71"/>
      <c r="D451" s="72"/>
      <c r="K451" s="73"/>
      <c r="P451" s="37" t="s">
        <v>29</v>
      </c>
      <c r="Q451" s="64"/>
      <c r="R451" s="64"/>
      <c r="S451" s="64"/>
      <c r="T451" s="64"/>
      <c r="U451" s="64"/>
      <c r="V451" s="64"/>
      <c r="W451" s="64"/>
      <c r="X451" s="64"/>
      <c r="Y451" s="64"/>
      <c r="Z451" s="64"/>
      <c r="AA451" s="64"/>
      <c r="BS451" s="74"/>
    </row>
    <row r="452" ht="18.75" customHeight="1">
      <c r="B452" s="71"/>
      <c r="D452" s="72"/>
      <c r="K452" s="73"/>
      <c r="P452" s="37" t="s">
        <v>29</v>
      </c>
      <c r="Q452" s="64"/>
      <c r="R452" s="64"/>
      <c r="S452" s="64"/>
      <c r="T452" s="64"/>
      <c r="U452" s="64"/>
      <c r="V452" s="64"/>
      <c r="W452" s="64"/>
      <c r="X452" s="64"/>
      <c r="Y452" s="64"/>
      <c r="Z452" s="64"/>
      <c r="AA452" s="64"/>
      <c r="BS452" s="74"/>
    </row>
    <row r="453" ht="18.75" customHeight="1">
      <c r="B453" s="71"/>
      <c r="D453" s="72"/>
      <c r="K453" s="73"/>
      <c r="P453" s="37" t="s">
        <v>29</v>
      </c>
      <c r="Q453" s="64"/>
      <c r="R453" s="64"/>
      <c r="S453" s="64"/>
      <c r="T453" s="64"/>
      <c r="U453" s="64"/>
      <c r="V453" s="64"/>
      <c r="W453" s="64"/>
      <c r="X453" s="64"/>
      <c r="Y453" s="64"/>
      <c r="Z453" s="64"/>
      <c r="AA453" s="64"/>
      <c r="BS453" s="74"/>
    </row>
    <row r="454" ht="18.75" customHeight="1">
      <c r="B454" s="71"/>
      <c r="D454" s="72"/>
      <c r="K454" s="73"/>
      <c r="P454" s="37" t="s">
        <v>29</v>
      </c>
      <c r="Q454" s="64"/>
      <c r="R454" s="64"/>
      <c r="S454" s="64"/>
      <c r="T454" s="64"/>
      <c r="U454" s="64"/>
      <c r="V454" s="64"/>
      <c r="W454" s="64"/>
      <c r="X454" s="64"/>
      <c r="Y454" s="64"/>
      <c r="Z454" s="64"/>
      <c r="AA454" s="64"/>
      <c r="BS454" s="74"/>
    </row>
    <row r="455" ht="18.75" customHeight="1">
      <c r="B455" s="71"/>
      <c r="D455" s="72"/>
      <c r="K455" s="73"/>
      <c r="P455" s="37" t="s">
        <v>29</v>
      </c>
      <c r="Q455" s="64"/>
      <c r="R455" s="64"/>
      <c r="S455" s="64"/>
      <c r="T455" s="64"/>
      <c r="U455" s="64"/>
      <c r="V455" s="64"/>
      <c r="W455" s="64"/>
      <c r="X455" s="64"/>
      <c r="Y455" s="64"/>
      <c r="Z455" s="64"/>
      <c r="AA455" s="64"/>
      <c r="BS455" s="74"/>
    </row>
    <row r="456" ht="18.75" customHeight="1">
      <c r="B456" s="71"/>
      <c r="D456" s="72"/>
      <c r="K456" s="73"/>
      <c r="P456" s="37" t="s">
        <v>29</v>
      </c>
      <c r="Q456" s="64"/>
      <c r="R456" s="64"/>
      <c r="S456" s="64"/>
      <c r="T456" s="64"/>
      <c r="U456" s="64"/>
      <c r="V456" s="64"/>
      <c r="W456" s="64"/>
      <c r="X456" s="64"/>
      <c r="Y456" s="64"/>
      <c r="Z456" s="64"/>
      <c r="AA456" s="64"/>
      <c r="BS456" s="74"/>
    </row>
    <row r="457" ht="18.75" customHeight="1">
      <c r="B457" s="71"/>
      <c r="D457" s="72"/>
      <c r="K457" s="73"/>
      <c r="P457" s="37" t="s">
        <v>29</v>
      </c>
      <c r="Q457" s="64"/>
      <c r="R457" s="64"/>
      <c r="S457" s="64"/>
      <c r="T457" s="64"/>
      <c r="U457" s="64"/>
      <c r="V457" s="64"/>
      <c r="W457" s="64"/>
      <c r="X457" s="64"/>
      <c r="Y457" s="64"/>
      <c r="Z457" s="64"/>
      <c r="AA457" s="64"/>
      <c r="BS457" s="74"/>
    </row>
    <row r="458" ht="18.75" customHeight="1">
      <c r="B458" s="71"/>
      <c r="D458" s="72"/>
      <c r="K458" s="73"/>
      <c r="P458" s="37" t="s">
        <v>29</v>
      </c>
      <c r="Q458" s="64"/>
      <c r="R458" s="64"/>
      <c r="S458" s="64"/>
      <c r="T458" s="64"/>
      <c r="U458" s="64"/>
      <c r="V458" s="64"/>
      <c r="W458" s="64"/>
      <c r="X458" s="64"/>
      <c r="Y458" s="64"/>
      <c r="Z458" s="64"/>
      <c r="AA458" s="64"/>
      <c r="BS458" s="74"/>
    </row>
    <row r="459" ht="18.75" customHeight="1">
      <c r="B459" s="71"/>
      <c r="D459" s="72"/>
      <c r="K459" s="73"/>
      <c r="P459" s="37" t="s">
        <v>29</v>
      </c>
      <c r="Q459" s="64"/>
      <c r="R459" s="64"/>
      <c r="S459" s="64"/>
      <c r="T459" s="64"/>
      <c r="U459" s="64"/>
      <c r="V459" s="64"/>
      <c r="W459" s="64"/>
      <c r="X459" s="64"/>
      <c r="Y459" s="64"/>
      <c r="Z459" s="64"/>
      <c r="AA459" s="64"/>
      <c r="BS459" s="74"/>
    </row>
    <row r="460" ht="18.75" customHeight="1">
      <c r="B460" s="71"/>
      <c r="D460" s="72"/>
      <c r="K460" s="73"/>
      <c r="P460" s="37" t="s">
        <v>29</v>
      </c>
      <c r="Q460" s="64"/>
      <c r="R460" s="64"/>
      <c r="S460" s="64"/>
      <c r="T460" s="64"/>
      <c r="U460" s="64"/>
      <c r="V460" s="64"/>
      <c r="W460" s="64"/>
      <c r="X460" s="64"/>
      <c r="Y460" s="64"/>
      <c r="Z460" s="64"/>
      <c r="AA460" s="64"/>
      <c r="BS460" s="74"/>
    </row>
    <row r="461" ht="18.75" customHeight="1">
      <c r="B461" s="71"/>
      <c r="D461" s="72"/>
      <c r="K461" s="73"/>
      <c r="P461" s="37" t="s">
        <v>29</v>
      </c>
      <c r="Q461" s="64"/>
      <c r="R461" s="64"/>
      <c r="S461" s="64"/>
      <c r="T461" s="64"/>
      <c r="U461" s="64"/>
      <c r="V461" s="64"/>
      <c r="W461" s="64"/>
      <c r="X461" s="64"/>
      <c r="Y461" s="64"/>
      <c r="Z461" s="64"/>
      <c r="AA461" s="64"/>
      <c r="BS461" s="74"/>
    </row>
    <row r="462" ht="18.75" customHeight="1">
      <c r="B462" s="71"/>
      <c r="D462" s="72"/>
      <c r="K462" s="73"/>
      <c r="P462" s="37" t="s">
        <v>29</v>
      </c>
      <c r="Q462" s="64"/>
      <c r="R462" s="64"/>
      <c r="S462" s="64"/>
      <c r="T462" s="64"/>
      <c r="U462" s="64"/>
      <c r="V462" s="64"/>
      <c r="W462" s="64"/>
      <c r="X462" s="64"/>
      <c r="Y462" s="64"/>
      <c r="Z462" s="64"/>
      <c r="AA462" s="64"/>
      <c r="BS462" s="74"/>
    </row>
    <row r="463" ht="18.75" customHeight="1">
      <c r="B463" s="71"/>
      <c r="D463" s="72"/>
      <c r="K463" s="73"/>
      <c r="P463" s="37" t="s">
        <v>29</v>
      </c>
      <c r="Q463" s="64"/>
      <c r="R463" s="64"/>
      <c r="S463" s="64"/>
      <c r="T463" s="64"/>
      <c r="U463" s="64"/>
      <c r="V463" s="64"/>
      <c r="W463" s="64"/>
      <c r="X463" s="64"/>
      <c r="Y463" s="64"/>
      <c r="Z463" s="64"/>
      <c r="AA463" s="64"/>
      <c r="BS463" s="74"/>
    </row>
    <row r="464" ht="18.75" customHeight="1">
      <c r="B464" s="71"/>
      <c r="D464" s="72"/>
      <c r="K464" s="73"/>
      <c r="P464" s="37" t="s">
        <v>29</v>
      </c>
      <c r="Q464" s="64"/>
      <c r="R464" s="64"/>
      <c r="S464" s="64"/>
      <c r="T464" s="64"/>
      <c r="U464" s="64"/>
      <c r="V464" s="64"/>
      <c r="W464" s="64"/>
      <c r="X464" s="64"/>
      <c r="Y464" s="64"/>
      <c r="Z464" s="64"/>
      <c r="AA464" s="64"/>
      <c r="BS464" s="74"/>
    </row>
    <row r="465" ht="18.75" customHeight="1">
      <c r="B465" s="71"/>
      <c r="D465" s="72"/>
      <c r="K465" s="73"/>
      <c r="P465" s="37" t="s">
        <v>29</v>
      </c>
      <c r="Q465" s="64"/>
      <c r="R465" s="64"/>
      <c r="S465" s="64"/>
      <c r="T465" s="64"/>
      <c r="U465" s="64"/>
      <c r="V465" s="64"/>
      <c r="W465" s="64"/>
      <c r="X465" s="64"/>
      <c r="Y465" s="64"/>
      <c r="Z465" s="64"/>
      <c r="AA465" s="64"/>
      <c r="BS465" s="74"/>
    </row>
    <row r="466" ht="18.75" customHeight="1">
      <c r="B466" s="71"/>
      <c r="D466" s="72"/>
      <c r="K466" s="73"/>
      <c r="P466" s="37" t="s">
        <v>29</v>
      </c>
      <c r="Q466" s="64"/>
      <c r="R466" s="64"/>
      <c r="S466" s="64"/>
      <c r="T466" s="64"/>
      <c r="U466" s="64"/>
      <c r="V466" s="64"/>
      <c r="W466" s="64"/>
      <c r="X466" s="64"/>
      <c r="Y466" s="64"/>
      <c r="Z466" s="64"/>
      <c r="AA466" s="64"/>
      <c r="BS466" s="74"/>
    </row>
    <row r="467" ht="18.75" customHeight="1">
      <c r="B467" s="71"/>
      <c r="D467" s="72"/>
      <c r="K467" s="73"/>
      <c r="P467" s="37" t="s">
        <v>29</v>
      </c>
      <c r="Q467" s="64"/>
      <c r="R467" s="64"/>
      <c r="S467" s="64"/>
      <c r="T467" s="64"/>
      <c r="U467" s="64"/>
      <c r="V467" s="64"/>
      <c r="W467" s="64"/>
      <c r="X467" s="64"/>
      <c r="Y467" s="64"/>
      <c r="Z467" s="64"/>
      <c r="AA467" s="64"/>
      <c r="BS467" s="74"/>
    </row>
    <row r="468" ht="18.75" customHeight="1">
      <c r="B468" s="71"/>
      <c r="D468" s="72"/>
      <c r="K468" s="73"/>
      <c r="P468" s="37" t="s">
        <v>29</v>
      </c>
      <c r="Q468" s="64"/>
      <c r="R468" s="64"/>
      <c r="S468" s="64"/>
      <c r="T468" s="64"/>
      <c r="U468" s="64"/>
      <c r="V468" s="64"/>
      <c r="W468" s="64"/>
      <c r="X468" s="64"/>
      <c r="Y468" s="64"/>
      <c r="Z468" s="64"/>
      <c r="AA468" s="64"/>
      <c r="BS468" s="74"/>
    </row>
    <row r="469" ht="18.75" customHeight="1">
      <c r="B469" s="71"/>
      <c r="D469" s="72"/>
      <c r="K469" s="73"/>
      <c r="P469" s="37" t="s">
        <v>29</v>
      </c>
      <c r="Q469" s="64"/>
      <c r="R469" s="64"/>
      <c r="S469" s="64"/>
      <c r="T469" s="64"/>
      <c r="U469" s="64"/>
      <c r="V469" s="64"/>
      <c r="W469" s="64"/>
      <c r="X469" s="64"/>
      <c r="Y469" s="64"/>
      <c r="Z469" s="64"/>
      <c r="AA469" s="64"/>
      <c r="BS469" s="74"/>
    </row>
    <row r="470" ht="18.75" customHeight="1">
      <c r="B470" s="71"/>
      <c r="D470" s="72"/>
      <c r="K470" s="73"/>
      <c r="P470" s="37" t="s">
        <v>29</v>
      </c>
      <c r="Q470" s="64"/>
      <c r="R470" s="64"/>
      <c r="S470" s="64"/>
      <c r="T470" s="64"/>
      <c r="U470" s="64"/>
      <c r="V470" s="64"/>
      <c r="W470" s="64"/>
      <c r="X470" s="64"/>
      <c r="Y470" s="64"/>
      <c r="Z470" s="64"/>
      <c r="AA470" s="64"/>
      <c r="BS470" s="74"/>
    </row>
    <row r="471" ht="18.75" customHeight="1">
      <c r="B471" s="71"/>
      <c r="D471" s="72"/>
      <c r="K471" s="73"/>
      <c r="P471" s="37" t="s">
        <v>29</v>
      </c>
      <c r="Q471" s="64"/>
      <c r="R471" s="64"/>
      <c r="S471" s="64"/>
      <c r="T471" s="64"/>
      <c r="U471" s="64"/>
      <c r="V471" s="64"/>
      <c r="W471" s="64"/>
      <c r="X471" s="64"/>
      <c r="Y471" s="64"/>
      <c r="Z471" s="64"/>
      <c r="AA471" s="64"/>
      <c r="BS471" s="74"/>
    </row>
    <row r="472" ht="18.75" customHeight="1">
      <c r="B472" s="71"/>
      <c r="D472" s="72"/>
      <c r="K472" s="73"/>
      <c r="P472" s="37" t="s">
        <v>29</v>
      </c>
      <c r="Q472" s="64"/>
      <c r="R472" s="64"/>
      <c r="S472" s="64"/>
      <c r="T472" s="64"/>
      <c r="U472" s="64"/>
      <c r="V472" s="64"/>
      <c r="W472" s="64"/>
      <c r="X472" s="64"/>
      <c r="Y472" s="64"/>
      <c r="Z472" s="64"/>
      <c r="AA472" s="64"/>
      <c r="BS472" s="74"/>
    </row>
    <row r="473" ht="18.75" customHeight="1">
      <c r="B473" s="71"/>
      <c r="D473" s="72"/>
      <c r="K473" s="73"/>
      <c r="P473" s="37" t="s">
        <v>29</v>
      </c>
      <c r="Q473" s="64"/>
      <c r="R473" s="64"/>
      <c r="S473" s="64"/>
      <c r="T473" s="64"/>
      <c r="U473" s="64"/>
      <c r="V473" s="64"/>
      <c r="W473" s="64"/>
      <c r="X473" s="64"/>
      <c r="Y473" s="64"/>
      <c r="Z473" s="64"/>
      <c r="AA473" s="64"/>
      <c r="BS473" s="74"/>
    </row>
    <row r="474" ht="18.75" customHeight="1">
      <c r="B474" s="71"/>
      <c r="D474" s="72"/>
      <c r="K474" s="73"/>
      <c r="P474" s="37" t="s">
        <v>29</v>
      </c>
      <c r="Q474" s="64"/>
      <c r="R474" s="64"/>
      <c r="S474" s="64"/>
      <c r="T474" s="64"/>
      <c r="U474" s="64"/>
      <c r="V474" s="64"/>
      <c r="W474" s="64"/>
      <c r="X474" s="64"/>
      <c r="Y474" s="64"/>
      <c r="Z474" s="64"/>
      <c r="AA474" s="64"/>
      <c r="BS474" s="74"/>
    </row>
    <row r="475" ht="18.75" customHeight="1">
      <c r="B475" s="71"/>
      <c r="D475" s="72"/>
      <c r="K475" s="73"/>
      <c r="P475" s="37" t="s">
        <v>29</v>
      </c>
      <c r="Q475" s="64"/>
      <c r="R475" s="64"/>
      <c r="S475" s="64"/>
      <c r="T475" s="64"/>
      <c r="U475" s="64"/>
      <c r="V475" s="64"/>
      <c r="W475" s="64"/>
      <c r="X475" s="64"/>
      <c r="Y475" s="64"/>
      <c r="Z475" s="64"/>
      <c r="AA475" s="64"/>
      <c r="BS475" s="74"/>
    </row>
    <row r="476" ht="18.75" customHeight="1">
      <c r="B476" s="71"/>
      <c r="D476" s="72"/>
      <c r="K476" s="73"/>
      <c r="P476" s="37" t="s">
        <v>29</v>
      </c>
      <c r="Q476" s="64"/>
      <c r="R476" s="64"/>
      <c r="S476" s="64"/>
      <c r="T476" s="64"/>
      <c r="U476" s="64"/>
      <c r="V476" s="64"/>
      <c r="W476" s="64"/>
      <c r="X476" s="64"/>
      <c r="Y476" s="64"/>
      <c r="Z476" s="64"/>
      <c r="AA476" s="64"/>
      <c r="BS476" s="74"/>
    </row>
    <row r="477" ht="18.75" customHeight="1">
      <c r="B477" s="71"/>
      <c r="D477" s="72"/>
      <c r="K477" s="73"/>
      <c r="P477" s="37" t="s">
        <v>29</v>
      </c>
      <c r="Q477" s="64"/>
      <c r="R477" s="64"/>
      <c r="S477" s="64"/>
      <c r="T477" s="64"/>
      <c r="U477" s="64"/>
      <c r="V477" s="64"/>
      <c r="W477" s="64"/>
      <c r="X477" s="64"/>
      <c r="Y477" s="64"/>
      <c r="Z477" s="64"/>
      <c r="AA477" s="64"/>
      <c r="BS477" s="74"/>
    </row>
    <row r="478" ht="18.75" customHeight="1">
      <c r="B478" s="71"/>
      <c r="D478" s="72"/>
      <c r="K478" s="73"/>
      <c r="P478" s="37" t="s">
        <v>29</v>
      </c>
      <c r="Q478" s="64"/>
      <c r="R478" s="64"/>
      <c r="S478" s="64"/>
      <c r="T478" s="64"/>
      <c r="U478" s="64"/>
      <c r="V478" s="64"/>
      <c r="W478" s="64"/>
      <c r="X478" s="64"/>
      <c r="Y478" s="64"/>
      <c r="Z478" s="64"/>
      <c r="AA478" s="64"/>
      <c r="BS478" s="74"/>
    </row>
    <row r="479" ht="18.75" customHeight="1">
      <c r="B479" s="71"/>
      <c r="D479" s="72"/>
      <c r="K479" s="73"/>
      <c r="P479" s="37" t="s">
        <v>29</v>
      </c>
      <c r="Q479" s="64"/>
      <c r="R479" s="64"/>
      <c r="S479" s="64"/>
      <c r="T479" s="64"/>
      <c r="U479" s="64"/>
      <c r="V479" s="64"/>
      <c r="W479" s="64"/>
      <c r="X479" s="64"/>
      <c r="Y479" s="64"/>
      <c r="Z479" s="64"/>
      <c r="AA479" s="64"/>
      <c r="BS479" s="74"/>
    </row>
    <row r="480" ht="18.75" customHeight="1">
      <c r="B480" s="71"/>
      <c r="D480" s="72"/>
      <c r="K480" s="73"/>
      <c r="P480" s="37" t="s">
        <v>29</v>
      </c>
      <c r="Q480" s="64"/>
      <c r="R480" s="64"/>
      <c r="S480" s="64"/>
      <c r="T480" s="64"/>
      <c r="U480" s="64"/>
      <c r="V480" s="64"/>
      <c r="W480" s="64"/>
      <c r="X480" s="64"/>
      <c r="Y480" s="64"/>
      <c r="Z480" s="64"/>
      <c r="AA480" s="64"/>
      <c r="BS480" s="74"/>
    </row>
    <row r="481" ht="18.75" customHeight="1">
      <c r="B481" s="71"/>
      <c r="D481" s="72"/>
      <c r="K481" s="73"/>
      <c r="P481" s="37" t="s">
        <v>29</v>
      </c>
      <c r="Q481" s="64"/>
      <c r="R481" s="64"/>
      <c r="S481" s="64"/>
      <c r="T481" s="64"/>
      <c r="U481" s="64"/>
      <c r="V481" s="64"/>
      <c r="W481" s="64"/>
      <c r="X481" s="64"/>
      <c r="Y481" s="64"/>
      <c r="Z481" s="64"/>
      <c r="AA481" s="64"/>
      <c r="BS481" s="74"/>
    </row>
    <row r="482" ht="18.75" customHeight="1">
      <c r="B482" s="71"/>
      <c r="D482" s="72"/>
      <c r="K482" s="73"/>
      <c r="P482" s="37" t="s">
        <v>29</v>
      </c>
      <c r="Q482" s="64"/>
      <c r="R482" s="64"/>
      <c r="S482" s="64"/>
      <c r="T482" s="64"/>
      <c r="U482" s="64"/>
      <c r="V482" s="64"/>
      <c r="W482" s="64"/>
      <c r="X482" s="64"/>
      <c r="Y482" s="64"/>
      <c r="Z482" s="64"/>
      <c r="AA482" s="64"/>
      <c r="BS482" s="74"/>
    </row>
    <row r="483" ht="18.75" customHeight="1">
      <c r="B483" s="71"/>
      <c r="D483" s="72"/>
      <c r="K483" s="73"/>
      <c r="P483" s="37" t="s">
        <v>29</v>
      </c>
      <c r="Q483" s="64"/>
      <c r="R483" s="64"/>
      <c r="S483" s="64"/>
      <c r="T483" s="64"/>
      <c r="U483" s="64"/>
      <c r="V483" s="64"/>
      <c r="W483" s="64"/>
      <c r="X483" s="64"/>
      <c r="Y483" s="64"/>
      <c r="Z483" s="64"/>
      <c r="AA483" s="64"/>
      <c r="BS483" s="74"/>
    </row>
    <row r="484" ht="18.75" customHeight="1">
      <c r="B484" s="71"/>
      <c r="D484" s="72"/>
      <c r="K484" s="73"/>
      <c r="P484" s="37" t="s">
        <v>29</v>
      </c>
      <c r="Q484" s="64"/>
      <c r="R484" s="64"/>
      <c r="S484" s="64"/>
      <c r="T484" s="64"/>
      <c r="U484" s="64"/>
      <c r="V484" s="64"/>
      <c r="W484" s="64"/>
      <c r="X484" s="64"/>
      <c r="Y484" s="64"/>
      <c r="Z484" s="64"/>
      <c r="AA484" s="64"/>
      <c r="BS484" s="74"/>
    </row>
    <row r="485" ht="18.75" customHeight="1">
      <c r="B485" s="71"/>
      <c r="D485" s="72"/>
      <c r="K485" s="73"/>
      <c r="P485" s="37" t="s">
        <v>29</v>
      </c>
      <c r="Q485" s="64"/>
      <c r="R485" s="64"/>
      <c r="S485" s="64"/>
      <c r="T485" s="64"/>
      <c r="U485" s="64"/>
      <c r="V485" s="64"/>
      <c r="W485" s="64"/>
      <c r="X485" s="64"/>
      <c r="Y485" s="64"/>
      <c r="Z485" s="64"/>
      <c r="AA485" s="64"/>
      <c r="BS485" s="74"/>
    </row>
    <row r="486" ht="18.75" customHeight="1">
      <c r="B486" s="71"/>
      <c r="D486" s="72"/>
      <c r="K486" s="73"/>
      <c r="P486" s="37" t="s">
        <v>29</v>
      </c>
      <c r="Q486" s="64"/>
      <c r="R486" s="64"/>
      <c r="S486" s="64"/>
      <c r="T486" s="64"/>
      <c r="U486" s="64"/>
      <c r="V486" s="64"/>
      <c r="W486" s="64"/>
      <c r="X486" s="64"/>
      <c r="Y486" s="64"/>
      <c r="Z486" s="64"/>
      <c r="AA486" s="64"/>
      <c r="BS486" s="74"/>
    </row>
    <row r="487" ht="18.75" customHeight="1">
      <c r="B487" s="71"/>
      <c r="D487" s="72"/>
      <c r="K487" s="73"/>
      <c r="P487" s="37" t="s">
        <v>29</v>
      </c>
      <c r="Q487" s="64"/>
      <c r="R487" s="64"/>
      <c r="S487" s="64"/>
      <c r="T487" s="64"/>
      <c r="U487" s="64"/>
      <c r="V487" s="64"/>
      <c r="W487" s="64"/>
      <c r="X487" s="64"/>
      <c r="Y487" s="64"/>
      <c r="Z487" s="64"/>
      <c r="AA487" s="64"/>
      <c r="BS487" s="74"/>
    </row>
    <row r="488" ht="18.75" customHeight="1">
      <c r="B488" s="71"/>
      <c r="D488" s="72"/>
      <c r="K488" s="73"/>
      <c r="P488" s="37" t="s">
        <v>29</v>
      </c>
      <c r="Q488" s="64"/>
      <c r="R488" s="64"/>
      <c r="S488" s="64"/>
      <c r="T488" s="64"/>
      <c r="U488" s="64"/>
      <c r="V488" s="64"/>
      <c r="W488" s="64"/>
      <c r="X488" s="64"/>
      <c r="Y488" s="64"/>
      <c r="Z488" s="64"/>
      <c r="AA488" s="64"/>
      <c r="BS488" s="74"/>
    </row>
    <row r="489" ht="18.75" customHeight="1">
      <c r="B489" s="71"/>
      <c r="D489" s="72"/>
      <c r="K489" s="73"/>
      <c r="P489" s="37" t="s">
        <v>29</v>
      </c>
      <c r="Q489" s="64"/>
      <c r="R489" s="64"/>
      <c r="S489" s="64"/>
      <c r="T489" s="64"/>
      <c r="U489" s="64"/>
      <c r="V489" s="64"/>
      <c r="W489" s="64"/>
      <c r="X489" s="64"/>
      <c r="Y489" s="64"/>
      <c r="Z489" s="64"/>
      <c r="AA489" s="64"/>
      <c r="BS489" s="74"/>
    </row>
    <row r="490" ht="18.75" customHeight="1">
      <c r="B490" s="71"/>
      <c r="D490" s="72"/>
      <c r="K490" s="73"/>
      <c r="P490" s="37" t="s">
        <v>29</v>
      </c>
      <c r="Q490" s="64"/>
      <c r="R490" s="64"/>
      <c r="S490" s="64"/>
      <c r="T490" s="64"/>
      <c r="U490" s="64"/>
      <c r="V490" s="64"/>
      <c r="W490" s="64"/>
      <c r="X490" s="64"/>
      <c r="Y490" s="64"/>
      <c r="Z490" s="64"/>
      <c r="AA490" s="64"/>
      <c r="BS490" s="74"/>
    </row>
    <row r="491" ht="18.75" customHeight="1">
      <c r="B491" s="71"/>
      <c r="D491" s="72"/>
      <c r="K491" s="73"/>
      <c r="P491" s="37" t="s">
        <v>29</v>
      </c>
      <c r="Q491" s="64"/>
      <c r="R491" s="64"/>
      <c r="S491" s="64"/>
      <c r="T491" s="64"/>
      <c r="U491" s="64"/>
      <c r="V491" s="64"/>
      <c r="W491" s="64"/>
      <c r="X491" s="64"/>
      <c r="Y491" s="64"/>
      <c r="Z491" s="64"/>
      <c r="AA491" s="64"/>
      <c r="BS491" s="74"/>
    </row>
    <row r="492" ht="18.75" customHeight="1">
      <c r="B492" s="71"/>
      <c r="D492" s="72"/>
      <c r="K492" s="73"/>
      <c r="P492" s="37" t="s">
        <v>29</v>
      </c>
      <c r="Q492" s="64"/>
      <c r="R492" s="64"/>
      <c r="S492" s="64"/>
      <c r="T492" s="64"/>
      <c r="U492" s="64"/>
      <c r="V492" s="64"/>
      <c r="W492" s="64"/>
      <c r="X492" s="64"/>
      <c r="Y492" s="64"/>
      <c r="Z492" s="64"/>
      <c r="AA492" s="64"/>
      <c r="BS492" s="74"/>
    </row>
    <row r="493" ht="18.75" customHeight="1">
      <c r="B493" s="71"/>
      <c r="D493" s="72"/>
      <c r="K493" s="73"/>
      <c r="P493" s="37" t="s">
        <v>29</v>
      </c>
      <c r="Q493" s="64"/>
      <c r="R493" s="64"/>
      <c r="S493" s="64"/>
      <c r="T493" s="64"/>
      <c r="U493" s="64"/>
      <c r="V493" s="64"/>
      <c r="W493" s="64"/>
      <c r="X493" s="64"/>
      <c r="Y493" s="64"/>
      <c r="Z493" s="64"/>
      <c r="AA493" s="64"/>
      <c r="BS493" s="74"/>
    </row>
    <row r="494" ht="18.75" customHeight="1">
      <c r="B494" s="71"/>
      <c r="D494" s="72"/>
      <c r="K494" s="73"/>
      <c r="P494" s="37" t="s">
        <v>29</v>
      </c>
      <c r="Q494" s="64"/>
      <c r="R494" s="64"/>
      <c r="S494" s="64"/>
      <c r="T494" s="64"/>
      <c r="U494" s="64"/>
      <c r="V494" s="64"/>
      <c r="W494" s="64"/>
      <c r="X494" s="64"/>
      <c r="Y494" s="64"/>
      <c r="Z494" s="64"/>
      <c r="AA494" s="64"/>
      <c r="BS494" s="74"/>
    </row>
    <row r="495" ht="18.75" customHeight="1">
      <c r="B495" s="71"/>
      <c r="D495" s="72"/>
      <c r="K495" s="73"/>
      <c r="P495" s="37" t="s">
        <v>29</v>
      </c>
      <c r="Q495" s="64"/>
      <c r="R495" s="64"/>
      <c r="S495" s="64"/>
      <c r="T495" s="64"/>
      <c r="U495" s="64"/>
      <c r="V495" s="64"/>
      <c r="W495" s="64"/>
      <c r="X495" s="64"/>
      <c r="Y495" s="64"/>
      <c r="Z495" s="64"/>
      <c r="AA495" s="64"/>
      <c r="BS495" s="74"/>
    </row>
    <row r="496" ht="18.75" customHeight="1">
      <c r="B496" s="71"/>
      <c r="D496" s="72"/>
      <c r="K496" s="73"/>
      <c r="P496" s="37" t="s">
        <v>29</v>
      </c>
      <c r="Q496" s="64"/>
      <c r="R496" s="64"/>
      <c r="S496" s="64"/>
      <c r="T496" s="64"/>
      <c r="U496" s="64"/>
      <c r="V496" s="64"/>
      <c r="W496" s="64"/>
      <c r="X496" s="64"/>
      <c r="Y496" s="64"/>
      <c r="Z496" s="64"/>
      <c r="AA496" s="64"/>
      <c r="BS496" s="74"/>
    </row>
    <row r="497" ht="18.75" customHeight="1">
      <c r="B497" s="71"/>
      <c r="D497" s="72"/>
      <c r="K497" s="73"/>
      <c r="P497" s="37" t="s">
        <v>29</v>
      </c>
      <c r="Q497" s="64"/>
      <c r="R497" s="64"/>
      <c r="S497" s="64"/>
      <c r="T497" s="64"/>
      <c r="U497" s="64"/>
      <c r="V497" s="64"/>
      <c r="W497" s="64"/>
      <c r="X497" s="64"/>
      <c r="Y497" s="64"/>
      <c r="Z497" s="64"/>
      <c r="AA497" s="64"/>
      <c r="BS497" s="74"/>
    </row>
    <row r="498" ht="18.75" customHeight="1">
      <c r="B498" s="71"/>
      <c r="D498" s="72"/>
      <c r="K498" s="73"/>
      <c r="P498" s="37" t="s">
        <v>29</v>
      </c>
      <c r="Q498" s="64"/>
      <c r="R498" s="64"/>
      <c r="S498" s="64"/>
      <c r="T498" s="64"/>
      <c r="U498" s="64"/>
      <c r="V498" s="64"/>
      <c r="W498" s="64"/>
      <c r="X498" s="64"/>
      <c r="Y498" s="64"/>
      <c r="Z498" s="64"/>
      <c r="AA498" s="64"/>
      <c r="BS498" s="74"/>
    </row>
    <row r="499" ht="18.75" customHeight="1">
      <c r="B499" s="71"/>
      <c r="D499" s="72"/>
      <c r="K499" s="73"/>
      <c r="P499" s="37" t="s">
        <v>29</v>
      </c>
      <c r="Q499" s="64"/>
      <c r="R499" s="64"/>
      <c r="S499" s="64"/>
      <c r="T499" s="64"/>
      <c r="U499" s="64"/>
      <c r="V499" s="64"/>
      <c r="W499" s="64"/>
      <c r="X499" s="64"/>
      <c r="Y499" s="64"/>
      <c r="Z499" s="64"/>
      <c r="AA499" s="64"/>
      <c r="BS499" s="74"/>
    </row>
    <row r="500" ht="18.75" customHeight="1">
      <c r="B500" s="71"/>
      <c r="D500" s="72"/>
      <c r="K500" s="73"/>
      <c r="P500" s="37" t="s">
        <v>29</v>
      </c>
      <c r="Q500" s="64"/>
      <c r="R500" s="64"/>
      <c r="S500" s="64"/>
      <c r="T500" s="64"/>
      <c r="U500" s="64"/>
      <c r="V500" s="64"/>
      <c r="W500" s="64"/>
      <c r="X500" s="64"/>
      <c r="Y500" s="64"/>
      <c r="Z500" s="64"/>
      <c r="AA500" s="64"/>
      <c r="BS500" s="74"/>
    </row>
    <row r="501" ht="18.75" customHeight="1">
      <c r="B501" s="71"/>
      <c r="D501" s="72"/>
      <c r="K501" s="73"/>
      <c r="P501" s="37" t="s">
        <v>29</v>
      </c>
      <c r="Q501" s="64"/>
      <c r="R501" s="64"/>
      <c r="S501" s="64"/>
      <c r="T501" s="64"/>
      <c r="U501" s="64"/>
      <c r="V501" s="64"/>
      <c r="W501" s="64"/>
      <c r="X501" s="64"/>
      <c r="Y501" s="64"/>
      <c r="Z501" s="64"/>
      <c r="AA501" s="64"/>
      <c r="BS501" s="74"/>
    </row>
    <row r="502" ht="18.75" customHeight="1">
      <c r="B502" s="71"/>
      <c r="D502" s="72"/>
      <c r="K502" s="73"/>
      <c r="P502" s="37" t="s">
        <v>29</v>
      </c>
      <c r="Q502" s="64"/>
      <c r="R502" s="64"/>
      <c r="S502" s="64"/>
      <c r="T502" s="64"/>
      <c r="U502" s="64"/>
      <c r="V502" s="64"/>
      <c r="W502" s="64"/>
      <c r="X502" s="64"/>
      <c r="Y502" s="64"/>
      <c r="Z502" s="64"/>
      <c r="AA502" s="64"/>
      <c r="BS502" s="74"/>
    </row>
    <row r="503" ht="18.75" customHeight="1">
      <c r="B503" s="71"/>
      <c r="D503" s="72"/>
      <c r="K503" s="73"/>
      <c r="P503" s="37" t="s">
        <v>29</v>
      </c>
      <c r="Q503" s="64"/>
      <c r="R503" s="64"/>
      <c r="S503" s="64"/>
      <c r="T503" s="64"/>
      <c r="U503" s="64"/>
      <c r="V503" s="64"/>
      <c r="W503" s="64"/>
      <c r="X503" s="64"/>
      <c r="Y503" s="64"/>
      <c r="Z503" s="64"/>
      <c r="AA503" s="64"/>
      <c r="BS503" s="74"/>
    </row>
    <row r="504" ht="18.75" customHeight="1">
      <c r="B504" s="71"/>
      <c r="D504" s="72"/>
      <c r="K504" s="73"/>
      <c r="P504" s="37" t="s">
        <v>29</v>
      </c>
      <c r="Q504" s="64"/>
      <c r="R504" s="64"/>
      <c r="S504" s="64"/>
      <c r="T504" s="64"/>
      <c r="U504" s="64"/>
      <c r="V504" s="64"/>
      <c r="W504" s="64"/>
      <c r="X504" s="64"/>
      <c r="Y504" s="64"/>
      <c r="Z504" s="64"/>
      <c r="AA504" s="64"/>
      <c r="BS504" s="74"/>
    </row>
    <row r="505" ht="18.75" customHeight="1">
      <c r="B505" s="71"/>
      <c r="D505" s="72"/>
      <c r="K505" s="73"/>
      <c r="P505" s="37" t="s">
        <v>29</v>
      </c>
      <c r="Q505" s="64"/>
      <c r="R505" s="64"/>
      <c r="S505" s="64"/>
      <c r="T505" s="64"/>
      <c r="U505" s="64"/>
      <c r="V505" s="64"/>
      <c r="W505" s="64"/>
      <c r="X505" s="64"/>
      <c r="Y505" s="64"/>
      <c r="Z505" s="64"/>
      <c r="AA505" s="64"/>
      <c r="BS505" s="74"/>
    </row>
    <row r="506" ht="18.75" customHeight="1">
      <c r="B506" s="71"/>
      <c r="D506" s="72"/>
      <c r="K506" s="73"/>
      <c r="P506" s="37" t="s">
        <v>29</v>
      </c>
      <c r="Q506" s="64"/>
      <c r="R506" s="64"/>
      <c r="S506" s="64"/>
      <c r="T506" s="64"/>
      <c r="U506" s="64"/>
      <c r="V506" s="64"/>
      <c r="W506" s="64"/>
      <c r="X506" s="64"/>
      <c r="Y506" s="64"/>
      <c r="Z506" s="64"/>
      <c r="AA506" s="64"/>
      <c r="BS506" s="74"/>
    </row>
    <row r="507" ht="18.75" customHeight="1">
      <c r="B507" s="71"/>
      <c r="D507" s="72"/>
      <c r="K507" s="73"/>
      <c r="P507" s="37" t="s">
        <v>29</v>
      </c>
      <c r="Q507" s="64"/>
      <c r="R507" s="64"/>
      <c r="S507" s="64"/>
      <c r="T507" s="64"/>
      <c r="U507" s="64"/>
      <c r="V507" s="64"/>
      <c r="W507" s="64"/>
      <c r="X507" s="64"/>
      <c r="Y507" s="64"/>
      <c r="Z507" s="64"/>
      <c r="AA507" s="64"/>
      <c r="BS507" s="74"/>
    </row>
    <row r="508" ht="18.75" customHeight="1">
      <c r="B508" s="71"/>
      <c r="D508" s="72"/>
      <c r="K508" s="73"/>
      <c r="P508" s="37" t="s">
        <v>29</v>
      </c>
      <c r="Q508" s="64"/>
      <c r="R508" s="64"/>
      <c r="S508" s="64"/>
      <c r="T508" s="64"/>
      <c r="U508" s="64"/>
      <c r="V508" s="64"/>
      <c r="W508" s="64"/>
      <c r="X508" s="64"/>
      <c r="Y508" s="64"/>
      <c r="Z508" s="64"/>
      <c r="AA508" s="64"/>
      <c r="BS508" s="74"/>
    </row>
    <row r="509" ht="18.75" customHeight="1">
      <c r="B509" s="71"/>
      <c r="D509" s="72"/>
      <c r="K509" s="73"/>
      <c r="P509" s="37" t="s">
        <v>29</v>
      </c>
      <c r="Q509" s="64"/>
      <c r="R509" s="64"/>
      <c r="S509" s="64"/>
      <c r="T509" s="64"/>
      <c r="U509" s="64"/>
      <c r="V509" s="64"/>
      <c r="W509" s="64"/>
      <c r="X509" s="64"/>
      <c r="Y509" s="64"/>
      <c r="Z509" s="64"/>
      <c r="AA509" s="64"/>
      <c r="BS509" s="74"/>
    </row>
    <row r="510" ht="18.75" customHeight="1">
      <c r="B510" s="71"/>
      <c r="D510" s="72"/>
      <c r="K510" s="73"/>
      <c r="P510" s="37" t="s">
        <v>29</v>
      </c>
      <c r="Q510" s="64"/>
      <c r="R510" s="64"/>
      <c r="S510" s="64"/>
      <c r="T510" s="64"/>
      <c r="U510" s="64"/>
      <c r="V510" s="64"/>
      <c r="W510" s="64"/>
      <c r="X510" s="64"/>
      <c r="Y510" s="64"/>
      <c r="Z510" s="64"/>
      <c r="AA510" s="64"/>
      <c r="BS510" s="74"/>
    </row>
    <row r="511" ht="18.75" customHeight="1">
      <c r="B511" s="71"/>
      <c r="D511" s="72"/>
      <c r="K511" s="73"/>
      <c r="P511" s="37" t="s">
        <v>29</v>
      </c>
      <c r="Q511" s="64"/>
      <c r="R511" s="64"/>
      <c r="S511" s="64"/>
      <c r="T511" s="64"/>
      <c r="U511" s="64"/>
      <c r="V511" s="64"/>
      <c r="W511" s="64"/>
      <c r="X511" s="64"/>
      <c r="Y511" s="64"/>
      <c r="Z511" s="64"/>
      <c r="AA511" s="64"/>
      <c r="BS511" s="74"/>
    </row>
    <row r="512" ht="18.75" customHeight="1">
      <c r="B512" s="71"/>
      <c r="D512" s="72"/>
      <c r="K512" s="73"/>
      <c r="P512" s="37" t="s">
        <v>29</v>
      </c>
      <c r="Q512" s="64"/>
      <c r="R512" s="64"/>
      <c r="S512" s="64"/>
      <c r="T512" s="64"/>
      <c r="U512" s="64"/>
      <c r="V512" s="64"/>
      <c r="W512" s="64"/>
      <c r="X512" s="64"/>
      <c r="Y512" s="64"/>
      <c r="Z512" s="64"/>
      <c r="AA512" s="64"/>
      <c r="BS512" s="74"/>
    </row>
    <row r="513" ht="18.75" customHeight="1">
      <c r="B513" s="71"/>
      <c r="D513" s="72"/>
      <c r="K513" s="73"/>
      <c r="P513" s="37" t="s">
        <v>29</v>
      </c>
      <c r="Q513" s="64"/>
      <c r="R513" s="64"/>
      <c r="S513" s="64"/>
      <c r="T513" s="64"/>
      <c r="U513" s="64"/>
      <c r="V513" s="64"/>
      <c r="W513" s="64"/>
      <c r="X513" s="64"/>
      <c r="Y513" s="64"/>
      <c r="Z513" s="64"/>
      <c r="AA513" s="64"/>
      <c r="BS513" s="74"/>
    </row>
    <row r="514" ht="18.75" customHeight="1">
      <c r="B514" s="71"/>
      <c r="D514" s="72"/>
      <c r="K514" s="73"/>
      <c r="P514" s="37" t="s">
        <v>29</v>
      </c>
      <c r="Q514" s="64"/>
      <c r="R514" s="64"/>
      <c r="S514" s="64"/>
      <c r="T514" s="64"/>
      <c r="U514" s="64"/>
      <c r="V514" s="64"/>
      <c r="W514" s="64"/>
      <c r="X514" s="64"/>
      <c r="Y514" s="64"/>
      <c r="Z514" s="64"/>
      <c r="AA514" s="64"/>
      <c r="BS514" s="74"/>
    </row>
    <row r="515" ht="18.75" customHeight="1">
      <c r="B515" s="71"/>
      <c r="D515" s="72"/>
      <c r="K515" s="73"/>
      <c r="P515" s="37" t="s">
        <v>29</v>
      </c>
      <c r="Q515" s="64"/>
      <c r="R515" s="64"/>
      <c r="S515" s="64"/>
      <c r="T515" s="64"/>
      <c r="U515" s="64"/>
      <c r="V515" s="64"/>
      <c r="W515" s="64"/>
      <c r="X515" s="64"/>
      <c r="Y515" s="64"/>
      <c r="Z515" s="64"/>
      <c r="AA515" s="64"/>
      <c r="BS515" s="74"/>
    </row>
    <row r="516" ht="18.75" customHeight="1">
      <c r="B516" s="71"/>
      <c r="D516" s="72"/>
      <c r="K516" s="73"/>
      <c r="P516" s="37" t="s">
        <v>29</v>
      </c>
      <c r="Q516" s="64"/>
      <c r="R516" s="64"/>
      <c r="S516" s="64"/>
      <c r="T516" s="64"/>
      <c r="U516" s="64"/>
      <c r="V516" s="64"/>
      <c r="W516" s="64"/>
      <c r="X516" s="64"/>
      <c r="Y516" s="64"/>
      <c r="Z516" s="64"/>
      <c r="AA516" s="64"/>
      <c r="BS516" s="74"/>
    </row>
    <row r="517" ht="18.75" customHeight="1">
      <c r="B517" s="71"/>
      <c r="D517" s="72"/>
      <c r="K517" s="73"/>
      <c r="P517" s="37" t="s">
        <v>29</v>
      </c>
      <c r="Q517" s="64"/>
      <c r="R517" s="64"/>
      <c r="S517" s="64"/>
      <c r="T517" s="64"/>
      <c r="U517" s="64"/>
      <c r="V517" s="64"/>
      <c r="W517" s="64"/>
      <c r="X517" s="64"/>
      <c r="Y517" s="64"/>
      <c r="Z517" s="64"/>
      <c r="AA517" s="64"/>
      <c r="BS517" s="74"/>
    </row>
    <row r="518" ht="18.75" customHeight="1">
      <c r="B518" s="71"/>
      <c r="D518" s="72"/>
      <c r="K518" s="73"/>
      <c r="P518" s="37" t="s">
        <v>29</v>
      </c>
      <c r="Q518" s="64"/>
      <c r="R518" s="64"/>
      <c r="S518" s="64"/>
      <c r="T518" s="64"/>
      <c r="U518" s="64"/>
      <c r="V518" s="64"/>
      <c r="W518" s="64"/>
      <c r="X518" s="64"/>
      <c r="Y518" s="64"/>
      <c r="Z518" s="64"/>
      <c r="AA518" s="64"/>
      <c r="BS518" s="74"/>
    </row>
    <row r="519" ht="18.75" customHeight="1">
      <c r="B519" s="71"/>
      <c r="D519" s="72"/>
      <c r="K519" s="73"/>
      <c r="P519" s="37" t="s">
        <v>29</v>
      </c>
      <c r="Q519" s="64"/>
      <c r="R519" s="64"/>
      <c r="S519" s="64"/>
      <c r="T519" s="64"/>
      <c r="U519" s="64"/>
      <c r="V519" s="64"/>
      <c r="W519" s="64"/>
      <c r="X519" s="64"/>
      <c r="Y519" s="64"/>
      <c r="Z519" s="64"/>
      <c r="AA519" s="64"/>
      <c r="BS519" s="74"/>
    </row>
    <row r="520" ht="18.75" customHeight="1">
      <c r="B520" s="71"/>
      <c r="D520" s="72"/>
      <c r="K520" s="73"/>
      <c r="P520" s="37" t="s">
        <v>29</v>
      </c>
      <c r="Q520" s="64"/>
      <c r="R520" s="64"/>
      <c r="S520" s="64"/>
      <c r="T520" s="64"/>
      <c r="U520" s="64"/>
      <c r="V520" s="64"/>
      <c r="W520" s="64"/>
      <c r="X520" s="64"/>
      <c r="Y520" s="64"/>
      <c r="Z520" s="64"/>
      <c r="AA520" s="64"/>
      <c r="BS520" s="74"/>
    </row>
    <row r="521" ht="18.75" customHeight="1">
      <c r="B521" s="71"/>
      <c r="D521" s="72"/>
      <c r="K521" s="73"/>
      <c r="P521" s="37" t="s">
        <v>29</v>
      </c>
      <c r="Q521" s="64"/>
      <c r="R521" s="64"/>
      <c r="S521" s="64"/>
      <c r="T521" s="64"/>
      <c r="U521" s="64"/>
      <c r="V521" s="64"/>
      <c r="W521" s="64"/>
      <c r="X521" s="64"/>
      <c r="Y521" s="64"/>
      <c r="Z521" s="64"/>
      <c r="AA521" s="64"/>
      <c r="BS521" s="74"/>
    </row>
    <row r="522" ht="18.75" customHeight="1">
      <c r="B522" s="71"/>
      <c r="D522" s="72"/>
      <c r="K522" s="73"/>
      <c r="P522" s="37" t="s">
        <v>29</v>
      </c>
      <c r="Q522" s="64"/>
      <c r="R522" s="64"/>
      <c r="S522" s="64"/>
      <c r="T522" s="64"/>
      <c r="U522" s="64"/>
      <c r="V522" s="64"/>
      <c r="W522" s="64"/>
      <c r="X522" s="64"/>
      <c r="Y522" s="64"/>
      <c r="Z522" s="64"/>
      <c r="AA522" s="64"/>
      <c r="BS522" s="74"/>
    </row>
    <row r="523" ht="18.75" customHeight="1">
      <c r="B523" s="71"/>
      <c r="D523" s="72"/>
      <c r="K523" s="73"/>
      <c r="P523" s="37" t="s">
        <v>29</v>
      </c>
      <c r="Q523" s="64"/>
      <c r="R523" s="64"/>
      <c r="S523" s="64"/>
      <c r="T523" s="64"/>
      <c r="U523" s="64"/>
      <c r="V523" s="64"/>
      <c r="W523" s="64"/>
      <c r="X523" s="64"/>
      <c r="Y523" s="64"/>
      <c r="Z523" s="64"/>
      <c r="AA523" s="64"/>
      <c r="BS523" s="74"/>
    </row>
    <row r="524" ht="18.75" customHeight="1">
      <c r="B524" s="71"/>
      <c r="D524" s="72"/>
      <c r="K524" s="73"/>
      <c r="P524" s="37" t="s">
        <v>29</v>
      </c>
      <c r="Q524" s="64"/>
      <c r="R524" s="64"/>
      <c r="S524" s="64"/>
      <c r="T524" s="64"/>
      <c r="U524" s="64"/>
      <c r="V524" s="64"/>
      <c r="W524" s="64"/>
      <c r="X524" s="64"/>
      <c r="Y524" s="64"/>
      <c r="Z524" s="64"/>
      <c r="AA524" s="64"/>
      <c r="BS524" s="74"/>
    </row>
    <row r="525" ht="18.75" customHeight="1">
      <c r="B525" s="71"/>
      <c r="D525" s="72"/>
      <c r="K525" s="73"/>
      <c r="P525" s="37" t="s">
        <v>29</v>
      </c>
      <c r="Q525" s="64"/>
      <c r="R525" s="64"/>
      <c r="S525" s="64"/>
      <c r="T525" s="64"/>
      <c r="U525" s="64"/>
      <c r="V525" s="64"/>
      <c r="W525" s="64"/>
      <c r="X525" s="64"/>
      <c r="Y525" s="64"/>
      <c r="Z525" s="64"/>
      <c r="AA525" s="64"/>
      <c r="BS525" s="74"/>
    </row>
    <row r="526" ht="18.75" customHeight="1">
      <c r="B526" s="71"/>
      <c r="D526" s="72"/>
      <c r="K526" s="73"/>
      <c r="P526" s="37" t="s">
        <v>29</v>
      </c>
      <c r="Q526" s="64"/>
      <c r="R526" s="64"/>
      <c r="S526" s="64"/>
      <c r="T526" s="64"/>
      <c r="U526" s="64"/>
      <c r="V526" s="64"/>
      <c r="W526" s="64"/>
      <c r="X526" s="64"/>
      <c r="Y526" s="64"/>
      <c r="Z526" s="64"/>
      <c r="AA526" s="64"/>
      <c r="BS526" s="74"/>
    </row>
    <row r="527" ht="18.75" customHeight="1">
      <c r="B527" s="71"/>
      <c r="D527" s="72"/>
      <c r="K527" s="73"/>
      <c r="P527" s="37" t="s">
        <v>29</v>
      </c>
      <c r="Q527" s="64"/>
      <c r="R527" s="64"/>
      <c r="S527" s="64"/>
      <c r="T527" s="64"/>
      <c r="U527" s="64"/>
      <c r="V527" s="64"/>
      <c r="W527" s="64"/>
      <c r="X527" s="64"/>
      <c r="Y527" s="64"/>
      <c r="Z527" s="64"/>
      <c r="AA527" s="64"/>
      <c r="BS527" s="74"/>
    </row>
    <row r="528" ht="18.75" customHeight="1">
      <c r="B528" s="71"/>
      <c r="D528" s="72"/>
      <c r="K528" s="73"/>
      <c r="P528" s="37" t="s">
        <v>29</v>
      </c>
      <c r="Q528" s="64"/>
      <c r="R528" s="64"/>
      <c r="S528" s="64"/>
      <c r="T528" s="64"/>
      <c r="U528" s="64"/>
      <c r="V528" s="64"/>
      <c r="W528" s="64"/>
      <c r="X528" s="64"/>
      <c r="Y528" s="64"/>
      <c r="Z528" s="64"/>
      <c r="AA528" s="64"/>
      <c r="BS528" s="74"/>
    </row>
    <row r="529" ht="18.75" customHeight="1">
      <c r="B529" s="71"/>
      <c r="D529" s="72"/>
      <c r="K529" s="73"/>
      <c r="P529" s="37" t="s">
        <v>29</v>
      </c>
      <c r="Q529" s="64"/>
      <c r="R529" s="64"/>
      <c r="S529" s="64"/>
      <c r="T529" s="64"/>
      <c r="U529" s="64"/>
      <c r="V529" s="64"/>
      <c r="W529" s="64"/>
      <c r="X529" s="64"/>
      <c r="Y529" s="64"/>
      <c r="Z529" s="64"/>
      <c r="AA529" s="64"/>
      <c r="BS529" s="74"/>
    </row>
    <row r="530" ht="18.75" customHeight="1">
      <c r="B530" s="71"/>
      <c r="D530" s="72"/>
      <c r="K530" s="73"/>
      <c r="P530" s="37" t="s">
        <v>29</v>
      </c>
      <c r="Q530" s="64"/>
      <c r="R530" s="64"/>
      <c r="S530" s="64"/>
      <c r="T530" s="64"/>
      <c r="U530" s="64"/>
      <c r="V530" s="64"/>
      <c r="W530" s="64"/>
      <c r="X530" s="64"/>
      <c r="Y530" s="64"/>
      <c r="Z530" s="64"/>
      <c r="AA530" s="64"/>
      <c r="BS530" s="74"/>
    </row>
    <row r="531" ht="18.75" customHeight="1">
      <c r="B531" s="71"/>
      <c r="D531" s="72"/>
      <c r="K531" s="73"/>
      <c r="P531" s="37" t="s">
        <v>29</v>
      </c>
      <c r="Q531" s="64"/>
      <c r="R531" s="64"/>
      <c r="S531" s="64"/>
      <c r="T531" s="64"/>
      <c r="U531" s="64"/>
      <c r="V531" s="64"/>
      <c r="W531" s="64"/>
      <c r="X531" s="64"/>
      <c r="Y531" s="64"/>
      <c r="Z531" s="64"/>
      <c r="AA531" s="64"/>
      <c r="BS531" s="74"/>
    </row>
    <row r="532" ht="18.75" customHeight="1">
      <c r="B532" s="71"/>
      <c r="D532" s="72"/>
      <c r="K532" s="73"/>
      <c r="P532" s="37" t="s">
        <v>29</v>
      </c>
      <c r="Q532" s="64"/>
      <c r="R532" s="64"/>
      <c r="S532" s="64"/>
      <c r="T532" s="64"/>
      <c r="U532" s="64"/>
      <c r="V532" s="64"/>
      <c r="W532" s="64"/>
      <c r="X532" s="64"/>
      <c r="Y532" s="64"/>
      <c r="Z532" s="64"/>
      <c r="AA532" s="64"/>
      <c r="BS532" s="74"/>
    </row>
    <row r="533" ht="18.75" customHeight="1">
      <c r="B533" s="71"/>
      <c r="D533" s="72"/>
      <c r="K533" s="73"/>
      <c r="P533" s="37" t="s">
        <v>29</v>
      </c>
      <c r="Q533" s="64"/>
      <c r="R533" s="64"/>
      <c r="S533" s="64"/>
      <c r="T533" s="64"/>
      <c r="U533" s="64"/>
      <c r="V533" s="64"/>
      <c r="W533" s="64"/>
      <c r="X533" s="64"/>
      <c r="Y533" s="64"/>
      <c r="Z533" s="64"/>
      <c r="AA533" s="64"/>
      <c r="BS533" s="74"/>
    </row>
    <row r="534" ht="18.75" customHeight="1">
      <c r="B534" s="71"/>
      <c r="D534" s="72"/>
      <c r="K534" s="73"/>
      <c r="P534" s="37" t="s">
        <v>29</v>
      </c>
      <c r="Q534" s="64"/>
      <c r="R534" s="64"/>
      <c r="S534" s="64"/>
      <c r="T534" s="64"/>
      <c r="U534" s="64"/>
      <c r="V534" s="64"/>
      <c r="W534" s="64"/>
      <c r="X534" s="64"/>
      <c r="Y534" s="64"/>
      <c r="Z534" s="64"/>
      <c r="AA534" s="64"/>
      <c r="BS534" s="74"/>
    </row>
    <row r="535" ht="18.75" customHeight="1">
      <c r="B535" s="71"/>
      <c r="D535" s="72"/>
      <c r="K535" s="73"/>
      <c r="P535" s="37" t="s">
        <v>29</v>
      </c>
      <c r="Q535" s="64"/>
      <c r="R535" s="64"/>
      <c r="S535" s="64"/>
      <c r="T535" s="64"/>
      <c r="U535" s="64"/>
      <c r="V535" s="64"/>
      <c r="W535" s="64"/>
      <c r="X535" s="64"/>
      <c r="Y535" s="64"/>
      <c r="Z535" s="64"/>
      <c r="AA535" s="64"/>
      <c r="BS535" s="74"/>
    </row>
    <row r="536" ht="18.75" customHeight="1">
      <c r="B536" s="71"/>
      <c r="D536" s="72"/>
      <c r="K536" s="73"/>
      <c r="P536" s="37" t="s">
        <v>29</v>
      </c>
      <c r="Q536" s="64"/>
      <c r="R536" s="64"/>
      <c r="S536" s="64"/>
      <c r="T536" s="64"/>
      <c r="U536" s="64"/>
      <c r="V536" s="64"/>
      <c r="W536" s="64"/>
      <c r="X536" s="64"/>
      <c r="Y536" s="64"/>
      <c r="Z536" s="64"/>
      <c r="AA536" s="64"/>
      <c r="BS536" s="74"/>
    </row>
    <row r="537" ht="18.75" customHeight="1">
      <c r="B537" s="71"/>
      <c r="D537" s="72"/>
      <c r="K537" s="73"/>
      <c r="P537" s="37" t="s">
        <v>29</v>
      </c>
      <c r="Q537" s="64"/>
      <c r="R537" s="64"/>
      <c r="S537" s="64"/>
      <c r="T537" s="64"/>
      <c r="U537" s="64"/>
      <c r="V537" s="64"/>
      <c r="W537" s="64"/>
      <c r="X537" s="64"/>
      <c r="Y537" s="64"/>
      <c r="Z537" s="64"/>
      <c r="AA537" s="64"/>
      <c r="BS537" s="74"/>
    </row>
    <row r="538" ht="18.75" customHeight="1">
      <c r="B538" s="71"/>
      <c r="D538" s="72"/>
      <c r="K538" s="73"/>
      <c r="P538" s="37" t="s">
        <v>29</v>
      </c>
      <c r="Q538" s="64"/>
      <c r="R538" s="64"/>
      <c r="S538" s="64"/>
      <c r="T538" s="64"/>
      <c r="U538" s="64"/>
      <c r="V538" s="64"/>
      <c r="W538" s="64"/>
      <c r="X538" s="64"/>
      <c r="Y538" s="64"/>
      <c r="Z538" s="64"/>
      <c r="AA538" s="64"/>
      <c r="BS538" s="74"/>
    </row>
    <row r="539" ht="18.75" customHeight="1">
      <c r="B539" s="71"/>
      <c r="D539" s="72"/>
      <c r="K539" s="73"/>
      <c r="P539" s="37" t="s">
        <v>29</v>
      </c>
      <c r="Q539" s="64"/>
      <c r="R539" s="64"/>
      <c r="S539" s="64"/>
      <c r="T539" s="64"/>
      <c r="U539" s="64"/>
      <c r="V539" s="64"/>
      <c r="W539" s="64"/>
      <c r="X539" s="64"/>
      <c r="Y539" s="64"/>
      <c r="Z539" s="64"/>
      <c r="AA539" s="64"/>
      <c r="BS539" s="74"/>
    </row>
    <row r="540" ht="18.75" customHeight="1">
      <c r="B540" s="71"/>
      <c r="D540" s="72"/>
      <c r="K540" s="73"/>
      <c r="P540" s="37" t="s">
        <v>29</v>
      </c>
      <c r="Q540" s="64"/>
      <c r="R540" s="64"/>
      <c r="S540" s="64"/>
      <c r="T540" s="64"/>
      <c r="U540" s="64"/>
      <c r="V540" s="64"/>
      <c r="W540" s="64"/>
      <c r="X540" s="64"/>
      <c r="Y540" s="64"/>
      <c r="Z540" s="64"/>
      <c r="AA540" s="64"/>
      <c r="BS540" s="74"/>
    </row>
    <row r="541" ht="18.75" customHeight="1">
      <c r="B541" s="71"/>
      <c r="D541" s="72"/>
      <c r="K541" s="73"/>
      <c r="P541" s="37" t="s">
        <v>29</v>
      </c>
      <c r="Q541" s="64"/>
      <c r="R541" s="64"/>
      <c r="S541" s="64"/>
      <c r="T541" s="64"/>
      <c r="U541" s="64"/>
      <c r="V541" s="64"/>
      <c r="W541" s="64"/>
      <c r="X541" s="64"/>
      <c r="Y541" s="64"/>
      <c r="Z541" s="64"/>
      <c r="AA541" s="64"/>
      <c r="BS541" s="74"/>
    </row>
    <row r="542" ht="18.75" customHeight="1">
      <c r="B542" s="71"/>
      <c r="D542" s="72"/>
      <c r="K542" s="73"/>
      <c r="P542" s="37" t="s">
        <v>29</v>
      </c>
      <c r="Q542" s="64"/>
      <c r="R542" s="64"/>
      <c r="S542" s="64"/>
      <c r="T542" s="64"/>
      <c r="U542" s="64"/>
      <c r="V542" s="64"/>
      <c r="W542" s="64"/>
      <c r="X542" s="64"/>
      <c r="Y542" s="64"/>
      <c r="Z542" s="64"/>
      <c r="AA542" s="64"/>
      <c r="BS542" s="74"/>
    </row>
    <row r="543" ht="18.75" customHeight="1">
      <c r="B543" s="71"/>
      <c r="D543" s="72"/>
      <c r="K543" s="73"/>
      <c r="P543" s="37" t="s">
        <v>29</v>
      </c>
      <c r="Q543" s="64"/>
      <c r="R543" s="64"/>
      <c r="S543" s="64"/>
      <c r="T543" s="64"/>
      <c r="U543" s="64"/>
      <c r="V543" s="64"/>
      <c r="W543" s="64"/>
      <c r="X543" s="64"/>
      <c r="Y543" s="64"/>
      <c r="Z543" s="64"/>
      <c r="AA543" s="64"/>
      <c r="BS543" s="74"/>
    </row>
    <row r="544" ht="18.75" customHeight="1">
      <c r="B544" s="71"/>
      <c r="D544" s="72"/>
      <c r="K544" s="73"/>
      <c r="P544" s="37" t="s">
        <v>29</v>
      </c>
      <c r="Q544" s="64"/>
      <c r="R544" s="64"/>
      <c r="S544" s="64"/>
      <c r="T544" s="64"/>
      <c r="U544" s="64"/>
      <c r="V544" s="64"/>
      <c r="W544" s="64"/>
      <c r="X544" s="64"/>
      <c r="Y544" s="64"/>
      <c r="Z544" s="64"/>
      <c r="AA544" s="64"/>
      <c r="BS544" s="74"/>
    </row>
    <row r="545" ht="18.75" customHeight="1">
      <c r="B545" s="71"/>
      <c r="D545" s="72"/>
      <c r="K545" s="73"/>
      <c r="P545" s="37" t="s">
        <v>29</v>
      </c>
      <c r="Q545" s="64"/>
      <c r="R545" s="64"/>
      <c r="S545" s="64"/>
      <c r="T545" s="64"/>
      <c r="U545" s="64"/>
      <c r="V545" s="64"/>
      <c r="W545" s="64"/>
      <c r="X545" s="64"/>
      <c r="Y545" s="64"/>
      <c r="Z545" s="64"/>
      <c r="AA545" s="64"/>
      <c r="BS545" s="74"/>
    </row>
    <row r="546" ht="18.75" customHeight="1">
      <c r="B546" s="71"/>
      <c r="D546" s="72"/>
      <c r="K546" s="73"/>
      <c r="P546" s="37" t="s">
        <v>29</v>
      </c>
      <c r="Q546" s="64"/>
      <c r="R546" s="64"/>
      <c r="S546" s="64"/>
      <c r="T546" s="64"/>
      <c r="U546" s="64"/>
      <c r="V546" s="64"/>
      <c r="W546" s="64"/>
      <c r="X546" s="64"/>
      <c r="Y546" s="64"/>
      <c r="Z546" s="64"/>
      <c r="AA546" s="64"/>
      <c r="BS546" s="74"/>
    </row>
    <row r="547" ht="18.75" customHeight="1">
      <c r="B547" s="71"/>
      <c r="D547" s="72"/>
      <c r="K547" s="73"/>
      <c r="P547" s="37" t="s">
        <v>29</v>
      </c>
      <c r="Q547" s="64"/>
      <c r="R547" s="64"/>
      <c r="S547" s="64"/>
      <c r="T547" s="64"/>
      <c r="U547" s="64"/>
      <c r="V547" s="64"/>
      <c r="W547" s="64"/>
      <c r="X547" s="64"/>
      <c r="Y547" s="64"/>
      <c r="Z547" s="64"/>
      <c r="AA547" s="64"/>
      <c r="BS547" s="74"/>
    </row>
    <row r="548" ht="18.75" customHeight="1">
      <c r="B548" s="71"/>
      <c r="D548" s="72"/>
      <c r="K548" s="73"/>
      <c r="P548" s="37" t="s">
        <v>29</v>
      </c>
      <c r="Q548" s="64"/>
      <c r="R548" s="64"/>
      <c r="S548" s="64"/>
      <c r="T548" s="64"/>
      <c r="U548" s="64"/>
      <c r="V548" s="64"/>
      <c r="W548" s="64"/>
      <c r="X548" s="64"/>
      <c r="Y548" s="64"/>
      <c r="Z548" s="64"/>
      <c r="AA548" s="64"/>
      <c r="BS548" s="74"/>
    </row>
    <row r="549" ht="18.75" customHeight="1">
      <c r="B549" s="71"/>
      <c r="D549" s="72"/>
      <c r="K549" s="73"/>
      <c r="P549" s="37" t="s">
        <v>29</v>
      </c>
      <c r="Q549" s="64"/>
      <c r="R549" s="64"/>
      <c r="S549" s="64"/>
      <c r="T549" s="64"/>
      <c r="U549" s="64"/>
      <c r="V549" s="64"/>
      <c r="W549" s="64"/>
      <c r="X549" s="64"/>
      <c r="Y549" s="64"/>
      <c r="Z549" s="64"/>
      <c r="AA549" s="64"/>
      <c r="BS549" s="74"/>
    </row>
    <row r="550" ht="18.75" customHeight="1">
      <c r="B550" s="71"/>
      <c r="D550" s="72"/>
      <c r="K550" s="73"/>
      <c r="P550" s="37" t="s">
        <v>29</v>
      </c>
      <c r="Q550" s="64"/>
      <c r="R550" s="64"/>
      <c r="S550" s="64"/>
      <c r="T550" s="64"/>
      <c r="U550" s="64"/>
      <c r="V550" s="64"/>
      <c r="W550" s="64"/>
      <c r="X550" s="64"/>
      <c r="Y550" s="64"/>
      <c r="Z550" s="64"/>
      <c r="AA550" s="64"/>
      <c r="BS550" s="74"/>
    </row>
    <row r="551" ht="18.75" customHeight="1">
      <c r="B551" s="71"/>
      <c r="D551" s="72"/>
      <c r="K551" s="73"/>
      <c r="P551" s="37" t="s">
        <v>29</v>
      </c>
      <c r="Q551" s="64"/>
      <c r="R551" s="64"/>
      <c r="S551" s="64"/>
      <c r="T551" s="64"/>
      <c r="U551" s="64"/>
      <c r="V551" s="64"/>
      <c r="W551" s="64"/>
      <c r="X551" s="64"/>
      <c r="Y551" s="64"/>
      <c r="Z551" s="64"/>
      <c r="AA551" s="64"/>
      <c r="BS551" s="74"/>
    </row>
    <row r="552" ht="18.75" customHeight="1">
      <c r="B552" s="71"/>
      <c r="D552" s="72"/>
      <c r="K552" s="73"/>
      <c r="P552" s="37" t="s">
        <v>29</v>
      </c>
      <c r="Q552" s="64"/>
      <c r="R552" s="64"/>
      <c r="S552" s="64"/>
      <c r="T552" s="64"/>
      <c r="U552" s="64"/>
      <c r="V552" s="64"/>
      <c r="W552" s="64"/>
      <c r="X552" s="64"/>
      <c r="Y552" s="64"/>
      <c r="Z552" s="64"/>
      <c r="AA552" s="64"/>
      <c r="BS552" s="74"/>
    </row>
    <row r="553" ht="18.75" customHeight="1">
      <c r="B553" s="71"/>
      <c r="D553" s="72"/>
      <c r="K553" s="73"/>
      <c r="P553" s="37" t="s">
        <v>29</v>
      </c>
      <c r="Q553" s="64"/>
      <c r="R553" s="64"/>
      <c r="S553" s="64"/>
      <c r="T553" s="64"/>
      <c r="U553" s="64"/>
      <c r="V553" s="64"/>
      <c r="W553" s="64"/>
      <c r="X553" s="64"/>
      <c r="Y553" s="64"/>
      <c r="Z553" s="64"/>
      <c r="AA553" s="64"/>
      <c r="BS553" s="74"/>
    </row>
    <row r="554" ht="18.75" customHeight="1">
      <c r="B554" s="71"/>
      <c r="D554" s="72"/>
      <c r="K554" s="73"/>
      <c r="P554" s="37" t="s">
        <v>29</v>
      </c>
      <c r="Q554" s="64"/>
      <c r="R554" s="64"/>
      <c r="S554" s="64"/>
      <c r="T554" s="64"/>
      <c r="U554" s="64"/>
      <c r="V554" s="64"/>
      <c r="W554" s="64"/>
      <c r="X554" s="64"/>
      <c r="Y554" s="64"/>
      <c r="Z554" s="64"/>
      <c r="AA554" s="64"/>
      <c r="BS554" s="74"/>
    </row>
    <row r="555" ht="18.75" customHeight="1">
      <c r="B555" s="71"/>
      <c r="D555" s="72"/>
      <c r="K555" s="73"/>
      <c r="P555" s="37" t="s">
        <v>29</v>
      </c>
      <c r="Q555" s="64"/>
      <c r="R555" s="64"/>
      <c r="S555" s="64"/>
      <c r="T555" s="64"/>
      <c r="U555" s="64"/>
      <c r="V555" s="64"/>
      <c r="W555" s="64"/>
      <c r="X555" s="64"/>
      <c r="Y555" s="64"/>
      <c r="Z555" s="64"/>
      <c r="AA555" s="64"/>
      <c r="BS555" s="74"/>
    </row>
    <row r="556" ht="18.75" customHeight="1">
      <c r="B556" s="71"/>
      <c r="D556" s="72"/>
      <c r="K556" s="73"/>
      <c r="P556" s="37" t="s">
        <v>29</v>
      </c>
      <c r="Q556" s="64"/>
      <c r="R556" s="64"/>
      <c r="S556" s="64"/>
      <c r="T556" s="64"/>
      <c r="U556" s="64"/>
      <c r="V556" s="64"/>
      <c r="W556" s="64"/>
      <c r="X556" s="64"/>
      <c r="Y556" s="64"/>
      <c r="Z556" s="64"/>
      <c r="AA556" s="64"/>
      <c r="BS556" s="74"/>
    </row>
    <row r="557" ht="18.75" customHeight="1">
      <c r="B557" s="71"/>
      <c r="D557" s="72"/>
      <c r="K557" s="73"/>
      <c r="P557" s="37" t="s">
        <v>29</v>
      </c>
      <c r="Q557" s="64"/>
      <c r="R557" s="64"/>
      <c r="S557" s="64"/>
      <c r="T557" s="64"/>
      <c r="U557" s="64"/>
      <c r="V557" s="64"/>
      <c r="W557" s="64"/>
      <c r="X557" s="64"/>
      <c r="Y557" s="64"/>
      <c r="Z557" s="64"/>
      <c r="AA557" s="64"/>
      <c r="BS557" s="74"/>
    </row>
    <row r="558" ht="18.75" customHeight="1">
      <c r="B558" s="71"/>
      <c r="D558" s="72"/>
      <c r="K558" s="73"/>
      <c r="P558" s="37" t="s">
        <v>29</v>
      </c>
      <c r="Q558" s="64"/>
      <c r="R558" s="64"/>
      <c r="S558" s="64"/>
      <c r="T558" s="64"/>
      <c r="U558" s="64"/>
      <c r="V558" s="64"/>
      <c r="W558" s="64"/>
      <c r="X558" s="64"/>
      <c r="Y558" s="64"/>
      <c r="Z558" s="64"/>
      <c r="AA558" s="64"/>
      <c r="BS558" s="74"/>
    </row>
    <row r="559" ht="18.75" customHeight="1">
      <c r="B559" s="71"/>
      <c r="D559" s="72"/>
      <c r="K559" s="73"/>
      <c r="P559" s="37" t="s">
        <v>29</v>
      </c>
      <c r="Q559" s="64"/>
      <c r="R559" s="64"/>
      <c r="S559" s="64"/>
      <c r="T559" s="64"/>
      <c r="U559" s="64"/>
      <c r="V559" s="64"/>
      <c r="W559" s="64"/>
      <c r="X559" s="64"/>
      <c r="Y559" s="64"/>
      <c r="Z559" s="64"/>
      <c r="AA559" s="64"/>
      <c r="BS559" s="74"/>
    </row>
    <row r="560" ht="18.75" customHeight="1">
      <c r="B560" s="71"/>
      <c r="D560" s="72"/>
      <c r="K560" s="73"/>
      <c r="P560" s="37" t="s">
        <v>29</v>
      </c>
      <c r="Q560" s="64"/>
      <c r="R560" s="64"/>
      <c r="S560" s="64"/>
      <c r="T560" s="64"/>
      <c r="U560" s="64"/>
      <c r="V560" s="64"/>
      <c r="W560" s="64"/>
      <c r="X560" s="64"/>
      <c r="Y560" s="64"/>
      <c r="Z560" s="64"/>
      <c r="AA560" s="64"/>
      <c r="BS560" s="74"/>
    </row>
    <row r="561" ht="18.75" customHeight="1">
      <c r="B561" s="71"/>
      <c r="D561" s="72"/>
      <c r="K561" s="73"/>
      <c r="P561" s="37" t="s">
        <v>29</v>
      </c>
      <c r="Q561" s="64"/>
      <c r="R561" s="64"/>
      <c r="S561" s="64"/>
      <c r="T561" s="64"/>
      <c r="U561" s="64"/>
      <c r="V561" s="64"/>
      <c r="W561" s="64"/>
      <c r="X561" s="64"/>
      <c r="Y561" s="64"/>
      <c r="Z561" s="64"/>
      <c r="AA561" s="64"/>
      <c r="BS561" s="74"/>
    </row>
    <row r="562" ht="18.75" customHeight="1">
      <c r="B562" s="71"/>
      <c r="D562" s="72"/>
      <c r="K562" s="73"/>
      <c r="P562" s="37" t="s">
        <v>29</v>
      </c>
      <c r="Q562" s="64"/>
      <c r="R562" s="64"/>
      <c r="S562" s="64"/>
      <c r="T562" s="64"/>
      <c r="U562" s="64"/>
      <c r="V562" s="64"/>
      <c r="W562" s="64"/>
      <c r="X562" s="64"/>
      <c r="Y562" s="64"/>
      <c r="Z562" s="64"/>
      <c r="AA562" s="64"/>
      <c r="BS562" s="74"/>
    </row>
    <row r="563" ht="18.75" customHeight="1">
      <c r="B563" s="71"/>
      <c r="D563" s="72"/>
      <c r="K563" s="73"/>
      <c r="P563" s="37" t="s">
        <v>29</v>
      </c>
      <c r="Q563" s="64"/>
      <c r="R563" s="64"/>
      <c r="S563" s="64"/>
      <c r="T563" s="64"/>
      <c r="U563" s="64"/>
      <c r="V563" s="64"/>
      <c r="W563" s="64"/>
      <c r="X563" s="64"/>
      <c r="Y563" s="64"/>
      <c r="Z563" s="64"/>
      <c r="AA563" s="64"/>
      <c r="BS563" s="74"/>
    </row>
    <row r="564" ht="18.75" customHeight="1">
      <c r="B564" s="71"/>
      <c r="D564" s="72"/>
      <c r="K564" s="73"/>
      <c r="P564" s="37" t="s">
        <v>29</v>
      </c>
      <c r="Q564" s="64"/>
      <c r="R564" s="64"/>
      <c r="S564" s="64"/>
      <c r="T564" s="64"/>
      <c r="U564" s="64"/>
      <c r="V564" s="64"/>
      <c r="W564" s="64"/>
      <c r="X564" s="64"/>
      <c r="Y564" s="64"/>
      <c r="Z564" s="64"/>
      <c r="AA564" s="64"/>
      <c r="BS564" s="74"/>
    </row>
    <row r="565" ht="18.75" customHeight="1">
      <c r="B565" s="71"/>
      <c r="D565" s="72"/>
      <c r="K565" s="73"/>
      <c r="P565" s="37" t="s">
        <v>29</v>
      </c>
      <c r="Q565" s="64"/>
      <c r="R565" s="64"/>
      <c r="S565" s="64"/>
      <c r="T565" s="64"/>
      <c r="U565" s="64"/>
      <c r="V565" s="64"/>
      <c r="W565" s="64"/>
      <c r="X565" s="64"/>
      <c r="Y565" s="64"/>
      <c r="Z565" s="64"/>
      <c r="AA565" s="64"/>
      <c r="BS565" s="74"/>
    </row>
    <row r="566" ht="18.75" customHeight="1">
      <c r="B566" s="71"/>
      <c r="D566" s="72"/>
      <c r="K566" s="73"/>
      <c r="P566" s="37" t="s">
        <v>29</v>
      </c>
      <c r="Q566" s="64"/>
      <c r="R566" s="64"/>
      <c r="S566" s="64"/>
      <c r="T566" s="64"/>
      <c r="U566" s="64"/>
      <c r="V566" s="64"/>
      <c r="W566" s="64"/>
      <c r="X566" s="64"/>
      <c r="Y566" s="64"/>
      <c r="Z566" s="64"/>
      <c r="AA566" s="64"/>
      <c r="BS566" s="74"/>
    </row>
    <row r="567" ht="18.75" customHeight="1">
      <c r="B567" s="71"/>
      <c r="D567" s="72"/>
      <c r="K567" s="73"/>
      <c r="P567" s="37" t="s">
        <v>29</v>
      </c>
      <c r="Q567" s="64"/>
      <c r="R567" s="64"/>
      <c r="S567" s="64"/>
      <c r="T567" s="64"/>
      <c r="U567" s="64"/>
      <c r="V567" s="64"/>
      <c r="W567" s="64"/>
      <c r="X567" s="64"/>
      <c r="Y567" s="64"/>
      <c r="Z567" s="64"/>
      <c r="AA567" s="64"/>
      <c r="BS567" s="74"/>
    </row>
    <row r="568" ht="18.75" customHeight="1">
      <c r="B568" s="71"/>
      <c r="D568" s="72"/>
      <c r="K568" s="73"/>
      <c r="P568" s="37" t="s">
        <v>29</v>
      </c>
      <c r="Q568" s="64"/>
      <c r="R568" s="64"/>
      <c r="S568" s="64"/>
      <c r="T568" s="64"/>
      <c r="U568" s="64"/>
      <c r="V568" s="64"/>
      <c r="W568" s="64"/>
      <c r="X568" s="64"/>
      <c r="Y568" s="64"/>
      <c r="Z568" s="64"/>
      <c r="AA568" s="64"/>
      <c r="BS568" s="74"/>
    </row>
    <row r="569" ht="18.75" customHeight="1">
      <c r="B569" s="71"/>
      <c r="D569" s="72"/>
      <c r="K569" s="73"/>
      <c r="P569" s="37" t="s">
        <v>29</v>
      </c>
      <c r="Q569" s="64"/>
      <c r="R569" s="64"/>
      <c r="S569" s="64"/>
      <c r="T569" s="64"/>
      <c r="U569" s="64"/>
      <c r="V569" s="64"/>
      <c r="W569" s="64"/>
      <c r="X569" s="64"/>
      <c r="Y569" s="64"/>
      <c r="Z569" s="64"/>
      <c r="AA569" s="64"/>
      <c r="BS569" s="74"/>
    </row>
    <row r="570" ht="18.75" customHeight="1">
      <c r="B570" s="71"/>
      <c r="D570" s="72"/>
      <c r="K570" s="73"/>
      <c r="P570" s="37" t="s">
        <v>29</v>
      </c>
      <c r="Q570" s="64"/>
      <c r="R570" s="64"/>
      <c r="S570" s="64"/>
      <c r="T570" s="64"/>
      <c r="U570" s="64"/>
      <c r="V570" s="64"/>
      <c r="W570" s="64"/>
      <c r="X570" s="64"/>
      <c r="Y570" s="64"/>
      <c r="Z570" s="64"/>
      <c r="AA570" s="64"/>
      <c r="BS570" s="74"/>
    </row>
    <row r="571" ht="18.75" customHeight="1">
      <c r="B571" s="71"/>
      <c r="D571" s="72"/>
      <c r="K571" s="73"/>
      <c r="P571" s="37" t="s">
        <v>29</v>
      </c>
      <c r="Q571" s="64"/>
      <c r="R571" s="64"/>
      <c r="S571" s="64"/>
      <c r="T571" s="64"/>
      <c r="U571" s="64"/>
      <c r="V571" s="64"/>
      <c r="W571" s="64"/>
      <c r="X571" s="64"/>
      <c r="Y571" s="64"/>
      <c r="Z571" s="64"/>
      <c r="AA571" s="64"/>
      <c r="BS571" s="74"/>
    </row>
    <row r="572" ht="18.75" customHeight="1">
      <c r="B572" s="71"/>
      <c r="D572" s="72"/>
      <c r="K572" s="73"/>
      <c r="P572" s="37" t="s">
        <v>29</v>
      </c>
      <c r="Q572" s="64"/>
      <c r="R572" s="64"/>
      <c r="S572" s="64"/>
      <c r="T572" s="64"/>
      <c r="U572" s="64"/>
      <c r="V572" s="64"/>
      <c r="W572" s="64"/>
      <c r="X572" s="64"/>
      <c r="Y572" s="64"/>
      <c r="Z572" s="64"/>
      <c r="AA572" s="64"/>
      <c r="BS572" s="74"/>
    </row>
    <row r="573" ht="18.75" customHeight="1">
      <c r="B573" s="71"/>
      <c r="D573" s="72"/>
      <c r="K573" s="73"/>
      <c r="P573" s="37" t="s">
        <v>29</v>
      </c>
      <c r="Q573" s="64"/>
      <c r="R573" s="64"/>
      <c r="S573" s="64"/>
      <c r="T573" s="64"/>
      <c r="U573" s="64"/>
      <c r="V573" s="64"/>
      <c r="W573" s="64"/>
      <c r="X573" s="64"/>
      <c r="Y573" s="64"/>
      <c r="Z573" s="64"/>
      <c r="AA573" s="64"/>
      <c r="BS573" s="74"/>
    </row>
    <row r="574" ht="18.75" customHeight="1">
      <c r="B574" s="71"/>
      <c r="D574" s="72"/>
      <c r="K574" s="73"/>
      <c r="P574" s="37" t="s">
        <v>29</v>
      </c>
      <c r="Q574" s="64"/>
      <c r="R574" s="64"/>
      <c r="S574" s="64"/>
      <c r="T574" s="64"/>
      <c r="U574" s="64"/>
      <c r="V574" s="64"/>
      <c r="W574" s="64"/>
      <c r="X574" s="64"/>
      <c r="Y574" s="64"/>
      <c r="Z574" s="64"/>
      <c r="AA574" s="64"/>
      <c r="BS574" s="74"/>
    </row>
    <row r="575" ht="18.75" customHeight="1">
      <c r="B575" s="71"/>
      <c r="D575" s="72"/>
      <c r="K575" s="73"/>
      <c r="P575" s="37" t="s">
        <v>29</v>
      </c>
      <c r="Q575" s="64"/>
      <c r="R575" s="64"/>
      <c r="S575" s="64"/>
      <c r="T575" s="64"/>
      <c r="U575" s="64"/>
      <c r="V575" s="64"/>
      <c r="W575" s="64"/>
      <c r="X575" s="64"/>
      <c r="Y575" s="64"/>
      <c r="Z575" s="64"/>
      <c r="AA575" s="64"/>
      <c r="BS575" s="74"/>
    </row>
    <row r="576" ht="18.75" customHeight="1">
      <c r="B576" s="71"/>
      <c r="D576" s="72"/>
      <c r="K576" s="73"/>
      <c r="P576" s="37" t="s">
        <v>29</v>
      </c>
      <c r="Q576" s="64"/>
      <c r="R576" s="64"/>
      <c r="S576" s="64"/>
      <c r="T576" s="64"/>
      <c r="U576" s="64"/>
      <c r="V576" s="64"/>
      <c r="W576" s="64"/>
      <c r="X576" s="64"/>
      <c r="Y576" s="64"/>
      <c r="Z576" s="64"/>
      <c r="AA576" s="64"/>
      <c r="BS576" s="74"/>
    </row>
    <row r="577" ht="18.75" customHeight="1">
      <c r="B577" s="71"/>
      <c r="D577" s="72"/>
      <c r="K577" s="73"/>
      <c r="P577" s="37" t="s">
        <v>29</v>
      </c>
      <c r="Q577" s="64"/>
      <c r="R577" s="64"/>
      <c r="S577" s="64"/>
      <c r="T577" s="64"/>
      <c r="U577" s="64"/>
      <c r="V577" s="64"/>
      <c r="W577" s="64"/>
      <c r="X577" s="64"/>
      <c r="Y577" s="64"/>
      <c r="Z577" s="64"/>
      <c r="AA577" s="64"/>
      <c r="BS577" s="74"/>
    </row>
    <row r="578" ht="18.75" customHeight="1">
      <c r="B578" s="71"/>
      <c r="D578" s="72"/>
      <c r="K578" s="73"/>
      <c r="P578" s="37" t="s">
        <v>29</v>
      </c>
      <c r="Q578" s="64"/>
      <c r="R578" s="64"/>
      <c r="S578" s="64"/>
      <c r="T578" s="64"/>
      <c r="U578" s="64"/>
      <c r="V578" s="64"/>
      <c r="W578" s="64"/>
      <c r="X578" s="64"/>
      <c r="Y578" s="64"/>
      <c r="Z578" s="64"/>
      <c r="AA578" s="64"/>
      <c r="BS578" s="74"/>
    </row>
    <row r="579" ht="18.75" customHeight="1">
      <c r="B579" s="71"/>
      <c r="D579" s="72"/>
      <c r="K579" s="73"/>
      <c r="P579" s="37" t="s">
        <v>29</v>
      </c>
      <c r="Q579" s="64"/>
      <c r="R579" s="64"/>
      <c r="S579" s="64"/>
      <c r="T579" s="64"/>
      <c r="U579" s="64"/>
      <c r="V579" s="64"/>
      <c r="W579" s="64"/>
      <c r="X579" s="64"/>
      <c r="Y579" s="64"/>
      <c r="Z579" s="64"/>
      <c r="AA579" s="64"/>
      <c r="BS579" s="74"/>
    </row>
    <row r="580" ht="18.75" customHeight="1">
      <c r="B580" s="71"/>
      <c r="D580" s="72"/>
      <c r="K580" s="73"/>
      <c r="P580" s="37" t="s">
        <v>29</v>
      </c>
      <c r="Q580" s="64"/>
      <c r="R580" s="64"/>
      <c r="S580" s="64"/>
      <c r="T580" s="64"/>
      <c r="U580" s="64"/>
      <c r="V580" s="64"/>
      <c r="W580" s="64"/>
      <c r="X580" s="64"/>
      <c r="Y580" s="64"/>
      <c r="Z580" s="64"/>
      <c r="AA580" s="64"/>
      <c r="BS580" s="74"/>
    </row>
    <row r="581" ht="18.75" customHeight="1">
      <c r="B581" s="71"/>
      <c r="D581" s="72"/>
      <c r="K581" s="73"/>
      <c r="P581" s="37" t="s">
        <v>29</v>
      </c>
      <c r="Q581" s="64"/>
      <c r="R581" s="64"/>
      <c r="S581" s="64"/>
      <c r="T581" s="64"/>
      <c r="U581" s="64"/>
      <c r="V581" s="64"/>
      <c r="W581" s="64"/>
      <c r="X581" s="64"/>
      <c r="Y581" s="64"/>
      <c r="Z581" s="64"/>
      <c r="AA581" s="64"/>
      <c r="BS581" s="74"/>
    </row>
    <row r="582" ht="18.75" customHeight="1">
      <c r="B582" s="71"/>
      <c r="D582" s="72"/>
      <c r="K582" s="73"/>
      <c r="P582" s="37" t="s">
        <v>29</v>
      </c>
      <c r="Q582" s="64"/>
      <c r="R582" s="64"/>
      <c r="S582" s="64"/>
      <c r="T582" s="64"/>
      <c r="U582" s="64"/>
      <c r="V582" s="64"/>
      <c r="W582" s="64"/>
      <c r="X582" s="64"/>
      <c r="Y582" s="64"/>
      <c r="Z582" s="64"/>
      <c r="AA582" s="64"/>
      <c r="BS582" s="74"/>
    </row>
    <row r="583" ht="18.75" customHeight="1">
      <c r="B583" s="71"/>
      <c r="D583" s="72"/>
      <c r="K583" s="73"/>
      <c r="P583" s="37" t="s">
        <v>29</v>
      </c>
      <c r="Q583" s="64"/>
      <c r="R583" s="64"/>
      <c r="S583" s="64"/>
      <c r="T583" s="64"/>
      <c r="U583" s="64"/>
      <c r="V583" s="64"/>
      <c r="W583" s="64"/>
      <c r="X583" s="64"/>
      <c r="Y583" s="64"/>
      <c r="Z583" s="64"/>
      <c r="AA583" s="64"/>
      <c r="BS583" s="74"/>
    </row>
    <row r="584" ht="18.75" customHeight="1">
      <c r="B584" s="71"/>
      <c r="D584" s="72"/>
      <c r="K584" s="73"/>
      <c r="P584" s="37" t="s">
        <v>29</v>
      </c>
      <c r="Q584" s="64"/>
      <c r="R584" s="64"/>
      <c r="S584" s="64"/>
      <c r="T584" s="64"/>
      <c r="U584" s="64"/>
      <c r="V584" s="64"/>
      <c r="W584" s="64"/>
      <c r="X584" s="64"/>
      <c r="Y584" s="64"/>
      <c r="Z584" s="64"/>
      <c r="AA584" s="64"/>
      <c r="BS584" s="74"/>
    </row>
    <row r="585" ht="18.75" customHeight="1">
      <c r="B585" s="71"/>
      <c r="D585" s="72"/>
      <c r="K585" s="73"/>
      <c r="P585" s="37" t="s">
        <v>29</v>
      </c>
      <c r="Q585" s="64"/>
      <c r="R585" s="64"/>
      <c r="S585" s="64"/>
      <c r="T585" s="64"/>
      <c r="U585" s="64"/>
      <c r="V585" s="64"/>
      <c r="W585" s="64"/>
      <c r="X585" s="64"/>
      <c r="Y585" s="64"/>
      <c r="Z585" s="64"/>
      <c r="AA585" s="64"/>
      <c r="BS585" s="74"/>
    </row>
    <row r="586" ht="18.75" customHeight="1">
      <c r="B586" s="71"/>
      <c r="D586" s="72"/>
      <c r="K586" s="73"/>
      <c r="P586" s="37" t="s">
        <v>29</v>
      </c>
      <c r="Q586" s="64"/>
      <c r="R586" s="64"/>
      <c r="S586" s="64"/>
      <c r="T586" s="64"/>
      <c r="U586" s="64"/>
      <c r="V586" s="64"/>
      <c r="W586" s="64"/>
      <c r="X586" s="64"/>
      <c r="Y586" s="64"/>
      <c r="Z586" s="64"/>
      <c r="AA586" s="64"/>
      <c r="BS586" s="74"/>
    </row>
    <row r="587" ht="18.75" customHeight="1">
      <c r="B587" s="71"/>
      <c r="D587" s="72"/>
      <c r="K587" s="73"/>
      <c r="P587" s="37" t="s">
        <v>29</v>
      </c>
      <c r="Q587" s="64"/>
      <c r="R587" s="64"/>
      <c r="S587" s="64"/>
      <c r="T587" s="64"/>
      <c r="U587" s="64"/>
      <c r="V587" s="64"/>
      <c r="W587" s="64"/>
      <c r="X587" s="64"/>
      <c r="Y587" s="64"/>
      <c r="Z587" s="64"/>
      <c r="AA587" s="64"/>
      <c r="BS587" s="74"/>
    </row>
    <row r="588" ht="18.75" customHeight="1">
      <c r="B588" s="71"/>
      <c r="D588" s="72"/>
      <c r="K588" s="73"/>
      <c r="P588" s="37" t="s">
        <v>29</v>
      </c>
      <c r="Q588" s="64"/>
      <c r="R588" s="64"/>
      <c r="S588" s="64"/>
      <c r="T588" s="64"/>
      <c r="U588" s="64"/>
      <c r="V588" s="64"/>
      <c r="W588" s="64"/>
      <c r="X588" s="64"/>
      <c r="Y588" s="64"/>
      <c r="Z588" s="64"/>
      <c r="AA588" s="64"/>
      <c r="BS588" s="74"/>
    </row>
    <row r="589" ht="18.75" customHeight="1">
      <c r="B589" s="71"/>
      <c r="D589" s="72"/>
      <c r="K589" s="73"/>
      <c r="P589" s="37" t="s">
        <v>29</v>
      </c>
      <c r="Q589" s="64"/>
      <c r="R589" s="64"/>
      <c r="S589" s="64"/>
      <c r="T589" s="64"/>
      <c r="U589" s="64"/>
      <c r="V589" s="64"/>
      <c r="W589" s="64"/>
      <c r="X589" s="64"/>
      <c r="Y589" s="64"/>
      <c r="Z589" s="64"/>
      <c r="AA589" s="64"/>
      <c r="BS589" s="74"/>
    </row>
    <row r="590" ht="18.75" customHeight="1">
      <c r="B590" s="71"/>
      <c r="D590" s="72"/>
      <c r="K590" s="73"/>
      <c r="P590" s="37" t="s">
        <v>29</v>
      </c>
      <c r="Q590" s="64"/>
      <c r="R590" s="64"/>
      <c r="S590" s="64"/>
      <c r="T590" s="64"/>
      <c r="U590" s="64"/>
      <c r="V590" s="64"/>
      <c r="W590" s="64"/>
      <c r="X590" s="64"/>
      <c r="Y590" s="64"/>
      <c r="Z590" s="64"/>
      <c r="AA590" s="64"/>
      <c r="BS590" s="74"/>
    </row>
    <row r="591" ht="18.75" customHeight="1">
      <c r="B591" s="71"/>
      <c r="D591" s="72"/>
      <c r="K591" s="73"/>
      <c r="P591" s="37" t="s">
        <v>29</v>
      </c>
      <c r="Q591" s="64"/>
      <c r="R591" s="64"/>
      <c r="S591" s="64"/>
      <c r="T591" s="64"/>
      <c r="U591" s="64"/>
      <c r="V591" s="64"/>
      <c r="W591" s="64"/>
      <c r="X591" s="64"/>
      <c r="Y591" s="64"/>
      <c r="Z591" s="64"/>
      <c r="AA591" s="64"/>
      <c r="BS591" s="74"/>
    </row>
    <row r="592" ht="18.75" customHeight="1">
      <c r="B592" s="71"/>
      <c r="D592" s="72"/>
      <c r="K592" s="73"/>
      <c r="P592" s="37" t="s">
        <v>29</v>
      </c>
      <c r="Q592" s="64"/>
      <c r="R592" s="64"/>
      <c r="S592" s="64"/>
      <c r="T592" s="64"/>
      <c r="U592" s="64"/>
      <c r="V592" s="64"/>
      <c r="W592" s="64"/>
      <c r="X592" s="64"/>
      <c r="Y592" s="64"/>
      <c r="Z592" s="64"/>
      <c r="AA592" s="64"/>
      <c r="BS592" s="74"/>
    </row>
    <row r="593" ht="18.75" customHeight="1">
      <c r="B593" s="71"/>
      <c r="D593" s="72"/>
      <c r="K593" s="73"/>
      <c r="P593" s="37" t="s">
        <v>29</v>
      </c>
      <c r="Q593" s="64"/>
      <c r="R593" s="64"/>
      <c r="S593" s="64"/>
      <c r="T593" s="64"/>
      <c r="U593" s="64"/>
      <c r="V593" s="64"/>
      <c r="W593" s="64"/>
      <c r="X593" s="64"/>
      <c r="Y593" s="64"/>
      <c r="Z593" s="64"/>
      <c r="AA593" s="64"/>
      <c r="BS593" s="74"/>
    </row>
    <row r="594" ht="18.75" customHeight="1">
      <c r="B594" s="71"/>
      <c r="D594" s="72"/>
      <c r="K594" s="73"/>
      <c r="P594" s="37" t="s">
        <v>29</v>
      </c>
      <c r="Q594" s="64"/>
      <c r="R594" s="64"/>
      <c r="S594" s="64"/>
      <c r="T594" s="64"/>
      <c r="U594" s="64"/>
      <c r="V594" s="64"/>
      <c r="W594" s="64"/>
      <c r="X594" s="64"/>
      <c r="Y594" s="64"/>
      <c r="Z594" s="64"/>
      <c r="AA594" s="64"/>
      <c r="BS594" s="74"/>
    </row>
    <row r="595" ht="18.75" customHeight="1">
      <c r="B595" s="71"/>
      <c r="D595" s="72"/>
      <c r="K595" s="73"/>
      <c r="P595" s="37" t="s">
        <v>29</v>
      </c>
      <c r="Q595" s="64"/>
      <c r="R595" s="64"/>
      <c r="S595" s="64"/>
      <c r="T595" s="64"/>
      <c r="U595" s="64"/>
      <c r="V595" s="64"/>
      <c r="W595" s="64"/>
      <c r="X595" s="64"/>
      <c r="Y595" s="64"/>
      <c r="Z595" s="64"/>
      <c r="AA595" s="64"/>
      <c r="BS595" s="74"/>
    </row>
    <row r="596" ht="18.75" customHeight="1">
      <c r="B596" s="71"/>
      <c r="D596" s="72"/>
      <c r="K596" s="73"/>
      <c r="P596" s="37" t="s">
        <v>29</v>
      </c>
      <c r="Q596" s="64"/>
      <c r="R596" s="64"/>
      <c r="S596" s="64"/>
      <c r="T596" s="64"/>
      <c r="U596" s="64"/>
      <c r="V596" s="64"/>
      <c r="W596" s="64"/>
      <c r="X596" s="64"/>
      <c r="Y596" s="64"/>
      <c r="Z596" s="64"/>
      <c r="AA596" s="64"/>
      <c r="BS596" s="74"/>
    </row>
    <row r="597" ht="18.75" customHeight="1">
      <c r="B597" s="71"/>
      <c r="D597" s="72"/>
      <c r="K597" s="73"/>
      <c r="P597" s="37" t="s">
        <v>29</v>
      </c>
      <c r="Q597" s="64"/>
      <c r="R597" s="64"/>
      <c r="S597" s="64"/>
      <c r="T597" s="64"/>
      <c r="U597" s="64"/>
      <c r="V597" s="64"/>
      <c r="W597" s="64"/>
      <c r="X597" s="64"/>
      <c r="Y597" s="64"/>
      <c r="Z597" s="64"/>
      <c r="AA597" s="64"/>
      <c r="BS597" s="74"/>
    </row>
    <row r="598" ht="18.75" customHeight="1">
      <c r="B598" s="71"/>
      <c r="D598" s="72"/>
      <c r="K598" s="73"/>
      <c r="P598" s="37" t="s">
        <v>29</v>
      </c>
      <c r="Q598" s="64"/>
      <c r="R598" s="64"/>
      <c r="S598" s="64"/>
      <c r="T598" s="64"/>
      <c r="U598" s="64"/>
      <c r="V598" s="64"/>
      <c r="W598" s="64"/>
      <c r="X598" s="64"/>
      <c r="Y598" s="64"/>
      <c r="Z598" s="64"/>
      <c r="AA598" s="64"/>
      <c r="BS598" s="74"/>
    </row>
    <row r="599" ht="18.75" customHeight="1">
      <c r="B599" s="71"/>
      <c r="D599" s="72"/>
      <c r="K599" s="73"/>
      <c r="P599" s="37" t="s">
        <v>29</v>
      </c>
      <c r="Q599" s="64"/>
      <c r="R599" s="64"/>
      <c r="S599" s="64"/>
      <c r="T599" s="64"/>
      <c r="U599" s="64"/>
      <c r="V599" s="64"/>
      <c r="W599" s="64"/>
      <c r="X599" s="64"/>
      <c r="Y599" s="64"/>
      <c r="Z599" s="64"/>
      <c r="AA599" s="64"/>
      <c r="BS599" s="74"/>
    </row>
    <row r="600" ht="18.75" customHeight="1">
      <c r="B600" s="71"/>
      <c r="D600" s="72"/>
      <c r="K600" s="73"/>
      <c r="P600" s="37" t="s">
        <v>29</v>
      </c>
      <c r="Q600" s="64"/>
      <c r="R600" s="64"/>
      <c r="S600" s="64"/>
      <c r="T600" s="64"/>
      <c r="U600" s="64"/>
      <c r="V600" s="64"/>
      <c r="W600" s="64"/>
      <c r="X600" s="64"/>
      <c r="Y600" s="64"/>
      <c r="Z600" s="64"/>
      <c r="AA600" s="64"/>
      <c r="BS600" s="74"/>
    </row>
    <row r="601" ht="18.75" customHeight="1">
      <c r="B601" s="71"/>
      <c r="D601" s="72"/>
      <c r="K601" s="73"/>
      <c r="P601" s="37" t="s">
        <v>29</v>
      </c>
      <c r="Q601" s="64"/>
      <c r="R601" s="64"/>
      <c r="S601" s="64"/>
      <c r="T601" s="64"/>
      <c r="U601" s="64"/>
      <c r="V601" s="64"/>
      <c r="W601" s="64"/>
      <c r="X601" s="64"/>
      <c r="Y601" s="64"/>
      <c r="Z601" s="64"/>
      <c r="AA601" s="64"/>
      <c r="BS601" s="74"/>
    </row>
    <row r="602" ht="18.75" customHeight="1">
      <c r="B602" s="71"/>
      <c r="D602" s="72"/>
      <c r="K602" s="73"/>
      <c r="P602" s="37" t="s">
        <v>29</v>
      </c>
      <c r="Q602" s="64"/>
      <c r="R602" s="64"/>
      <c r="S602" s="64"/>
      <c r="T602" s="64"/>
      <c r="U602" s="64"/>
      <c r="V602" s="64"/>
      <c r="W602" s="64"/>
      <c r="X602" s="64"/>
      <c r="Y602" s="64"/>
      <c r="Z602" s="64"/>
      <c r="AA602" s="64"/>
      <c r="BS602" s="74"/>
    </row>
    <row r="603" ht="18.75" customHeight="1">
      <c r="B603" s="71"/>
      <c r="D603" s="72"/>
      <c r="K603" s="73"/>
      <c r="P603" s="37" t="s">
        <v>29</v>
      </c>
      <c r="Q603" s="64"/>
      <c r="R603" s="64"/>
      <c r="S603" s="64"/>
      <c r="T603" s="64"/>
      <c r="U603" s="64"/>
      <c r="V603" s="64"/>
      <c r="W603" s="64"/>
      <c r="X603" s="64"/>
      <c r="Y603" s="64"/>
      <c r="Z603" s="64"/>
      <c r="AA603" s="64"/>
      <c r="BS603" s="74"/>
    </row>
    <row r="604" ht="18.75" customHeight="1">
      <c r="B604" s="71"/>
      <c r="D604" s="72"/>
      <c r="K604" s="73"/>
      <c r="P604" s="37" t="s">
        <v>29</v>
      </c>
      <c r="Q604" s="64"/>
      <c r="R604" s="64"/>
      <c r="S604" s="64"/>
      <c r="T604" s="64"/>
      <c r="U604" s="64"/>
      <c r="V604" s="64"/>
      <c r="W604" s="64"/>
      <c r="X604" s="64"/>
      <c r="Y604" s="64"/>
      <c r="Z604" s="64"/>
      <c r="AA604" s="64"/>
      <c r="BS604" s="74"/>
    </row>
    <row r="605" ht="18.75" customHeight="1">
      <c r="B605" s="71"/>
      <c r="D605" s="72"/>
      <c r="K605" s="73"/>
      <c r="P605" s="37" t="s">
        <v>29</v>
      </c>
      <c r="Q605" s="64"/>
      <c r="R605" s="64"/>
      <c r="S605" s="64"/>
      <c r="T605" s="64"/>
      <c r="U605" s="64"/>
      <c r="V605" s="64"/>
      <c r="W605" s="64"/>
      <c r="X605" s="64"/>
      <c r="Y605" s="64"/>
      <c r="Z605" s="64"/>
      <c r="AA605" s="64"/>
      <c r="BS605" s="74"/>
    </row>
    <row r="606" ht="18.75" customHeight="1">
      <c r="B606" s="71"/>
      <c r="D606" s="72"/>
      <c r="K606" s="73"/>
      <c r="P606" s="37" t="s">
        <v>29</v>
      </c>
      <c r="Q606" s="64"/>
      <c r="R606" s="64"/>
      <c r="S606" s="64"/>
      <c r="T606" s="64"/>
      <c r="U606" s="64"/>
      <c r="V606" s="64"/>
      <c r="W606" s="64"/>
      <c r="X606" s="64"/>
      <c r="Y606" s="64"/>
      <c r="Z606" s="64"/>
      <c r="AA606" s="64"/>
      <c r="BS606" s="74"/>
    </row>
    <row r="607" ht="18.75" customHeight="1">
      <c r="B607" s="71"/>
      <c r="D607" s="72"/>
      <c r="K607" s="73"/>
      <c r="P607" s="37" t="s">
        <v>29</v>
      </c>
      <c r="Q607" s="64"/>
      <c r="R607" s="64"/>
      <c r="S607" s="64"/>
      <c r="T607" s="64"/>
      <c r="U607" s="64"/>
      <c r="V607" s="64"/>
      <c r="W607" s="64"/>
      <c r="X607" s="64"/>
      <c r="Y607" s="64"/>
      <c r="Z607" s="64"/>
      <c r="AA607" s="64"/>
      <c r="BS607" s="74"/>
    </row>
    <row r="608" ht="18.75" customHeight="1">
      <c r="B608" s="71"/>
      <c r="D608" s="72"/>
      <c r="K608" s="73"/>
      <c r="P608" s="37" t="s">
        <v>29</v>
      </c>
      <c r="Q608" s="64"/>
      <c r="R608" s="64"/>
      <c r="S608" s="64"/>
      <c r="T608" s="64"/>
      <c r="U608" s="64"/>
      <c r="V608" s="64"/>
      <c r="W608" s="64"/>
      <c r="X608" s="64"/>
      <c r="Y608" s="64"/>
      <c r="Z608" s="64"/>
      <c r="AA608" s="64"/>
      <c r="BS608" s="74"/>
    </row>
    <row r="609" ht="18.75" customHeight="1">
      <c r="B609" s="71"/>
      <c r="D609" s="72"/>
      <c r="K609" s="73"/>
      <c r="P609" s="37" t="s">
        <v>29</v>
      </c>
      <c r="Q609" s="64"/>
      <c r="R609" s="64"/>
      <c r="S609" s="64"/>
      <c r="T609" s="64"/>
      <c r="U609" s="64"/>
      <c r="V609" s="64"/>
      <c r="W609" s="64"/>
      <c r="X609" s="64"/>
      <c r="Y609" s="64"/>
      <c r="Z609" s="64"/>
      <c r="AA609" s="64"/>
      <c r="BS609" s="74"/>
    </row>
    <row r="610" ht="18.75" customHeight="1">
      <c r="B610" s="71"/>
      <c r="D610" s="72"/>
      <c r="K610" s="73"/>
      <c r="P610" s="37" t="s">
        <v>29</v>
      </c>
      <c r="Q610" s="64"/>
      <c r="R610" s="64"/>
      <c r="S610" s="64"/>
      <c r="T610" s="64"/>
      <c r="U610" s="64"/>
      <c r="V610" s="64"/>
      <c r="W610" s="64"/>
      <c r="X610" s="64"/>
      <c r="Y610" s="64"/>
      <c r="Z610" s="64"/>
      <c r="AA610" s="64"/>
      <c r="BS610" s="74"/>
    </row>
    <row r="611" ht="18.75" customHeight="1">
      <c r="B611" s="71"/>
      <c r="D611" s="72"/>
      <c r="K611" s="73"/>
      <c r="P611" s="37" t="s">
        <v>29</v>
      </c>
      <c r="Q611" s="64"/>
      <c r="R611" s="64"/>
      <c r="S611" s="64"/>
      <c r="T611" s="64"/>
      <c r="U611" s="64"/>
      <c r="V611" s="64"/>
      <c r="W611" s="64"/>
      <c r="X611" s="64"/>
      <c r="Y611" s="64"/>
      <c r="Z611" s="64"/>
      <c r="AA611" s="64"/>
      <c r="BS611" s="74"/>
    </row>
    <row r="612" ht="18.75" customHeight="1">
      <c r="B612" s="71"/>
      <c r="D612" s="72"/>
      <c r="K612" s="73"/>
      <c r="P612" s="37" t="s">
        <v>29</v>
      </c>
      <c r="Q612" s="64"/>
      <c r="R612" s="64"/>
      <c r="S612" s="64"/>
      <c r="T612" s="64"/>
      <c r="U612" s="64"/>
      <c r="V612" s="64"/>
      <c r="W612" s="64"/>
      <c r="X612" s="64"/>
      <c r="Y612" s="64"/>
      <c r="Z612" s="64"/>
      <c r="AA612" s="64"/>
      <c r="BS612" s="74"/>
    </row>
    <row r="613" ht="18.75" customHeight="1">
      <c r="B613" s="71"/>
      <c r="D613" s="72"/>
      <c r="K613" s="73"/>
      <c r="P613" s="37" t="s">
        <v>29</v>
      </c>
      <c r="Q613" s="64"/>
      <c r="R613" s="64"/>
      <c r="S613" s="64"/>
      <c r="T613" s="64"/>
      <c r="U613" s="64"/>
      <c r="V613" s="64"/>
      <c r="W613" s="64"/>
      <c r="X613" s="64"/>
      <c r="Y613" s="64"/>
      <c r="Z613" s="64"/>
      <c r="AA613" s="64"/>
      <c r="BS613" s="74"/>
    </row>
    <row r="614" ht="18.75" customHeight="1">
      <c r="B614" s="71"/>
      <c r="D614" s="72"/>
      <c r="K614" s="73"/>
      <c r="P614" s="37" t="s">
        <v>29</v>
      </c>
      <c r="Q614" s="64"/>
      <c r="R614" s="64"/>
      <c r="S614" s="64"/>
      <c r="T614" s="64"/>
      <c r="U614" s="64"/>
      <c r="V614" s="64"/>
      <c r="W614" s="64"/>
      <c r="X614" s="64"/>
      <c r="Y614" s="64"/>
      <c r="Z614" s="64"/>
      <c r="AA614" s="64"/>
      <c r="BS614" s="74"/>
    </row>
    <row r="615" ht="18.75" customHeight="1">
      <c r="B615" s="71"/>
      <c r="D615" s="72"/>
      <c r="K615" s="73"/>
      <c r="P615" s="37" t="s">
        <v>29</v>
      </c>
      <c r="Q615" s="64"/>
      <c r="R615" s="64"/>
      <c r="S615" s="64"/>
      <c r="T615" s="64"/>
      <c r="U615" s="64"/>
      <c r="V615" s="64"/>
      <c r="W615" s="64"/>
      <c r="X615" s="64"/>
      <c r="Y615" s="64"/>
      <c r="Z615" s="64"/>
      <c r="AA615" s="64"/>
      <c r="BS615" s="74"/>
    </row>
    <row r="616" ht="18.75" customHeight="1">
      <c r="B616" s="71"/>
      <c r="D616" s="72"/>
      <c r="K616" s="73"/>
      <c r="P616" s="37" t="s">
        <v>29</v>
      </c>
      <c r="Q616" s="64"/>
      <c r="R616" s="64"/>
      <c r="S616" s="64"/>
      <c r="T616" s="64"/>
      <c r="U616" s="64"/>
      <c r="V616" s="64"/>
      <c r="W616" s="64"/>
      <c r="X616" s="64"/>
      <c r="Y616" s="64"/>
      <c r="Z616" s="64"/>
      <c r="AA616" s="64"/>
      <c r="BS616" s="74"/>
    </row>
    <row r="617" ht="18.75" customHeight="1">
      <c r="B617" s="71"/>
      <c r="D617" s="72"/>
      <c r="K617" s="73"/>
      <c r="P617" s="37" t="s">
        <v>29</v>
      </c>
      <c r="Q617" s="64"/>
      <c r="R617" s="64"/>
      <c r="S617" s="64"/>
      <c r="T617" s="64"/>
      <c r="U617" s="64"/>
      <c r="V617" s="64"/>
      <c r="W617" s="64"/>
      <c r="X617" s="64"/>
      <c r="Y617" s="64"/>
      <c r="Z617" s="64"/>
      <c r="AA617" s="64"/>
      <c r="BS617" s="74"/>
    </row>
    <row r="618" ht="18.75" customHeight="1">
      <c r="B618" s="71"/>
      <c r="D618" s="72"/>
      <c r="K618" s="73"/>
      <c r="P618" s="37" t="s">
        <v>29</v>
      </c>
      <c r="Q618" s="64"/>
      <c r="R618" s="64"/>
      <c r="S618" s="64"/>
      <c r="T618" s="64"/>
      <c r="U618" s="64"/>
      <c r="V618" s="64"/>
      <c r="W618" s="64"/>
      <c r="X618" s="64"/>
      <c r="Y618" s="64"/>
      <c r="Z618" s="64"/>
      <c r="AA618" s="64"/>
      <c r="BS618" s="74"/>
    </row>
    <row r="619" ht="18.75" customHeight="1">
      <c r="B619" s="71"/>
      <c r="D619" s="72"/>
      <c r="K619" s="73"/>
      <c r="P619" s="37" t="s">
        <v>29</v>
      </c>
      <c r="Q619" s="64"/>
      <c r="R619" s="64"/>
      <c r="S619" s="64"/>
      <c r="T619" s="64"/>
      <c r="U619" s="64"/>
      <c r="V619" s="64"/>
      <c r="W619" s="64"/>
      <c r="X619" s="64"/>
      <c r="Y619" s="64"/>
      <c r="Z619" s="64"/>
      <c r="AA619" s="64"/>
      <c r="BS619" s="74"/>
    </row>
    <row r="620" ht="18.75" customHeight="1">
      <c r="B620" s="71"/>
      <c r="D620" s="72"/>
      <c r="K620" s="73"/>
      <c r="P620" s="37" t="s">
        <v>29</v>
      </c>
      <c r="Q620" s="64"/>
      <c r="R620" s="64"/>
      <c r="S620" s="64"/>
      <c r="T620" s="64"/>
      <c r="U620" s="64"/>
      <c r="V620" s="64"/>
      <c r="W620" s="64"/>
      <c r="X620" s="64"/>
      <c r="Y620" s="64"/>
      <c r="Z620" s="64"/>
      <c r="AA620" s="64"/>
      <c r="BS620" s="74"/>
    </row>
    <row r="621" ht="18.75" customHeight="1">
      <c r="B621" s="71"/>
      <c r="D621" s="72"/>
      <c r="K621" s="73"/>
      <c r="P621" s="37" t="s">
        <v>29</v>
      </c>
      <c r="Q621" s="64"/>
      <c r="R621" s="64"/>
      <c r="S621" s="64"/>
      <c r="T621" s="64"/>
      <c r="U621" s="64"/>
      <c r="V621" s="64"/>
      <c r="W621" s="64"/>
      <c r="X621" s="64"/>
      <c r="Y621" s="64"/>
      <c r="Z621" s="64"/>
      <c r="AA621" s="64"/>
      <c r="BS621" s="74"/>
    </row>
    <row r="622" ht="18.75" customHeight="1">
      <c r="B622" s="71"/>
      <c r="D622" s="72"/>
      <c r="K622" s="73"/>
      <c r="P622" s="37" t="s">
        <v>29</v>
      </c>
      <c r="Q622" s="64"/>
      <c r="R622" s="64"/>
      <c r="S622" s="64"/>
      <c r="T622" s="64"/>
      <c r="U622" s="64"/>
      <c r="V622" s="64"/>
      <c r="W622" s="64"/>
      <c r="X622" s="64"/>
      <c r="Y622" s="64"/>
      <c r="Z622" s="64"/>
      <c r="AA622" s="64"/>
      <c r="BS622" s="74"/>
    </row>
    <row r="623" ht="18.75" customHeight="1">
      <c r="B623" s="71"/>
      <c r="D623" s="72"/>
      <c r="K623" s="73"/>
      <c r="P623" s="37" t="s">
        <v>29</v>
      </c>
      <c r="Q623" s="64"/>
      <c r="R623" s="64"/>
      <c r="S623" s="64"/>
      <c r="T623" s="64"/>
      <c r="U623" s="64"/>
      <c r="V623" s="64"/>
      <c r="W623" s="64"/>
      <c r="X623" s="64"/>
      <c r="Y623" s="64"/>
      <c r="Z623" s="64"/>
      <c r="AA623" s="64"/>
      <c r="BS623" s="74"/>
    </row>
    <row r="624" ht="18.75" customHeight="1">
      <c r="B624" s="71"/>
      <c r="D624" s="72"/>
      <c r="K624" s="73"/>
      <c r="P624" s="37" t="s">
        <v>29</v>
      </c>
      <c r="Q624" s="64"/>
      <c r="R624" s="64"/>
      <c r="S624" s="64"/>
      <c r="T624" s="64"/>
      <c r="U624" s="64"/>
      <c r="V624" s="64"/>
      <c r="W624" s="64"/>
      <c r="X624" s="64"/>
      <c r="Y624" s="64"/>
      <c r="Z624" s="64"/>
      <c r="AA624" s="64"/>
      <c r="BS624" s="74"/>
    </row>
    <row r="625" ht="18.75" customHeight="1">
      <c r="B625" s="71"/>
      <c r="D625" s="72"/>
      <c r="K625" s="73"/>
      <c r="P625" s="37" t="s">
        <v>29</v>
      </c>
      <c r="Q625" s="64"/>
      <c r="R625" s="64"/>
      <c r="S625" s="64"/>
      <c r="T625" s="64"/>
      <c r="U625" s="64"/>
      <c r="V625" s="64"/>
      <c r="W625" s="64"/>
      <c r="X625" s="64"/>
      <c r="Y625" s="64"/>
      <c r="Z625" s="64"/>
      <c r="AA625" s="64"/>
      <c r="BS625" s="74"/>
    </row>
    <row r="626" ht="18.75" customHeight="1">
      <c r="B626" s="71"/>
      <c r="D626" s="72"/>
      <c r="K626" s="73"/>
      <c r="P626" s="37" t="s">
        <v>29</v>
      </c>
      <c r="Q626" s="64"/>
      <c r="R626" s="64"/>
      <c r="S626" s="64"/>
      <c r="T626" s="64"/>
      <c r="U626" s="64"/>
      <c r="V626" s="64"/>
      <c r="W626" s="64"/>
      <c r="X626" s="64"/>
      <c r="Y626" s="64"/>
      <c r="Z626" s="64"/>
      <c r="AA626" s="64"/>
      <c r="BS626" s="74"/>
    </row>
    <row r="627" ht="18.75" customHeight="1">
      <c r="B627" s="71"/>
      <c r="D627" s="72"/>
      <c r="K627" s="73"/>
      <c r="P627" s="37" t="s">
        <v>29</v>
      </c>
      <c r="Q627" s="64"/>
      <c r="R627" s="64"/>
      <c r="S627" s="64"/>
      <c r="T627" s="64"/>
      <c r="U627" s="64"/>
      <c r="V627" s="64"/>
      <c r="W627" s="64"/>
      <c r="X627" s="64"/>
      <c r="Y627" s="64"/>
      <c r="Z627" s="64"/>
      <c r="AA627" s="64"/>
      <c r="BS627" s="74"/>
    </row>
    <row r="628" ht="18.75" customHeight="1">
      <c r="B628" s="71"/>
      <c r="D628" s="72"/>
      <c r="K628" s="73"/>
      <c r="P628" s="37" t="s">
        <v>29</v>
      </c>
      <c r="Q628" s="64"/>
      <c r="R628" s="64"/>
      <c r="S628" s="64"/>
      <c r="T628" s="64"/>
      <c r="U628" s="64"/>
      <c r="V628" s="64"/>
      <c r="W628" s="64"/>
      <c r="X628" s="64"/>
      <c r="Y628" s="64"/>
      <c r="Z628" s="64"/>
      <c r="AA628" s="64"/>
      <c r="BS628" s="74"/>
    </row>
    <row r="629" ht="18.75" customHeight="1">
      <c r="B629" s="71"/>
      <c r="D629" s="72"/>
      <c r="K629" s="73"/>
      <c r="P629" s="37" t="s">
        <v>29</v>
      </c>
      <c r="Q629" s="64"/>
      <c r="R629" s="64"/>
      <c r="S629" s="64"/>
      <c r="T629" s="64"/>
      <c r="U629" s="64"/>
      <c r="V629" s="64"/>
      <c r="W629" s="64"/>
      <c r="X629" s="64"/>
      <c r="Y629" s="64"/>
      <c r="Z629" s="64"/>
      <c r="AA629" s="64"/>
      <c r="BS629" s="74"/>
    </row>
    <row r="630" ht="18.75" customHeight="1">
      <c r="B630" s="71"/>
      <c r="D630" s="72"/>
      <c r="K630" s="73"/>
      <c r="P630" s="37" t="s">
        <v>29</v>
      </c>
      <c r="Q630" s="64"/>
      <c r="R630" s="64"/>
      <c r="S630" s="64"/>
      <c r="T630" s="64"/>
      <c r="U630" s="64"/>
      <c r="V630" s="64"/>
      <c r="W630" s="64"/>
      <c r="X630" s="64"/>
      <c r="Y630" s="64"/>
      <c r="Z630" s="64"/>
      <c r="AA630" s="64"/>
      <c r="BS630" s="74"/>
    </row>
    <row r="631" ht="18.75" customHeight="1">
      <c r="B631" s="71"/>
      <c r="D631" s="72"/>
      <c r="K631" s="73"/>
      <c r="P631" s="37" t="s">
        <v>29</v>
      </c>
      <c r="Q631" s="64"/>
      <c r="R631" s="64"/>
      <c r="S631" s="64"/>
      <c r="T631" s="64"/>
      <c r="U631" s="64"/>
      <c r="V631" s="64"/>
      <c r="W631" s="64"/>
      <c r="X631" s="64"/>
      <c r="Y631" s="64"/>
      <c r="Z631" s="64"/>
      <c r="AA631" s="64"/>
      <c r="BS631" s="74"/>
    </row>
    <row r="632" ht="18.75" customHeight="1">
      <c r="B632" s="71"/>
      <c r="D632" s="72"/>
      <c r="K632" s="73"/>
      <c r="P632" s="37" t="s">
        <v>29</v>
      </c>
      <c r="Q632" s="64"/>
      <c r="R632" s="64"/>
      <c r="S632" s="64"/>
      <c r="T632" s="64"/>
      <c r="U632" s="64"/>
      <c r="V632" s="64"/>
      <c r="W632" s="64"/>
      <c r="X632" s="64"/>
      <c r="Y632" s="64"/>
      <c r="Z632" s="64"/>
      <c r="AA632" s="64"/>
      <c r="BS632" s="74"/>
    </row>
    <row r="633" ht="18.75" customHeight="1">
      <c r="B633" s="71"/>
      <c r="D633" s="72"/>
      <c r="K633" s="73"/>
      <c r="P633" s="37" t="s">
        <v>29</v>
      </c>
      <c r="Q633" s="64"/>
      <c r="R633" s="64"/>
      <c r="S633" s="64"/>
      <c r="T633" s="64"/>
      <c r="U633" s="64"/>
      <c r="V633" s="64"/>
      <c r="W633" s="64"/>
      <c r="X633" s="64"/>
      <c r="Y633" s="64"/>
      <c r="Z633" s="64"/>
      <c r="AA633" s="64"/>
      <c r="BS633" s="74"/>
    </row>
    <row r="634" ht="18.75" customHeight="1">
      <c r="B634" s="71"/>
      <c r="D634" s="72"/>
      <c r="K634" s="73"/>
      <c r="P634" s="37" t="s">
        <v>29</v>
      </c>
      <c r="Q634" s="64"/>
      <c r="R634" s="64"/>
      <c r="S634" s="64"/>
      <c r="T634" s="64"/>
      <c r="U634" s="64"/>
      <c r="V634" s="64"/>
      <c r="W634" s="64"/>
      <c r="X634" s="64"/>
      <c r="Y634" s="64"/>
      <c r="Z634" s="64"/>
      <c r="AA634" s="64"/>
      <c r="BS634" s="74"/>
    </row>
    <row r="635" ht="18.75" customHeight="1">
      <c r="B635" s="71"/>
      <c r="D635" s="72"/>
      <c r="K635" s="73"/>
      <c r="P635" s="37" t="s">
        <v>29</v>
      </c>
      <c r="Q635" s="64"/>
      <c r="R635" s="64"/>
      <c r="S635" s="64"/>
      <c r="T635" s="64"/>
      <c r="U635" s="64"/>
      <c r="V635" s="64"/>
      <c r="W635" s="64"/>
      <c r="X635" s="64"/>
      <c r="Y635" s="64"/>
      <c r="Z635" s="64"/>
      <c r="AA635" s="64"/>
      <c r="BS635" s="74"/>
    </row>
    <row r="636" ht="18.75" customHeight="1">
      <c r="B636" s="71"/>
      <c r="D636" s="72"/>
      <c r="K636" s="73"/>
      <c r="P636" s="37" t="s">
        <v>29</v>
      </c>
      <c r="Q636" s="64"/>
      <c r="R636" s="64"/>
      <c r="S636" s="64"/>
      <c r="T636" s="64"/>
      <c r="U636" s="64"/>
      <c r="V636" s="64"/>
      <c r="W636" s="64"/>
      <c r="X636" s="64"/>
      <c r="Y636" s="64"/>
      <c r="Z636" s="64"/>
      <c r="AA636" s="64"/>
      <c r="BS636" s="74"/>
    </row>
    <row r="637" ht="18.75" customHeight="1">
      <c r="B637" s="71"/>
      <c r="D637" s="72"/>
      <c r="K637" s="73"/>
      <c r="P637" s="37" t="s">
        <v>29</v>
      </c>
      <c r="Q637" s="64"/>
      <c r="R637" s="64"/>
      <c r="S637" s="64"/>
      <c r="T637" s="64"/>
      <c r="U637" s="64"/>
      <c r="V637" s="64"/>
      <c r="W637" s="64"/>
      <c r="X637" s="64"/>
      <c r="Y637" s="64"/>
      <c r="Z637" s="64"/>
      <c r="AA637" s="64"/>
      <c r="BS637" s="74"/>
    </row>
    <row r="638" ht="18.75" customHeight="1">
      <c r="B638" s="71"/>
      <c r="D638" s="72"/>
      <c r="K638" s="73"/>
      <c r="P638" s="37" t="s">
        <v>29</v>
      </c>
      <c r="Q638" s="64"/>
      <c r="R638" s="64"/>
      <c r="S638" s="64"/>
      <c r="T638" s="64"/>
      <c r="U638" s="64"/>
      <c r="V638" s="64"/>
      <c r="W638" s="64"/>
      <c r="X638" s="64"/>
      <c r="Y638" s="64"/>
      <c r="Z638" s="64"/>
      <c r="AA638" s="64"/>
      <c r="BS638" s="74"/>
    </row>
    <row r="639" ht="18.75" customHeight="1">
      <c r="B639" s="71"/>
      <c r="D639" s="72"/>
      <c r="K639" s="73"/>
      <c r="P639" s="37" t="s">
        <v>29</v>
      </c>
      <c r="Q639" s="64"/>
      <c r="R639" s="64"/>
      <c r="S639" s="64"/>
      <c r="T639" s="64"/>
      <c r="U639" s="64"/>
      <c r="V639" s="64"/>
      <c r="W639" s="64"/>
      <c r="X639" s="64"/>
      <c r="Y639" s="64"/>
      <c r="Z639" s="64"/>
      <c r="AA639" s="64"/>
      <c r="BS639" s="74"/>
    </row>
    <row r="640" ht="18.75" customHeight="1">
      <c r="B640" s="71"/>
      <c r="D640" s="72"/>
      <c r="K640" s="73"/>
      <c r="P640" s="37" t="s">
        <v>29</v>
      </c>
      <c r="Q640" s="64"/>
      <c r="R640" s="64"/>
      <c r="S640" s="64"/>
      <c r="T640" s="64"/>
      <c r="U640" s="64"/>
      <c r="V640" s="64"/>
      <c r="W640" s="64"/>
      <c r="X640" s="64"/>
      <c r="Y640" s="64"/>
      <c r="Z640" s="64"/>
      <c r="AA640" s="64"/>
      <c r="BS640" s="74"/>
    </row>
    <row r="641" ht="18.75" customHeight="1">
      <c r="B641" s="71"/>
      <c r="D641" s="72"/>
      <c r="K641" s="73"/>
      <c r="P641" s="37" t="s">
        <v>29</v>
      </c>
      <c r="Q641" s="64"/>
      <c r="R641" s="64"/>
      <c r="S641" s="64"/>
      <c r="T641" s="64"/>
      <c r="U641" s="64"/>
      <c r="V641" s="64"/>
      <c r="W641" s="64"/>
      <c r="X641" s="64"/>
      <c r="Y641" s="64"/>
      <c r="Z641" s="64"/>
      <c r="AA641" s="64"/>
      <c r="BS641" s="74"/>
    </row>
    <row r="642" ht="18.75" customHeight="1">
      <c r="B642" s="71"/>
      <c r="D642" s="72"/>
      <c r="K642" s="73"/>
      <c r="P642" s="37" t="s">
        <v>29</v>
      </c>
      <c r="Q642" s="64"/>
      <c r="R642" s="64"/>
      <c r="S642" s="64"/>
      <c r="T642" s="64"/>
      <c r="U642" s="64"/>
      <c r="V642" s="64"/>
      <c r="W642" s="64"/>
      <c r="X642" s="64"/>
      <c r="Y642" s="64"/>
      <c r="Z642" s="64"/>
      <c r="AA642" s="64"/>
      <c r="BS642" s="74"/>
    </row>
    <row r="643" ht="18.75" customHeight="1">
      <c r="B643" s="71"/>
      <c r="D643" s="72"/>
      <c r="K643" s="73"/>
      <c r="P643" s="37" t="s">
        <v>29</v>
      </c>
      <c r="Q643" s="64"/>
      <c r="R643" s="64"/>
      <c r="S643" s="64"/>
      <c r="T643" s="64"/>
      <c r="U643" s="64"/>
      <c r="V643" s="64"/>
      <c r="W643" s="64"/>
      <c r="X643" s="64"/>
      <c r="Y643" s="64"/>
      <c r="Z643" s="64"/>
      <c r="AA643" s="64"/>
      <c r="BS643" s="74"/>
    </row>
    <row r="644" ht="18.75" customHeight="1">
      <c r="B644" s="71"/>
      <c r="D644" s="72"/>
      <c r="K644" s="73"/>
      <c r="P644" s="37" t="s">
        <v>29</v>
      </c>
      <c r="Q644" s="64"/>
      <c r="R644" s="64"/>
      <c r="S644" s="64"/>
      <c r="T644" s="64"/>
      <c r="U644" s="64"/>
      <c r="V644" s="64"/>
      <c r="W644" s="64"/>
      <c r="X644" s="64"/>
      <c r="Y644" s="64"/>
      <c r="Z644" s="64"/>
      <c r="AA644" s="64"/>
      <c r="BS644" s="74"/>
    </row>
    <row r="645" ht="18.75" customHeight="1">
      <c r="B645" s="71"/>
      <c r="D645" s="72"/>
      <c r="K645" s="73"/>
      <c r="P645" s="37" t="s">
        <v>29</v>
      </c>
      <c r="Q645" s="64"/>
      <c r="R645" s="64"/>
      <c r="S645" s="64"/>
      <c r="T645" s="64"/>
      <c r="U645" s="64"/>
      <c r="V645" s="64"/>
      <c r="W645" s="64"/>
      <c r="X645" s="64"/>
      <c r="Y645" s="64"/>
      <c r="Z645" s="64"/>
      <c r="AA645" s="64"/>
      <c r="BS645" s="74"/>
    </row>
    <row r="646" ht="18.75" customHeight="1">
      <c r="B646" s="71"/>
      <c r="D646" s="72"/>
      <c r="K646" s="73"/>
      <c r="P646" s="37" t="s">
        <v>29</v>
      </c>
      <c r="Q646" s="64"/>
      <c r="R646" s="64"/>
      <c r="S646" s="64"/>
      <c r="T646" s="64"/>
      <c r="U646" s="64"/>
      <c r="V646" s="64"/>
      <c r="W646" s="64"/>
      <c r="X646" s="64"/>
      <c r="Y646" s="64"/>
      <c r="Z646" s="64"/>
      <c r="AA646" s="64"/>
      <c r="BS646" s="74"/>
    </row>
    <row r="647" ht="18.75" customHeight="1">
      <c r="B647" s="71"/>
      <c r="D647" s="72"/>
      <c r="K647" s="73"/>
      <c r="P647" s="37" t="s">
        <v>29</v>
      </c>
      <c r="Q647" s="64"/>
      <c r="R647" s="64"/>
      <c r="S647" s="64"/>
      <c r="T647" s="64"/>
      <c r="U647" s="64"/>
      <c r="V647" s="64"/>
      <c r="W647" s="64"/>
      <c r="X647" s="64"/>
      <c r="Y647" s="64"/>
      <c r="Z647" s="64"/>
      <c r="AA647" s="64"/>
      <c r="BS647" s="74"/>
    </row>
    <row r="648" ht="18.75" customHeight="1">
      <c r="B648" s="71"/>
      <c r="D648" s="72"/>
      <c r="K648" s="73"/>
      <c r="P648" s="37" t="s">
        <v>29</v>
      </c>
      <c r="Q648" s="64"/>
      <c r="R648" s="64"/>
      <c r="S648" s="64"/>
      <c r="T648" s="64"/>
      <c r="U648" s="64"/>
      <c r="V648" s="64"/>
      <c r="W648" s="64"/>
      <c r="X648" s="64"/>
      <c r="Y648" s="64"/>
      <c r="Z648" s="64"/>
      <c r="AA648" s="64"/>
      <c r="BS648" s="74"/>
    </row>
    <row r="649" ht="18.75" customHeight="1">
      <c r="B649" s="71"/>
      <c r="D649" s="72"/>
      <c r="K649" s="73"/>
      <c r="P649" s="37" t="s">
        <v>29</v>
      </c>
      <c r="Q649" s="64"/>
      <c r="R649" s="64"/>
      <c r="S649" s="64"/>
      <c r="T649" s="64"/>
      <c r="U649" s="64"/>
      <c r="V649" s="64"/>
      <c r="W649" s="64"/>
      <c r="X649" s="64"/>
      <c r="Y649" s="64"/>
      <c r="Z649" s="64"/>
      <c r="AA649" s="64"/>
      <c r="BS649" s="74"/>
    </row>
    <row r="650" ht="18.75" customHeight="1">
      <c r="B650" s="71"/>
      <c r="D650" s="72"/>
      <c r="K650" s="73"/>
      <c r="P650" s="37" t="s">
        <v>29</v>
      </c>
      <c r="Q650" s="64"/>
      <c r="R650" s="64"/>
      <c r="S650" s="64"/>
      <c r="T650" s="64"/>
      <c r="U650" s="64"/>
      <c r="V650" s="64"/>
      <c r="W650" s="64"/>
      <c r="X650" s="64"/>
      <c r="Y650" s="64"/>
      <c r="Z650" s="64"/>
      <c r="AA650" s="64"/>
      <c r="BS650" s="74"/>
    </row>
    <row r="651" ht="18.75" customHeight="1">
      <c r="B651" s="71"/>
      <c r="D651" s="72"/>
      <c r="K651" s="73"/>
      <c r="P651" s="37" t="s">
        <v>29</v>
      </c>
      <c r="Q651" s="64"/>
      <c r="R651" s="64"/>
      <c r="S651" s="64"/>
      <c r="T651" s="64"/>
      <c r="U651" s="64"/>
      <c r="V651" s="64"/>
      <c r="W651" s="64"/>
      <c r="X651" s="64"/>
      <c r="Y651" s="64"/>
      <c r="Z651" s="64"/>
      <c r="AA651" s="64"/>
      <c r="BS651" s="74"/>
    </row>
    <row r="652" ht="18.75" customHeight="1">
      <c r="B652" s="71"/>
      <c r="D652" s="72"/>
      <c r="K652" s="73"/>
      <c r="P652" s="37" t="s">
        <v>29</v>
      </c>
      <c r="Q652" s="64"/>
      <c r="R652" s="64"/>
      <c r="S652" s="64"/>
      <c r="T652" s="64"/>
      <c r="U652" s="64"/>
      <c r="V652" s="64"/>
      <c r="W652" s="64"/>
      <c r="X652" s="64"/>
      <c r="Y652" s="64"/>
      <c r="Z652" s="64"/>
      <c r="AA652" s="64"/>
      <c r="BS652" s="74"/>
    </row>
    <row r="653" ht="18.75" customHeight="1">
      <c r="B653" s="71"/>
      <c r="D653" s="72"/>
      <c r="K653" s="73"/>
      <c r="P653" s="37" t="s">
        <v>29</v>
      </c>
      <c r="Q653" s="64"/>
      <c r="R653" s="64"/>
      <c r="S653" s="64"/>
      <c r="T653" s="64"/>
      <c r="U653" s="64"/>
      <c r="V653" s="64"/>
      <c r="W653" s="64"/>
      <c r="X653" s="64"/>
      <c r="Y653" s="64"/>
      <c r="Z653" s="64"/>
      <c r="AA653" s="64"/>
      <c r="BS653" s="74"/>
    </row>
    <row r="654" ht="18.75" customHeight="1">
      <c r="B654" s="71"/>
      <c r="D654" s="72"/>
      <c r="K654" s="73"/>
      <c r="P654" s="37" t="s">
        <v>29</v>
      </c>
      <c r="Q654" s="64"/>
      <c r="R654" s="64"/>
      <c r="S654" s="64"/>
      <c r="T654" s="64"/>
      <c r="U654" s="64"/>
      <c r="V654" s="64"/>
      <c r="W654" s="64"/>
      <c r="X654" s="64"/>
      <c r="Y654" s="64"/>
      <c r="Z654" s="64"/>
      <c r="AA654" s="64"/>
      <c r="BS654" s="74"/>
    </row>
    <row r="655" ht="18.75" customHeight="1">
      <c r="B655" s="71"/>
      <c r="D655" s="72"/>
      <c r="K655" s="73"/>
      <c r="P655" s="37" t="s">
        <v>29</v>
      </c>
      <c r="Q655" s="64"/>
      <c r="R655" s="64"/>
      <c r="S655" s="64"/>
      <c r="T655" s="64"/>
      <c r="U655" s="64"/>
      <c r="V655" s="64"/>
      <c r="W655" s="64"/>
      <c r="X655" s="64"/>
      <c r="Y655" s="64"/>
      <c r="Z655" s="64"/>
      <c r="AA655" s="64"/>
      <c r="BS655" s="74"/>
    </row>
    <row r="656" ht="18.75" customHeight="1">
      <c r="B656" s="71"/>
      <c r="D656" s="72"/>
      <c r="K656" s="73"/>
      <c r="P656" s="37" t="s">
        <v>29</v>
      </c>
      <c r="Q656" s="64"/>
      <c r="R656" s="64"/>
      <c r="S656" s="64"/>
      <c r="T656" s="64"/>
      <c r="U656" s="64"/>
      <c r="V656" s="64"/>
      <c r="W656" s="64"/>
      <c r="X656" s="64"/>
      <c r="Y656" s="64"/>
      <c r="Z656" s="64"/>
      <c r="AA656" s="64"/>
      <c r="BS656" s="74"/>
    </row>
    <row r="657" ht="18.75" customHeight="1">
      <c r="B657" s="71"/>
      <c r="D657" s="72"/>
      <c r="K657" s="73"/>
      <c r="P657" s="37" t="s">
        <v>29</v>
      </c>
      <c r="Q657" s="64"/>
      <c r="R657" s="64"/>
      <c r="S657" s="64"/>
      <c r="T657" s="64"/>
      <c r="U657" s="64"/>
      <c r="V657" s="64"/>
      <c r="W657" s="64"/>
      <c r="X657" s="64"/>
      <c r="Y657" s="64"/>
      <c r="Z657" s="64"/>
      <c r="AA657" s="64"/>
      <c r="BS657" s="74"/>
    </row>
    <row r="658" ht="18.75" customHeight="1">
      <c r="B658" s="71"/>
      <c r="D658" s="72"/>
      <c r="K658" s="73"/>
      <c r="P658" s="37" t="s">
        <v>29</v>
      </c>
      <c r="Q658" s="64"/>
      <c r="R658" s="64"/>
      <c r="S658" s="64"/>
      <c r="T658" s="64"/>
      <c r="U658" s="64"/>
      <c r="V658" s="64"/>
      <c r="W658" s="64"/>
      <c r="X658" s="64"/>
      <c r="Y658" s="64"/>
      <c r="Z658" s="64"/>
      <c r="AA658" s="64"/>
      <c r="BS658" s="74"/>
    </row>
    <row r="659" ht="18.75" customHeight="1">
      <c r="B659" s="71"/>
      <c r="D659" s="72"/>
      <c r="K659" s="73"/>
      <c r="P659" s="37" t="s">
        <v>29</v>
      </c>
      <c r="Q659" s="64"/>
      <c r="R659" s="64"/>
      <c r="S659" s="64"/>
      <c r="T659" s="64"/>
      <c r="U659" s="64"/>
      <c r="V659" s="64"/>
      <c r="W659" s="64"/>
      <c r="X659" s="64"/>
      <c r="Y659" s="64"/>
      <c r="Z659" s="64"/>
      <c r="AA659" s="64"/>
      <c r="BS659" s="74"/>
    </row>
    <row r="660" ht="18.75" customHeight="1">
      <c r="B660" s="71"/>
      <c r="D660" s="72"/>
      <c r="K660" s="73"/>
      <c r="P660" s="37" t="s">
        <v>29</v>
      </c>
      <c r="Q660" s="64"/>
      <c r="R660" s="64"/>
      <c r="S660" s="64"/>
      <c r="T660" s="64"/>
      <c r="U660" s="64"/>
      <c r="V660" s="64"/>
      <c r="W660" s="64"/>
      <c r="X660" s="64"/>
      <c r="Y660" s="64"/>
      <c r="Z660" s="64"/>
      <c r="AA660" s="64"/>
      <c r="BS660" s="74"/>
    </row>
    <row r="661" ht="18.75" customHeight="1">
      <c r="B661" s="71"/>
      <c r="D661" s="72"/>
      <c r="K661" s="73"/>
      <c r="P661" s="37" t="s">
        <v>29</v>
      </c>
      <c r="Q661" s="64"/>
      <c r="R661" s="64"/>
      <c r="S661" s="64"/>
      <c r="T661" s="64"/>
      <c r="U661" s="64"/>
      <c r="V661" s="64"/>
      <c r="W661" s="64"/>
      <c r="X661" s="64"/>
      <c r="Y661" s="64"/>
      <c r="Z661" s="64"/>
      <c r="AA661" s="64"/>
      <c r="BS661" s="74"/>
    </row>
    <row r="662" ht="18.75" customHeight="1">
      <c r="B662" s="71"/>
      <c r="D662" s="72"/>
      <c r="K662" s="73"/>
      <c r="P662" s="37" t="s">
        <v>29</v>
      </c>
      <c r="Q662" s="64"/>
      <c r="R662" s="64"/>
      <c r="S662" s="64"/>
      <c r="T662" s="64"/>
      <c r="U662" s="64"/>
      <c r="V662" s="64"/>
      <c r="W662" s="64"/>
      <c r="X662" s="64"/>
      <c r="Y662" s="64"/>
      <c r="Z662" s="64"/>
      <c r="AA662" s="64"/>
      <c r="BS662" s="74"/>
    </row>
    <row r="663" ht="18.75" customHeight="1">
      <c r="B663" s="71"/>
      <c r="D663" s="72"/>
      <c r="K663" s="73"/>
      <c r="P663" s="37" t="s">
        <v>29</v>
      </c>
      <c r="Q663" s="64"/>
      <c r="R663" s="64"/>
      <c r="S663" s="64"/>
      <c r="T663" s="64"/>
      <c r="U663" s="64"/>
      <c r="V663" s="64"/>
      <c r="W663" s="64"/>
      <c r="X663" s="64"/>
      <c r="Y663" s="64"/>
      <c r="Z663" s="64"/>
      <c r="AA663" s="64"/>
      <c r="BS663" s="74"/>
    </row>
    <row r="664" ht="18.75" customHeight="1">
      <c r="B664" s="71"/>
      <c r="D664" s="72"/>
      <c r="K664" s="73"/>
      <c r="P664" s="37" t="s">
        <v>29</v>
      </c>
      <c r="Q664" s="64"/>
      <c r="R664" s="64"/>
      <c r="S664" s="64"/>
      <c r="T664" s="64"/>
      <c r="U664" s="64"/>
      <c r="V664" s="64"/>
      <c r="W664" s="64"/>
      <c r="X664" s="64"/>
      <c r="Y664" s="64"/>
      <c r="Z664" s="64"/>
      <c r="AA664" s="64"/>
      <c r="BS664" s="74"/>
    </row>
    <row r="665" ht="18.75" customHeight="1">
      <c r="B665" s="71"/>
      <c r="D665" s="72"/>
      <c r="K665" s="73"/>
      <c r="P665" s="37" t="s">
        <v>29</v>
      </c>
      <c r="Q665" s="64"/>
      <c r="R665" s="64"/>
      <c r="S665" s="64"/>
      <c r="T665" s="64"/>
      <c r="U665" s="64"/>
      <c r="V665" s="64"/>
      <c r="W665" s="64"/>
      <c r="X665" s="64"/>
      <c r="Y665" s="64"/>
      <c r="Z665" s="64"/>
      <c r="AA665" s="64"/>
      <c r="BS665" s="74"/>
    </row>
    <row r="666" ht="18.75" customHeight="1">
      <c r="B666" s="71"/>
      <c r="D666" s="72"/>
      <c r="K666" s="73"/>
      <c r="P666" s="37" t="s">
        <v>29</v>
      </c>
      <c r="Q666" s="64"/>
      <c r="R666" s="64"/>
      <c r="S666" s="64"/>
      <c r="T666" s="64"/>
      <c r="U666" s="64"/>
      <c r="V666" s="64"/>
      <c r="W666" s="64"/>
      <c r="X666" s="64"/>
      <c r="Y666" s="64"/>
      <c r="Z666" s="64"/>
      <c r="AA666" s="64"/>
      <c r="BS666" s="74"/>
    </row>
    <row r="667" ht="18.75" customHeight="1">
      <c r="B667" s="71"/>
      <c r="D667" s="72"/>
      <c r="K667" s="73"/>
      <c r="P667" s="37" t="s">
        <v>29</v>
      </c>
      <c r="Q667" s="64"/>
      <c r="R667" s="64"/>
      <c r="S667" s="64"/>
      <c r="T667" s="64"/>
      <c r="U667" s="64"/>
      <c r="V667" s="64"/>
      <c r="W667" s="64"/>
      <c r="X667" s="64"/>
      <c r="Y667" s="64"/>
      <c r="Z667" s="64"/>
      <c r="AA667" s="64"/>
      <c r="BS667" s="74"/>
    </row>
    <row r="668" ht="18.75" customHeight="1">
      <c r="B668" s="71"/>
      <c r="D668" s="72"/>
      <c r="K668" s="73"/>
      <c r="P668" s="37" t="s">
        <v>29</v>
      </c>
      <c r="Q668" s="64"/>
      <c r="R668" s="64"/>
      <c r="S668" s="64"/>
      <c r="T668" s="64"/>
      <c r="U668" s="64"/>
      <c r="V668" s="64"/>
      <c r="W668" s="64"/>
      <c r="X668" s="64"/>
      <c r="Y668" s="64"/>
      <c r="Z668" s="64"/>
      <c r="AA668" s="64"/>
      <c r="BS668" s="74"/>
    </row>
    <row r="669" ht="18.75" customHeight="1">
      <c r="B669" s="71"/>
      <c r="D669" s="72"/>
      <c r="K669" s="73"/>
      <c r="P669" s="37" t="s">
        <v>29</v>
      </c>
      <c r="Q669" s="64"/>
      <c r="R669" s="64"/>
      <c r="S669" s="64"/>
      <c r="T669" s="64"/>
      <c r="U669" s="64"/>
      <c r="V669" s="64"/>
      <c r="W669" s="64"/>
      <c r="X669" s="64"/>
      <c r="Y669" s="64"/>
      <c r="Z669" s="64"/>
      <c r="AA669" s="64"/>
      <c r="BS669" s="74"/>
    </row>
    <row r="670" ht="18.75" customHeight="1">
      <c r="B670" s="71"/>
      <c r="D670" s="72"/>
      <c r="K670" s="73"/>
      <c r="P670" s="37" t="s">
        <v>29</v>
      </c>
      <c r="Q670" s="64"/>
      <c r="R670" s="64"/>
      <c r="S670" s="64"/>
      <c r="T670" s="64"/>
      <c r="U670" s="64"/>
      <c r="V670" s="64"/>
      <c r="W670" s="64"/>
      <c r="X670" s="64"/>
      <c r="Y670" s="64"/>
      <c r="Z670" s="64"/>
      <c r="AA670" s="64"/>
      <c r="BS670" s="74"/>
    </row>
    <row r="671" ht="18.75" customHeight="1">
      <c r="B671" s="71"/>
      <c r="D671" s="72"/>
      <c r="K671" s="73"/>
      <c r="P671" s="37" t="s">
        <v>29</v>
      </c>
      <c r="Q671" s="64"/>
      <c r="R671" s="64"/>
      <c r="S671" s="64"/>
      <c r="T671" s="64"/>
      <c r="U671" s="64"/>
      <c r="V671" s="64"/>
      <c r="W671" s="64"/>
      <c r="X671" s="64"/>
      <c r="Y671" s="64"/>
      <c r="Z671" s="64"/>
      <c r="AA671" s="64"/>
      <c r="BS671" s="74"/>
    </row>
    <row r="672" ht="18.75" customHeight="1">
      <c r="B672" s="71"/>
      <c r="D672" s="72"/>
      <c r="K672" s="73"/>
      <c r="P672" s="37" t="s">
        <v>29</v>
      </c>
      <c r="Q672" s="64"/>
      <c r="R672" s="64"/>
      <c r="S672" s="64"/>
      <c r="T672" s="64"/>
      <c r="U672" s="64"/>
      <c r="V672" s="64"/>
      <c r="W672" s="64"/>
      <c r="X672" s="64"/>
      <c r="Y672" s="64"/>
      <c r="Z672" s="64"/>
      <c r="AA672" s="64"/>
      <c r="BS672" s="74"/>
    </row>
    <row r="673" ht="18.75" customHeight="1">
      <c r="B673" s="71"/>
      <c r="D673" s="72"/>
      <c r="K673" s="73"/>
      <c r="P673" s="37" t="s">
        <v>29</v>
      </c>
      <c r="Q673" s="64"/>
      <c r="R673" s="64"/>
      <c r="S673" s="64"/>
      <c r="T673" s="64"/>
      <c r="U673" s="64"/>
      <c r="V673" s="64"/>
      <c r="W673" s="64"/>
      <c r="X673" s="64"/>
      <c r="Y673" s="64"/>
      <c r="Z673" s="64"/>
      <c r="AA673" s="64"/>
      <c r="BS673" s="74"/>
    </row>
    <row r="674" ht="18.75" customHeight="1">
      <c r="B674" s="71"/>
      <c r="D674" s="72"/>
      <c r="K674" s="73"/>
      <c r="P674" s="37" t="s">
        <v>29</v>
      </c>
      <c r="Q674" s="64"/>
      <c r="R674" s="64"/>
      <c r="S674" s="64"/>
      <c r="T674" s="64"/>
      <c r="U674" s="64"/>
      <c r="V674" s="64"/>
      <c r="W674" s="64"/>
      <c r="X674" s="64"/>
      <c r="Y674" s="64"/>
      <c r="Z674" s="64"/>
      <c r="AA674" s="64"/>
      <c r="BS674" s="74"/>
    </row>
    <row r="675" ht="18.75" customHeight="1">
      <c r="B675" s="71"/>
      <c r="D675" s="72"/>
      <c r="K675" s="73"/>
      <c r="P675" s="37" t="s">
        <v>29</v>
      </c>
      <c r="Q675" s="64"/>
      <c r="R675" s="64"/>
      <c r="S675" s="64"/>
      <c r="T675" s="64"/>
      <c r="U675" s="64"/>
      <c r="V675" s="64"/>
      <c r="W675" s="64"/>
      <c r="X675" s="64"/>
      <c r="Y675" s="64"/>
      <c r="Z675" s="64"/>
      <c r="AA675" s="64"/>
      <c r="BS675" s="74"/>
    </row>
    <row r="676" ht="18.75" customHeight="1">
      <c r="B676" s="71"/>
      <c r="D676" s="72"/>
      <c r="K676" s="73"/>
      <c r="P676" s="37" t="s">
        <v>29</v>
      </c>
      <c r="Q676" s="64"/>
      <c r="R676" s="64"/>
      <c r="S676" s="64"/>
      <c r="T676" s="64"/>
      <c r="U676" s="64"/>
      <c r="V676" s="64"/>
      <c r="W676" s="64"/>
      <c r="X676" s="64"/>
      <c r="Y676" s="64"/>
      <c r="Z676" s="64"/>
      <c r="AA676" s="64"/>
      <c r="BS676" s="74"/>
    </row>
    <row r="677" ht="18.75" customHeight="1">
      <c r="B677" s="71"/>
      <c r="D677" s="72"/>
      <c r="K677" s="73"/>
      <c r="P677" s="37" t="s">
        <v>29</v>
      </c>
      <c r="Q677" s="64"/>
      <c r="R677" s="64"/>
      <c r="S677" s="64"/>
      <c r="T677" s="64"/>
      <c r="U677" s="64"/>
      <c r="V677" s="64"/>
      <c r="W677" s="64"/>
      <c r="X677" s="64"/>
      <c r="Y677" s="64"/>
      <c r="Z677" s="64"/>
      <c r="AA677" s="64"/>
      <c r="BS677" s="74"/>
    </row>
    <row r="678" ht="18.75" customHeight="1">
      <c r="B678" s="71"/>
      <c r="D678" s="72"/>
      <c r="K678" s="73"/>
      <c r="P678" s="37" t="s">
        <v>29</v>
      </c>
      <c r="Q678" s="64"/>
      <c r="R678" s="64"/>
      <c r="S678" s="64"/>
      <c r="T678" s="64"/>
      <c r="U678" s="64"/>
      <c r="V678" s="64"/>
      <c r="W678" s="64"/>
      <c r="X678" s="64"/>
      <c r="Y678" s="64"/>
      <c r="Z678" s="64"/>
      <c r="AA678" s="64"/>
      <c r="BS678" s="74"/>
    </row>
    <row r="679" ht="18.75" customHeight="1">
      <c r="B679" s="71"/>
      <c r="D679" s="72"/>
      <c r="K679" s="73"/>
      <c r="P679" s="37" t="s">
        <v>29</v>
      </c>
      <c r="Q679" s="64"/>
      <c r="R679" s="64"/>
      <c r="S679" s="64"/>
      <c r="T679" s="64"/>
      <c r="U679" s="64"/>
      <c r="V679" s="64"/>
      <c r="W679" s="64"/>
      <c r="X679" s="64"/>
      <c r="Y679" s="64"/>
      <c r="Z679" s="64"/>
      <c r="AA679" s="64"/>
      <c r="BS679" s="74"/>
    </row>
    <row r="680" ht="18.75" customHeight="1">
      <c r="B680" s="71"/>
      <c r="D680" s="72"/>
      <c r="K680" s="73"/>
      <c r="P680" s="37" t="s">
        <v>29</v>
      </c>
      <c r="Q680" s="64"/>
      <c r="R680" s="64"/>
      <c r="S680" s="64"/>
      <c r="T680" s="64"/>
      <c r="U680" s="64"/>
      <c r="V680" s="64"/>
      <c r="W680" s="64"/>
      <c r="X680" s="64"/>
      <c r="Y680" s="64"/>
      <c r="Z680" s="64"/>
      <c r="AA680" s="64"/>
      <c r="BS680" s="74"/>
    </row>
    <row r="681" ht="18.75" customHeight="1">
      <c r="B681" s="71"/>
      <c r="D681" s="72"/>
      <c r="K681" s="73"/>
      <c r="P681" s="37" t="s">
        <v>29</v>
      </c>
      <c r="Q681" s="64"/>
      <c r="R681" s="64"/>
      <c r="S681" s="64"/>
      <c r="T681" s="64"/>
      <c r="U681" s="64"/>
      <c r="V681" s="64"/>
      <c r="W681" s="64"/>
      <c r="X681" s="64"/>
      <c r="Y681" s="64"/>
      <c r="Z681" s="64"/>
      <c r="AA681" s="64"/>
      <c r="BS681" s="74"/>
    </row>
    <row r="682" ht="18.75" customHeight="1">
      <c r="B682" s="71"/>
      <c r="D682" s="72"/>
      <c r="K682" s="73"/>
      <c r="P682" s="37" t="s">
        <v>29</v>
      </c>
      <c r="Q682" s="64"/>
      <c r="R682" s="64"/>
      <c r="S682" s="64"/>
      <c r="T682" s="64"/>
      <c r="U682" s="64"/>
      <c r="V682" s="64"/>
      <c r="W682" s="64"/>
      <c r="X682" s="64"/>
      <c r="Y682" s="64"/>
      <c r="Z682" s="64"/>
      <c r="AA682" s="64"/>
      <c r="BS682" s="74"/>
    </row>
    <row r="683" ht="18.75" customHeight="1">
      <c r="B683" s="71"/>
      <c r="D683" s="72"/>
      <c r="K683" s="73"/>
      <c r="P683" s="37" t="s">
        <v>29</v>
      </c>
      <c r="Q683" s="64"/>
      <c r="R683" s="64"/>
      <c r="S683" s="64"/>
      <c r="T683" s="64"/>
      <c r="U683" s="64"/>
      <c r="V683" s="64"/>
      <c r="W683" s="64"/>
      <c r="X683" s="64"/>
      <c r="Y683" s="64"/>
      <c r="Z683" s="64"/>
      <c r="AA683" s="64"/>
      <c r="BS683" s="74"/>
    </row>
    <row r="684" ht="18.75" customHeight="1">
      <c r="B684" s="71"/>
      <c r="D684" s="72"/>
      <c r="K684" s="73"/>
      <c r="P684" s="37" t="s">
        <v>29</v>
      </c>
      <c r="Q684" s="64"/>
      <c r="R684" s="64"/>
      <c r="S684" s="64"/>
      <c r="T684" s="64"/>
      <c r="U684" s="64"/>
      <c r="V684" s="64"/>
      <c r="W684" s="64"/>
      <c r="X684" s="64"/>
      <c r="Y684" s="64"/>
      <c r="Z684" s="64"/>
      <c r="AA684" s="64"/>
      <c r="BS684" s="74"/>
    </row>
    <row r="685" ht="18.75" customHeight="1">
      <c r="B685" s="71"/>
      <c r="D685" s="72"/>
      <c r="K685" s="73"/>
      <c r="P685" s="37" t="s">
        <v>29</v>
      </c>
      <c r="Q685" s="64"/>
      <c r="R685" s="64"/>
      <c r="S685" s="64"/>
      <c r="T685" s="64"/>
      <c r="U685" s="64"/>
      <c r="V685" s="64"/>
      <c r="W685" s="64"/>
      <c r="X685" s="64"/>
      <c r="Y685" s="64"/>
      <c r="Z685" s="64"/>
      <c r="AA685" s="64"/>
      <c r="BS685" s="74"/>
    </row>
    <row r="686" ht="18.75" customHeight="1">
      <c r="B686" s="71"/>
      <c r="D686" s="72"/>
      <c r="K686" s="73"/>
      <c r="P686" s="37" t="s">
        <v>29</v>
      </c>
      <c r="Q686" s="64"/>
      <c r="R686" s="64"/>
      <c r="S686" s="64"/>
      <c r="T686" s="64"/>
      <c r="U686" s="64"/>
      <c r="V686" s="64"/>
      <c r="W686" s="64"/>
      <c r="X686" s="64"/>
      <c r="Y686" s="64"/>
      <c r="Z686" s="64"/>
      <c r="AA686" s="64"/>
      <c r="BS686" s="74"/>
    </row>
    <row r="687" ht="18.75" customHeight="1">
      <c r="B687" s="71"/>
      <c r="D687" s="72"/>
      <c r="K687" s="73"/>
      <c r="P687" s="37" t="s">
        <v>29</v>
      </c>
      <c r="Q687" s="64"/>
      <c r="R687" s="64"/>
      <c r="S687" s="64"/>
      <c r="T687" s="64"/>
      <c r="U687" s="64"/>
      <c r="V687" s="64"/>
      <c r="W687" s="64"/>
      <c r="X687" s="64"/>
      <c r="Y687" s="64"/>
      <c r="Z687" s="64"/>
      <c r="AA687" s="64"/>
      <c r="BS687" s="74"/>
    </row>
    <row r="688" ht="18.75" customHeight="1">
      <c r="B688" s="71"/>
      <c r="D688" s="72"/>
      <c r="K688" s="73"/>
      <c r="P688" s="37" t="s">
        <v>29</v>
      </c>
      <c r="Q688" s="64"/>
      <c r="R688" s="64"/>
      <c r="S688" s="64"/>
      <c r="T688" s="64"/>
      <c r="U688" s="64"/>
      <c r="V688" s="64"/>
      <c r="W688" s="64"/>
      <c r="X688" s="64"/>
      <c r="Y688" s="64"/>
      <c r="Z688" s="64"/>
      <c r="AA688" s="64"/>
      <c r="BS688" s="74"/>
    </row>
    <row r="689" ht="18.75" customHeight="1">
      <c r="B689" s="71"/>
      <c r="D689" s="72"/>
      <c r="K689" s="73"/>
      <c r="P689" s="37" t="s">
        <v>29</v>
      </c>
      <c r="Q689" s="64"/>
      <c r="R689" s="64"/>
      <c r="S689" s="64"/>
      <c r="T689" s="64"/>
      <c r="U689" s="64"/>
      <c r="V689" s="64"/>
      <c r="W689" s="64"/>
      <c r="X689" s="64"/>
      <c r="Y689" s="64"/>
      <c r="Z689" s="64"/>
      <c r="AA689" s="64"/>
      <c r="BS689" s="74"/>
    </row>
    <row r="690" ht="18.75" customHeight="1">
      <c r="B690" s="71"/>
      <c r="D690" s="72"/>
      <c r="K690" s="73"/>
      <c r="P690" s="37" t="s">
        <v>29</v>
      </c>
      <c r="Q690" s="64"/>
      <c r="R690" s="64"/>
      <c r="S690" s="64"/>
      <c r="T690" s="64"/>
      <c r="U690" s="64"/>
      <c r="V690" s="64"/>
      <c r="W690" s="64"/>
      <c r="X690" s="64"/>
      <c r="Y690" s="64"/>
      <c r="Z690" s="64"/>
      <c r="AA690" s="64"/>
      <c r="BS690" s="74"/>
    </row>
    <row r="691" ht="18.75" customHeight="1">
      <c r="B691" s="71"/>
      <c r="D691" s="72"/>
      <c r="K691" s="73"/>
      <c r="P691" s="37" t="s">
        <v>29</v>
      </c>
      <c r="Q691" s="64"/>
      <c r="R691" s="64"/>
      <c r="S691" s="64"/>
      <c r="T691" s="64"/>
      <c r="U691" s="64"/>
      <c r="V691" s="64"/>
      <c r="W691" s="64"/>
      <c r="X691" s="64"/>
      <c r="Y691" s="64"/>
      <c r="Z691" s="64"/>
      <c r="AA691" s="64"/>
      <c r="BS691" s="74"/>
    </row>
    <row r="692" ht="18.75" customHeight="1">
      <c r="B692" s="71"/>
      <c r="D692" s="72"/>
      <c r="K692" s="73"/>
      <c r="P692" s="37" t="s">
        <v>29</v>
      </c>
      <c r="Q692" s="64"/>
      <c r="R692" s="64"/>
      <c r="S692" s="64"/>
      <c r="T692" s="64"/>
      <c r="U692" s="64"/>
      <c r="V692" s="64"/>
      <c r="W692" s="64"/>
      <c r="X692" s="64"/>
      <c r="Y692" s="64"/>
      <c r="Z692" s="64"/>
      <c r="AA692" s="64"/>
      <c r="BS692" s="74"/>
    </row>
    <row r="693" ht="18.75" customHeight="1">
      <c r="B693" s="71"/>
      <c r="D693" s="72"/>
      <c r="K693" s="73"/>
      <c r="P693" s="37" t="s">
        <v>29</v>
      </c>
      <c r="Q693" s="64"/>
      <c r="R693" s="64"/>
      <c r="S693" s="64"/>
      <c r="T693" s="64"/>
      <c r="U693" s="64"/>
      <c r="V693" s="64"/>
      <c r="W693" s="64"/>
      <c r="X693" s="64"/>
      <c r="Y693" s="64"/>
      <c r="Z693" s="64"/>
      <c r="AA693" s="64"/>
      <c r="BS693" s="74"/>
    </row>
    <row r="694" ht="18.75" customHeight="1">
      <c r="B694" s="71"/>
      <c r="D694" s="72"/>
      <c r="K694" s="73"/>
      <c r="P694" s="37" t="s">
        <v>29</v>
      </c>
      <c r="Q694" s="64"/>
      <c r="R694" s="64"/>
      <c r="S694" s="64"/>
      <c r="T694" s="64"/>
      <c r="U694" s="64"/>
      <c r="V694" s="64"/>
      <c r="W694" s="64"/>
      <c r="X694" s="64"/>
      <c r="Y694" s="64"/>
      <c r="Z694" s="64"/>
      <c r="AA694" s="64"/>
      <c r="BS694" s="74"/>
    </row>
    <row r="695" ht="18.75" customHeight="1">
      <c r="B695" s="71"/>
      <c r="D695" s="72"/>
      <c r="K695" s="73"/>
      <c r="P695" s="37" t="s">
        <v>29</v>
      </c>
      <c r="Q695" s="64"/>
      <c r="R695" s="64"/>
      <c r="S695" s="64"/>
      <c r="T695" s="64"/>
      <c r="U695" s="64"/>
      <c r="V695" s="64"/>
      <c r="W695" s="64"/>
      <c r="X695" s="64"/>
      <c r="Y695" s="64"/>
      <c r="Z695" s="64"/>
      <c r="AA695" s="64"/>
      <c r="BS695" s="74"/>
    </row>
    <row r="696" ht="18.75" customHeight="1">
      <c r="B696" s="71"/>
      <c r="D696" s="72"/>
      <c r="K696" s="73"/>
      <c r="P696" s="37" t="s">
        <v>29</v>
      </c>
      <c r="Q696" s="64"/>
      <c r="R696" s="64"/>
      <c r="S696" s="64"/>
      <c r="T696" s="64"/>
      <c r="U696" s="64"/>
      <c r="V696" s="64"/>
      <c r="W696" s="64"/>
      <c r="X696" s="64"/>
      <c r="Y696" s="64"/>
      <c r="Z696" s="64"/>
      <c r="AA696" s="64"/>
      <c r="BS696" s="74"/>
    </row>
    <row r="697" ht="18.75" customHeight="1">
      <c r="B697" s="71"/>
      <c r="D697" s="72"/>
      <c r="K697" s="73"/>
      <c r="P697" s="37" t="s">
        <v>29</v>
      </c>
      <c r="Q697" s="64"/>
      <c r="R697" s="64"/>
      <c r="S697" s="64"/>
      <c r="T697" s="64"/>
      <c r="U697" s="64"/>
      <c r="V697" s="64"/>
      <c r="W697" s="64"/>
      <c r="X697" s="64"/>
      <c r="Y697" s="64"/>
      <c r="Z697" s="64"/>
      <c r="AA697" s="64"/>
      <c r="BS697" s="74"/>
    </row>
    <row r="698" ht="18.75" customHeight="1">
      <c r="B698" s="71"/>
      <c r="D698" s="72"/>
      <c r="K698" s="73"/>
      <c r="P698" s="37" t="s">
        <v>29</v>
      </c>
      <c r="Q698" s="64"/>
      <c r="R698" s="64"/>
      <c r="S698" s="64"/>
      <c r="T698" s="64"/>
      <c r="U698" s="64"/>
      <c r="V698" s="64"/>
      <c r="W698" s="64"/>
      <c r="X698" s="64"/>
      <c r="Y698" s="64"/>
      <c r="Z698" s="64"/>
      <c r="AA698" s="64"/>
      <c r="BS698" s="74"/>
    </row>
    <row r="699" ht="18.75" customHeight="1">
      <c r="B699" s="71"/>
      <c r="D699" s="72"/>
      <c r="K699" s="73"/>
      <c r="P699" s="37" t="s">
        <v>29</v>
      </c>
      <c r="Q699" s="64"/>
      <c r="R699" s="64"/>
      <c r="S699" s="64"/>
      <c r="T699" s="64"/>
      <c r="U699" s="64"/>
      <c r="V699" s="64"/>
      <c r="W699" s="64"/>
      <c r="X699" s="64"/>
      <c r="Y699" s="64"/>
      <c r="Z699" s="64"/>
      <c r="AA699" s="64"/>
      <c r="BS699" s="74"/>
    </row>
    <row r="700" ht="18.75" customHeight="1">
      <c r="B700" s="71"/>
      <c r="D700" s="72"/>
      <c r="K700" s="73"/>
      <c r="P700" s="37" t="s">
        <v>29</v>
      </c>
      <c r="Q700" s="64"/>
      <c r="R700" s="64"/>
      <c r="S700" s="64"/>
      <c r="T700" s="64"/>
      <c r="U700" s="64"/>
      <c r="V700" s="64"/>
      <c r="W700" s="64"/>
      <c r="X700" s="64"/>
      <c r="Y700" s="64"/>
      <c r="Z700" s="64"/>
      <c r="AA700" s="64"/>
      <c r="BS700" s="74"/>
    </row>
    <row r="701" ht="18.75" customHeight="1">
      <c r="B701" s="71"/>
      <c r="D701" s="72"/>
      <c r="K701" s="73"/>
      <c r="P701" s="37" t="s">
        <v>29</v>
      </c>
      <c r="Q701" s="64"/>
      <c r="R701" s="64"/>
      <c r="S701" s="64"/>
      <c r="T701" s="64"/>
      <c r="U701" s="64"/>
      <c r="V701" s="64"/>
      <c r="W701" s="64"/>
      <c r="X701" s="64"/>
      <c r="Y701" s="64"/>
      <c r="Z701" s="64"/>
      <c r="AA701" s="64"/>
      <c r="BS701" s="74"/>
    </row>
    <row r="702" ht="18.75" customHeight="1">
      <c r="B702" s="71"/>
      <c r="D702" s="72"/>
      <c r="K702" s="73"/>
      <c r="P702" s="37" t="s">
        <v>29</v>
      </c>
      <c r="Q702" s="64"/>
      <c r="R702" s="64"/>
      <c r="S702" s="64"/>
      <c r="T702" s="64"/>
      <c r="U702" s="64"/>
      <c r="V702" s="64"/>
      <c r="W702" s="64"/>
      <c r="X702" s="64"/>
      <c r="Y702" s="64"/>
      <c r="Z702" s="64"/>
      <c r="AA702" s="64"/>
      <c r="BS702" s="74"/>
    </row>
    <row r="703" ht="18.75" customHeight="1">
      <c r="B703" s="71"/>
      <c r="D703" s="72"/>
      <c r="K703" s="73"/>
      <c r="P703" s="37" t="s">
        <v>29</v>
      </c>
      <c r="Q703" s="64"/>
      <c r="R703" s="64"/>
      <c r="S703" s="64"/>
      <c r="T703" s="64"/>
      <c r="U703" s="64"/>
      <c r="V703" s="64"/>
      <c r="W703" s="64"/>
      <c r="X703" s="64"/>
      <c r="Y703" s="64"/>
      <c r="Z703" s="64"/>
      <c r="AA703" s="64"/>
      <c r="BS703" s="74"/>
    </row>
    <row r="704" ht="18.75" customHeight="1">
      <c r="B704" s="71"/>
      <c r="D704" s="72"/>
      <c r="K704" s="73"/>
      <c r="P704" s="37" t="s">
        <v>29</v>
      </c>
      <c r="Q704" s="64"/>
      <c r="R704" s="64"/>
      <c r="S704" s="64"/>
      <c r="T704" s="64"/>
      <c r="U704" s="64"/>
      <c r="V704" s="64"/>
      <c r="W704" s="64"/>
      <c r="X704" s="64"/>
      <c r="Y704" s="64"/>
      <c r="Z704" s="64"/>
      <c r="AA704" s="64"/>
      <c r="BS704" s="74"/>
    </row>
    <row r="705" ht="18.75" customHeight="1">
      <c r="B705" s="71"/>
      <c r="D705" s="72"/>
      <c r="K705" s="73"/>
      <c r="P705" s="37" t="s">
        <v>29</v>
      </c>
      <c r="Q705" s="64"/>
      <c r="R705" s="64"/>
      <c r="S705" s="64"/>
      <c r="T705" s="64"/>
      <c r="U705" s="64"/>
      <c r="V705" s="64"/>
      <c r="W705" s="64"/>
      <c r="X705" s="64"/>
      <c r="Y705" s="64"/>
      <c r="Z705" s="64"/>
      <c r="AA705" s="64"/>
      <c r="BS705" s="74"/>
    </row>
    <row r="706" ht="18.75" customHeight="1">
      <c r="B706" s="71"/>
      <c r="D706" s="72"/>
      <c r="K706" s="73"/>
      <c r="P706" s="37" t="s">
        <v>29</v>
      </c>
      <c r="Q706" s="64"/>
      <c r="R706" s="64"/>
      <c r="S706" s="64"/>
      <c r="T706" s="64"/>
      <c r="U706" s="64"/>
      <c r="V706" s="64"/>
      <c r="W706" s="64"/>
      <c r="X706" s="64"/>
      <c r="Y706" s="64"/>
      <c r="Z706" s="64"/>
      <c r="AA706" s="64"/>
      <c r="BS706" s="74"/>
    </row>
    <row r="707" ht="18.75" customHeight="1">
      <c r="B707" s="71"/>
      <c r="D707" s="72"/>
      <c r="K707" s="73"/>
      <c r="P707" s="37" t="s">
        <v>29</v>
      </c>
      <c r="Q707" s="64"/>
      <c r="R707" s="64"/>
      <c r="S707" s="64"/>
      <c r="T707" s="64"/>
      <c r="U707" s="64"/>
      <c r="V707" s="64"/>
      <c r="W707" s="64"/>
      <c r="X707" s="64"/>
      <c r="Y707" s="64"/>
      <c r="Z707" s="64"/>
      <c r="AA707" s="64"/>
      <c r="BS707" s="74"/>
    </row>
    <row r="708" ht="18.75" customHeight="1">
      <c r="B708" s="71"/>
      <c r="D708" s="72"/>
      <c r="K708" s="73"/>
      <c r="P708" s="37" t="s">
        <v>29</v>
      </c>
      <c r="Q708" s="64"/>
      <c r="R708" s="64"/>
      <c r="S708" s="64"/>
      <c r="T708" s="64"/>
      <c r="U708" s="64"/>
      <c r="V708" s="64"/>
      <c r="W708" s="64"/>
      <c r="X708" s="64"/>
      <c r="Y708" s="64"/>
      <c r="Z708" s="64"/>
      <c r="AA708" s="64"/>
      <c r="BS708" s="74"/>
    </row>
    <row r="709" ht="18.75" customHeight="1">
      <c r="B709" s="71"/>
      <c r="D709" s="72"/>
      <c r="K709" s="73"/>
      <c r="P709" s="37" t="s">
        <v>29</v>
      </c>
      <c r="Q709" s="64"/>
      <c r="R709" s="64"/>
      <c r="S709" s="64"/>
      <c r="T709" s="64"/>
      <c r="U709" s="64"/>
      <c r="V709" s="64"/>
      <c r="W709" s="64"/>
      <c r="X709" s="64"/>
      <c r="Y709" s="64"/>
      <c r="Z709" s="64"/>
      <c r="AA709" s="64"/>
      <c r="BS709" s="74"/>
    </row>
    <row r="710" ht="18.75" customHeight="1">
      <c r="B710" s="71"/>
      <c r="D710" s="72"/>
      <c r="K710" s="73"/>
      <c r="P710" s="37" t="s">
        <v>29</v>
      </c>
      <c r="Q710" s="64"/>
      <c r="R710" s="64"/>
      <c r="S710" s="64"/>
      <c r="T710" s="64"/>
      <c r="U710" s="64"/>
      <c r="V710" s="64"/>
      <c r="W710" s="64"/>
      <c r="X710" s="64"/>
      <c r="Y710" s="64"/>
      <c r="Z710" s="64"/>
      <c r="AA710" s="64"/>
      <c r="BS710" s="74"/>
    </row>
    <row r="711" ht="18.75" customHeight="1">
      <c r="B711" s="71"/>
      <c r="D711" s="72"/>
      <c r="K711" s="73"/>
      <c r="P711" s="37" t="s">
        <v>29</v>
      </c>
      <c r="Q711" s="64"/>
      <c r="R711" s="64"/>
      <c r="S711" s="64"/>
      <c r="T711" s="64"/>
      <c r="U711" s="64"/>
      <c r="V711" s="64"/>
      <c r="W711" s="64"/>
      <c r="X711" s="64"/>
      <c r="Y711" s="64"/>
      <c r="Z711" s="64"/>
      <c r="AA711" s="64"/>
      <c r="BS711" s="74"/>
    </row>
    <row r="712" ht="18.75" customHeight="1">
      <c r="B712" s="71"/>
      <c r="D712" s="72"/>
      <c r="K712" s="73"/>
      <c r="P712" s="37" t="s">
        <v>29</v>
      </c>
      <c r="Q712" s="64"/>
      <c r="R712" s="64"/>
      <c r="S712" s="64"/>
      <c r="T712" s="64"/>
      <c r="U712" s="64"/>
      <c r="V712" s="64"/>
      <c r="W712" s="64"/>
      <c r="X712" s="64"/>
      <c r="Y712" s="64"/>
      <c r="Z712" s="64"/>
      <c r="AA712" s="64"/>
      <c r="BS712" s="74"/>
    </row>
    <row r="713" ht="18.75" customHeight="1">
      <c r="B713" s="71"/>
      <c r="D713" s="72"/>
      <c r="K713" s="73"/>
      <c r="P713" s="37" t="s">
        <v>29</v>
      </c>
      <c r="Q713" s="64"/>
      <c r="R713" s="64"/>
      <c r="S713" s="64"/>
      <c r="T713" s="64"/>
      <c r="U713" s="64"/>
      <c r="V713" s="64"/>
      <c r="W713" s="64"/>
      <c r="X713" s="64"/>
      <c r="Y713" s="64"/>
      <c r="Z713" s="64"/>
      <c r="AA713" s="64"/>
      <c r="BS713" s="74"/>
    </row>
    <row r="714" ht="18.75" customHeight="1">
      <c r="B714" s="71"/>
      <c r="D714" s="72"/>
      <c r="K714" s="73"/>
      <c r="P714" s="37" t="s">
        <v>29</v>
      </c>
      <c r="Q714" s="64"/>
      <c r="R714" s="64"/>
      <c r="S714" s="64"/>
      <c r="T714" s="64"/>
      <c r="U714" s="64"/>
      <c r="V714" s="64"/>
      <c r="W714" s="64"/>
      <c r="X714" s="64"/>
      <c r="Y714" s="64"/>
      <c r="Z714" s="64"/>
      <c r="AA714" s="64"/>
      <c r="BS714" s="74"/>
    </row>
    <row r="715" ht="18.75" customHeight="1">
      <c r="B715" s="71"/>
      <c r="D715" s="72"/>
      <c r="K715" s="73"/>
      <c r="P715" s="37" t="s">
        <v>29</v>
      </c>
      <c r="Q715" s="64"/>
      <c r="R715" s="64"/>
      <c r="S715" s="64"/>
      <c r="T715" s="64"/>
      <c r="U715" s="64"/>
      <c r="V715" s="64"/>
      <c r="W715" s="64"/>
      <c r="X715" s="64"/>
      <c r="Y715" s="64"/>
      <c r="Z715" s="64"/>
      <c r="AA715" s="64"/>
      <c r="BS715" s="74"/>
    </row>
    <row r="716" ht="18.75" customHeight="1">
      <c r="B716" s="71"/>
      <c r="D716" s="72"/>
      <c r="K716" s="73"/>
      <c r="P716" s="37" t="s">
        <v>29</v>
      </c>
      <c r="Q716" s="64"/>
      <c r="R716" s="64"/>
      <c r="S716" s="64"/>
      <c r="T716" s="64"/>
      <c r="U716" s="64"/>
      <c r="V716" s="64"/>
      <c r="W716" s="64"/>
      <c r="X716" s="64"/>
      <c r="Y716" s="64"/>
      <c r="Z716" s="64"/>
      <c r="AA716" s="64"/>
      <c r="BS716" s="74"/>
    </row>
    <row r="717" ht="18.75" customHeight="1">
      <c r="B717" s="71"/>
      <c r="D717" s="72"/>
      <c r="K717" s="73"/>
      <c r="P717" s="37" t="s">
        <v>29</v>
      </c>
      <c r="Q717" s="64"/>
      <c r="R717" s="64"/>
      <c r="S717" s="64"/>
      <c r="T717" s="64"/>
      <c r="U717" s="64"/>
      <c r="V717" s="64"/>
      <c r="W717" s="64"/>
      <c r="X717" s="64"/>
      <c r="Y717" s="64"/>
      <c r="Z717" s="64"/>
      <c r="AA717" s="64"/>
      <c r="BS717" s="74"/>
    </row>
    <row r="718" ht="18.75" customHeight="1">
      <c r="B718" s="71"/>
      <c r="D718" s="72"/>
      <c r="K718" s="73"/>
      <c r="P718" s="37" t="s">
        <v>29</v>
      </c>
      <c r="Q718" s="64"/>
      <c r="R718" s="64"/>
      <c r="S718" s="64"/>
      <c r="T718" s="64"/>
      <c r="U718" s="64"/>
      <c r="V718" s="64"/>
      <c r="W718" s="64"/>
      <c r="X718" s="64"/>
      <c r="Y718" s="64"/>
      <c r="Z718" s="64"/>
      <c r="AA718" s="64"/>
      <c r="BS718" s="74"/>
    </row>
    <row r="719" ht="18.75" customHeight="1">
      <c r="B719" s="71"/>
      <c r="D719" s="72"/>
      <c r="K719" s="73"/>
      <c r="P719" s="37" t="s">
        <v>29</v>
      </c>
      <c r="Q719" s="64"/>
      <c r="R719" s="64"/>
      <c r="S719" s="64"/>
      <c r="T719" s="64"/>
      <c r="U719" s="64"/>
      <c r="V719" s="64"/>
      <c r="W719" s="64"/>
      <c r="X719" s="64"/>
      <c r="Y719" s="64"/>
      <c r="Z719" s="64"/>
      <c r="AA719" s="64"/>
      <c r="BS719" s="74"/>
    </row>
    <row r="720" ht="18.75" customHeight="1">
      <c r="B720" s="71"/>
      <c r="D720" s="72"/>
      <c r="K720" s="73"/>
      <c r="P720" s="37" t="s">
        <v>29</v>
      </c>
      <c r="Q720" s="64"/>
      <c r="R720" s="64"/>
      <c r="S720" s="64"/>
      <c r="T720" s="64"/>
      <c r="U720" s="64"/>
      <c r="V720" s="64"/>
      <c r="W720" s="64"/>
      <c r="X720" s="64"/>
      <c r="Y720" s="64"/>
      <c r="Z720" s="64"/>
      <c r="AA720" s="64"/>
      <c r="BS720" s="74"/>
    </row>
    <row r="721" ht="18.75" customHeight="1">
      <c r="B721" s="71"/>
      <c r="D721" s="72"/>
      <c r="K721" s="73"/>
      <c r="P721" s="37" t="s">
        <v>29</v>
      </c>
      <c r="Q721" s="64"/>
      <c r="R721" s="64"/>
      <c r="S721" s="64"/>
      <c r="T721" s="64"/>
      <c r="U721" s="64"/>
      <c r="V721" s="64"/>
      <c r="W721" s="64"/>
      <c r="X721" s="64"/>
      <c r="Y721" s="64"/>
      <c r="Z721" s="64"/>
      <c r="AA721" s="64"/>
      <c r="BS721" s="74"/>
    </row>
    <row r="722" ht="18.75" customHeight="1">
      <c r="B722" s="71"/>
      <c r="D722" s="72"/>
      <c r="K722" s="73"/>
      <c r="P722" s="37" t="s">
        <v>29</v>
      </c>
      <c r="Q722" s="64"/>
      <c r="R722" s="64"/>
      <c r="S722" s="64"/>
      <c r="T722" s="64"/>
      <c r="U722" s="64"/>
      <c r="V722" s="64"/>
      <c r="W722" s="64"/>
      <c r="X722" s="64"/>
      <c r="Y722" s="64"/>
      <c r="Z722" s="64"/>
      <c r="AA722" s="64"/>
      <c r="BS722" s="74"/>
    </row>
    <row r="723" ht="18.75" customHeight="1">
      <c r="B723" s="71"/>
      <c r="D723" s="72"/>
      <c r="K723" s="73"/>
      <c r="P723" s="37" t="s">
        <v>29</v>
      </c>
      <c r="Q723" s="64"/>
      <c r="R723" s="64"/>
      <c r="S723" s="64"/>
      <c r="T723" s="64"/>
      <c r="U723" s="64"/>
      <c r="V723" s="64"/>
      <c r="W723" s="64"/>
      <c r="X723" s="64"/>
      <c r="Y723" s="64"/>
      <c r="Z723" s="64"/>
      <c r="AA723" s="64"/>
      <c r="BS723" s="74"/>
    </row>
    <row r="724" ht="18.75" customHeight="1">
      <c r="B724" s="71"/>
      <c r="D724" s="72"/>
      <c r="K724" s="73"/>
      <c r="P724" s="37" t="s">
        <v>29</v>
      </c>
      <c r="Q724" s="64"/>
      <c r="R724" s="64"/>
      <c r="S724" s="64"/>
      <c r="T724" s="64"/>
      <c r="U724" s="64"/>
      <c r="V724" s="64"/>
      <c r="W724" s="64"/>
      <c r="X724" s="64"/>
      <c r="Y724" s="64"/>
      <c r="Z724" s="64"/>
      <c r="AA724" s="64"/>
      <c r="BS724" s="74"/>
    </row>
    <row r="725" ht="18.75" customHeight="1">
      <c r="B725" s="71"/>
      <c r="D725" s="72"/>
      <c r="K725" s="73"/>
      <c r="P725" s="37" t="s">
        <v>29</v>
      </c>
      <c r="Q725" s="64"/>
      <c r="R725" s="64"/>
      <c r="S725" s="64"/>
      <c r="T725" s="64"/>
      <c r="U725" s="64"/>
      <c r="V725" s="64"/>
      <c r="W725" s="64"/>
      <c r="X725" s="64"/>
      <c r="Y725" s="64"/>
      <c r="Z725" s="64"/>
      <c r="AA725" s="64"/>
      <c r="BS725" s="74"/>
    </row>
    <row r="726" ht="18.75" customHeight="1">
      <c r="B726" s="71"/>
      <c r="D726" s="72"/>
      <c r="K726" s="73"/>
      <c r="P726" s="37" t="s">
        <v>29</v>
      </c>
      <c r="Q726" s="64"/>
      <c r="R726" s="64"/>
      <c r="S726" s="64"/>
      <c r="T726" s="64"/>
      <c r="U726" s="64"/>
      <c r="V726" s="64"/>
      <c r="W726" s="64"/>
      <c r="X726" s="64"/>
      <c r="Y726" s="64"/>
      <c r="Z726" s="64"/>
      <c r="AA726" s="64"/>
      <c r="BS726" s="74"/>
    </row>
    <row r="727" ht="18.75" customHeight="1">
      <c r="B727" s="71"/>
      <c r="D727" s="72"/>
      <c r="K727" s="73"/>
      <c r="P727" s="37" t="s">
        <v>29</v>
      </c>
      <c r="Q727" s="64"/>
      <c r="R727" s="64"/>
      <c r="S727" s="64"/>
      <c r="T727" s="64"/>
      <c r="U727" s="64"/>
      <c r="V727" s="64"/>
      <c r="W727" s="64"/>
      <c r="X727" s="64"/>
      <c r="Y727" s="64"/>
      <c r="Z727" s="64"/>
      <c r="AA727" s="64"/>
      <c r="BS727" s="74"/>
    </row>
    <row r="728" ht="18.75" customHeight="1">
      <c r="B728" s="71"/>
      <c r="D728" s="72"/>
      <c r="K728" s="73"/>
      <c r="P728" s="37" t="s">
        <v>29</v>
      </c>
      <c r="Q728" s="64"/>
      <c r="R728" s="64"/>
      <c r="S728" s="64"/>
      <c r="T728" s="64"/>
      <c r="U728" s="64"/>
      <c r="V728" s="64"/>
      <c r="W728" s="64"/>
      <c r="X728" s="64"/>
      <c r="Y728" s="64"/>
      <c r="Z728" s="64"/>
      <c r="AA728" s="64"/>
      <c r="BS728" s="74"/>
    </row>
    <row r="729" ht="18.75" customHeight="1">
      <c r="B729" s="71"/>
      <c r="D729" s="72"/>
      <c r="K729" s="73"/>
      <c r="P729" s="37" t="s">
        <v>29</v>
      </c>
      <c r="Q729" s="64"/>
      <c r="R729" s="64"/>
      <c r="S729" s="64"/>
      <c r="T729" s="64"/>
      <c r="U729" s="64"/>
      <c r="V729" s="64"/>
      <c r="W729" s="64"/>
      <c r="X729" s="64"/>
      <c r="Y729" s="64"/>
      <c r="Z729" s="64"/>
      <c r="AA729" s="64"/>
      <c r="BS729" s="74"/>
    </row>
    <row r="730" ht="18.75" customHeight="1">
      <c r="B730" s="71"/>
      <c r="D730" s="72"/>
      <c r="K730" s="73"/>
      <c r="P730" s="37" t="s">
        <v>29</v>
      </c>
      <c r="Q730" s="64"/>
      <c r="R730" s="64"/>
      <c r="S730" s="64"/>
      <c r="T730" s="64"/>
      <c r="U730" s="64"/>
      <c r="V730" s="64"/>
      <c r="W730" s="64"/>
      <c r="X730" s="64"/>
      <c r="Y730" s="64"/>
      <c r="Z730" s="64"/>
      <c r="AA730" s="64"/>
      <c r="BS730" s="74"/>
    </row>
    <row r="731" ht="18.75" customHeight="1">
      <c r="B731" s="71"/>
      <c r="D731" s="72"/>
      <c r="K731" s="73"/>
      <c r="P731" s="37" t="s">
        <v>29</v>
      </c>
      <c r="Q731" s="64"/>
      <c r="R731" s="64"/>
      <c r="S731" s="64"/>
      <c r="T731" s="64"/>
      <c r="U731" s="64"/>
      <c r="V731" s="64"/>
      <c r="W731" s="64"/>
      <c r="X731" s="64"/>
      <c r="Y731" s="64"/>
      <c r="Z731" s="64"/>
      <c r="AA731" s="64"/>
      <c r="BS731" s="74"/>
    </row>
    <row r="732" ht="18.75" customHeight="1">
      <c r="B732" s="71"/>
      <c r="D732" s="72"/>
      <c r="K732" s="73"/>
      <c r="P732" s="37" t="s">
        <v>29</v>
      </c>
      <c r="Q732" s="64"/>
      <c r="R732" s="64"/>
      <c r="S732" s="64"/>
      <c r="T732" s="64"/>
      <c r="U732" s="64"/>
      <c r="V732" s="64"/>
      <c r="W732" s="64"/>
      <c r="X732" s="64"/>
      <c r="Y732" s="64"/>
      <c r="Z732" s="64"/>
      <c r="AA732" s="64"/>
      <c r="BS732" s="74"/>
    </row>
    <row r="733" ht="18.75" customHeight="1">
      <c r="B733" s="71"/>
      <c r="D733" s="72"/>
      <c r="K733" s="73"/>
      <c r="P733" s="37" t="s">
        <v>29</v>
      </c>
      <c r="Q733" s="64"/>
      <c r="R733" s="64"/>
      <c r="S733" s="64"/>
      <c r="T733" s="64"/>
      <c r="U733" s="64"/>
      <c r="V733" s="64"/>
      <c r="W733" s="64"/>
      <c r="X733" s="64"/>
      <c r="Y733" s="64"/>
      <c r="Z733" s="64"/>
      <c r="AA733" s="64"/>
      <c r="BS733" s="74"/>
    </row>
    <row r="734" ht="18.75" customHeight="1">
      <c r="B734" s="71"/>
      <c r="D734" s="72"/>
      <c r="K734" s="73"/>
      <c r="P734" s="37" t="s">
        <v>29</v>
      </c>
      <c r="Q734" s="64"/>
      <c r="R734" s="64"/>
      <c r="S734" s="64"/>
      <c r="T734" s="64"/>
      <c r="U734" s="64"/>
      <c r="V734" s="64"/>
      <c r="W734" s="64"/>
      <c r="X734" s="64"/>
      <c r="Y734" s="64"/>
      <c r="Z734" s="64"/>
      <c r="AA734" s="64"/>
      <c r="BS734" s="74"/>
    </row>
    <row r="735" ht="18.75" customHeight="1">
      <c r="B735" s="71"/>
      <c r="D735" s="72"/>
      <c r="K735" s="73"/>
      <c r="P735" s="37" t="s">
        <v>29</v>
      </c>
      <c r="Q735" s="64"/>
      <c r="R735" s="64"/>
      <c r="S735" s="64"/>
      <c r="T735" s="64"/>
      <c r="U735" s="64"/>
      <c r="V735" s="64"/>
      <c r="W735" s="64"/>
      <c r="X735" s="64"/>
      <c r="Y735" s="64"/>
      <c r="Z735" s="64"/>
      <c r="AA735" s="64"/>
      <c r="BS735" s="74"/>
    </row>
    <row r="736" ht="18.75" customHeight="1">
      <c r="B736" s="71"/>
      <c r="D736" s="72"/>
      <c r="K736" s="73"/>
      <c r="P736" s="37" t="s">
        <v>29</v>
      </c>
      <c r="Q736" s="64"/>
      <c r="R736" s="64"/>
      <c r="S736" s="64"/>
      <c r="T736" s="64"/>
      <c r="U736" s="64"/>
      <c r="V736" s="64"/>
      <c r="W736" s="64"/>
      <c r="X736" s="64"/>
      <c r="Y736" s="64"/>
      <c r="Z736" s="64"/>
      <c r="AA736" s="64"/>
      <c r="BS736" s="74"/>
    </row>
    <row r="737" ht="18.75" customHeight="1">
      <c r="B737" s="71"/>
      <c r="D737" s="72"/>
      <c r="K737" s="73"/>
      <c r="P737" s="37" t="s">
        <v>29</v>
      </c>
      <c r="Q737" s="64"/>
      <c r="R737" s="64"/>
      <c r="S737" s="64"/>
      <c r="T737" s="64"/>
      <c r="U737" s="64"/>
      <c r="V737" s="64"/>
      <c r="W737" s="64"/>
      <c r="X737" s="64"/>
      <c r="Y737" s="64"/>
      <c r="Z737" s="64"/>
      <c r="AA737" s="64"/>
      <c r="BS737" s="74"/>
    </row>
    <row r="738" ht="18.75" customHeight="1">
      <c r="B738" s="71"/>
      <c r="D738" s="72"/>
      <c r="K738" s="73"/>
      <c r="P738" s="37" t="s">
        <v>29</v>
      </c>
      <c r="Q738" s="64"/>
      <c r="R738" s="64"/>
      <c r="S738" s="64"/>
      <c r="T738" s="64"/>
      <c r="U738" s="64"/>
      <c r="V738" s="64"/>
      <c r="W738" s="64"/>
      <c r="X738" s="64"/>
      <c r="Y738" s="64"/>
      <c r="Z738" s="64"/>
      <c r="AA738" s="64"/>
      <c r="BS738" s="74"/>
    </row>
    <row r="739" ht="18.75" customHeight="1">
      <c r="B739" s="71"/>
      <c r="D739" s="72"/>
      <c r="K739" s="73"/>
      <c r="P739" s="37" t="s">
        <v>29</v>
      </c>
      <c r="Q739" s="64"/>
      <c r="R739" s="64"/>
      <c r="S739" s="64"/>
      <c r="T739" s="64"/>
      <c r="U739" s="64"/>
      <c r="V739" s="64"/>
      <c r="W739" s="64"/>
      <c r="X739" s="64"/>
      <c r="Y739" s="64"/>
      <c r="Z739" s="64"/>
      <c r="AA739" s="64"/>
      <c r="BS739" s="74"/>
    </row>
    <row r="740" ht="18.75" customHeight="1">
      <c r="B740" s="71"/>
      <c r="D740" s="72"/>
      <c r="K740" s="73"/>
      <c r="P740" s="37" t="s">
        <v>29</v>
      </c>
      <c r="Q740" s="64"/>
      <c r="R740" s="64"/>
      <c r="S740" s="64"/>
      <c r="T740" s="64"/>
      <c r="U740" s="64"/>
      <c r="V740" s="64"/>
      <c r="W740" s="64"/>
      <c r="X740" s="64"/>
      <c r="Y740" s="64"/>
      <c r="Z740" s="64"/>
      <c r="AA740" s="64"/>
      <c r="BS740" s="74"/>
    </row>
    <row r="741" ht="18.75" customHeight="1">
      <c r="B741" s="71"/>
      <c r="D741" s="72"/>
      <c r="K741" s="73"/>
      <c r="P741" s="37" t="s">
        <v>29</v>
      </c>
      <c r="Q741" s="64"/>
      <c r="R741" s="64"/>
      <c r="S741" s="64"/>
      <c r="T741" s="64"/>
      <c r="U741" s="64"/>
      <c r="V741" s="64"/>
      <c r="W741" s="64"/>
      <c r="X741" s="64"/>
      <c r="Y741" s="64"/>
      <c r="Z741" s="64"/>
      <c r="AA741" s="64"/>
      <c r="BS741" s="74"/>
    </row>
    <row r="742" ht="18.75" customHeight="1">
      <c r="B742" s="71"/>
      <c r="D742" s="72"/>
      <c r="K742" s="73"/>
      <c r="P742" s="37" t="s">
        <v>29</v>
      </c>
      <c r="Q742" s="64"/>
      <c r="R742" s="64"/>
      <c r="S742" s="64"/>
      <c r="T742" s="64"/>
      <c r="U742" s="64"/>
      <c r="V742" s="64"/>
      <c r="W742" s="64"/>
      <c r="X742" s="64"/>
      <c r="Y742" s="64"/>
      <c r="Z742" s="64"/>
      <c r="AA742" s="64"/>
      <c r="BS742" s="74"/>
    </row>
    <row r="743" ht="18.75" customHeight="1">
      <c r="B743" s="71"/>
      <c r="D743" s="72"/>
      <c r="K743" s="73"/>
      <c r="P743" s="37" t="s">
        <v>29</v>
      </c>
      <c r="Q743" s="64"/>
      <c r="R743" s="64"/>
      <c r="S743" s="64"/>
      <c r="T743" s="64"/>
      <c r="U743" s="64"/>
      <c r="V743" s="64"/>
      <c r="W743" s="64"/>
      <c r="X743" s="64"/>
      <c r="Y743" s="64"/>
      <c r="Z743" s="64"/>
      <c r="AA743" s="64"/>
      <c r="BS743" s="74"/>
    </row>
    <row r="744" ht="18.75" customHeight="1">
      <c r="B744" s="71"/>
      <c r="D744" s="72"/>
      <c r="K744" s="73"/>
      <c r="P744" s="37" t="s">
        <v>29</v>
      </c>
      <c r="Q744" s="64"/>
      <c r="R744" s="64"/>
      <c r="S744" s="64"/>
      <c r="T744" s="64"/>
      <c r="U744" s="64"/>
      <c r="V744" s="64"/>
      <c r="W744" s="64"/>
      <c r="X744" s="64"/>
      <c r="Y744" s="64"/>
      <c r="Z744" s="64"/>
      <c r="AA744" s="64"/>
      <c r="BS744" s="74"/>
    </row>
    <row r="745" ht="18.75" customHeight="1">
      <c r="B745" s="71"/>
      <c r="D745" s="72"/>
      <c r="K745" s="73"/>
      <c r="P745" s="37" t="s">
        <v>29</v>
      </c>
      <c r="Q745" s="64"/>
      <c r="R745" s="64"/>
      <c r="S745" s="64"/>
      <c r="T745" s="64"/>
      <c r="U745" s="64"/>
      <c r="V745" s="64"/>
      <c r="W745" s="64"/>
      <c r="X745" s="64"/>
      <c r="Y745" s="64"/>
      <c r="Z745" s="64"/>
      <c r="AA745" s="64"/>
      <c r="BS745" s="74"/>
    </row>
    <row r="746" ht="18.75" customHeight="1">
      <c r="B746" s="71"/>
      <c r="D746" s="72"/>
      <c r="K746" s="73"/>
      <c r="P746" s="37" t="s">
        <v>29</v>
      </c>
      <c r="Q746" s="64"/>
      <c r="R746" s="64"/>
      <c r="S746" s="64"/>
      <c r="T746" s="64"/>
      <c r="U746" s="64"/>
      <c r="V746" s="64"/>
      <c r="W746" s="64"/>
      <c r="X746" s="64"/>
      <c r="Y746" s="64"/>
      <c r="Z746" s="64"/>
      <c r="AA746" s="64"/>
      <c r="BS746" s="74"/>
    </row>
    <row r="747" ht="18.75" customHeight="1">
      <c r="B747" s="71"/>
      <c r="D747" s="72"/>
      <c r="K747" s="73"/>
      <c r="P747" s="37" t="s">
        <v>29</v>
      </c>
      <c r="Q747" s="64"/>
      <c r="R747" s="64"/>
      <c r="S747" s="64"/>
      <c r="T747" s="64"/>
      <c r="U747" s="64"/>
      <c r="V747" s="64"/>
      <c r="W747" s="64"/>
      <c r="X747" s="64"/>
      <c r="Y747" s="64"/>
      <c r="Z747" s="64"/>
      <c r="AA747" s="64"/>
      <c r="BS747" s="74"/>
    </row>
    <row r="748" ht="18.75" customHeight="1">
      <c r="B748" s="71"/>
      <c r="D748" s="72"/>
      <c r="K748" s="73"/>
      <c r="P748" s="37" t="s">
        <v>29</v>
      </c>
      <c r="Q748" s="64"/>
      <c r="R748" s="64"/>
      <c r="S748" s="64"/>
      <c r="T748" s="64"/>
      <c r="U748" s="64"/>
      <c r="V748" s="64"/>
      <c r="W748" s="64"/>
      <c r="X748" s="64"/>
      <c r="Y748" s="64"/>
      <c r="Z748" s="64"/>
      <c r="AA748" s="64"/>
      <c r="BS748" s="74"/>
    </row>
    <row r="749" ht="18.75" customHeight="1">
      <c r="B749" s="71"/>
      <c r="D749" s="72"/>
      <c r="K749" s="73"/>
      <c r="P749" s="37" t="s">
        <v>29</v>
      </c>
      <c r="Q749" s="64"/>
      <c r="R749" s="64"/>
      <c r="S749" s="64"/>
      <c r="T749" s="64"/>
      <c r="U749" s="64"/>
      <c r="V749" s="64"/>
      <c r="W749" s="64"/>
      <c r="X749" s="64"/>
      <c r="Y749" s="64"/>
      <c r="Z749" s="64"/>
      <c r="AA749" s="64"/>
      <c r="BS749" s="74"/>
    </row>
    <row r="750" ht="18.75" customHeight="1">
      <c r="B750" s="71"/>
      <c r="D750" s="72"/>
      <c r="K750" s="73"/>
      <c r="P750" s="37" t="s">
        <v>29</v>
      </c>
      <c r="Q750" s="64"/>
      <c r="R750" s="64"/>
      <c r="S750" s="64"/>
      <c r="T750" s="64"/>
      <c r="U750" s="64"/>
      <c r="V750" s="64"/>
      <c r="W750" s="64"/>
      <c r="X750" s="64"/>
      <c r="Y750" s="64"/>
      <c r="Z750" s="64"/>
      <c r="AA750" s="64"/>
      <c r="BS750" s="74"/>
    </row>
    <row r="751" ht="18.75" customHeight="1">
      <c r="B751" s="71"/>
      <c r="D751" s="72"/>
      <c r="K751" s="73"/>
      <c r="P751" s="37" t="s">
        <v>29</v>
      </c>
      <c r="Q751" s="64"/>
      <c r="R751" s="64"/>
      <c r="S751" s="64"/>
      <c r="T751" s="64"/>
      <c r="U751" s="64"/>
      <c r="V751" s="64"/>
      <c r="W751" s="64"/>
      <c r="X751" s="64"/>
      <c r="Y751" s="64"/>
      <c r="Z751" s="64"/>
      <c r="AA751" s="64"/>
      <c r="BS751" s="74"/>
    </row>
    <row r="752" ht="18.75" customHeight="1">
      <c r="B752" s="71"/>
      <c r="D752" s="72"/>
      <c r="K752" s="73"/>
      <c r="P752" s="37" t="s">
        <v>29</v>
      </c>
      <c r="Q752" s="64"/>
      <c r="R752" s="64"/>
      <c r="S752" s="64"/>
      <c r="T752" s="64"/>
      <c r="U752" s="64"/>
      <c r="V752" s="64"/>
      <c r="W752" s="64"/>
      <c r="X752" s="64"/>
      <c r="Y752" s="64"/>
      <c r="Z752" s="64"/>
      <c r="AA752" s="64"/>
      <c r="BS752" s="74"/>
    </row>
    <row r="753" ht="18.75" customHeight="1">
      <c r="B753" s="71"/>
      <c r="D753" s="72"/>
      <c r="K753" s="73"/>
      <c r="P753" s="37" t="s">
        <v>29</v>
      </c>
      <c r="Q753" s="64"/>
      <c r="R753" s="64"/>
      <c r="S753" s="64"/>
      <c r="T753" s="64"/>
      <c r="U753" s="64"/>
      <c r="V753" s="64"/>
      <c r="W753" s="64"/>
      <c r="X753" s="64"/>
      <c r="Y753" s="64"/>
      <c r="Z753" s="64"/>
      <c r="AA753" s="64"/>
      <c r="BS753" s="74"/>
    </row>
    <row r="754" ht="18.75" customHeight="1">
      <c r="B754" s="71"/>
      <c r="D754" s="72"/>
      <c r="K754" s="73"/>
      <c r="P754" s="37" t="s">
        <v>29</v>
      </c>
      <c r="Q754" s="64"/>
      <c r="R754" s="64"/>
      <c r="S754" s="64"/>
      <c r="T754" s="64"/>
      <c r="U754" s="64"/>
      <c r="V754" s="64"/>
      <c r="W754" s="64"/>
      <c r="X754" s="64"/>
      <c r="Y754" s="64"/>
      <c r="Z754" s="64"/>
      <c r="AA754" s="64"/>
      <c r="BS754" s="74"/>
    </row>
    <row r="755" ht="18.75" customHeight="1">
      <c r="B755" s="71"/>
      <c r="D755" s="72"/>
      <c r="K755" s="73"/>
      <c r="P755" s="37" t="s">
        <v>29</v>
      </c>
      <c r="Q755" s="64"/>
      <c r="R755" s="64"/>
      <c r="S755" s="64"/>
      <c r="T755" s="64"/>
      <c r="U755" s="64"/>
      <c r="V755" s="64"/>
      <c r="W755" s="64"/>
      <c r="X755" s="64"/>
      <c r="Y755" s="64"/>
      <c r="Z755" s="64"/>
      <c r="AA755" s="64"/>
      <c r="BS755" s="74"/>
    </row>
    <row r="756" ht="18.75" customHeight="1">
      <c r="B756" s="71"/>
      <c r="D756" s="72"/>
      <c r="K756" s="73"/>
      <c r="P756" s="37" t="s">
        <v>29</v>
      </c>
      <c r="Q756" s="64"/>
      <c r="R756" s="64"/>
      <c r="S756" s="64"/>
      <c r="T756" s="64"/>
      <c r="U756" s="64"/>
      <c r="V756" s="64"/>
      <c r="W756" s="64"/>
      <c r="X756" s="64"/>
      <c r="Y756" s="64"/>
      <c r="Z756" s="64"/>
      <c r="AA756" s="64"/>
      <c r="BS756" s="74"/>
    </row>
    <row r="757" ht="18.75" customHeight="1">
      <c r="B757" s="71"/>
      <c r="D757" s="72"/>
      <c r="K757" s="73"/>
      <c r="P757" s="37" t="s">
        <v>29</v>
      </c>
      <c r="Q757" s="64"/>
      <c r="R757" s="64"/>
      <c r="S757" s="64"/>
      <c r="T757" s="64"/>
      <c r="U757" s="64"/>
      <c r="V757" s="64"/>
      <c r="W757" s="64"/>
      <c r="X757" s="64"/>
      <c r="Y757" s="64"/>
      <c r="Z757" s="64"/>
      <c r="AA757" s="64"/>
      <c r="BS757" s="74"/>
    </row>
    <row r="758" ht="18.75" customHeight="1">
      <c r="B758" s="71"/>
      <c r="D758" s="72"/>
      <c r="K758" s="73"/>
      <c r="P758" s="37" t="s">
        <v>29</v>
      </c>
      <c r="Q758" s="64"/>
      <c r="R758" s="64"/>
      <c r="S758" s="64"/>
      <c r="T758" s="64"/>
      <c r="U758" s="64"/>
      <c r="V758" s="64"/>
      <c r="W758" s="64"/>
      <c r="X758" s="64"/>
      <c r="Y758" s="64"/>
      <c r="Z758" s="64"/>
      <c r="AA758" s="64"/>
      <c r="BS758" s="74"/>
    </row>
    <row r="759" ht="18.75" customHeight="1">
      <c r="B759" s="71"/>
      <c r="D759" s="72"/>
      <c r="K759" s="73"/>
      <c r="P759" s="37" t="s">
        <v>29</v>
      </c>
      <c r="Q759" s="64"/>
      <c r="R759" s="64"/>
      <c r="S759" s="64"/>
      <c r="T759" s="64"/>
      <c r="U759" s="64"/>
      <c r="V759" s="64"/>
      <c r="W759" s="64"/>
      <c r="X759" s="64"/>
      <c r="Y759" s="64"/>
      <c r="Z759" s="64"/>
      <c r="AA759" s="64"/>
      <c r="BS759" s="74"/>
    </row>
    <row r="760" ht="18.75" customHeight="1">
      <c r="B760" s="71"/>
      <c r="D760" s="72"/>
      <c r="K760" s="73"/>
      <c r="P760" s="37" t="s">
        <v>29</v>
      </c>
      <c r="Q760" s="64"/>
      <c r="R760" s="64"/>
      <c r="S760" s="64"/>
      <c r="T760" s="64"/>
      <c r="U760" s="64"/>
      <c r="V760" s="64"/>
      <c r="W760" s="64"/>
      <c r="X760" s="64"/>
      <c r="Y760" s="64"/>
      <c r="Z760" s="64"/>
      <c r="AA760" s="64"/>
      <c r="BS760" s="74"/>
    </row>
    <row r="761" ht="18.75" customHeight="1">
      <c r="B761" s="71"/>
      <c r="D761" s="72"/>
      <c r="K761" s="73"/>
      <c r="P761" s="37" t="s">
        <v>29</v>
      </c>
      <c r="Q761" s="64"/>
      <c r="R761" s="64"/>
      <c r="S761" s="64"/>
      <c r="T761" s="64"/>
      <c r="U761" s="64"/>
      <c r="V761" s="64"/>
      <c r="W761" s="64"/>
      <c r="X761" s="64"/>
      <c r="Y761" s="64"/>
      <c r="Z761" s="64"/>
      <c r="AA761" s="64"/>
      <c r="BS761" s="74"/>
    </row>
    <row r="762" ht="18.75" customHeight="1">
      <c r="B762" s="71"/>
      <c r="D762" s="72"/>
      <c r="K762" s="73"/>
      <c r="P762" s="37" t="s">
        <v>29</v>
      </c>
      <c r="Q762" s="64"/>
      <c r="R762" s="64"/>
      <c r="S762" s="64"/>
      <c r="T762" s="64"/>
      <c r="U762" s="64"/>
      <c r="V762" s="64"/>
      <c r="W762" s="64"/>
      <c r="X762" s="64"/>
      <c r="Y762" s="64"/>
      <c r="Z762" s="64"/>
      <c r="AA762" s="64"/>
      <c r="BS762" s="74"/>
    </row>
    <row r="763" ht="18.75" customHeight="1">
      <c r="B763" s="71"/>
      <c r="D763" s="72"/>
      <c r="K763" s="73"/>
      <c r="P763" s="37" t="s">
        <v>29</v>
      </c>
      <c r="Q763" s="64"/>
      <c r="R763" s="64"/>
      <c r="S763" s="64"/>
      <c r="T763" s="64"/>
      <c r="U763" s="64"/>
      <c r="V763" s="64"/>
      <c r="W763" s="64"/>
      <c r="X763" s="64"/>
      <c r="Y763" s="64"/>
      <c r="Z763" s="64"/>
      <c r="AA763" s="64"/>
      <c r="BS763" s="74"/>
    </row>
    <row r="764" ht="18.75" customHeight="1">
      <c r="B764" s="71"/>
      <c r="D764" s="72"/>
      <c r="K764" s="73"/>
      <c r="P764" s="37" t="s">
        <v>29</v>
      </c>
      <c r="Q764" s="64"/>
      <c r="R764" s="64"/>
      <c r="S764" s="64"/>
      <c r="T764" s="64"/>
      <c r="U764" s="64"/>
      <c r="V764" s="64"/>
      <c r="W764" s="64"/>
      <c r="X764" s="64"/>
      <c r="Y764" s="64"/>
      <c r="Z764" s="64"/>
      <c r="AA764" s="64"/>
      <c r="BS764" s="74"/>
    </row>
    <row r="765" ht="18.75" customHeight="1">
      <c r="B765" s="71"/>
      <c r="D765" s="72"/>
      <c r="K765" s="73"/>
      <c r="P765" s="37" t="s">
        <v>29</v>
      </c>
      <c r="Q765" s="64"/>
      <c r="R765" s="64"/>
      <c r="S765" s="64"/>
      <c r="T765" s="64"/>
      <c r="U765" s="64"/>
      <c r="V765" s="64"/>
      <c r="W765" s="64"/>
      <c r="X765" s="64"/>
      <c r="Y765" s="64"/>
      <c r="Z765" s="64"/>
      <c r="AA765" s="64"/>
      <c r="BS765" s="74"/>
    </row>
    <row r="766" ht="18.75" customHeight="1">
      <c r="B766" s="71"/>
      <c r="D766" s="72"/>
      <c r="K766" s="73"/>
      <c r="P766" s="37" t="s">
        <v>29</v>
      </c>
      <c r="Q766" s="64"/>
      <c r="R766" s="64"/>
      <c r="S766" s="64"/>
      <c r="T766" s="64"/>
      <c r="U766" s="64"/>
      <c r="V766" s="64"/>
      <c r="W766" s="64"/>
      <c r="X766" s="64"/>
      <c r="Y766" s="64"/>
      <c r="Z766" s="64"/>
      <c r="AA766" s="64"/>
      <c r="BS766" s="74"/>
    </row>
    <row r="767" ht="18.75" customHeight="1">
      <c r="B767" s="71"/>
      <c r="D767" s="72"/>
      <c r="K767" s="73"/>
      <c r="P767" s="37" t="s">
        <v>29</v>
      </c>
      <c r="Q767" s="64"/>
      <c r="R767" s="64"/>
      <c r="S767" s="64"/>
      <c r="T767" s="64"/>
      <c r="U767" s="64"/>
      <c r="V767" s="64"/>
      <c r="W767" s="64"/>
      <c r="X767" s="64"/>
      <c r="Y767" s="64"/>
      <c r="Z767" s="64"/>
      <c r="AA767" s="64"/>
      <c r="BS767" s="74"/>
    </row>
    <row r="768" ht="18.75" customHeight="1">
      <c r="B768" s="71"/>
      <c r="D768" s="72"/>
      <c r="K768" s="73"/>
      <c r="P768" s="37" t="s">
        <v>29</v>
      </c>
      <c r="Q768" s="64"/>
      <c r="R768" s="64"/>
      <c r="S768" s="64"/>
      <c r="T768" s="64"/>
      <c r="U768" s="64"/>
      <c r="V768" s="64"/>
      <c r="W768" s="64"/>
      <c r="X768" s="64"/>
      <c r="Y768" s="64"/>
      <c r="Z768" s="64"/>
      <c r="AA768" s="64"/>
      <c r="BS768" s="74"/>
    </row>
    <row r="769" ht="18.75" customHeight="1">
      <c r="B769" s="71"/>
      <c r="D769" s="72"/>
      <c r="K769" s="73"/>
      <c r="P769" s="37" t="s">
        <v>29</v>
      </c>
      <c r="Q769" s="64"/>
      <c r="R769" s="64"/>
      <c r="S769" s="64"/>
      <c r="T769" s="64"/>
      <c r="U769" s="64"/>
      <c r="V769" s="64"/>
      <c r="W769" s="64"/>
      <c r="X769" s="64"/>
      <c r="Y769" s="64"/>
      <c r="Z769" s="64"/>
      <c r="AA769" s="64"/>
      <c r="BS769" s="74"/>
    </row>
    <row r="770" ht="18.75" customHeight="1">
      <c r="B770" s="71"/>
      <c r="D770" s="72"/>
      <c r="K770" s="73"/>
      <c r="P770" s="37" t="s">
        <v>29</v>
      </c>
      <c r="Q770" s="64"/>
      <c r="R770" s="64"/>
      <c r="S770" s="64"/>
      <c r="T770" s="64"/>
      <c r="U770" s="64"/>
      <c r="V770" s="64"/>
      <c r="W770" s="64"/>
      <c r="X770" s="64"/>
      <c r="Y770" s="64"/>
      <c r="Z770" s="64"/>
      <c r="AA770" s="64"/>
      <c r="BS770" s="74"/>
    </row>
    <row r="771" ht="18.75" customHeight="1">
      <c r="B771" s="71"/>
      <c r="D771" s="72"/>
      <c r="K771" s="73"/>
      <c r="P771" s="37" t="s">
        <v>29</v>
      </c>
      <c r="Q771" s="64"/>
      <c r="R771" s="64"/>
      <c r="S771" s="64"/>
      <c r="T771" s="64"/>
      <c r="U771" s="64"/>
      <c r="V771" s="64"/>
      <c r="W771" s="64"/>
      <c r="X771" s="64"/>
      <c r="Y771" s="64"/>
      <c r="Z771" s="64"/>
      <c r="AA771" s="64"/>
      <c r="BS771" s="74"/>
    </row>
    <row r="772" ht="18.75" customHeight="1">
      <c r="B772" s="71"/>
      <c r="D772" s="72"/>
      <c r="K772" s="73"/>
      <c r="P772" s="37" t="s">
        <v>29</v>
      </c>
      <c r="Q772" s="64"/>
      <c r="R772" s="64"/>
      <c r="S772" s="64"/>
      <c r="T772" s="64"/>
      <c r="U772" s="64"/>
      <c r="V772" s="64"/>
      <c r="W772" s="64"/>
      <c r="X772" s="64"/>
      <c r="Y772" s="64"/>
      <c r="Z772" s="64"/>
      <c r="AA772" s="64"/>
      <c r="BS772" s="74"/>
    </row>
    <row r="773" ht="18.75" customHeight="1">
      <c r="B773" s="71"/>
      <c r="D773" s="72"/>
      <c r="K773" s="73"/>
      <c r="P773" s="37" t="s">
        <v>29</v>
      </c>
      <c r="Q773" s="64"/>
      <c r="R773" s="64"/>
      <c r="S773" s="64"/>
      <c r="T773" s="64"/>
      <c r="U773" s="64"/>
      <c r="V773" s="64"/>
      <c r="W773" s="64"/>
      <c r="X773" s="64"/>
      <c r="Y773" s="64"/>
      <c r="Z773" s="64"/>
      <c r="AA773" s="64"/>
      <c r="BS773" s="74"/>
    </row>
    <row r="774" ht="18.75" customHeight="1">
      <c r="B774" s="71"/>
      <c r="D774" s="72"/>
      <c r="K774" s="73"/>
      <c r="P774" s="37" t="s">
        <v>29</v>
      </c>
      <c r="Q774" s="64"/>
      <c r="R774" s="64"/>
      <c r="S774" s="64"/>
      <c r="T774" s="64"/>
      <c r="U774" s="64"/>
      <c r="V774" s="64"/>
      <c r="W774" s="64"/>
      <c r="X774" s="64"/>
      <c r="Y774" s="64"/>
      <c r="Z774" s="64"/>
      <c r="AA774" s="64"/>
      <c r="BS774" s="74"/>
    </row>
    <row r="775" ht="18.75" customHeight="1">
      <c r="B775" s="71"/>
      <c r="D775" s="72"/>
      <c r="K775" s="73"/>
      <c r="P775" s="37" t="s">
        <v>29</v>
      </c>
      <c r="Q775" s="64"/>
      <c r="R775" s="64"/>
      <c r="S775" s="64"/>
      <c r="T775" s="64"/>
      <c r="U775" s="64"/>
      <c r="V775" s="64"/>
      <c r="W775" s="64"/>
      <c r="X775" s="64"/>
      <c r="Y775" s="64"/>
      <c r="Z775" s="64"/>
      <c r="AA775" s="64"/>
      <c r="BS775" s="74"/>
    </row>
    <row r="776" ht="18.75" customHeight="1">
      <c r="B776" s="71"/>
      <c r="D776" s="72"/>
      <c r="K776" s="73"/>
      <c r="P776" s="37" t="s">
        <v>29</v>
      </c>
      <c r="Q776" s="64"/>
      <c r="R776" s="64"/>
      <c r="S776" s="64"/>
      <c r="T776" s="64"/>
      <c r="U776" s="64"/>
      <c r="V776" s="64"/>
      <c r="W776" s="64"/>
      <c r="X776" s="64"/>
      <c r="Y776" s="64"/>
      <c r="Z776" s="64"/>
      <c r="AA776" s="64"/>
      <c r="BS776" s="74"/>
    </row>
    <row r="777" ht="18.75" customHeight="1">
      <c r="B777" s="71"/>
      <c r="D777" s="72"/>
      <c r="K777" s="73"/>
      <c r="P777" s="37" t="s">
        <v>29</v>
      </c>
      <c r="Q777" s="64"/>
      <c r="R777" s="64"/>
      <c r="S777" s="64"/>
      <c r="T777" s="64"/>
      <c r="U777" s="64"/>
      <c r="V777" s="64"/>
      <c r="W777" s="64"/>
      <c r="X777" s="64"/>
      <c r="Y777" s="64"/>
      <c r="Z777" s="64"/>
      <c r="AA777" s="64"/>
      <c r="BS777" s="74"/>
    </row>
    <row r="778" ht="18.75" customHeight="1">
      <c r="B778" s="71"/>
      <c r="D778" s="72"/>
      <c r="K778" s="73"/>
      <c r="P778" s="37" t="s">
        <v>29</v>
      </c>
      <c r="Q778" s="64"/>
      <c r="R778" s="64"/>
      <c r="S778" s="64"/>
      <c r="T778" s="64"/>
      <c r="U778" s="64"/>
      <c r="V778" s="64"/>
      <c r="W778" s="64"/>
      <c r="X778" s="64"/>
      <c r="Y778" s="64"/>
      <c r="Z778" s="64"/>
      <c r="AA778" s="64"/>
      <c r="BS778" s="74"/>
    </row>
    <row r="779" ht="18.75" customHeight="1">
      <c r="B779" s="71"/>
      <c r="D779" s="72"/>
      <c r="K779" s="73"/>
      <c r="P779" s="37" t="s">
        <v>29</v>
      </c>
      <c r="Q779" s="64"/>
      <c r="R779" s="64"/>
      <c r="S779" s="64"/>
      <c r="T779" s="64"/>
      <c r="U779" s="64"/>
      <c r="V779" s="64"/>
      <c r="W779" s="64"/>
      <c r="X779" s="64"/>
      <c r="Y779" s="64"/>
      <c r="Z779" s="64"/>
      <c r="AA779" s="64"/>
      <c r="BS779" s="74"/>
    </row>
    <row r="780" ht="18.75" customHeight="1">
      <c r="B780" s="71"/>
      <c r="D780" s="72"/>
      <c r="K780" s="73"/>
      <c r="P780" s="37" t="s">
        <v>29</v>
      </c>
      <c r="Q780" s="64"/>
      <c r="R780" s="64"/>
      <c r="S780" s="64"/>
      <c r="T780" s="64"/>
      <c r="U780" s="64"/>
      <c r="V780" s="64"/>
      <c r="W780" s="64"/>
      <c r="X780" s="64"/>
      <c r="Y780" s="64"/>
      <c r="Z780" s="64"/>
      <c r="AA780" s="64"/>
      <c r="BS780" s="74"/>
    </row>
    <row r="781" ht="18.75" customHeight="1">
      <c r="B781" s="71"/>
      <c r="D781" s="72"/>
      <c r="K781" s="73"/>
      <c r="P781" s="37" t="s">
        <v>29</v>
      </c>
      <c r="Q781" s="64"/>
      <c r="R781" s="64"/>
      <c r="S781" s="64"/>
      <c r="T781" s="64"/>
      <c r="U781" s="64"/>
      <c r="V781" s="64"/>
      <c r="W781" s="64"/>
      <c r="X781" s="64"/>
      <c r="Y781" s="64"/>
      <c r="Z781" s="64"/>
      <c r="AA781" s="64"/>
      <c r="BS781" s="74"/>
    </row>
    <row r="782" ht="18.75" customHeight="1">
      <c r="B782" s="71"/>
      <c r="D782" s="72"/>
      <c r="K782" s="73"/>
      <c r="P782" s="37" t="s">
        <v>29</v>
      </c>
      <c r="Q782" s="64"/>
      <c r="R782" s="64"/>
      <c r="S782" s="64"/>
      <c r="T782" s="64"/>
      <c r="U782" s="64"/>
      <c r="V782" s="64"/>
      <c r="W782" s="64"/>
      <c r="X782" s="64"/>
      <c r="Y782" s="64"/>
      <c r="Z782" s="64"/>
      <c r="AA782" s="64"/>
      <c r="BS782" s="74"/>
    </row>
    <row r="783" ht="18.75" customHeight="1">
      <c r="B783" s="71"/>
      <c r="D783" s="72"/>
      <c r="K783" s="73"/>
      <c r="P783" s="37" t="s">
        <v>29</v>
      </c>
      <c r="Q783" s="64"/>
      <c r="R783" s="64"/>
      <c r="S783" s="64"/>
      <c r="T783" s="64"/>
      <c r="U783" s="64"/>
      <c r="V783" s="64"/>
      <c r="W783" s="64"/>
      <c r="X783" s="64"/>
      <c r="Y783" s="64"/>
      <c r="Z783" s="64"/>
      <c r="AA783" s="64"/>
      <c r="BS783" s="74"/>
    </row>
    <row r="784" ht="18.75" customHeight="1">
      <c r="B784" s="71"/>
      <c r="D784" s="72"/>
      <c r="K784" s="73"/>
      <c r="P784" s="37" t="s">
        <v>29</v>
      </c>
      <c r="Q784" s="64"/>
      <c r="R784" s="64"/>
      <c r="S784" s="64"/>
      <c r="T784" s="64"/>
      <c r="U784" s="64"/>
      <c r="V784" s="64"/>
      <c r="W784" s="64"/>
      <c r="X784" s="64"/>
      <c r="Y784" s="64"/>
      <c r="Z784" s="64"/>
      <c r="AA784" s="64"/>
      <c r="BS784" s="74"/>
    </row>
    <row r="785" ht="18.75" customHeight="1">
      <c r="B785" s="71"/>
      <c r="D785" s="72"/>
      <c r="K785" s="73"/>
      <c r="P785" s="37" t="s">
        <v>29</v>
      </c>
      <c r="Q785" s="64"/>
      <c r="R785" s="64"/>
      <c r="S785" s="64"/>
      <c r="T785" s="64"/>
      <c r="U785" s="64"/>
      <c r="V785" s="64"/>
      <c r="W785" s="64"/>
      <c r="X785" s="64"/>
      <c r="Y785" s="64"/>
      <c r="Z785" s="64"/>
      <c r="AA785" s="64"/>
      <c r="BS785" s="74"/>
    </row>
    <row r="786" ht="18.75" customHeight="1">
      <c r="B786" s="71"/>
      <c r="D786" s="72"/>
      <c r="K786" s="73"/>
      <c r="P786" s="37" t="s">
        <v>29</v>
      </c>
      <c r="Q786" s="64"/>
      <c r="R786" s="64"/>
      <c r="S786" s="64"/>
      <c r="T786" s="64"/>
      <c r="U786" s="64"/>
      <c r="V786" s="64"/>
      <c r="W786" s="64"/>
      <c r="X786" s="64"/>
      <c r="Y786" s="64"/>
      <c r="Z786" s="64"/>
      <c r="AA786" s="64"/>
      <c r="BS786" s="74"/>
    </row>
    <row r="787" ht="18.75" customHeight="1">
      <c r="B787" s="71"/>
      <c r="D787" s="72"/>
      <c r="K787" s="73"/>
      <c r="P787" s="37" t="s">
        <v>29</v>
      </c>
      <c r="Q787" s="64"/>
      <c r="R787" s="64"/>
      <c r="S787" s="64"/>
      <c r="T787" s="64"/>
      <c r="U787" s="64"/>
      <c r="V787" s="64"/>
      <c r="W787" s="64"/>
      <c r="X787" s="64"/>
      <c r="Y787" s="64"/>
      <c r="Z787" s="64"/>
      <c r="AA787" s="64"/>
      <c r="BS787" s="74"/>
    </row>
    <row r="788" ht="18.75" customHeight="1">
      <c r="B788" s="71"/>
      <c r="D788" s="72"/>
      <c r="K788" s="73"/>
      <c r="P788" s="37" t="s">
        <v>29</v>
      </c>
      <c r="Q788" s="64"/>
      <c r="R788" s="64"/>
      <c r="S788" s="64"/>
      <c r="T788" s="64"/>
      <c r="U788" s="64"/>
      <c r="V788" s="64"/>
      <c r="W788" s="64"/>
      <c r="X788" s="64"/>
      <c r="Y788" s="64"/>
      <c r="Z788" s="64"/>
      <c r="AA788" s="64"/>
      <c r="BS788" s="74"/>
    </row>
    <row r="789" ht="18.75" customHeight="1">
      <c r="B789" s="71"/>
      <c r="D789" s="72"/>
      <c r="K789" s="73"/>
      <c r="P789" s="37" t="s">
        <v>29</v>
      </c>
      <c r="Q789" s="64"/>
      <c r="R789" s="64"/>
      <c r="S789" s="64"/>
      <c r="T789" s="64"/>
      <c r="U789" s="64"/>
      <c r="V789" s="64"/>
      <c r="W789" s="64"/>
      <c r="X789" s="64"/>
      <c r="Y789" s="64"/>
      <c r="Z789" s="64"/>
      <c r="AA789" s="64"/>
      <c r="BS789" s="74"/>
    </row>
    <row r="790" ht="18.75" customHeight="1">
      <c r="B790" s="71"/>
      <c r="D790" s="72"/>
      <c r="K790" s="73"/>
      <c r="P790" s="37" t="s">
        <v>29</v>
      </c>
      <c r="Q790" s="64"/>
      <c r="R790" s="64"/>
      <c r="S790" s="64"/>
      <c r="T790" s="64"/>
      <c r="U790" s="64"/>
      <c r="V790" s="64"/>
      <c r="W790" s="64"/>
      <c r="X790" s="64"/>
      <c r="Y790" s="64"/>
      <c r="Z790" s="64"/>
      <c r="AA790" s="64"/>
      <c r="BS790" s="74"/>
    </row>
    <row r="791" ht="18.75" customHeight="1">
      <c r="B791" s="71"/>
      <c r="D791" s="72"/>
      <c r="K791" s="73"/>
      <c r="P791" s="37" t="s">
        <v>29</v>
      </c>
      <c r="Q791" s="64"/>
      <c r="R791" s="64"/>
      <c r="S791" s="64"/>
      <c r="T791" s="64"/>
      <c r="U791" s="64"/>
      <c r="V791" s="64"/>
      <c r="W791" s="64"/>
      <c r="X791" s="64"/>
      <c r="Y791" s="64"/>
      <c r="Z791" s="64"/>
      <c r="AA791" s="64"/>
      <c r="BS791" s="74"/>
    </row>
    <row r="792" ht="18.75" customHeight="1">
      <c r="B792" s="71"/>
      <c r="D792" s="72"/>
      <c r="K792" s="73"/>
      <c r="P792" s="37" t="s">
        <v>29</v>
      </c>
      <c r="Q792" s="64"/>
      <c r="R792" s="64"/>
      <c r="S792" s="64"/>
      <c r="T792" s="64"/>
      <c r="U792" s="64"/>
      <c r="V792" s="64"/>
      <c r="W792" s="64"/>
      <c r="X792" s="64"/>
      <c r="Y792" s="64"/>
      <c r="Z792" s="64"/>
      <c r="AA792" s="64"/>
      <c r="BS792" s="74"/>
    </row>
    <row r="793" ht="18.75" customHeight="1">
      <c r="B793" s="71"/>
      <c r="D793" s="72"/>
      <c r="K793" s="73"/>
      <c r="P793" s="37" t="s">
        <v>29</v>
      </c>
      <c r="Q793" s="64"/>
      <c r="R793" s="64"/>
      <c r="S793" s="64"/>
      <c r="T793" s="64"/>
      <c r="U793" s="64"/>
      <c r="V793" s="64"/>
      <c r="W793" s="64"/>
      <c r="X793" s="64"/>
      <c r="Y793" s="64"/>
      <c r="Z793" s="64"/>
      <c r="AA793" s="64"/>
      <c r="BS793" s="74"/>
    </row>
    <row r="794" ht="18.75" customHeight="1">
      <c r="B794" s="71"/>
      <c r="D794" s="72"/>
      <c r="K794" s="73"/>
      <c r="P794" s="37" t="s">
        <v>29</v>
      </c>
      <c r="Q794" s="64"/>
      <c r="R794" s="64"/>
      <c r="S794" s="64"/>
      <c r="T794" s="64"/>
      <c r="U794" s="64"/>
      <c r="V794" s="64"/>
      <c r="W794" s="64"/>
      <c r="X794" s="64"/>
      <c r="Y794" s="64"/>
      <c r="Z794" s="64"/>
      <c r="AA794" s="64"/>
      <c r="BS794" s="74"/>
    </row>
    <row r="795" ht="18.75" customHeight="1">
      <c r="B795" s="71"/>
      <c r="D795" s="72"/>
      <c r="K795" s="73"/>
      <c r="P795" s="37" t="s">
        <v>29</v>
      </c>
      <c r="Q795" s="64"/>
      <c r="R795" s="64"/>
      <c r="S795" s="64"/>
      <c r="T795" s="64"/>
      <c r="U795" s="64"/>
      <c r="V795" s="64"/>
      <c r="W795" s="64"/>
      <c r="X795" s="64"/>
      <c r="Y795" s="64"/>
      <c r="Z795" s="64"/>
      <c r="AA795" s="64"/>
      <c r="BS795" s="74"/>
    </row>
    <row r="796" ht="18.75" customHeight="1">
      <c r="B796" s="71"/>
      <c r="D796" s="72"/>
      <c r="K796" s="73"/>
      <c r="P796" s="37" t="s">
        <v>29</v>
      </c>
      <c r="Q796" s="64"/>
      <c r="R796" s="64"/>
      <c r="S796" s="64"/>
      <c r="T796" s="64"/>
      <c r="U796" s="64"/>
      <c r="V796" s="64"/>
      <c r="W796" s="64"/>
      <c r="X796" s="64"/>
      <c r="Y796" s="64"/>
      <c r="Z796" s="64"/>
      <c r="AA796" s="64"/>
      <c r="BS796" s="74"/>
    </row>
    <row r="797" ht="18.75" customHeight="1">
      <c r="B797" s="71"/>
      <c r="D797" s="72"/>
      <c r="K797" s="73"/>
      <c r="P797" s="37" t="s">
        <v>29</v>
      </c>
      <c r="Q797" s="64"/>
      <c r="R797" s="64"/>
      <c r="S797" s="64"/>
      <c r="T797" s="64"/>
      <c r="U797" s="64"/>
      <c r="V797" s="64"/>
      <c r="W797" s="64"/>
      <c r="X797" s="64"/>
      <c r="Y797" s="64"/>
      <c r="Z797" s="64"/>
      <c r="AA797" s="64"/>
      <c r="BS797" s="74"/>
    </row>
    <row r="798" ht="18.75" customHeight="1">
      <c r="B798" s="71"/>
      <c r="D798" s="72"/>
      <c r="K798" s="73"/>
      <c r="P798" s="37" t="s">
        <v>29</v>
      </c>
      <c r="Q798" s="64"/>
      <c r="R798" s="64"/>
      <c r="S798" s="64"/>
      <c r="T798" s="64"/>
      <c r="U798" s="64"/>
      <c r="V798" s="64"/>
      <c r="W798" s="64"/>
      <c r="X798" s="64"/>
      <c r="Y798" s="64"/>
      <c r="Z798" s="64"/>
      <c r="AA798" s="64"/>
      <c r="BS798" s="74"/>
    </row>
    <row r="799" ht="18.75" customHeight="1">
      <c r="B799" s="71"/>
      <c r="D799" s="72"/>
      <c r="K799" s="73"/>
      <c r="P799" s="37" t="s">
        <v>29</v>
      </c>
      <c r="Q799" s="64"/>
      <c r="R799" s="64"/>
      <c r="S799" s="64"/>
      <c r="T799" s="64"/>
      <c r="U799" s="64"/>
      <c r="V799" s="64"/>
      <c r="W799" s="64"/>
      <c r="X799" s="64"/>
      <c r="Y799" s="64"/>
      <c r="Z799" s="64"/>
      <c r="AA799" s="64"/>
      <c r="BS799" s="74"/>
    </row>
    <row r="800" ht="18.75" customHeight="1">
      <c r="B800" s="71"/>
      <c r="D800" s="72"/>
      <c r="K800" s="73"/>
      <c r="P800" s="37" t="s">
        <v>29</v>
      </c>
      <c r="Q800" s="64"/>
      <c r="R800" s="64"/>
      <c r="S800" s="64"/>
      <c r="T800" s="64"/>
      <c r="U800" s="64"/>
      <c r="V800" s="64"/>
      <c r="W800" s="64"/>
      <c r="X800" s="64"/>
      <c r="Y800" s="64"/>
      <c r="Z800" s="64"/>
      <c r="AA800" s="64"/>
      <c r="BS800" s="74"/>
    </row>
    <row r="801" ht="18.75" customHeight="1">
      <c r="B801" s="71"/>
      <c r="D801" s="72"/>
      <c r="K801" s="73"/>
      <c r="P801" s="37" t="s">
        <v>29</v>
      </c>
      <c r="Q801" s="64"/>
      <c r="R801" s="64"/>
      <c r="S801" s="64"/>
      <c r="T801" s="64"/>
      <c r="U801" s="64"/>
      <c r="V801" s="64"/>
      <c r="W801" s="64"/>
      <c r="X801" s="64"/>
      <c r="Y801" s="64"/>
      <c r="Z801" s="64"/>
      <c r="AA801" s="64"/>
      <c r="BS801" s="74"/>
    </row>
    <row r="802" ht="18.75" customHeight="1">
      <c r="B802" s="71"/>
      <c r="D802" s="72"/>
      <c r="K802" s="73"/>
      <c r="P802" s="37" t="s">
        <v>29</v>
      </c>
      <c r="Q802" s="64"/>
      <c r="R802" s="64"/>
      <c r="S802" s="64"/>
      <c r="T802" s="64"/>
      <c r="U802" s="64"/>
      <c r="V802" s="64"/>
      <c r="W802" s="64"/>
      <c r="X802" s="64"/>
      <c r="Y802" s="64"/>
      <c r="Z802" s="64"/>
      <c r="AA802" s="64"/>
      <c r="BS802" s="74"/>
    </row>
    <row r="803" ht="18.75" customHeight="1">
      <c r="B803" s="71"/>
      <c r="D803" s="72"/>
      <c r="K803" s="73"/>
      <c r="P803" s="37" t="s">
        <v>29</v>
      </c>
      <c r="Q803" s="64"/>
      <c r="R803" s="64"/>
      <c r="S803" s="64"/>
      <c r="T803" s="64"/>
      <c r="U803" s="64"/>
      <c r="V803" s="64"/>
      <c r="W803" s="64"/>
      <c r="X803" s="64"/>
      <c r="Y803" s="64"/>
      <c r="Z803" s="64"/>
      <c r="AA803" s="64"/>
      <c r="BS803" s="74"/>
    </row>
    <row r="804" ht="18.75" customHeight="1">
      <c r="B804" s="71"/>
      <c r="D804" s="72"/>
      <c r="K804" s="73"/>
      <c r="P804" s="37" t="s">
        <v>29</v>
      </c>
      <c r="Q804" s="64"/>
      <c r="R804" s="64"/>
      <c r="S804" s="64"/>
      <c r="T804" s="64"/>
      <c r="U804" s="64"/>
      <c r="V804" s="64"/>
      <c r="W804" s="64"/>
      <c r="X804" s="64"/>
      <c r="Y804" s="64"/>
      <c r="Z804" s="64"/>
      <c r="AA804" s="64"/>
      <c r="BS804" s="74"/>
    </row>
    <row r="805" ht="18.75" customHeight="1">
      <c r="B805" s="71"/>
      <c r="D805" s="72"/>
      <c r="K805" s="73"/>
      <c r="P805" s="37" t="s">
        <v>29</v>
      </c>
      <c r="Q805" s="64"/>
      <c r="R805" s="64"/>
      <c r="S805" s="64"/>
      <c r="T805" s="64"/>
      <c r="U805" s="64"/>
      <c r="V805" s="64"/>
      <c r="W805" s="64"/>
      <c r="X805" s="64"/>
      <c r="Y805" s="64"/>
      <c r="Z805" s="64"/>
      <c r="AA805" s="64"/>
      <c r="BS805" s="74"/>
    </row>
    <row r="806" ht="18.75" customHeight="1">
      <c r="B806" s="71"/>
      <c r="D806" s="72"/>
      <c r="K806" s="73"/>
      <c r="P806" s="37" t="s">
        <v>29</v>
      </c>
      <c r="Q806" s="64"/>
      <c r="R806" s="64"/>
      <c r="S806" s="64"/>
      <c r="T806" s="64"/>
      <c r="U806" s="64"/>
      <c r="V806" s="64"/>
      <c r="W806" s="64"/>
      <c r="X806" s="64"/>
      <c r="Y806" s="64"/>
      <c r="Z806" s="64"/>
      <c r="AA806" s="64"/>
      <c r="BS806" s="74"/>
    </row>
    <row r="807" ht="18.75" customHeight="1">
      <c r="B807" s="71"/>
      <c r="D807" s="72"/>
      <c r="K807" s="73"/>
      <c r="P807" s="37" t="s">
        <v>29</v>
      </c>
      <c r="Q807" s="64"/>
      <c r="R807" s="64"/>
      <c r="S807" s="64"/>
      <c r="T807" s="64"/>
      <c r="U807" s="64"/>
      <c r="V807" s="64"/>
      <c r="W807" s="64"/>
      <c r="X807" s="64"/>
      <c r="Y807" s="64"/>
      <c r="Z807" s="64"/>
      <c r="AA807" s="64"/>
      <c r="BS807" s="74"/>
    </row>
    <row r="808" ht="18.75" customHeight="1">
      <c r="B808" s="71"/>
      <c r="D808" s="72"/>
      <c r="K808" s="73"/>
      <c r="P808" s="37" t="s">
        <v>29</v>
      </c>
      <c r="Q808" s="64"/>
      <c r="R808" s="64"/>
      <c r="S808" s="64"/>
      <c r="T808" s="64"/>
      <c r="U808" s="64"/>
      <c r="V808" s="64"/>
      <c r="W808" s="64"/>
      <c r="X808" s="64"/>
      <c r="Y808" s="64"/>
      <c r="Z808" s="64"/>
      <c r="AA808" s="64"/>
      <c r="BS808" s="74"/>
    </row>
    <row r="809" ht="18.75" customHeight="1">
      <c r="B809" s="71"/>
      <c r="D809" s="72"/>
      <c r="K809" s="73"/>
      <c r="P809" s="37" t="s">
        <v>29</v>
      </c>
      <c r="Q809" s="64"/>
      <c r="R809" s="64"/>
      <c r="S809" s="64"/>
      <c r="T809" s="64"/>
      <c r="U809" s="64"/>
      <c r="V809" s="64"/>
      <c r="W809" s="64"/>
      <c r="X809" s="64"/>
      <c r="Y809" s="64"/>
      <c r="Z809" s="64"/>
      <c r="AA809" s="64"/>
      <c r="BS809" s="74"/>
    </row>
    <row r="810" ht="18.75" customHeight="1">
      <c r="B810" s="71"/>
      <c r="D810" s="72"/>
      <c r="K810" s="73"/>
      <c r="P810" s="37" t="s">
        <v>29</v>
      </c>
      <c r="Q810" s="64"/>
      <c r="R810" s="64"/>
      <c r="S810" s="64"/>
      <c r="T810" s="64"/>
      <c r="U810" s="64"/>
      <c r="V810" s="64"/>
      <c r="W810" s="64"/>
      <c r="X810" s="64"/>
      <c r="Y810" s="64"/>
      <c r="Z810" s="64"/>
      <c r="AA810" s="64"/>
      <c r="BS810" s="74"/>
    </row>
    <row r="811" ht="18.75" customHeight="1">
      <c r="B811" s="71"/>
      <c r="D811" s="72"/>
      <c r="K811" s="73"/>
      <c r="P811" s="37" t="s">
        <v>29</v>
      </c>
      <c r="Q811" s="64"/>
      <c r="R811" s="64"/>
      <c r="S811" s="64"/>
      <c r="T811" s="64"/>
      <c r="U811" s="64"/>
      <c r="V811" s="64"/>
      <c r="W811" s="64"/>
      <c r="X811" s="64"/>
      <c r="Y811" s="64"/>
      <c r="Z811" s="64"/>
      <c r="AA811" s="64"/>
      <c r="BS811" s="74"/>
    </row>
    <row r="812" ht="18.75" customHeight="1">
      <c r="B812" s="71"/>
      <c r="D812" s="72"/>
      <c r="K812" s="73"/>
      <c r="P812" s="37" t="s">
        <v>29</v>
      </c>
      <c r="Q812" s="64"/>
      <c r="R812" s="64"/>
      <c r="S812" s="64"/>
      <c r="T812" s="64"/>
      <c r="U812" s="64"/>
      <c r="V812" s="64"/>
      <c r="W812" s="64"/>
      <c r="X812" s="64"/>
      <c r="Y812" s="64"/>
      <c r="Z812" s="64"/>
      <c r="AA812" s="64"/>
      <c r="BS812" s="74"/>
    </row>
    <row r="813" ht="18.75" customHeight="1">
      <c r="B813" s="71"/>
      <c r="D813" s="72"/>
      <c r="K813" s="73"/>
      <c r="P813" s="37" t="s">
        <v>29</v>
      </c>
      <c r="Q813" s="64"/>
      <c r="R813" s="64"/>
      <c r="S813" s="64"/>
      <c r="T813" s="64"/>
      <c r="U813" s="64"/>
      <c r="V813" s="64"/>
      <c r="W813" s="64"/>
      <c r="X813" s="64"/>
      <c r="Y813" s="64"/>
      <c r="Z813" s="64"/>
      <c r="AA813" s="64"/>
      <c r="BS813" s="74"/>
    </row>
    <row r="814" ht="18.75" customHeight="1">
      <c r="B814" s="71"/>
      <c r="D814" s="72"/>
      <c r="K814" s="73"/>
      <c r="P814" s="37" t="s">
        <v>29</v>
      </c>
      <c r="Q814" s="64"/>
      <c r="R814" s="64"/>
      <c r="S814" s="64"/>
      <c r="T814" s="64"/>
      <c r="U814" s="64"/>
      <c r="V814" s="64"/>
      <c r="W814" s="64"/>
      <c r="X814" s="64"/>
      <c r="Y814" s="64"/>
      <c r="Z814" s="64"/>
      <c r="AA814" s="64"/>
      <c r="BS814" s="74"/>
    </row>
    <row r="815" ht="18.75" customHeight="1">
      <c r="B815" s="71"/>
      <c r="D815" s="72"/>
      <c r="K815" s="73"/>
      <c r="P815" s="37" t="s">
        <v>29</v>
      </c>
      <c r="Q815" s="64"/>
      <c r="R815" s="64"/>
      <c r="S815" s="64"/>
      <c r="T815" s="64"/>
      <c r="U815" s="64"/>
      <c r="V815" s="64"/>
      <c r="W815" s="64"/>
      <c r="X815" s="64"/>
      <c r="Y815" s="64"/>
      <c r="Z815" s="64"/>
      <c r="AA815" s="64"/>
      <c r="BS815" s="74"/>
    </row>
    <row r="816" ht="18.75" customHeight="1">
      <c r="B816" s="71"/>
      <c r="D816" s="72"/>
      <c r="K816" s="73"/>
      <c r="P816" s="37" t="s">
        <v>29</v>
      </c>
      <c r="Q816" s="64"/>
      <c r="R816" s="64"/>
      <c r="S816" s="64"/>
      <c r="T816" s="64"/>
      <c r="U816" s="64"/>
      <c r="V816" s="64"/>
      <c r="W816" s="64"/>
      <c r="X816" s="64"/>
      <c r="Y816" s="64"/>
      <c r="Z816" s="64"/>
      <c r="AA816" s="64"/>
      <c r="BS816" s="74"/>
    </row>
    <row r="817" ht="18.75" customHeight="1">
      <c r="B817" s="71"/>
      <c r="D817" s="72"/>
      <c r="K817" s="73"/>
      <c r="P817" s="37" t="s">
        <v>29</v>
      </c>
      <c r="Q817" s="64"/>
      <c r="R817" s="64"/>
      <c r="S817" s="64"/>
      <c r="T817" s="64"/>
      <c r="U817" s="64"/>
      <c r="V817" s="64"/>
      <c r="W817" s="64"/>
      <c r="X817" s="64"/>
      <c r="Y817" s="64"/>
      <c r="Z817" s="64"/>
      <c r="AA817" s="64"/>
      <c r="BS817" s="74"/>
    </row>
    <row r="818" ht="18.75" customHeight="1">
      <c r="B818" s="71"/>
      <c r="D818" s="72"/>
      <c r="K818" s="73"/>
      <c r="P818" s="37" t="s">
        <v>29</v>
      </c>
      <c r="Q818" s="64"/>
      <c r="R818" s="64"/>
      <c r="S818" s="64"/>
      <c r="T818" s="64"/>
      <c r="U818" s="64"/>
      <c r="V818" s="64"/>
      <c r="W818" s="64"/>
      <c r="X818" s="64"/>
      <c r="Y818" s="64"/>
      <c r="Z818" s="64"/>
      <c r="AA818" s="64"/>
      <c r="BS818" s="74"/>
    </row>
    <row r="819" ht="18.75" customHeight="1">
      <c r="B819" s="71"/>
      <c r="D819" s="72"/>
      <c r="K819" s="73"/>
      <c r="P819" s="37" t="s">
        <v>29</v>
      </c>
      <c r="Q819" s="64"/>
      <c r="R819" s="64"/>
      <c r="S819" s="64"/>
      <c r="T819" s="64"/>
      <c r="U819" s="64"/>
      <c r="V819" s="64"/>
      <c r="W819" s="64"/>
      <c r="X819" s="64"/>
      <c r="Y819" s="64"/>
      <c r="Z819" s="64"/>
      <c r="AA819" s="64"/>
      <c r="BS819" s="74"/>
    </row>
    <row r="820" ht="18.75" customHeight="1">
      <c r="B820" s="71"/>
      <c r="D820" s="72"/>
      <c r="K820" s="73"/>
      <c r="P820" s="37" t="s">
        <v>29</v>
      </c>
      <c r="Q820" s="64"/>
      <c r="R820" s="64"/>
      <c r="S820" s="64"/>
      <c r="T820" s="64"/>
      <c r="U820" s="64"/>
      <c r="V820" s="64"/>
      <c r="W820" s="64"/>
      <c r="X820" s="64"/>
      <c r="Y820" s="64"/>
      <c r="Z820" s="64"/>
      <c r="AA820" s="64"/>
      <c r="BS820" s="74"/>
    </row>
    <row r="821" ht="18.75" customHeight="1">
      <c r="B821" s="71"/>
      <c r="D821" s="72"/>
      <c r="K821" s="73"/>
      <c r="P821" s="37" t="s">
        <v>29</v>
      </c>
      <c r="Q821" s="64"/>
      <c r="R821" s="64"/>
      <c r="S821" s="64"/>
      <c r="T821" s="64"/>
      <c r="U821" s="64"/>
      <c r="V821" s="64"/>
      <c r="W821" s="64"/>
      <c r="X821" s="64"/>
      <c r="Y821" s="64"/>
      <c r="Z821" s="64"/>
      <c r="AA821" s="64"/>
      <c r="BS821" s="74"/>
    </row>
    <row r="822" ht="18.75" customHeight="1">
      <c r="B822" s="71"/>
      <c r="D822" s="72"/>
      <c r="K822" s="73"/>
      <c r="P822" s="37" t="s">
        <v>29</v>
      </c>
      <c r="Q822" s="64"/>
      <c r="R822" s="64"/>
      <c r="S822" s="64"/>
      <c r="T822" s="64"/>
      <c r="U822" s="64"/>
      <c r="V822" s="64"/>
      <c r="W822" s="64"/>
      <c r="X822" s="64"/>
      <c r="Y822" s="64"/>
      <c r="Z822" s="64"/>
      <c r="AA822" s="64"/>
      <c r="BS822" s="74"/>
    </row>
    <row r="823" ht="18.75" customHeight="1">
      <c r="B823" s="71"/>
      <c r="D823" s="72"/>
      <c r="K823" s="73"/>
      <c r="P823" s="37" t="s">
        <v>29</v>
      </c>
      <c r="Q823" s="64"/>
      <c r="R823" s="64"/>
      <c r="S823" s="64"/>
      <c r="T823" s="64"/>
      <c r="U823" s="64"/>
      <c r="V823" s="64"/>
      <c r="W823" s="64"/>
      <c r="X823" s="64"/>
      <c r="Y823" s="64"/>
      <c r="Z823" s="64"/>
      <c r="AA823" s="64"/>
      <c r="BS823" s="74"/>
    </row>
    <row r="824" ht="18.75" customHeight="1">
      <c r="B824" s="71"/>
      <c r="D824" s="72"/>
      <c r="K824" s="73"/>
      <c r="P824" s="37" t="s">
        <v>29</v>
      </c>
      <c r="Q824" s="64"/>
      <c r="R824" s="64"/>
      <c r="S824" s="64"/>
      <c r="T824" s="64"/>
      <c r="U824" s="64"/>
      <c r="V824" s="64"/>
      <c r="W824" s="64"/>
      <c r="X824" s="64"/>
      <c r="Y824" s="64"/>
      <c r="Z824" s="64"/>
      <c r="AA824" s="64"/>
      <c r="BS824" s="74"/>
    </row>
    <row r="825" ht="18.75" customHeight="1">
      <c r="B825" s="71"/>
      <c r="D825" s="72"/>
      <c r="K825" s="73"/>
      <c r="P825" s="37" t="s">
        <v>29</v>
      </c>
      <c r="Q825" s="64"/>
      <c r="R825" s="64"/>
      <c r="S825" s="64"/>
      <c r="T825" s="64"/>
      <c r="U825" s="64"/>
      <c r="V825" s="64"/>
      <c r="W825" s="64"/>
      <c r="X825" s="64"/>
      <c r="Y825" s="64"/>
      <c r="Z825" s="64"/>
      <c r="AA825" s="64"/>
      <c r="BS825" s="74"/>
    </row>
    <row r="826" ht="18.75" customHeight="1">
      <c r="B826" s="71"/>
      <c r="D826" s="72"/>
      <c r="K826" s="73"/>
      <c r="P826" s="37" t="s">
        <v>29</v>
      </c>
      <c r="Q826" s="64"/>
      <c r="R826" s="64"/>
      <c r="S826" s="64"/>
      <c r="T826" s="64"/>
      <c r="U826" s="64"/>
      <c r="V826" s="64"/>
      <c r="W826" s="64"/>
      <c r="X826" s="64"/>
      <c r="Y826" s="64"/>
      <c r="Z826" s="64"/>
      <c r="AA826" s="64"/>
      <c r="BS826" s="74"/>
    </row>
    <row r="827" ht="18.75" customHeight="1">
      <c r="B827" s="71"/>
      <c r="D827" s="72"/>
      <c r="K827" s="73"/>
      <c r="P827" s="37" t="s">
        <v>29</v>
      </c>
      <c r="Q827" s="64"/>
      <c r="R827" s="64"/>
      <c r="S827" s="64"/>
      <c r="T827" s="64"/>
      <c r="U827" s="64"/>
      <c r="V827" s="64"/>
      <c r="W827" s="64"/>
      <c r="X827" s="64"/>
      <c r="Y827" s="64"/>
      <c r="Z827" s="64"/>
      <c r="AA827" s="64"/>
      <c r="BS827" s="74"/>
    </row>
    <row r="828" ht="18.75" customHeight="1">
      <c r="B828" s="71"/>
      <c r="D828" s="72"/>
      <c r="K828" s="73"/>
      <c r="P828" s="37" t="s">
        <v>29</v>
      </c>
      <c r="Q828" s="64"/>
      <c r="R828" s="64"/>
      <c r="S828" s="64"/>
      <c r="T828" s="64"/>
      <c r="U828" s="64"/>
      <c r="V828" s="64"/>
      <c r="W828" s="64"/>
      <c r="X828" s="64"/>
      <c r="Y828" s="64"/>
      <c r="Z828" s="64"/>
      <c r="AA828" s="64"/>
      <c r="BS828" s="74"/>
    </row>
    <row r="829" ht="18.75" customHeight="1">
      <c r="B829" s="71"/>
      <c r="D829" s="72"/>
      <c r="K829" s="73"/>
      <c r="P829" s="37" t="s">
        <v>29</v>
      </c>
      <c r="Q829" s="64"/>
      <c r="R829" s="64"/>
      <c r="S829" s="64"/>
      <c r="T829" s="64"/>
      <c r="U829" s="64"/>
      <c r="V829" s="64"/>
      <c r="W829" s="64"/>
      <c r="X829" s="64"/>
      <c r="Y829" s="64"/>
      <c r="Z829" s="64"/>
      <c r="AA829" s="64"/>
      <c r="BS829" s="74"/>
    </row>
    <row r="830" ht="18.75" customHeight="1">
      <c r="B830" s="71"/>
      <c r="D830" s="72"/>
      <c r="K830" s="73"/>
      <c r="P830" s="37" t="s">
        <v>29</v>
      </c>
      <c r="Q830" s="64"/>
      <c r="R830" s="64"/>
      <c r="S830" s="64"/>
      <c r="T830" s="64"/>
      <c r="U830" s="64"/>
      <c r="V830" s="64"/>
      <c r="W830" s="64"/>
      <c r="X830" s="64"/>
      <c r="Y830" s="64"/>
      <c r="Z830" s="64"/>
      <c r="AA830" s="64"/>
      <c r="BS830" s="74"/>
    </row>
    <row r="831" ht="18.75" customHeight="1">
      <c r="B831" s="71"/>
      <c r="D831" s="72"/>
      <c r="K831" s="73"/>
      <c r="P831" s="37" t="s">
        <v>29</v>
      </c>
      <c r="Q831" s="64"/>
      <c r="R831" s="64"/>
      <c r="S831" s="64"/>
      <c r="T831" s="64"/>
      <c r="U831" s="64"/>
      <c r="V831" s="64"/>
      <c r="W831" s="64"/>
      <c r="X831" s="64"/>
      <c r="Y831" s="64"/>
      <c r="Z831" s="64"/>
      <c r="AA831" s="64"/>
      <c r="BS831" s="74"/>
    </row>
    <row r="832" ht="18.75" customHeight="1">
      <c r="B832" s="71"/>
      <c r="D832" s="72"/>
      <c r="K832" s="73"/>
      <c r="P832" s="37" t="s">
        <v>29</v>
      </c>
      <c r="Q832" s="64"/>
      <c r="R832" s="64"/>
      <c r="S832" s="64"/>
      <c r="T832" s="64"/>
      <c r="U832" s="64"/>
      <c r="V832" s="64"/>
      <c r="W832" s="64"/>
      <c r="X832" s="64"/>
      <c r="Y832" s="64"/>
      <c r="Z832" s="64"/>
      <c r="AA832" s="64"/>
      <c r="BS832" s="74"/>
    </row>
    <row r="833" ht="18.75" customHeight="1">
      <c r="B833" s="71"/>
      <c r="D833" s="72"/>
      <c r="K833" s="73"/>
      <c r="P833" s="37" t="s">
        <v>29</v>
      </c>
      <c r="Q833" s="64"/>
      <c r="R833" s="64"/>
      <c r="S833" s="64"/>
      <c r="T833" s="64"/>
      <c r="U833" s="64"/>
      <c r="V833" s="64"/>
      <c r="W833" s="64"/>
      <c r="X833" s="64"/>
      <c r="Y833" s="64"/>
      <c r="Z833" s="64"/>
      <c r="AA833" s="64"/>
      <c r="BS833" s="74"/>
    </row>
    <row r="834" ht="18.75" customHeight="1">
      <c r="B834" s="71"/>
      <c r="D834" s="72"/>
      <c r="K834" s="73"/>
      <c r="P834" s="37" t="s">
        <v>29</v>
      </c>
      <c r="Q834" s="64"/>
      <c r="R834" s="64"/>
      <c r="S834" s="64"/>
      <c r="T834" s="64"/>
      <c r="U834" s="64"/>
      <c r="V834" s="64"/>
      <c r="W834" s="64"/>
      <c r="X834" s="64"/>
      <c r="Y834" s="64"/>
      <c r="Z834" s="64"/>
      <c r="AA834" s="64"/>
      <c r="BS834" s="74"/>
    </row>
    <row r="835" ht="18.75" customHeight="1">
      <c r="B835" s="71"/>
      <c r="D835" s="72"/>
      <c r="K835" s="73"/>
      <c r="P835" s="37" t="s">
        <v>29</v>
      </c>
      <c r="Q835" s="64"/>
      <c r="R835" s="64"/>
      <c r="S835" s="64"/>
      <c r="T835" s="64"/>
      <c r="U835" s="64"/>
      <c r="V835" s="64"/>
      <c r="W835" s="64"/>
      <c r="X835" s="64"/>
      <c r="Y835" s="64"/>
      <c r="Z835" s="64"/>
      <c r="AA835" s="64"/>
      <c r="BS835" s="74"/>
    </row>
    <row r="836" ht="18.75" customHeight="1">
      <c r="B836" s="71"/>
      <c r="D836" s="72"/>
      <c r="K836" s="73"/>
      <c r="P836" s="37" t="s">
        <v>29</v>
      </c>
      <c r="Q836" s="64"/>
      <c r="R836" s="64"/>
      <c r="S836" s="64"/>
      <c r="T836" s="64"/>
      <c r="U836" s="64"/>
      <c r="V836" s="64"/>
      <c r="W836" s="64"/>
      <c r="X836" s="64"/>
      <c r="Y836" s="64"/>
      <c r="Z836" s="64"/>
      <c r="AA836" s="64"/>
      <c r="BS836" s="74"/>
    </row>
    <row r="837" ht="18.75" customHeight="1">
      <c r="B837" s="71"/>
      <c r="D837" s="72"/>
      <c r="K837" s="73"/>
      <c r="P837" s="37" t="s">
        <v>29</v>
      </c>
      <c r="Q837" s="64"/>
      <c r="R837" s="64"/>
      <c r="S837" s="64"/>
      <c r="T837" s="64"/>
      <c r="U837" s="64"/>
      <c r="V837" s="64"/>
      <c r="W837" s="64"/>
      <c r="X837" s="64"/>
      <c r="Y837" s="64"/>
      <c r="Z837" s="64"/>
      <c r="AA837" s="64"/>
      <c r="BS837" s="74"/>
    </row>
    <row r="838" ht="18.75" customHeight="1">
      <c r="B838" s="71"/>
      <c r="D838" s="72"/>
      <c r="K838" s="73"/>
      <c r="P838" s="37" t="s">
        <v>29</v>
      </c>
      <c r="Q838" s="64"/>
      <c r="R838" s="64"/>
      <c r="S838" s="64"/>
      <c r="T838" s="64"/>
      <c r="U838" s="64"/>
      <c r="V838" s="64"/>
      <c r="W838" s="64"/>
      <c r="X838" s="64"/>
      <c r="Y838" s="64"/>
      <c r="Z838" s="64"/>
      <c r="AA838" s="64"/>
      <c r="BS838" s="74"/>
    </row>
    <row r="839" ht="18.75" customHeight="1">
      <c r="B839" s="71"/>
      <c r="D839" s="72"/>
      <c r="K839" s="73"/>
      <c r="P839" s="37" t="s">
        <v>29</v>
      </c>
      <c r="Q839" s="64"/>
      <c r="R839" s="64"/>
      <c r="S839" s="64"/>
      <c r="T839" s="64"/>
      <c r="U839" s="64"/>
      <c r="V839" s="64"/>
      <c r="W839" s="64"/>
      <c r="X839" s="64"/>
      <c r="Y839" s="64"/>
      <c r="Z839" s="64"/>
      <c r="AA839" s="64"/>
      <c r="BS839" s="74"/>
    </row>
    <row r="840" ht="18.75" customHeight="1">
      <c r="B840" s="71"/>
      <c r="D840" s="72"/>
      <c r="K840" s="73"/>
      <c r="P840" s="37" t="s">
        <v>29</v>
      </c>
      <c r="Q840" s="64"/>
      <c r="R840" s="64"/>
      <c r="S840" s="64"/>
      <c r="T840" s="64"/>
      <c r="U840" s="64"/>
      <c r="V840" s="64"/>
      <c r="W840" s="64"/>
      <c r="X840" s="64"/>
      <c r="Y840" s="64"/>
      <c r="Z840" s="64"/>
      <c r="AA840" s="64"/>
      <c r="BS840" s="74"/>
    </row>
    <row r="841" ht="18.75" customHeight="1">
      <c r="B841" s="71"/>
      <c r="D841" s="72"/>
      <c r="K841" s="73"/>
      <c r="P841" s="37" t="s">
        <v>29</v>
      </c>
      <c r="Q841" s="64"/>
      <c r="R841" s="64"/>
      <c r="S841" s="64"/>
      <c r="T841" s="64"/>
      <c r="U841" s="64"/>
      <c r="V841" s="64"/>
      <c r="W841" s="64"/>
      <c r="X841" s="64"/>
      <c r="Y841" s="64"/>
      <c r="Z841" s="64"/>
      <c r="AA841" s="64"/>
      <c r="BS841" s="74"/>
    </row>
    <row r="842" ht="18.75" customHeight="1">
      <c r="B842" s="71"/>
      <c r="D842" s="72"/>
      <c r="K842" s="73"/>
      <c r="P842" s="37" t="s">
        <v>29</v>
      </c>
      <c r="Q842" s="64"/>
      <c r="R842" s="64"/>
      <c r="S842" s="64"/>
      <c r="T842" s="64"/>
      <c r="U842" s="64"/>
      <c r="V842" s="64"/>
      <c r="W842" s="64"/>
      <c r="X842" s="64"/>
      <c r="Y842" s="64"/>
      <c r="Z842" s="64"/>
      <c r="AA842" s="64"/>
      <c r="BS842" s="74"/>
    </row>
    <row r="843" ht="18.75" customHeight="1">
      <c r="B843" s="71"/>
      <c r="D843" s="72"/>
      <c r="K843" s="73"/>
      <c r="P843" s="37" t="s">
        <v>29</v>
      </c>
      <c r="Q843" s="64"/>
      <c r="R843" s="64"/>
      <c r="S843" s="64"/>
      <c r="T843" s="64"/>
      <c r="U843" s="64"/>
      <c r="V843" s="64"/>
      <c r="W843" s="64"/>
      <c r="X843" s="64"/>
      <c r="Y843" s="64"/>
      <c r="Z843" s="64"/>
      <c r="AA843" s="64"/>
      <c r="BS843" s="74"/>
    </row>
    <row r="844" ht="18.75" customHeight="1">
      <c r="B844" s="71"/>
      <c r="D844" s="72"/>
      <c r="K844" s="73"/>
      <c r="P844" s="37" t="s">
        <v>29</v>
      </c>
      <c r="Q844" s="64"/>
      <c r="R844" s="64"/>
      <c r="S844" s="64"/>
      <c r="T844" s="64"/>
      <c r="U844" s="64"/>
      <c r="V844" s="64"/>
      <c r="W844" s="64"/>
      <c r="X844" s="64"/>
      <c r="Y844" s="64"/>
      <c r="Z844" s="64"/>
      <c r="AA844" s="64"/>
      <c r="BS844" s="74"/>
    </row>
    <row r="845" ht="18.75" customHeight="1">
      <c r="B845" s="71"/>
      <c r="D845" s="72"/>
      <c r="K845" s="73"/>
      <c r="P845" s="37" t="s">
        <v>29</v>
      </c>
      <c r="Q845" s="64"/>
      <c r="R845" s="64"/>
      <c r="S845" s="64"/>
      <c r="T845" s="64"/>
      <c r="U845" s="64"/>
      <c r="V845" s="64"/>
      <c r="W845" s="64"/>
      <c r="X845" s="64"/>
      <c r="Y845" s="64"/>
      <c r="Z845" s="64"/>
      <c r="AA845" s="64"/>
      <c r="BS845" s="74"/>
    </row>
    <row r="846" ht="18.75" customHeight="1">
      <c r="B846" s="71"/>
      <c r="D846" s="72"/>
      <c r="K846" s="73"/>
      <c r="P846" s="37" t="s">
        <v>29</v>
      </c>
      <c r="Q846" s="64"/>
      <c r="R846" s="64"/>
      <c r="S846" s="64"/>
      <c r="T846" s="64"/>
      <c r="U846" s="64"/>
      <c r="V846" s="64"/>
      <c r="W846" s="64"/>
      <c r="X846" s="64"/>
      <c r="Y846" s="64"/>
      <c r="Z846" s="64"/>
      <c r="AA846" s="64"/>
      <c r="BS846" s="74"/>
    </row>
    <row r="847" ht="18.75" customHeight="1">
      <c r="B847" s="71"/>
      <c r="D847" s="72"/>
      <c r="K847" s="73"/>
      <c r="P847" s="37" t="s">
        <v>29</v>
      </c>
      <c r="Q847" s="64"/>
      <c r="R847" s="64"/>
      <c r="S847" s="64"/>
      <c r="T847" s="64"/>
      <c r="U847" s="64"/>
      <c r="V847" s="64"/>
      <c r="W847" s="64"/>
      <c r="X847" s="64"/>
      <c r="Y847" s="64"/>
      <c r="Z847" s="64"/>
      <c r="AA847" s="64"/>
      <c r="BS847" s="74"/>
    </row>
    <row r="848" ht="18.75" customHeight="1">
      <c r="B848" s="71"/>
      <c r="D848" s="72"/>
      <c r="K848" s="73"/>
      <c r="P848" s="37" t="s">
        <v>29</v>
      </c>
      <c r="Q848" s="64"/>
      <c r="R848" s="64"/>
      <c r="S848" s="64"/>
      <c r="T848" s="64"/>
      <c r="U848" s="64"/>
      <c r="V848" s="64"/>
      <c r="W848" s="64"/>
      <c r="X848" s="64"/>
      <c r="Y848" s="64"/>
      <c r="Z848" s="64"/>
      <c r="AA848" s="64"/>
      <c r="BS848" s="74"/>
    </row>
    <row r="849" ht="18.75" customHeight="1">
      <c r="B849" s="71"/>
      <c r="D849" s="72"/>
      <c r="K849" s="73"/>
      <c r="P849" s="37" t="s">
        <v>29</v>
      </c>
      <c r="Q849" s="64"/>
      <c r="R849" s="64"/>
      <c r="S849" s="64"/>
      <c r="T849" s="64"/>
      <c r="U849" s="64"/>
      <c r="V849" s="64"/>
      <c r="W849" s="64"/>
      <c r="X849" s="64"/>
      <c r="Y849" s="64"/>
      <c r="Z849" s="64"/>
      <c r="AA849" s="64"/>
      <c r="BS849" s="74"/>
    </row>
    <row r="850" ht="18.75" customHeight="1">
      <c r="B850" s="71"/>
      <c r="D850" s="72"/>
      <c r="K850" s="73"/>
      <c r="P850" s="37" t="s">
        <v>29</v>
      </c>
      <c r="Q850" s="64"/>
      <c r="R850" s="64"/>
      <c r="S850" s="64"/>
      <c r="T850" s="64"/>
      <c r="U850" s="64"/>
      <c r="V850" s="64"/>
      <c r="W850" s="64"/>
      <c r="X850" s="64"/>
      <c r="Y850" s="64"/>
      <c r="Z850" s="64"/>
      <c r="AA850" s="64"/>
      <c r="BS850" s="74"/>
    </row>
    <row r="851" ht="18.75" customHeight="1">
      <c r="B851" s="71"/>
      <c r="D851" s="72"/>
      <c r="K851" s="73"/>
      <c r="P851" s="37" t="s">
        <v>29</v>
      </c>
      <c r="Q851" s="64"/>
      <c r="R851" s="64"/>
      <c r="S851" s="64"/>
      <c r="T851" s="64"/>
      <c r="U851" s="64"/>
      <c r="V851" s="64"/>
      <c r="W851" s="64"/>
      <c r="X851" s="64"/>
      <c r="Y851" s="64"/>
      <c r="Z851" s="64"/>
      <c r="AA851" s="64"/>
      <c r="BS851" s="74"/>
    </row>
    <row r="852" ht="18.75" customHeight="1">
      <c r="B852" s="71"/>
      <c r="D852" s="72"/>
      <c r="K852" s="73"/>
      <c r="P852" s="37" t="s">
        <v>29</v>
      </c>
      <c r="Q852" s="64"/>
      <c r="R852" s="64"/>
      <c r="S852" s="64"/>
      <c r="T852" s="64"/>
      <c r="U852" s="64"/>
      <c r="V852" s="64"/>
      <c r="W852" s="64"/>
      <c r="X852" s="64"/>
      <c r="Y852" s="64"/>
      <c r="Z852" s="64"/>
      <c r="AA852" s="64"/>
      <c r="BS852" s="74"/>
    </row>
    <row r="853" ht="18.75" customHeight="1">
      <c r="B853" s="71"/>
      <c r="D853" s="72"/>
      <c r="K853" s="73"/>
      <c r="P853" s="37" t="s">
        <v>29</v>
      </c>
      <c r="Q853" s="64"/>
      <c r="R853" s="64"/>
      <c r="S853" s="64"/>
      <c r="T853" s="64"/>
      <c r="U853" s="64"/>
      <c r="V853" s="64"/>
      <c r="W853" s="64"/>
      <c r="X853" s="64"/>
      <c r="Y853" s="64"/>
      <c r="Z853" s="64"/>
      <c r="AA853" s="64"/>
      <c r="BS853" s="74"/>
    </row>
    <row r="854" ht="18.75" customHeight="1">
      <c r="B854" s="71"/>
      <c r="D854" s="72"/>
      <c r="K854" s="73"/>
      <c r="P854" s="37" t="s">
        <v>29</v>
      </c>
      <c r="Q854" s="64"/>
      <c r="R854" s="64"/>
      <c r="S854" s="64"/>
      <c r="T854" s="64"/>
      <c r="U854" s="64"/>
      <c r="V854" s="64"/>
      <c r="W854" s="64"/>
      <c r="X854" s="64"/>
      <c r="Y854" s="64"/>
      <c r="Z854" s="64"/>
      <c r="AA854" s="64"/>
      <c r="BS854" s="74"/>
    </row>
    <row r="855" ht="18.75" customHeight="1">
      <c r="B855" s="71"/>
      <c r="D855" s="72"/>
      <c r="K855" s="73"/>
      <c r="P855" s="37" t="s">
        <v>29</v>
      </c>
      <c r="Q855" s="64"/>
      <c r="R855" s="64"/>
      <c r="S855" s="64"/>
      <c r="T855" s="64"/>
      <c r="U855" s="64"/>
      <c r="V855" s="64"/>
      <c r="W855" s="64"/>
      <c r="X855" s="64"/>
      <c r="Y855" s="64"/>
      <c r="Z855" s="64"/>
      <c r="AA855" s="64"/>
      <c r="BS855" s="74"/>
    </row>
    <row r="856" ht="18.75" customHeight="1">
      <c r="B856" s="71"/>
      <c r="D856" s="72"/>
      <c r="K856" s="73"/>
      <c r="P856" s="37" t="s">
        <v>29</v>
      </c>
      <c r="Q856" s="64"/>
      <c r="R856" s="64"/>
      <c r="S856" s="64"/>
      <c r="T856" s="64"/>
      <c r="U856" s="64"/>
      <c r="V856" s="64"/>
      <c r="W856" s="64"/>
      <c r="X856" s="64"/>
      <c r="Y856" s="64"/>
      <c r="Z856" s="64"/>
      <c r="AA856" s="64"/>
      <c r="BS856" s="74"/>
    </row>
    <row r="857" ht="18.75" customHeight="1">
      <c r="B857" s="71"/>
      <c r="D857" s="72"/>
      <c r="K857" s="73"/>
      <c r="P857" s="37" t="s">
        <v>29</v>
      </c>
      <c r="Q857" s="64"/>
      <c r="R857" s="64"/>
      <c r="S857" s="64"/>
      <c r="T857" s="64"/>
      <c r="U857" s="64"/>
      <c r="V857" s="64"/>
      <c r="W857" s="64"/>
      <c r="X857" s="64"/>
      <c r="Y857" s="64"/>
      <c r="Z857" s="64"/>
      <c r="AA857" s="64"/>
      <c r="BS857" s="74"/>
    </row>
    <row r="858" ht="18.75" customHeight="1">
      <c r="B858" s="71"/>
      <c r="D858" s="72"/>
      <c r="K858" s="73"/>
      <c r="P858" s="37" t="s">
        <v>29</v>
      </c>
      <c r="Q858" s="64"/>
      <c r="R858" s="64"/>
      <c r="S858" s="64"/>
      <c r="T858" s="64"/>
      <c r="U858" s="64"/>
      <c r="V858" s="64"/>
      <c r="W858" s="64"/>
      <c r="X858" s="64"/>
      <c r="Y858" s="64"/>
      <c r="Z858" s="64"/>
      <c r="AA858" s="64"/>
      <c r="BS858" s="74"/>
    </row>
    <row r="859" ht="18.75" customHeight="1">
      <c r="B859" s="71"/>
      <c r="D859" s="72"/>
      <c r="K859" s="73"/>
      <c r="P859" s="37" t="s">
        <v>29</v>
      </c>
      <c r="Q859" s="64"/>
      <c r="R859" s="64"/>
      <c r="S859" s="64"/>
      <c r="T859" s="64"/>
      <c r="U859" s="64"/>
      <c r="V859" s="64"/>
      <c r="W859" s="64"/>
      <c r="X859" s="64"/>
      <c r="Y859" s="64"/>
      <c r="Z859" s="64"/>
      <c r="AA859" s="64"/>
      <c r="BS859" s="74"/>
    </row>
    <row r="860" ht="18.75" customHeight="1">
      <c r="B860" s="71"/>
      <c r="D860" s="72"/>
      <c r="K860" s="73"/>
      <c r="P860" s="37" t="s">
        <v>29</v>
      </c>
      <c r="Q860" s="64"/>
      <c r="R860" s="64"/>
      <c r="S860" s="64"/>
      <c r="T860" s="64"/>
      <c r="U860" s="64"/>
      <c r="V860" s="64"/>
      <c r="W860" s="64"/>
      <c r="X860" s="64"/>
      <c r="Y860" s="64"/>
      <c r="Z860" s="64"/>
      <c r="AA860" s="64"/>
      <c r="BS860" s="74"/>
    </row>
    <row r="861" ht="18.75" customHeight="1">
      <c r="B861" s="71"/>
      <c r="D861" s="72"/>
      <c r="K861" s="73"/>
      <c r="P861" s="37" t="s">
        <v>29</v>
      </c>
      <c r="Q861" s="64"/>
      <c r="R861" s="64"/>
      <c r="S861" s="64"/>
      <c r="T861" s="64"/>
      <c r="U861" s="64"/>
      <c r="V861" s="64"/>
      <c r="W861" s="64"/>
      <c r="X861" s="64"/>
      <c r="Y861" s="64"/>
      <c r="Z861" s="64"/>
      <c r="AA861" s="64"/>
      <c r="BS861" s="74"/>
    </row>
    <row r="862" ht="18.75" customHeight="1">
      <c r="B862" s="71"/>
      <c r="D862" s="72"/>
      <c r="K862" s="73"/>
      <c r="P862" s="37" t="s">
        <v>29</v>
      </c>
      <c r="Q862" s="64"/>
      <c r="R862" s="64"/>
      <c r="S862" s="64"/>
      <c r="T862" s="64"/>
      <c r="U862" s="64"/>
      <c r="V862" s="64"/>
      <c r="W862" s="64"/>
      <c r="X862" s="64"/>
      <c r="Y862" s="64"/>
      <c r="Z862" s="64"/>
      <c r="AA862" s="64"/>
      <c r="BS862" s="74"/>
    </row>
    <row r="863" ht="18.75" customHeight="1">
      <c r="B863" s="71"/>
      <c r="D863" s="72"/>
      <c r="K863" s="73"/>
      <c r="P863" s="37" t="s">
        <v>29</v>
      </c>
      <c r="Q863" s="64"/>
      <c r="R863" s="64"/>
      <c r="S863" s="64"/>
      <c r="T863" s="64"/>
      <c r="U863" s="64"/>
      <c r="V863" s="64"/>
      <c r="W863" s="64"/>
      <c r="X863" s="64"/>
      <c r="Y863" s="64"/>
      <c r="Z863" s="64"/>
      <c r="AA863" s="64"/>
      <c r="BS863" s="74"/>
    </row>
    <row r="864" ht="18.75" customHeight="1">
      <c r="B864" s="71"/>
      <c r="D864" s="72"/>
      <c r="K864" s="73"/>
      <c r="P864" s="37" t="s">
        <v>29</v>
      </c>
      <c r="Q864" s="64"/>
      <c r="R864" s="64"/>
      <c r="S864" s="64"/>
      <c r="T864" s="64"/>
      <c r="U864" s="64"/>
      <c r="V864" s="64"/>
      <c r="W864" s="64"/>
      <c r="X864" s="64"/>
      <c r="Y864" s="64"/>
      <c r="Z864" s="64"/>
      <c r="AA864" s="64"/>
      <c r="BS864" s="74"/>
    </row>
    <row r="865" ht="18.75" customHeight="1">
      <c r="B865" s="71"/>
      <c r="D865" s="72"/>
      <c r="K865" s="73"/>
      <c r="P865" s="37" t="s">
        <v>29</v>
      </c>
      <c r="Q865" s="64"/>
      <c r="R865" s="64"/>
      <c r="S865" s="64"/>
      <c r="T865" s="64"/>
      <c r="U865" s="64"/>
      <c r="V865" s="64"/>
      <c r="W865" s="64"/>
      <c r="X865" s="64"/>
      <c r="Y865" s="64"/>
      <c r="Z865" s="64"/>
      <c r="AA865" s="64"/>
      <c r="BS865" s="74"/>
    </row>
    <row r="866" ht="18.75" customHeight="1">
      <c r="B866" s="71"/>
      <c r="D866" s="72"/>
      <c r="K866" s="73"/>
      <c r="P866" s="37" t="s">
        <v>29</v>
      </c>
      <c r="Q866" s="64"/>
      <c r="R866" s="64"/>
      <c r="S866" s="64"/>
      <c r="T866" s="64"/>
      <c r="U866" s="64"/>
      <c r="V866" s="64"/>
      <c r="W866" s="64"/>
      <c r="X866" s="64"/>
      <c r="Y866" s="64"/>
      <c r="Z866" s="64"/>
      <c r="AA866" s="64"/>
      <c r="BS866" s="74"/>
    </row>
    <row r="867" ht="18.75" customHeight="1">
      <c r="B867" s="71"/>
      <c r="D867" s="72"/>
      <c r="K867" s="73"/>
      <c r="P867" s="37" t="s">
        <v>29</v>
      </c>
      <c r="Q867" s="64"/>
      <c r="R867" s="64"/>
      <c r="S867" s="64"/>
      <c r="T867" s="64"/>
      <c r="U867" s="64"/>
      <c r="V867" s="64"/>
      <c r="W867" s="64"/>
      <c r="X867" s="64"/>
      <c r="Y867" s="64"/>
      <c r="Z867" s="64"/>
      <c r="AA867" s="64"/>
      <c r="BS867" s="74"/>
    </row>
    <row r="868" ht="18.75" customHeight="1">
      <c r="B868" s="71"/>
      <c r="D868" s="72"/>
      <c r="K868" s="73"/>
      <c r="P868" s="37" t="s">
        <v>29</v>
      </c>
      <c r="Q868" s="64"/>
      <c r="R868" s="64"/>
      <c r="S868" s="64"/>
      <c r="T868" s="64"/>
      <c r="U868" s="64"/>
      <c r="V868" s="64"/>
      <c r="W868" s="64"/>
      <c r="X868" s="64"/>
      <c r="Y868" s="64"/>
      <c r="Z868" s="64"/>
      <c r="AA868" s="64"/>
      <c r="BS868" s="74"/>
    </row>
    <row r="869" ht="18.75" customHeight="1">
      <c r="B869" s="71"/>
      <c r="D869" s="72"/>
      <c r="K869" s="73"/>
      <c r="P869" s="37" t="s">
        <v>29</v>
      </c>
      <c r="Q869" s="64"/>
      <c r="R869" s="64"/>
      <c r="S869" s="64"/>
      <c r="T869" s="64"/>
      <c r="U869" s="64"/>
      <c r="V869" s="64"/>
      <c r="W869" s="64"/>
      <c r="X869" s="64"/>
      <c r="Y869" s="64"/>
      <c r="Z869" s="64"/>
      <c r="AA869" s="64"/>
      <c r="BS869" s="74"/>
    </row>
    <row r="870" ht="18.75" customHeight="1">
      <c r="B870" s="71"/>
      <c r="D870" s="72"/>
      <c r="K870" s="73"/>
      <c r="P870" s="37" t="s">
        <v>29</v>
      </c>
      <c r="Q870" s="64"/>
      <c r="R870" s="64"/>
      <c r="S870" s="64"/>
      <c r="T870" s="64"/>
      <c r="U870" s="64"/>
      <c r="V870" s="64"/>
      <c r="W870" s="64"/>
      <c r="X870" s="64"/>
      <c r="Y870" s="64"/>
      <c r="Z870" s="64"/>
      <c r="AA870" s="64"/>
      <c r="BS870" s="74"/>
    </row>
    <row r="871" ht="18.75" customHeight="1">
      <c r="B871" s="71"/>
      <c r="D871" s="72"/>
      <c r="K871" s="73"/>
      <c r="P871" s="37" t="s">
        <v>29</v>
      </c>
      <c r="Q871" s="64"/>
      <c r="R871" s="64"/>
      <c r="S871" s="64"/>
      <c r="T871" s="64"/>
      <c r="U871" s="64"/>
      <c r="V871" s="64"/>
      <c r="W871" s="64"/>
      <c r="X871" s="64"/>
      <c r="Y871" s="64"/>
      <c r="Z871" s="64"/>
      <c r="AA871" s="64"/>
      <c r="BS871" s="74"/>
    </row>
    <row r="872" ht="18.75" customHeight="1">
      <c r="B872" s="71"/>
      <c r="D872" s="72"/>
      <c r="K872" s="73"/>
      <c r="P872" s="37" t="s">
        <v>29</v>
      </c>
      <c r="Q872" s="64"/>
      <c r="R872" s="64"/>
      <c r="S872" s="64"/>
      <c r="T872" s="64"/>
      <c r="U872" s="64"/>
      <c r="V872" s="64"/>
      <c r="W872" s="64"/>
      <c r="X872" s="64"/>
      <c r="Y872" s="64"/>
      <c r="Z872" s="64"/>
      <c r="AA872" s="64"/>
      <c r="BS872" s="74"/>
    </row>
    <row r="873" ht="18.75" customHeight="1">
      <c r="B873" s="71"/>
      <c r="D873" s="72"/>
      <c r="K873" s="73"/>
      <c r="P873" s="37" t="s">
        <v>29</v>
      </c>
      <c r="Q873" s="64"/>
      <c r="R873" s="64"/>
      <c r="S873" s="64"/>
      <c r="T873" s="64"/>
      <c r="U873" s="64"/>
      <c r="V873" s="64"/>
      <c r="W873" s="64"/>
      <c r="X873" s="64"/>
      <c r="Y873" s="64"/>
      <c r="Z873" s="64"/>
      <c r="AA873" s="64"/>
      <c r="BS873" s="74"/>
    </row>
    <row r="874" ht="18.75" customHeight="1">
      <c r="B874" s="71"/>
      <c r="D874" s="72"/>
      <c r="K874" s="73"/>
      <c r="P874" s="37" t="s">
        <v>29</v>
      </c>
      <c r="Q874" s="64"/>
      <c r="R874" s="64"/>
      <c r="S874" s="64"/>
      <c r="T874" s="64"/>
      <c r="U874" s="64"/>
      <c r="V874" s="64"/>
      <c r="W874" s="64"/>
      <c r="X874" s="64"/>
      <c r="Y874" s="64"/>
      <c r="Z874" s="64"/>
      <c r="AA874" s="64"/>
      <c r="BS874" s="74"/>
    </row>
    <row r="875" ht="18.75" customHeight="1">
      <c r="B875" s="71"/>
      <c r="D875" s="72"/>
      <c r="K875" s="73"/>
      <c r="P875" s="37" t="s">
        <v>29</v>
      </c>
      <c r="Q875" s="64"/>
      <c r="R875" s="64"/>
      <c r="S875" s="64"/>
      <c r="T875" s="64"/>
      <c r="U875" s="64"/>
      <c r="V875" s="64"/>
      <c r="W875" s="64"/>
      <c r="X875" s="64"/>
      <c r="Y875" s="64"/>
      <c r="Z875" s="64"/>
      <c r="AA875" s="64"/>
      <c r="BS875" s="74"/>
    </row>
    <row r="876" ht="18.75" customHeight="1">
      <c r="B876" s="71"/>
      <c r="D876" s="72"/>
      <c r="K876" s="73"/>
      <c r="P876" s="37" t="s">
        <v>29</v>
      </c>
      <c r="Q876" s="64"/>
      <c r="R876" s="64"/>
      <c r="S876" s="64"/>
      <c r="T876" s="64"/>
      <c r="U876" s="64"/>
      <c r="V876" s="64"/>
      <c r="W876" s="64"/>
      <c r="X876" s="64"/>
      <c r="Y876" s="64"/>
      <c r="Z876" s="64"/>
      <c r="AA876" s="64"/>
      <c r="BS876" s="74"/>
    </row>
    <row r="877" ht="18.75" customHeight="1">
      <c r="B877" s="71"/>
      <c r="D877" s="72"/>
      <c r="K877" s="73"/>
      <c r="P877" s="37" t="s">
        <v>29</v>
      </c>
      <c r="Q877" s="64"/>
      <c r="R877" s="64"/>
      <c r="S877" s="64"/>
      <c r="T877" s="64"/>
      <c r="U877" s="64"/>
      <c r="V877" s="64"/>
      <c r="W877" s="64"/>
      <c r="X877" s="64"/>
      <c r="Y877" s="64"/>
      <c r="Z877" s="64"/>
      <c r="AA877" s="64"/>
      <c r="BS877" s="74"/>
    </row>
    <row r="878" ht="18.75" customHeight="1">
      <c r="B878" s="71"/>
      <c r="D878" s="72"/>
      <c r="K878" s="73"/>
      <c r="P878" s="37" t="s">
        <v>29</v>
      </c>
      <c r="Q878" s="64"/>
      <c r="R878" s="64"/>
      <c r="S878" s="64"/>
      <c r="T878" s="64"/>
      <c r="U878" s="64"/>
      <c r="V878" s="64"/>
      <c r="W878" s="64"/>
      <c r="X878" s="64"/>
      <c r="Y878" s="64"/>
      <c r="Z878" s="64"/>
      <c r="AA878" s="64"/>
      <c r="BS878" s="74"/>
    </row>
    <row r="879" ht="18.75" customHeight="1">
      <c r="B879" s="71"/>
      <c r="D879" s="72"/>
      <c r="K879" s="73"/>
      <c r="P879" s="37" t="s">
        <v>29</v>
      </c>
      <c r="Q879" s="64"/>
      <c r="R879" s="64"/>
      <c r="S879" s="64"/>
      <c r="T879" s="64"/>
      <c r="U879" s="64"/>
      <c r="V879" s="64"/>
      <c r="W879" s="64"/>
      <c r="X879" s="64"/>
      <c r="Y879" s="64"/>
      <c r="Z879" s="64"/>
      <c r="AA879" s="64"/>
      <c r="BS879" s="74"/>
    </row>
    <row r="880" ht="18.75" customHeight="1">
      <c r="B880" s="71"/>
      <c r="D880" s="72"/>
      <c r="K880" s="73"/>
      <c r="P880" s="37" t="s">
        <v>29</v>
      </c>
      <c r="Q880" s="64"/>
      <c r="R880" s="64"/>
      <c r="S880" s="64"/>
      <c r="T880" s="64"/>
      <c r="U880" s="64"/>
      <c r="V880" s="64"/>
      <c r="W880" s="64"/>
      <c r="X880" s="64"/>
      <c r="Y880" s="64"/>
      <c r="Z880" s="64"/>
      <c r="AA880" s="64"/>
      <c r="BS880" s="74"/>
    </row>
    <row r="881" ht="18.75" customHeight="1">
      <c r="B881" s="71"/>
      <c r="D881" s="72"/>
      <c r="K881" s="73"/>
      <c r="P881" s="37" t="s">
        <v>29</v>
      </c>
      <c r="Q881" s="64"/>
      <c r="R881" s="64"/>
      <c r="S881" s="64"/>
      <c r="T881" s="64"/>
      <c r="U881" s="64"/>
      <c r="V881" s="64"/>
      <c r="W881" s="64"/>
      <c r="X881" s="64"/>
      <c r="Y881" s="64"/>
      <c r="Z881" s="64"/>
      <c r="AA881" s="64"/>
      <c r="BS881" s="74"/>
    </row>
    <row r="882" ht="18.75" customHeight="1">
      <c r="B882" s="71"/>
      <c r="D882" s="72"/>
      <c r="K882" s="73"/>
      <c r="P882" s="37" t="s">
        <v>29</v>
      </c>
      <c r="Q882" s="64"/>
      <c r="R882" s="64"/>
      <c r="S882" s="64"/>
      <c r="T882" s="64"/>
      <c r="U882" s="64"/>
      <c r="V882" s="64"/>
      <c r="W882" s="64"/>
      <c r="X882" s="64"/>
      <c r="Y882" s="64"/>
      <c r="Z882" s="64"/>
      <c r="AA882" s="64"/>
      <c r="BS882" s="74"/>
    </row>
    <row r="883" ht="18.75" customHeight="1">
      <c r="B883" s="71"/>
      <c r="D883" s="72"/>
      <c r="K883" s="73"/>
      <c r="P883" s="37" t="s">
        <v>29</v>
      </c>
      <c r="Q883" s="64"/>
      <c r="R883" s="64"/>
      <c r="S883" s="64"/>
      <c r="T883" s="64"/>
      <c r="U883" s="64"/>
      <c r="V883" s="64"/>
      <c r="W883" s="64"/>
      <c r="X883" s="64"/>
      <c r="Y883" s="64"/>
      <c r="Z883" s="64"/>
      <c r="AA883" s="64"/>
      <c r="BS883" s="74"/>
    </row>
    <row r="884" ht="18.75" customHeight="1">
      <c r="B884" s="71"/>
      <c r="D884" s="72"/>
      <c r="K884" s="73"/>
      <c r="P884" s="37" t="s">
        <v>29</v>
      </c>
      <c r="Q884" s="64"/>
      <c r="R884" s="64"/>
      <c r="S884" s="64"/>
      <c r="T884" s="64"/>
      <c r="U884" s="64"/>
      <c r="V884" s="64"/>
      <c r="W884" s="64"/>
      <c r="X884" s="64"/>
      <c r="Y884" s="64"/>
      <c r="Z884" s="64"/>
      <c r="AA884" s="64"/>
      <c r="BS884" s="74"/>
    </row>
    <row r="885" ht="18.75" customHeight="1">
      <c r="B885" s="71"/>
      <c r="D885" s="72"/>
      <c r="K885" s="73"/>
      <c r="P885" s="37" t="s">
        <v>29</v>
      </c>
      <c r="Q885" s="64"/>
      <c r="R885" s="64"/>
      <c r="S885" s="64"/>
      <c r="T885" s="64"/>
      <c r="U885" s="64"/>
      <c r="V885" s="64"/>
      <c r="W885" s="64"/>
      <c r="X885" s="64"/>
      <c r="Y885" s="64"/>
      <c r="Z885" s="64"/>
      <c r="AA885" s="64"/>
      <c r="BS885" s="74"/>
    </row>
    <row r="886" ht="18.75" customHeight="1">
      <c r="B886" s="71"/>
      <c r="D886" s="72"/>
      <c r="K886" s="73"/>
      <c r="P886" s="37" t="s">
        <v>29</v>
      </c>
      <c r="Q886" s="64"/>
      <c r="R886" s="64"/>
      <c r="S886" s="64"/>
      <c r="T886" s="64"/>
      <c r="U886" s="64"/>
      <c r="V886" s="64"/>
      <c r="W886" s="64"/>
      <c r="X886" s="64"/>
      <c r="Y886" s="64"/>
      <c r="Z886" s="64"/>
      <c r="AA886" s="64"/>
      <c r="BS886" s="74"/>
    </row>
    <row r="887" ht="18.75" customHeight="1">
      <c r="B887" s="71"/>
      <c r="D887" s="72"/>
      <c r="K887" s="73"/>
      <c r="P887" s="37" t="s">
        <v>29</v>
      </c>
      <c r="Q887" s="64"/>
      <c r="R887" s="64"/>
      <c r="S887" s="64"/>
      <c r="T887" s="64"/>
      <c r="U887" s="64"/>
      <c r="V887" s="64"/>
      <c r="W887" s="64"/>
      <c r="X887" s="64"/>
      <c r="Y887" s="64"/>
      <c r="Z887" s="64"/>
      <c r="AA887" s="64"/>
      <c r="BS887" s="74"/>
    </row>
    <row r="888" ht="18.75" customHeight="1">
      <c r="B888" s="71"/>
      <c r="D888" s="72"/>
      <c r="K888" s="73"/>
      <c r="P888" s="37" t="s">
        <v>29</v>
      </c>
      <c r="Q888" s="64"/>
      <c r="R888" s="64"/>
      <c r="S888" s="64"/>
      <c r="T888" s="64"/>
      <c r="U888" s="64"/>
      <c r="V888" s="64"/>
      <c r="W888" s="64"/>
      <c r="X888" s="64"/>
      <c r="Y888" s="64"/>
      <c r="Z888" s="64"/>
      <c r="AA888" s="64"/>
      <c r="BS888" s="74"/>
    </row>
    <row r="889" ht="18.75" customHeight="1">
      <c r="B889" s="71"/>
      <c r="D889" s="72"/>
      <c r="K889" s="73"/>
      <c r="P889" s="37" t="s">
        <v>29</v>
      </c>
      <c r="Q889" s="64"/>
      <c r="R889" s="64"/>
      <c r="S889" s="64"/>
      <c r="T889" s="64"/>
      <c r="U889" s="64"/>
      <c r="V889" s="64"/>
      <c r="W889" s="64"/>
      <c r="X889" s="64"/>
      <c r="Y889" s="64"/>
      <c r="Z889" s="64"/>
      <c r="AA889" s="64"/>
      <c r="BS889" s="74"/>
    </row>
    <row r="890" ht="18.75" customHeight="1">
      <c r="B890" s="71"/>
      <c r="D890" s="72"/>
      <c r="K890" s="73"/>
      <c r="P890" s="37" t="s">
        <v>29</v>
      </c>
      <c r="Q890" s="64"/>
      <c r="R890" s="64"/>
      <c r="S890" s="64"/>
      <c r="T890" s="64"/>
      <c r="U890" s="64"/>
      <c r="V890" s="64"/>
      <c r="W890" s="64"/>
      <c r="X890" s="64"/>
      <c r="Y890" s="64"/>
      <c r="Z890" s="64"/>
      <c r="AA890" s="64"/>
      <c r="BS890" s="74"/>
    </row>
    <row r="891" ht="18.75" customHeight="1">
      <c r="B891" s="71"/>
      <c r="D891" s="72"/>
      <c r="K891" s="73"/>
      <c r="P891" s="37" t="s">
        <v>29</v>
      </c>
      <c r="Q891" s="64"/>
      <c r="R891" s="64"/>
      <c r="S891" s="64"/>
      <c r="T891" s="64"/>
      <c r="U891" s="64"/>
      <c r="V891" s="64"/>
      <c r="W891" s="64"/>
      <c r="X891" s="64"/>
      <c r="Y891" s="64"/>
      <c r="Z891" s="64"/>
      <c r="AA891" s="64"/>
      <c r="BS891" s="74"/>
    </row>
    <row r="892" ht="18.75" customHeight="1">
      <c r="B892" s="71"/>
      <c r="D892" s="72"/>
      <c r="K892" s="73"/>
      <c r="P892" s="37" t="s">
        <v>29</v>
      </c>
      <c r="Q892" s="64"/>
      <c r="R892" s="64"/>
      <c r="S892" s="64"/>
      <c r="T892" s="64"/>
      <c r="U892" s="64"/>
      <c r="V892" s="64"/>
      <c r="W892" s="64"/>
      <c r="X892" s="64"/>
      <c r="Y892" s="64"/>
      <c r="Z892" s="64"/>
      <c r="AA892" s="64"/>
      <c r="BS892" s="74"/>
    </row>
    <row r="893" ht="18.75" customHeight="1">
      <c r="B893" s="71"/>
      <c r="D893" s="72"/>
      <c r="K893" s="73"/>
      <c r="P893" s="37" t="s">
        <v>29</v>
      </c>
      <c r="Q893" s="64"/>
      <c r="R893" s="64"/>
      <c r="S893" s="64"/>
      <c r="T893" s="64"/>
      <c r="U893" s="64"/>
      <c r="V893" s="64"/>
      <c r="W893" s="64"/>
      <c r="X893" s="64"/>
      <c r="Y893" s="64"/>
      <c r="Z893" s="64"/>
      <c r="AA893" s="64"/>
      <c r="BS893" s="74"/>
    </row>
    <row r="894" ht="18.75" customHeight="1">
      <c r="B894" s="71"/>
      <c r="D894" s="72"/>
      <c r="K894" s="73"/>
      <c r="P894" s="37" t="s">
        <v>29</v>
      </c>
      <c r="Q894" s="64"/>
      <c r="R894" s="64"/>
      <c r="S894" s="64"/>
      <c r="T894" s="64"/>
      <c r="U894" s="64"/>
      <c r="V894" s="64"/>
      <c r="W894" s="64"/>
      <c r="X894" s="64"/>
      <c r="Y894" s="64"/>
      <c r="Z894" s="64"/>
      <c r="AA894" s="64"/>
      <c r="BS894" s="74"/>
    </row>
    <row r="895" ht="18.75" customHeight="1">
      <c r="B895" s="71"/>
      <c r="D895" s="72"/>
      <c r="K895" s="73"/>
      <c r="P895" s="37" t="s">
        <v>29</v>
      </c>
      <c r="Q895" s="64"/>
      <c r="R895" s="64"/>
      <c r="S895" s="64"/>
      <c r="T895" s="64"/>
      <c r="U895" s="64"/>
      <c r="V895" s="64"/>
      <c r="W895" s="64"/>
      <c r="X895" s="64"/>
      <c r="Y895" s="64"/>
      <c r="Z895" s="64"/>
      <c r="AA895" s="64"/>
      <c r="BS895" s="74"/>
    </row>
    <row r="896" ht="18.75" customHeight="1">
      <c r="B896" s="71"/>
      <c r="D896" s="72"/>
      <c r="K896" s="73"/>
      <c r="P896" s="37" t="s">
        <v>29</v>
      </c>
      <c r="Q896" s="64"/>
      <c r="R896" s="64"/>
      <c r="S896" s="64"/>
      <c r="T896" s="64"/>
      <c r="U896" s="64"/>
      <c r="V896" s="64"/>
      <c r="W896" s="64"/>
      <c r="X896" s="64"/>
      <c r="Y896" s="64"/>
      <c r="Z896" s="64"/>
      <c r="AA896" s="64"/>
      <c r="BS896" s="74"/>
    </row>
    <row r="897" ht="18.75" customHeight="1">
      <c r="B897" s="71"/>
      <c r="D897" s="72"/>
      <c r="K897" s="73"/>
      <c r="P897" s="37" t="s">
        <v>29</v>
      </c>
      <c r="Q897" s="64"/>
      <c r="R897" s="64"/>
      <c r="S897" s="64"/>
      <c r="T897" s="64"/>
      <c r="U897" s="64"/>
      <c r="V897" s="64"/>
      <c r="W897" s="64"/>
      <c r="X897" s="64"/>
      <c r="Y897" s="64"/>
      <c r="Z897" s="64"/>
      <c r="AA897" s="64"/>
      <c r="BS897" s="74"/>
    </row>
    <row r="898" ht="18.75" customHeight="1">
      <c r="B898" s="71"/>
      <c r="D898" s="72"/>
      <c r="K898" s="73"/>
      <c r="P898" s="37" t="s">
        <v>29</v>
      </c>
      <c r="Q898" s="64"/>
      <c r="R898" s="64"/>
      <c r="S898" s="64"/>
      <c r="T898" s="64"/>
      <c r="U898" s="64"/>
      <c r="V898" s="64"/>
      <c r="W898" s="64"/>
      <c r="X898" s="64"/>
      <c r="Y898" s="64"/>
      <c r="Z898" s="64"/>
      <c r="AA898" s="64"/>
      <c r="BS898" s="74"/>
    </row>
    <row r="899" ht="18.75" customHeight="1">
      <c r="B899" s="71"/>
      <c r="D899" s="72"/>
      <c r="K899" s="73"/>
      <c r="P899" s="37" t="s">
        <v>29</v>
      </c>
      <c r="Q899" s="64"/>
      <c r="R899" s="64"/>
      <c r="S899" s="64"/>
      <c r="T899" s="64"/>
      <c r="U899" s="64"/>
      <c r="V899" s="64"/>
      <c r="W899" s="64"/>
      <c r="X899" s="64"/>
      <c r="Y899" s="64"/>
      <c r="Z899" s="64"/>
      <c r="AA899" s="64"/>
      <c r="BS899" s="74"/>
    </row>
    <row r="900" ht="18.75" customHeight="1">
      <c r="B900" s="71"/>
      <c r="D900" s="72"/>
      <c r="K900" s="73"/>
      <c r="P900" s="37" t="s">
        <v>29</v>
      </c>
      <c r="Q900" s="64"/>
      <c r="R900" s="64"/>
      <c r="S900" s="64"/>
      <c r="T900" s="64"/>
      <c r="U900" s="64"/>
      <c r="V900" s="64"/>
      <c r="W900" s="64"/>
      <c r="X900" s="64"/>
      <c r="Y900" s="64"/>
      <c r="Z900" s="64"/>
      <c r="AA900" s="64"/>
      <c r="BS900" s="74"/>
    </row>
    <row r="901" ht="18.75" customHeight="1">
      <c r="B901" s="71"/>
      <c r="D901" s="72"/>
      <c r="K901" s="73"/>
      <c r="P901" s="37" t="s">
        <v>29</v>
      </c>
      <c r="Q901" s="64"/>
      <c r="R901" s="64"/>
      <c r="S901" s="64"/>
      <c r="T901" s="64"/>
      <c r="U901" s="64"/>
      <c r="V901" s="64"/>
      <c r="W901" s="64"/>
      <c r="X901" s="64"/>
      <c r="Y901" s="64"/>
      <c r="Z901" s="64"/>
      <c r="AA901" s="64"/>
      <c r="BS901" s="74"/>
    </row>
    <row r="902" ht="18.75" customHeight="1">
      <c r="B902" s="71"/>
      <c r="D902" s="72"/>
      <c r="K902" s="73"/>
      <c r="P902" s="37" t="s">
        <v>29</v>
      </c>
      <c r="Q902" s="64"/>
      <c r="R902" s="64"/>
      <c r="S902" s="64"/>
      <c r="T902" s="64"/>
      <c r="U902" s="64"/>
      <c r="V902" s="64"/>
      <c r="W902" s="64"/>
      <c r="X902" s="64"/>
      <c r="Y902" s="64"/>
      <c r="Z902" s="64"/>
      <c r="AA902" s="64"/>
      <c r="BS902" s="74"/>
    </row>
    <row r="903" ht="18.75" customHeight="1">
      <c r="B903" s="71"/>
      <c r="D903" s="72"/>
      <c r="K903" s="73"/>
      <c r="P903" s="37" t="s">
        <v>29</v>
      </c>
      <c r="Q903" s="64"/>
      <c r="R903" s="64"/>
      <c r="S903" s="64"/>
      <c r="T903" s="64"/>
      <c r="U903" s="64"/>
      <c r="V903" s="64"/>
      <c r="W903" s="64"/>
      <c r="X903" s="64"/>
      <c r="Y903" s="64"/>
      <c r="Z903" s="64"/>
      <c r="AA903" s="64"/>
      <c r="BS903" s="74"/>
    </row>
    <row r="904" ht="18.75" customHeight="1">
      <c r="B904" s="71"/>
      <c r="D904" s="72"/>
      <c r="K904" s="73"/>
      <c r="P904" s="37" t="s">
        <v>29</v>
      </c>
      <c r="Q904" s="64"/>
      <c r="R904" s="64"/>
      <c r="S904" s="64"/>
      <c r="T904" s="64"/>
      <c r="U904" s="64"/>
      <c r="V904" s="64"/>
      <c r="W904" s="64"/>
      <c r="X904" s="64"/>
      <c r="Y904" s="64"/>
      <c r="Z904" s="64"/>
      <c r="AA904" s="64"/>
      <c r="BS904" s="74"/>
    </row>
    <row r="905" ht="18.75" customHeight="1">
      <c r="B905" s="71"/>
      <c r="D905" s="72"/>
      <c r="K905" s="73"/>
      <c r="P905" s="37" t="s">
        <v>29</v>
      </c>
      <c r="Q905" s="64"/>
      <c r="R905" s="64"/>
      <c r="S905" s="64"/>
      <c r="T905" s="64"/>
      <c r="U905" s="64"/>
      <c r="V905" s="64"/>
      <c r="W905" s="64"/>
      <c r="X905" s="64"/>
      <c r="Y905" s="64"/>
      <c r="Z905" s="64"/>
      <c r="AA905" s="64"/>
      <c r="BS905" s="74"/>
    </row>
    <row r="906" ht="18.75" customHeight="1">
      <c r="B906" s="71"/>
      <c r="D906" s="72"/>
      <c r="K906" s="73"/>
      <c r="P906" s="37" t="s">
        <v>29</v>
      </c>
      <c r="Q906" s="64"/>
      <c r="R906" s="64"/>
      <c r="S906" s="64"/>
      <c r="T906" s="64"/>
      <c r="U906" s="64"/>
      <c r="V906" s="64"/>
      <c r="W906" s="64"/>
      <c r="X906" s="64"/>
      <c r="Y906" s="64"/>
      <c r="Z906" s="64"/>
      <c r="AA906" s="64"/>
      <c r="BS906" s="74"/>
    </row>
    <row r="907" ht="18.75" customHeight="1">
      <c r="B907" s="71"/>
      <c r="D907" s="72"/>
      <c r="K907" s="73"/>
      <c r="P907" s="37" t="s">
        <v>29</v>
      </c>
      <c r="Q907" s="64"/>
      <c r="R907" s="64"/>
      <c r="S907" s="64"/>
      <c r="T907" s="64"/>
      <c r="U907" s="64"/>
      <c r="V907" s="64"/>
      <c r="W907" s="64"/>
      <c r="X907" s="64"/>
      <c r="Y907" s="64"/>
      <c r="Z907" s="64"/>
      <c r="AA907" s="64"/>
      <c r="BS907" s="74"/>
    </row>
    <row r="908" ht="18.75" customHeight="1">
      <c r="B908" s="71"/>
      <c r="D908" s="72"/>
      <c r="K908" s="73"/>
      <c r="P908" s="37" t="s">
        <v>29</v>
      </c>
      <c r="Q908" s="64"/>
      <c r="R908" s="64"/>
      <c r="S908" s="64"/>
      <c r="T908" s="64"/>
      <c r="U908" s="64"/>
      <c r="V908" s="64"/>
      <c r="W908" s="64"/>
      <c r="X908" s="64"/>
      <c r="Y908" s="64"/>
      <c r="Z908" s="64"/>
      <c r="AA908" s="64"/>
      <c r="BS908" s="74"/>
    </row>
    <row r="909" ht="18.75" customHeight="1">
      <c r="B909" s="71"/>
      <c r="D909" s="72"/>
      <c r="K909" s="73"/>
      <c r="P909" s="37" t="s">
        <v>29</v>
      </c>
      <c r="Q909" s="64"/>
      <c r="R909" s="64"/>
      <c r="S909" s="64"/>
      <c r="T909" s="64"/>
      <c r="U909" s="64"/>
      <c r="V909" s="64"/>
      <c r="W909" s="64"/>
      <c r="X909" s="64"/>
      <c r="Y909" s="64"/>
      <c r="Z909" s="64"/>
      <c r="AA909" s="64"/>
      <c r="BS909" s="74"/>
    </row>
    <row r="910" ht="18.75" customHeight="1">
      <c r="B910" s="71"/>
      <c r="D910" s="72"/>
      <c r="K910" s="73"/>
      <c r="P910" s="37" t="s">
        <v>29</v>
      </c>
      <c r="Q910" s="64"/>
      <c r="R910" s="64"/>
      <c r="S910" s="64"/>
      <c r="T910" s="64"/>
      <c r="U910" s="64"/>
      <c r="V910" s="64"/>
      <c r="W910" s="64"/>
      <c r="X910" s="64"/>
      <c r="Y910" s="64"/>
      <c r="Z910" s="64"/>
      <c r="AA910" s="64"/>
      <c r="BS910" s="74"/>
    </row>
    <row r="911" ht="18.75" customHeight="1">
      <c r="B911" s="71"/>
      <c r="D911" s="72"/>
      <c r="K911" s="73"/>
      <c r="P911" s="37" t="s">
        <v>29</v>
      </c>
      <c r="Q911" s="64"/>
      <c r="R911" s="64"/>
      <c r="S911" s="64"/>
      <c r="T911" s="64"/>
      <c r="U911" s="64"/>
      <c r="V911" s="64"/>
      <c r="W911" s="64"/>
      <c r="X911" s="64"/>
      <c r="Y911" s="64"/>
      <c r="Z911" s="64"/>
      <c r="AA911" s="64"/>
      <c r="BS911" s="74"/>
    </row>
    <row r="912" ht="18.75" customHeight="1">
      <c r="B912" s="71"/>
      <c r="D912" s="72"/>
      <c r="K912" s="73"/>
      <c r="P912" s="37" t="s">
        <v>29</v>
      </c>
      <c r="Q912" s="64"/>
      <c r="R912" s="64"/>
      <c r="S912" s="64"/>
      <c r="T912" s="64"/>
      <c r="U912" s="64"/>
      <c r="V912" s="64"/>
      <c r="W912" s="64"/>
      <c r="X912" s="64"/>
      <c r="Y912" s="64"/>
      <c r="Z912" s="64"/>
      <c r="AA912" s="64"/>
      <c r="BS912" s="74"/>
    </row>
    <row r="913" ht="18.75" customHeight="1">
      <c r="B913" s="71"/>
      <c r="D913" s="72"/>
      <c r="K913" s="73"/>
      <c r="P913" s="37" t="s">
        <v>29</v>
      </c>
      <c r="Q913" s="64"/>
      <c r="R913" s="64"/>
      <c r="S913" s="64"/>
      <c r="T913" s="64"/>
      <c r="U913" s="64"/>
      <c r="V913" s="64"/>
      <c r="W913" s="64"/>
      <c r="X913" s="64"/>
      <c r="Y913" s="64"/>
      <c r="Z913" s="64"/>
      <c r="AA913" s="64"/>
      <c r="BS913" s="74"/>
    </row>
    <row r="914" ht="18.75" customHeight="1">
      <c r="B914" s="71"/>
      <c r="D914" s="72"/>
      <c r="K914" s="73"/>
      <c r="P914" s="37" t="s">
        <v>29</v>
      </c>
      <c r="Q914" s="64"/>
      <c r="R914" s="64"/>
      <c r="S914" s="64"/>
      <c r="T914" s="64"/>
      <c r="U914" s="64"/>
      <c r="V914" s="64"/>
      <c r="W914" s="64"/>
      <c r="X914" s="64"/>
      <c r="Y914" s="64"/>
      <c r="Z914" s="64"/>
      <c r="AA914" s="64"/>
      <c r="BS914" s="74"/>
    </row>
    <row r="915" ht="18.75" customHeight="1">
      <c r="B915" s="71"/>
      <c r="D915" s="72"/>
      <c r="K915" s="73"/>
      <c r="P915" s="37" t="s">
        <v>29</v>
      </c>
      <c r="Q915" s="64"/>
      <c r="R915" s="64"/>
      <c r="S915" s="64"/>
      <c r="T915" s="64"/>
      <c r="U915" s="64"/>
      <c r="V915" s="64"/>
      <c r="W915" s="64"/>
      <c r="X915" s="64"/>
      <c r="Y915" s="64"/>
      <c r="Z915" s="64"/>
      <c r="AA915" s="64"/>
      <c r="BS915" s="74"/>
    </row>
    <row r="916" ht="18.75" customHeight="1">
      <c r="B916" s="71"/>
      <c r="D916" s="72"/>
      <c r="K916" s="73"/>
      <c r="P916" s="37" t="s">
        <v>29</v>
      </c>
      <c r="Q916" s="64"/>
      <c r="R916" s="64"/>
      <c r="S916" s="64"/>
      <c r="T916" s="64"/>
      <c r="U916" s="64"/>
      <c r="V916" s="64"/>
      <c r="W916" s="64"/>
      <c r="X916" s="64"/>
      <c r="Y916" s="64"/>
      <c r="Z916" s="64"/>
      <c r="AA916" s="64"/>
      <c r="BS916" s="74"/>
    </row>
    <row r="917" ht="18.75" customHeight="1">
      <c r="B917" s="71"/>
      <c r="D917" s="72"/>
      <c r="K917" s="73"/>
      <c r="P917" s="37" t="s">
        <v>29</v>
      </c>
      <c r="Q917" s="64"/>
      <c r="R917" s="64"/>
      <c r="S917" s="64"/>
      <c r="T917" s="64"/>
      <c r="U917" s="64"/>
      <c r="V917" s="64"/>
      <c r="W917" s="64"/>
      <c r="X917" s="64"/>
      <c r="Y917" s="64"/>
      <c r="Z917" s="64"/>
      <c r="AA917" s="64"/>
      <c r="BS917" s="74"/>
    </row>
    <row r="918" ht="18.75" customHeight="1">
      <c r="B918" s="71"/>
      <c r="D918" s="72"/>
      <c r="K918" s="73"/>
      <c r="P918" s="37" t="s">
        <v>29</v>
      </c>
      <c r="Q918" s="64"/>
      <c r="R918" s="64"/>
      <c r="S918" s="64"/>
      <c r="T918" s="64"/>
      <c r="U918" s="64"/>
      <c r="V918" s="64"/>
      <c r="W918" s="64"/>
      <c r="X918" s="64"/>
      <c r="Y918" s="64"/>
      <c r="Z918" s="64"/>
      <c r="AA918" s="64"/>
      <c r="BS918" s="74"/>
    </row>
    <row r="919" ht="18.75" customHeight="1">
      <c r="B919" s="71"/>
      <c r="D919" s="72"/>
      <c r="K919" s="73"/>
      <c r="P919" s="37" t="s">
        <v>29</v>
      </c>
      <c r="Q919" s="64"/>
      <c r="R919" s="64"/>
      <c r="S919" s="64"/>
      <c r="T919" s="64"/>
      <c r="U919" s="64"/>
      <c r="V919" s="64"/>
      <c r="W919" s="64"/>
      <c r="X919" s="64"/>
      <c r="Y919" s="64"/>
      <c r="Z919" s="64"/>
      <c r="AA919" s="64"/>
      <c r="BS919" s="74"/>
    </row>
    <row r="920" ht="18.75" customHeight="1">
      <c r="B920" s="71"/>
      <c r="D920" s="72"/>
      <c r="K920" s="73"/>
      <c r="P920" s="37" t="s">
        <v>29</v>
      </c>
      <c r="Q920" s="64"/>
      <c r="R920" s="64"/>
      <c r="S920" s="64"/>
      <c r="T920" s="64"/>
      <c r="U920" s="64"/>
      <c r="V920" s="64"/>
      <c r="W920" s="64"/>
      <c r="X920" s="64"/>
      <c r="Y920" s="64"/>
      <c r="Z920" s="64"/>
      <c r="AA920" s="64"/>
      <c r="BS920" s="74"/>
    </row>
    <row r="921" ht="18.75" customHeight="1">
      <c r="B921" s="71"/>
      <c r="D921" s="72"/>
      <c r="K921" s="73"/>
      <c r="P921" s="37" t="s">
        <v>29</v>
      </c>
      <c r="Q921" s="64"/>
      <c r="R921" s="64"/>
      <c r="S921" s="64"/>
      <c r="T921" s="64"/>
      <c r="U921" s="64"/>
      <c r="V921" s="64"/>
      <c r="W921" s="64"/>
      <c r="X921" s="64"/>
      <c r="Y921" s="64"/>
      <c r="Z921" s="64"/>
      <c r="AA921" s="64"/>
      <c r="BS921" s="74"/>
    </row>
    <row r="922" ht="18.75" customHeight="1">
      <c r="B922" s="71"/>
      <c r="D922" s="72"/>
      <c r="K922" s="73"/>
      <c r="P922" s="37" t="s">
        <v>29</v>
      </c>
      <c r="Q922" s="64"/>
      <c r="R922" s="64"/>
      <c r="S922" s="64"/>
      <c r="T922" s="64"/>
      <c r="U922" s="64"/>
      <c r="V922" s="64"/>
      <c r="W922" s="64"/>
      <c r="X922" s="64"/>
      <c r="Y922" s="64"/>
      <c r="Z922" s="64"/>
      <c r="AA922" s="64"/>
      <c r="BS922" s="74"/>
    </row>
    <row r="923" ht="18.75" customHeight="1">
      <c r="B923" s="71"/>
      <c r="D923" s="72"/>
      <c r="K923" s="73"/>
      <c r="P923" s="37" t="s">
        <v>29</v>
      </c>
      <c r="Q923" s="64"/>
      <c r="R923" s="64"/>
      <c r="S923" s="64"/>
      <c r="T923" s="64"/>
      <c r="U923" s="64"/>
      <c r="V923" s="64"/>
      <c r="W923" s="64"/>
      <c r="X923" s="64"/>
      <c r="Y923" s="64"/>
      <c r="Z923" s="64"/>
      <c r="AA923" s="64"/>
      <c r="BS923" s="74"/>
    </row>
    <row r="924" ht="18.75" customHeight="1">
      <c r="B924" s="71"/>
      <c r="D924" s="72"/>
      <c r="K924" s="73"/>
      <c r="P924" s="37" t="s">
        <v>29</v>
      </c>
      <c r="Q924" s="64"/>
      <c r="R924" s="64"/>
      <c r="S924" s="64"/>
      <c r="T924" s="64"/>
      <c r="U924" s="64"/>
      <c r="V924" s="64"/>
      <c r="W924" s="64"/>
      <c r="X924" s="64"/>
      <c r="Y924" s="64"/>
      <c r="Z924" s="64"/>
      <c r="AA924" s="64"/>
      <c r="BS924" s="74"/>
    </row>
    <row r="925" ht="18.75" customHeight="1">
      <c r="B925" s="71"/>
      <c r="D925" s="72"/>
      <c r="K925" s="73"/>
      <c r="P925" s="37" t="s">
        <v>29</v>
      </c>
      <c r="Q925" s="64"/>
      <c r="R925" s="64"/>
      <c r="S925" s="64"/>
      <c r="T925" s="64"/>
      <c r="U925" s="64"/>
      <c r="V925" s="64"/>
      <c r="W925" s="64"/>
      <c r="X925" s="64"/>
      <c r="Y925" s="64"/>
      <c r="Z925" s="64"/>
      <c r="AA925" s="64"/>
      <c r="BS925" s="74"/>
    </row>
    <row r="926" ht="18.75" customHeight="1">
      <c r="B926" s="71"/>
      <c r="D926" s="72"/>
      <c r="K926" s="73"/>
      <c r="P926" s="37" t="s">
        <v>29</v>
      </c>
      <c r="Q926" s="64"/>
      <c r="R926" s="64"/>
      <c r="S926" s="64"/>
      <c r="T926" s="64"/>
      <c r="U926" s="64"/>
      <c r="V926" s="64"/>
      <c r="W926" s="64"/>
      <c r="X926" s="64"/>
      <c r="Y926" s="64"/>
      <c r="Z926" s="64"/>
      <c r="AA926" s="64"/>
      <c r="BS926" s="74"/>
    </row>
    <row r="927" ht="18.75" customHeight="1">
      <c r="B927" s="71"/>
      <c r="D927" s="72"/>
      <c r="K927" s="73"/>
      <c r="P927" s="37" t="s">
        <v>29</v>
      </c>
      <c r="Q927" s="64"/>
      <c r="R927" s="64"/>
      <c r="S927" s="64"/>
      <c r="T927" s="64"/>
      <c r="U927" s="64"/>
      <c r="V927" s="64"/>
      <c r="W927" s="64"/>
      <c r="X927" s="64"/>
      <c r="Y927" s="64"/>
      <c r="Z927" s="64"/>
      <c r="AA927" s="64"/>
      <c r="BS927" s="74"/>
    </row>
    <row r="928" ht="18.75" customHeight="1">
      <c r="B928" s="71"/>
      <c r="D928" s="72"/>
      <c r="K928" s="73"/>
      <c r="P928" s="37" t="s">
        <v>29</v>
      </c>
      <c r="Q928" s="64"/>
      <c r="R928" s="64"/>
      <c r="S928" s="64"/>
      <c r="T928" s="64"/>
      <c r="U928" s="64"/>
      <c r="V928" s="64"/>
      <c r="W928" s="64"/>
      <c r="X928" s="64"/>
      <c r="Y928" s="64"/>
      <c r="Z928" s="64"/>
      <c r="AA928" s="64"/>
      <c r="BS928" s="74"/>
    </row>
    <row r="929" ht="18.75" customHeight="1">
      <c r="B929" s="71"/>
      <c r="D929" s="72"/>
      <c r="K929" s="73"/>
      <c r="P929" s="37" t="s">
        <v>29</v>
      </c>
      <c r="Q929" s="64"/>
      <c r="R929" s="64"/>
      <c r="S929" s="64"/>
      <c r="T929" s="64"/>
      <c r="U929" s="64"/>
      <c r="V929" s="64"/>
      <c r="W929" s="64"/>
      <c r="X929" s="64"/>
      <c r="Y929" s="64"/>
      <c r="Z929" s="64"/>
      <c r="AA929" s="64"/>
      <c r="BS929" s="74"/>
    </row>
    <row r="930" ht="18.75" customHeight="1">
      <c r="B930" s="71"/>
      <c r="D930" s="72"/>
      <c r="K930" s="73"/>
      <c r="P930" s="37" t="s">
        <v>29</v>
      </c>
      <c r="Q930" s="64"/>
      <c r="R930" s="64"/>
      <c r="S930" s="64"/>
      <c r="T930" s="64"/>
      <c r="U930" s="64"/>
      <c r="V930" s="64"/>
      <c r="W930" s="64"/>
      <c r="X930" s="64"/>
      <c r="Y930" s="64"/>
      <c r="Z930" s="64"/>
      <c r="AA930" s="64"/>
      <c r="BS930" s="74"/>
    </row>
    <row r="931" ht="18.75" customHeight="1">
      <c r="B931" s="71"/>
      <c r="D931" s="72"/>
      <c r="K931" s="73"/>
      <c r="P931" s="37" t="s">
        <v>29</v>
      </c>
      <c r="Q931" s="64"/>
      <c r="R931" s="64"/>
      <c r="S931" s="64"/>
      <c r="T931" s="64"/>
      <c r="U931" s="64"/>
      <c r="V931" s="64"/>
      <c r="W931" s="64"/>
      <c r="X931" s="64"/>
      <c r="Y931" s="64"/>
      <c r="Z931" s="64"/>
      <c r="AA931" s="64"/>
      <c r="BS931" s="74"/>
    </row>
    <row r="932" ht="18.75" customHeight="1">
      <c r="B932" s="71"/>
      <c r="D932" s="72"/>
      <c r="K932" s="73"/>
      <c r="P932" s="37" t="s">
        <v>29</v>
      </c>
      <c r="Q932" s="64"/>
      <c r="R932" s="64"/>
      <c r="S932" s="64"/>
      <c r="T932" s="64"/>
      <c r="U932" s="64"/>
      <c r="V932" s="64"/>
      <c r="W932" s="64"/>
      <c r="X932" s="64"/>
      <c r="Y932" s="64"/>
      <c r="Z932" s="64"/>
      <c r="AA932" s="64"/>
      <c r="BS932" s="74"/>
    </row>
    <row r="933" ht="18.75" customHeight="1">
      <c r="B933" s="71"/>
      <c r="D933" s="72"/>
      <c r="K933" s="73"/>
      <c r="P933" s="37" t="s">
        <v>29</v>
      </c>
      <c r="Q933" s="64"/>
      <c r="R933" s="64"/>
      <c r="S933" s="64"/>
      <c r="T933" s="64"/>
      <c r="U933" s="64"/>
      <c r="V933" s="64"/>
      <c r="W933" s="64"/>
      <c r="X933" s="64"/>
      <c r="Y933" s="64"/>
      <c r="Z933" s="64"/>
      <c r="AA933" s="64"/>
      <c r="BS933" s="74"/>
    </row>
    <row r="934" ht="18.75" customHeight="1">
      <c r="B934" s="71"/>
      <c r="D934" s="72"/>
      <c r="K934" s="73"/>
      <c r="P934" s="37" t="s">
        <v>29</v>
      </c>
      <c r="Q934" s="64"/>
      <c r="R934" s="64"/>
      <c r="S934" s="64"/>
      <c r="T934" s="64"/>
      <c r="U934" s="64"/>
      <c r="V934" s="64"/>
      <c r="W934" s="64"/>
      <c r="X934" s="64"/>
      <c r="Y934" s="64"/>
      <c r="Z934" s="64"/>
      <c r="AA934" s="64"/>
      <c r="BS934" s="74"/>
    </row>
    <row r="935" ht="18.75" customHeight="1">
      <c r="B935" s="71"/>
      <c r="D935" s="72"/>
      <c r="K935" s="73"/>
      <c r="P935" s="37" t="s">
        <v>29</v>
      </c>
      <c r="Q935" s="64"/>
      <c r="R935" s="64"/>
      <c r="S935" s="64"/>
      <c r="T935" s="64"/>
      <c r="U935" s="64"/>
      <c r="V935" s="64"/>
      <c r="W935" s="64"/>
      <c r="X935" s="64"/>
      <c r="Y935" s="64"/>
      <c r="Z935" s="64"/>
      <c r="AA935" s="64"/>
      <c r="BS935" s="74"/>
    </row>
    <row r="936" ht="18.75" customHeight="1">
      <c r="B936" s="71"/>
      <c r="D936" s="72"/>
      <c r="K936" s="73"/>
      <c r="P936" s="37" t="s">
        <v>29</v>
      </c>
      <c r="Q936" s="64"/>
      <c r="R936" s="64"/>
      <c r="S936" s="64"/>
      <c r="T936" s="64"/>
      <c r="U936" s="64"/>
      <c r="V936" s="64"/>
      <c r="W936" s="64"/>
      <c r="X936" s="64"/>
      <c r="Y936" s="64"/>
      <c r="Z936" s="64"/>
      <c r="AA936" s="64"/>
      <c r="BS936" s="74"/>
    </row>
    <row r="937" ht="18.75" customHeight="1">
      <c r="B937" s="71"/>
      <c r="D937" s="72"/>
      <c r="K937" s="73"/>
      <c r="P937" s="37" t="s">
        <v>29</v>
      </c>
      <c r="Q937" s="64"/>
      <c r="R937" s="64"/>
      <c r="S937" s="64"/>
      <c r="T937" s="64"/>
      <c r="U937" s="64"/>
      <c r="V937" s="64"/>
      <c r="W937" s="64"/>
      <c r="X937" s="64"/>
      <c r="Y937" s="64"/>
      <c r="Z937" s="64"/>
      <c r="AA937" s="64"/>
      <c r="BS937" s="74"/>
    </row>
    <row r="938" ht="18.75" customHeight="1">
      <c r="B938" s="71"/>
      <c r="D938" s="72"/>
      <c r="K938" s="73"/>
      <c r="P938" s="37" t="s">
        <v>29</v>
      </c>
      <c r="Q938" s="64"/>
      <c r="R938" s="64"/>
      <c r="S938" s="64"/>
      <c r="T938" s="64"/>
      <c r="U938" s="64"/>
      <c r="V938" s="64"/>
      <c r="W938" s="64"/>
      <c r="X938" s="64"/>
      <c r="Y938" s="64"/>
      <c r="Z938" s="64"/>
      <c r="AA938" s="64"/>
      <c r="BS938" s="74"/>
    </row>
    <row r="939" ht="18.75" customHeight="1">
      <c r="B939" s="71"/>
      <c r="D939" s="72"/>
      <c r="K939" s="73"/>
      <c r="P939" s="37" t="s">
        <v>29</v>
      </c>
      <c r="Q939" s="64"/>
      <c r="R939" s="64"/>
      <c r="S939" s="64"/>
      <c r="T939" s="64"/>
      <c r="U939" s="64"/>
      <c r="V939" s="64"/>
      <c r="W939" s="64"/>
      <c r="X939" s="64"/>
      <c r="Y939" s="64"/>
      <c r="Z939" s="64"/>
      <c r="AA939" s="64"/>
      <c r="BS939" s="74"/>
    </row>
    <row r="940" ht="18.75" customHeight="1">
      <c r="B940" s="71"/>
      <c r="D940" s="72"/>
      <c r="K940" s="73"/>
      <c r="P940" s="37" t="s">
        <v>29</v>
      </c>
      <c r="Q940" s="64"/>
      <c r="R940" s="64"/>
      <c r="S940" s="64"/>
      <c r="T940" s="64"/>
      <c r="U940" s="64"/>
      <c r="V940" s="64"/>
      <c r="W940" s="64"/>
      <c r="X940" s="64"/>
      <c r="Y940" s="64"/>
      <c r="Z940" s="64"/>
      <c r="AA940" s="64"/>
      <c r="BS940" s="74"/>
    </row>
    <row r="941" ht="18.75" customHeight="1">
      <c r="B941" s="71"/>
      <c r="D941" s="72"/>
      <c r="K941" s="73"/>
      <c r="P941" s="37" t="s">
        <v>29</v>
      </c>
      <c r="Q941" s="64"/>
      <c r="R941" s="64"/>
      <c r="S941" s="64"/>
      <c r="T941" s="64"/>
      <c r="U941" s="64"/>
      <c r="V941" s="64"/>
      <c r="W941" s="64"/>
      <c r="X941" s="64"/>
      <c r="Y941" s="64"/>
      <c r="Z941" s="64"/>
      <c r="AA941" s="64"/>
      <c r="BS941" s="74"/>
    </row>
    <row r="942" ht="18.75" customHeight="1">
      <c r="B942" s="71"/>
      <c r="D942" s="72"/>
      <c r="K942" s="73"/>
      <c r="P942" s="37" t="s">
        <v>29</v>
      </c>
      <c r="Q942" s="64"/>
      <c r="R942" s="64"/>
      <c r="S942" s="64"/>
      <c r="T942" s="64"/>
      <c r="U942" s="64"/>
      <c r="V942" s="64"/>
      <c r="W942" s="64"/>
      <c r="X942" s="64"/>
      <c r="Y942" s="64"/>
      <c r="Z942" s="64"/>
      <c r="AA942" s="64"/>
      <c r="BS942" s="74"/>
    </row>
    <row r="943" ht="18.75" customHeight="1">
      <c r="B943" s="71"/>
      <c r="D943" s="72"/>
      <c r="K943" s="73"/>
      <c r="P943" s="37" t="s">
        <v>29</v>
      </c>
      <c r="Q943" s="64"/>
      <c r="R943" s="64"/>
      <c r="S943" s="64"/>
      <c r="T943" s="64"/>
      <c r="U943" s="64"/>
      <c r="V943" s="64"/>
      <c r="W943" s="64"/>
      <c r="X943" s="64"/>
      <c r="Y943" s="64"/>
      <c r="Z943" s="64"/>
      <c r="AA943" s="64"/>
      <c r="BS943" s="74"/>
    </row>
    <row r="944" ht="18.75" customHeight="1">
      <c r="B944" s="71"/>
      <c r="D944" s="72"/>
      <c r="K944" s="73"/>
      <c r="P944" s="37" t="s">
        <v>29</v>
      </c>
      <c r="Q944" s="64"/>
      <c r="R944" s="64"/>
      <c r="S944" s="64"/>
      <c r="T944" s="64"/>
      <c r="U944" s="64"/>
      <c r="V944" s="64"/>
      <c r="W944" s="64"/>
      <c r="X944" s="64"/>
      <c r="Y944" s="64"/>
      <c r="Z944" s="64"/>
      <c r="AA944" s="64"/>
      <c r="BS944" s="74"/>
    </row>
    <row r="945" ht="18.75" customHeight="1">
      <c r="B945" s="71"/>
      <c r="D945" s="72"/>
      <c r="K945" s="73"/>
      <c r="P945" s="37" t="s">
        <v>29</v>
      </c>
      <c r="Q945" s="64"/>
      <c r="R945" s="64"/>
      <c r="S945" s="64"/>
      <c r="T945" s="64"/>
      <c r="U945" s="64"/>
      <c r="V945" s="64"/>
      <c r="W945" s="64"/>
      <c r="X945" s="64"/>
      <c r="Y945" s="64"/>
      <c r="Z945" s="64"/>
      <c r="AA945" s="64"/>
      <c r="BS945" s="74"/>
    </row>
    <row r="946" ht="18.75" customHeight="1">
      <c r="B946" s="71"/>
      <c r="D946" s="72"/>
      <c r="K946" s="73"/>
      <c r="P946" s="37" t="s">
        <v>29</v>
      </c>
      <c r="Q946" s="64"/>
      <c r="R946" s="64"/>
      <c r="S946" s="64"/>
      <c r="T946" s="64"/>
      <c r="U946" s="64"/>
      <c r="V946" s="64"/>
      <c r="W946" s="64"/>
      <c r="X946" s="64"/>
      <c r="Y946" s="64"/>
      <c r="Z946" s="64"/>
      <c r="AA946" s="64"/>
      <c r="BS946" s="74"/>
    </row>
    <row r="947" ht="18.75" customHeight="1">
      <c r="B947" s="71"/>
      <c r="D947" s="72"/>
      <c r="K947" s="73"/>
      <c r="P947" s="37" t="s">
        <v>29</v>
      </c>
      <c r="Q947" s="64"/>
      <c r="R947" s="64"/>
      <c r="S947" s="64"/>
      <c r="T947" s="64"/>
      <c r="U947" s="64"/>
      <c r="V947" s="64"/>
      <c r="W947" s="64"/>
      <c r="X947" s="64"/>
      <c r="Y947" s="64"/>
      <c r="Z947" s="64"/>
      <c r="AA947" s="64"/>
      <c r="BS947" s="74"/>
    </row>
    <row r="948" ht="18.75" customHeight="1">
      <c r="B948" s="71"/>
      <c r="D948" s="72"/>
      <c r="K948" s="73"/>
      <c r="P948" s="37" t="s">
        <v>29</v>
      </c>
      <c r="Q948" s="64"/>
      <c r="R948" s="64"/>
      <c r="S948" s="64"/>
      <c r="T948" s="64"/>
      <c r="U948" s="64"/>
      <c r="V948" s="64"/>
      <c r="W948" s="64"/>
      <c r="X948" s="64"/>
      <c r="Y948" s="64"/>
      <c r="Z948" s="64"/>
      <c r="AA948" s="64"/>
      <c r="BS948" s="74"/>
    </row>
    <row r="949" ht="18.75" customHeight="1">
      <c r="B949" s="71"/>
      <c r="D949" s="72"/>
      <c r="K949" s="73"/>
      <c r="P949" s="37" t="s">
        <v>29</v>
      </c>
      <c r="Q949" s="64"/>
      <c r="R949" s="64"/>
      <c r="S949" s="64"/>
      <c r="T949" s="64"/>
      <c r="U949" s="64"/>
      <c r="V949" s="64"/>
      <c r="W949" s="64"/>
      <c r="X949" s="64"/>
      <c r="Y949" s="64"/>
      <c r="Z949" s="64"/>
      <c r="AA949" s="64"/>
      <c r="BS949" s="74"/>
    </row>
    <row r="950" ht="18.75" customHeight="1">
      <c r="B950" s="71"/>
      <c r="D950" s="72"/>
      <c r="K950" s="73"/>
      <c r="P950" s="37" t="s">
        <v>29</v>
      </c>
      <c r="Q950" s="64"/>
      <c r="R950" s="64"/>
      <c r="S950" s="64"/>
      <c r="T950" s="64"/>
      <c r="U950" s="64"/>
      <c r="V950" s="64"/>
      <c r="W950" s="64"/>
      <c r="X950" s="64"/>
      <c r="Y950" s="64"/>
      <c r="Z950" s="64"/>
      <c r="AA950" s="64"/>
      <c r="BS950" s="74"/>
    </row>
    <row r="951" ht="18.75" customHeight="1">
      <c r="B951" s="71"/>
      <c r="D951" s="72"/>
      <c r="K951" s="73"/>
      <c r="P951" s="37" t="s">
        <v>29</v>
      </c>
      <c r="Q951" s="64"/>
      <c r="R951" s="64"/>
      <c r="S951" s="64"/>
      <c r="T951" s="64"/>
      <c r="U951" s="64"/>
      <c r="V951" s="64"/>
      <c r="W951" s="64"/>
      <c r="X951" s="64"/>
      <c r="Y951" s="64"/>
      <c r="Z951" s="64"/>
      <c r="AA951" s="64"/>
      <c r="BS951" s="74"/>
    </row>
    <row r="952" ht="18.75" customHeight="1">
      <c r="B952" s="71"/>
      <c r="D952" s="72"/>
      <c r="K952" s="73"/>
      <c r="P952" s="37" t="s">
        <v>29</v>
      </c>
      <c r="Q952" s="64"/>
      <c r="R952" s="64"/>
      <c r="S952" s="64"/>
      <c r="T952" s="64"/>
      <c r="U952" s="64"/>
      <c r="V952" s="64"/>
      <c r="W952" s="64"/>
      <c r="X952" s="64"/>
      <c r="Y952" s="64"/>
      <c r="Z952" s="64"/>
      <c r="AA952" s="64"/>
      <c r="BS952" s="74"/>
    </row>
    <row r="953" ht="18.75" customHeight="1">
      <c r="B953" s="71"/>
      <c r="D953" s="72"/>
      <c r="K953" s="73"/>
      <c r="P953" s="37" t="s">
        <v>29</v>
      </c>
      <c r="Q953" s="64"/>
      <c r="R953" s="64"/>
      <c r="S953" s="64"/>
      <c r="T953" s="64"/>
      <c r="U953" s="64"/>
      <c r="V953" s="64"/>
      <c r="W953" s="64"/>
      <c r="X953" s="64"/>
      <c r="Y953" s="64"/>
      <c r="Z953" s="64"/>
      <c r="AA953" s="64"/>
      <c r="BS953" s="74"/>
    </row>
    <row r="954" ht="18.75" customHeight="1">
      <c r="B954" s="71"/>
      <c r="D954" s="72"/>
      <c r="K954" s="73"/>
      <c r="P954" s="37" t="s">
        <v>29</v>
      </c>
      <c r="Q954" s="64"/>
      <c r="R954" s="64"/>
      <c r="S954" s="64"/>
      <c r="T954" s="64"/>
      <c r="U954" s="64"/>
      <c r="V954" s="64"/>
      <c r="W954" s="64"/>
      <c r="X954" s="64"/>
      <c r="Y954" s="64"/>
      <c r="Z954" s="64"/>
      <c r="AA954" s="64"/>
      <c r="BS954" s="74"/>
    </row>
    <row r="955" ht="18.75" customHeight="1">
      <c r="B955" s="71"/>
      <c r="D955" s="72"/>
      <c r="K955" s="73"/>
      <c r="P955" s="37" t="s">
        <v>29</v>
      </c>
      <c r="Q955" s="64"/>
      <c r="R955" s="64"/>
      <c r="S955" s="64"/>
      <c r="T955" s="64"/>
      <c r="U955" s="64"/>
      <c r="V955" s="64"/>
      <c r="W955" s="64"/>
      <c r="X955" s="64"/>
      <c r="Y955" s="64"/>
      <c r="Z955" s="64"/>
      <c r="AA955" s="64"/>
      <c r="BS955" s="74"/>
    </row>
    <row r="956" ht="18.75" customHeight="1">
      <c r="B956" s="71"/>
      <c r="D956" s="72"/>
      <c r="K956" s="73"/>
      <c r="P956" s="37" t="s">
        <v>29</v>
      </c>
      <c r="Q956" s="64"/>
      <c r="R956" s="64"/>
      <c r="S956" s="64"/>
      <c r="T956" s="64"/>
      <c r="U956" s="64"/>
      <c r="V956" s="64"/>
      <c r="W956" s="64"/>
      <c r="X956" s="64"/>
      <c r="Y956" s="64"/>
      <c r="Z956" s="64"/>
      <c r="AA956" s="64"/>
      <c r="BS956" s="74"/>
    </row>
    <row r="957" ht="18.75" customHeight="1">
      <c r="B957" s="71"/>
      <c r="D957" s="72"/>
      <c r="K957" s="73"/>
      <c r="P957" s="37" t="s">
        <v>29</v>
      </c>
      <c r="Q957" s="64"/>
      <c r="R957" s="64"/>
      <c r="S957" s="64"/>
      <c r="T957" s="64"/>
      <c r="U957" s="64"/>
      <c r="V957" s="64"/>
      <c r="W957" s="64"/>
      <c r="X957" s="64"/>
      <c r="Y957" s="64"/>
      <c r="Z957" s="64"/>
      <c r="AA957" s="64"/>
      <c r="BS957" s="74"/>
    </row>
    <row r="958" ht="18.75" customHeight="1">
      <c r="B958" s="71"/>
      <c r="D958" s="72"/>
      <c r="K958" s="73"/>
      <c r="P958" s="37" t="s">
        <v>29</v>
      </c>
      <c r="Q958" s="64"/>
      <c r="R958" s="64"/>
      <c r="S958" s="64"/>
      <c r="T958" s="64"/>
      <c r="U958" s="64"/>
      <c r="V958" s="64"/>
      <c r="W958" s="64"/>
      <c r="X958" s="64"/>
      <c r="Y958" s="64"/>
      <c r="Z958" s="64"/>
      <c r="AA958" s="64"/>
      <c r="BS958" s="74"/>
    </row>
    <row r="959" ht="18.75" customHeight="1">
      <c r="B959" s="71"/>
      <c r="D959" s="72"/>
      <c r="K959" s="73"/>
      <c r="P959" s="37" t="s">
        <v>29</v>
      </c>
      <c r="Q959" s="64"/>
      <c r="R959" s="64"/>
      <c r="S959" s="64"/>
      <c r="T959" s="64"/>
      <c r="U959" s="64"/>
      <c r="V959" s="64"/>
      <c r="W959" s="64"/>
      <c r="X959" s="64"/>
      <c r="Y959" s="64"/>
      <c r="Z959" s="64"/>
      <c r="AA959" s="64"/>
      <c r="BS959" s="74"/>
    </row>
    <row r="960" ht="18.75" customHeight="1">
      <c r="B960" s="71"/>
      <c r="D960" s="72"/>
      <c r="K960" s="73"/>
      <c r="P960" s="37" t="s">
        <v>29</v>
      </c>
      <c r="Q960" s="64"/>
      <c r="R960" s="64"/>
      <c r="S960" s="64"/>
      <c r="T960" s="64"/>
      <c r="U960" s="64"/>
      <c r="V960" s="64"/>
      <c r="W960" s="64"/>
      <c r="X960" s="64"/>
      <c r="Y960" s="64"/>
      <c r="Z960" s="64"/>
      <c r="AA960" s="64"/>
      <c r="BS960" s="74"/>
    </row>
    <row r="961" ht="18.75" customHeight="1">
      <c r="B961" s="71"/>
      <c r="D961" s="72"/>
      <c r="K961" s="73"/>
      <c r="P961" s="37" t="s">
        <v>29</v>
      </c>
      <c r="Q961" s="64"/>
      <c r="R961" s="64"/>
      <c r="S961" s="64"/>
      <c r="T961" s="64"/>
      <c r="U961" s="64"/>
      <c r="V961" s="64"/>
      <c r="W961" s="64"/>
      <c r="X961" s="64"/>
      <c r="Y961" s="64"/>
      <c r="Z961" s="64"/>
      <c r="AA961" s="64"/>
      <c r="BS961" s="74"/>
    </row>
    <row r="962" ht="18.75" customHeight="1">
      <c r="B962" s="71"/>
      <c r="D962" s="72"/>
      <c r="K962" s="73"/>
      <c r="P962" s="37" t="s">
        <v>29</v>
      </c>
      <c r="Q962" s="64"/>
      <c r="R962" s="64"/>
      <c r="S962" s="64"/>
      <c r="T962" s="64"/>
      <c r="U962" s="64"/>
      <c r="V962" s="64"/>
      <c r="W962" s="64"/>
      <c r="X962" s="64"/>
      <c r="Y962" s="64"/>
      <c r="Z962" s="64"/>
      <c r="AA962" s="64"/>
      <c r="BS962" s="74"/>
    </row>
    <row r="963" ht="18.75" customHeight="1">
      <c r="B963" s="71"/>
      <c r="D963" s="72"/>
      <c r="K963" s="73"/>
      <c r="P963" s="37" t="s">
        <v>29</v>
      </c>
      <c r="Q963" s="64"/>
      <c r="R963" s="64"/>
      <c r="S963" s="64"/>
      <c r="T963" s="64"/>
      <c r="U963" s="64"/>
      <c r="V963" s="64"/>
      <c r="W963" s="64"/>
      <c r="X963" s="64"/>
      <c r="Y963" s="64"/>
      <c r="Z963" s="64"/>
      <c r="AA963" s="64"/>
      <c r="BS963" s="74"/>
    </row>
    <row r="964" ht="18.75" customHeight="1">
      <c r="B964" s="71"/>
      <c r="D964" s="72"/>
      <c r="K964" s="73"/>
      <c r="P964" s="37" t="s">
        <v>29</v>
      </c>
      <c r="Q964" s="64"/>
      <c r="R964" s="64"/>
      <c r="S964" s="64"/>
      <c r="T964" s="64"/>
      <c r="U964" s="64"/>
      <c r="V964" s="64"/>
      <c r="W964" s="64"/>
      <c r="X964" s="64"/>
      <c r="Y964" s="64"/>
      <c r="Z964" s="64"/>
      <c r="AA964" s="64"/>
      <c r="BS964" s="74"/>
    </row>
    <row r="965" ht="18.75" customHeight="1">
      <c r="B965" s="71"/>
      <c r="D965" s="72"/>
      <c r="K965" s="73"/>
      <c r="P965" s="37" t="s">
        <v>29</v>
      </c>
      <c r="Q965" s="64"/>
      <c r="R965" s="64"/>
      <c r="S965" s="64"/>
      <c r="T965" s="64"/>
      <c r="U965" s="64"/>
      <c r="V965" s="64"/>
      <c r="W965" s="64"/>
      <c r="X965" s="64"/>
      <c r="Y965" s="64"/>
      <c r="Z965" s="64"/>
      <c r="AA965" s="64"/>
      <c r="BS965" s="74"/>
    </row>
    <row r="966" ht="18.75" customHeight="1">
      <c r="B966" s="71"/>
      <c r="D966" s="72"/>
      <c r="K966" s="73"/>
      <c r="P966" s="37" t="s">
        <v>29</v>
      </c>
      <c r="Q966" s="64"/>
      <c r="R966" s="64"/>
      <c r="S966" s="64"/>
      <c r="T966" s="64"/>
      <c r="U966" s="64"/>
      <c r="V966" s="64"/>
      <c r="W966" s="64"/>
      <c r="X966" s="64"/>
      <c r="Y966" s="64"/>
      <c r="Z966" s="64"/>
      <c r="AA966" s="64"/>
      <c r="BS966" s="74"/>
    </row>
    <row r="967" ht="18.75" customHeight="1">
      <c r="B967" s="71"/>
      <c r="D967" s="72"/>
      <c r="K967" s="73"/>
      <c r="P967" s="37" t="s">
        <v>29</v>
      </c>
      <c r="Q967" s="64"/>
      <c r="R967" s="64"/>
      <c r="S967" s="64"/>
      <c r="T967" s="64"/>
      <c r="U967" s="64"/>
      <c r="V967" s="64"/>
      <c r="W967" s="64"/>
      <c r="X967" s="64"/>
      <c r="Y967" s="64"/>
      <c r="Z967" s="64"/>
      <c r="AA967" s="64"/>
      <c r="BS967" s="74"/>
    </row>
    <row r="968" ht="18.75" customHeight="1">
      <c r="B968" s="71"/>
      <c r="D968" s="72"/>
      <c r="K968" s="73"/>
      <c r="P968" s="37" t="s">
        <v>29</v>
      </c>
      <c r="Q968" s="64"/>
      <c r="R968" s="64"/>
      <c r="S968" s="64"/>
      <c r="T968" s="64"/>
      <c r="U968" s="64"/>
      <c r="V968" s="64"/>
      <c r="W968" s="64"/>
      <c r="X968" s="64"/>
      <c r="Y968" s="64"/>
      <c r="Z968" s="64"/>
      <c r="AA968" s="64"/>
      <c r="BS968" s="74"/>
    </row>
    <row r="969" ht="18.75" customHeight="1">
      <c r="B969" s="71"/>
      <c r="D969" s="72"/>
      <c r="K969" s="73"/>
      <c r="P969" s="37" t="s">
        <v>29</v>
      </c>
      <c r="Q969" s="64"/>
      <c r="R969" s="64"/>
      <c r="S969" s="64"/>
      <c r="T969" s="64"/>
      <c r="U969" s="64"/>
      <c r="V969" s="64"/>
      <c r="W969" s="64"/>
      <c r="X969" s="64"/>
      <c r="Y969" s="64"/>
      <c r="Z969" s="64"/>
      <c r="AA969" s="64"/>
      <c r="BS969" s="74"/>
    </row>
    <row r="970" ht="18.75" customHeight="1">
      <c r="B970" s="71"/>
      <c r="D970" s="72"/>
      <c r="K970" s="73"/>
      <c r="P970" s="37" t="s">
        <v>29</v>
      </c>
      <c r="Q970" s="64"/>
      <c r="R970" s="64"/>
      <c r="S970" s="64"/>
      <c r="T970" s="64"/>
      <c r="U970" s="64"/>
      <c r="V970" s="64"/>
      <c r="W970" s="64"/>
      <c r="X970" s="64"/>
      <c r="Y970" s="64"/>
      <c r="Z970" s="64"/>
      <c r="AA970" s="64"/>
      <c r="BS970" s="74"/>
    </row>
    <row r="971" ht="18.75" customHeight="1">
      <c r="B971" s="71"/>
      <c r="D971" s="72"/>
      <c r="K971" s="73"/>
      <c r="P971" s="37" t="s">
        <v>29</v>
      </c>
      <c r="Q971" s="64"/>
      <c r="R971" s="64"/>
      <c r="S971" s="64"/>
      <c r="T971" s="64"/>
      <c r="U971" s="64"/>
      <c r="V971" s="64"/>
      <c r="W971" s="64"/>
      <c r="X971" s="64"/>
      <c r="Y971" s="64"/>
      <c r="Z971" s="64"/>
      <c r="AA971" s="64"/>
      <c r="BS971" s="74"/>
    </row>
    <row r="972" ht="18.75" customHeight="1">
      <c r="B972" s="71"/>
      <c r="D972" s="72"/>
      <c r="K972" s="73"/>
      <c r="P972" s="37" t="s">
        <v>29</v>
      </c>
      <c r="Q972" s="64"/>
      <c r="R972" s="64"/>
      <c r="S972" s="64"/>
      <c r="T972" s="64"/>
      <c r="U972" s="64"/>
      <c r="V972" s="64"/>
      <c r="W972" s="64"/>
      <c r="X972" s="64"/>
      <c r="Y972" s="64"/>
      <c r="Z972" s="64"/>
      <c r="AA972" s="64"/>
      <c r="BS972" s="74"/>
    </row>
    <row r="973" ht="18.75" customHeight="1">
      <c r="B973" s="71"/>
      <c r="D973" s="72"/>
      <c r="K973" s="73"/>
      <c r="P973" s="37" t="s">
        <v>29</v>
      </c>
      <c r="Q973" s="64"/>
      <c r="R973" s="64"/>
      <c r="S973" s="64"/>
      <c r="T973" s="64"/>
      <c r="U973" s="64"/>
      <c r="V973" s="64"/>
      <c r="W973" s="64"/>
      <c r="X973" s="64"/>
      <c r="Y973" s="64"/>
      <c r="Z973" s="64"/>
      <c r="AA973" s="64"/>
      <c r="BS973" s="74"/>
    </row>
    <row r="974" ht="18.75" customHeight="1">
      <c r="B974" s="71"/>
      <c r="D974" s="72"/>
      <c r="K974" s="73"/>
      <c r="P974" s="37" t="s">
        <v>29</v>
      </c>
      <c r="Q974" s="64"/>
      <c r="R974" s="64"/>
      <c r="S974" s="64"/>
      <c r="T974" s="64"/>
      <c r="U974" s="64"/>
      <c r="V974" s="64"/>
      <c r="W974" s="64"/>
      <c r="X974" s="64"/>
      <c r="Y974" s="64"/>
      <c r="Z974" s="64"/>
      <c r="AA974" s="64"/>
      <c r="BS974" s="74"/>
    </row>
    <row r="975" ht="18.75" customHeight="1">
      <c r="B975" s="71"/>
      <c r="D975" s="72"/>
      <c r="K975" s="73"/>
      <c r="P975" s="37" t="s">
        <v>29</v>
      </c>
      <c r="Q975" s="64"/>
      <c r="R975" s="64"/>
      <c r="S975" s="64"/>
      <c r="T975" s="64"/>
      <c r="U975" s="64"/>
      <c r="V975" s="64"/>
      <c r="W975" s="64"/>
      <c r="X975" s="64"/>
      <c r="Y975" s="64"/>
      <c r="Z975" s="64"/>
      <c r="AA975" s="64"/>
      <c r="BS975" s="74"/>
    </row>
    <row r="976" ht="18.75" customHeight="1">
      <c r="B976" s="71"/>
      <c r="D976" s="72"/>
      <c r="K976" s="73"/>
      <c r="P976" s="37" t="s">
        <v>29</v>
      </c>
      <c r="Q976" s="64"/>
      <c r="R976" s="64"/>
      <c r="S976" s="64"/>
      <c r="T976" s="64"/>
      <c r="U976" s="64"/>
      <c r="V976" s="64"/>
      <c r="W976" s="64"/>
      <c r="X976" s="64"/>
      <c r="Y976" s="64"/>
      <c r="Z976" s="64"/>
      <c r="AA976" s="64"/>
      <c r="BS976" s="74"/>
    </row>
    <row r="977" ht="18.75" customHeight="1">
      <c r="B977" s="71"/>
      <c r="D977" s="72"/>
      <c r="K977" s="73"/>
      <c r="P977" s="37" t="s">
        <v>29</v>
      </c>
      <c r="Q977" s="64"/>
      <c r="R977" s="64"/>
      <c r="S977" s="64"/>
      <c r="T977" s="64"/>
      <c r="U977" s="64"/>
      <c r="V977" s="64"/>
      <c r="W977" s="64"/>
      <c r="X977" s="64"/>
      <c r="Y977" s="64"/>
      <c r="Z977" s="64"/>
      <c r="AA977" s="64"/>
      <c r="BS977" s="74"/>
    </row>
    <row r="978" ht="18.75" customHeight="1">
      <c r="B978" s="71"/>
      <c r="D978" s="72"/>
      <c r="K978" s="73"/>
      <c r="P978" s="37" t="s">
        <v>29</v>
      </c>
      <c r="Q978" s="64"/>
      <c r="R978" s="64"/>
      <c r="S978" s="64"/>
      <c r="T978" s="64"/>
      <c r="U978" s="64"/>
      <c r="V978" s="64"/>
      <c r="W978" s="64"/>
      <c r="X978" s="64"/>
      <c r="Y978" s="64"/>
      <c r="Z978" s="64"/>
      <c r="AA978" s="64"/>
      <c r="BS978" s="74"/>
    </row>
    <row r="979" ht="18.75" customHeight="1">
      <c r="B979" s="71"/>
      <c r="D979" s="72"/>
      <c r="K979" s="73"/>
      <c r="P979" s="37" t="s">
        <v>29</v>
      </c>
      <c r="Q979" s="64"/>
      <c r="R979" s="64"/>
      <c r="S979" s="64"/>
      <c r="T979" s="64"/>
      <c r="U979" s="64"/>
      <c r="V979" s="64"/>
      <c r="W979" s="64"/>
      <c r="X979" s="64"/>
      <c r="Y979" s="64"/>
      <c r="Z979" s="64"/>
      <c r="AA979" s="64"/>
      <c r="BS979" s="74"/>
    </row>
    <row r="980" ht="18.75" customHeight="1">
      <c r="B980" s="71"/>
      <c r="D980" s="72"/>
      <c r="K980" s="73"/>
      <c r="P980" s="37" t="s">
        <v>29</v>
      </c>
      <c r="Q980" s="64"/>
      <c r="R980" s="64"/>
      <c r="S980" s="64"/>
      <c r="T980" s="64"/>
      <c r="U980" s="64"/>
      <c r="V980" s="64"/>
      <c r="W980" s="64"/>
      <c r="X980" s="64"/>
      <c r="Y980" s="64"/>
      <c r="Z980" s="64"/>
      <c r="AA980" s="64"/>
      <c r="BS980" s="74"/>
    </row>
    <row r="981" ht="18.75" customHeight="1">
      <c r="B981" s="71"/>
      <c r="D981" s="72"/>
      <c r="K981" s="73"/>
      <c r="P981" s="37" t="s">
        <v>29</v>
      </c>
      <c r="Q981" s="64"/>
      <c r="R981" s="64"/>
      <c r="S981" s="64"/>
      <c r="T981" s="64"/>
      <c r="U981" s="64"/>
      <c r="V981" s="64"/>
      <c r="W981" s="64"/>
      <c r="X981" s="64"/>
      <c r="Y981" s="64"/>
      <c r="Z981" s="64"/>
      <c r="AA981" s="64"/>
      <c r="BS981" s="74"/>
    </row>
    <row r="982" ht="18.75" customHeight="1">
      <c r="B982" s="71"/>
      <c r="D982" s="72"/>
      <c r="K982" s="73"/>
      <c r="P982" s="37" t="s">
        <v>29</v>
      </c>
      <c r="Q982" s="64"/>
      <c r="R982" s="64"/>
      <c r="S982" s="64"/>
      <c r="T982" s="64"/>
      <c r="U982" s="64"/>
      <c r="V982" s="64"/>
      <c r="W982" s="64"/>
      <c r="X982" s="64"/>
      <c r="Y982" s="64"/>
      <c r="Z982" s="64"/>
      <c r="AA982" s="64"/>
      <c r="BS982" s="74"/>
    </row>
    <row r="983" ht="18.75" customHeight="1">
      <c r="B983" s="71"/>
      <c r="D983" s="72"/>
      <c r="K983" s="73"/>
      <c r="P983" s="37" t="s">
        <v>29</v>
      </c>
      <c r="Q983" s="64"/>
      <c r="R983" s="64"/>
      <c r="S983" s="64"/>
      <c r="T983" s="64"/>
      <c r="U983" s="64"/>
      <c r="V983" s="64"/>
      <c r="W983" s="64"/>
      <c r="X983" s="64"/>
      <c r="Y983" s="64"/>
      <c r="Z983" s="64"/>
      <c r="AA983" s="64"/>
      <c r="BS983" s="74"/>
    </row>
    <row r="984" ht="18.75" customHeight="1">
      <c r="B984" s="71"/>
      <c r="D984" s="72"/>
      <c r="K984" s="73"/>
      <c r="P984" s="37" t="s">
        <v>29</v>
      </c>
      <c r="Q984" s="64"/>
      <c r="R984" s="64"/>
      <c r="S984" s="64"/>
      <c r="T984" s="64"/>
      <c r="U984" s="64"/>
      <c r="V984" s="64"/>
      <c r="W984" s="64"/>
      <c r="X984" s="64"/>
      <c r="Y984" s="64"/>
      <c r="Z984" s="64"/>
      <c r="AA984" s="64"/>
      <c r="BS984" s="74"/>
    </row>
    <row r="985" ht="18.75" customHeight="1">
      <c r="B985" s="71"/>
      <c r="D985" s="72"/>
      <c r="K985" s="73"/>
      <c r="P985" s="37" t="s">
        <v>29</v>
      </c>
      <c r="Q985" s="64"/>
      <c r="R985" s="64"/>
      <c r="S985" s="64"/>
      <c r="T985" s="64"/>
      <c r="U985" s="64"/>
      <c r="V985" s="64"/>
      <c r="W985" s="64"/>
      <c r="X985" s="64"/>
      <c r="Y985" s="64"/>
      <c r="Z985" s="64"/>
      <c r="AA985" s="64"/>
      <c r="BS985" s="74"/>
    </row>
    <row r="986" ht="18.75" customHeight="1">
      <c r="B986" s="71"/>
      <c r="D986" s="72"/>
      <c r="K986" s="73"/>
      <c r="P986" s="37" t="s">
        <v>29</v>
      </c>
      <c r="Q986" s="64"/>
      <c r="R986" s="64"/>
      <c r="S986" s="64"/>
      <c r="T986" s="64"/>
      <c r="U986" s="64"/>
      <c r="V986" s="64"/>
      <c r="W986" s="64"/>
      <c r="X986" s="64"/>
      <c r="Y986" s="64"/>
      <c r="Z986" s="64"/>
      <c r="AA986" s="64"/>
      <c r="BS986" s="74"/>
    </row>
    <row r="987" ht="18.75" customHeight="1">
      <c r="B987" s="71"/>
      <c r="D987" s="72"/>
      <c r="K987" s="73"/>
      <c r="P987" s="37" t="s">
        <v>29</v>
      </c>
      <c r="Q987" s="64"/>
      <c r="R987" s="64"/>
      <c r="S987" s="64"/>
      <c r="T987" s="64"/>
      <c r="U987" s="64"/>
      <c r="V987" s="64"/>
      <c r="W987" s="64"/>
      <c r="X987" s="64"/>
      <c r="Y987" s="64"/>
      <c r="Z987" s="64"/>
      <c r="AA987" s="64"/>
      <c r="BS987" s="74"/>
    </row>
    <row r="988" ht="18.75" customHeight="1">
      <c r="B988" s="71"/>
      <c r="D988" s="72"/>
      <c r="K988" s="73"/>
      <c r="P988" s="37" t="s">
        <v>29</v>
      </c>
      <c r="Q988" s="64"/>
      <c r="R988" s="64"/>
      <c r="S988" s="64"/>
      <c r="T988" s="64"/>
      <c r="U988" s="64"/>
      <c r="V988" s="64"/>
      <c r="W988" s="64"/>
      <c r="X988" s="64"/>
      <c r="Y988" s="64"/>
      <c r="Z988" s="64"/>
      <c r="AA988" s="64"/>
      <c r="BS988" s="74"/>
    </row>
    <row r="989" ht="18.75" customHeight="1">
      <c r="B989" s="71"/>
      <c r="D989" s="72"/>
      <c r="K989" s="73"/>
      <c r="P989" s="37" t="s">
        <v>29</v>
      </c>
      <c r="Q989" s="64"/>
      <c r="R989" s="64"/>
      <c r="S989" s="64"/>
      <c r="T989" s="64"/>
      <c r="U989" s="64"/>
      <c r="V989" s="64"/>
      <c r="W989" s="64"/>
      <c r="X989" s="64"/>
      <c r="Y989" s="64"/>
      <c r="Z989" s="64"/>
      <c r="AA989" s="64"/>
      <c r="BS989" s="74"/>
    </row>
    <row r="990" ht="18.75" customHeight="1">
      <c r="B990" s="71"/>
      <c r="D990" s="72"/>
      <c r="K990" s="73"/>
      <c r="P990" s="37" t="s">
        <v>29</v>
      </c>
      <c r="Q990" s="64"/>
      <c r="R990" s="64"/>
      <c r="S990" s="64"/>
      <c r="T990" s="64"/>
      <c r="U990" s="64"/>
      <c r="V990" s="64"/>
      <c r="W990" s="64"/>
      <c r="X990" s="64"/>
      <c r="Y990" s="64"/>
      <c r="Z990" s="64"/>
      <c r="AA990" s="64"/>
      <c r="BS990" s="74"/>
    </row>
    <row r="991" ht="18.75" customHeight="1">
      <c r="B991" s="71"/>
      <c r="D991" s="72"/>
      <c r="K991" s="73"/>
      <c r="P991" s="37" t="s">
        <v>29</v>
      </c>
      <c r="Q991" s="64"/>
      <c r="R991" s="64"/>
      <c r="S991" s="64"/>
      <c r="T991" s="64"/>
      <c r="U991" s="64"/>
      <c r="V991" s="64"/>
      <c r="W991" s="64"/>
      <c r="X991" s="64"/>
      <c r="Y991" s="64"/>
      <c r="Z991" s="64"/>
      <c r="AA991" s="64"/>
      <c r="BS991" s="74"/>
    </row>
    <row r="992" ht="18.75" customHeight="1">
      <c r="B992" s="71"/>
      <c r="D992" s="72"/>
      <c r="K992" s="73"/>
      <c r="P992" s="37" t="s">
        <v>29</v>
      </c>
      <c r="Q992" s="64"/>
      <c r="R992" s="64"/>
      <c r="S992" s="64"/>
      <c r="T992" s="64"/>
      <c r="U992" s="64"/>
      <c r="V992" s="64"/>
      <c r="W992" s="64"/>
      <c r="X992" s="64"/>
      <c r="Y992" s="64"/>
      <c r="Z992" s="64"/>
      <c r="AA992" s="64"/>
      <c r="BS992" s="74"/>
    </row>
    <row r="993" ht="18.75" customHeight="1">
      <c r="B993" s="71"/>
      <c r="D993" s="72"/>
      <c r="K993" s="73"/>
      <c r="P993" s="37" t="s">
        <v>29</v>
      </c>
      <c r="Q993" s="64"/>
      <c r="R993" s="64"/>
      <c r="S993" s="64"/>
      <c r="T993" s="64"/>
      <c r="U993" s="64"/>
      <c r="V993" s="64"/>
      <c r="W993" s="64"/>
      <c r="X993" s="64"/>
      <c r="Y993" s="64"/>
      <c r="Z993" s="64"/>
      <c r="AA993" s="64"/>
      <c r="BS993" s="74"/>
    </row>
    <row r="994" ht="18.75" customHeight="1">
      <c r="B994" s="71"/>
      <c r="D994" s="72"/>
      <c r="K994" s="73"/>
      <c r="P994" s="37" t="s">
        <v>29</v>
      </c>
      <c r="Q994" s="64"/>
      <c r="R994" s="64"/>
      <c r="S994" s="64"/>
      <c r="T994" s="64"/>
      <c r="U994" s="64"/>
      <c r="V994" s="64"/>
      <c r="W994" s="64"/>
      <c r="X994" s="64"/>
      <c r="Y994" s="64"/>
      <c r="Z994" s="64"/>
      <c r="AA994" s="64"/>
      <c r="BS994" s="74"/>
    </row>
    <row r="995" ht="18.75" customHeight="1">
      <c r="B995" s="71"/>
      <c r="D995" s="72"/>
      <c r="K995" s="73"/>
      <c r="P995" s="37" t="s">
        <v>29</v>
      </c>
      <c r="Q995" s="64"/>
      <c r="R995" s="64"/>
      <c r="S995" s="64"/>
      <c r="T995" s="64"/>
      <c r="U995" s="64"/>
      <c r="V995" s="64"/>
      <c r="W995" s="64"/>
      <c r="X995" s="64"/>
      <c r="Y995" s="64"/>
      <c r="Z995" s="64"/>
      <c r="AA995" s="64"/>
      <c r="BS995" s="74"/>
    </row>
    <row r="996" ht="18.75" customHeight="1">
      <c r="B996" s="71"/>
      <c r="D996" s="72"/>
      <c r="K996" s="73"/>
      <c r="P996" s="37" t="s">
        <v>29</v>
      </c>
      <c r="Q996" s="64"/>
      <c r="R996" s="64"/>
      <c r="S996" s="64"/>
      <c r="T996" s="64"/>
      <c r="U996" s="64"/>
      <c r="V996" s="64"/>
      <c r="W996" s="64"/>
      <c r="X996" s="64"/>
      <c r="Y996" s="64"/>
      <c r="Z996" s="64"/>
      <c r="AA996" s="64"/>
      <c r="BS996" s="74"/>
    </row>
    <row r="997" ht="18.75" customHeight="1">
      <c r="B997" s="71"/>
      <c r="D997" s="72"/>
      <c r="K997" s="73"/>
      <c r="P997" s="37" t="s">
        <v>29</v>
      </c>
      <c r="Q997" s="64"/>
      <c r="R997" s="64"/>
      <c r="S997" s="64"/>
      <c r="T997" s="64"/>
      <c r="U997" s="64"/>
      <c r="V997" s="64"/>
      <c r="W997" s="64"/>
      <c r="X997" s="64"/>
      <c r="Y997" s="64"/>
      <c r="Z997" s="64"/>
      <c r="AA997" s="64"/>
      <c r="BS997" s="74"/>
    </row>
    <row r="998" ht="18.75" customHeight="1">
      <c r="B998" s="71"/>
      <c r="D998" s="72"/>
      <c r="K998" s="73"/>
      <c r="P998" s="37" t="s">
        <v>29</v>
      </c>
      <c r="Q998" s="64"/>
      <c r="R998" s="64"/>
      <c r="S998" s="64"/>
      <c r="T998" s="64"/>
      <c r="U998" s="64"/>
      <c r="V998" s="64"/>
      <c r="W998" s="64"/>
      <c r="X998" s="64"/>
      <c r="Y998" s="64"/>
      <c r="Z998" s="64"/>
      <c r="AA998" s="64"/>
      <c r="BS998" s="74"/>
    </row>
    <row r="999" ht="18.75" customHeight="1">
      <c r="B999" s="71"/>
      <c r="D999" s="72"/>
      <c r="K999" s="73"/>
      <c r="P999" s="37" t="s">
        <v>29</v>
      </c>
      <c r="Q999" s="64"/>
      <c r="R999" s="64"/>
      <c r="S999" s="64"/>
      <c r="T999" s="64"/>
      <c r="U999" s="64"/>
      <c r="V999" s="64"/>
      <c r="W999" s="64"/>
      <c r="X999" s="64"/>
      <c r="Y999" s="64"/>
      <c r="Z999" s="64"/>
      <c r="AA999" s="64"/>
      <c r="BS999" s="74"/>
    </row>
    <row r="1000" ht="18.75" customHeight="1">
      <c r="B1000" s="71"/>
      <c r="D1000" s="72"/>
      <c r="K1000" s="73"/>
      <c r="P1000" s="37" t="s">
        <v>29</v>
      </c>
      <c r="Q1000" s="64"/>
      <c r="R1000" s="64"/>
      <c r="S1000" s="64"/>
      <c r="T1000" s="64"/>
      <c r="U1000" s="64"/>
      <c r="V1000" s="64"/>
      <c r="W1000" s="64"/>
      <c r="X1000" s="64"/>
      <c r="Y1000" s="64"/>
      <c r="Z1000" s="64"/>
      <c r="AA1000" s="64"/>
      <c r="BS1000" s="74"/>
    </row>
    <row r="1001" ht="18.75" customHeight="1">
      <c r="B1001" s="71"/>
      <c r="D1001" s="72"/>
      <c r="K1001" s="73"/>
      <c r="P1001" s="37" t="s">
        <v>29</v>
      </c>
      <c r="Q1001" s="64"/>
      <c r="R1001" s="64"/>
      <c r="S1001" s="64"/>
      <c r="T1001" s="64"/>
      <c r="U1001" s="64"/>
      <c r="V1001" s="64"/>
      <c r="W1001" s="64"/>
      <c r="X1001" s="64"/>
      <c r="Y1001" s="64"/>
      <c r="Z1001" s="64"/>
      <c r="AA1001" s="64"/>
      <c r="BS1001" s="74"/>
    </row>
    <row r="1002" ht="18.75" customHeight="1">
      <c r="B1002" s="71"/>
      <c r="D1002" s="72"/>
      <c r="K1002" s="73"/>
      <c r="P1002" s="37" t="s">
        <v>29</v>
      </c>
      <c r="Q1002" s="64"/>
      <c r="R1002" s="64"/>
      <c r="S1002" s="64"/>
      <c r="T1002" s="64"/>
      <c r="U1002" s="64"/>
      <c r="V1002" s="64"/>
      <c r="W1002" s="64"/>
      <c r="X1002" s="64"/>
      <c r="Y1002" s="64"/>
      <c r="Z1002" s="64"/>
      <c r="AA1002" s="64"/>
      <c r="BS1002" s="74"/>
    </row>
    <row r="1003" ht="18.75" customHeight="1">
      <c r="B1003" s="71"/>
      <c r="D1003" s="72"/>
      <c r="K1003" s="73"/>
      <c r="P1003" s="37" t="s">
        <v>29</v>
      </c>
      <c r="Q1003" s="64"/>
      <c r="R1003" s="64"/>
      <c r="S1003" s="64"/>
      <c r="T1003" s="64"/>
      <c r="U1003" s="64"/>
      <c r="V1003" s="64"/>
      <c r="W1003" s="64"/>
      <c r="X1003" s="64"/>
      <c r="Y1003" s="64"/>
      <c r="Z1003" s="64"/>
      <c r="AA1003" s="64"/>
      <c r="BS1003" s="74"/>
    </row>
    <row r="1004" ht="18.75" customHeight="1">
      <c r="B1004" s="71"/>
      <c r="D1004" s="72"/>
      <c r="K1004" s="73"/>
      <c r="P1004" s="37" t="s">
        <v>29</v>
      </c>
      <c r="Q1004" s="64"/>
      <c r="R1004" s="64"/>
      <c r="S1004" s="64"/>
      <c r="T1004" s="64"/>
      <c r="U1004" s="64"/>
      <c r="V1004" s="64"/>
      <c r="W1004" s="64"/>
      <c r="X1004" s="64"/>
      <c r="Y1004" s="64"/>
      <c r="Z1004" s="64"/>
      <c r="AA1004" s="64"/>
      <c r="BS1004" s="74"/>
    </row>
    <row r="1005" ht="18.75" customHeight="1">
      <c r="B1005" s="71"/>
      <c r="D1005" s="72"/>
      <c r="K1005" s="73"/>
      <c r="P1005" s="37" t="s">
        <v>29</v>
      </c>
      <c r="Q1005" s="64"/>
      <c r="R1005" s="64"/>
      <c r="S1005" s="64"/>
      <c r="T1005" s="64"/>
      <c r="U1005" s="64"/>
      <c r="V1005" s="64"/>
      <c r="W1005" s="64"/>
      <c r="X1005" s="64"/>
      <c r="Y1005" s="64"/>
      <c r="Z1005" s="64"/>
      <c r="AA1005" s="64"/>
      <c r="BS1005" s="74"/>
    </row>
    <row r="1006" ht="18.75" customHeight="1">
      <c r="B1006" s="71"/>
      <c r="D1006" s="72"/>
      <c r="K1006" s="73"/>
      <c r="P1006" s="37" t="s">
        <v>29</v>
      </c>
      <c r="Q1006" s="64"/>
      <c r="R1006" s="64"/>
      <c r="S1006" s="64"/>
      <c r="T1006" s="64"/>
      <c r="U1006" s="64"/>
      <c r="V1006" s="64"/>
      <c r="W1006" s="64"/>
      <c r="X1006" s="64"/>
      <c r="Y1006" s="64"/>
      <c r="Z1006" s="64"/>
      <c r="AA1006" s="64"/>
      <c r="BS1006" s="74"/>
    </row>
    <row r="1007" ht="18.75" customHeight="1">
      <c r="B1007" s="71"/>
      <c r="D1007" s="72"/>
      <c r="K1007" s="73"/>
      <c r="P1007" s="37" t="s">
        <v>29</v>
      </c>
      <c r="Q1007" s="64"/>
      <c r="R1007" s="64"/>
      <c r="S1007" s="64"/>
      <c r="T1007" s="64"/>
      <c r="U1007" s="64"/>
      <c r="V1007" s="64"/>
      <c r="W1007" s="64"/>
      <c r="X1007" s="64"/>
      <c r="Y1007" s="64"/>
      <c r="Z1007" s="64"/>
      <c r="AA1007" s="64"/>
      <c r="BS1007" s="74"/>
    </row>
    <row r="1008" ht="18.75" customHeight="1">
      <c r="B1008" s="71"/>
      <c r="D1008" s="72"/>
      <c r="K1008" s="73"/>
      <c r="P1008" s="37" t="s">
        <v>29</v>
      </c>
      <c r="Q1008" s="64"/>
      <c r="R1008" s="64"/>
      <c r="S1008" s="64"/>
      <c r="T1008" s="64"/>
      <c r="U1008" s="64"/>
      <c r="V1008" s="64"/>
      <c r="W1008" s="64"/>
      <c r="X1008" s="64"/>
      <c r="Y1008" s="64"/>
      <c r="Z1008" s="64"/>
      <c r="AA1008" s="64"/>
      <c r="BS1008" s="74"/>
    </row>
    <row r="1009" ht="18.75" customHeight="1">
      <c r="B1009" s="71"/>
      <c r="D1009" s="72"/>
      <c r="K1009" s="73"/>
      <c r="P1009" s="37" t="s">
        <v>29</v>
      </c>
      <c r="Q1009" s="64"/>
      <c r="R1009" s="64"/>
      <c r="S1009" s="64"/>
      <c r="T1009" s="64"/>
      <c r="U1009" s="64"/>
      <c r="V1009" s="64"/>
      <c r="W1009" s="64"/>
      <c r="X1009" s="64"/>
      <c r="Y1009" s="64"/>
      <c r="Z1009" s="64"/>
      <c r="AA1009" s="64"/>
      <c r="BS1009" s="74"/>
    </row>
    <row r="1010" ht="18.75" customHeight="1">
      <c r="B1010" s="71"/>
      <c r="D1010" s="72"/>
      <c r="K1010" s="73"/>
      <c r="P1010" s="37" t="s">
        <v>29</v>
      </c>
      <c r="Q1010" s="64"/>
      <c r="R1010" s="64"/>
      <c r="S1010" s="64"/>
      <c r="T1010" s="64"/>
      <c r="U1010" s="64"/>
      <c r="V1010" s="64"/>
      <c r="W1010" s="64"/>
      <c r="X1010" s="64"/>
      <c r="Y1010" s="64"/>
      <c r="Z1010" s="64"/>
      <c r="AA1010" s="64"/>
      <c r="BS1010" s="74"/>
    </row>
    <row r="1011" ht="18.75" customHeight="1">
      <c r="B1011" s="71"/>
      <c r="D1011" s="72"/>
      <c r="K1011" s="73"/>
      <c r="P1011" s="37" t="s">
        <v>29</v>
      </c>
      <c r="Q1011" s="64"/>
      <c r="R1011" s="64"/>
      <c r="S1011" s="64"/>
      <c r="T1011" s="64"/>
      <c r="U1011" s="64"/>
      <c r="V1011" s="64"/>
      <c r="W1011" s="64"/>
      <c r="X1011" s="64"/>
      <c r="Y1011" s="64"/>
      <c r="Z1011" s="64"/>
      <c r="AA1011" s="64"/>
      <c r="BS1011" s="74"/>
    </row>
    <row r="1012" ht="18.75" customHeight="1">
      <c r="B1012" s="71"/>
      <c r="D1012" s="72"/>
      <c r="K1012" s="73"/>
      <c r="P1012" s="37" t="s">
        <v>29</v>
      </c>
      <c r="Q1012" s="64"/>
      <c r="R1012" s="64"/>
      <c r="S1012" s="64"/>
      <c r="T1012" s="64"/>
      <c r="U1012" s="64"/>
      <c r="V1012" s="64"/>
      <c r="W1012" s="64"/>
      <c r="X1012" s="64"/>
      <c r="Y1012" s="64"/>
      <c r="Z1012" s="64"/>
      <c r="AA1012" s="64"/>
      <c r="BS1012" s="74"/>
    </row>
    <row r="1013" ht="18.75" customHeight="1">
      <c r="B1013" s="71"/>
      <c r="D1013" s="72"/>
      <c r="K1013" s="73"/>
      <c r="P1013" s="37" t="s">
        <v>29</v>
      </c>
      <c r="Q1013" s="64"/>
      <c r="R1013" s="64"/>
      <c r="S1013" s="64"/>
      <c r="T1013" s="64"/>
      <c r="U1013" s="64"/>
      <c r="V1013" s="64"/>
      <c r="W1013" s="64"/>
      <c r="X1013" s="64"/>
      <c r="Y1013" s="64"/>
      <c r="Z1013" s="64"/>
      <c r="AA1013" s="64"/>
      <c r="BS1013" s="74"/>
    </row>
    <row r="1014" ht="18.75" customHeight="1">
      <c r="B1014" s="71"/>
      <c r="D1014" s="72"/>
      <c r="K1014" s="73"/>
      <c r="P1014" s="37" t="s">
        <v>29</v>
      </c>
      <c r="Q1014" s="64"/>
      <c r="R1014" s="64"/>
      <c r="S1014" s="64"/>
      <c r="T1014" s="64"/>
      <c r="U1014" s="64"/>
      <c r="V1014" s="64"/>
      <c r="W1014" s="64"/>
      <c r="X1014" s="64"/>
      <c r="Y1014" s="64"/>
      <c r="Z1014" s="64"/>
      <c r="AA1014" s="64"/>
      <c r="BS1014" s="74"/>
    </row>
    <row r="1015" ht="18.75" customHeight="1">
      <c r="B1015" s="71"/>
      <c r="D1015" s="72"/>
      <c r="K1015" s="73"/>
      <c r="P1015" s="37" t="s">
        <v>29</v>
      </c>
      <c r="Q1015" s="64"/>
      <c r="R1015" s="64"/>
      <c r="S1015" s="64"/>
      <c r="T1015" s="64"/>
      <c r="U1015" s="64"/>
      <c r="V1015" s="64"/>
      <c r="W1015" s="64"/>
      <c r="X1015" s="64"/>
      <c r="Y1015" s="64"/>
      <c r="Z1015" s="64"/>
      <c r="AA1015" s="64"/>
      <c r="BS1015" s="74"/>
    </row>
    <row r="1016" ht="18.75" customHeight="1">
      <c r="B1016" s="71"/>
      <c r="D1016" s="72"/>
      <c r="K1016" s="73"/>
      <c r="P1016" s="37" t="s">
        <v>29</v>
      </c>
      <c r="Q1016" s="64"/>
      <c r="R1016" s="64"/>
      <c r="S1016" s="64"/>
      <c r="T1016" s="64"/>
      <c r="U1016" s="64"/>
      <c r="V1016" s="64"/>
      <c r="W1016" s="64"/>
      <c r="X1016" s="64"/>
      <c r="Y1016" s="64"/>
      <c r="Z1016" s="64"/>
      <c r="AA1016" s="64"/>
      <c r="BS1016" s="74"/>
    </row>
    <row r="1017" ht="18.75" customHeight="1">
      <c r="B1017" s="71"/>
      <c r="D1017" s="72"/>
      <c r="K1017" s="73"/>
      <c r="P1017" s="37" t="s">
        <v>29</v>
      </c>
      <c r="Q1017" s="64"/>
      <c r="R1017" s="64"/>
      <c r="S1017" s="64"/>
      <c r="T1017" s="64"/>
      <c r="U1017" s="64"/>
      <c r="V1017" s="64"/>
      <c r="W1017" s="64"/>
      <c r="X1017" s="64"/>
      <c r="Y1017" s="64"/>
      <c r="Z1017" s="64"/>
      <c r="AA1017" s="64"/>
      <c r="BS1017" s="74"/>
    </row>
    <row r="1018" ht="18.75" customHeight="1">
      <c r="B1018" s="71"/>
      <c r="D1018" s="72"/>
      <c r="K1018" s="73"/>
      <c r="P1018" s="37" t="s">
        <v>29</v>
      </c>
      <c r="Q1018" s="64"/>
      <c r="R1018" s="64"/>
      <c r="S1018" s="64"/>
      <c r="T1018" s="64"/>
      <c r="U1018" s="64"/>
      <c r="V1018" s="64"/>
      <c r="W1018" s="64"/>
      <c r="X1018" s="64"/>
      <c r="Y1018" s="64"/>
      <c r="Z1018" s="64"/>
      <c r="AA1018" s="64"/>
      <c r="BS1018" s="74"/>
    </row>
    <row r="1019" ht="18.75" customHeight="1">
      <c r="B1019" s="71"/>
      <c r="D1019" s="72"/>
      <c r="K1019" s="73"/>
      <c r="P1019" s="37" t="s">
        <v>29</v>
      </c>
      <c r="Q1019" s="64"/>
      <c r="R1019" s="64"/>
      <c r="S1019" s="64"/>
      <c r="T1019" s="64"/>
      <c r="U1019" s="64"/>
      <c r="V1019" s="64"/>
      <c r="W1019" s="64"/>
      <c r="X1019" s="64"/>
      <c r="Y1019" s="64"/>
      <c r="Z1019" s="64"/>
      <c r="AA1019" s="64"/>
      <c r="BS1019" s="74"/>
    </row>
    <row r="1020" ht="18.75" customHeight="1">
      <c r="B1020" s="71"/>
      <c r="D1020" s="72"/>
      <c r="K1020" s="73"/>
      <c r="P1020" s="37" t="s">
        <v>29</v>
      </c>
      <c r="Q1020" s="64"/>
      <c r="R1020" s="64"/>
      <c r="S1020" s="64"/>
      <c r="T1020" s="64"/>
      <c r="U1020" s="64"/>
      <c r="V1020" s="64"/>
      <c r="W1020" s="64"/>
      <c r="X1020" s="64"/>
      <c r="Y1020" s="64"/>
      <c r="Z1020" s="64"/>
      <c r="AA1020" s="64"/>
      <c r="BS1020" s="74"/>
    </row>
    <row r="1021" ht="18.75" customHeight="1">
      <c r="B1021" s="71"/>
      <c r="D1021" s="72"/>
      <c r="K1021" s="73"/>
      <c r="P1021" s="37" t="s">
        <v>29</v>
      </c>
      <c r="Q1021" s="64"/>
      <c r="R1021" s="64"/>
      <c r="S1021" s="64"/>
      <c r="T1021" s="64"/>
      <c r="U1021" s="64"/>
      <c r="V1021" s="64"/>
      <c r="W1021" s="64"/>
      <c r="X1021" s="64"/>
      <c r="Y1021" s="64"/>
      <c r="Z1021" s="64"/>
      <c r="AA1021" s="64"/>
      <c r="BS1021" s="74"/>
    </row>
    <row r="1022" ht="18.75" customHeight="1">
      <c r="B1022" s="71"/>
      <c r="D1022" s="72"/>
      <c r="K1022" s="73"/>
      <c r="P1022" s="37" t="s">
        <v>29</v>
      </c>
      <c r="Q1022" s="64"/>
      <c r="R1022" s="64"/>
      <c r="S1022" s="64"/>
      <c r="T1022" s="64"/>
      <c r="U1022" s="64"/>
      <c r="V1022" s="64"/>
      <c r="W1022" s="64"/>
      <c r="X1022" s="64"/>
      <c r="Y1022" s="64"/>
      <c r="Z1022" s="64"/>
      <c r="AA1022" s="64"/>
      <c r="BS1022" s="74"/>
    </row>
    <row r="1023" ht="18.75" customHeight="1">
      <c r="B1023" s="71"/>
      <c r="D1023" s="72"/>
      <c r="K1023" s="73"/>
      <c r="P1023" s="37" t="s">
        <v>29</v>
      </c>
      <c r="Q1023" s="64"/>
      <c r="R1023" s="64"/>
      <c r="S1023" s="64"/>
      <c r="T1023" s="64"/>
      <c r="U1023" s="64"/>
      <c r="V1023" s="64"/>
      <c r="W1023" s="64"/>
      <c r="X1023" s="64"/>
      <c r="Y1023" s="64"/>
      <c r="Z1023" s="64"/>
      <c r="AA1023" s="64"/>
      <c r="BS1023" s="74"/>
    </row>
    <row r="1024" ht="18.75" customHeight="1">
      <c r="B1024" s="71"/>
      <c r="D1024" s="72"/>
      <c r="K1024" s="73"/>
      <c r="P1024" s="37" t="s">
        <v>29</v>
      </c>
      <c r="Q1024" s="64"/>
      <c r="R1024" s="64"/>
      <c r="S1024" s="64"/>
      <c r="T1024" s="64"/>
      <c r="U1024" s="64"/>
      <c r="V1024" s="64"/>
      <c r="W1024" s="64"/>
      <c r="X1024" s="64"/>
      <c r="Y1024" s="64"/>
      <c r="Z1024" s="64"/>
      <c r="AA1024" s="64"/>
      <c r="BS1024" s="74"/>
    </row>
    <row r="1025" ht="18.75" customHeight="1">
      <c r="B1025" s="71"/>
      <c r="D1025" s="72"/>
      <c r="K1025" s="73"/>
      <c r="P1025" s="37" t="s">
        <v>29</v>
      </c>
      <c r="Q1025" s="64"/>
      <c r="R1025" s="64"/>
      <c r="S1025" s="64"/>
      <c r="T1025" s="64"/>
      <c r="U1025" s="64"/>
      <c r="V1025" s="64"/>
      <c r="W1025" s="64"/>
      <c r="X1025" s="64"/>
      <c r="Y1025" s="64"/>
      <c r="Z1025" s="64"/>
      <c r="AA1025" s="64"/>
      <c r="BS1025" s="74"/>
    </row>
    <row r="1026" ht="18.75" customHeight="1">
      <c r="B1026" s="71"/>
      <c r="D1026" s="72"/>
      <c r="K1026" s="73"/>
      <c r="P1026" s="37" t="s">
        <v>29</v>
      </c>
      <c r="Q1026" s="64"/>
      <c r="R1026" s="64"/>
      <c r="S1026" s="64"/>
      <c r="T1026" s="64"/>
      <c r="U1026" s="64"/>
      <c r="V1026" s="64"/>
      <c r="W1026" s="64"/>
      <c r="X1026" s="64"/>
      <c r="Y1026" s="64"/>
      <c r="Z1026" s="64"/>
      <c r="AA1026" s="64"/>
      <c r="BS1026" s="74"/>
    </row>
    <row r="1027" ht="18.75" customHeight="1">
      <c r="B1027" s="71"/>
      <c r="D1027" s="72"/>
      <c r="K1027" s="73"/>
      <c r="P1027" s="37" t="s">
        <v>29</v>
      </c>
      <c r="Q1027" s="64"/>
      <c r="R1027" s="64"/>
      <c r="S1027" s="64"/>
      <c r="T1027" s="64"/>
      <c r="U1027" s="64"/>
      <c r="V1027" s="64"/>
      <c r="W1027" s="64"/>
      <c r="X1027" s="64"/>
      <c r="Y1027" s="64"/>
      <c r="Z1027" s="64"/>
      <c r="AA1027" s="64"/>
      <c r="BS1027" s="74"/>
    </row>
    <row r="1028" ht="18.75" customHeight="1">
      <c r="B1028" s="71"/>
      <c r="D1028" s="72"/>
      <c r="K1028" s="73"/>
      <c r="P1028" s="37" t="s">
        <v>29</v>
      </c>
      <c r="Q1028" s="64"/>
      <c r="R1028" s="64"/>
      <c r="S1028" s="64"/>
      <c r="T1028" s="64"/>
      <c r="U1028" s="64"/>
      <c r="V1028" s="64"/>
      <c r="W1028" s="64"/>
      <c r="X1028" s="64"/>
      <c r="Y1028" s="64"/>
      <c r="Z1028" s="64"/>
      <c r="AA1028" s="64"/>
      <c r="BS1028" s="74"/>
    </row>
    <row r="1029" ht="18.75" customHeight="1">
      <c r="B1029" s="71"/>
      <c r="D1029" s="72"/>
      <c r="K1029" s="73"/>
      <c r="P1029" s="37" t="s">
        <v>29</v>
      </c>
      <c r="Q1029" s="64"/>
      <c r="R1029" s="64"/>
      <c r="S1029" s="64"/>
      <c r="T1029" s="64"/>
      <c r="U1029" s="64"/>
      <c r="V1029" s="64"/>
      <c r="W1029" s="64"/>
      <c r="X1029" s="64"/>
      <c r="Y1029" s="64"/>
      <c r="Z1029" s="64"/>
      <c r="AA1029" s="64"/>
      <c r="BS1029" s="74"/>
    </row>
    <row r="1030" ht="18.75" customHeight="1">
      <c r="B1030" s="71"/>
      <c r="D1030" s="72"/>
      <c r="K1030" s="73"/>
      <c r="P1030" s="37" t="s">
        <v>29</v>
      </c>
      <c r="Q1030" s="64"/>
      <c r="R1030" s="64"/>
      <c r="S1030" s="64"/>
      <c r="T1030" s="64"/>
      <c r="U1030" s="64"/>
      <c r="V1030" s="64"/>
      <c r="W1030" s="64"/>
      <c r="X1030" s="64"/>
      <c r="Y1030" s="64"/>
      <c r="Z1030" s="64"/>
      <c r="AA1030" s="64"/>
      <c r="BS1030" s="74"/>
    </row>
    <row r="1031" ht="18.75" customHeight="1">
      <c r="B1031" s="71"/>
      <c r="D1031" s="72"/>
      <c r="K1031" s="73"/>
      <c r="P1031" s="37" t="s">
        <v>29</v>
      </c>
      <c r="Q1031" s="64"/>
      <c r="R1031" s="64"/>
      <c r="S1031" s="64"/>
      <c r="T1031" s="64"/>
      <c r="U1031" s="64"/>
      <c r="V1031" s="64"/>
      <c r="W1031" s="64"/>
      <c r="X1031" s="64"/>
      <c r="Y1031" s="64"/>
      <c r="Z1031" s="64"/>
      <c r="AA1031" s="64"/>
      <c r="BS1031" s="74"/>
    </row>
    <row r="1032" ht="18.75" customHeight="1">
      <c r="B1032" s="71"/>
      <c r="D1032" s="72"/>
      <c r="K1032" s="73"/>
      <c r="P1032" s="37" t="s">
        <v>29</v>
      </c>
      <c r="Q1032" s="64"/>
      <c r="R1032" s="64"/>
      <c r="S1032" s="64"/>
      <c r="T1032" s="64"/>
      <c r="U1032" s="64"/>
      <c r="V1032" s="64"/>
      <c r="W1032" s="64"/>
      <c r="X1032" s="64"/>
      <c r="Y1032" s="64"/>
      <c r="Z1032" s="64"/>
      <c r="AA1032" s="64"/>
      <c r="BS1032" s="74"/>
    </row>
    <row r="1033" ht="18.75" customHeight="1">
      <c r="B1033" s="71"/>
      <c r="D1033" s="72"/>
      <c r="K1033" s="73"/>
      <c r="P1033" s="37" t="s">
        <v>29</v>
      </c>
      <c r="Q1033" s="64"/>
      <c r="R1033" s="64"/>
      <c r="S1033" s="64"/>
      <c r="T1033" s="64"/>
      <c r="U1033" s="64"/>
      <c r="V1033" s="64"/>
      <c r="W1033" s="64"/>
      <c r="X1033" s="64"/>
      <c r="Y1033" s="64"/>
      <c r="Z1033" s="64"/>
      <c r="AA1033" s="64"/>
      <c r="BS1033" s="74"/>
    </row>
    <row r="1034" ht="18.75" customHeight="1">
      <c r="B1034" s="71"/>
      <c r="D1034" s="72"/>
      <c r="K1034" s="73"/>
      <c r="P1034" s="37" t="s">
        <v>29</v>
      </c>
      <c r="Q1034" s="64"/>
      <c r="R1034" s="64"/>
      <c r="S1034" s="64"/>
      <c r="T1034" s="64"/>
      <c r="U1034" s="64"/>
      <c r="V1034" s="64"/>
      <c r="W1034" s="64"/>
      <c r="X1034" s="64"/>
      <c r="Y1034" s="64"/>
      <c r="Z1034" s="64"/>
      <c r="AA1034" s="64"/>
      <c r="BS1034" s="74"/>
    </row>
    <row r="1035" ht="18.75" customHeight="1">
      <c r="B1035" s="71"/>
      <c r="D1035" s="72"/>
      <c r="K1035" s="73"/>
      <c r="P1035" s="37" t="s">
        <v>29</v>
      </c>
      <c r="Q1035" s="64"/>
      <c r="R1035" s="64"/>
      <c r="S1035" s="64"/>
      <c r="T1035" s="64"/>
      <c r="U1035" s="64"/>
      <c r="V1035" s="64"/>
      <c r="W1035" s="64"/>
      <c r="X1035" s="64"/>
      <c r="Y1035" s="64"/>
      <c r="Z1035" s="64"/>
      <c r="AA1035" s="64"/>
      <c r="BS1035" s="74"/>
    </row>
    <row r="1036" ht="18.75" customHeight="1">
      <c r="B1036" s="71"/>
      <c r="D1036" s="72"/>
      <c r="K1036" s="73"/>
      <c r="P1036" s="37" t="s">
        <v>29</v>
      </c>
      <c r="Q1036" s="64"/>
      <c r="R1036" s="64"/>
      <c r="S1036" s="64"/>
      <c r="T1036" s="64"/>
      <c r="U1036" s="64"/>
      <c r="V1036" s="64"/>
      <c r="W1036" s="64"/>
      <c r="X1036" s="64"/>
      <c r="Y1036" s="64"/>
      <c r="Z1036" s="64"/>
      <c r="AA1036" s="64"/>
      <c r="BS1036" s="74"/>
    </row>
    <row r="1037" ht="18.75" customHeight="1">
      <c r="B1037" s="71"/>
      <c r="D1037" s="72"/>
      <c r="K1037" s="73"/>
      <c r="P1037" s="37" t="s">
        <v>29</v>
      </c>
      <c r="Q1037" s="64"/>
      <c r="R1037" s="64"/>
      <c r="S1037" s="64"/>
      <c r="T1037" s="64"/>
      <c r="U1037" s="64"/>
      <c r="V1037" s="64"/>
      <c r="W1037" s="64"/>
      <c r="X1037" s="64"/>
      <c r="Y1037" s="64"/>
      <c r="Z1037" s="64"/>
      <c r="AA1037" s="64"/>
      <c r="BS1037" s="74"/>
    </row>
    <row r="1038" ht="18.75" customHeight="1">
      <c r="B1038" s="71"/>
      <c r="D1038" s="72"/>
      <c r="K1038" s="73"/>
      <c r="P1038" s="37" t="s">
        <v>29</v>
      </c>
      <c r="Q1038" s="64"/>
      <c r="R1038" s="64"/>
      <c r="S1038" s="64"/>
      <c r="T1038" s="64"/>
      <c r="U1038" s="64"/>
      <c r="V1038" s="64"/>
      <c r="W1038" s="64"/>
      <c r="X1038" s="64"/>
      <c r="Y1038" s="64"/>
      <c r="Z1038" s="64"/>
      <c r="AA1038" s="64"/>
      <c r="BS1038" s="74"/>
    </row>
    <row r="1039" ht="18.75" customHeight="1">
      <c r="B1039" s="71"/>
      <c r="D1039" s="72"/>
      <c r="K1039" s="73"/>
      <c r="P1039" s="37" t="s">
        <v>29</v>
      </c>
      <c r="Q1039" s="64"/>
      <c r="R1039" s="64"/>
      <c r="S1039" s="64"/>
      <c r="T1039" s="64"/>
      <c r="U1039" s="64"/>
      <c r="V1039" s="64"/>
      <c r="W1039" s="64"/>
      <c r="X1039" s="64"/>
      <c r="Y1039" s="64"/>
      <c r="Z1039" s="64"/>
      <c r="AA1039" s="64"/>
      <c r="BS1039" s="74"/>
    </row>
    <row r="1040" ht="18.75" customHeight="1">
      <c r="B1040" s="71"/>
      <c r="D1040" s="72"/>
      <c r="K1040" s="73"/>
      <c r="P1040" s="37" t="s">
        <v>29</v>
      </c>
      <c r="Q1040" s="64"/>
      <c r="R1040" s="64"/>
      <c r="S1040" s="64"/>
      <c r="T1040" s="64"/>
      <c r="U1040" s="64"/>
      <c r="V1040" s="64"/>
      <c r="W1040" s="64"/>
      <c r="X1040" s="64"/>
      <c r="Y1040" s="64"/>
      <c r="Z1040" s="64"/>
      <c r="AA1040" s="64"/>
      <c r="BS1040" s="74"/>
    </row>
    <row r="1041" ht="18.75" customHeight="1">
      <c r="B1041" s="71"/>
      <c r="D1041" s="72"/>
      <c r="K1041" s="73"/>
      <c r="P1041" s="37" t="s">
        <v>29</v>
      </c>
      <c r="Q1041" s="64"/>
      <c r="R1041" s="64"/>
      <c r="S1041" s="64"/>
      <c r="T1041" s="64"/>
      <c r="U1041" s="64"/>
      <c r="V1041" s="64"/>
      <c r="W1041" s="64"/>
      <c r="X1041" s="64"/>
      <c r="Y1041" s="64"/>
      <c r="Z1041" s="64"/>
      <c r="AA1041" s="64"/>
      <c r="BS1041" s="74"/>
    </row>
    <row r="1042" ht="18.75" customHeight="1">
      <c r="B1042" s="71"/>
      <c r="D1042" s="72"/>
      <c r="K1042" s="73"/>
      <c r="P1042" s="37" t="s">
        <v>29</v>
      </c>
      <c r="Q1042" s="64"/>
      <c r="R1042" s="64"/>
      <c r="S1042" s="64"/>
      <c r="T1042" s="64"/>
      <c r="U1042" s="64"/>
      <c r="V1042" s="64"/>
      <c r="W1042" s="64"/>
      <c r="X1042" s="64"/>
      <c r="Y1042" s="64"/>
      <c r="Z1042" s="64"/>
      <c r="AA1042" s="64"/>
      <c r="BS1042" s="74"/>
    </row>
    <row r="1043" ht="18.75" customHeight="1">
      <c r="B1043" s="71"/>
      <c r="D1043" s="72"/>
      <c r="K1043" s="73"/>
      <c r="P1043" s="37" t="s">
        <v>29</v>
      </c>
      <c r="Q1043" s="64"/>
      <c r="R1043" s="64"/>
      <c r="S1043" s="64"/>
      <c r="T1043" s="64"/>
      <c r="U1043" s="64"/>
      <c r="V1043" s="64"/>
      <c r="W1043" s="64"/>
      <c r="X1043" s="64"/>
      <c r="Y1043" s="64"/>
      <c r="Z1043" s="64"/>
      <c r="AA1043" s="64"/>
      <c r="BS1043" s="74"/>
    </row>
    <row r="1044" ht="18.75" customHeight="1">
      <c r="B1044" s="71"/>
      <c r="D1044" s="72"/>
      <c r="K1044" s="73"/>
      <c r="P1044" s="37" t="s">
        <v>29</v>
      </c>
      <c r="Q1044" s="64"/>
      <c r="R1044" s="64"/>
      <c r="S1044" s="64"/>
      <c r="T1044" s="64"/>
      <c r="U1044" s="64"/>
      <c r="V1044" s="64"/>
      <c r="W1044" s="64"/>
      <c r="X1044" s="64"/>
      <c r="Y1044" s="64"/>
      <c r="Z1044" s="64"/>
      <c r="AA1044" s="64"/>
      <c r="BS1044" s="74"/>
    </row>
    <row r="1045" ht="18.75" customHeight="1">
      <c r="B1045" s="71"/>
      <c r="D1045" s="72"/>
      <c r="K1045" s="73"/>
      <c r="P1045" s="37" t="s">
        <v>29</v>
      </c>
      <c r="Q1045" s="64"/>
      <c r="R1045" s="64"/>
      <c r="S1045" s="64"/>
      <c r="T1045" s="64"/>
      <c r="U1045" s="64"/>
      <c r="V1045" s="64"/>
      <c r="W1045" s="64"/>
      <c r="X1045" s="64"/>
      <c r="Y1045" s="64"/>
      <c r="Z1045" s="64"/>
      <c r="AA1045" s="64"/>
      <c r="BS1045" s="74"/>
    </row>
    <row r="1046" ht="18.75" customHeight="1">
      <c r="B1046" s="71"/>
      <c r="D1046" s="72"/>
      <c r="K1046" s="73"/>
      <c r="P1046" s="37" t="s">
        <v>29</v>
      </c>
      <c r="Q1046" s="64"/>
      <c r="R1046" s="64"/>
      <c r="S1046" s="64"/>
      <c r="T1046" s="64"/>
      <c r="U1046" s="64"/>
      <c r="V1046" s="64"/>
      <c r="W1046" s="64"/>
      <c r="X1046" s="64"/>
      <c r="Y1046" s="64"/>
      <c r="Z1046" s="64"/>
      <c r="AA1046" s="64"/>
      <c r="BS1046" s="74"/>
    </row>
    <row r="1047" ht="18.75" customHeight="1">
      <c r="B1047" s="71"/>
      <c r="D1047" s="72"/>
      <c r="K1047" s="73"/>
      <c r="P1047" s="37" t="s">
        <v>29</v>
      </c>
      <c r="Q1047" s="64"/>
      <c r="R1047" s="64"/>
      <c r="S1047" s="64"/>
      <c r="T1047" s="64"/>
      <c r="U1047" s="64"/>
      <c r="V1047" s="64"/>
      <c r="W1047" s="64"/>
      <c r="X1047" s="64"/>
      <c r="Y1047" s="64"/>
      <c r="Z1047" s="64"/>
      <c r="AA1047" s="64"/>
      <c r="BS1047" s="74"/>
    </row>
    <row r="1048" ht="18.75" customHeight="1">
      <c r="B1048" s="71"/>
      <c r="D1048" s="72"/>
      <c r="K1048" s="73"/>
      <c r="P1048" s="37" t="s">
        <v>29</v>
      </c>
      <c r="Q1048" s="64"/>
      <c r="R1048" s="64"/>
      <c r="S1048" s="64"/>
      <c r="T1048" s="64"/>
      <c r="U1048" s="64"/>
      <c r="V1048" s="64"/>
      <c r="W1048" s="64"/>
      <c r="X1048" s="64"/>
      <c r="Y1048" s="64"/>
      <c r="Z1048" s="64"/>
      <c r="AA1048" s="64"/>
      <c r="BS1048" s="74"/>
    </row>
    <row r="1049" ht="18.75" customHeight="1">
      <c r="B1049" s="71"/>
      <c r="D1049" s="72"/>
      <c r="K1049" s="73"/>
      <c r="P1049" s="37" t="s">
        <v>29</v>
      </c>
      <c r="Q1049" s="64"/>
      <c r="R1049" s="64"/>
      <c r="S1049" s="64"/>
      <c r="T1049" s="64"/>
      <c r="U1049" s="64"/>
      <c r="V1049" s="64"/>
      <c r="W1049" s="64"/>
      <c r="X1049" s="64"/>
      <c r="Y1049" s="64"/>
      <c r="Z1049" s="64"/>
      <c r="AA1049" s="64"/>
      <c r="BS1049" s="74"/>
    </row>
    <row r="1050" ht="18.75" customHeight="1">
      <c r="B1050" s="71"/>
      <c r="D1050" s="72"/>
      <c r="K1050" s="73"/>
      <c r="P1050" s="37" t="s">
        <v>29</v>
      </c>
      <c r="Q1050" s="64"/>
      <c r="R1050" s="64"/>
      <c r="S1050" s="64"/>
      <c r="T1050" s="64"/>
      <c r="U1050" s="64"/>
      <c r="V1050" s="64"/>
      <c r="W1050" s="64"/>
      <c r="X1050" s="64"/>
      <c r="Y1050" s="64"/>
      <c r="Z1050" s="64"/>
      <c r="AA1050" s="64"/>
      <c r="BS1050" s="74"/>
    </row>
    <row r="1051" ht="18.75" customHeight="1">
      <c r="B1051" s="71"/>
      <c r="D1051" s="72"/>
      <c r="K1051" s="73"/>
      <c r="P1051" s="37" t="s">
        <v>29</v>
      </c>
      <c r="Q1051" s="64"/>
      <c r="R1051" s="64"/>
      <c r="S1051" s="64"/>
      <c r="T1051" s="64"/>
      <c r="U1051" s="64"/>
      <c r="V1051" s="64"/>
      <c r="W1051" s="64"/>
      <c r="X1051" s="64"/>
      <c r="Y1051" s="64"/>
      <c r="Z1051" s="64"/>
      <c r="AA1051" s="64"/>
      <c r="BS1051" s="74"/>
    </row>
    <row r="1052" ht="18.75" customHeight="1">
      <c r="B1052" s="71"/>
      <c r="D1052" s="72"/>
      <c r="K1052" s="73"/>
      <c r="P1052" s="37" t="s">
        <v>29</v>
      </c>
      <c r="Q1052" s="64"/>
      <c r="R1052" s="64"/>
      <c r="S1052" s="64"/>
      <c r="T1052" s="64"/>
      <c r="U1052" s="64"/>
      <c r="V1052" s="64"/>
      <c r="W1052" s="64"/>
      <c r="X1052" s="64"/>
      <c r="Y1052" s="64"/>
      <c r="Z1052" s="64"/>
      <c r="AA1052" s="64"/>
      <c r="BS1052" s="74"/>
    </row>
    <row r="1053" ht="18.75" customHeight="1">
      <c r="B1053" s="71"/>
      <c r="D1053" s="72"/>
      <c r="K1053" s="73"/>
      <c r="P1053" s="37" t="s">
        <v>29</v>
      </c>
      <c r="Q1053" s="64"/>
      <c r="R1053" s="64"/>
      <c r="S1053" s="64"/>
      <c r="T1053" s="64"/>
      <c r="U1053" s="64"/>
      <c r="V1053" s="64"/>
      <c r="W1053" s="64"/>
      <c r="X1053" s="64"/>
      <c r="Y1053" s="64"/>
      <c r="Z1053" s="64"/>
      <c r="AA1053" s="64"/>
      <c r="BS1053" s="74"/>
    </row>
    <row r="1054" ht="18.75" customHeight="1">
      <c r="B1054" s="71"/>
      <c r="D1054" s="72"/>
      <c r="K1054" s="73"/>
      <c r="P1054" s="37" t="s">
        <v>29</v>
      </c>
      <c r="Q1054" s="64"/>
      <c r="R1054" s="64"/>
      <c r="S1054" s="64"/>
      <c r="T1054" s="64"/>
      <c r="U1054" s="64"/>
      <c r="V1054" s="64"/>
      <c r="W1054" s="64"/>
      <c r="X1054" s="64"/>
      <c r="Y1054" s="64"/>
      <c r="Z1054" s="64"/>
      <c r="AA1054" s="64"/>
      <c r="BS1054" s="74"/>
    </row>
    <row r="1055" ht="18.75" customHeight="1">
      <c r="B1055" s="71"/>
      <c r="D1055" s="72"/>
      <c r="K1055" s="73"/>
      <c r="P1055" s="37" t="s">
        <v>29</v>
      </c>
      <c r="Q1055" s="64"/>
      <c r="R1055" s="64"/>
      <c r="S1055" s="64"/>
      <c r="T1055" s="64"/>
      <c r="U1055" s="64"/>
      <c r="V1055" s="64"/>
      <c r="W1055" s="64"/>
      <c r="X1055" s="64"/>
      <c r="Y1055" s="64"/>
      <c r="Z1055" s="64"/>
      <c r="AA1055" s="64"/>
      <c r="BS1055" s="74"/>
    </row>
    <row r="1056" ht="18.75" customHeight="1">
      <c r="B1056" s="71"/>
      <c r="D1056" s="72"/>
      <c r="K1056" s="73"/>
      <c r="P1056" s="37" t="s">
        <v>29</v>
      </c>
      <c r="Q1056" s="64"/>
      <c r="R1056" s="64"/>
      <c r="S1056" s="64"/>
      <c r="T1056" s="64"/>
      <c r="U1056" s="64"/>
      <c r="V1056" s="64"/>
      <c r="W1056" s="64"/>
      <c r="X1056" s="64"/>
      <c r="Y1056" s="64"/>
      <c r="Z1056" s="64"/>
      <c r="AA1056" s="64"/>
      <c r="BS1056" s="74"/>
    </row>
    <row r="1057" ht="18.75" customHeight="1">
      <c r="B1057" s="71"/>
      <c r="D1057" s="72"/>
      <c r="K1057" s="73"/>
      <c r="P1057" s="37" t="s">
        <v>29</v>
      </c>
      <c r="Q1057" s="64"/>
      <c r="R1057" s="64"/>
      <c r="S1057" s="64"/>
      <c r="T1057" s="64"/>
      <c r="U1057" s="64"/>
      <c r="V1057" s="64"/>
      <c r="W1057" s="64"/>
      <c r="X1057" s="64"/>
      <c r="Y1057" s="64"/>
      <c r="Z1057" s="64"/>
      <c r="AA1057" s="64"/>
      <c r="BS1057" s="74"/>
    </row>
    <row r="1058" ht="18.75" customHeight="1">
      <c r="B1058" s="71"/>
      <c r="D1058" s="72"/>
      <c r="K1058" s="73"/>
      <c r="P1058" s="37" t="s">
        <v>29</v>
      </c>
      <c r="Q1058" s="64"/>
      <c r="R1058" s="64"/>
      <c r="S1058" s="64"/>
      <c r="T1058" s="64"/>
      <c r="U1058" s="64"/>
      <c r="V1058" s="64"/>
      <c r="W1058" s="64"/>
      <c r="X1058" s="64"/>
      <c r="Y1058" s="64"/>
      <c r="Z1058" s="64"/>
      <c r="AA1058" s="64"/>
      <c r="BS1058" s="74"/>
    </row>
    <row r="1059" ht="18.75" customHeight="1">
      <c r="B1059" s="71"/>
      <c r="D1059" s="72"/>
      <c r="K1059" s="73"/>
      <c r="P1059" s="37" t="s">
        <v>29</v>
      </c>
      <c r="Q1059" s="64"/>
      <c r="R1059" s="64"/>
      <c r="S1059" s="64"/>
      <c r="T1059" s="64"/>
      <c r="U1059" s="64"/>
      <c r="V1059" s="64"/>
      <c r="W1059" s="64"/>
      <c r="X1059" s="64"/>
      <c r="Y1059" s="64"/>
      <c r="Z1059" s="64"/>
      <c r="AA1059" s="64"/>
      <c r="BS1059" s="74"/>
    </row>
    <row r="1060" ht="18.75" customHeight="1">
      <c r="B1060" s="71"/>
      <c r="D1060" s="72"/>
      <c r="K1060" s="73"/>
      <c r="P1060" s="37" t="s">
        <v>29</v>
      </c>
      <c r="Q1060" s="64"/>
      <c r="R1060" s="64"/>
      <c r="S1060" s="64"/>
      <c r="T1060" s="64"/>
      <c r="U1060" s="64"/>
      <c r="V1060" s="64"/>
      <c r="W1060" s="64"/>
      <c r="X1060" s="64"/>
      <c r="Y1060" s="64"/>
      <c r="Z1060" s="64"/>
      <c r="AA1060" s="64"/>
      <c r="BS1060" s="74"/>
    </row>
    <row r="1061" ht="18.75" customHeight="1">
      <c r="B1061" s="71"/>
      <c r="D1061" s="72"/>
      <c r="K1061" s="73"/>
      <c r="P1061" s="37" t="s">
        <v>29</v>
      </c>
      <c r="Q1061" s="64"/>
      <c r="R1061" s="64"/>
      <c r="S1061" s="64"/>
      <c r="T1061" s="64"/>
      <c r="U1061" s="64"/>
      <c r="V1061" s="64"/>
      <c r="W1061" s="64"/>
      <c r="X1061" s="64"/>
      <c r="Y1061" s="64"/>
      <c r="Z1061" s="64"/>
      <c r="AA1061" s="64"/>
      <c r="BS1061" s="74"/>
    </row>
    <row r="1062" ht="18.75" customHeight="1">
      <c r="B1062" s="71"/>
      <c r="D1062" s="72"/>
      <c r="K1062" s="73"/>
      <c r="P1062" s="37" t="s">
        <v>29</v>
      </c>
      <c r="Q1062" s="64"/>
      <c r="R1062" s="64"/>
      <c r="S1062" s="64"/>
      <c r="T1062" s="64"/>
      <c r="U1062" s="64"/>
      <c r="V1062" s="64"/>
      <c r="W1062" s="64"/>
      <c r="X1062" s="64"/>
      <c r="Y1062" s="64"/>
      <c r="Z1062" s="64"/>
      <c r="AA1062" s="64"/>
      <c r="BS1062" s="74"/>
    </row>
    <row r="1063" ht="18.75" customHeight="1">
      <c r="B1063" s="71"/>
      <c r="D1063" s="72"/>
      <c r="K1063" s="73"/>
      <c r="P1063" s="37" t="s">
        <v>29</v>
      </c>
      <c r="Q1063" s="64"/>
      <c r="R1063" s="64"/>
      <c r="S1063" s="64"/>
      <c r="T1063" s="64"/>
      <c r="U1063" s="64"/>
      <c r="V1063" s="64"/>
      <c r="W1063" s="64"/>
      <c r="X1063" s="64"/>
      <c r="Y1063" s="64"/>
      <c r="Z1063" s="64"/>
      <c r="AA1063" s="64"/>
      <c r="BS1063" s="74"/>
    </row>
    <row r="1064" ht="18.75" customHeight="1">
      <c r="B1064" s="71"/>
      <c r="D1064" s="72"/>
      <c r="K1064" s="73"/>
      <c r="P1064" s="37" t="s">
        <v>29</v>
      </c>
      <c r="Q1064" s="64"/>
      <c r="R1064" s="64"/>
      <c r="S1064" s="64"/>
      <c r="T1064" s="64"/>
      <c r="U1064" s="64"/>
      <c r="V1064" s="64"/>
      <c r="W1064" s="64"/>
      <c r="X1064" s="64"/>
      <c r="Y1064" s="64"/>
      <c r="Z1064" s="64"/>
      <c r="AA1064" s="64"/>
      <c r="BS1064" s="74"/>
    </row>
    <row r="1065" ht="18.75" customHeight="1">
      <c r="B1065" s="71"/>
      <c r="D1065" s="72"/>
      <c r="K1065" s="73"/>
      <c r="P1065" s="37" t="s">
        <v>29</v>
      </c>
      <c r="Q1065" s="64"/>
      <c r="R1065" s="64"/>
      <c r="S1065" s="64"/>
      <c r="T1065" s="64"/>
      <c r="U1065" s="64"/>
      <c r="V1065" s="64"/>
      <c r="W1065" s="64"/>
      <c r="X1065" s="64"/>
      <c r="Y1065" s="64"/>
      <c r="Z1065" s="64"/>
      <c r="AA1065" s="64"/>
      <c r="BS1065" s="74"/>
    </row>
    <row r="1066" ht="18.75" customHeight="1">
      <c r="B1066" s="71"/>
      <c r="D1066" s="72"/>
      <c r="K1066" s="73"/>
      <c r="P1066" s="37" t="s">
        <v>29</v>
      </c>
      <c r="Q1066" s="64"/>
      <c r="R1066" s="64"/>
      <c r="S1066" s="64"/>
      <c r="T1066" s="64"/>
      <c r="U1066" s="64"/>
      <c r="V1066" s="64"/>
      <c r="W1066" s="64"/>
      <c r="X1066" s="64"/>
      <c r="Y1066" s="64"/>
      <c r="Z1066" s="64"/>
      <c r="AA1066" s="64"/>
      <c r="BS1066" s="74"/>
    </row>
    <row r="1067" ht="18.75" customHeight="1">
      <c r="B1067" s="71"/>
      <c r="D1067" s="72"/>
      <c r="K1067" s="73"/>
      <c r="P1067" s="37" t="s">
        <v>29</v>
      </c>
      <c r="Q1067" s="64"/>
      <c r="R1067" s="64"/>
      <c r="S1067" s="64"/>
      <c r="T1067" s="64"/>
      <c r="U1067" s="64"/>
      <c r="V1067" s="64"/>
      <c r="W1067" s="64"/>
      <c r="X1067" s="64"/>
      <c r="Y1067" s="64"/>
      <c r="Z1067" s="64"/>
      <c r="AA1067" s="64"/>
      <c r="BS1067" s="74"/>
    </row>
    <row r="1068" ht="18.75" customHeight="1">
      <c r="B1068" s="71"/>
      <c r="D1068" s="72"/>
      <c r="K1068" s="73"/>
      <c r="P1068" s="37" t="s">
        <v>29</v>
      </c>
      <c r="Q1068" s="64"/>
      <c r="R1068" s="64"/>
      <c r="S1068" s="64"/>
      <c r="T1068" s="64"/>
      <c r="U1068" s="64"/>
      <c r="V1068" s="64"/>
      <c r="W1068" s="64"/>
      <c r="X1068" s="64"/>
      <c r="Y1068" s="64"/>
      <c r="Z1068" s="64"/>
      <c r="AA1068" s="64"/>
      <c r="BS1068" s="74"/>
    </row>
    <row r="1069" ht="18.75" customHeight="1">
      <c r="B1069" s="71"/>
      <c r="D1069" s="72"/>
      <c r="K1069" s="73"/>
      <c r="P1069" s="37" t="s">
        <v>29</v>
      </c>
      <c r="Q1069" s="64"/>
      <c r="R1069" s="64"/>
      <c r="S1069" s="64"/>
      <c r="T1069" s="64"/>
      <c r="U1069" s="64"/>
      <c r="V1069" s="64"/>
      <c r="W1069" s="64"/>
      <c r="X1069" s="64"/>
      <c r="Y1069" s="64"/>
      <c r="Z1069" s="64"/>
      <c r="AA1069" s="64"/>
      <c r="BS1069" s="74"/>
    </row>
    <row r="1070" ht="18.75" customHeight="1">
      <c r="B1070" s="71"/>
      <c r="D1070" s="72"/>
      <c r="K1070" s="73"/>
      <c r="P1070" s="37" t="s">
        <v>29</v>
      </c>
      <c r="Q1070" s="64"/>
      <c r="R1070" s="64"/>
      <c r="S1070" s="64"/>
      <c r="T1070" s="64"/>
      <c r="U1070" s="64"/>
      <c r="V1070" s="64"/>
      <c r="W1070" s="64"/>
      <c r="X1070" s="64"/>
      <c r="Y1070" s="64"/>
      <c r="Z1070" s="64"/>
      <c r="AA1070" s="64"/>
      <c r="BS1070" s="74"/>
    </row>
    <row r="1071" ht="18.75" customHeight="1">
      <c r="B1071" s="71"/>
      <c r="D1071" s="72"/>
      <c r="K1071" s="73"/>
      <c r="P1071" s="37" t="s">
        <v>29</v>
      </c>
      <c r="Q1071" s="64"/>
      <c r="R1071" s="64"/>
      <c r="S1071" s="64"/>
      <c r="T1071" s="64"/>
      <c r="U1071" s="64"/>
      <c r="V1071" s="64"/>
      <c r="W1071" s="64"/>
      <c r="X1071" s="64"/>
      <c r="Y1071" s="64"/>
      <c r="Z1071" s="64"/>
      <c r="AA1071" s="64"/>
      <c r="BS1071" s="74"/>
    </row>
    <row r="1072" ht="18.75" customHeight="1">
      <c r="B1072" s="71"/>
      <c r="D1072" s="72"/>
      <c r="K1072" s="73"/>
      <c r="P1072" s="37" t="s">
        <v>29</v>
      </c>
      <c r="Q1072" s="64"/>
      <c r="R1072" s="64"/>
      <c r="S1072" s="64"/>
      <c r="T1072" s="64"/>
      <c r="U1072" s="64"/>
      <c r="V1072" s="64"/>
      <c r="W1072" s="64"/>
      <c r="X1072" s="64"/>
      <c r="Y1072" s="64"/>
      <c r="Z1072" s="64"/>
      <c r="AA1072" s="64"/>
      <c r="BS1072" s="74"/>
    </row>
    <row r="1073" ht="18.75" customHeight="1">
      <c r="B1073" s="71"/>
      <c r="D1073" s="72"/>
      <c r="K1073" s="73"/>
      <c r="P1073" s="37" t="s">
        <v>29</v>
      </c>
      <c r="Q1073" s="64"/>
      <c r="R1073" s="64"/>
      <c r="S1073" s="64"/>
      <c r="T1073" s="64"/>
      <c r="U1073" s="64"/>
      <c r="V1073" s="64"/>
      <c r="W1073" s="64"/>
      <c r="X1073" s="64"/>
      <c r="Y1073" s="64"/>
      <c r="Z1073" s="64"/>
      <c r="AA1073" s="64"/>
      <c r="BS1073" s="74"/>
    </row>
    <row r="1074" ht="18.75" customHeight="1">
      <c r="B1074" s="71"/>
      <c r="D1074" s="72"/>
      <c r="K1074" s="73"/>
      <c r="P1074" s="37" t="s">
        <v>29</v>
      </c>
      <c r="Q1074" s="64"/>
      <c r="R1074" s="64"/>
      <c r="S1074" s="64"/>
      <c r="T1074" s="64"/>
      <c r="U1074" s="64"/>
      <c r="V1074" s="64"/>
      <c r="W1074" s="64"/>
      <c r="X1074" s="64"/>
      <c r="Y1074" s="64"/>
      <c r="Z1074" s="64"/>
      <c r="AA1074" s="64"/>
      <c r="BS1074" s="74"/>
    </row>
    <row r="1075" ht="18.75" customHeight="1">
      <c r="B1075" s="71"/>
      <c r="D1075" s="72"/>
      <c r="K1075" s="73"/>
      <c r="P1075" s="37" t="s">
        <v>29</v>
      </c>
      <c r="Q1075" s="64"/>
      <c r="R1075" s="64"/>
      <c r="S1075" s="64"/>
      <c r="T1075" s="64"/>
      <c r="U1075" s="64"/>
      <c r="V1075" s="64"/>
      <c r="W1075" s="64"/>
      <c r="X1075" s="64"/>
      <c r="Y1075" s="64"/>
      <c r="Z1075" s="64"/>
      <c r="AA1075" s="64"/>
      <c r="BS1075" s="74"/>
    </row>
    <row r="1076" ht="18.75" customHeight="1">
      <c r="B1076" s="71"/>
      <c r="D1076" s="72"/>
      <c r="K1076" s="73"/>
      <c r="P1076" s="37" t="s">
        <v>29</v>
      </c>
      <c r="Q1076" s="64"/>
      <c r="R1076" s="64"/>
      <c r="S1076" s="64"/>
      <c r="T1076" s="64"/>
      <c r="U1076" s="64"/>
      <c r="V1076" s="64"/>
      <c r="W1076" s="64"/>
      <c r="X1076" s="64"/>
      <c r="Y1076" s="64"/>
      <c r="Z1076" s="64"/>
      <c r="AA1076" s="64"/>
      <c r="BS1076" s="74"/>
    </row>
    <row r="1077" ht="18.75" customHeight="1">
      <c r="B1077" s="71"/>
      <c r="D1077" s="72"/>
      <c r="K1077" s="73"/>
      <c r="P1077" s="37" t="s">
        <v>29</v>
      </c>
      <c r="Q1077" s="64"/>
      <c r="R1077" s="64"/>
      <c r="S1077" s="64"/>
      <c r="T1077" s="64"/>
      <c r="U1077" s="64"/>
      <c r="V1077" s="64"/>
      <c r="W1077" s="64"/>
      <c r="X1077" s="64"/>
      <c r="Y1077" s="64"/>
      <c r="Z1077" s="64"/>
      <c r="AA1077" s="64"/>
      <c r="BS1077" s="74"/>
    </row>
    <row r="1078" ht="18.75" customHeight="1">
      <c r="B1078" s="71"/>
      <c r="D1078" s="72"/>
      <c r="K1078" s="73"/>
      <c r="P1078" s="37" t="s">
        <v>29</v>
      </c>
      <c r="Q1078" s="64"/>
      <c r="R1078" s="64"/>
      <c r="S1078" s="64"/>
      <c r="T1078" s="64"/>
      <c r="U1078" s="64"/>
      <c r="V1078" s="64"/>
      <c r="W1078" s="64"/>
      <c r="X1078" s="64"/>
      <c r="Y1078" s="64"/>
      <c r="Z1078" s="64"/>
      <c r="AA1078" s="64"/>
      <c r="BS1078" s="74"/>
    </row>
    <row r="1079" ht="18.75" customHeight="1">
      <c r="B1079" s="71"/>
      <c r="D1079" s="72"/>
      <c r="K1079" s="73"/>
      <c r="P1079" s="37" t="s">
        <v>29</v>
      </c>
      <c r="Q1079" s="64"/>
      <c r="R1079" s="64"/>
      <c r="S1079" s="64"/>
      <c r="T1079" s="64"/>
      <c r="U1079" s="64"/>
      <c r="V1079" s="64"/>
      <c r="W1079" s="64"/>
      <c r="X1079" s="64"/>
      <c r="Y1079" s="64"/>
      <c r="Z1079" s="64"/>
      <c r="AA1079" s="64"/>
      <c r="BS1079" s="74"/>
    </row>
    <row r="1080" ht="18.75" customHeight="1">
      <c r="B1080" s="71"/>
      <c r="D1080" s="72"/>
      <c r="K1080" s="73"/>
      <c r="P1080" s="37" t="s">
        <v>29</v>
      </c>
      <c r="Q1080" s="64"/>
      <c r="R1080" s="64"/>
      <c r="S1080" s="64"/>
      <c r="T1080" s="64"/>
      <c r="U1080" s="64"/>
      <c r="V1080" s="64"/>
      <c r="W1080" s="64"/>
      <c r="X1080" s="64"/>
      <c r="Y1080" s="64"/>
      <c r="Z1080" s="64"/>
      <c r="AA1080" s="64"/>
      <c r="BS1080" s="74"/>
    </row>
    <row r="1081" ht="18.75" customHeight="1">
      <c r="B1081" s="71"/>
      <c r="D1081" s="72"/>
      <c r="K1081" s="73"/>
      <c r="P1081" s="37" t="s">
        <v>29</v>
      </c>
      <c r="Q1081" s="64"/>
      <c r="R1081" s="64"/>
      <c r="S1081" s="64"/>
      <c r="T1081" s="64"/>
      <c r="U1081" s="64"/>
      <c r="V1081" s="64"/>
      <c r="W1081" s="64"/>
      <c r="X1081" s="64"/>
      <c r="Y1081" s="64"/>
      <c r="Z1081" s="64"/>
      <c r="AA1081" s="64"/>
      <c r="BS1081" s="74"/>
    </row>
    <row r="1082" ht="18.75" customHeight="1">
      <c r="B1082" s="71"/>
      <c r="D1082" s="72"/>
      <c r="K1082" s="73"/>
      <c r="P1082" s="37" t="s">
        <v>29</v>
      </c>
      <c r="Q1082" s="64"/>
      <c r="R1082" s="64"/>
      <c r="S1082" s="64"/>
      <c r="T1082" s="64"/>
      <c r="U1082" s="64"/>
      <c r="V1082" s="64"/>
      <c r="W1082" s="64"/>
      <c r="X1082" s="64"/>
      <c r="Y1082" s="64"/>
      <c r="Z1082" s="64"/>
      <c r="AA1082" s="64"/>
      <c r="BS1082" s="74"/>
    </row>
    <row r="1083" ht="18.75" customHeight="1">
      <c r="B1083" s="71"/>
      <c r="D1083" s="72"/>
      <c r="K1083" s="73"/>
      <c r="P1083" s="37" t="s">
        <v>29</v>
      </c>
      <c r="Q1083" s="64"/>
      <c r="R1083" s="64"/>
      <c r="S1083" s="64"/>
      <c r="T1083" s="64"/>
      <c r="U1083" s="64"/>
      <c r="V1083" s="64"/>
      <c r="W1083" s="64"/>
      <c r="X1083" s="64"/>
      <c r="Y1083" s="64"/>
      <c r="Z1083" s="64"/>
      <c r="AA1083" s="64"/>
      <c r="BS1083" s="74"/>
    </row>
    <row r="1084" ht="18.75" customHeight="1">
      <c r="B1084" s="71"/>
      <c r="D1084" s="72"/>
      <c r="K1084" s="73"/>
      <c r="P1084" s="37" t="s">
        <v>29</v>
      </c>
      <c r="Q1084" s="64"/>
      <c r="R1084" s="64"/>
      <c r="S1084" s="64"/>
      <c r="T1084" s="64"/>
      <c r="U1084" s="64"/>
      <c r="V1084" s="64"/>
      <c r="W1084" s="64"/>
      <c r="X1084" s="64"/>
      <c r="Y1084" s="64"/>
      <c r="Z1084" s="64"/>
      <c r="AA1084" s="64"/>
      <c r="BS1084" s="74"/>
    </row>
    <row r="1085" ht="18.75" customHeight="1">
      <c r="B1085" s="71"/>
      <c r="D1085" s="72"/>
      <c r="K1085" s="73"/>
      <c r="P1085" s="37" t="s">
        <v>29</v>
      </c>
      <c r="Q1085" s="64"/>
      <c r="R1085" s="64"/>
      <c r="S1085" s="64"/>
      <c r="T1085" s="64"/>
      <c r="U1085" s="64"/>
      <c r="V1085" s="64"/>
      <c r="W1085" s="64"/>
      <c r="X1085" s="64"/>
      <c r="Y1085" s="64"/>
      <c r="Z1085" s="64"/>
      <c r="AA1085" s="64"/>
      <c r="BS1085" s="74"/>
    </row>
    <row r="1086" ht="18.75" customHeight="1">
      <c r="B1086" s="71"/>
      <c r="D1086" s="72"/>
      <c r="K1086" s="73"/>
      <c r="P1086" s="37" t="s">
        <v>29</v>
      </c>
      <c r="Q1086" s="64"/>
      <c r="R1086" s="64"/>
      <c r="S1086" s="64"/>
      <c r="T1086" s="64"/>
      <c r="U1086" s="64"/>
      <c r="V1086" s="64"/>
      <c r="W1086" s="64"/>
      <c r="X1086" s="64"/>
      <c r="Y1086" s="64"/>
      <c r="Z1086" s="64"/>
      <c r="AA1086" s="64"/>
      <c r="BS1086" s="74"/>
    </row>
    <row r="1087" ht="18.75" customHeight="1">
      <c r="B1087" s="71"/>
      <c r="D1087" s="72"/>
      <c r="K1087" s="73"/>
      <c r="P1087" s="37" t="s">
        <v>29</v>
      </c>
      <c r="Q1087" s="64"/>
      <c r="R1087" s="64"/>
      <c r="S1087" s="64"/>
      <c r="T1087" s="64"/>
      <c r="U1087" s="64"/>
      <c r="V1087" s="64"/>
      <c r="W1087" s="64"/>
      <c r="X1087" s="64"/>
      <c r="Y1087" s="64"/>
      <c r="Z1087" s="64"/>
      <c r="AA1087" s="64"/>
      <c r="BS1087" s="74"/>
    </row>
    <row r="1088" ht="18.75" customHeight="1">
      <c r="B1088" s="71"/>
      <c r="D1088" s="72"/>
      <c r="K1088" s="73"/>
      <c r="P1088" s="37" t="s">
        <v>29</v>
      </c>
      <c r="Q1088" s="64"/>
      <c r="R1088" s="64"/>
      <c r="S1088" s="64"/>
      <c r="T1088" s="64"/>
      <c r="U1088" s="64"/>
      <c r="V1088" s="64"/>
      <c r="W1088" s="64"/>
      <c r="X1088" s="64"/>
      <c r="Y1088" s="64"/>
      <c r="Z1088" s="64"/>
      <c r="AA1088" s="64"/>
      <c r="BS1088" s="74"/>
    </row>
    <row r="1089" ht="18.75" customHeight="1">
      <c r="B1089" s="71"/>
      <c r="D1089" s="72"/>
      <c r="K1089" s="73"/>
      <c r="P1089" s="37" t="s">
        <v>29</v>
      </c>
      <c r="Q1089" s="64"/>
      <c r="R1089" s="64"/>
      <c r="S1089" s="64"/>
      <c r="T1089" s="64"/>
      <c r="U1089" s="64"/>
      <c r="V1089" s="64"/>
      <c r="W1089" s="64"/>
      <c r="X1089" s="64"/>
      <c r="Y1089" s="64"/>
      <c r="Z1089" s="64"/>
      <c r="AA1089" s="64"/>
      <c r="BS1089" s="74"/>
    </row>
    <row r="1090" ht="18.75" customHeight="1">
      <c r="B1090" s="71"/>
      <c r="D1090" s="72"/>
      <c r="K1090" s="73"/>
      <c r="P1090" s="37" t="s">
        <v>29</v>
      </c>
      <c r="Q1090" s="64"/>
      <c r="R1090" s="64"/>
      <c r="S1090" s="64"/>
      <c r="T1090" s="64"/>
      <c r="U1090" s="64"/>
      <c r="V1090" s="64"/>
      <c r="W1090" s="64"/>
      <c r="X1090" s="64"/>
      <c r="Y1090" s="64"/>
      <c r="Z1090" s="64"/>
      <c r="AA1090" s="64"/>
      <c r="BS1090" s="74"/>
    </row>
    <row r="1091" ht="18.75" customHeight="1">
      <c r="B1091" s="71"/>
      <c r="D1091" s="72"/>
      <c r="K1091" s="73"/>
      <c r="P1091" s="37" t="s">
        <v>29</v>
      </c>
      <c r="Q1091" s="64"/>
      <c r="R1091" s="64"/>
      <c r="S1091" s="64"/>
      <c r="T1091" s="64"/>
      <c r="U1091" s="64"/>
      <c r="V1091" s="64"/>
      <c r="W1091" s="64"/>
      <c r="X1091" s="64"/>
      <c r="Y1091" s="64"/>
      <c r="Z1091" s="64"/>
      <c r="AA1091" s="64"/>
      <c r="BS1091" s="74"/>
    </row>
    <row r="1092" ht="18.75" customHeight="1">
      <c r="B1092" s="71"/>
      <c r="D1092" s="72"/>
      <c r="K1092" s="73"/>
      <c r="P1092" s="37" t="s">
        <v>29</v>
      </c>
      <c r="Q1092" s="64"/>
      <c r="R1092" s="64"/>
      <c r="S1092" s="64"/>
      <c r="T1092" s="64"/>
      <c r="U1092" s="64"/>
      <c r="V1092" s="64"/>
      <c r="W1092" s="64"/>
      <c r="X1092" s="64"/>
      <c r="Y1092" s="64"/>
      <c r="Z1092" s="64"/>
      <c r="AA1092" s="64"/>
      <c r="BS1092" s="74"/>
    </row>
    <row r="1093" ht="18.75" customHeight="1">
      <c r="B1093" s="71"/>
      <c r="D1093" s="72"/>
      <c r="K1093" s="73"/>
      <c r="P1093" s="37" t="s">
        <v>29</v>
      </c>
      <c r="Q1093" s="64"/>
      <c r="R1093" s="64"/>
      <c r="S1093" s="64"/>
      <c r="T1093" s="64"/>
      <c r="U1093" s="64"/>
      <c r="V1093" s="64"/>
      <c r="W1093" s="64"/>
      <c r="X1093" s="64"/>
      <c r="Y1093" s="64"/>
      <c r="Z1093" s="64"/>
      <c r="AA1093" s="64"/>
      <c r="BS1093" s="74"/>
    </row>
    <row r="1094" ht="18.75" customHeight="1">
      <c r="B1094" s="71"/>
      <c r="D1094" s="72"/>
      <c r="K1094" s="73"/>
      <c r="P1094" s="37" t="s">
        <v>29</v>
      </c>
      <c r="Q1094" s="64"/>
      <c r="R1094" s="64"/>
      <c r="S1094" s="64"/>
      <c r="T1094" s="64"/>
      <c r="U1094" s="64"/>
      <c r="V1094" s="64"/>
      <c r="W1094" s="64"/>
      <c r="X1094" s="64"/>
      <c r="Y1094" s="64"/>
      <c r="Z1094" s="64"/>
      <c r="AA1094" s="64"/>
      <c r="BS1094" s="74"/>
    </row>
    <row r="1095" ht="18.75" customHeight="1">
      <c r="B1095" s="85"/>
      <c r="D1095" s="72"/>
      <c r="K1095" s="73"/>
      <c r="P1095" s="37" t="s">
        <v>29</v>
      </c>
      <c r="Q1095" s="64"/>
      <c r="R1095" s="64"/>
      <c r="S1095" s="64"/>
      <c r="T1095" s="64"/>
      <c r="U1095" s="64"/>
      <c r="V1095" s="64"/>
      <c r="W1095" s="64"/>
      <c r="X1095" s="64"/>
      <c r="Y1095" s="64"/>
      <c r="Z1095" s="64"/>
      <c r="AA1095" s="64"/>
      <c r="BS1095" s="74"/>
    </row>
    <row r="1096" ht="18.75" customHeight="1">
      <c r="B1096" s="71"/>
      <c r="D1096" s="72"/>
      <c r="K1096" s="73"/>
      <c r="P1096" s="37" t="s">
        <v>29</v>
      </c>
      <c r="Q1096" s="64"/>
      <c r="R1096" s="64"/>
      <c r="S1096" s="64"/>
      <c r="T1096" s="64"/>
      <c r="U1096" s="64"/>
      <c r="V1096" s="64"/>
      <c r="W1096" s="64"/>
      <c r="X1096" s="64"/>
      <c r="Y1096" s="64"/>
      <c r="Z1096" s="64"/>
      <c r="AA1096" s="64"/>
      <c r="BS1096" s="74"/>
    </row>
    <row r="1097" ht="18.75" customHeight="1">
      <c r="B1097" s="71"/>
      <c r="D1097" s="72"/>
      <c r="K1097" s="73"/>
      <c r="P1097" s="37" t="s">
        <v>29</v>
      </c>
      <c r="Q1097" s="64"/>
      <c r="R1097" s="64"/>
      <c r="S1097" s="64"/>
      <c r="T1097" s="64"/>
      <c r="U1097" s="64"/>
      <c r="V1097" s="64"/>
      <c r="W1097" s="64"/>
      <c r="X1097" s="64"/>
      <c r="Y1097" s="64"/>
      <c r="Z1097" s="64"/>
      <c r="AA1097" s="64"/>
      <c r="BS1097" s="74"/>
    </row>
    <row r="1098" ht="18.75" customHeight="1">
      <c r="B1098" s="71"/>
      <c r="D1098" s="72"/>
      <c r="K1098" s="73"/>
      <c r="P1098" s="37" t="s">
        <v>29</v>
      </c>
      <c r="Q1098" s="64"/>
      <c r="R1098" s="64"/>
      <c r="S1098" s="64"/>
      <c r="T1098" s="64"/>
      <c r="U1098" s="64"/>
      <c r="V1098" s="64"/>
      <c r="W1098" s="64"/>
      <c r="X1098" s="64"/>
      <c r="Y1098" s="64"/>
      <c r="Z1098" s="64"/>
      <c r="AA1098" s="64"/>
      <c r="BS1098" s="74"/>
    </row>
    <row r="1099" ht="18.75" customHeight="1">
      <c r="B1099" s="71"/>
      <c r="D1099" s="72"/>
      <c r="K1099" s="73"/>
      <c r="P1099" s="37" t="s">
        <v>29</v>
      </c>
      <c r="Q1099" s="64"/>
      <c r="R1099" s="64"/>
      <c r="S1099" s="64"/>
      <c r="T1099" s="64"/>
      <c r="U1099" s="64"/>
      <c r="V1099" s="64"/>
      <c r="W1099" s="64"/>
      <c r="X1099" s="64"/>
      <c r="Y1099" s="64"/>
      <c r="Z1099" s="64"/>
      <c r="AA1099" s="64"/>
      <c r="BS1099" s="74"/>
    </row>
    <row r="1100" ht="18.75" customHeight="1">
      <c r="B1100" s="71"/>
      <c r="D1100" s="72"/>
      <c r="K1100" s="73"/>
      <c r="P1100" s="37" t="s">
        <v>29</v>
      </c>
      <c r="Q1100" s="64"/>
      <c r="R1100" s="64"/>
      <c r="S1100" s="64"/>
      <c r="T1100" s="64"/>
      <c r="U1100" s="64"/>
      <c r="V1100" s="64"/>
      <c r="W1100" s="64"/>
      <c r="X1100" s="64"/>
      <c r="Y1100" s="64"/>
      <c r="Z1100" s="64"/>
      <c r="AA1100" s="64"/>
      <c r="BS1100" s="74"/>
    </row>
    <row r="1101" ht="18.75" customHeight="1">
      <c r="B1101" s="71"/>
      <c r="D1101" s="72"/>
      <c r="K1101" s="73"/>
      <c r="P1101" s="37" t="s">
        <v>29</v>
      </c>
      <c r="Q1101" s="64"/>
      <c r="R1101" s="64"/>
      <c r="S1101" s="64"/>
      <c r="T1101" s="64"/>
      <c r="U1101" s="64"/>
      <c r="V1101" s="64"/>
      <c r="W1101" s="64"/>
      <c r="X1101" s="64"/>
      <c r="Y1101" s="64"/>
      <c r="Z1101" s="64"/>
      <c r="AA1101" s="64"/>
      <c r="BS1101" s="74"/>
    </row>
    <row r="1102" ht="18.75" customHeight="1">
      <c r="B1102" s="71"/>
      <c r="D1102" s="72"/>
      <c r="K1102" s="73"/>
      <c r="P1102" s="37" t="s">
        <v>29</v>
      </c>
      <c r="Q1102" s="64"/>
      <c r="R1102" s="64"/>
      <c r="S1102" s="64"/>
      <c r="T1102" s="64"/>
      <c r="U1102" s="64"/>
      <c r="V1102" s="64"/>
      <c r="W1102" s="64"/>
      <c r="X1102" s="64"/>
      <c r="Y1102" s="64"/>
      <c r="Z1102" s="64"/>
      <c r="AA1102" s="64"/>
      <c r="BS1102" s="74"/>
    </row>
    <row r="1103" ht="18.75" customHeight="1">
      <c r="B1103" s="71"/>
      <c r="D1103" s="72"/>
      <c r="K1103" s="73"/>
      <c r="P1103" s="37" t="s">
        <v>29</v>
      </c>
      <c r="Q1103" s="64"/>
      <c r="R1103" s="64"/>
      <c r="S1103" s="64"/>
      <c r="T1103" s="64"/>
      <c r="U1103" s="64"/>
      <c r="V1103" s="64"/>
      <c r="W1103" s="64"/>
      <c r="X1103" s="64"/>
      <c r="Y1103" s="64"/>
      <c r="Z1103" s="64"/>
      <c r="AA1103" s="64"/>
      <c r="BS1103" s="74"/>
    </row>
    <row r="1104" ht="18.75" customHeight="1">
      <c r="B1104" s="71"/>
      <c r="D1104" s="72"/>
      <c r="K1104" s="73"/>
      <c r="P1104" s="37" t="s">
        <v>29</v>
      </c>
      <c r="Q1104" s="64"/>
      <c r="R1104" s="64"/>
      <c r="S1104" s="64"/>
      <c r="T1104" s="64"/>
      <c r="U1104" s="64"/>
      <c r="V1104" s="64"/>
      <c r="W1104" s="64"/>
      <c r="X1104" s="64"/>
      <c r="Y1104" s="64"/>
      <c r="Z1104" s="64"/>
      <c r="AA1104" s="64"/>
      <c r="BS1104" s="74"/>
    </row>
    <row r="1105" ht="18.75" customHeight="1">
      <c r="B1105" s="71"/>
      <c r="D1105" s="72"/>
      <c r="K1105" s="73"/>
      <c r="P1105" s="37" t="s">
        <v>29</v>
      </c>
      <c r="Q1105" s="64"/>
      <c r="R1105" s="64"/>
      <c r="S1105" s="64"/>
      <c r="T1105" s="64"/>
      <c r="U1105" s="64"/>
      <c r="V1105" s="64"/>
      <c r="W1105" s="64"/>
      <c r="X1105" s="64"/>
      <c r="Y1105" s="64"/>
      <c r="Z1105" s="64"/>
      <c r="AA1105" s="64"/>
      <c r="BS1105" s="74"/>
    </row>
    <row r="1106" ht="18.75" customHeight="1">
      <c r="B1106" s="71"/>
      <c r="D1106" s="72"/>
      <c r="K1106" s="73"/>
      <c r="P1106" s="37" t="s">
        <v>29</v>
      </c>
      <c r="Q1106" s="64"/>
      <c r="R1106" s="64"/>
      <c r="S1106" s="64"/>
      <c r="T1106" s="64"/>
      <c r="U1106" s="64"/>
      <c r="V1106" s="64"/>
      <c r="W1106" s="64"/>
      <c r="X1106" s="64"/>
      <c r="Y1106" s="64"/>
      <c r="Z1106" s="64"/>
      <c r="AA1106" s="64"/>
      <c r="BS1106" s="74"/>
    </row>
    <row r="1107" ht="18.75" customHeight="1">
      <c r="B1107" s="71"/>
      <c r="D1107" s="72"/>
      <c r="K1107" s="73"/>
      <c r="P1107" s="37" t="s">
        <v>29</v>
      </c>
      <c r="Q1107" s="64"/>
      <c r="R1107" s="64"/>
      <c r="S1107" s="64"/>
      <c r="T1107" s="64"/>
      <c r="U1107" s="64"/>
      <c r="V1107" s="64"/>
      <c r="W1107" s="64"/>
      <c r="X1107" s="64"/>
      <c r="Y1107" s="64"/>
      <c r="Z1107" s="64"/>
      <c r="AA1107" s="64"/>
      <c r="BS1107" s="74"/>
    </row>
    <row r="1108" ht="18.75" customHeight="1">
      <c r="B1108" s="71"/>
      <c r="D1108" s="72"/>
      <c r="K1108" s="73"/>
      <c r="P1108" s="37" t="s">
        <v>29</v>
      </c>
      <c r="Q1108" s="64"/>
      <c r="R1108" s="64"/>
      <c r="S1108" s="64"/>
      <c r="T1108" s="64"/>
      <c r="U1108" s="64"/>
      <c r="V1108" s="64"/>
      <c r="W1108" s="64"/>
      <c r="X1108" s="64"/>
      <c r="Y1108" s="64"/>
      <c r="Z1108" s="64"/>
      <c r="AA1108" s="64"/>
      <c r="BS1108" s="74"/>
      <c r="BT1108" s="39"/>
    </row>
    <row r="1109" ht="18.75" customHeight="1">
      <c r="B1109" s="71"/>
      <c r="D1109" s="72"/>
      <c r="K1109" s="73"/>
      <c r="P1109" s="37" t="s">
        <v>29</v>
      </c>
      <c r="Q1109" s="64"/>
      <c r="R1109" s="64"/>
      <c r="S1109" s="64"/>
      <c r="T1109" s="64"/>
      <c r="U1109" s="64"/>
      <c r="V1109" s="64"/>
      <c r="W1109" s="64"/>
      <c r="X1109" s="64"/>
      <c r="Y1109" s="64"/>
      <c r="Z1109" s="64"/>
      <c r="AA1109" s="64"/>
      <c r="BS1109" s="74"/>
    </row>
    <row r="1110" ht="18.75" customHeight="1">
      <c r="A1110" s="25"/>
      <c r="B1110" s="71"/>
      <c r="D1110" s="72"/>
      <c r="K1110" s="73"/>
      <c r="P1110" s="37" t="s">
        <v>29</v>
      </c>
      <c r="Q1110" s="64"/>
      <c r="R1110" s="64"/>
      <c r="S1110" s="64"/>
      <c r="T1110" s="64"/>
      <c r="U1110" s="64"/>
      <c r="V1110" s="64"/>
      <c r="W1110" s="64"/>
      <c r="X1110" s="64"/>
      <c r="Y1110" s="64"/>
      <c r="Z1110" s="64"/>
      <c r="AA1110" s="64"/>
      <c r="AB1110" s="64"/>
      <c r="AC1110" s="64"/>
      <c r="AD1110" s="64"/>
      <c r="AE1110" s="64"/>
      <c r="AF1110" s="64"/>
      <c r="AG1110" s="64"/>
      <c r="AH1110" s="64"/>
      <c r="AI1110" s="64"/>
      <c r="AJ1110" s="64"/>
      <c r="BS1110" s="74"/>
    </row>
    <row r="1111" ht="18.75" customHeight="1">
      <c r="B1111" s="71"/>
      <c r="D1111" s="72"/>
      <c r="K1111" s="73"/>
      <c r="P1111" s="37" t="s">
        <v>29</v>
      </c>
      <c r="Q1111" s="64"/>
      <c r="R1111" s="64"/>
      <c r="S1111" s="64"/>
      <c r="T1111" s="64"/>
      <c r="U1111" s="64"/>
      <c r="V1111" s="64"/>
      <c r="W1111" s="64"/>
      <c r="X1111" s="64"/>
      <c r="Y1111" s="64"/>
      <c r="Z1111" s="64"/>
      <c r="AA1111" s="64"/>
      <c r="BS1111" s="74"/>
    </row>
    <row r="1112" ht="18.75" customHeight="1">
      <c r="B1112" s="71"/>
      <c r="D1112" s="72"/>
      <c r="K1112" s="73"/>
      <c r="P1112" s="37" t="s">
        <v>29</v>
      </c>
      <c r="Q1112" s="64"/>
      <c r="R1112" s="64"/>
      <c r="S1112" s="64"/>
      <c r="T1112" s="64"/>
      <c r="U1112" s="64"/>
      <c r="V1112" s="64"/>
      <c r="W1112" s="64"/>
      <c r="X1112" s="64"/>
      <c r="Y1112" s="64"/>
      <c r="Z1112" s="64"/>
      <c r="AA1112" s="64"/>
      <c r="BS1112" s="74"/>
    </row>
    <row r="1113" ht="18.75" customHeight="1">
      <c r="B1113" s="71"/>
      <c r="D1113" s="72"/>
      <c r="K1113" s="73"/>
      <c r="P1113" s="37" t="s">
        <v>29</v>
      </c>
      <c r="Q1113" s="64"/>
      <c r="R1113" s="64"/>
      <c r="S1113" s="64"/>
      <c r="T1113" s="64"/>
      <c r="U1113" s="64"/>
      <c r="V1113" s="64"/>
      <c r="W1113" s="64"/>
      <c r="X1113" s="64"/>
      <c r="Y1113" s="64"/>
      <c r="Z1113" s="64"/>
      <c r="AA1113" s="64"/>
      <c r="BS1113" s="74"/>
    </row>
    <row r="1114" ht="18.75" customHeight="1">
      <c r="B1114" s="71"/>
      <c r="D1114" s="72"/>
      <c r="K1114" s="73"/>
      <c r="P1114" s="37" t="s">
        <v>29</v>
      </c>
      <c r="Q1114" s="64"/>
      <c r="R1114" s="64"/>
      <c r="S1114" s="64"/>
      <c r="T1114" s="64"/>
      <c r="U1114" s="64"/>
      <c r="V1114" s="64"/>
      <c r="W1114" s="64"/>
      <c r="X1114" s="64"/>
      <c r="Y1114" s="64"/>
      <c r="Z1114" s="64"/>
      <c r="AA1114" s="64"/>
      <c r="BS1114" s="74"/>
    </row>
    <row r="1115" ht="18.75" customHeight="1">
      <c r="B1115" s="71"/>
      <c r="D1115" s="72"/>
      <c r="K1115" s="73"/>
      <c r="P1115" s="37" t="s">
        <v>29</v>
      </c>
      <c r="Q1115" s="64"/>
      <c r="R1115" s="64"/>
      <c r="S1115" s="64"/>
      <c r="T1115" s="64"/>
      <c r="U1115" s="64"/>
      <c r="V1115" s="64"/>
      <c r="W1115" s="64"/>
      <c r="X1115" s="64"/>
      <c r="Y1115" s="64"/>
      <c r="Z1115" s="64"/>
      <c r="AA1115" s="64"/>
      <c r="BS1115" s="74"/>
    </row>
    <row r="1116" ht="18.75" customHeight="1">
      <c r="B1116" s="71"/>
      <c r="D1116" s="72"/>
      <c r="K1116" s="73"/>
      <c r="P1116" s="37" t="s">
        <v>29</v>
      </c>
      <c r="Q1116" s="64"/>
      <c r="R1116" s="64"/>
      <c r="S1116" s="64"/>
      <c r="T1116" s="64"/>
      <c r="U1116" s="64"/>
      <c r="V1116" s="64"/>
      <c r="W1116" s="64"/>
      <c r="X1116" s="64"/>
      <c r="Y1116" s="64"/>
      <c r="Z1116" s="64"/>
      <c r="AA1116" s="64"/>
      <c r="BS1116" s="74"/>
    </row>
    <row r="1117" ht="18.75" customHeight="1">
      <c r="B1117" s="71"/>
      <c r="D1117" s="72"/>
      <c r="K1117" s="73"/>
      <c r="P1117" s="37" t="s">
        <v>29</v>
      </c>
      <c r="Q1117" s="64"/>
      <c r="R1117" s="64"/>
      <c r="S1117" s="64"/>
      <c r="T1117" s="64"/>
      <c r="U1117" s="64"/>
      <c r="V1117" s="64"/>
      <c r="W1117" s="64"/>
      <c r="X1117" s="64"/>
      <c r="Y1117" s="64"/>
      <c r="Z1117" s="64"/>
      <c r="AA1117" s="64"/>
      <c r="BS1117" s="74"/>
    </row>
    <row r="1118" ht="18.75" customHeight="1">
      <c r="B1118" s="71"/>
      <c r="D1118" s="72"/>
      <c r="K1118" s="73"/>
      <c r="P1118" s="37" t="s">
        <v>29</v>
      </c>
      <c r="Q1118" s="64"/>
      <c r="R1118" s="64"/>
      <c r="S1118" s="64"/>
      <c r="T1118" s="64"/>
      <c r="U1118" s="64"/>
      <c r="V1118" s="64"/>
      <c r="W1118" s="64"/>
      <c r="X1118" s="64"/>
      <c r="Y1118" s="64"/>
      <c r="Z1118" s="64"/>
      <c r="AA1118" s="64"/>
      <c r="BS1118" s="74"/>
    </row>
    <row r="1119" ht="18.75" customHeight="1">
      <c r="B1119" s="71"/>
      <c r="D1119" s="72"/>
      <c r="K1119" s="73"/>
      <c r="P1119" s="37" t="s">
        <v>29</v>
      </c>
      <c r="Q1119" s="64"/>
      <c r="R1119" s="64"/>
      <c r="S1119" s="64"/>
      <c r="T1119" s="64"/>
      <c r="U1119" s="64"/>
      <c r="V1119" s="64"/>
      <c r="W1119" s="64"/>
      <c r="X1119" s="64"/>
      <c r="Y1119" s="64"/>
      <c r="Z1119" s="64"/>
      <c r="AA1119" s="64"/>
      <c r="BS1119" s="74"/>
    </row>
    <row r="1120" ht="18.75" customHeight="1">
      <c r="B1120" s="71"/>
      <c r="D1120" s="72"/>
      <c r="K1120" s="73"/>
      <c r="P1120" s="37" t="s">
        <v>29</v>
      </c>
      <c r="Q1120" s="64"/>
      <c r="R1120" s="64"/>
      <c r="S1120" s="64"/>
      <c r="T1120" s="64"/>
      <c r="U1120" s="64"/>
      <c r="V1120" s="64"/>
      <c r="W1120" s="64"/>
      <c r="X1120" s="64"/>
      <c r="Y1120" s="64"/>
      <c r="Z1120" s="64"/>
      <c r="AA1120" s="64"/>
      <c r="BS1120" s="74"/>
    </row>
    <row r="1121" ht="18.75" customHeight="1">
      <c r="B1121" s="71"/>
      <c r="D1121" s="72"/>
      <c r="K1121" s="73"/>
      <c r="P1121" s="37" t="s">
        <v>29</v>
      </c>
      <c r="Q1121" s="64"/>
      <c r="R1121" s="64"/>
      <c r="S1121" s="64"/>
      <c r="T1121" s="64"/>
      <c r="U1121" s="64"/>
      <c r="V1121" s="64"/>
      <c r="W1121" s="64"/>
      <c r="X1121" s="64"/>
      <c r="Y1121" s="64"/>
      <c r="Z1121" s="64"/>
      <c r="AA1121" s="64"/>
      <c r="BS1121" s="74"/>
    </row>
    <row r="1122" ht="18.75" customHeight="1">
      <c r="B1122" s="71"/>
      <c r="D1122" s="72"/>
      <c r="K1122" s="73"/>
      <c r="P1122" s="37" t="s">
        <v>29</v>
      </c>
      <c r="Q1122" s="64"/>
      <c r="R1122" s="64"/>
      <c r="S1122" s="64"/>
      <c r="T1122" s="64"/>
      <c r="U1122" s="64"/>
      <c r="V1122" s="64"/>
      <c r="W1122" s="64"/>
      <c r="X1122" s="64"/>
      <c r="Y1122" s="64"/>
      <c r="Z1122" s="64"/>
      <c r="AA1122" s="64"/>
      <c r="BS1122" s="74"/>
    </row>
    <row r="1123" ht="18.75" customHeight="1">
      <c r="B1123" s="71"/>
      <c r="D1123" s="72"/>
      <c r="K1123" s="73"/>
      <c r="P1123" s="37" t="s">
        <v>29</v>
      </c>
      <c r="Q1123" s="64"/>
      <c r="R1123" s="64"/>
      <c r="S1123" s="64"/>
      <c r="T1123" s="64"/>
      <c r="U1123" s="64"/>
      <c r="V1123" s="64"/>
      <c r="W1123" s="64"/>
      <c r="X1123" s="64"/>
      <c r="Y1123" s="64"/>
      <c r="Z1123" s="64"/>
      <c r="AA1123" s="64"/>
      <c r="BS1123" s="74"/>
    </row>
    <row r="1124" ht="18.75" customHeight="1">
      <c r="B1124" s="71"/>
      <c r="D1124" s="72"/>
      <c r="K1124" s="73"/>
      <c r="P1124" s="37" t="s">
        <v>29</v>
      </c>
      <c r="Q1124" s="64"/>
      <c r="R1124" s="64"/>
      <c r="S1124" s="64"/>
      <c r="T1124" s="64"/>
      <c r="U1124" s="64"/>
      <c r="V1124" s="64"/>
      <c r="W1124" s="64"/>
      <c r="X1124" s="64"/>
      <c r="Y1124" s="64"/>
      <c r="Z1124" s="64"/>
      <c r="AA1124" s="64"/>
      <c r="BS1124" s="74"/>
    </row>
    <row r="1125" ht="18.75" customHeight="1">
      <c r="B1125" s="71"/>
      <c r="D1125" s="72"/>
      <c r="K1125" s="73"/>
      <c r="P1125" s="37" t="s">
        <v>29</v>
      </c>
      <c r="Q1125" s="64"/>
      <c r="R1125" s="64"/>
      <c r="S1125" s="64"/>
      <c r="T1125" s="64"/>
      <c r="U1125" s="64"/>
      <c r="V1125" s="64"/>
      <c r="W1125" s="64"/>
      <c r="X1125" s="64"/>
      <c r="Y1125" s="64"/>
      <c r="Z1125" s="64"/>
      <c r="AA1125" s="64"/>
      <c r="BS1125" s="74"/>
    </row>
    <row r="1126" ht="18.75" customHeight="1">
      <c r="B1126" s="71"/>
      <c r="D1126" s="72"/>
      <c r="K1126" s="73"/>
      <c r="P1126" s="37" t="s">
        <v>29</v>
      </c>
      <c r="Q1126" s="64"/>
      <c r="R1126" s="64"/>
      <c r="S1126" s="64"/>
      <c r="T1126" s="64"/>
      <c r="U1126" s="64"/>
      <c r="V1126" s="64"/>
      <c r="W1126" s="64"/>
      <c r="X1126" s="64"/>
      <c r="Y1126" s="64"/>
      <c r="Z1126" s="64"/>
      <c r="AA1126" s="64"/>
      <c r="BS1126" s="74"/>
    </row>
    <row r="1127" ht="18.75" customHeight="1">
      <c r="B1127" s="71"/>
      <c r="D1127" s="72"/>
      <c r="K1127" s="73"/>
      <c r="P1127" s="37" t="s">
        <v>29</v>
      </c>
      <c r="Q1127" s="64"/>
      <c r="R1127" s="64"/>
      <c r="S1127" s="64"/>
      <c r="T1127" s="64"/>
      <c r="U1127" s="64"/>
      <c r="V1127" s="64"/>
      <c r="W1127" s="64"/>
      <c r="X1127" s="64"/>
      <c r="Y1127" s="64"/>
      <c r="Z1127" s="64"/>
      <c r="AA1127" s="64"/>
      <c r="BS1127" s="74"/>
    </row>
    <row r="1128" ht="18.75" customHeight="1">
      <c r="B1128" s="71"/>
      <c r="D1128" s="72"/>
      <c r="K1128" s="73"/>
      <c r="P1128" s="37" t="s">
        <v>29</v>
      </c>
      <c r="Q1128" s="64"/>
      <c r="R1128" s="64"/>
      <c r="S1128" s="64"/>
      <c r="T1128" s="64"/>
      <c r="U1128" s="64"/>
      <c r="V1128" s="64"/>
      <c r="W1128" s="64"/>
      <c r="X1128" s="64"/>
      <c r="Y1128" s="64"/>
      <c r="Z1128" s="64"/>
      <c r="AA1128" s="64"/>
      <c r="BS1128" s="74"/>
    </row>
    <row r="1129" ht="18.75" customHeight="1">
      <c r="B1129" s="71"/>
      <c r="D1129" s="72"/>
      <c r="K1129" s="73"/>
      <c r="P1129" s="37" t="s">
        <v>29</v>
      </c>
      <c r="Q1129" s="64"/>
      <c r="R1129" s="64"/>
      <c r="S1129" s="64"/>
      <c r="T1129" s="64"/>
      <c r="U1129" s="64"/>
      <c r="V1129" s="64"/>
      <c r="W1129" s="64"/>
      <c r="X1129" s="64"/>
      <c r="Y1129" s="64"/>
      <c r="Z1129" s="64"/>
      <c r="AA1129" s="64"/>
      <c r="BS1129" s="74"/>
    </row>
    <row r="1130" ht="18.75" customHeight="1">
      <c r="B1130" s="71"/>
      <c r="D1130" s="72"/>
      <c r="K1130" s="73"/>
      <c r="P1130" s="37" t="s">
        <v>29</v>
      </c>
      <c r="Q1130" s="64"/>
      <c r="R1130" s="64"/>
      <c r="S1130" s="64"/>
      <c r="T1130" s="64"/>
      <c r="U1130" s="64"/>
      <c r="V1130" s="64"/>
      <c r="W1130" s="64"/>
      <c r="X1130" s="64"/>
      <c r="Y1130" s="64"/>
      <c r="Z1130" s="64"/>
      <c r="AA1130" s="64"/>
      <c r="BS1130" s="74"/>
    </row>
    <row r="1131" ht="18.75" customHeight="1">
      <c r="B1131" s="71"/>
      <c r="D1131" s="72"/>
      <c r="K1131" s="73"/>
      <c r="P1131" s="37" t="s">
        <v>29</v>
      </c>
      <c r="Q1131" s="64"/>
      <c r="R1131" s="64"/>
      <c r="S1131" s="64"/>
      <c r="T1131" s="64"/>
      <c r="U1131" s="64"/>
      <c r="V1131" s="64"/>
      <c r="W1131" s="64"/>
      <c r="X1131" s="64"/>
      <c r="Y1131" s="64"/>
      <c r="Z1131" s="64"/>
      <c r="AA1131" s="64"/>
      <c r="BS1131" s="74"/>
    </row>
    <row r="1132" ht="18.75" customHeight="1">
      <c r="B1132" s="71"/>
      <c r="D1132" s="72"/>
      <c r="K1132" s="73"/>
      <c r="P1132" s="37" t="s">
        <v>29</v>
      </c>
      <c r="Q1132" s="64"/>
      <c r="R1132" s="64"/>
      <c r="S1132" s="64"/>
      <c r="T1132" s="64"/>
      <c r="U1132" s="64"/>
      <c r="V1132" s="64"/>
      <c r="W1132" s="64"/>
      <c r="X1132" s="64"/>
      <c r="Y1132" s="64"/>
      <c r="Z1132" s="64"/>
      <c r="AA1132" s="64"/>
      <c r="BS1132" s="74"/>
    </row>
    <row r="1133" ht="18.75" customHeight="1">
      <c r="B1133" s="71"/>
      <c r="D1133" s="72"/>
      <c r="K1133" s="73"/>
      <c r="P1133" s="37" t="s">
        <v>29</v>
      </c>
      <c r="Q1133" s="64"/>
      <c r="R1133" s="64"/>
      <c r="S1133" s="64"/>
      <c r="T1133" s="64"/>
      <c r="U1133" s="64"/>
      <c r="V1133" s="64"/>
      <c r="W1133" s="64"/>
      <c r="X1133" s="64"/>
      <c r="Y1133" s="64"/>
      <c r="Z1133" s="64"/>
      <c r="AA1133" s="64"/>
      <c r="BS1133" s="74"/>
    </row>
    <row r="1134" ht="18.75" customHeight="1">
      <c r="B1134" s="71"/>
      <c r="D1134" s="72"/>
      <c r="K1134" s="73"/>
      <c r="P1134" s="37" t="s">
        <v>29</v>
      </c>
      <c r="Q1134" s="64"/>
      <c r="R1134" s="64"/>
      <c r="S1134" s="64"/>
      <c r="T1134" s="64"/>
      <c r="U1134" s="64"/>
      <c r="V1134" s="64"/>
      <c r="W1134" s="64"/>
      <c r="X1134" s="64"/>
      <c r="Y1134" s="64"/>
      <c r="Z1134" s="64"/>
      <c r="AA1134" s="64"/>
      <c r="BS1134" s="74"/>
    </row>
    <row r="1135" ht="18.75" customHeight="1">
      <c r="B1135" s="71"/>
      <c r="D1135" s="72"/>
      <c r="K1135" s="73"/>
      <c r="P1135" s="37" t="s">
        <v>29</v>
      </c>
      <c r="Q1135" s="64"/>
      <c r="R1135" s="64"/>
      <c r="S1135" s="64"/>
      <c r="T1135" s="64"/>
      <c r="U1135" s="64"/>
      <c r="V1135" s="64"/>
      <c r="W1135" s="64"/>
      <c r="X1135" s="64"/>
      <c r="Y1135" s="64"/>
      <c r="Z1135" s="64"/>
      <c r="AA1135" s="64"/>
      <c r="BS1135" s="74"/>
    </row>
    <row r="1136" ht="18.75" customHeight="1">
      <c r="B1136" s="71"/>
      <c r="D1136" s="72"/>
      <c r="K1136" s="73"/>
      <c r="P1136" s="37" t="s">
        <v>29</v>
      </c>
      <c r="Q1136" s="64"/>
      <c r="R1136" s="64"/>
      <c r="S1136" s="64"/>
      <c r="T1136" s="64"/>
      <c r="U1136" s="64"/>
      <c r="V1136" s="64"/>
      <c r="W1136" s="64"/>
      <c r="X1136" s="64"/>
      <c r="Y1136" s="64"/>
      <c r="Z1136" s="64"/>
      <c r="AA1136" s="64"/>
      <c r="BS1136" s="74"/>
    </row>
    <row r="1137" ht="18.75" customHeight="1">
      <c r="B1137" s="71"/>
      <c r="D1137" s="72"/>
      <c r="K1137" s="73"/>
      <c r="P1137" s="37" t="s">
        <v>29</v>
      </c>
      <c r="Q1137" s="64"/>
      <c r="R1137" s="64"/>
      <c r="S1137" s="64"/>
      <c r="T1137" s="64"/>
      <c r="U1137" s="64"/>
      <c r="V1137" s="64"/>
      <c r="W1137" s="64"/>
      <c r="X1137" s="64"/>
      <c r="Y1137" s="64"/>
      <c r="Z1137" s="64"/>
      <c r="AA1137" s="64"/>
      <c r="BS1137" s="74"/>
    </row>
    <row r="1138" ht="18.75" customHeight="1">
      <c r="B1138" s="71"/>
      <c r="D1138" s="72"/>
      <c r="K1138" s="73"/>
      <c r="P1138" s="37" t="s">
        <v>29</v>
      </c>
      <c r="Q1138" s="64"/>
      <c r="R1138" s="64"/>
      <c r="S1138" s="64"/>
      <c r="T1138" s="64"/>
      <c r="U1138" s="64"/>
      <c r="V1138" s="64"/>
      <c r="W1138" s="64"/>
      <c r="X1138" s="64"/>
      <c r="Y1138" s="64"/>
      <c r="Z1138" s="64"/>
      <c r="AA1138" s="64"/>
      <c r="BS1138" s="74"/>
    </row>
    <row r="1139" ht="18.75" customHeight="1">
      <c r="B1139" s="71"/>
      <c r="D1139" s="72"/>
      <c r="K1139" s="73"/>
      <c r="P1139" s="37" t="s">
        <v>29</v>
      </c>
      <c r="Q1139" s="64"/>
      <c r="R1139" s="64"/>
      <c r="S1139" s="64"/>
      <c r="T1139" s="64"/>
      <c r="U1139" s="64"/>
      <c r="V1139" s="64"/>
      <c r="W1139" s="64"/>
      <c r="X1139" s="64"/>
      <c r="Y1139" s="64"/>
      <c r="Z1139" s="64"/>
      <c r="AA1139" s="64"/>
      <c r="BS1139" s="74"/>
    </row>
    <row r="1140" ht="18.75" customHeight="1">
      <c r="B1140" s="71"/>
      <c r="D1140" s="72"/>
      <c r="K1140" s="73"/>
      <c r="P1140" s="37" t="s">
        <v>29</v>
      </c>
      <c r="Q1140" s="64"/>
      <c r="R1140" s="64"/>
      <c r="S1140" s="64"/>
      <c r="T1140" s="64"/>
      <c r="U1140" s="64"/>
      <c r="V1140" s="64"/>
      <c r="W1140" s="64"/>
      <c r="X1140" s="64"/>
      <c r="Y1140" s="64"/>
      <c r="Z1140" s="64"/>
      <c r="AA1140" s="64"/>
      <c r="BS1140" s="74"/>
    </row>
    <row r="1141" ht="18.75" customHeight="1">
      <c r="B1141" s="71"/>
      <c r="D1141" s="72"/>
      <c r="K1141" s="73"/>
      <c r="P1141" s="37" t="s">
        <v>29</v>
      </c>
      <c r="Q1141" s="64"/>
      <c r="R1141" s="64"/>
      <c r="S1141" s="64"/>
      <c r="T1141" s="64"/>
      <c r="U1141" s="64"/>
      <c r="V1141" s="64"/>
      <c r="W1141" s="64"/>
      <c r="X1141" s="64"/>
      <c r="Y1141" s="64"/>
      <c r="Z1141" s="64"/>
      <c r="AA1141" s="64"/>
      <c r="BS1141" s="74"/>
    </row>
    <row r="1142" ht="18.75" customHeight="1">
      <c r="B1142" s="71"/>
      <c r="D1142" s="72"/>
      <c r="K1142" s="73"/>
      <c r="P1142" s="37" t="s">
        <v>29</v>
      </c>
      <c r="Q1142" s="64"/>
      <c r="R1142" s="64"/>
      <c r="S1142" s="64"/>
      <c r="T1142" s="64"/>
      <c r="U1142" s="64"/>
      <c r="V1142" s="64"/>
      <c r="W1142" s="64"/>
      <c r="X1142" s="64"/>
      <c r="Y1142" s="64"/>
      <c r="Z1142" s="64"/>
      <c r="AA1142" s="64"/>
      <c r="BS1142" s="74"/>
    </row>
    <row r="1143" ht="18.75" customHeight="1">
      <c r="B1143" s="71"/>
      <c r="D1143" s="72"/>
      <c r="K1143" s="73"/>
      <c r="P1143" s="37" t="s">
        <v>29</v>
      </c>
      <c r="Q1143" s="64"/>
      <c r="R1143" s="64"/>
      <c r="S1143" s="64"/>
      <c r="T1143" s="64"/>
      <c r="U1143" s="64"/>
      <c r="V1143" s="64"/>
      <c r="W1143" s="64"/>
      <c r="X1143" s="64"/>
      <c r="Y1143" s="64"/>
      <c r="Z1143" s="64"/>
      <c r="AA1143" s="64"/>
      <c r="BS1143" s="74"/>
    </row>
    <row r="1144" ht="18.75" customHeight="1">
      <c r="B1144" s="71"/>
      <c r="D1144" s="72"/>
      <c r="K1144" s="73"/>
      <c r="P1144" s="37" t="s">
        <v>29</v>
      </c>
      <c r="Q1144" s="64"/>
      <c r="R1144" s="64"/>
      <c r="S1144" s="64"/>
      <c r="T1144" s="64"/>
      <c r="U1144" s="64"/>
      <c r="V1144" s="64"/>
      <c r="W1144" s="64"/>
      <c r="X1144" s="64"/>
      <c r="Y1144" s="64"/>
      <c r="Z1144" s="64"/>
      <c r="AA1144" s="64"/>
      <c r="BS1144" s="74"/>
    </row>
    <row r="1145" ht="18.75" customHeight="1">
      <c r="B1145" s="71"/>
      <c r="D1145" s="72"/>
      <c r="K1145" s="73"/>
      <c r="P1145" s="37" t="s">
        <v>29</v>
      </c>
      <c r="Q1145" s="64"/>
      <c r="R1145" s="64"/>
      <c r="S1145" s="64"/>
      <c r="T1145" s="64"/>
      <c r="U1145" s="64"/>
      <c r="V1145" s="64"/>
      <c r="W1145" s="64"/>
      <c r="X1145" s="64"/>
      <c r="Y1145" s="64"/>
      <c r="Z1145" s="64"/>
      <c r="AA1145" s="64"/>
      <c r="BS1145" s="74"/>
    </row>
    <row r="1146" ht="18.75" customHeight="1">
      <c r="B1146" s="71"/>
      <c r="D1146" s="72"/>
      <c r="K1146" s="73"/>
      <c r="P1146" s="37" t="s">
        <v>29</v>
      </c>
      <c r="Q1146" s="64"/>
      <c r="R1146" s="64"/>
      <c r="S1146" s="64"/>
      <c r="T1146" s="64"/>
      <c r="U1146" s="64"/>
      <c r="V1146" s="64"/>
      <c r="W1146" s="64"/>
      <c r="X1146" s="64"/>
      <c r="Y1146" s="64"/>
      <c r="Z1146" s="64"/>
      <c r="AA1146" s="64"/>
      <c r="BS1146" s="74"/>
    </row>
    <row r="1147" ht="18.75" customHeight="1">
      <c r="B1147" s="71"/>
      <c r="D1147" s="72"/>
      <c r="K1147" s="73"/>
      <c r="P1147" s="37" t="s">
        <v>29</v>
      </c>
      <c r="Q1147" s="64"/>
      <c r="R1147" s="64"/>
      <c r="S1147" s="64"/>
      <c r="T1147" s="64"/>
      <c r="U1147" s="64"/>
      <c r="V1147" s="64"/>
      <c r="W1147" s="64"/>
      <c r="X1147" s="64"/>
      <c r="Y1147" s="64"/>
      <c r="Z1147" s="64"/>
      <c r="AA1147" s="64"/>
      <c r="BS1147" s="74"/>
    </row>
    <row r="1148" ht="18.75" customHeight="1">
      <c r="B1148" s="71"/>
      <c r="D1148" s="72"/>
      <c r="K1148" s="73"/>
      <c r="P1148" s="37" t="s">
        <v>29</v>
      </c>
      <c r="Q1148" s="64"/>
      <c r="R1148" s="64"/>
      <c r="S1148" s="64"/>
      <c r="T1148" s="64"/>
      <c r="U1148" s="64"/>
      <c r="V1148" s="64"/>
      <c r="W1148" s="64"/>
      <c r="X1148" s="64"/>
      <c r="Y1148" s="64"/>
      <c r="Z1148" s="64"/>
      <c r="AA1148" s="64"/>
      <c r="BS1148" s="74"/>
    </row>
    <row r="1149" ht="18.75" customHeight="1">
      <c r="B1149" s="71"/>
      <c r="D1149" s="72"/>
      <c r="K1149" s="73"/>
      <c r="P1149" s="37" t="s">
        <v>29</v>
      </c>
      <c r="Q1149" s="64"/>
      <c r="R1149" s="64"/>
      <c r="S1149" s="64"/>
      <c r="T1149" s="64"/>
      <c r="U1149" s="64"/>
      <c r="V1149" s="64"/>
      <c r="W1149" s="64"/>
      <c r="X1149" s="64"/>
      <c r="Y1149" s="64"/>
      <c r="Z1149" s="64"/>
      <c r="AA1149" s="64"/>
      <c r="BS1149" s="74"/>
    </row>
    <row r="1150" ht="18.75" customHeight="1">
      <c r="B1150" s="71"/>
      <c r="D1150" s="72"/>
      <c r="K1150" s="73"/>
      <c r="P1150" s="37" t="s">
        <v>29</v>
      </c>
      <c r="Q1150" s="64"/>
      <c r="R1150" s="64"/>
      <c r="S1150" s="64"/>
      <c r="T1150" s="64"/>
      <c r="U1150" s="64"/>
      <c r="V1150" s="64"/>
      <c r="W1150" s="64"/>
      <c r="X1150" s="64"/>
      <c r="Y1150" s="64"/>
      <c r="Z1150" s="64"/>
      <c r="AA1150" s="64"/>
      <c r="BS1150" s="74"/>
    </row>
    <row r="1151" ht="18.75" customHeight="1">
      <c r="B1151" s="71"/>
      <c r="D1151" s="72"/>
      <c r="K1151" s="73"/>
      <c r="P1151" s="37" t="s">
        <v>29</v>
      </c>
      <c r="Q1151" s="64"/>
      <c r="R1151" s="64"/>
      <c r="S1151" s="64"/>
      <c r="T1151" s="64"/>
      <c r="U1151" s="64"/>
      <c r="V1151" s="64"/>
      <c r="W1151" s="64"/>
      <c r="X1151" s="64"/>
      <c r="Y1151" s="64"/>
      <c r="Z1151" s="64"/>
      <c r="AA1151" s="64"/>
      <c r="BS1151" s="74"/>
    </row>
    <row r="1152" ht="18.75" customHeight="1">
      <c r="B1152" s="71"/>
      <c r="D1152" s="72"/>
      <c r="K1152" s="73"/>
      <c r="P1152" s="37" t="s">
        <v>29</v>
      </c>
      <c r="Q1152" s="64"/>
      <c r="R1152" s="64"/>
      <c r="S1152" s="64"/>
      <c r="T1152" s="64"/>
      <c r="U1152" s="64"/>
      <c r="V1152" s="64"/>
      <c r="W1152" s="64"/>
      <c r="X1152" s="64"/>
      <c r="Y1152" s="64"/>
      <c r="Z1152" s="64"/>
      <c r="AA1152" s="64"/>
      <c r="BS1152" s="74"/>
    </row>
    <row r="1153" ht="18.75" customHeight="1">
      <c r="B1153" s="71"/>
      <c r="D1153" s="72"/>
      <c r="K1153" s="73"/>
      <c r="P1153" s="37" t="s">
        <v>29</v>
      </c>
      <c r="Q1153" s="64"/>
      <c r="R1153" s="64"/>
      <c r="S1153" s="64"/>
      <c r="T1153" s="64"/>
      <c r="U1153" s="64"/>
      <c r="V1153" s="64"/>
      <c r="W1153" s="64"/>
      <c r="X1153" s="64"/>
      <c r="Y1153" s="64"/>
      <c r="Z1153" s="64"/>
      <c r="AA1153" s="64"/>
      <c r="BS1153" s="74"/>
    </row>
    <row r="1154" ht="18.75" customHeight="1">
      <c r="B1154" s="71"/>
      <c r="D1154" s="72"/>
      <c r="K1154" s="73"/>
      <c r="P1154" s="37" t="s">
        <v>29</v>
      </c>
      <c r="Q1154" s="64"/>
      <c r="R1154" s="64"/>
      <c r="S1154" s="64"/>
      <c r="T1154" s="64"/>
      <c r="U1154" s="64"/>
      <c r="V1154" s="64"/>
      <c r="W1154" s="64"/>
      <c r="X1154" s="64"/>
      <c r="Y1154" s="64"/>
      <c r="Z1154" s="64"/>
      <c r="AA1154" s="64"/>
      <c r="BS1154" s="74"/>
    </row>
    <row r="1155" ht="18.75" customHeight="1">
      <c r="B1155" s="71"/>
      <c r="D1155" s="72"/>
      <c r="K1155" s="73"/>
      <c r="P1155" s="37" t="s">
        <v>29</v>
      </c>
      <c r="Q1155" s="64"/>
      <c r="R1155" s="64"/>
      <c r="S1155" s="64"/>
      <c r="T1155" s="64"/>
      <c r="U1155" s="64"/>
      <c r="V1155" s="64"/>
      <c r="W1155" s="64"/>
      <c r="X1155" s="64"/>
      <c r="Y1155" s="64"/>
      <c r="Z1155" s="64"/>
      <c r="AA1155" s="64"/>
      <c r="BS1155" s="74"/>
    </row>
    <row r="1156" ht="18.75" customHeight="1">
      <c r="B1156" s="71"/>
      <c r="D1156" s="72"/>
      <c r="K1156" s="73"/>
      <c r="P1156" s="37" t="s">
        <v>29</v>
      </c>
      <c r="Q1156" s="64"/>
      <c r="R1156" s="64"/>
      <c r="S1156" s="64"/>
      <c r="T1156" s="64"/>
      <c r="U1156" s="64"/>
      <c r="V1156" s="64"/>
      <c r="W1156" s="64"/>
      <c r="X1156" s="64"/>
      <c r="Y1156" s="64"/>
      <c r="Z1156" s="64"/>
      <c r="AA1156" s="64"/>
      <c r="BS1156" s="74"/>
    </row>
    <row r="1157" ht="18.75" customHeight="1">
      <c r="B1157" s="71"/>
      <c r="D1157" s="72"/>
      <c r="K1157" s="73"/>
      <c r="P1157" s="37" t="s">
        <v>29</v>
      </c>
      <c r="Q1157" s="64"/>
      <c r="R1157" s="64"/>
      <c r="S1157" s="64"/>
      <c r="T1157" s="64"/>
      <c r="U1157" s="64"/>
      <c r="V1157" s="64"/>
      <c r="W1157" s="64"/>
      <c r="X1157" s="64"/>
      <c r="Y1157" s="64"/>
      <c r="Z1157" s="64"/>
      <c r="AA1157" s="64"/>
      <c r="BS1157" s="74"/>
    </row>
    <row r="1158" ht="18.75" customHeight="1">
      <c r="B1158" s="71"/>
      <c r="D1158" s="72"/>
      <c r="K1158" s="73"/>
      <c r="P1158" s="37" t="s">
        <v>29</v>
      </c>
      <c r="Q1158" s="64"/>
      <c r="R1158" s="64"/>
      <c r="S1158" s="64"/>
      <c r="T1158" s="64"/>
      <c r="U1158" s="64"/>
      <c r="V1158" s="64"/>
      <c r="W1158" s="64"/>
      <c r="X1158" s="64"/>
      <c r="Y1158" s="64"/>
      <c r="Z1158" s="64"/>
      <c r="AA1158" s="64"/>
      <c r="BS1158" s="74"/>
    </row>
    <row r="1159" ht="18.75" customHeight="1">
      <c r="B1159" s="71"/>
      <c r="D1159" s="72"/>
      <c r="K1159" s="73"/>
      <c r="P1159" s="37" t="s">
        <v>29</v>
      </c>
      <c r="Q1159" s="64"/>
      <c r="R1159" s="64"/>
      <c r="S1159" s="64"/>
      <c r="T1159" s="64"/>
      <c r="U1159" s="64"/>
      <c r="V1159" s="64"/>
      <c r="W1159" s="64"/>
      <c r="X1159" s="64"/>
      <c r="Y1159" s="64"/>
      <c r="Z1159" s="64"/>
      <c r="AA1159" s="64"/>
      <c r="BS1159" s="74"/>
    </row>
    <row r="1160" ht="18.75" customHeight="1">
      <c r="B1160" s="71"/>
      <c r="D1160" s="72"/>
      <c r="K1160" s="73"/>
      <c r="P1160" s="37" t="s">
        <v>29</v>
      </c>
      <c r="Q1160" s="64"/>
      <c r="R1160" s="64"/>
      <c r="S1160" s="64"/>
      <c r="T1160" s="64"/>
      <c r="U1160" s="64"/>
      <c r="V1160" s="64"/>
      <c r="W1160" s="64"/>
      <c r="X1160" s="64"/>
      <c r="Y1160" s="64"/>
      <c r="Z1160" s="64"/>
      <c r="AA1160" s="64"/>
      <c r="BS1160" s="74"/>
    </row>
    <row r="1161" ht="18.75" customHeight="1">
      <c r="B1161" s="71"/>
      <c r="D1161" s="72"/>
      <c r="K1161" s="73"/>
      <c r="P1161" s="37" t="s">
        <v>29</v>
      </c>
      <c r="Q1161" s="64"/>
      <c r="R1161" s="64"/>
      <c r="S1161" s="64"/>
      <c r="T1161" s="64"/>
      <c r="U1161" s="64"/>
      <c r="V1161" s="64"/>
      <c r="W1161" s="64"/>
      <c r="X1161" s="64"/>
      <c r="Y1161" s="64"/>
      <c r="Z1161" s="64"/>
      <c r="AA1161" s="64"/>
      <c r="BS1161" s="74"/>
    </row>
    <row r="1162" ht="18.75" customHeight="1">
      <c r="B1162" s="71"/>
      <c r="D1162" s="72"/>
      <c r="K1162" s="73"/>
      <c r="P1162" s="37" t="s">
        <v>29</v>
      </c>
      <c r="Q1162" s="64"/>
      <c r="R1162" s="64"/>
      <c r="S1162" s="64"/>
      <c r="T1162" s="64"/>
      <c r="U1162" s="64"/>
      <c r="V1162" s="64"/>
      <c r="W1162" s="64"/>
      <c r="X1162" s="64"/>
      <c r="Y1162" s="64"/>
      <c r="Z1162" s="64"/>
      <c r="AA1162" s="64"/>
      <c r="BS1162" s="74"/>
    </row>
    <row r="1163" ht="18.75" customHeight="1">
      <c r="B1163" s="71"/>
      <c r="D1163" s="72"/>
      <c r="K1163" s="73"/>
      <c r="P1163" s="37" t="s">
        <v>29</v>
      </c>
      <c r="Q1163" s="64"/>
      <c r="R1163" s="64"/>
      <c r="S1163" s="64"/>
      <c r="T1163" s="64"/>
      <c r="U1163" s="64"/>
      <c r="V1163" s="64"/>
      <c r="W1163" s="64"/>
      <c r="X1163" s="64"/>
      <c r="Y1163" s="64"/>
      <c r="Z1163" s="64"/>
      <c r="AA1163" s="64"/>
      <c r="BS1163" s="74"/>
    </row>
    <row r="1164" ht="18.75" customHeight="1">
      <c r="B1164" s="71"/>
      <c r="D1164" s="72"/>
      <c r="K1164" s="73"/>
      <c r="P1164" s="37" t="s">
        <v>29</v>
      </c>
      <c r="Q1164" s="64"/>
      <c r="R1164" s="64"/>
      <c r="S1164" s="64"/>
      <c r="T1164" s="64"/>
      <c r="U1164" s="64"/>
      <c r="V1164" s="64"/>
      <c r="W1164" s="64"/>
      <c r="X1164" s="64"/>
      <c r="Y1164" s="64"/>
      <c r="Z1164" s="64"/>
      <c r="AA1164" s="64"/>
      <c r="BS1164" s="74"/>
    </row>
    <row r="1165" ht="18.75" customHeight="1">
      <c r="B1165" s="71"/>
      <c r="D1165" s="72"/>
      <c r="K1165" s="73"/>
      <c r="P1165" s="37" t="s">
        <v>29</v>
      </c>
      <c r="Q1165" s="64"/>
      <c r="R1165" s="64"/>
      <c r="S1165" s="64"/>
      <c r="T1165" s="64"/>
      <c r="U1165" s="64"/>
      <c r="V1165" s="64"/>
      <c r="W1165" s="64"/>
      <c r="X1165" s="64"/>
      <c r="Y1165" s="64"/>
      <c r="Z1165" s="64"/>
      <c r="AA1165" s="64"/>
      <c r="BS1165" s="74"/>
    </row>
    <row r="1166" ht="18.75" customHeight="1">
      <c r="B1166" s="71"/>
      <c r="D1166" s="72"/>
      <c r="K1166" s="73"/>
      <c r="P1166" s="37" t="s">
        <v>29</v>
      </c>
      <c r="Q1166" s="64"/>
      <c r="R1166" s="64"/>
      <c r="S1166" s="64"/>
      <c r="T1166" s="64"/>
      <c r="U1166" s="64"/>
      <c r="V1166" s="64"/>
      <c r="W1166" s="64"/>
      <c r="X1166" s="64"/>
      <c r="Y1166" s="64"/>
      <c r="Z1166" s="64"/>
      <c r="AA1166" s="64"/>
      <c r="BS1166" s="74"/>
    </row>
    <row r="1167" ht="18.75" customHeight="1">
      <c r="B1167" s="71"/>
      <c r="D1167" s="72"/>
      <c r="K1167" s="73"/>
      <c r="P1167" s="37" t="s">
        <v>29</v>
      </c>
      <c r="Q1167" s="64"/>
      <c r="R1167" s="64"/>
      <c r="S1167" s="64"/>
      <c r="T1167" s="64"/>
      <c r="U1167" s="64"/>
      <c r="V1167" s="64"/>
      <c r="W1167" s="64"/>
      <c r="X1167" s="64"/>
      <c r="Y1167" s="64"/>
      <c r="Z1167" s="64"/>
      <c r="AA1167" s="64"/>
      <c r="BS1167" s="74"/>
    </row>
    <row r="1168" ht="18.75" customHeight="1">
      <c r="B1168" s="71"/>
      <c r="D1168" s="72"/>
      <c r="K1168" s="73"/>
      <c r="P1168" s="37" t="s">
        <v>29</v>
      </c>
      <c r="Q1168" s="64"/>
      <c r="R1168" s="64"/>
      <c r="S1168" s="64"/>
      <c r="T1168" s="64"/>
      <c r="U1168" s="64"/>
      <c r="V1168" s="64"/>
      <c r="W1168" s="64"/>
      <c r="X1168" s="64"/>
      <c r="Y1168" s="64"/>
      <c r="Z1168" s="64"/>
      <c r="AA1168" s="64"/>
      <c r="BS1168" s="74"/>
    </row>
    <row r="1169" ht="18.75" customHeight="1">
      <c r="B1169" s="71"/>
      <c r="D1169" s="72"/>
      <c r="K1169" s="73"/>
      <c r="P1169" s="37" t="s">
        <v>29</v>
      </c>
      <c r="Q1169" s="64"/>
      <c r="R1169" s="64"/>
      <c r="S1169" s="64"/>
      <c r="T1169" s="64"/>
      <c r="U1169" s="64"/>
      <c r="V1169" s="64"/>
      <c r="W1169" s="64"/>
      <c r="X1169" s="64"/>
      <c r="Y1169" s="64"/>
      <c r="Z1169" s="64"/>
      <c r="AA1169" s="64"/>
      <c r="BS1169" s="74"/>
    </row>
    <row r="1170" ht="18.75" customHeight="1">
      <c r="B1170" s="71"/>
      <c r="D1170" s="72"/>
      <c r="K1170" s="73"/>
      <c r="P1170" s="37" t="s">
        <v>29</v>
      </c>
      <c r="Q1170" s="64"/>
      <c r="R1170" s="64"/>
      <c r="S1170" s="64"/>
      <c r="T1170" s="64"/>
      <c r="U1170" s="64"/>
      <c r="V1170" s="64"/>
      <c r="W1170" s="64"/>
      <c r="X1170" s="64"/>
      <c r="Y1170" s="64"/>
      <c r="Z1170" s="64"/>
      <c r="AA1170" s="64"/>
      <c r="BS1170" s="74"/>
    </row>
    <row r="1171" ht="18.75" customHeight="1">
      <c r="B1171" s="71"/>
      <c r="D1171" s="72"/>
      <c r="K1171" s="73"/>
      <c r="P1171" s="37" t="s">
        <v>29</v>
      </c>
      <c r="Q1171" s="64"/>
      <c r="R1171" s="64"/>
      <c r="S1171" s="64"/>
      <c r="T1171" s="64"/>
      <c r="U1171" s="64"/>
      <c r="V1171" s="64"/>
      <c r="W1171" s="64"/>
      <c r="X1171" s="64"/>
      <c r="Y1171" s="64"/>
      <c r="Z1171" s="64"/>
      <c r="AA1171" s="64"/>
      <c r="BS1171" s="74"/>
    </row>
    <row r="1172" ht="18.75" customHeight="1">
      <c r="B1172" s="71"/>
      <c r="D1172" s="72"/>
      <c r="K1172" s="73"/>
      <c r="P1172" s="37" t="s">
        <v>29</v>
      </c>
      <c r="Q1172" s="64"/>
      <c r="R1172" s="64"/>
      <c r="S1172" s="64"/>
      <c r="T1172" s="64"/>
      <c r="U1172" s="64"/>
      <c r="V1172" s="64"/>
      <c r="W1172" s="64"/>
      <c r="X1172" s="64"/>
      <c r="Y1172" s="64"/>
      <c r="Z1172" s="64"/>
      <c r="AA1172" s="64"/>
      <c r="BS1172" s="74"/>
    </row>
    <row r="1173" ht="18.75" customHeight="1">
      <c r="B1173" s="71"/>
      <c r="D1173" s="72"/>
      <c r="K1173" s="73"/>
      <c r="P1173" s="37" t="s">
        <v>29</v>
      </c>
      <c r="Q1173" s="64"/>
      <c r="R1173" s="64"/>
      <c r="S1173" s="64"/>
      <c r="T1173" s="64"/>
      <c r="U1173" s="64"/>
      <c r="V1173" s="64"/>
      <c r="W1173" s="64"/>
      <c r="X1173" s="64"/>
      <c r="Y1173" s="64"/>
      <c r="Z1173" s="64"/>
      <c r="AA1173" s="64"/>
      <c r="BS1173" s="74"/>
    </row>
    <row r="1174" ht="18.75" customHeight="1">
      <c r="B1174" s="71"/>
      <c r="D1174" s="72"/>
      <c r="K1174" s="73"/>
      <c r="P1174" s="37" t="s">
        <v>29</v>
      </c>
      <c r="Q1174" s="64"/>
      <c r="R1174" s="64"/>
      <c r="S1174" s="64"/>
      <c r="T1174" s="64"/>
      <c r="U1174" s="64"/>
      <c r="V1174" s="64"/>
      <c r="W1174" s="64"/>
      <c r="X1174" s="64"/>
      <c r="Y1174" s="64"/>
      <c r="Z1174" s="64"/>
      <c r="AA1174" s="64"/>
      <c r="BS1174" s="74"/>
    </row>
    <row r="1175" ht="18.75" customHeight="1">
      <c r="B1175" s="71"/>
      <c r="D1175" s="72"/>
      <c r="K1175" s="73"/>
      <c r="P1175" s="37" t="s">
        <v>29</v>
      </c>
      <c r="Q1175" s="64"/>
      <c r="R1175" s="64"/>
      <c r="S1175" s="64"/>
      <c r="T1175" s="64"/>
      <c r="U1175" s="64"/>
      <c r="V1175" s="64"/>
      <c r="W1175" s="64"/>
      <c r="X1175" s="64"/>
      <c r="Y1175" s="64"/>
      <c r="Z1175" s="64"/>
      <c r="AA1175" s="64"/>
      <c r="BS1175" s="74"/>
    </row>
    <row r="1176" ht="18.75" customHeight="1">
      <c r="B1176" s="71"/>
      <c r="D1176" s="72"/>
      <c r="K1176" s="73"/>
      <c r="P1176" s="37" t="s">
        <v>29</v>
      </c>
      <c r="Q1176" s="64"/>
      <c r="R1176" s="64"/>
      <c r="S1176" s="64"/>
      <c r="T1176" s="64"/>
      <c r="U1176" s="64"/>
      <c r="V1176" s="64"/>
      <c r="W1176" s="64"/>
      <c r="X1176" s="64"/>
      <c r="Y1176" s="64"/>
      <c r="Z1176" s="64"/>
      <c r="AA1176" s="64"/>
      <c r="BS1176" s="74"/>
    </row>
    <row r="1177" ht="18.75" customHeight="1">
      <c r="B1177" s="71"/>
      <c r="D1177" s="72"/>
      <c r="K1177" s="73"/>
      <c r="P1177" s="37" t="s">
        <v>29</v>
      </c>
      <c r="Q1177" s="64"/>
      <c r="R1177" s="64"/>
      <c r="S1177" s="64"/>
      <c r="T1177" s="64"/>
      <c r="U1177" s="64"/>
      <c r="V1177" s="64"/>
      <c r="W1177" s="64"/>
      <c r="X1177" s="64"/>
      <c r="Y1177" s="64"/>
      <c r="Z1177" s="64"/>
      <c r="AA1177" s="64"/>
      <c r="BS1177" s="74"/>
    </row>
    <row r="1178" ht="18.75" customHeight="1">
      <c r="B1178" s="71"/>
      <c r="D1178" s="72"/>
      <c r="K1178" s="73"/>
      <c r="P1178" s="37" t="s">
        <v>29</v>
      </c>
      <c r="Q1178" s="64"/>
      <c r="R1178" s="64"/>
      <c r="S1178" s="64"/>
      <c r="T1178" s="64"/>
      <c r="U1178" s="64"/>
      <c r="V1178" s="64"/>
      <c r="W1178" s="64"/>
      <c r="X1178" s="64"/>
      <c r="Y1178" s="64"/>
      <c r="Z1178" s="64"/>
      <c r="AA1178" s="64"/>
      <c r="BS1178" s="74"/>
    </row>
    <row r="1179" ht="18.75" customHeight="1">
      <c r="B1179" s="71"/>
      <c r="D1179" s="72"/>
      <c r="K1179" s="73"/>
      <c r="P1179" s="37" t="s">
        <v>29</v>
      </c>
      <c r="Q1179" s="64"/>
      <c r="R1179" s="64"/>
      <c r="S1179" s="64"/>
      <c r="T1179" s="64"/>
      <c r="U1179" s="64"/>
      <c r="V1179" s="64"/>
      <c r="W1179" s="64"/>
      <c r="X1179" s="64"/>
      <c r="Y1179" s="64"/>
      <c r="Z1179" s="64"/>
      <c r="AA1179" s="64"/>
      <c r="BS1179" s="74"/>
    </row>
    <row r="1180" ht="18.75" customHeight="1">
      <c r="B1180" s="71"/>
      <c r="D1180" s="72"/>
      <c r="K1180" s="73"/>
      <c r="P1180" s="37" t="s">
        <v>29</v>
      </c>
      <c r="Q1180" s="64"/>
      <c r="R1180" s="64"/>
      <c r="S1180" s="64"/>
      <c r="T1180" s="64"/>
      <c r="U1180" s="64"/>
      <c r="V1180" s="64"/>
      <c r="W1180" s="64"/>
      <c r="X1180" s="64"/>
      <c r="Y1180" s="64"/>
      <c r="Z1180" s="64"/>
      <c r="AA1180" s="64"/>
      <c r="BS1180" s="74"/>
    </row>
    <row r="1181" ht="18.75" customHeight="1">
      <c r="B1181" s="71"/>
      <c r="D1181" s="72"/>
      <c r="K1181" s="73"/>
      <c r="P1181" s="37" t="s">
        <v>29</v>
      </c>
      <c r="Q1181" s="64"/>
      <c r="R1181" s="64"/>
      <c r="S1181" s="64"/>
      <c r="T1181" s="64"/>
      <c r="U1181" s="64"/>
      <c r="V1181" s="64"/>
      <c r="W1181" s="64"/>
      <c r="X1181" s="64"/>
      <c r="Y1181" s="64"/>
      <c r="Z1181" s="64"/>
      <c r="AA1181" s="64"/>
      <c r="BS1181" s="74"/>
    </row>
    <row r="1182" ht="18.75" customHeight="1">
      <c r="B1182" s="71"/>
      <c r="D1182" s="72"/>
      <c r="K1182" s="73"/>
      <c r="P1182" s="37" t="s">
        <v>29</v>
      </c>
      <c r="Q1182" s="64"/>
      <c r="R1182" s="64"/>
      <c r="S1182" s="64"/>
      <c r="T1182" s="64"/>
      <c r="U1182" s="64"/>
      <c r="V1182" s="64"/>
      <c r="W1182" s="64"/>
      <c r="X1182" s="64"/>
      <c r="Y1182" s="64"/>
      <c r="Z1182" s="64"/>
      <c r="AA1182" s="64"/>
      <c r="BS1182" s="74"/>
    </row>
    <row r="1183" ht="18.75" customHeight="1">
      <c r="B1183" s="71"/>
      <c r="D1183" s="72"/>
      <c r="K1183" s="73"/>
      <c r="P1183" s="37" t="s">
        <v>29</v>
      </c>
      <c r="Q1183" s="64"/>
      <c r="R1183" s="64"/>
      <c r="S1183" s="64"/>
      <c r="T1183" s="64"/>
      <c r="U1183" s="64"/>
      <c r="V1183" s="64"/>
      <c r="W1183" s="64"/>
      <c r="X1183" s="64"/>
      <c r="Y1183" s="64"/>
      <c r="Z1183" s="64"/>
      <c r="AA1183" s="64"/>
      <c r="BS1183" s="74"/>
    </row>
    <row r="1184" ht="18.75" customHeight="1">
      <c r="B1184" s="71"/>
      <c r="D1184" s="72"/>
      <c r="K1184" s="73"/>
      <c r="P1184" s="37" t="s">
        <v>29</v>
      </c>
      <c r="Q1184" s="64"/>
      <c r="R1184" s="64"/>
      <c r="S1184" s="64"/>
      <c r="T1184" s="64"/>
      <c r="U1184" s="64"/>
      <c r="V1184" s="64"/>
      <c r="W1184" s="64"/>
      <c r="X1184" s="64"/>
      <c r="Y1184" s="64"/>
      <c r="Z1184" s="64"/>
      <c r="AA1184" s="64"/>
      <c r="BS1184" s="74"/>
    </row>
    <row r="1185" ht="18.75" customHeight="1">
      <c r="B1185" s="71"/>
      <c r="D1185" s="72"/>
      <c r="K1185" s="73"/>
      <c r="P1185" s="37" t="s">
        <v>29</v>
      </c>
      <c r="Q1185" s="64"/>
      <c r="R1185" s="64"/>
      <c r="S1185" s="64"/>
      <c r="T1185" s="64"/>
      <c r="U1185" s="64"/>
      <c r="V1185" s="64"/>
      <c r="W1185" s="64"/>
      <c r="X1185" s="64"/>
      <c r="Y1185" s="64"/>
      <c r="Z1185" s="64"/>
      <c r="AA1185" s="64"/>
      <c r="BS1185" s="74"/>
    </row>
    <row r="1186" ht="18.75" customHeight="1">
      <c r="B1186" s="71"/>
      <c r="D1186" s="72"/>
      <c r="K1186" s="73"/>
      <c r="P1186" s="37" t="s">
        <v>29</v>
      </c>
      <c r="Q1186" s="64"/>
      <c r="R1186" s="64"/>
      <c r="S1186" s="64"/>
      <c r="T1186" s="64"/>
      <c r="U1186" s="64"/>
      <c r="V1186" s="64"/>
      <c r="W1186" s="64"/>
      <c r="X1186" s="64"/>
      <c r="Y1186" s="64"/>
      <c r="Z1186" s="64"/>
      <c r="AA1186" s="64"/>
      <c r="BS1186" s="74"/>
    </row>
    <row r="1187" ht="18.75" customHeight="1">
      <c r="B1187" s="71"/>
      <c r="D1187" s="72"/>
      <c r="K1187" s="73"/>
      <c r="P1187" s="37" t="s">
        <v>29</v>
      </c>
      <c r="Q1187" s="64"/>
      <c r="R1187" s="64"/>
      <c r="S1187" s="64"/>
      <c r="T1187" s="64"/>
      <c r="U1187" s="64"/>
      <c r="V1187" s="64"/>
      <c r="W1187" s="64"/>
      <c r="X1187" s="64"/>
      <c r="Y1187" s="64"/>
      <c r="Z1187" s="64"/>
      <c r="AA1187" s="64"/>
      <c r="BS1187" s="74"/>
    </row>
    <row r="1188" ht="18.75" customHeight="1">
      <c r="B1188" s="71"/>
      <c r="D1188" s="72"/>
      <c r="K1188" s="73"/>
      <c r="P1188" s="37" t="s">
        <v>29</v>
      </c>
      <c r="Q1188" s="64"/>
      <c r="R1188" s="64"/>
      <c r="S1188" s="64"/>
      <c r="T1188" s="64"/>
      <c r="U1188" s="64"/>
      <c r="V1188" s="64"/>
      <c r="W1188" s="64"/>
      <c r="X1188" s="64"/>
      <c r="Y1188" s="64"/>
      <c r="Z1188" s="64"/>
      <c r="AA1188" s="64"/>
      <c r="BS1188" s="74"/>
    </row>
    <row r="1189" ht="18.75" customHeight="1">
      <c r="B1189" s="71"/>
      <c r="D1189" s="72"/>
      <c r="K1189" s="73"/>
      <c r="P1189" s="37" t="s">
        <v>29</v>
      </c>
      <c r="Q1189" s="64"/>
      <c r="R1189" s="64"/>
      <c r="S1189" s="64"/>
      <c r="T1189" s="64"/>
      <c r="U1189" s="64"/>
      <c r="V1189" s="64"/>
      <c r="W1189" s="64"/>
      <c r="X1189" s="64"/>
      <c r="Y1189" s="64"/>
      <c r="Z1189" s="64"/>
      <c r="AA1189" s="64"/>
      <c r="BS1189" s="74"/>
    </row>
    <row r="1190" ht="18.75" customHeight="1">
      <c r="B1190" s="71"/>
      <c r="D1190" s="72"/>
      <c r="K1190" s="73"/>
      <c r="P1190" s="37" t="s">
        <v>29</v>
      </c>
      <c r="Q1190" s="64"/>
      <c r="R1190" s="64"/>
      <c r="S1190" s="64"/>
      <c r="T1190" s="64"/>
      <c r="U1190" s="64"/>
      <c r="V1190" s="64"/>
      <c r="W1190" s="64"/>
      <c r="X1190" s="64"/>
      <c r="Y1190" s="64"/>
      <c r="Z1190" s="64"/>
      <c r="AA1190" s="64"/>
      <c r="BS1190" s="74"/>
    </row>
    <row r="1191" ht="18.75" customHeight="1">
      <c r="B1191" s="71"/>
      <c r="D1191" s="72"/>
      <c r="K1191" s="73"/>
      <c r="P1191" s="37" t="s">
        <v>29</v>
      </c>
      <c r="Q1191" s="64"/>
      <c r="R1191" s="64"/>
      <c r="S1191" s="64"/>
      <c r="T1191" s="64"/>
      <c r="U1191" s="64"/>
      <c r="V1191" s="64"/>
      <c r="W1191" s="64"/>
      <c r="X1191" s="64"/>
      <c r="Y1191" s="64"/>
      <c r="Z1191" s="64"/>
      <c r="AA1191" s="64"/>
      <c r="BS1191" s="74"/>
    </row>
    <row r="1192" ht="18.75" customHeight="1">
      <c r="B1192" s="71"/>
      <c r="D1192" s="72"/>
      <c r="K1192" s="73"/>
      <c r="P1192" s="37" t="s">
        <v>29</v>
      </c>
      <c r="Q1192" s="64"/>
      <c r="R1192" s="64"/>
      <c r="S1192" s="64"/>
      <c r="T1192" s="64"/>
      <c r="U1192" s="64"/>
      <c r="V1192" s="64"/>
      <c r="W1192" s="64"/>
      <c r="X1192" s="64"/>
      <c r="Y1192" s="64"/>
      <c r="Z1192" s="64"/>
      <c r="AA1192" s="64"/>
      <c r="BS1192" s="74"/>
    </row>
    <row r="1193" ht="18.75" customHeight="1">
      <c r="B1193" s="85"/>
      <c r="D1193" s="72"/>
      <c r="K1193" s="73"/>
      <c r="P1193" s="37" t="s">
        <v>29</v>
      </c>
      <c r="Q1193" s="64"/>
      <c r="R1193" s="64"/>
      <c r="S1193" s="64"/>
      <c r="T1193" s="64"/>
      <c r="U1193" s="64"/>
      <c r="V1193" s="64"/>
      <c r="W1193" s="64"/>
      <c r="X1193" s="64"/>
      <c r="Y1193" s="64"/>
      <c r="Z1193" s="64"/>
      <c r="AA1193" s="64"/>
      <c r="BS1193" s="74"/>
    </row>
    <row r="1194" ht="18.75" customHeight="1">
      <c r="B1194" s="71"/>
      <c r="D1194" s="72"/>
      <c r="K1194" s="73"/>
      <c r="P1194" s="37" t="s">
        <v>29</v>
      </c>
      <c r="Q1194" s="64"/>
      <c r="R1194" s="64"/>
      <c r="S1194" s="64"/>
      <c r="T1194" s="64"/>
      <c r="U1194" s="64"/>
      <c r="V1194" s="64"/>
      <c r="W1194" s="64"/>
      <c r="X1194" s="64"/>
      <c r="Y1194" s="64"/>
      <c r="Z1194" s="64"/>
      <c r="AA1194" s="64"/>
      <c r="BS1194" s="74"/>
    </row>
    <row r="1195" ht="18.75" customHeight="1">
      <c r="A1195" s="25"/>
      <c r="B1195" s="71"/>
      <c r="D1195" s="72"/>
      <c r="K1195" s="73"/>
      <c r="P1195" s="37" t="s">
        <v>29</v>
      </c>
      <c r="Q1195" s="64"/>
      <c r="R1195" s="64"/>
      <c r="S1195" s="64"/>
      <c r="T1195" s="64"/>
      <c r="U1195" s="64"/>
      <c r="V1195" s="64"/>
      <c r="W1195" s="64"/>
      <c r="X1195" s="64"/>
      <c r="Y1195" s="64"/>
      <c r="Z1195" s="64"/>
      <c r="AA1195" s="64"/>
      <c r="AB1195" s="64"/>
      <c r="AC1195" s="64"/>
      <c r="AD1195" s="64"/>
      <c r="AE1195" s="64"/>
      <c r="AF1195" s="64"/>
      <c r="AG1195" s="64"/>
      <c r="AH1195" s="64"/>
      <c r="AI1195" s="64"/>
      <c r="AJ1195" s="64"/>
      <c r="BS1195" s="74"/>
    </row>
    <row r="1196" ht="18.75" customHeight="1">
      <c r="B1196" s="71"/>
      <c r="D1196" s="72"/>
      <c r="K1196" s="73"/>
      <c r="P1196" s="37" t="s">
        <v>29</v>
      </c>
      <c r="Q1196" s="64"/>
      <c r="R1196" s="64"/>
      <c r="S1196" s="64"/>
      <c r="T1196" s="64"/>
      <c r="U1196" s="64"/>
      <c r="V1196" s="64"/>
      <c r="W1196" s="64"/>
      <c r="X1196" s="64"/>
      <c r="Y1196" s="64"/>
      <c r="Z1196" s="64"/>
      <c r="AA1196" s="64"/>
      <c r="BS1196" s="74"/>
    </row>
    <row r="1197" ht="18.75" customHeight="1">
      <c r="B1197" s="71"/>
      <c r="D1197" s="72"/>
      <c r="K1197" s="73"/>
      <c r="P1197" s="37" t="s">
        <v>29</v>
      </c>
      <c r="Q1197" s="64"/>
      <c r="R1197" s="64"/>
      <c r="S1197" s="64"/>
      <c r="T1197" s="64"/>
      <c r="U1197" s="64"/>
      <c r="V1197" s="64"/>
      <c r="W1197" s="64"/>
      <c r="X1197" s="64"/>
      <c r="Y1197" s="64"/>
      <c r="Z1197" s="64"/>
      <c r="AA1197" s="64"/>
      <c r="BS1197" s="74"/>
    </row>
    <row r="1198" ht="18.75" customHeight="1">
      <c r="B1198" s="71"/>
      <c r="D1198" s="72"/>
      <c r="K1198" s="73"/>
      <c r="P1198" s="37" t="s">
        <v>29</v>
      </c>
      <c r="Q1198" s="64"/>
      <c r="R1198" s="64"/>
      <c r="S1198" s="64"/>
      <c r="T1198" s="64"/>
      <c r="U1198" s="64"/>
      <c r="V1198" s="64"/>
      <c r="W1198" s="64"/>
      <c r="X1198" s="64"/>
      <c r="Y1198" s="64"/>
      <c r="Z1198" s="64"/>
      <c r="AA1198" s="64"/>
      <c r="BS1198" s="74"/>
    </row>
    <row r="1199" ht="18.75" customHeight="1">
      <c r="B1199" s="71"/>
      <c r="D1199" s="72"/>
      <c r="K1199" s="73"/>
      <c r="P1199" s="37" t="s">
        <v>29</v>
      </c>
      <c r="Q1199" s="64"/>
      <c r="R1199" s="64"/>
      <c r="S1199" s="64"/>
      <c r="T1199" s="64"/>
      <c r="U1199" s="64"/>
      <c r="V1199" s="64"/>
      <c r="W1199" s="64"/>
      <c r="X1199" s="64"/>
      <c r="Y1199" s="64"/>
      <c r="Z1199" s="64"/>
      <c r="AA1199" s="64"/>
      <c r="BS1199" s="74"/>
    </row>
    <row r="1200" ht="18.75" customHeight="1">
      <c r="B1200" s="71"/>
      <c r="D1200" s="72"/>
      <c r="K1200" s="73"/>
      <c r="P1200" s="37" t="s">
        <v>29</v>
      </c>
      <c r="Q1200" s="64"/>
      <c r="R1200" s="64"/>
      <c r="S1200" s="64"/>
      <c r="T1200" s="64"/>
      <c r="U1200" s="64"/>
      <c r="V1200" s="64"/>
      <c r="W1200" s="64"/>
      <c r="X1200" s="64"/>
      <c r="Y1200" s="64"/>
      <c r="Z1200" s="64"/>
      <c r="AA1200" s="64"/>
      <c r="BS1200" s="74"/>
    </row>
    <row r="1201" ht="18.75" customHeight="1">
      <c r="B1201" s="71"/>
      <c r="D1201" s="72"/>
      <c r="K1201" s="73"/>
      <c r="P1201" s="37" t="s">
        <v>29</v>
      </c>
      <c r="Q1201" s="64"/>
      <c r="R1201" s="64"/>
      <c r="S1201" s="64"/>
      <c r="T1201" s="64"/>
      <c r="U1201" s="64"/>
      <c r="V1201" s="64"/>
      <c r="W1201" s="64"/>
      <c r="X1201" s="64"/>
      <c r="Y1201" s="64"/>
      <c r="Z1201" s="64"/>
      <c r="AA1201" s="64"/>
      <c r="BS1201" s="74"/>
    </row>
    <row r="1202" ht="18.75" customHeight="1">
      <c r="B1202" s="71"/>
      <c r="D1202" s="72"/>
      <c r="K1202" s="73"/>
      <c r="P1202" s="37" t="s">
        <v>29</v>
      </c>
      <c r="Q1202" s="64"/>
      <c r="R1202" s="64"/>
      <c r="S1202" s="64"/>
      <c r="T1202" s="64"/>
      <c r="U1202" s="64"/>
      <c r="V1202" s="64"/>
      <c r="W1202" s="64"/>
      <c r="X1202" s="64"/>
      <c r="Y1202" s="64"/>
      <c r="Z1202" s="64"/>
      <c r="AA1202" s="64"/>
      <c r="BS1202" s="74"/>
    </row>
    <row r="1203" ht="18.75" customHeight="1">
      <c r="B1203" s="71"/>
      <c r="D1203" s="72"/>
      <c r="K1203" s="73"/>
      <c r="P1203" s="37" t="s">
        <v>29</v>
      </c>
      <c r="Q1203" s="64"/>
      <c r="R1203" s="64"/>
      <c r="S1203" s="64"/>
      <c r="T1203" s="64"/>
      <c r="U1203" s="64"/>
      <c r="V1203" s="64"/>
      <c r="W1203" s="64"/>
      <c r="X1203" s="64"/>
      <c r="Y1203" s="64"/>
      <c r="Z1203" s="64"/>
      <c r="AA1203" s="64"/>
      <c r="BS1203" s="74"/>
    </row>
    <row r="1204" ht="18.75" customHeight="1">
      <c r="B1204" s="71"/>
      <c r="D1204" s="72"/>
      <c r="K1204" s="73"/>
      <c r="P1204" s="37" t="s">
        <v>29</v>
      </c>
      <c r="Q1204" s="64"/>
      <c r="R1204" s="64"/>
      <c r="S1204" s="64"/>
      <c r="T1204" s="64"/>
      <c r="U1204" s="64"/>
      <c r="V1204" s="64"/>
      <c r="W1204" s="64"/>
      <c r="X1204" s="64"/>
      <c r="Y1204" s="64"/>
      <c r="Z1204" s="64"/>
      <c r="AA1204" s="64"/>
      <c r="BS1204" s="74"/>
    </row>
    <row r="1205" ht="18.75" customHeight="1">
      <c r="B1205" s="71"/>
      <c r="D1205" s="72"/>
      <c r="K1205" s="73"/>
      <c r="P1205" s="37" t="s">
        <v>29</v>
      </c>
      <c r="Q1205" s="64"/>
      <c r="R1205" s="64"/>
      <c r="S1205" s="64"/>
      <c r="T1205" s="64"/>
      <c r="U1205" s="64"/>
      <c r="V1205" s="64"/>
      <c r="W1205" s="64"/>
      <c r="X1205" s="64"/>
      <c r="Y1205" s="64"/>
      <c r="Z1205" s="64"/>
      <c r="AA1205" s="64"/>
      <c r="BS1205" s="74"/>
    </row>
    <row r="1206" ht="18.75" customHeight="1">
      <c r="B1206" s="71"/>
      <c r="D1206" s="72"/>
      <c r="K1206" s="73"/>
      <c r="P1206" s="37" t="s">
        <v>29</v>
      </c>
      <c r="Q1206" s="64"/>
      <c r="R1206" s="64"/>
      <c r="S1206" s="64"/>
      <c r="T1206" s="64"/>
      <c r="U1206" s="64"/>
      <c r="V1206" s="64"/>
      <c r="W1206" s="64"/>
      <c r="X1206" s="64"/>
      <c r="Y1206" s="64"/>
      <c r="Z1206" s="64"/>
      <c r="AA1206" s="64"/>
      <c r="BS1206" s="74"/>
    </row>
    <row r="1207" ht="18.75" customHeight="1">
      <c r="B1207" s="71"/>
      <c r="D1207" s="72"/>
      <c r="K1207" s="73"/>
      <c r="P1207" s="37" t="s">
        <v>29</v>
      </c>
      <c r="Q1207" s="64"/>
      <c r="R1207" s="64"/>
      <c r="S1207" s="64"/>
      <c r="T1207" s="64"/>
      <c r="U1207" s="64"/>
      <c r="V1207" s="64"/>
      <c r="W1207" s="64"/>
      <c r="X1207" s="64"/>
      <c r="Y1207" s="64"/>
      <c r="Z1207" s="64"/>
      <c r="AA1207" s="64"/>
      <c r="BS1207" s="74"/>
    </row>
    <row r="1208" ht="18.75" customHeight="1">
      <c r="B1208" s="71"/>
      <c r="D1208" s="72"/>
      <c r="K1208" s="73"/>
      <c r="P1208" s="37" t="s">
        <v>29</v>
      </c>
      <c r="Q1208" s="64"/>
      <c r="R1208" s="64"/>
      <c r="S1208" s="64"/>
      <c r="T1208" s="64"/>
      <c r="U1208" s="64"/>
      <c r="V1208" s="64"/>
      <c r="W1208" s="64"/>
      <c r="X1208" s="64"/>
      <c r="Y1208" s="64"/>
      <c r="Z1208" s="64"/>
      <c r="AA1208" s="64"/>
      <c r="BS1208" s="74"/>
      <c r="BT1208" s="39"/>
    </row>
    <row r="1209" ht="18.75" customHeight="1">
      <c r="B1209" s="71"/>
      <c r="D1209" s="72"/>
      <c r="K1209" s="73"/>
      <c r="P1209" s="37" t="s">
        <v>29</v>
      </c>
      <c r="Q1209" s="64"/>
      <c r="R1209" s="64"/>
      <c r="S1209" s="64"/>
      <c r="T1209" s="64"/>
      <c r="U1209" s="64"/>
      <c r="V1209" s="64"/>
      <c r="W1209" s="64"/>
      <c r="X1209" s="64"/>
      <c r="Y1209" s="64"/>
      <c r="Z1209" s="64"/>
      <c r="AA1209" s="64"/>
      <c r="BS1209" s="74"/>
    </row>
    <row r="1210" ht="18.75" customHeight="1">
      <c r="B1210" s="71"/>
      <c r="D1210" s="72"/>
      <c r="K1210" s="73"/>
      <c r="P1210" s="37" t="s">
        <v>29</v>
      </c>
      <c r="Q1210" s="64"/>
      <c r="R1210" s="64"/>
      <c r="S1210" s="64"/>
      <c r="T1210" s="64"/>
      <c r="U1210" s="64"/>
      <c r="V1210" s="64"/>
      <c r="W1210" s="64"/>
      <c r="X1210" s="64"/>
      <c r="Y1210" s="64"/>
      <c r="Z1210" s="64"/>
      <c r="AA1210" s="64"/>
      <c r="BS1210" s="74"/>
    </row>
    <row r="1211" ht="18.75" customHeight="1">
      <c r="B1211" s="71"/>
      <c r="D1211" s="72"/>
      <c r="K1211" s="73"/>
      <c r="P1211" s="37" t="s">
        <v>29</v>
      </c>
      <c r="Q1211" s="64"/>
      <c r="R1211" s="64"/>
      <c r="S1211" s="64"/>
      <c r="T1211" s="64"/>
      <c r="U1211" s="64"/>
      <c r="V1211" s="64"/>
      <c r="W1211" s="64"/>
      <c r="X1211" s="64"/>
      <c r="Y1211" s="64"/>
      <c r="Z1211" s="64"/>
      <c r="AA1211" s="64"/>
      <c r="BS1211" s="74"/>
    </row>
    <row r="1212" ht="18.75" customHeight="1">
      <c r="B1212" s="71"/>
      <c r="D1212" s="72"/>
      <c r="K1212" s="73"/>
      <c r="P1212" s="37" t="s">
        <v>29</v>
      </c>
      <c r="Q1212" s="64"/>
      <c r="R1212" s="64"/>
      <c r="S1212" s="64"/>
      <c r="T1212" s="64"/>
      <c r="U1212" s="64"/>
      <c r="V1212" s="64"/>
      <c r="W1212" s="64"/>
      <c r="X1212" s="64"/>
      <c r="Y1212" s="64"/>
      <c r="Z1212" s="64"/>
      <c r="AA1212" s="64"/>
      <c r="BS1212" s="74"/>
    </row>
    <row r="1213" ht="18.75" customHeight="1">
      <c r="B1213" s="71"/>
      <c r="D1213" s="72"/>
      <c r="K1213" s="73"/>
      <c r="P1213" s="37" t="s">
        <v>29</v>
      </c>
      <c r="Q1213" s="64"/>
      <c r="R1213" s="64"/>
      <c r="S1213" s="64"/>
      <c r="T1213" s="64"/>
      <c r="U1213" s="64"/>
      <c r="V1213" s="64"/>
      <c r="W1213" s="64"/>
      <c r="X1213" s="64"/>
      <c r="Y1213" s="64"/>
      <c r="Z1213" s="64"/>
      <c r="AA1213" s="64"/>
      <c r="BS1213" s="74"/>
    </row>
    <row r="1214" ht="18.75" customHeight="1">
      <c r="B1214" s="71"/>
      <c r="D1214" s="72"/>
      <c r="K1214" s="73"/>
      <c r="P1214" s="37" t="s">
        <v>29</v>
      </c>
      <c r="Q1214" s="64"/>
      <c r="R1214" s="64"/>
      <c r="S1214" s="64"/>
      <c r="T1214" s="64"/>
      <c r="U1214" s="64"/>
      <c r="V1214" s="64"/>
      <c r="W1214" s="64"/>
      <c r="X1214" s="64"/>
      <c r="Y1214" s="64"/>
      <c r="Z1214" s="64"/>
      <c r="AA1214" s="64"/>
      <c r="BS1214" s="74"/>
    </row>
    <row r="1215" ht="18.75" customHeight="1">
      <c r="B1215" s="71"/>
      <c r="D1215" s="72"/>
      <c r="K1215" s="73"/>
      <c r="P1215" s="37" t="s">
        <v>29</v>
      </c>
      <c r="Q1215" s="64"/>
      <c r="R1215" s="64"/>
      <c r="S1215" s="64"/>
      <c r="T1215" s="64"/>
      <c r="U1215" s="64"/>
      <c r="V1215" s="64"/>
      <c r="W1215" s="64"/>
      <c r="X1215" s="64"/>
      <c r="Y1215" s="64"/>
      <c r="Z1215" s="64"/>
      <c r="AA1215" s="64"/>
      <c r="BS1215" s="74"/>
    </row>
    <row r="1216" ht="18.75" customHeight="1">
      <c r="B1216" s="71"/>
      <c r="D1216" s="72"/>
      <c r="K1216" s="73"/>
      <c r="P1216" s="37" t="s">
        <v>29</v>
      </c>
      <c r="Q1216" s="64"/>
      <c r="R1216" s="64"/>
      <c r="S1216" s="64"/>
      <c r="T1216" s="64"/>
      <c r="U1216" s="64"/>
      <c r="V1216" s="64"/>
      <c r="W1216" s="64"/>
      <c r="X1216" s="64"/>
      <c r="Y1216" s="64"/>
      <c r="Z1216" s="64"/>
      <c r="AA1216" s="64"/>
      <c r="BS1216" s="74"/>
    </row>
    <row r="1217" ht="18.75" customHeight="1">
      <c r="B1217" s="71"/>
      <c r="D1217" s="72"/>
      <c r="K1217" s="73"/>
      <c r="P1217" s="37" t="s">
        <v>29</v>
      </c>
      <c r="Q1217" s="64"/>
      <c r="R1217" s="64"/>
      <c r="S1217" s="64"/>
      <c r="T1217" s="64"/>
      <c r="U1217" s="64"/>
      <c r="V1217" s="64"/>
      <c r="W1217" s="64"/>
      <c r="X1217" s="64"/>
      <c r="Y1217" s="64"/>
      <c r="Z1217" s="64"/>
      <c r="AA1217" s="64"/>
      <c r="BS1217" s="74"/>
    </row>
    <row r="1218" ht="18.75" customHeight="1">
      <c r="B1218" s="71"/>
      <c r="D1218" s="72"/>
      <c r="K1218" s="73"/>
      <c r="P1218" s="37" t="s">
        <v>29</v>
      </c>
      <c r="Q1218" s="64"/>
      <c r="R1218" s="64"/>
      <c r="S1218" s="64"/>
      <c r="T1218" s="64"/>
      <c r="U1218" s="64"/>
      <c r="V1218" s="64"/>
      <c r="W1218" s="64"/>
      <c r="X1218" s="64"/>
      <c r="Y1218" s="64"/>
      <c r="Z1218" s="64"/>
      <c r="AA1218" s="64"/>
      <c r="BS1218" s="74"/>
    </row>
    <row r="1219" ht="18.75" customHeight="1">
      <c r="B1219" s="71"/>
      <c r="D1219" s="72"/>
      <c r="K1219" s="73"/>
      <c r="P1219" s="37" t="s">
        <v>29</v>
      </c>
      <c r="Q1219" s="64"/>
      <c r="R1219" s="64"/>
      <c r="S1219" s="64"/>
      <c r="T1219" s="64"/>
      <c r="U1219" s="64"/>
      <c r="V1219" s="64"/>
      <c r="W1219" s="64"/>
      <c r="X1219" s="64"/>
      <c r="Y1219" s="64"/>
      <c r="Z1219" s="64"/>
      <c r="AA1219" s="64"/>
      <c r="BS1219" s="74"/>
    </row>
    <row r="1220" ht="18.75" customHeight="1">
      <c r="B1220" s="71"/>
      <c r="D1220" s="72"/>
      <c r="K1220" s="73"/>
      <c r="P1220" s="37" t="s">
        <v>29</v>
      </c>
      <c r="Q1220" s="64"/>
      <c r="R1220" s="64"/>
      <c r="S1220" s="64"/>
      <c r="T1220" s="64"/>
      <c r="U1220" s="64"/>
      <c r="V1220" s="64"/>
      <c r="W1220" s="64"/>
      <c r="X1220" s="64"/>
      <c r="Y1220" s="64"/>
      <c r="Z1220" s="64"/>
      <c r="AA1220" s="64"/>
      <c r="BS1220" s="74"/>
    </row>
    <row r="1221" ht="18.75" customHeight="1">
      <c r="B1221" s="71"/>
      <c r="D1221" s="72"/>
      <c r="K1221" s="73"/>
      <c r="P1221" s="37" t="s">
        <v>29</v>
      </c>
      <c r="Q1221" s="64"/>
      <c r="R1221" s="64"/>
      <c r="S1221" s="64"/>
      <c r="T1221" s="64"/>
      <c r="U1221" s="64"/>
      <c r="V1221" s="64"/>
      <c r="W1221" s="64"/>
      <c r="X1221" s="64"/>
      <c r="Y1221" s="64"/>
      <c r="Z1221" s="64"/>
      <c r="AA1221" s="64"/>
      <c r="BS1221" s="74"/>
    </row>
    <row r="1222" ht="18.75" customHeight="1">
      <c r="B1222" s="71"/>
      <c r="D1222" s="72"/>
      <c r="K1222" s="73"/>
      <c r="P1222" s="37" t="s">
        <v>29</v>
      </c>
      <c r="Q1222" s="64"/>
      <c r="R1222" s="64"/>
      <c r="S1222" s="64"/>
      <c r="T1222" s="64"/>
      <c r="U1222" s="64"/>
      <c r="V1222" s="64"/>
      <c r="W1222" s="64"/>
      <c r="X1222" s="64"/>
      <c r="Y1222" s="64"/>
      <c r="Z1222" s="64"/>
      <c r="AA1222" s="64"/>
      <c r="BS1222" s="74"/>
    </row>
    <row r="1223" ht="18.75" customHeight="1">
      <c r="B1223" s="71"/>
      <c r="D1223" s="72"/>
      <c r="K1223" s="73"/>
      <c r="P1223" s="37" t="s">
        <v>29</v>
      </c>
      <c r="Q1223" s="64"/>
      <c r="R1223" s="64"/>
      <c r="S1223" s="64"/>
      <c r="T1223" s="64"/>
      <c r="U1223" s="64"/>
      <c r="V1223" s="64"/>
      <c r="W1223" s="64"/>
      <c r="X1223" s="64"/>
      <c r="Y1223" s="64"/>
      <c r="Z1223" s="64"/>
      <c r="AA1223" s="64"/>
      <c r="BS1223" s="74"/>
    </row>
    <row r="1224" ht="18.75" customHeight="1">
      <c r="B1224" s="71"/>
      <c r="D1224" s="72"/>
      <c r="K1224" s="73"/>
      <c r="P1224" s="37" t="s">
        <v>29</v>
      </c>
      <c r="Q1224" s="64"/>
      <c r="R1224" s="64"/>
      <c r="S1224" s="64"/>
      <c r="T1224" s="64"/>
      <c r="U1224" s="64"/>
      <c r="V1224" s="64"/>
      <c r="W1224" s="64"/>
      <c r="X1224" s="64"/>
      <c r="Y1224" s="64"/>
      <c r="Z1224" s="64"/>
      <c r="AA1224" s="64"/>
      <c r="BS1224" s="74"/>
    </row>
    <row r="1225" ht="18.75" customHeight="1">
      <c r="B1225" s="71"/>
      <c r="D1225" s="72"/>
      <c r="K1225" s="73"/>
      <c r="P1225" s="37" t="s">
        <v>29</v>
      </c>
      <c r="Q1225" s="64"/>
      <c r="R1225" s="64"/>
      <c r="S1225" s="64"/>
      <c r="T1225" s="64"/>
      <c r="U1225" s="64"/>
      <c r="V1225" s="64"/>
      <c r="W1225" s="64"/>
      <c r="X1225" s="64"/>
      <c r="Y1225" s="64"/>
      <c r="Z1225" s="64"/>
      <c r="AA1225" s="64"/>
      <c r="BS1225" s="74"/>
    </row>
    <row r="1226" ht="18.75" customHeight="1">
      <c r="B1226" s="71"/>
      <c r="D1226" s="72"/>
      <c r="K1226" s="73"/>
      <c r="P1226" s="37" t="s">
        <v>29</v>
      </c>
      <c r="Q1226" s="64"/>
      <c r="R1226" s="64"/>
      <c r="S1226" s="64"/>
      <c r="T1226" s="64"/>
      <c r="U1226" s="64"/>
      <c r="V1226" s="64"/>
      <c r="W1226" s="64"/>
      <c r="X1226" s="64"/>
      <c r="Y1226" s="64"/>
      <c r="Z1226" s="64"/>
      <c r="AA1226" s="64"/>
      <c r="BS1226" s="74"/>
    </row>
    <row r="1227" ht="18.75" customHeight="1">
      <c r="B1227" s="71"/>
      <c r="D1227" s="72"/>
      <c r="K1227" s="73"/>
      <c r="P1227" s="37" t="s">
        <v>29</v>
      </c>
      <c r="Q1227" s="64"/>
      <c r="R1227" s="64"/>
      <c r="S1227" s="64"/>
      <c r="T1227" s="64"/>
      <c r="U1227" s="64"/>
      <c r="V1227" s="64"/>
      <c r="W1227" s="64"/>
      <c r="X1227" s="64"/>
      <c r="Y1227" s="64"/>
      <c r="Z1227" s="64"/>
      <c r="AA1227" s="64"/>
      <c r="BS1227" s="74"/>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4" width="16.38"/>
    <col customWidth="1" min="5" max="5" width="8.5"/>
    <col customWidth="1" min="6" max="6" width="30.0"/>
    <col customWidth="1" min="7" max="8" width="35.13"/>
    <col customWidth="1" min="9" max="9" width="9.63"/>
    <col customWidth="1" min="10" max="10" width="10.13"/>
    <col customWidth="1" min="11" max="11" width="8.38"/>
    <col customWidth="1" min="12" max="12" width="4.63"/>
    <col customWidth="1" min="13" max="13" width="8.38"/>
    <col customWidth="1" min="14" max="14" width="4.63"/>
    <col customWidth="1" min="15" max="15" width="16.38"/>
    <col customWidth="1" min="16" max="16" width="32.63"/>
    <col customWidth="1" min="17" max="18" width="36.38"/>
    <col customWidth="1" min="19" max="26" width="7.63"/>
  </cols>
  <sheetData>
    <row r="1">
      <c r="A1" s="103" t="s">
        <v>2657</v>
      </c>
      <c r="B1" s="103" t="s">
        <v>2910</v>
      </c>
      <c r="C1" s="103" t="s">
        <v>2911</v>
      </c>
      <c r="D1" s="103" t="s">
        <v>2912</v>
      </c>
      <c r="E1" s="104" t="s">
        <v>2913</v>
      </c>
      <c r="F1" s="103" t="s">
        <v>2914</v>
      </c>
      <c r="G1" s="103" t="s">
        <v>2620</v>
      </c>
      <c r="H1" s="103" t="s">
        <v>2915</v>
      </c>
      <c r="I1" s="103" t="s">
        <v>2916</v>
      </c>
      <c r="J1" s="103" t="s">
        <v>2917</v>
      </c>
      <c r="K1" s="103" t="s">
        <v>2918</v>
      </c>
      <c r="L1" s="103" t="s">
        <v>2919</v>
      </c>
      <c r="M1" s="103" t="s">
        <v>2920</v>
      </c>
      <c r="N1" s="103" t="s">
        <v>2921</v>
      </c>
      <c r="O1" s="103" t="s">
        <v>2922</v>
      </c>
      <c r="P1" s="103" t="s">
        <v>2923</v>
      </c>
      <c r="Q1" s="105" t="s">
        <v>2924</v>
      </c>
      <c r="R1" s="105" t="s">
        <v>2925</v>
      </c>
      <c r="S1" s="1"/>
      <c r="T1" s="1"/>
      <c r="U1" s="1"/>
      <c r="V1" s="1"/>
      <c r="W1" s="1"/>
      <c r="X1" s="1"/>
      <c r="Y1" s="1"/>
      <c r="Z1" s="1"/>
    </row>
    <row r="2">
      <c r="A2" s="106" t="s">
        <v>2660</v>
      </c>
      <c r="B2" s="106" t="s">
        <v>1204</v>
      </c>
      <c r="C2" s="106" t="b">
        <v>1</v>
      </c>
      <c r="D2" s="106" t="s">
        <v>2926</v>
      </c>
      <c r="E2" s="107" t="s">
        <v>2927</v>
      </c>
      <c r="F2" s="106" t="s">
        <v>2928</v>
      </c>
      <c r="G2" s="106" t="s">
        <v>2929</v>
      </c>
      <c r="H2" s="106" t="s">
        <v>2930</v>
      </c>
      <c r="I2" s="106" t="s">
        <v>2931</v>
      </c>
      <c r="J2" s="106" t="s">
        <v>2932</v>
      </c>
      <c r="K2" s="106">
        <v>50.0</v>
      </c>
      <c r="L2" s="106">
        <v>0.0</v>
      </c>
      <c r="M2" s="106">
        <v>1.0</v>
      </c>
      <c r="N2" s="108">
        <v>0.15</v>
      </c>
      <c r="O2" s="106" t="s">
        <v>54</v>
      </c>
      <c r="P2" s="106" t="s">
        <v>29</v>
      </c>
      <c r="Q2" s="109" t="s">
        <v>29</v>
      </c>
      <c r="R2" s="109" t="s">
        <v>2933</v>
      </c>
    </row>
    <row r="3">
      <c r="A3" s="106" t="s">
        <v>1205</v>
      </c>
      <c r="B3" s="106" t="s">
        <v>1205</v>
      </c>
      <c r="C3" s="106" t="b">
        <v>1</v>
      </c>
      <c r="D3" s="106" t="s">
        <v>2934</v>
      </c>
      <c r="E3" s="107" t="s">
        <v>2935</v>
      </c>
      <c r="F3" s="106" t="s">
        <v>2936</v>
      </c>
      <c r="G3" s="106" t="s">
        <v>2937</v>
      </c>
      <c r="H3" s="106" t="s">
        <v>2938</v>
      </c>
      <c r="I3" s="106" t="s">
        <v>56</v>
      </c>
      <c r="J3" s="106" t="s">
        <v>2939</v>
      </c>
      <c r="K3" s="106">
        <v>50.0</v>
      </c>
      <c r="L3" s="106">
        <v>0.0</v>
      </c>
      <c r="M3" s="106">
        <v>1.0</v>
      </c>
      <c r="N3" s="108">
        <v>0.1</v>
      </c>
      <c r="O3" s="106" t="s">
        <v>56</v>
      </c>
      <c r="P3" s="106" t="s">
        <v>29</v>
      </c>
      <c r="Q3" s="110" t="s">
        <v>2940</v>
      </c>
      <c r="R3" s="109" t="s">
        <v>2941</v>
      </c>
    </row>
    <row r="4">
      <c r="A4" s="106" t="s">
        <v>1206</v>
      </c>
      <c r="B4" s="106" t="s">
        <v>1206</v>
      </c>
      <c r="C4" s="106" t="b">
        <v>0</v>
      </c>
      <c r="D4" s="106" t="s">
        <v>2942</v>
      </c>
      <c r="E4" s="107" t="s">
        <v>29</v>
      </c>
      <c r="F4" s="106" t="s">
        <v>29</v>
      </c>
      <c r="G4" s="106" t="s">
        <v>29</v>
      </c>
      <c r="H4" s="106" t="s">
        <v>29</v>
      </c>
      <c r="I4" s="106" t="s">
        <v>2943</v>
      </c>
      <c r="J4" s="106" t="s">
        <v>2944</v>
      </c>
      <c r="K4" s="106">
        <v>50.0</v>
      </c>
      <c r="L4" s="106">
        <v>1.0</v>
      </c>
      <c r="M4" s="106">
        <v>1.0</v>
      </c>
      <c r="N4" s="108">
        <v>0.1</v>
      </c>
      <c r="O4" s="110" t="s">
        <v>2945</v>
      </c>
      <c r="P4" s="106" t="s">
        <v>2946</v>
      </c>
      <c r="Q4" s="110" t="s">
        <v>2947</v>
      </c>
      <c r="R4" s="109" t="s">
        <v>29</v>
      </c>
    </row>
    <row r="5">
      <c r="A5" s="106" t="s">
        <v>2669</v>
      </c>
      <c r="B5" s="106" t="s">
        <v>1208</v>
      </c>
      <c r="C5" s="106" t="b">
        <v>0</v>
      </c>
      <c r="D5" s="106" t="s">
        <v>2948</v>
      </c>
      <c r="E5" s="107" t="s">
        <v>29</v>
      </c>
      <c r="F5" s="106" t="s">
        <v>29</v>
      </c>
      <c r="G5" s="106" t="s">
        <v>29</v>
      </c>
      <c r="H5" s="106" t="s">
        <v>29</v>
      </c>
      <c r="I5" s="106" t="s">
        <v>2949</v>
      </c>
      <c r="J5" s="106" t="s">
        <v>2950</v>
      </c>
      <c r="K5" s="106">
        <v>60.0</v>
      </c>
      <c r="L5" s="106">
        <v>1.0</v>
      </c>
      <c r="M5" s="106">
        <v>0.8</v>
      </c>
      <c r="N5" s="108">
        <v>0.2</v>
      </c>
      <c r="O5" s="106" t="s">
        <v>54</v>
      </c>
      <c r="P5" s="106" t="s">
        <v>2946</v>
      </c>
      <c r="Q5" s="110" t="s">
        <v>2951</v>
      </c>
      <c r="R5" s="109" t="s">
        <v>29</v>
      </c>
    </row>
    <row r="6">
      <c r="A6" s="106" t="s">
        <v>2671</v>
      </c>
      <c r="B6" s="106" t="s">
        <v>1217</v>
      </c>
      <c r="C6" s="106" t="b">
        <v>1</v>
      </c>
      <c r="D6" s="106" t="s">
        <v>2952</v>
      </c>
      <c r="E6" s="107" t="s">
        <v>2953</v>
      </c>
      <c r="F6" s="106" t="s">
        <v>2954</v>
      </c>
      <c r="G6" s="106" t="s">
        <v>2955</v>
      </c>
      <c r="H6" s="106" t="s">
        <v>2956</v>
      </c>
      <c r="I6" s="106" t="s">
        <v>2908</v>
      </c>
      <c r="J6" s="106" t="s">
        <v>2957</v>
      </c>
      <c r="K6" s="106">
        <v>25.0</v>
      </c>
      <c r="L6" s="106">
        <v>1.0</v>
      </c>
      <c r="M6" s="106">
        <v>1.25</v>
      </c>
      <c r="N6" s="108">
        <v>0.25</v>
      </c>
      <c r="O6" s="106" t="s">
        <v>2958</v>
      </c>
      <c r="P6" s="106" t="s">
        <v>29</v>
      </c>
      <c r="Q6" s="109" t="s">
        <v>2959</v>
      </c>
      <c r="R6" s="109" t="s">
        <v>2960</v>
      </c>
    </row>
    <row r="7">
      <c r="A7" s="106" t="s">
        <v>1225</v>
      </c>
      <c r="B7" s="106" t="s">
        <v>1225</v>
      </c>
      <c r="C7" s="106" t="b">
        <v>1</v>
      </c>
      <c r="D7" s="106" t="s">
        <v>2961</v>
      </c>
      <c r="E7" s="107" t="s">
        <v>2962</v>
      </c>
      <c r="F7" s="106" t="s">
        <v>2963</v>
      </c>
      <c r="G7" s="106" t="s">
        <v>2964</v>
      </c>
      <c r="H7" s="106" t="s">
        <v>2965</v>
      </c>
      <c r="I7" s="106" t="s">
        <v>2966</v>
      </c>
      <c r="J7" s="106" t="s">
        <v>2967</v>
      </c>
      <c r="K7" s="106">
        <v>25.0</v>
      </c>
      <c r="L7" s="106">
        <v>1.0</v>
      </c>
      <c r="M7" s="106">
        <v>0.8</v>
      </c>
      <c r="N7" s="108">
        <v>0.35</v>
      </c>
      <c r="O7" s="106" t="s">
        <v>2968</v>
      </c>
      <c r="P7" s="106" t="s">
        <v>29</v>
      </c>
      <c r="Q7" s="109" t="s">
        <v>2959</v>
      </c>
      <c r="R7" s="109" t="s">
        <v>2960</v>
      </c>
    </row>
    <row r="8">
      <c r="A8" s="106" t="s">
        <v>2676</v>
      </c>
      <c r="B8" s="106" t="s">
        <v>1238</v>
      </c>
      <c r="C8" s="106" t="b">
        <v>0</v>
      </c>
      <c r="D8" s="106" t="s">
        <v>2969</v>
      </c>
      <c r="E8" s="107" t="s">
        <v>29</v>
      </c>
      <c r="F8" s="106" t="s">
        <v>29</v>
      </c>
      <c r="G8" s="106" t="s">
        <v>29</v>
      </c>
      <c r="H8" s="106" t="s">
        <v>29</v>
      </c>
      <c r="I8" s="106" t="s">
        <v>2970</v>
      </c>
      <c r="J8" s="106" t="s">
        <v>2971</v>
      </c>
      <c r="K8" s="106">
        <v>15.0</v>
      </c>
      <c r="L8" s="106">
        <v>2.0</v>
      </c>
      <c r="M8" s="106">
        <v>1.2</v>
      </c>
      <c r="N8" s="108">
        <v>0.45</v>
      </c>
      <c r="O8" s="106" t="s">
        <v>2972</v>
      </c>
      <c r="P8" s="106" t="s">
        <v>2946</v>
      </c>
      <c r="Q8" s="109" t="s">
        <v>29</v>
      </c>
      <c r="R8" s="109" t="s">
        <v>29</v>
      </c>
    </row>
    <row r="9">
      <c r="A9" s="106" t="s">
        <v>1252</v>
      </c>
      <c r="B9" s="106" t="s">
        <v>1252</v>
      </c>
      <c r="C9" s="106" t="b">
        <v>1</v>
      </c>
      <c r="D9" s="106" t="s">
        <v>2973</v>
      </c>
      <c r="E9" s="107" t="s">
        <v>2974</v>
      </c>
      <c r="F9" s="106" t="s">
        <v>2975</v>
      </c>
      <c r="G9" s="106" t="s">
        <v>2976</v>
      </c>
      <c r="H9" s="106" t="s">
        <v>2977</v>
      </c>
      <c r="I9" s="106" t="s">
        <v>2978</v>
      </c>
      <c r="J9" s="106" t="s">
        <v>2979</v>
      </c>
      <c r="K9" s="106">
        <v>75.0</v>
      </c>
      <c r="L9" s="106">
        <v>0.0</v>
      </c>
      <c r="M9" s="106">
        <v>0.5</v>
      </c>
      <c r="N9" s="108">
        <v>0.1</v>
      </c>
      <c r="O9" s="106" t="s">
        <v>2980</v>
      </c>
      <c r="P9" s="106" t="s">
        <v>29</v>
      </c>
      <c r="Q9" s="109" t="s">
        <v>2981</v>
      </c>
      <c r="R9" s="109" t="s">
        <v>2982</v>
      </c>
    </row>
    <row r="10">
      <c r="A10" s="106" t="s">
        <v>2685</v>
      </c>
      <c r="B10" s="106" t="s">
        <v>1280</v>
      </c>
      <c r="C10" s="106" t="b">
        <v>1</v>
      </c>
      <c r="D10" s="106" t="s">
        <v>2983</v>
      </c>
      <c r="E10" s="107" t="s">
        <v>2984</v>
      </c>
      <c r="F10" s="106" t="s">
        <v>2985</v>
      </c>
      <c r="G10" s="106" t="s">
        <v>2986</v>
      </c>
      <c r="H10" s="106" t="s">
        <v>2987</v>
      </c>
      <c r="I10" s="106" t="s">
        <v>2988</v>
      </c>
      <c r="J10" s="106" t="s">
        <v>2989</v>
      </c>
      <c r="K10" s="106">
        <v>10.0</v>
      </c>
      <c r="L10" s="106">
        <v>3.0</v>
      </c>
      <c r="M10" s="106">
        <v>1.5</v>
      </c>
      <c r="N10" s="108">
        <v>0.6</v>
      </c>
      <c r="O10" s="106" t="s">
        <v>2990</v>
      </c>
      <c r="P10" s="106" t="s">
        <v>29</v>
      </c>
      <c r="Q10" s="110" t="s">
        <v>2991</v>
      </c>
      <c r="R10" s="109" t="s">
        <v>2992</v>
      </c>
    </row>
    <row r="11">
      <c r="A11" s="106" t="s">
        <v>2699</v>
      </c>
      <c r="B11" s="106" t="s">
        <v>1295</v>
      </c>
      <c r="C11" s="106" t="b">
        <v>1</v>
      </c>
      <c r="D11" s="106" t="s">
        <v>2993</v>
      </c>
      <c r="E11" s="107" t="s">
        <v>2994</v>
      </c>
      <c r="F11" s="106" t="s">
        <v>2995</v>
      </c>
      <c r="G11" s="106" t="s">
        <v>2996</v>
      </c>
      <c r="H11" s="106" t="s">
        <v>2997</v>
      </c>
      <c r="I11" s="106" t="s">
        <v>2998</v>
      </c>
      <c r="J11" s="106" t="s">
        <v>2999</v>
      </c>
      <c r="K11" s="106">
        <v>15.0</v>
      </c>
      <c r="L11" s="106">
        <v>3.0</v>
      </c>
      <c r="M11" s="106">
        <v>1.5</v>
      </c>
      <c r="N11" s="108">
        <v>0.6</v>
      </c>
      <c r="O11" s="106" t="s">
        <v>3000</v>
      </c>
      <c r="P11" s="106" t="s">
        <v>29</v>
      </c>
      <c r="Q11" s="110" t="s">
        <v>3001</v>
      </c>
      <c r="R11" s="109" t="s">
        <v>3002</v>
      </c>
    </row>
    <row r="12">
      <c r="A12" s="106" t="s">
        <v>1302</v>
      </c>
      <c r="B12" s="106" t="s">
        <v>1302</v>
      </c>
      <c r="C12" s="111" t="b">
        <v>1</v>
      </c>
      <c r="D12" s="106" t="s">
        <v>3003</v>
      </c>
      <c r="E12" s="107" t="s">
        <v>3004</v>
      </c>
      <c r="F12" s="106" t="s">
        <v>3005</v>
      </c>
      <c r="G12" s="106" t="s">
        <v>3006</v>
      </c>
      <c r="H12" s="106" t="s">
        <v>3007</v>
      </c>
      <c r="I12" s="106" t="s">
        <v>3008</v>
      </c>
      <c r="J12" s="106" t="s">
        <v>3009</v>
      </c>
      <c r="K12" s="106">
        <v>10.0</v>
      </c>
      <c r="L12" s="110">
        <v>3.0</v>
      </c>
      <c r="M12" s="106">
        <v>1.5</v>
      </c>
      <c r="N12" s="108">
        <v>0.6</v>
      </c>
      <c r="O12" s="106" t="s">
        <v>3010</v>
      </c>
      <c r="P12" s="106" t="s">
        <v>3011</v>
      </c>
      <c r="Q12" s="110" t="s">
        <v>3012</v>
      </c>
      <c r="R12" s="109" t="s">
        <v>3013</v>
      </c>
    </row>
    <row r="13" ht="18.75" customHeight="1">
      <c r="C13" s="37" t="b">
        <v>0</v>
      </c>
      <c r="E13" s="112"/>
    </row>
    <row r="14" ht="18.75" customHeight="1">
      <c r="C14" s="37" t="b">
        <v>0</v>
      </c>
      <c r="E14" s="112"/>
    </row>
    <row r="15" ht="18.75" customHeight="1">
      <c r="C15" s="37" t="b">
        <v>0</v>
      </c>
      <c r="E15" s="112"/>
    </row>
    <row r="16" ht="18.75" customHeight="1">
      <c r="C16" s="37" t="b">
        <v>0</v>
      </c>
      <c r="E16" s="112"/>
    </row>
    <row r="17" ht="18.75" customHeight="1">
      <c r="C17" s="37" t="b">
        <v>0</v>
      </c>
      <c r="E17" s="112"/>
    </row>
    <row r="18" ht="18.75" customHeight="1">
      <c r="C18" s="37" t="b">
        <v>0</v>
      </c>
      <c r="E18" s="112"/>
    </row>
    <row r="19" ht="18.75" customHeight="1">
      <c r="C19" s="37" t="b">
        <v>0</v>
      </c>
      <c r="E19" s="112"/>
    </row>
    <row r="20" ht="18.75" customHeight="1">
      <c r="C20" s="37" t="b">
        <v>0</v>
      </c>
      <c r="E20" s="112"/>
    </row>
    <row r="21" ht="18.75" customHeight="1">
      <c r="C21" s="37" t="b">
        <v>0</v>
      </c>
      <c r="E21" s="112"/>
    </row>
    <row r="22" ht="18.75" customHeight="1">
      <c r="C22" s="37" t="b">
        <v>0</v>
      </c>
      <c r="E22" s="112"/>
    </row>
    <row r="23" ht="18.75" customHeight="1">
      <c r="C23" s="37" t="b">
        <v>0</v>
      </c>
      <c r="E23" s="112"/>
    </row>
    <row r="24" ht="18.75" customHeight="1">
      <c r="C24" s="37" t="b">
        <v>0</v>
      </c>
      <c r="E24" s="112"/>
    </row>
    <row r="25" ht="18.75" customHeight="1">
      <c r="C25" s="37" t="b">
        <v>0</v>
      </c>
      <c r="E25" s="112"/>
    </row>
    <row r="26" ht="18.75" customHeight="1">
      <c r="C26" s="37" t="b">
        <v>0</v>
      </c>
      <c r="E26" s="112"/>
    </row>
    <row r="27" ht="18.75" customHeight="1">
      <c r="C27" s="37" t="b">
        <v>0</v>
      </c>
      <c r="E27" s="112"/>
    </row>
    <row r="28" ht="18.75" customHeight="1">
      <c r="C28" s="37" t="b">
        <v>0</v>
      </c>
      <c r="E28" s="112"/>
    </row>
    <row r="29" ht="18.75" customHeight="1">
      <c r="C29" s="37" t="b">
        <v>0</v>
      </c>
      <c r="E29" s="112"/>
    </row>
    <row r="30" ht="18.75" customHeight="1">
      <c r="C30" s="37" t="b">
        <v>0</v>
      </c>
      <c r="E30" s="112"/>
    </row>
    <row r="31" ht="18.75" customHeight="1">
      <c r="C31" s="37" t="b">
        <v>0</v>
      </c>
      <c r="E31" s="112"/>
    </row>
    <row r="32" ht="18.75" customHeight="1">
      <c r="C32" s="37" t="b">
        <v>0</v>
      </c>
      <c r="E32" s="112"/>
    </row>
    <row r="33" ht="18.75" customHeight="1">
      <c r="C33" s="37" t="b">
        <v>0</v>
      </c>
      <c r="E33" s="112"/>
    </row>
    <row r="34" ht="18.75" customHeight="1">
      <c r="C34" s="37" t="b">
        <v>0</v>
      </c>
      <c r="E34" s="112"/>
    </row>
    <row r="35" ht="18.75" customHeight="1">
      <c r="C35" s="37" t="b">
        <v>0</v>
      </c>
      <c r="E35" s="112"/>
    </row>
    <row r="36" ht="18.75" customHeight="1">
      <c r="C36" s="37" t="b">
        <v>0</v>
      </c>
      <c r="E36" s="112"/>
    </row>
    <row r="37" ht="18.75" customHeight="1">
      <c r="C37" s="37" t="b">
        <v>0</v>
      </c>
      <c r="E37" s="112"/>
    </row>
    <row r="38" ht="18.75" customHeight="1">
      <c r="C38" s="37" t="b">
        <v>0</v>
      </c>
      <c r="E38" s="112"/>
    </row>
    <row r="39" ht="18.75" customHeight="1">
      <c r="C39" s="37" t="b">
        <v>0</v>
      </c>
      <c r="E39" s="112"/>
    </row>
    <row r="40" ht="18.75" customHeight="1">
      <c r="C40" s="37" t="b">
        <v>0</v>
      </c>
      <c r="E40" s="112"/>
    </row>
    <row r="41" ht="18.75" customHeight="1">
      <c r="C41" s="37" t="b">
        <v>0</v>
      </c>
      <c r="E41" s="112"/>
    </row>
    <row r="42" ht="18.75" customHeight="1">
      <c r="C42" s="37" t="b">
        <v>0</v>
      </c>
      <c r="E42" s="112"/>
    </row>
    <row r="43" ht="18.75" customHeight="1">
      <c r="C43" s="37" t="b">
        <v>0</v>
      </c>
      <c r="E43" s="112"/>
    </row>
    <row r="44" ht="18.75" customHeight="1">
      <c r="C44" s="37" t="b">
        <v>0</v>
      </c>
      <c r="E44" s="112"/>
    </row>
    <row r="45" ht="18.75" customHeight="1">
      <c r="C45" s="37" t="b">
        <v>0</v>
      </c>
      <c r="E45" s="112"/>
    </row>
    <row r="46" ht="18.75" customHeight="1">
      <c r="C46" s="37" t="b">
        <v>0</v>
      </c>
      <c r="E46" s="112"/>
    </row>
    <row r="47" ht="18.75" customHeight="1">
      <c r="C47" s="37" t="b">
        <v>0</v>
      </c>
      <c r="E47" s="112"/>
    </row>
    <row r="48" ht="18.75" customHeight="1">
      <c r="C48" s="37" t="b">
        <v>0</v>
      </c>
      <c r="E48" s="112"/>
    </row>
    <row r="49" ht="18.75" customHeight="1">
      <c r="C49" s="37" t="b">
        <v>0</v>
      </c>
      <c r="E49" s="112"/>
    </row>
    <row r="50" ht="18.75" customHeight="1">
      <c r="C50" s="37" t="b">
        <v>0</v>
      </c>
      <c r="E50" s="112"/>
    </row>
    <row r="51" ht="18.75" customHeight="1">
      <c r="C51" s="37" t="b">
        <v>0</v>
      </c>
      <c r="E51" s="112"/>
    </row>
    <row r="52" ht="18.75" customHeight="1">
      <c r="C52" s="37" t="b">
        <v>0</v>
      </c>
      <c r="E52" s="112"/>
    </row>
    <row r="53" ht="18.75" customHeight="1">
      <c r="C53" s="37" t="b">
        <v>0</v>
      </c>
      <c r="E53" s="112"/>
    </row>
    <row r="54" ht="18.75" customHeight="1">
      <c r="C54" s="37" t="b">
        <v>0</v>
      </c>
      <c r="E54" s="112"/>
    </row>
    <row r="55" ht="18.75" customHeight="1">
      <c r="C55" s="37" t="b">
        <v>0</v>
      </c>
      <c r="E55" s="112"/>
    </row>
    <row r="56" ht="18.75" customHeight="1">
      <c r="C56" s="37" t="b">
        <v>0</v>
      </c>
      <c r="E56" s="112"/>
    </row>
    <row r="57" ht="18.75" customHeight="1">
      <c r="C57" s="37" t="b">
        <v>0</v>
      </c>
      <c r="E57" s="112"/>
    </row>
    <row r="58" ht="18.75" customHeight="1">
      <c r="C58" s="37" t="b">
        <v>0</v>
      </c>
      <c r="E58" s="112"/>
    </row>
    <row r="59" ht="18.75" customHeight="1">
      <c r="C59" s="37" t="b">
        <v>0</v>
      </c>
      <c r="E59" s="112"/>
    </row>
    <row r="60" ht="18.75" customHeight="1">
      <c r="C60" s="37" t="b">
        <v>0</v>
      </c>
      <c r="E60" s="112"/>
    </row>
    <row r="61" ht="18.75" customHeight="1">
      <c r="C61" s="37" t="b">
        <v>0</v>
      </c>
      <c r="E61" s="112"/>
    </row>
    <row r="62" ht="18.75" customHeight="1">
      <c r="C62" s="37" t="b">
        <v>0</v>
      </c>
      <c r="E62" s="112"/>
    </row>
    <row r="63" ht="18.75" customHeight="1">
      <c r="C63" s="37" t="b">
        <v>0</v>
      </c>
      <c r="E63" s="112"/>
    </row>
    <row r="64" ht="18.75" customHeight="1">
      <c r="C64" s="37" t="b">
        <v>0</v>
      </c>
      <c r="E64" s="112"/>
    </row>
    <row r="65" ht="18.75" customHeight="1">
      <c r="C65" s="37" t="b">
        <v>0</v>
      </c>
      <c r="E65" s="112"/>
    </row>
    <row r="66" ht="18.75" customHeight="1">
      <c r="C66" s="37" t="b">
        <v>0</v>
      </c>
      <c r="E66" s="112"/>
    </row>
    <row r="67" ht="18.75" customHeight="1">
      <c r="C67" s="37" t="b">
        <v>0</v>
      </c>
      <c r="E67" s="112"/>
    </row>
    <row r="68" ht="18.75" customHeight="1">
      <c r="C68" s="37" t="b">
        <v>0</v>
      </c>
      <c r="E68" s="112"/>
    </row>
    <row r="69" ht="18.75" customHeight="1">
      <c r="C69" s="37" t="b">
        <v>0</v>
      </c>
      <c r="E69" s="112"/>
    </row>
    <row r="70" ht="18.75" customHeight="1">
      <c r="C70" s="37" t="b">
        <v>0</v>
      </c>
      <c r="E70" s="112"/>
    </row>
    <row r="71" ht="18.75" customHeight="1">
      <c r="C71" s="37" t="b">
        <v>0</v>
      </c>
      <c r="E71" s="112"/>
    </row>
    <row r="72" ht="18.75" customHeight="1">
      <c r="C72" s="37" t="b">
        <v>0</v>
      </c>
      <c r="E72" s="112"/>
    </row>
    <row r="73" ht="18.75" customHeight="1">
      <c r="C73" s="37" t="b">
        <v>0</v>
      </c>
      <c r="E73" s="112"/>
    </row>
    <row r="74" ht="18.75" customHeight="1">
      <c r="C74" s="37" t="b">
        <v>0</v>
      </c>
      <c r="E74" s="112"/>
    </row>
    <row r="75" ht="18.75" customHeight="1">
      <c r="C75" s="37" t="b">
        <v>0</v>
      </c>
      <c r="E75" s="112"/>
    </row>
    <row r="76" ht="18.75" customHeight="1">
      <c r="C76" s="37" t="b">
        <v>0</v>
      </c>
      <c r="E76" s="112"/>
    </row>
    <row r="77" ht="18.75" customHeight="1">
      <c r="C77" s="37" t="b">
        <v>0</v>
      </c>
      <c r="E77" s="112"/>
    </row>
    <row r="78" ht="18.75" customHeight="1">
      <c r="C78" s="37" t="b">
        <v>0</v>
      </c>
      <c r="E78" s="112"/>
    </row>
    <row r="79" ht="18.75" customHeight="1">
      <c r="C79" s="37" t="b">
        <v>0</v>
      </c>
      <c r="E79" s="112"/>
    </row>
    <row r="80" ht="18.75" customHeight="1">
      <c r="C80" s="37" t="b">
        <v>0</v>
      </c>
      <c r="E80" s="112"/>
    </row>
    <row r="81" ht="18.75" customHeight="1">
      <c r="C81" s="37" t="b">
        <v>0</v>
      </c>
      <c r="E81" s="112"/>
    </row>
    <row r="82" ht="18.75" customHeight="1">
      <c r="C82" s="37" t="b">
        <v>0</v>
      </c>
      <c r="E82" s="112"/>
    </row>
    <row r="83" ht="18.75" customHeight="1">
      <c r="C83" s="37" t="b">
        <v>0</v>
      </c>
      <c r="E83" s="112"/>
    </row>
    <row r="84" ht="18.75" customHeight="1">
      <c r="C84" s="37" t="b">
        <v>0</v>
      </c>
      <c r="E84" s="112"/>
    </row>
    <row r="85" ht="18.75" customHeight="1">
      <c r="C85" s="37" t="b">
        <v>0</v>
      </c>
      <c r="E85" s="112"/>
    </row>
    <row r="86" ht="18.75" customHeight="1">
      <c r="C86" s="37" t="b">
        <v>0</v>
      </c>
      <c r="E86" s="112"/>
    </row>
    <row r="87" ht="18.75" customHeight="1">
      <c r="C87" s="37" t="b">
        <v>0</v>
      </c>
      <c r="E87" s="112"/>
    </row>
    <row r="88" ht="18.75" customHeight="1">
      <c r="C88" s="37" t="b">
        <v>0</v>
      </c>
      <c r="E88" s="112"/>
    </row>
    <row r="89" ht="18.75" customHeight="1">
      <c r="C89" s="37" t="b">
        <v>0</v>
      </c>
      <c r="E89" s="112"/>
    </row>
    <row r="90" ht="18.75" customHeight="1">
      <c r="C90" s="37" t="b">
        <v>0</v>
      </c>
      <c r="E90" s="112"/>
    </row>
    <row r="91" ht="18.75" customHeight="1">
      <c r="C91" s="37" t="b">
        <v>0</v>
      </c>
      <c r="E91" s="112"/>
    </row>
    <row r="92" ht="18.75" customHeight="1">
      <c r="C92" s="37" t="b">
        <v>0</v>
      </c>
      <c r="E92" s="112"/>
    </row>
    <row r="93" ht="18.75" customHeight="1">
      <c r="C93" s="37" t="b">
        <v>0</v>
      </c>
      <c r="E93" s="112"/>
    </row>
    <row r="94" ht="18.75" customHeight="1">
      <c r="C94" s="37" t="b">
        <v>0</v>
      </c>
      <c r="E94" s="112"/>
    </row>
    <row r="95" ht="18.75" customHeight="1">
      <c r="C95" s="37" t="b">
        <v>0</v>
      </c>
      <c r="E95" s="112"/>
    </row>
    <row r="96" ht="18.75" customHeight="1">
      <c r="C96" s="37" t="b">
        <v>0</v>
      </c>
      <c r="E96" s="112"/>
    </row>
    <row r="97" ht="18.75" customHeight="1">
      <c r="C97" s="37" t="b">
        <v>0</v>
      </c>
      <c r="E97" s="112"/>
    </row>
    <row r="98" ht="18.75" customHeight="1">
      <c r="C98" s="37" t="b">
        <v>0</v>
      </c>
      <c r="E98" s="112"/>
    </row>
    <row r="99" ht="18.75" customHeight="1">
      <c r="C99" s="37" t="b">
        <v>0</v>
      </c>
      <c r="E99" s="112"/>
    </row>
    <row r="100" ht="18.75" customHeight="1">
      <c r="C100" s="37" t="b">
        <v>0</v>
      </c>
      <c r="E100" s="112"/>
    </row>
    <row r="101" ht="18.75" customHeight="1">
      <c r="C101" s="37" t="b">
        <v>0</v>
      </c>
      <c r="E101" s="112"/>
    </row>
    <row r="102" ht="18.75" customHeight="1">
      <c r="C102" s="37" t="b">
        <v>0</v>
      </c>
      <c r="E102" s="112"/>
    </row>
    <row r="103" ht="18.75" customHeight="1">
      <c r="C103" s="37" t="b">
        <v>0</v>
      </c>
      <c r="E103" s="112"/>
    </row>
    <row r="104" ht="18.75" customHeight="1">
      <c r="C104" s="37" t="b">
        <v>0</v>
      </c>
      <c r="E104" s="112"/>
    </row>
    <row r="105" ht="18.75" customHeight="1">
      <c r="C105" s="37" t="b">
        <v>0</v>
      </c>
      <c r="E105" s="112"/>
    </row>
    <row r="106" ht="18.75" customHeight="1">
      <c r="C106" s="37" t="b">
        <v>0</v>
      </c>
      <c r="E106" s="112"/>
    </row>
    <row r="107" ht="18.75" customHeight="1">
      <c r="C107" s="37" t="b">
        <v>0</v>
      </c>
      <c r="E107" s="112"/>
    </row>
    <row r="108" ht="18.75" customHeight="1">
      <c r="C108" s="37" t="b">
        <v>0</v>
      </c>
      <c r="E108" s="112"/>
    </row>
    <row r="109" ht="18.75" customHeight="1">
      <c r="C109" s="37" t="b">
        <v>0</v>
      </c>
      <c r="E109" s="112"/>
    </row>
    <row r="110" ht="18.75" customHeight="1">
      <c r="C110" s="37" t="b">
        <v>0</v>
      </c>
      <c r="E110" s="112"/>
    </row>
    <row r="111" ht="18.75" customHeight="1">
      <c r="C111" s="37" t="b">
        <v>0</v>
      </c>
      <c r="E111" s="112"/>
    </row>
    <row r="112" ht="18.75" customHeight="1">
      <c r="C112" s="37" t="b">
        <v>0</v>
      </c>
      <c r="E112" s="112"/>
    </row>
    <row r="113" ht="18.75" customHeight="1">
      <c r="C113" s="37" t="b">
        <v>0</v>
      </c>
      <c r="E113" s="112"/>
    </row>
    <row r="114" ht="18.75" customHeight="1">
      <c r="C114" s="37" t="b">
        <v>0</v>
      </c>
      <c r="E114" s="112"/>
    </row>
    <row r="115" ht="18.75" customHeight="1">
      <c r="C115" s="37" t="b">
        <v>0</v>
      </c>
      <c r="E115" s="112"/>
    </row>
    <row r="116" ht="18.75" customHeight="1">
      <c r="C116" s="37" t="b">
        <v>0</v>
      </c>
      <c r="E116" s="112"/>
    </row>
    <row r="117" ht="18.75" customHeight="1">
      <c r="C117" s="37" t="b">
        <v>0</v>
      </c>
      <c r="E117" s="112"/>
    </row>
    <row r="118" ht="18.75" customHeight="1">
      <c r="C118" s="37" t="b">
        <v>0</v>
      </c>
      <c r="E118" s="112"/>
    </row>
    <row r="119" ht="18.75" customHeight="1">
      <c r="C119" s="37" t="b">
        <v>0</v>
      </c>
      <c r="E119" s="112"/>
    </row>
    <row r="120" ht="18.75" customHeight="1">
      <c r="C120" s="37" t="b">
        <v>0</v>
      </c>
      <c r="E120" s="112"/>
    </row>
    <row r="121" ht="18.75" customHeight="1">
      <c r="C121" s="37" t="b">
        <v>0</v>
      </c>
      <c r="E121" s="112"/>
    </row>
    <row r="122" ht="18.75" customHeight="1">
      <c r="C122" s="37" t="b">
        <v>0</v>
      </c>
      <c r="E122" s="112"/>
    </row>
    <row r="123" ht="18.75" customHeight="1">
      <c r="C123" s="37" t="b">
        <v>0</v>
      </c>
      <c r="E123" s="112"/>
    </row>
    <row r="124" ht="18.75" customHeight="1">
      <c r="C124" s="37" t="b">
        <v>0</v>
      </c>
      <c r="E124" s="112"/>
    </row>
    <row r="125" ht="18.75" customHeight="1">
      <c r="C125" s="37" t="b">
        <v>0</v>
      </c>
      <c r="E125" s="112"/>
    </row>
    <row r="126" ht="18.75" customHeight="1">
      <c r="C126" s="37" t="b">
        <v>0</v>
      </c>
      <c r="E126" s="112"/>
    </row>
    <row r="127" ht="18.75" customHeight="1">
      <c r="C127" s="37" t="b">
        <v>0</v>
      </c>
      <c r="E127" s="112"/>
    </row>
    <row r="128" ht="18.75" customHeight="1">
      <c r="C128" s="37" t="b">
        <v>0</v>
      </c>
      <c r="E128" s="112"/>
    </row>
    <row r="129" ht="18.75" customHeight="1">
      <c r="C129" s="37" t="b">
        <v>0</v>
      </c>
      <c r="E129" s="112"/>
    </row>
    <row r="130" ht="18.75" customHeight="1">
      <c r="C130" s="37" t="b">
        <v>0</v>
      </c>
      <c r="E130" s="112"/>
    </row>
    <row r="131" ht="18.75" customHeight="1">
      <c r="C131" s="37" t="b">
        <v>0</v>
      </c>
      <c r="E131" s="112"/>
    </row>
    <row r="132" ht="18.75" customHeight="1">
      <c r="C132" s="37" t="b">
        <v>0</v>
      </c>
      <c r="E132" s="112"/>
    </row>
    <row r="133" ht="18.75" customHeight="1">
      <c r="C133" s="37" t="b">
        <v>0</v>
      </c>
      <c r="E133" s="112"/>
    </row>
    <row r="134" ht="18.75" customHeight="1">
      <c r="C134" s="37" t="b">
        <v>0</v>
      </c>
      <c r="E134" s="112"/>
    </row>
    <row r="135" ht="18.75" customHeight="1">
      <c r="C135" s="37" t="b">
        <v>0</v>
      </c>
      <c r="E135" s="112"/>
    </row>
    <row r="136" ht="18.75" customHeight="1">
      <c r="C136" s="37" t="b">
        <v>0</v>
      </c>
      <c r="E136" s="112"/>
    </row>
    <row r="137" ht="18.75" customHeight="1">
      <c r="C137" s="37" t="b">
        <v>0</v>
      </c>
      <c r="E137" s="112"/>
    </row>
    <row r="138" ht="18.75" customHeight="1">
      <c r="C138" s="37" t="b">
        <v>0</v>
      </c>
      <c r="E138" s="112"/>
    </row>
    <row r="139" ht="18.75" customHeight="1">
      <c r="C139" s="37" t="b">
        <v>0</v>
      </c>
      <c r="E139" s="112"/>
    </row>
    <row r="140" ht="18.75" customHeight="1">
      <c r="C140" s="37" t="b">
        <v>0</v>
      </c>
      <c r="E140" s="112"/>
    </row>
    <row r="141" ht="18.75" customHeight="1">
      <c r="C141" s="37" t="b">
        <v>0</v>
      </c>
      <c r="E141" s="112"/>
    </row>
    <row r="142" ht="18.75" customHeight="1">
      <c r="C142" s="37" t="b">
        <v>0</v>
      </c>
      <c r="E142" s="112"/>
    </row>
    <row r="143" ht="18.75" customHeight="1">
      <c r="C143" s="37" t="b">
        <v>0</v>
      </c>
      <c r="E143" s="112"/>
    </row>
    <row r="144" ht="18.75" customHeight="1">
      <c r="C144" s="37" t="b">
        <v>0</v>
      </c>
      <c r="E144" s="112"/>
    </row>
    <row r="145" ht="18.75" customHeight="1">
      <c r="C145" s="37" t="b">
        <v>0</v>
      </c>
      <c r="E145" s="112"/>
    </row>
    <row r="146" ht="18.75" customHeight="1">
      <c r="C146" s="37" t="b">
        <v>0</v>
      </c>
      <c r="E146" s="112"/>
    </row>
    <row r="147" ht="18.75" customHeight="1">
      <c r="C147" s="37" t="b">
        <v>0</v>
      </c>
      <c r="E147" s="112"/>
    </row>
    <row r="148" ht="18.75" customHeight="1">
      <c r="C148" s="37" t="b">
        <v>0</v>
      </c>
      <c r="E148" s="112"/>
    </row>
    <row r="149" ht="18.75" customHeight="1">
      <c r="C149" s="37" t="b">
        <v>0</v>
      </c>
      <c r="E149" s="112"/>
    </row>
    <row r="150" ht="18.75" customHeight="1">
      <c r="C150" s="37" t="b">
        <v>0</v>
      </c>
      <c r="E150" s="112"/>
    </row>
    <row r="151" ht="18.75" customHeight="1">
      <c r="C151" s="37" t="b">
        <v>0</v>
      </c>
      <c r="E151" s="112"/>
    </row>
    <row r="152" ht="18.75" customHeight="1">
      <c r="C152" s="37" t="b">
        <v>0</v>
      </c>
      <c r="E152" s="112"/>
    </row>
    <row r="153" ht="18.75" customHeight="1">
      <c r="C153" s="37" t="b">
        <v>0</v>
      </c>
      <c r="E153" s="112"/>
    </row>
    <row r="154" ht="18.75" customHeight="1">
      <c r="C154" s="37" t="b">
        <v>0</v>
      </c>
      <c r="E154" s="112"/>
    </row>
    <row r="155" ht="18.75" customHeight="1">
      <c r="C155" s="37" t="b">
        <v>0</v>
      </c>
      <c r="E155" s="112"/>
    </row>
    <row r="156" ht="18.75" customHeight="1">
      <c r="C156" s="37" t="b">
        <v>0</v>
      </c>
      <c r="E156" s="112"/>
    </row>
    <row r="157" ht="18.75" customHeight="1">
      <c r="C157" s="37" t="b">
        <v>0</v>
      </c>
      <c r="E157" s="112"/>
    </row>
    <row r="158" ht="18.75" customHeight="1">
      <c r="C158" s="37" t="b">
        <v>0</v>
      </c>
      <c r="E158" s="112"/>
    </row>
    <row r="159" ht="18.75" customHeight="1">
      <c r="C159" s="37" t="b">
        <v>0</v>
      </c>
      <c r="E159" s="112"/>
    </row>
    <row r="160" ht="18.75" customHeight="1">
      <c r="C160" s="37" t="b">
        <v>0</v>
      </c>
      <c r="E160" s="112"/>
    </row>
    <row r="161" ht="18.75" customHeight="1">
      <c r="C161" s="37" t="b">
        <v>0</v>
      </c>
      <c r="E161" s="112"/>
    </row>
    <row r="162" ht="18.75" customHeight="1">
      <c r="C162" s="37" t="b">
        <v>0</v>
      </c>
      <c r="E162" s="112"/>
    </row>
    <row r="163" ht="18.75" customHeight="1">
      <c r="C163" s="37" t="b">
        <v>0</v>
      </c>
      <c r="E163" s="112"/>
    </row>
    <row r="164" ht="18.75" customHeight="1">
      <c r="C164" s="37" t="b">
        <v>0</v>
      </c>
      <c r="E164" s="112"/>
    </row>
    <row r="165" ht="18.75" customHeight="1">
      <c r="C165" s="37" t="b">
        <v>0</v>
      </c>
      <c r="E165" s="112"/>
    </row>
    <row r="166" ht="18.75" customHeight="1">
      <c r="C166" s="37" t="b">
        <v>0</v>
      </c>
      <c r="E166" s="112"/>
    </row>
    <row r="167" ht="18.75" customHeight="1">
      <c r="C167" s="37" t="b">
        <v>0</v>
      </c>
      <c r="E167" s="112"/>
    </row>
    <row r="168" ht="18.75" customHeight="1">
      <c r="C168" s="37" t="b">
        <v>0</v>
      </c>
      <c r="E168" s="112"/>
    </row>
    <row r="169" ht="18.75" customHeight="1">
      <c r="C169" s="37" t="b">
        <v>0</v>
      </c>
      <c r="E169" s="112"/>
    </row>
    <row r="170" ht="18.75" customHeight="1">
      <c r="C170" s="37" t="b">
        <v>0</v>
      </c>
      <c r="E170" s="112"/>
    </row>
    <row r="171" ht="18.75" customHeight="1">
      <c r="C171" s="37" t="b">
        <v>0</v>
      </c>
      <c r="E171" s="112"/>
    </row>
    <row r="172" ht="18.75" customHeight="1">
      <c r="C172" s="37" t="b">
        <v>0</v>
      </c>
      <c r="E172" s="112"/>
    </row>
    <row r="173" ht="18.75" customHeight="1">
      <c r="C173" s="37" t="b">
        <v>0</v>
      </c>
      <c r="E173" s="112"/>
    </row>
    <row r="174" ht="18.75" customHeight="1">
      <c r="C174" s="37" t="b">
        <v>0</v>
      </c>
      <c r="E174" s="112"/>
    </row>
    <row r="175" ht="18.75" customHeight="1">
      <c r="C175" s="37" t="b">
        <v>0</v>
      </c>
      <c r="E175" s="112"/>
    </row>
    <row r="176" ht="18.75" customHeight="1">
      <c r="C176" s="37" t="b">
        <v>0</v>
      </c>
      <c r="E176" s="112"/>
    </row>
    <row r="177" ht="18.75" customHeight="1">
      <c r="C177" s="37" t="b">
        <v>0</v>
      </c>
      <c r="E177" s="112"/>
    </row>
    <row r="178" ht="18.75" customHeight="1">
      <c r="C178" s="37" t="b">
        <v>0</v>
      </c>
      <c r="E178" s="112"/>
    </row>
    <row r="179" ht="18.75" customHeight="1">
      <c r="C179" s="37" t="b">
        <v>0</v>
      </c>
      <c r="E179" s="112"/>
    </row>
    <row r="180" ht="18.75" customHeight="1">
      <c r="C180" s="37" t="b">
        <v>0</v>
      </c>
      <c r="E180" s="112"/>
    </row>
    <row r="181" ht="18.75" customHeight="1">
      <c r="C181" s="37" t="b">
        <v>0</v>
      </c>
      <c r="E181" s="112"/>
    </row>
    <row r="182" ht="18.75" customHeight="1">
      <c r="C182" s="37" t="b">
        <v>0</v>
      </c>
      <c r="E182" s="112"/>
    </row>
    <row r="183" ht="18.75" customHeight="1">
      <c r="C183" s="37" t="b">
        <v>0</v>
      </c>
      <c r="E183" s="112"/>
    </row>
    <row r="184" ht="18.75" customHeight="1">
      <c r="C184" s="37" t="b">
        <v>0</v>
      </c>
      <c r="E184" s="112"/>
    </row>
    <row r="185" ht="18.75" customHeight="1">
      <c r="C185" s="37" t="b">
        <v>0</v>
      </c>
      <c r="E185" s="112"/>
    </row>
    <row r="186" ht="18.75" customHeight="1">
      <c r="C186" s="37" t="b">
        <v>0</v>
      </c>
      <c r="E186" s="112"/>
    </row>
    <row r="187" ht="18.75" customHeight="1">
      <c r="C187" s="37" t="b">
        <v>0</v>
      </c>
      <c r="E187" s="112"/>
    </row>
    <row r="188" ht="18.75" customHeight="1">
      <c r="C188" s="37" t="b">
        <v>0</v>
      </c>
      <c r="E188" s="112"/>
    </row>
    <row r="189" ht="18.75" customHeight="1">
      <c r="C189" s="37" t="b">
        <v>0</v>
      </c>
      <c r="E189" s="112"/>
    </row>
    <row r="190" ht="18.75" customHeight="1">
      <c r="C190" s="37" t="b">
        <v>0</v>
      </c>
      <c r="E190" s="112"/>
    </row>
    <row r="191" ht="18.75" customHeight="1">
      <c r="C191" s="37" t="b">
        <v>0</v>
      </c>
      <c r="E191" s="112"/>
    </row>
    <row r="192" ht="18.75" customHeight="1">
      <c r="C192" s="37" t="b">
        <v>0</v>
      </c>
      <c r="E192" s="112"/>
    </row>
    <row r="193" ht="18.75" customHeight="1">
      <c r="C193" s="37" t="b">
        <v>0</v>
      </c>
      <c r="E193" s="112"/>
    </row>
    <row r="194" ht="18.75" customHeight="1">
      <c r="C194" s="37" t="b">
        <v>0</v>
      </c>
      <c r="E194" s="112"/>
    </row>
    <row r="195" ht="18.75" customHeight="1">
      <c r="C195" s="37" t="b">
        <v>0</v>
      </c>
      <c r="E195" s="112"/>
    </row>
    <row r="196" ht="18.75" customHeight="1">
      <c r="C196" s="37" t="b">
        <v>0</v>
      </c>
      <c r="E196" s="112"/>
    </row>
    <row r="197" ht="18.75" customHeight="1">
      <c r="C197" s="37" t="b">
        <v>0</v>
      </c>
      <c r="E197" s="112"/>
    </row>
    <row r="198" ht="18.75" customHeight="1">
      <c r="C198" s="37" t="b">
        <v>0</v>
      </c>
      <c r="E198" s="112"/>
    </row>
    <row r="199" ht="18.75" customHeight="1">
      <c r="C199" s="37" t="b">
        <v>0</v>
      </c>
      <c r="E199" s="112"/>
    </row>
    <row r="200" ht="18.75" customHeight="1">
      <c r="C200" s="37" t="b">
        <v>0</v>
      </c>
      <c r="E200" s="112"/>
    </row>
    <row r="201" ht="18.75" customHeight="1">
      <c r="C201" s="37" t="b">
        <v>0</v>
      </c>
      <c r="E201" s="112"/>
    </row>
    <row r="202" ht="18.75" customHeight="1">
      <c r="C202" s="37" t="b">
        <v>0</v>
      </c>
      <c r="E202" s="112"/>
    </row>
    <row r="203" ht="18.75" customHeight="1">
      <c r="C203" s="37" t="b">
        <v>0</v>
      </c>
      <c r="E203" s="112"/>
    </row>
    <row r="204" ht="18.75" customHeight="1">
      <c r="C204" s="37" t="b">
        <v>0</v>
      </c>
      <c r="E204" s="112"/>
    </row>
    <row r="205" ht="18.75" customHeight="1">
      <c r="C205" s="37" t="b">
        <v>0</v>
      </c>
      <c r="E205" s="112"/>
    </row>
    <row r="206" ht="18.75" customHeight="1">
      <c r="C206" s="37" t="b">
        <v>0</v>
      </c>
      <c r="E206" s="112"/>
    </row>
    <row r="207" ht="18.75" customHeight="1">
      <c r="C207" s="37" t="b">
        <v>0</v>
      </c>
      <c r="E207" s="112"/>
    </row>
    <row r="208" ht="18.75" customHeight="1">
      <c r="C208" s="37" t="b">
        <v>0</v>
      </c>
      <c r="E208" s="112"/>
    </row>
    <row r="209" ht="18.75" customHeight="1">
      <c r="C209" s="37" t="b">
        <v>0</v>
      </c>
      <c r="E209" s="112"/>
    </row>
    <row r="210" ht="18.75" customHeight="1">
      <c r="C210" s="37" t="b">
        <v>0</v>
      </c>
      <c r="E210" s="112"/>
    </row>
    <row r="211" ht="18.75" customHeight="1">
      <c r="C211" s="37" t="b">
        <v>0</v>
      </c>
      <c r="E211" s="112"/>
    </row>
    <row r="212" ht="18.75" customHeight="1">
      <c r="C212" s="37" t="b">
        <v>0</v>
      </c>
      <c r="E212" s="112"/>
    </row>
    <row r="213" ht="18.75" customHeight="1">
      <c r="C213" s="37" t="b">
        <v>0</v>
      </c>
      <c r="E213" s="112"/>
    </row>
    <row r="214" ht="18.75" customHeight="1">
      <c r="C214" s="37" t="b">
        <v>0</v>
      </c>
      <c r="E214" s="112"/>
    </row>
    <row r="215" ht="18.75" customHeight="1">
      <c r="C215" s="37" t="b">
        <v>0</v>
      </c>
      <c r="E215" s="112"/>
    </row>
    <row r="216" ht="18.75" customHeight="1">
      <c r="C216" s="37" t="b">
        <v>0</v>
      </c>
      <c r="E216" s="112"/>
    </row>
    <row r="217" ht="18.75" customHeight="1">
      <c r="C217" s="37" t="b">
        <v>0</v>
      </c>
      <c r="E217" s="112"/>
    </row>
    <row r="218" ht="18.75" customHeight="1">
      <c r="C218" s="37" t="b">
        <v>0</v>
      </c>
      <c r="E218" s="112"/>
    </row>
    <row r="219" ht="18.75" customHeight="1">
      <c r="C219" s="37" t="b">
        <v>0</v>
      </c>
      <c r="E219" s="112"/>
    </row>
    <row r="220" ht="18.75" customHeight="1">
      <c r="C220" s="37" t="b">
        <v>0</v>
      </c>
      <c r="E220" s="112"/>
    </row>
    <row r="221" ht="18.75" customHeight="1">
      <c r="C221" s="37" t="b">
        <v>0</v>
      </c>
      <c r="E221" s="112"/>
    </row>
    <row r="222" ht="18.75" customHeight="1">
      <c r="C222" s="37" t="b">
        <v>0</v>
      </c>
      <c r="E222" s="112"/>
    </row>
    <row r="223" ht="18.75" customHeight="1">
      <c r="C223" s="37" t="b">
        <v>0</v>
      </c>
      <c r="E223" s="112"/>
    </row>
    <row r="224" ht="18.75" customHeight="1">
      <c r="C224" s="37" t="b">
        <v>0</v>
      </c>
      <c r="E224" s="112"/>
    </row>
    <row r="225" ht="18.75" customHeight="1">
      <c r="C225" s="37" t="b">
        <v>0</v>
      </c>
      <c r="E225" s="112"/>
    </row>
    <row r="226" ht="18.75" customHeight="1">
      <c r="C226" s="37" t="b">
        <v>0</v>
      </c>
      <c r="E226" s="112"/>
    </row>
    <row r="227" ht="18.75" customHeight="1">
      <c r="C227" s="37" t="b">
        <v>0</v>
      </c>
      <c r="E227" s="112"/>
    </row>
    <row r="228" ht="18.75" customHeight="1">
      <c r="C228" s="37" t="b">
        <v>0</v>
      </c>
      <c r="E228" s="112"/>
    </row>
    <row r="229" ht="18.75" customHeight="1">
      <c r="C229" s="37" t="b">
        <v>0</v>
      </c>
      <c r="E229" s="112"/>
    </row>
    <row r="230" ht="18.75" customHeight="1">
      <c r="C230" s="37" t="b">
        <v>0</v>
      </c>
      <c r="E230" s="112"/>
    </row>
    <row r="231" ht="18.75" customHeight="1">
      <c r="C231" s="37" t="b">
        <v>0</v>
      </c>
      <c r="E231" s="112"/>
    </row>
    <row r="232" ht="18.75" customHeight="1">
      <c r="C232" s="37" t="b">
        <v>0</v>
      </c>
      <c r="E232" s="112"/>
    </row>
    <row r="233" ht="18.75" customHeight="1">
      <c r="C233" s="37" t="b">
        <v>0</v>
      </c>
      <c r="E233" s="112"/>
    </row>
    <row r="234" ht="18.75" customHeight="1">
      <c r="C234" s="37" t="b">
        <v>0</v>
      </c>
      <c r="E234" s="112"/>
    </row>
    <row r="235" ht="18.75" customHeight="1">
      <c r="C235" s="37" t="b">
        <v>0</v>
      </c>
      <c r="E235" s="112"/>
    </row>
    <row r="236" ht="18.75" customHeight="1">
      <c r="C236" s="37" t="b">
        <v>0</v>
      </c>
      <c r="E236" s="112"/>
    </row>
    <row r="237" ht="18.75" customHeight="1">
      <c r="C237" s="37" t="b">
        <v>0</v>
      </c>
      <c r="E237" s="112"/>
    </row>
    <row r="238" ht="18.75" customHeight="1">
      <c r="C238" s="37" t="b">
        <v>0</v>
      </c>
      <c r="E238" s="112"/>
    </row>
    <row r="239" ht="18.75" customHeight="1">
      <c r="C239" s="37" t="b">
        <v>0</v>
      </c>
      <c r="E239" s="112"/>
    </row>
    <row r="240" ht="18.75" customHeight="1">
      <c r="C240" s="37" t="b">
        <v>0</v>
      </c>
      <c r="E240" s="112"/>
    </row>
    <row r="241" ht="18.75" customHeight="1">
      <c r="C241" s="37" t="b">
        <v>0</v>
      </c>
      <c r="E241" s="112"/>
    </row>
    <row r="242" ht="18.75" customHeight="1">
      <c r="C242" s="37" t="b">
        <v>0</v>
      </c>
      <c r="E242" s="112"/>
    </row>
    <row r="243" ht="18.75" customHeight="1">
      <c r="C243" s="37" t="b">
        <v>0</v>
      </c>
      <c r="E243" s="112"/>
    </row>
    <row r="244" ht="18.75" customHeight="1">
      <c r="C244" s="37" t="b">
        <v>0</v>
      </c>
      <c r="E244" s="112"/>
    </row>
    <row r="245" ht="18.75" customHeight="1">
      <c r="C245" s="37" t="b">
        <v>0</v>
      </c>
      <c r="E245" s="112"/>
    </row>
    <row r="246" ht="18.75" customHeight="1">
      <c r="C246" s="37" t="b">
        <v>0</v>
      </c>
      <c r="E246" s="112"/>
    </row>
    <row r="247" ht="18.75" customHeight="1">
      <c r="C247" s="37" t="b">
        <v>0</v>
      </c>
      <c r="E247" s="112"/>
    </row>
    <row r="248" ht="18.75" customHeight="1">
      <c r="C248" s="37" t="b">
        <v>0</v>
      </c>
      <c r="E248" s="112"/>
    </row>
    <row r="249" ht="18.75" customHeight="1">
      <c r="C249" s="37" t="b">
        <v>0</v>
      </c>
      <c r="E249" s="112"/>
    </row>
    <row r="250" ht="18.75" customHeight="1">
      <c r="C250" s="37" t="b">
        <v>0</v>
      </c>
      <c r="E250" s="112"/>
    </row>
    <row r="251" ht="18.75" customHeight="1">
      <c r="C251" s="37" t="b">
        <v>0</v>
      </c>
      <c r="E251" s="112"/>
    </row>
    <row r="252" ht="18.75" customHeight="1">
      <c r="C252" s="37" t="b">
        <v>0</v>
      </c>
      <c r="E252" s="112"/>
    </row>
    <row r="253" ht="18.75" customHeight="1">
      <c r="C253" s="37" t="b">
        <v>0</v>
      </c>
      <c r="E253" s="112"/>
    </row>
    <row r="254" ht="18.75" customHeight="1">
      <c r="C254" s="37" t="b">
        <v>0</v>
      </c>
      <c r="E254" s="112"/>
    </row>
    <row r="255" ht="18.75" customHeight="1">
      <c r="C255" s="37" t="b">
        <v>0</v>
      </c>
      <c r="E255" s="112"/>
    </row>
    <row r="256" ht="18.75" customHeight="1">
      <c r="C256" s="37" t="b">
        <v>0</v>
      </c>
      <c r="E256" s="112"/>
    </row>
    <row r="257" ht="18.75" customHeight="1">
      <c r="C257" s="37" t="b">
        <v>0</v>
      </c>
      <c r="E257" s="112"/>
    </row>
    <row r="258" ht="18.75" customHeight="1">
      <c r="C258" s="37" t="b">
        <v>0</v>
      </c>
      <c r="E258" s="112"/>
    </row>
    <row r="259" ht="18.75" customHeight="1">
      <c r="C259" s="37" t="b">
        <v>0</v>
      </c>
      <c r="E259" s="112"/>
    </row>
    <row r="260" ht="18.75" customHeight="1">
      <c r="C260" s="37" t="b">
        <v>0</v>
      </c>
      <c r="E260" s="112"/>
    </row>
    <row r="261" ht="18.75" customHeight="1">
      <c r="C261" s="37" t="b">
        <v>0</v>
      </c>
      <c r="E261" s="112"/>
    </row>
    <row r="262" ht="18.75" customHeight="1">
      <c r="C262" s="37" t="b">
        <v>0</v>
      </c>
      <c r="E262" s="112"/>
    </row>
    <row r="263" ht="18.75" customHeight="1">
      <c r="C263" s="37" t="b">
        <v>0</v>
      </c>
      <c r="E263" s="112"/>
    </row>
    <row r="264" ht="18.75" customHeight="1">
      <c r="C264" s="37" t="b">
        <v>0</v>
      </c>
      <c r="E264" s="112"/>
    </row>
    <row r="265" ht="18.75" customHeight="1">
      <c r="C265" s="37" t="b">
        <v>0</v>
      </c>
      <c r="E265" s="112"/>
    </row>
    <row r="266" ht="18.75" customHeight="1">
      <c r="C266" s="37" t="b">
        <v>0</v>
      </c>
      <c r="E266" s="112"/>
    </row>
    <row r="267" ht="18.75" customHeight="1">
      <c r="C267" s="37" t="b">
        <v>0</v>
      </c>
      <c r="E267" s="112"/>
    </row>
    <row r="268" ht="18.75" customHeight="1">
      <c r="C268" s="37" t="b">
        <v>0</v>
      </c>
      <c r="E268" s="112"/>
    </row>
    <row r="269" ht="18.75" customHeight="1">
      <c r="C269" s="37" t="b">
        <v>0</v>
      </c>
      <c r="E269" s="112"/>
    </row>
    <row r="270" ht="18.75" customHeight="1">
      <c r="C270" s="37" t="b">
        <v>0</v>
      </c>
      <c r="E270" s="112"/>
    </row>
    <row r="271" ht="18.75" customHeight="1">
      <c r="C271" s="37" t="b">
        <v>0</v>
      </c>
      <c r="E271" s="112"/>
    </row>
    <row r="272" ht="18.75" customHeight="1">
      <c r="C272" s="37" t="b">
        <v>0</v>
      </c>
      <c r="E272" s="112"/>
    </row>
    <row r="273" ht="18.75" customHeight="1">
      <c r="C273" s="37" t="b">
        <v>0</v>
      </c>
      <c r="E273" s="112"/>
    </row>
    <row r="274" ht="18.75" customHeight="1">
      <c r="C274" s="37" t="b">
        <v>0</v>
      </c>
      <c r="E274" s="112"/>
    </row>
    <row r="275" ht="18.75" customHeight="1">
      <c r="C275" s="37" t="b">
        <v>0</v>
      </c>
      <c r="E275" s="112"/>
    </row>
    <row r="276" ht="18.75" customHeight="1">
      <c r="C276" s="37" t="b">
        <v>0</v>
      </c>
      <c r="E276" s="112"/>
    </row>
    <row r="277" ht="18.75" customHeight="1">
      <c r="C277" s="37" t="b">
        <v>0</v>
      </c>
      <c r="E277" s="112"/>
    </row>
    <row r="278" ht="18.75" customHeight="1">
      <c r="C278" s="37" t="b">
        <v>0</v>
      </c>
      <c r="E278" s="112"/>
    </row>
    <row r="279" ht="18.75" customHeight="1">
      <c r="C279" s="37" t="b">
        <v>0</v>
      </c>
      <c r="E279" s="112"/>
    </row>
    <row r="280" ht="18.75" customHeight="1">
      <c r="C280" s="37" t="b">
        <v>0</v>
      </c>
      <c r="E280" s="112"/>
    </row>
    <row r="281" ht="18.75" customHeight="1">
      <c r="C281" s="37" t="b">
        <v>0</v>
      </c>
      <c r="E281" s="112"/>
    </row>
    <row r="282" ht="18.75" customHeight="1">
      <c r="C282" s="37" t="b">
        <v>0</v>
      </c>
      <c r="E282" s="112"/>
    </row>
    <row r="283" ht="18.75" customHeight="1">
      <c r="C283" s="37" t="b">
        <v>0</v>
      </c>
      <c r="E283" s="112"/>
    </row>
    <row r="284" ht="18.75" customHeight="1">
      <c r="C284" s="37" t="b">
        <v>0</v>
      </c>
      <c r="E284" s="112"/>
    </row>
    <row r="285" ht="18.75" customHeight="1">
      <c r="C285" s="37" t="b">
        <v>0</v>
      </c>
      <c r="E285" s="112"/>
    </row>
    <row r="286" ht="18.75" customHeight="1">
      <c r="C286" s="37" t="b">
        <v>0</v>
      </c>
      <c r="E286" s="112"/>
    </row>
    <row r="287" ht="18.75" customHeight="1">
      <c r="C287" s="37" t="b">
        <v>0</v>
      </c>
      <c r="E287" s="112"/>
    </row>
    <row r="288" ht="18.75" customHeight="1">
      <c r="C288" s="37" t="b">
        <v>0</v>
      </c>
      <c r="E288" s="112"/>
    </row>
    <row r="289" ht="18.75" customHeight="1">
      <c r="C289" s="37" t="b">
        <v>0</v>
      </c>
      <c r="E289" s="112"/>
    </row>
    <row r="290" ht="18.75" customHeight="1">
      <c r="C290" s="37" t="b">
        <v>0</v>
      </c>
      <c r="E290" s="112"/>
    </row>
    <row r="291" ht="18.75" customHeight="1">
      <c r="C291" s="37" t="b">
        <v>0</v>
      </c>
      <c r="E291" s="112"/>
    </row>
    <row r="292" ht="18.75" customHeight="1">
      <c r="C292" s="37" t="b">
        <v>0</v>
      </c>
      <c r="E292" s="112"/>
    </row>
    <row r="293" ht="18.75" customHeight="1">
      <c r="C293" s="37" t="b">
        <v>0</v>
      </c>
      <c r="E293" s="112"/>
    </row>
    <row r="294" ht="18.75" customHeight="1">
      <c r="C294" s="37" t="b">
        <v>0</v>
      </c>
      <c r="E294" s="112"/>
    </row>
    <row r="295" ht="18.75" customHeight="1">
      <c r="C295" s="37" t="b">
        <v>0</v>
      </c>
      <c r="E295" s="112"/>
    </row>
    <row r="296" ht="18.75" customHeight="1">
      <c r="C296" s="37" t="b">
        <v>0</v>
      </c>
      <c r="E296" s="112"/>
    </row>
    <row r="297" ht="18.75" customHeight="1">
      <c r="C297" s="37" t="b">
        <v>0</v>
      </c>
      <c r="E297" s="112"/>
    </row>
    <row r="298" ht="18.75" customHeight="1">
      <c r="C298" s="37" t="b">
        <v>0</v>
      </c>
      <c r="E298" s="112"/>
    </row>
    <row r="299" ht="18.75" customHeight="1">
      <c r="C299" s="37" t="b">
        <v>0</v>
      </c>
      <c r="E299" s="112"/>
    </row>
    <row r="300" ht="18.75" customHeight="1">
      <c r="C300" s="37" t="b">
        <v>0</v>
      </c>
      <c r="E300" s="112"/>
    </row>
    <row r="301" ht="18.75" customHeight="1">
      <c r="C301" s="37" t="b">
        <v>0</v>
      </c>
      <c r="E301" s="112"/>
    </row>
    <row r="302" ht="18.75" customHeight="1">
      <c r="C302" s="37" t="b">
        <v>0</v>
      </c>
      <c r="E302" s="112"/>
    </row>
    <row r="303" ht="18.75" customHeight="1">
      <c r="C303" s="37" t="b">
        <v>0</v>
      </c>
      <c r="E303" s="112"/>
    </row>
    <row r="304" ht="18.75" customHeight="1">
      <c r="C304" s="37" t="b">
        <v>0</v>
      </c>
      <c r="E304" s="112"/>
    </row>
    <row r="305" ht="18.75" customHeight="1">
      <c r="C305" s="37" t="b">
        <v>0</v>
      </c>
      <c r="E305" s="112"/>
    </row>
    <row r="306" ht="18.75" customHeight="1">
      <c r="C306" s="37" t="b">
        <v>0</v>
      </c>
      <c r="E306" s="112"/>
    </row>
    <row r="307" ht="18.75" customHeight="1">
      <c r="C307" s="37" t="b">
        <v>0</v>
      </c>
      <c r="E307" s="112"/>
    </row>
    <row r="308" ht="18.75" customHeight="1">
      <c r="C308" s="37" t="b">
        <v>0</v>
      </c>
      <c r="E308" s="112"/>
    </row>
    <row r="309" ht="18.75" customHeight="1">
      <c r="C309" s="37" t="b">
        <v>0</v>
      </c>
      <c r="E309" s="112"/>
    </row>
    <row r="310" ht="18.75" customHeight="1">
      <c r="C310" s="37" t="b">
        <v>0</v>
      </c>
      <c r="E310" s="112"/>
    </row>
    <row r="311" ht="18.75" customHeight="1">
      <c r="C311" s="37" t="b">
        <v>0</v>
      </c>
      <c r="E311" s="112"/>
    </row>
    <row r="312" ht="18.75" customHeight="1">
      <c r="C312" s="37" t="b">
        <v>0</v>
      </c>
      <c r="E312" s="112"/>
    </row>
    <row r="313" ht="18.75" customHeight="1">
      <c r="C313" s="37" t="b">
        <v>0</v>
      </c>
      <c r="E313" s="112"/>
    </row>
    <row r="314" ht="18.75" customHeight="1">
      <c r="C314" s="37" t="b">
        <v>0</v>
      </c>
      <c r="E314" s="112"/>
    </row>
    <row r="315" ht="18.75" customHeight="1">
      <c r="C315" s="37" t="b">
        <v>0</v>
      </c>
      <c r="E315" s="112"/>
    </row>
    <row r="316" ht="18.75" customHeight="1">
      <c r="C316" s="37" t="b">
        <v>0</v>
      </c>
      <c r="E316" s="112"/>
    </row>
    <row r="317" ht="18.75" customHeight="1">
      <c r="C317" s="37" t="b">
        <v>0</v>
      </c>
      <c r="E317" s="112"/>
    </row>
    <row r="318" ht="18.75" customHeight="1">
      <c r="C318" s="37" t="b">
        <v>0</v>
      </c>
      <c r="E318" s="112"/>
    </row>
    <row r="319" ht="18.75" customHeight="1">
      <c r="C319" s="37" t="b">
        <v>0</v>
      </c>
      <c r="E319" s="112"/>
    </row>
    <row r="320" ht="18.75" customHeight="1">
      <c r="C320" s="37" t="b">
        <v>0</v>
      </c>
      <c r="E320" s="112"/>
    </row>
    <row r="321" ht="18.75" customHeight="1">
      <c r="C321" s="37" t="b">
        <v>0</v>
      </c>
      <c r="E321" s="112"/>
    </row>
    <row r="322" ht="18.75" customHeight="1">
      <c r="C322" s="37" t="b">
        <v>0</v>
      </c>
      <c r="E322" s="112"/>
    </row>
    <row r="323" ht="18.75" customHeight="1">
      <c r="C323" s="37" t="b">
        <v>0</v>
      </c>
      <c r="E323" s="112"/>
    </row>
    <row r="324" ht="18.75" customHeight="1">
      <c r="C324" s="37" t="b">
        <v>0</v>
      </c>
      <c r="E324" s="112"/>
    </row>
    <row r="325" ht="18.75" customHeight="1">
      <c r="C325" s="37" t="b">
        <v>0</v>
      </c>
      <c r="E325" s="112"/>
    </row>
    <row r="326" ht="18.75" customHeight="1">
      <c r="C326" s="37" t="b">
        <v>0</v>
      </c>
      <c r="E326" s="112"/>
    </row>
    <row r="327" ht="18.75" customHeight="1">
      <c r="C327" s="37" t="b">
        <v>0</v>
      </c>
      <c r="E327" s="112"/>
    </row>
    <row r="328" ht="18.75" customHeight="1">
      <c r="C328" s="37" t="b">
        <v>0</v>
      </c>
      <c r="E328" s="112"/>
    </row>
    <row r="329" ht="18.75" customHeight="1">
      <c r="C329" s="37" t="b">
        <v>0</v>
      </c>
      <c r="E329" s="112"/>
    </row>
    <row r="330" ht="18.75" customHeight="1">
      <c r="C330" s="37" t="b">
        <v>0</v>
      </c>
      <c r="E330" s="112"/>
    </row>
    <row r="331" ht="18.75" customHeight="1">
      <c r="C331" s="37" t="b">
        <v>0</v>
      </c>
      <c r="E331" s="112"/>
    </row>
    <row r="332" ht="18.75" customHeight="1">
      <c r="C332" s="37" t="b">
        <v>0</v>
      </c>
      <c r="E332" s="112"/>
    </row>
    <row r="333" ht="18.75" customHeight="1">
      <c r="C333" s="37" t="b">
        <v>0</v>
      </c>
      <c r="E333" s="112"/>
    </row>
    <row r="334" ht="18.75" customHeight="1">
      <c r="C334" s="37" t="b">
        <v>0</v>
      </c>
      <c r="E334" s="112"/>
    </row>
    <row r="335" ht="18.75" customHeight="1">
      <c r="C335" s="37" t="b">
        <v>0</v>
      </c>
      <c r="E335" s="112"/>
    </row>
    <row r="336" ht="18.75" customHeight="1">
      <c r="C336" s="37" t="b">
        <v>0</v>
      </c>
      <c r="E336" s="112"/>
    </row>
    <row r="337" ht="18.75" customHeight="1">
      <c r="C337" s="37" t="b">
        <v>0</v>
      </c>
      <c r="E337" s="112"/>
    </row>
    <row r="338" ht="18.75" customHeight="1">
      <c r="C338" s="37" t="b">
        <v>0</v>
      </c>
      <c r="E338" s="112"/>
    </row>
    <row r="339" ht="18.75" customHeight="1">
      <c r="C339" s="37" t="b">
        <v>0</v>
      </c>
      <c r="E339" s="112"/>
    </row>
    <row r="340" ht="18.75" customHeight="1">
      <c r="C340" s="37" t="b">
        <v>0</v>
      </c>
      <c r="E340" s="112"/>
    </row>
    <row r="341" ht="18.75" customHeight="1">
      <c r="C341" s="37" t="b">
        <v>0</v>
      </c>
      <c r="E341" s="112"/>
    </row>
    <row r="342" ht="18.75" customHeight="1">
      <c r="C342" s="37" t="b">
        <v>0</v>
      </c>
      <c r="E342" s="112"/>
    </row>
    <row r="343" ht="18.75" customHeight="1">
      <c r="C343" s="37" t="b">
        <v>0</v>
      </c>
      <c r="E343" s="112"/>
    </row>
    <row r="344" ht="18.75" customHeight="1">
      <c r="C344" s="37" t="b">
        <v>0</v>
      </c>
      <c r="E344" s="112"/>
    </row>
    <row r="345" ht="18.75" customHeight="1">
      <c r="C345" s="37" t="b">
        <v>0</v>
      </c>
      <c r="E345" s="112"/>
    </row>
    <row r="346" ht="18.75" customHeight="1">
      <c r="C346" s="37" t="b">
        <v>0</v>
      </c>
      <c r="E346" s="112"/>
    </row>
    <row r="347" ht="18.75" customHeight="1">
      <c r="C347" s="37" t="b">
        <v>0</v>
      </c>
      <c r="E347" s="112"/>
    </row>
    <row r="348" ht="18.75" customHeight="1">
      <c r="C348" s="37" t="b">
        <v>0</v>
      </c>
      <c r="E348" s="112"/>
    </row>
    <row r="349" ht="18.75" customHeight="1">
      <c r="C349" s="37" t="b">
        <v>0</v>
      </c>
      <c r="E349" s="112"/>
    </row>
    <row r="350" ht="18.75" customHeight="1">
      <c r="C350" s="37" t="b">
        <v>0</v>
      </c>
      <c r="E350" s="112"/>
    </row>
    <row r="351" ht="18.75" customHeight="1">
      <c r="C351" s="37" t="b">
        <v>0</v>
      </c>
      <c r="E351" s="112"/>
    </row>
    <row r="352" ht="18.75" customHeight="1">
      <c r="C352" s="37" t="b">
        <v>0</v>
      </c>
      <c r="E352" s="112"/>
    </row>
    <row r="353" ht="18.75" customHeight="1">
      <c r="C353" s="37" t="b">
        <v>0</v>
      </c>
      <c r="E353" s="112"/>
    </row>
    <row r="354" ht="18.75" customHeight="1">
      <c r="C354" s="37" t="b">
        <v>0</v>
      </c>
      <c r="E354" s="112"/>
    </row>
    <row r="355" ht="18.75" customHeight="1">
      <c r="C355" s="37" t="b">
        <v>0</v>
      </c>
      <c r="E355" s="112"/>
    </row>
    <row r="356" ht="18.75" customHeight="1">
      <c r="C356" s="37" t="b">
        <v>0</v>
      </c>
      <c r="E356" s="112"/>
    </row>
    <row r="357" ht="18.75" customHeight="1">
      <c r="C357" s="37" t="b">
        <v>0</v>
      </c>
      <c r="E357" s="112"/>
    </row>
    <row r="358" ht="18.75" customHeight="1">
      <c r="C358" s="37" t="b">
        <v>0</v>
      </c>
      <c r="E358" s="112"/>
    </row>
    <row r="359" ht="18.75" customHeight="1">
      <c r="C359" s="37" t="b">
        <v>0</v>
      </c>
      <c r="E359" s="112"/>
    </row>
    <row r="360" ht="18.75" customHeight="1">
      <c r="C360" s="37" t="b">
        <v>0</v>
      </c>
      <c r="E360" s="112"/>
    </row>
    <row r="361" ht="18.75" customHeight="1">
      <c r="C361" s="37" t="b">
        <v>0</v>
      </c>
      <c r="E361" s="112"/>
    </row>
    <row r="362" ht="18.75" customHeight="1">
      <c r="C362" s="37" t="b">
        <v>0</v>
      </c>
      <c r="E362" s="112"/>
    </row>
    <row r="363" ht="18.75" customHeight="1">
      <c r="C363" s="37" t="b">
        <v>0</v>
      </c>
      <c r="E363" s="112"/>
    </row>
    <row r="364" ht="18.75" customHeight="1">
      <c r="C364" s="37" t="b">
        <v>0</v>
      </c>
      <c r="E364" s="112"/>
    </row>
    <row r="365" ht="18.75" customHeight="1">
      <c r="C365" s="37" t="b">
        <v>0</v>
      </c>
      <c r="E365" s="112"/>
    </row>
    <row r="366" ht="18.75" customHeight="1">
      <c r="C366" s="37" t="b">
        <v>0</v>
      </c>
      <c r="E366" s="112"/>
    </row>
    <row r="367" ht="18.75" customHeight="1">
      <c r="C367" s="37" t="b">
        <v>0</v>
      </c>
      <c r="E367" s="112"/>
    </row>
    <row r="368" ht="18.75" customHeight="1">
      <c r="C368" s="37" t="b">
        <v>0</v>
      </c>
      <c r="E368" s="112"/>
    </row>
    <row r="369" ht="18.75" customHeight="1">
      <c r="C369" s="37" t="b">
        <v>0</v>
      </c>
      <c r="E369" s="112"/>
    </row>
    <row r="370" ht="18.75" customHeight="1">
      <c r="C370" s="37" t="b">
        <v>0</v>
      </c>
      <c r="E370" s="112"/>
    </row>
    <row r="371" ht="18.75" customHeight="1">
      <c r="C371" s="37" t="b">
        <v>0</v>
      </c>
      <c r="E371" s="112"/>
    </row>
    <row r="372" ht="18.75" customHeight="1">
      <c r="C372" s="37" t="b">
        <v>0</v>
      </c>
      <c r="E372" s="112"/>
    </row>
    <row r="373" ht="18.75" customHeight="1">
      <c r="C373" s="37" t="b">
        <v>0</v>
      </c>
      <c r="E373" s="112"/>
    </row>
    <row r="374" ht="18.75" customHeight="1">
      <c r="C374" s="37" t="b">
        <v>0</v>
      </c>
      <c r="E374" s="112"/>
    </row>
    <row r="375" ht="18.75" customHeight="1">
      <c r="C375" s="37" t="b">
        <v>0</v>
      </c>
      <c r="E375" s="112"/>
    </row>
    <row r="376" ht="18.75" customHeight="1">
      <c r="C376" s="37" t="b">
        <v>0</v>
      </c>
      <c r="E376" s="112"/>
    </row>
    <row r="377" ht="18.75" customHeight="1">
      <c r="C377" s="37" t="b">
        <v>0</v>
      </c>
      <c r="E377" s="112"/>
    </row>
    <row r="378" ht="18.75" customHeight="1">
      <c r="C378" s="37" t="b">
        <v>0</v>
      </c>
      <c r="E378" s="112"/>
    </row>
    <row r="379" ht="18.75" customHeight="1">
      <c r="C379" s="37" t="b">
        <v>0</v>
      </c>
      <c r="E379" s="112"/>
    </row>
    <row r="380" ht="18.75" customHeight="1">
      <c r="C380" s="37" t="b">
        <v>0</v>
      </c>
      <c r="E380" s="112"/>
    </row>
    <row r="381" ht="18.75" customHeight="1">
      <c r="C381" s="37" t="b">
        <v>0</v>
      </c>
      <c r="E381" s="112"/>
    </row>
    <row r="382" ht="18.75" customHeight="1">
      <c r="C382" s="37" t="b">
        <v>0</v>
      </c>
      <c r="E382" s="112"/>
    </row>
    <row r="383" ht="18.75" customHeight="1">
      <c r="C383" s="37" t="b">
        <v>0</v>
      </c>
      <c r="E383" s="112"/>
    </row>
    <row r="384" ht="18.75" customHeight="1">
      <c r="C384" s="37" t="b">
        <v>0</v>
      </c>
      <c r="E384" s="112"/>
    </row>
    <row r="385" ht="18.75" customHeight="1">
      <c r="C385" s="37" t="b">
        <v>0</v>
      </c>
      <c r="E385" s="112"/>
    </row>
    <row r="386" ht="18.75" customHeight="1">
      <c r="C386" s="37" t="b">
        <v>0</v>
      </c>
      <c r="E386" s="112"/>
    </row>
    <row r="387" ht="18.75" customHeight="1">
      <c r="C387" s="37" t="b">
        <v>0</v>
      </c>
      <c r="E387" s="112"/>
    </row>
    <row r="388" ht="18.75" customHeight="1">
      <c r="C388" s="37" t="b">
        <v>0</v>
      </c>
      <c r="E388" s="112"/>
    </row>
    <row r="389" ht="18.75" customHeight="1">
      <c r="C389" s="37" t="b">
        <v>0</v>
      </c>
      <c r="E389" s="112"/>
    </row>
    <row r="390" ht="18.75" customHeight="1">
      <c r="C390" s="37" t="b">
        <v>0</v>
      </c>
      <c r="E390" s="112"/>
    </row>
    <row r="391" ht="18.75" customHeight="1">
      <c r="C391" s="37" t="b">
        <v>0</v>
      </c>
      <c r="E391" s="112"/>
    </row>
    <row r="392" ht="18.75" customHeight="1">
      <c r="C392" s="37" t="b">
        <v>0</v>
      </c>
      <c r="E392" s="112"/>
    </row>
    <row r="393" ht="18.75" customHeight="1">
      <c r="C393" s="37" t="b">
        <v>0</v>
      </c>
      <c r="E393" s="112"/>
    </row>
    <row r="394" ht="18.75" customHeight="1">
      <c r="C394" s="37" t="b">
        <v>0</v>
      </c>
      <c r="E394" s="112"/>
    </row>
    <row r="395" ht="18.75" customHeight="1">
      <c r="C395" s="37" t="b">
        <v>0</v>
      </c>
      <c r="E395" s="112"/>
    </row>
    <row r="396" ht="18.75" customHeight="1">
      <c r="C396" s="37" t="b">
        <v>0</v>
      </c>
      <c r="E396" s="112"/>
    </row>
    <row r="397" ht="18.75" customHeight="1">
      <c r="C397" s="37" t="b">
        <v>0</v>
      </c>
      <c r="E397" s="112"/>
    </row>
    <row r="398" ht="18.75" customHeight="1">
      <c r="C398" s="37" t="b">
        <v>0</v>
      </c>
      <c r="E398" s="112"/>
    </row>
    <row r="399" ht="18.75" customHeight="1">
      <c r="C399" s="37" t="b">
        <v>0</v>
      </c>
      <c r="E399" s="112"/>
    </row>
    <row r="400" ht="18.75" customHeight="1">
      <c r="C400" s="37" t="b">
        <v>0</v>
      </c>
      <c r="E400" s="112"/>
    </row>
    <row r="401" ht="18.75" customHeight="1">
      <c r="C401" s="37" t="b">
        <v>0</v>
      </c>
      <c r="E401" s="112"/>
    </row>
    <row r="402" ht="18.75" customHeight="1">
      <c r="C402" s="37" t="b">
        <v>0</v>
      </c>
      <c r="E402" s="112"/>
    </row>
    <row r="403" ht="18.75" customHeight="1">
      <c r="C403" s="37" t="b">
        <v>0</v>
      </c>
      <c r="E403" s="112"/>
    </row>
    <row r="404" ht="18.75" customHeight="1">
      <c r="C404" s="37" t="b">
        <v>0</v>
      </c>
      <c r="E404" s="112"/>
    </row>
    <row r="405" ht="18.75" customHeight="1">
      <c r="C405" s="37" t="b">
        <v>0</v>
      </c>
      <c r="E405" s="112"/>
    </row>
    <row r="406" ht="18.75" customHeight="1">
      <c r="C406" s="37" t="b">
        <v>0</v>
      </c>
      <c r="E406" s="112"/>
    </row>
    <row r="407" ht="18.75" customHeight="1">
      <c r="C407" s="37" t="b">
        <v>0</v>
      </c>
      <c r="E407" s="112"/>
    </row>
    <row r="408" ht="18.75" customHeight="1">
      <c r="C408" s="37" t="b">
        <v>0</v>
      </c>
      <c r="E408" s="112"/>
    </row>
    <row r="409" ht="18.75" customHeight="1">
      <c r="C409" s="37" t="b">
        <v>0</v>
      </c>
      <c r="E409" s="112"/>
    </row>
    <row r="410" ht="18.75" customHeight="1">
      <c r="C410" s="37" t="b">
        <v>0</v>
      </c>
      <c r="E410" s="112"/>
    </row>
    <row r="411" ht="18.75" customHeight="1">
      <c r="C411" s="37" t="b">
        <v>0</v>
      </c>
      <c r="E411" s="112"/>
    </row>
    <row r="412" ht="18.75" customHeight="1">
      <c r="C412" s="37" t="b">
        <v>0</v>
      </c>
      <c r="E412" s="112"/>
    </row>
    <row r="413" ht="18.75" customHeight="1">
      <c r="C413" s="37" t="b">
        <v>0</v>
      </c>
      <c r="E413" s="112"/>
    </row>
    <row r="414" ht="18.75" customHeight="1">
      <c r="C414" s="37" t="b">
        <v>0</v>
      </c>
      <c r="E414" s="112"/>
    </row>
    <row r="415" ht="18.75" customHeight="1">
      <c r="C415" s="37" t="b">
        <v>0</v>
      </c>
      <c r="E415" s="112"/>
    </row>
    <row r="416" ht="18.75" customHeight="1">
      <c r="C416" s="37" t="b">
        <v>0</v>
      </c>
      <c r="E416" s="112"/>
    </row>
    <row r="417" ht="18.75" customHeight="1">
      <c r="C417" s="37" t="b">
        <v>0</v>
      </c>
      <c r="E417" s="112"/>
    </row>
    <row r="418" ht="18.75" customHeight="1">
      <c r="C418" s="37" t="b">
        <v>0</v>
      </c>
      <c r="E418" s="112"/>
    </row>
    <row r="419" ht="18.75" customHeight="1">
      <c r="C419" s="37" t="b">
        <v>0</v>
      </c>
      <c r="E419" s="112"/>
    </row>
    <row r="420" ht="18.75" customHeight="1">
      <c r="C420" s="37" t="b">
        <v>0</v>
      </c>
      <c r="E420" s="112"/>
    </row>
    <row r="421" ht="18.75" customHeight="1">
      <c r="C421" s="37" t="b">
        <v>0</v>
      </c>
      <c r="E421" s="112"/>
    </row>
    <row r="422" ht="18.75" customHeight="1">
      <c r="C422" s="37" t="b">
        <v>0</v>
      </c>
      <c r="E422" s="112"/>
    </row>
    <row r="423" ht="18.75" customHeight="1">
      <c r="C423" s="37" t="b">
        <v>0</v>
      </c>
      <c r="E423" s="112"/>
    </row>
    <row r="424" ht="18.75" customHeight="1">
      <c r="C424" s="37" t="b">
        <v>0</v>
      </c>
      <c r="E424" s="112"/>
    </row>
    <row r="425" ht="18.75" customHeight="1">
      <c r="C425" s="37" t="b">
        <v>0</v>
      </c>
      <c r="E425" s="112"/>
    </row>
    <row r="426" ht="18.75" customHeight="1">
      <c r="C426" s="37" t="b">
        <v>0</v>
      </c>
      <c r="E426" s="112"/>
    </row>
    <row r="427" ht="18.75" customHeight="1">
      <c r="C427" s="37" t="b">
        <v>0</v>
      </c>
      <c r="E427" s="112"/>
    </row>
    <row r="428" ht="18.75" customHeight="1">
      <c r="C428" s="37" t="b">
        <v>0</v>
      </c>
      <c r="E428" s="112"/>
    </row>
    <row r="429" ht="18.75" customHeight="1">
      <c r="C429" s="37" t="b">
        <v>0</v>
      </c>
      <c r="E429" s="112"/>
    </row>
    <row r="430" ht="18.75" customHeight="1">
      <c r="C430" s="37" t="b">
        <v>0</v>
      </c>
      <c r="E430" s="112"/>
    </row>
    <row r="431" ht="18.75" customHeight="1">
      <c r="C431" s="37" t="b">
        <v>0</v>
      </c>
      <c r="E431" s="112"/>
    </row>
    <row r="432" ht="18.75" customHeight="1">
      <c r="C432" s="37" t="b">
        <v>0</v>
      </c>
      <c r="E432" s="112"/>
    </row>
    <row r="433" ht="18.75" customHeight="1">
      <c r="C433" s="37" t="b">
        <v>0</v>
      </c>
      <c r="E433" s="112"/>
    </row>
    <row r="434" ht="18.75" customHeight="1">
      <c r="C434" s="37" t="b">
        <v>0</v>
      </c>
      <c r="E434" s="112"/>
    </row>
    <row r="435" ht="18.75" customHeight="1">
      <c r="C435" s="37" t="b">
        <v>0</v>
      </c>
      <c r="E435" s="112"/>
    </row>
    <row r="436" ht="18.75" customHeight="1">
      <c r="C436" s="37" t="b">
        <v>0</v>
      </c>
      <c r="E436" s="112"/>
    </row>
    <row r="437" ht="18.75" customHeight="1">
      <c r="C437" s="37" t="b">
        <v>0</v>
      </c>
      <c r="E437" s="112"/>
    </row>
    <row r="438" ht="18.75" customHeight="1">
      <c r="C438" s="37" t="b">
        <v>0</v>
      </c>
      <c r="E438" s="112"/>
    </row>
    <row r="439" ht="18.75" customHeight="1">
      <c r="C439" s="37" t="b">
        <v>0</v>
      </c>
      <c r="E439" s="112"/>
    </row>
    <row r="440" ht="18.75" customHeight="1">
      <c r="C440" s="37" t="b">
        <v>0</v>
      </c>
      <c r="E440" s="112"/>
    </row>
    <row r="441" ht="18.75" customHeight="1">
      <c r="C441" s="37" t="b">
        <v>0</v>
      </c>
      <c r="E441" s="112"/>
    </row>
    <row r="442" ht="18.75" customHeight="1">
      <c r="C442" s="37" t="b">
        <v>0</v>
      </c>
      <c r="E442" s="112"/>
    </row>
    <row r="443" ht="18.75" customHeight="1">
      <c r="C443" s="37" t="b">
        <v>0</v>
      </c>
      <c r="E443" s="112"/>
    </row>
    <row r="444" ht="18.75" customHeight="1">
      <c r="C444" s="37" t="b">
        <v>0</v>
      </c>
      <c r="E444" s="112"/>
    </row>
    <row r="445" ht="18.75" customHeight="1">
      <c r="C445" s="37" t="b">
        <v>0</v>
      </c>
      <c r="E445" s="112"/>
    </row>
    <row r="446" ht="18.75" customHeight="1">
      <c r="C446" s="37" t="b">
        <v>0</v>
      </c>
      <c r="E446" s="112"/>
    </row>
    <row r="447" ht="18.75" customHeight="1">
      <c r="C447" s="37" t="b">
        <v>0</v>
      </c>
      <c r="E447" s="112"/>
    </row>
    <row r="448" ht="18.75" customHeight="1">
      <c r="C448" s="37" t="b">
        <v>0</v>
      </c>
      <c r="E448" s="112"/>
    </row>
    <row r="449" ht="18.75" customHeight="1">
      <c r="C449" s="37" t="b">
        <v>0</v>
      </c>
      <c r="E449" s="112"/>
    </row>
    <row r="450" ht="18.75" customHeight="1">
      <c r="C450" s="37" t="b">
        <v>0</v>
      </c>
      <c r="E450" s="112"/>
    </row>
    <row r="451" ht="18.75" customHeight="1">
      <c r="C451" s="37" t="b">
        <v>0</v>
      </c>
      <c r="E451" s="112"/>
    </row>
    <row r="452" ht="18.75" customHeight="1">
      <c r="C452" s="37" t="b">
        <v>0</v>
      </c>
      <c r="E452" s="112"/>
    </row>
    <row r="453" ht="18.75" customHeight="1">
      <c r="C453" s="37" t="b">
        <v>0</v>
      </c>
      <c r="E453" s="112"/>
    </row>
    <row r="454" ht="18.75" customHeight="1">
      <c r="C454" s="37" t="b">
        <v>0</v>
      </c>
      <c r="E454" s="112"/>
    </row>
    <row r="455" ht="18.75" customHeight="1">
      <c r="C455" s="37" t="b">
        <v>0</v>
      </c>
      <c r="E455" s="112"/>
    </row>
    <row r="456" ht="18.75" customHeight="1">
      <c r="C456" s="37" t="b">
        <v>0</v>
      </c>
      <c r="E456" s="112"/>
    </row>
    <row r="457" ht="18.75" customHeight="1">
      <c r="C457" s="37" t="b">
        <v>0</v>
      </c>
      <c r="E457" s="112"/>
    </row>
    <row r="458" ht="18.75" customHeight="1">
      <c r="C458" s="37" t="b">
        <v>0</v>
      </c>
      <c r="E458" s="112"/>
    </row>
    <row r="459" ht="18.75" customHeight="1">
      <c r="C459" s="37" t="b">
        <v>0</v>
      </c>
      <c r="E459" s="112"/>
    </row>
    <row r="460" ht="18.75" customHeight="1">
      <c r="C460" s="37" t="b">
        <v>0</v>
      </c>
      <c r="E460" s="112"/>
    </row>
    <row r="461" ht="18.75" customHeight="1">
      <c r="C461" s="37" t="b">
        <v>0</v>
      </c>
      <c r="E461" s="112"/>
    </row>
    <row r="462" ht="18.75" customHeight="1">
      <c r="C462" s="37" t="b">
        <v>0</v>
      </c>
      <c r="E462" s="112"/>
    </row>
    <row r="463" ht="18.75" customHeight="1">
      <c r="C463" s="37" t="b">
        <v>0</v>
      </c>
      <c r="E463" s="112"/>
    </row>
    <row r="464" ht="18.75" customHeight="1">
      <c r="C464" s="37" t="b">
        <v>0</v>
      </c>
      <c r="E464" s="112"/>
    </row>
    <row r="465" ht="18.75" customHeight="1">
      <c r="C465" s="37" t="b">
        <v>0</v>
      </c>
      <c r="E465" s="112"/>
    </row>
    <row r="466" ht="18.75" customHeight="1">
      <c r="C466" s="37" t="b">
        <v>0</v>
      </c>
      <c r="E466" s="112"/>
    </row>
    <row r="467" ht="18.75" customHeight="1">
      <c r="C467" s="37" t="b">
        <v>0</v>
      </c>
      <c r="E467" s="112"/>
    </row>
    <row r="468" ht="18.75" customHeight="1">
      <c r="C468" s="37" t="b">
        <v>0</v>
      </c>
      <c r="E468" s="112"/>
    </row>
    <row r="469" ht="18.75" customHeight="1">
      <c r="C469" s="37" t="b">
        <v>0</v>
      </c>
      <c r="E469" s="112"/>
    </row>
    <row r="470" ht="18.75" customHeight="1">
      <c r="C470" s="37" t="b">
        <v>0</v>
      </c>
      <c r="E470" s="112"/>
    </row>
    <row r="471" ht="18.75" customHeight="1">
      <c r="C471" s="37" t="b">
        <v>0</v>
      </c>
      <c r="E471" s="112"/>
    </row>
    <row r="472" ht="18.75" customHeight="1">
      <c r="C472" s="37" t="b">
        <v>0</v>
      </c>
      <c r="E472" s="112"/>
    </row>
    <row r="473" ht="18.75" customHeight="1">
      <c r="C473" s="37" t="b">
        <v>0</v>
      </c>
      <c r="E473" s="112"/>
    </row>
    <row r="474" ht="18.75" customHeight="1">
      <c r="C474" s="37" t="b">
        <v>0</v>
      </c>
      <c r="E474" s="112"/>
    </row>
    <row r="475" ht="18.75" customHeight="1">
      <c r="C475" s="37" t="b">
        <v>0</v>
      </c>
      <c r="E475" s="112"/>
    </row>
    <row r="476" ht="18.75" customHeight="1">
      <c r="C476" s="37" t="b">
        <v>0</v>
      </c>
      <c r="E476" s="112"/>
    </row>
    <row r="477" ht="18.75" customHeight="1">
      <c r="C477" s="37" t="b">
        <v>0</v>
      </c>
      <c r="E477" s="112"/>
    </row>
    <row r="478" ht="18.75" customHeight="1">
      <c r="C478" s="37" t="b">
        <v>0</v>
      </c>
      <c r="E478" s="112"/>
    </row>
    <row r="479" ht="18.75" customHeight="1">
      <c r="C479" s="37" t="b">
        <v>0</v>
      </c>
      <c r="E479" s="112"/>
    </row>
    <row r="480" ht="18.75" customHeight="1">
      <c r="C480" s="37" t="b">
        <v>0</v>
      </c>
      <c r="E480" s="112"/>
    </row>
    <row r="481" ht="18.75" customHeight="1">
      <c r="C481" s="37" t="b">
        <v>0</v>
      </c>
      <c r="E481" s="112"/>
    </row>
    <row r="482" ht="18.75" customHeight="1">
      <c r="C482" s="37" t="b">
        <v>0</v>
      </c>
      <c r="E482" s="112"/>
    </row>
    <row r="483" ht="18.75" customHeight="1">
      <c r="C483" s="37" t="b">
        <v>0</v>
      </c>
      <c r="E483" s="112"/>
    </row>
    <row r="484" ht="18.75" customHeight="1">
      <c r="C484" s="37" t="b">
        <v>0</v>
      </c>
      <c r="E484" s="112"/>
    </row>
    <row r="485" ht="18.75" customHeight="1">
      <c r="C485" s="37" t="b">
        <v>0</v>
      </c>
      <c r="E485" s="112"/>
    </row>
    <row r="486" ht="18.75" customHeight="1">
      <c r="C486" s="37" t="b">
        <v>0</v>
      </c>
      <c r="E486" s="112"/>
    </row>
    <row r="487" ht="18.75" customHeight="1">
      <c r="C487" s="37" t="b">
        <v>0</v>
      </c>
      <c r="E487" s="112"/>
    </row>
    <row r="488" ht="18.75" customHeight="1">
      <c r="C488" s="37" t="b">
        <v>0</v>
      </c>
      <c r="E488" s="112"/>
    </row>
    <row r="489" ht="18.75" customHeight="1">
      <c r="C489" s="37" t="b">
        <v>0</v>
      </c>
      <c r="E489" s="112"/>
    </row>
    <row r="490" ht="18.75" customHeight="1">
      <c r="C490" s="37" t="b">
        <v>0</v>
      </c>
      <c r="E490" s="112"/>
    </row>
    <row r="491" ht="18.75" customHeight="1">
      <c r="C491" s="37" t="b">
        <v>0</v>
      </c>
      <c r="E491" s="112"/>
    </row>
    <row r="492" ht="18.75" customHeight="1">
      <c r="C492" s="37" t="b">
        <v>0</v>
      </c>
      <c r="E492" s="112"/>
    </row>
    <row r="493" ht="18.75" customHeight="1">
      <c r="C493" s="37" t="b">
        <v>0</v>
      </c>
      <c r="E493" s="112"/>
    </row>
    <row r="494" ht="18.75" customHeight="1">
      <c r="C494" s="37" t="b">
        <v>0</v>
      </c>
      <c r="E494" s="112"/>
    </row>
    <row r="495" ht="18.75" customHeight="1">
      <c r="C495" s="37" t="b">
        <v>0</v>
      </c>
      <c r="E495" s="112"/>
    </row>
    <row r="496" ht="18.75" customHeight="1">
      <c r="C496" s="37" t="b">
        <v>0</v>
      </c>
      <c r="E496" s="112"/>
    </row>
    <row r="497" ht="18.75" customHeight="1">
      <c r="C497" s="37" t="b">
        <v>0</v>
      </c>
      <c r="E497" s="112"/>
    </row>
    <row r="498" ht="18.75" customHeight="1">
      <c r="C498" s="37" t="b">
        <v>0</v>
      </c>
      <c r="E498" s="112"/>
    </row>
    <row r="499" ht="18.75" customHeight="1">
      <c r="C499" s="37" t="b">
        <v>0</v>
      </c>
      <c r="E499" s="112"/>
    </row>
    <row r="500" ht="18.75" customHeight="1">
      <c r="C500" s="37" t="b">
        <v>0</v>
      </c>
      <c r="E500" s="112"/>
    </row>
    <row r="501" ht="18.75" customHeight="1">
      <c r="C501" s="37" t="b">
        <v>0</v>
      </c>
      <c r="E501" s="112"/>
    </row>
    <row r="502" ht="18.75" customHeight="1">
      <c r="C502" s="37" t="b">
        <v>0</v>
      </c>
      <c r="E502" s="112"/>
    </row>
    <row r="503" ht="18.75" customHeight="1">
      <c r="C503" s="37" t="b">
        <v>0</v>
      </c>
      <c r="E503" s="112"/>
    </row>
    <row r="504" ht="18.75" customHeight="1">
      <c r="C504" s="37" t="b">
        <v>0</v>
      </c>
      <c r="E504" s="112"/>
    </row>
    <row r="505" ht="18.75" customHeight="1">
      <c r="C505" s="37" t="b">
        <v>0</v>
      </c>
      <c r="E505" s="112"/>
    </row>
    <row r="506" ht="18.75" customHeight="1">
      <c r="C506" s="37" t="b">
        <v>0</v>
      </c>
      <c r="E506" s="112"/>
    </row>
    <row r="507" ht="18.75" customHeight="1">
      <c r="C507" s="37" t="b">
        <v>0</v>
      </c>
      <c r="E507" s="112"/>
    </row>
    <row r="508" ht="18.75" customHeight="1">
      <c r="C508" s="37" t="b">
        <v>0</v>
      </c>
      <c r="E508" s="112"/>
    </row>
    <row r="509" ht="18.75" customHeight="1">
      <c r="C509" s="37" t="b">
        <v>0</v>
      </c>
      <c r="E509" s="112"/>
    </row>
    <row r="510" ht="18.75" customHeight="1">
      <c r="C510" s="37" t="b">
        <v>0</v>
      </c>
      <c r="E510" s="112"/>
    </row>
    <row r="511" ht="18.75" customHeight="1">
      <c r="C511" s="37" t="b">
        <v>0</v>
      </c>
      <c r="E511" s="112"/>
    </row>
    <row r="512" ht="18.75" customHeight="1">
      <c r="C512" s="37" t="b">
        <v>0</v>
      </c>
      <c r="E512" s="112"/>
    </row>
    <row r="513" ht="18.75" customHeight="1">
      <c r="C513" s="37" t="b">
        <v>0</v>
      </c>
      <c r="E513" s="112"/>
    </row>
    <row r="514" ht="18.75" customHeight="1">
      <c r="C514" s="37" t="b">
        <v>0</v>
      </c>
      <c r="E514" s="112"/>
    </row>
    <row r="515" ht="18.75" customHeight="1">
      <c r="C515" s="37" t="b">
        <v>0</v>
      </c>
      <c r="E515" s="112"/>
    </row>
    <row r="516" ht="18.75" customHeight="1">
      <c r="C516" s="37" t="b">
        <v>0</v>
      </c>
      <c r="E516" s="112"/>
    </row>
    <row r="517" ht="18.75" customHeight="1">
      <c r="C517" s="37" t="b">
        <v>0</v>
      </c>
      <c r="E517" s="112"/>
    </row>
    <row r="518" ht="18.75" customHeight="1">
      <c r="C518" s="37" t="b">
        <v>0</v>
      </c>
      <c r="E518" s="112"/>
    </row>
    <row r="519" ht="18.75" customHeight="1">
      <c r="C519" s="37" t="b">
        <v>0</v>
      </c>
      <c r="E519" s="112"/>
    </row>
    <row r="520" ht="18.75" customHeight="1">
      <c r="C520" s="37" t="b">
        <v>0</v>
      </c>
      <c r="E520" s="112"/>
    </row>
    <row r="521" ht="18.75" customHeight="1">
      <c r="C521" s="37" t="b">
        <v>0</v>
      </c>
      <c r="E521" s="112"/>
    </row>
    <row r="522" ht="18.75" customHeight="1">
      <c r="C522" s="37" t="b">
        <v>0</v>
      </c>
      <c r="E522" s="112"/>
    </row>
    <row r="523" ht="18.75" customHeight="1">
      <c r="C523" s="37" t="b">
        <v>0</v>
      </c>
      <c r="E523" s="112"/>
    </row>
    <row r="524" ht="18.75" customHeight="1">
      <c r="C524" s="37" t="b">
        <v>0</v>
      </c>
      <c r="E524" s="112"/>
    </row>
    <row r="525" ht="18.75" customHeight="1">
      <c r="C525" s="37" t="b">
        <v>0</v>
      </c>
      <c r="E525" s="112"/>
    </row>
    <row r="526" ht="18.75" customHeight="1">
      <c r="C526" s="37" t="b">
        <v>0</v>
      </c>
      <c r="E526" s="112"/>
    </row>
    <row r="527" ht="18.75" customHeight="1">
      <c r="C527" s="37" t="b">
        <v>0</v>
      </c>
      <c r="E527" s="112"/>
    </row>
    <row r="528" ht="18.75" customHeight="1">
      <c r="C528" s="37" t="b">
        <v>0</v>
      </c>
      <c r="E528" s="112"/>
    </row>
    <row r="529" ht="18.75" customHeight="1">
      <c r="C529" s="37" t="b">
        <v>0</v>
      </c>
      <c r="E529" s="112"/>
    </row>
    <row r="530" ht="18.75" customHeight="1">
      <c r="C530" s="37" t="b">
        <v>0</v>
      </c>
      <c r="E530" s="112"/>
    </row>
    <row r="531" ht="18.75" customHeight="1">
      <c r="C531" s="37" t="b">
        <v>0</v>
      </c>
      <c r="E531" s="112"/>
    </row>
    <row r="532" ht="18.75" customHeight="1">
      <c r="C532" s="37" t="b">
        <v>0</v>
      </c>
      <c r="E532" s="112"/>
    </row>
    <row r="533" ht="18.75" customHeight="1">
      <c r="C533" s="37" t="b">
        <v>0</v>
      </c>
      <c r="E533" s="112"/>
    </row>
    <row r="534" ht="18.75" customHeight="1">
      <c r="C534" s="37" t="b">
        <v>0</v>
      </c>
      <c r="E534" s="112"/>
    </row>
    <row r="535" ht="18.75" customHeight="1">
      <c r="C535" s="37" t="b">
        <v>0</v>
      </c>
      <c r="E535" s="112"/>
    </row>
    <row r="536" ht="18.75" customHeight="1">
      <c r="C536" s="37" t="b">
        <v>0</v>
      </c>
      <c r="E536" s="112"/>
    </row>
    <row r="537" ht="18.75" customHeight="1">
      <c r="C537" s="37" t="b">
        <v>0</v>
      </c>
      <c r="E537" s="112"/>
    </row>
    <row r="538" ht="18.75" customHeight="1">
      <c r="C538" s="37" t="b">
        <v>0</v>
      </c>
      <c r="E538" s="112"/>
    </row>
    <row r="539" ht="18.75" customHeight="1">
      <c r="C539" s="37" t="b">
        <v>0</v>
      </c>
      <c r="E539" s="112"/>
    </row>
    <row r="540" ht="18.75" customHeight="1">
      <c r="C540" s="37" t="b">
        <v>0</v>
      </c>
      <c r="E540" s="112"/>
    </row>
    <row r="541" ht="18.75" customHeight="1">
      <c r="C541" s="37" t="b">
        <v>0</v>
      </c>
      <c r="E541" s="112"/>
    </row>
    <row r="542" ht="18.75" customHeight="1">
      <c r="C542" s="37" t="b">
        <v>0</v>
      </c>
      <c r="E542" s="112"/>
    </row>
    <row r="543" ht="18.75" customHeight="1">
      <c r="C543" s="37" t="b">
        <v>0</v>
      </c>
      <c r="E543" s="112"/>
    </row>
    <row r="544" ht="18.75" customHeight="1">
      <c r="C544" s="37" t="b">
        <v>0</v>
      </c>
      <c r="E544" s="112"/>
    </row>
    <row r="545" ht="18.75" customHeight="1">
      <c r="C545" s="37" t="b">
        <v>0</v>
      </c>
      <c r="E545" s="112"/>
    </row>
    <row r="546" ht="18.75" customHeight="1">
      <c r="C546" s="37" t="b">
        <v>0</v>
      </c>
      <c r="E546" s="112"/>
    </row>
    <row r="547" ht="18.75" customHeight="1">
      <c r="C547" s="37" t="b">
        <v>0</v>
      </c>
      <c r="E547" s="112"/>
    </row>
    <row r="548" ht="18.75" customHeight="1">
      <c r="C548" s="37" t="b">
        <v>0</v>
      </c>
      <c r="E548" s="112"/>
    </row>
    <row r="549" ht="18.75" customHeight="1">
      <c r="C549" s="37" t="b">
        <v>0</v>
      </c>
      <c r="E549" s="112"/>
    </row>
    <row r="550" ht="18.75" customHeight="1">
      <c r="C550" s="37" t="b">
        <v>0</v>
      </c>
      <c r="E550" s="112"/>
    </row>
    <row r="551" ht="18.75" customHeight="1">
      <c r="C551" s="37" t="b">
        <v>0</v>
      </c>
      <c r="E551" s="112"/>
    </row>
    <row r="552" ht="18.75" customHeight="1">
      <c r="C552" s="37" t="b">
        <v>0</v>
      </c>
      <c r="E552" s="112"/>
    </row>
    <row r="553" ht="18.75" customHeight="1">
      <c r="C553" s="37" t="b">
        <v>0</v>
      </c>
      <c r="E553" s="112"/>
    </row>
    <row r="554" ht="18.75" customHeight="1">
      <c r="C554" s="37" t="b">
        <v>0</v>
      </c>
      <c r="E554" s="112"/>
    </row>
    <row r="555" ht="18.75" customHeight="1">
      <c r="C555" s="37" t="b">
        <v>0</v>
      </c>
      <c r="E555" s="112"/>
    </row>
    <row r="556" ht="18.75" customHeight="1">
      <c r="C556" s="37" t="b">
        <v>0</v>
      </c>
      <c r="E556" s="112"/>
    </row>
    <row r="557" ht="18.75" customHeight="1">
      <c r="C557" s="37" t="b">
        <v>0</v>
      </c>
      <c r="E557" s="112"/>
    </row>
    <row r="558" ht="18.75" customHeight="1">
      <c r="C558" s="37" t="b">
        <v>0</v>
      </c>
      <c r="E558" s="112"/>
    </row>
    <row r="559" ht="18.75" customHeight="1">
      <c r="C559" s="37" t="b">
        <v>0</v>
      </c>
      <c r="E559" s="112"/>
    </row>
    <row r="560" ht="18.75" customHeight="1">
      <c r="C560" s="37" t="b">
        <v>0</v>
      </c>
      <c r="E560" s="112"/>
    </row>
    <row r="561" ht="18.75" customHeight="1">
      <c r="C561" s="37" t="b">
        <v>0</v>
      </c>
      <c r="E561" s="112"/>
    </row>
    <row r="562" ht="18.75" customHeight="1">
      <c r="C562" s="37" t="b">
        <v>0</v>
      </c>
      <c r="E562" s="112"/>
    </row>
    <row r="563" ht="18.75" customHeight="1">
      <c r="C563" s="37" t="b">
        <v>0</v>
      </c>
      <c r="E563" s="112"/>
    </row>
    <row r="564" ht="18.75" customHeight="1">
      <c r="C564" s="37" t="b">
        <v>0</v>
      </c>
      <c r="E564" s="112"/>
    </row>
    <row r="565" ht="18.75" customHeight="1">
      <c r="C565" s="37" t="b">
        <v>0</v>
      </c>
      <c r="E565" s="112"/>
    </row>
    <row r="566" ht="18.75" customHeight="1">
      <c r="C566" s="37" t="b">
        <v>0</v>
      </c>
      <c r="E566" s="112"/>
    </row>
    <row r="567" ht="18.75" customHeight="1">
      <c r="C567" s="37" t="b">
        <v>0</v>
      </c>
      <c r="E567" s="112"/>
    </row>
    <row r="568" ht="18.75" customHeight="1">
      <c r="C568" s="37" t="b">
        <v>0</v>
      </c>
      <c r="E568" s="112"/>
    </row>
    <row r="569" ht="18.75" customHeight="1">
      <c r="C569" s="37" t="b">
        <v>0</v>
      </c>
      <c r="E569" s="112"/>
    </row>
    <row r="570" ht="18.75" customHeight="1">
      <c r="C570" s="37" t="b">
        <v>0</v>
      </c>
      <c r="E570" s="112"/>
    </row>
    <row r="571" ht="18.75" customHeight="1">
      <c r="C571" s="37" t="b">
        <v>0</v>
      </c>
      <c r="E571" s="112"/>
    </row>
    <row r="572" ht="18.75" customHeight="1">
      <c r="C572" s="37" t="b">
        <v>0</v>
      </c>
      <c r="E572" s="112"/>
    </row>
    <row r="573" ht="18.75" customHeight="1">
      <c r="C573" s="37" t="b">
        <v>0</v>
      </c>
      <c r="E573" s="112"/>
    </row>
    <row r="574" ht="18.75" customHeight="1">
      <c r="C574" s="37" t="b">
        <v>0</v>
      </c>
      <c r="E574" s="112"/>
    </row>
    <row r="575" ht="18.75" customHeight="1">
      <c r="C575" s="37" t="b">
        <v>0</v>
      </c>
      <c r="E575" s="112"/>
    </row>
    <row r="576" ht="18.75" customHeight="1">
      <c r="C576" s="37" t="b">
        <v>0</v>
      </c>
      <c r="E576" s="112"/>
    </row>
    <row r="577" ht="18.75" customHeight="1">
      <c r="C577" s="37" t="b">
        <v>0</v>
      </c>
      <c r="E577" s="112"/>
    </row>
    <row r="578" ht="18.75" customHeight="1">
      <c r="C578" s="37" t="b">
        <v>0</v>
      </c>
      <c r="E578" s="112"/>
    </row>
    <row r="579" ht="18.75" customHeight="1">
      <c r="C579" s="37" t="b">
        <v>0</v>
      </c>
      <c r="E579" s="112"/>
    </row>
    <row r="580" ht="18.75" customHeight="1">
      <c r="C580" s="37" t="b">
        <v>0</v>
      </c>
      <c r="E580" s="112"/>
    </row>
    <row r="581" ht="18.75" customHeight="1">
      <c r="C581" s="37" t="b">
        <v>0</v>
      </c>
      <c r="E581" s="112"/>
    </row>
    <row r="582" ht="18.75" customHeight="1">
      <c r="C582" s="37" t="b">
        <v>0</v>
      </c>
      <c r="E582" s="112"/>
    </row>
    <row r="583" ht="18.75" customHeight="1">
      <c r="C583" s="37" t="b">
        <v>0</v>
      </c>
      <c r="E583" s="112"/>
    </row>
    <row r="584" ht="18.75" customHeight="1">
      <c r="C584" s="37" t="b">
        <v>0</v>
      </c>
      <c r="E584" s="112"/>
    </row>
    <row r="585" ht="18.75" customHeight="1">
      <c r="C585" s="37" t="b">
        <v>0</v>
      </c>
      <c r="E585" s="112"/>
    </row>
    <row r="586" ht="18.75" customHeight="1">
      <c r="C586" s="37" t="b">
        <v>0</v>
      </c>
      <c r="E586" s="112"/>
    </row>
    <row r="587" ht="18.75" customHeight="1">
      <c r="C587" s="37" t="b">
        <v>0</v>
      </c>
      <c r="E587" s="112"/>
    </row>
    <row r="588" ht="18.75" customHeight="1">
      <c r="C588" s="37" t="b">
        <v>0</v>
      </c>
      <c r="E588" s="112"/>
    </row>
    <row r="589" ht="18.75" customHeight="1">
      <c r="C589" s="37" t="b">
        <v>0</v>
      </c>
      <c r="E589" s="112"/>
    </row>
    <row r="590" ht="18.75" customHeight="1">
      <c r="C590" s="37" t="b">
        <v>0</v>
      </c>
      <c r="E590" s="112"/>
    </row>
    <row r="591" ht="18.75" customHeight="1">
      <c r="C591" s="37" t="b">
        <v>0</v>
      </c>
      <c r="E591" s="112"/>
    </row>
    <row r="592" ht="18.75" customHeight="1">
      <c r="C592" s="37" t="b">
        <v>0</v>
      </c>
      <c r="E592" s="112"/>
    </row>
    <row r="593" ht="18.75" customHeight="1">
      <c r="C593" s="37" t="b">
        <v>0</v>
      </c>
      <c r="E593" s="112"/>
    </row>
    <row r="594" ht="18.75" customHeight="1">
      <c r="C594" s="37" t="b">
        <v>0</v>
      </c>
      <c r="E594" s="112"/>
    </row>
    <row r="595" ht="18.75" customHeight="1">
      <c r="C595" s="37" t="b">
        <v>0</v>
      </c>
      <c r="E595" s="112"/>
    </row>
    <row r="596" ht="18.75" customHeight="1">
      <c r="C596" s="37" t="b">
        <v>0</v>
      </c>
      <c r="E596" s="112"/>
    </row>
    <row r="597" ht="18.75" customHeight="1">
      <c r="C597" s="37" t="b">
        <v>0</v>
      </c>
      <c r="E597" s="112"/>
    </row>
    <row r="598" ht="18.75" customHeight="1">
      <c r="C598" s="37" t="b">
        <v>0</v>
      </c>
      <c r="E598" s="112"/>
    </row>
    <row r="599" ht="18.75" customHeight="1">
      <c r="C599" s="37" t="b">
        <v>0</v>
      </c>
      <c r="E599" s="112"/>
    </row>
    <row r="600" ht="18.75" customHeight="1">
      <c r="C600" s="37" t="b">
        <v>0</v>
      </c>
      <c r="E600" s="112"/>
    </row>
    <row r="601" ht="18.75" customHeight="1">
      <c r="C601" s="37" t="b">
        <v>0</v>
      </c>
      <c r="E601" s="112"/>
    </row>
    <row r="602" ht="18.75" customHeight="1">
      <c r="C602" s="37" t="b">
        <v>0</v>
      </c>
      <c r="E602" s="112"/>
    </row>
    <row r="603" ht="18.75" customHeight="1">
      <c r="C603" s="37" t="b">
        <v>0</v>
      </c>
      <c r="E603" s="112"/>
    </row>
    <row r="604" ht="18.75" customHeight="1">
      <c r="C604" s="37" t="b">
        <v>0</v>
      </c>
      <c r="E604" s="112"/>
    </row>
    <row r="605" ht="18.75" customHeight="1">
      <c r="C605" s="37" t="b">
        <v>0</v>
      </c>
      <c r="E605" s="112"/>
    </row>
    <row r="606" ht="18.75" customHeight="1">
      <c r="C606" s="37" t="b">
        <v>0</v>
      </c>
      <c r="E606" s="112"/>
    </row>
    <row r="607" ht="18.75" customHeight="1">
      <c r="C607" s="37" t="b">
        <v>0</v>
      </c>
      <c r="E607" s="112"/>
    </row>
    <row r="608" ht="18.75" customHeight="1">
      <c r="C608" s="37" t="b">
        <v>0</v>
      </c>
      <c r="E608" s="112"/>
    </row>
    <row r="609" ht="18.75" customHeight="1">
      <c r="C609" s="37" t="b">
        <v>0</v>
      </c>
      <c r="E609" s="112"/>
    </row>
    <row r="610" ht="18.75" customHeight="1">
      <c r="C610" s="37" t="b">
        <v>0</v>
      </c>
      <c r="E610" s="112"/>
    </row>
    <row r="611" ht="18.75" customHeight="1">
      <c r="C611" s="37" t="b">
        <v>0</v>
      </c>
      <c r="E611" s="112"/>
    </row>
    <row r="612" ht="18.75" customHeight="1">
      <c r="C612" s="37" t="b">
        <v>0</v>
      </c>
      <c r="E612" s="112"/>
    </row>
    <row r="613" ht="18.75" customHeight="1">
      <c r="C613" s="37" t="b">
        <v>0</v>
      </c>
      <c r="E613" s="112"/>
    </row>
    <row r="614" ht="18.75" customHeight="1">
      <c r="C614" s="37" t="b">
        <v>0</v>
      </c>
      <c r="E614" s="112"/>
    </row>
    <row r="615" ht="18.75" customHeight="1">
      <c r="C615" s="37" t="b">
        <v>0</v>
      </c>
      <c r="E615" s="112"/>
    </row>
    <row r="616" ht="18.75" customHeight="1">
      <c r="C616" s="37" t="b">
        <v>0</v>
      </c>
      <c r="E616" s="112"/>
    </row>
    <row r="617" ht="18.75" customHeight="1">
      <c r="C617" s="37" t="b">
        <v>0</v>
      </c>
      <c r="E617" s="112"/>
    </row>
    <row r="618" ht="18.75" customHeight="1">
      <c r="C618" s="37" t="b">
        <v>0</v>
      </c>
      <c r="E618" s="112"/>
    </row>
    <row r="619" ht="18.75" customHeight="1">
      <c r="C619" s="37" t="b">
        <v>0</v>
      </c>
      <c r="E619" s="112"/>
    </row>
    <row r="620" ht="18.75" customHeight="1">
      <c r="C620" s="37" t="b">
        <v>0</v>
      </c>
      <c r="E620" s="112"/>
    </row>
    <row r="621" ht="18.75" customHeight="1">
      <c r="C621" s="37" t="b">
        <v>0</v>
      </c>
      <c r="E621" s="112"/>
    </row>
    <row r="622" ht="18.75" customHeight="1">
      <c r="C622" s="37" t="b">
        <v>0</v>
      </c>
      <c r="E622" s="112"/>
    </row>
    <row r="623" ht="18.75" customHeight="1">
      <c r="C623" s="37" t="b">
        <v>0</v>
      </c>
      <c r="E623" s="112"/>
    </row>
    <row r="624" ht="18.75" customHeight="1">
      <c r="C624" s="37" t="b">
        <v>0</v>
      </c>
      <c r="E624" s="112"/>
    </row>
    <row r="625" ht="18.75" customHeight="1">
      <c r="C625" s="37" t="b">
        <v>0</v>
      </c>
      <c r="E625" s="112"/>
    </row>
    <row r="626" ht="18.75" customHeight="1">
      <c r="C626" s="37" t="b">
        <v>0</v>
      </c>
      <c r="E626" s="112"/>
    </row>
    <row r="627" ht="18.75" customHeight="1">
      <c r="C627" s="37" t="b">
        <v>0</v>
      </c>
      <c r="E627" s="112"/>
    </row>
    <row r="628" ht="18.75" customHeight="1">
      <c r="C628" s="37" t="b">
        <v>0</v>
      </c>
      <c r="E628" s="112"/>
    </row>
    <row r="629" ht="18.75" customHeight="1">
      <c r="C629" s="37" t="b">
        <v>0</v>
      </c>
      <c r="E629" s="112"/>
    </row>
    <row r="630" ht="18.75" customHeight="1">
      <c r="C630" s="37" t="b">
        <v>0</v>
      </c>
      <c r="E630" s="112"/>
    </row>
    <row r="631" ht="18.75" customHeight="1">
      <c r="C631" s="37" t="b">
        <v>0</v>
      </c>
      <c r="E631" s="112"/>
    </row>
    <row r="632" ht="18.75" customHeight="1">
      <c r="C632" s="37" t="b">
        <v>0</v>
      </c>
      <c r="E632" s="112"/>
    </row>
    <row r="633" ht="18.75" customHeight="1">
      <c r="C633" s="37" t="b">
        <v>0</v>
      </c>
      <c r="E633" s="112"/>
    </row>
    <row r="634" ht="18.75" customHeight="1">
      <c r="C634" s="37" t="b">
        <v>0</v>
      </c>
      <c r="E634" s="112"/>
    </row>
    <row r="635" ht="18.75" customHeight="1">
      <c r="C635" s="37" t="b">
        <v>0</v>
      </c>
      <c r="E635" s="112"/>
    </row>
    <row r="636" ht="18.75" customHeight="1">
      <c r="C636" s="37" t="b">
        <v>0</v>
      </c>
      <c r="E636" s="112"/>
    </row>
    <row r="637" ht="18.75" customHeight="1">
      <c r="C637" s="37" t="b">
        <v>0</v>
      </c>
      <c r="E637" s="112"/>
    </row>
    <row r="638" ht="18.75" customHeight="1">
      <c r="C638" s="37" t="b">
        <v>0</v>
      </c>
      <c r="E638" s="112"/>
    </row>
    <row r="639" ht="18.75" customHeight="1">
      <c r="C639" s="37" t="b">
        <v>0</v>
      </c>
      <c r="E639" s="112"/>
    </row>
    <row r="640" ht="18.75" customHeight="1">
      <c r="C640" s="37" t="b">
        <v>0</v>
      </c>
      <c r="E640" s="112"/>
    </row>
    <row r="641" ht="18.75" customHeight="1">
      <c r="C641" s="37" t="b">
        <v>0</v>
      </c>
      <c r="E641" s="112"/>
    </row>
    <row r="642" ht="18.75" customHeight="1">
      <c r="C642" s="37" t="b">
        <v>0</v>
      </c>
      <c r="E642" s="112"/>
    </row>
    <row r="643" ht="18.75" customHeight="1">
      <c r="C643" s="37" t="b">
        <v>0</v>
      </c>
      <c r="E643" s="112"/>
    </row>
    <row r="644" ht="18.75" customHeight="1">
      <c r="C644" s="37" t="b">
        <v>0</v>
      </c>
      <c r="E644" s="112"/>
    </row>
    <row r="645" ht="18.75" customHeight="1">
      <c r="C645" s="37" t="b">
        <v>0</v>
      </c>
      <c r="E645" s="112"/>
    </row>
    <row r="646" ht="18.75" customHeight="1">
      <c r="C646" s="37" t="b">
        <v>0</v>
      </c>
      <c r="E646" s="112"/>
    </row>
    <row r="647" ht="18.75" customHeight="1">
      <c r="C647" s="37" t="b">
        <v>0</v>
      </c>
      <c r="E647" s="112"/>
    </row>
    <row r="648" ht="18.75" customHeight="1">
      <c r="C648" s="37" t="b">
        <v>0</v>
      </c>
      <c r="E648" s="112"/>
    </row>
    <row r="649" ht="18.75" customHeight="1">
      <c r="C649" s="37" t="b">
        <v>0</v>
      </c>
      <c r="E649" s="112"/>
    </row>
    <row r="650" ht="18.75" customHeight="1">
      <c r="C650" s="37" t="b">
        <v>0</v>
      </c>
      <c r="E650" s="112"/>
    </row>
    <row r="651" ht="18.75" customHeight="1">
      <c r="C651" s="37" t="b">
        <v>0</v>
      </c>
      <c r="E651" s="112"/>
    </row>
    <row r="652" ht="18.75" customHeight="1">
      <c r="C652" s="37" t="b">
        <v>0</v>
      </c>
      <c r="E652" s="112"/>
    </row>
    <row r="653" ht="18.75" customHeight="1">
      <c r="C653" s="37" t="b">
        <v>0</v>
      </c>
      <c r="E653" s="112"/>
    </row>
    <row r="654" ht="18.75" customHeight="1">
      <c r="C654" s="37" t="b">
        <v>0</v>
      </c>
      <c r="E654" s="112"/>
    </row>
    <row r="655" ht="18.75" customHeight="1">
      <c r="C655" s="37" t="b">
        <v>0</v>
      </c>
      <c r="E655" s="112"/>
    </row>
    <row r="656" ht="18.75" customHeight="1">
      <c r="C656" s="37" t="b">
        <v>0</v>
      </c>
      <c r="E656" s="112"/>
    </row>
    <row r="657" ht="18.75" customHeight="1">
      <c r="C657" s="37" t="b">
        <v>0</v>
      </c>
      <c r="E657" s="112"/>
    </row>
    <row r="658" ht="18.75" customHeight="1">
      <c r="C658" s="37" t="b">
        <v>0</v>
      </c>
      <c r="E658" s="112"/>
    </row>
    <row r="659" ht="18.75" customHeight="1">
      <c r="C659" s="37" t="b">
        <v>0</v>
      </c>
      <c r="E659" s="112"/>
    </row>
    <row r="660" ht="18.75" customHeight="1">
      <c r="C660" s="37" t="b">
        <v>0</v>
      </c>
      <c r="E660" s="112"/>
    </row>
    <row r="661" ht="18.75" customHeight="1">
      <c r="C661" s="37" t="b">
        <v>0</v>
      </c>
      <c r="E661" s="112"/>
    </row>
    <row r="662" ht="18.75" customHeight="1">
      <c r="C662" s="37" t="b">
        <v>0</v>
      </c>
      <c r="E662" s="112"/>
    </row>
    <row r="663" ht="18.75" customHeight="1">
      <c r="C663" s="37" t="b">
        <v>0</v>
      </c>
      <c r="E663" s="112"/>
    </row>
    <row r="664" ht="18.75" customHeight="1">
      <c r="C664" s="37" t="b">
        <v>0</v>
      </c>
      <c r="E664" s="112"/>
    </row>
    <row r="665" ht="18.75" customHeight="1">
      <c r="C665" s="37" t="b">
        <v>0</v>
      </c>
      <c r="E665" s="112"/>
    </row>
    <row r="666" ht="18.75" customHeight="1">
      <c r="C666" s="37" t="b">
        <v>0</v>
      </c>
      <c r="E666" s="112"/>
    </row>
    <row r="667" ht="18.75" customHeight="1">
      <c r="C667" s="37" t="b">
        <v>0</v>
      </c>
      <c r="E667" s="112"/>
    </row>
    <row r="668" ht="18.75" customHeight="1">
      <c r="C668" s="37" t="b">
        <v>0</v>
      </c>
      <c r="E668" s="112"/>
    </row>
    <row r="669" ht="18.75" customHeight="1">
      <c r="C669" s="37" t="b">
        <v>0</v>
      </c>
      <c r="E669" s="112"/>
    </row>
    <row r="670" ht="18.75" customHeight="1">
      <c r="C670" s="37" t="b">
        <v>0</v>
      </c>
      <c r="E670" s="112"/>
    </row>
    <row r="671" ht="18.75" customHeight="1">
      <c r="C671" s="37" t="b">
        <v>0</v>
      </c>
      <c r="E671" s="112"/>
    </row>
    <row r="672" ht="18.75" customHeight="1">
      <c r="C672" s="37" t="b">
        <v>0</v>
      </c>
      <c r="E672" s="112"/>
    </row>
    <row r="673" ht="18.75" customHeight="1">
      <c r="C673" s="37" t="b">
        <v>0</v>
      </c>
      <c r="E673" s="112"/>
    </row>
    <row r="674" ht="18.75" customHeight="1">
      <c r="C674" s="37" t="b">
        <v>0</v>
      </c>
      <c r="E674" s="112"/>
    </row>
    <row r="675" ht="18.75" customHeight="1">
      <c r="C675" s="37" t="b">
        <v>0</v>
      </c>
      <c r="E675" s="112"/>
    </row>
    <row r="676" ht="18.75" customHeight="1">
      <c r="C676" s="37" t="b">
        <v>0</v>
      </c>
      <c r="E676" s="112"/>
    </row>
    <row r="677" ht="18.75" customHeight="1">
      <c r="C677" s="37" t="b">
        <v>0</v>
      </c>
      <c r="E677" s="112"/>
    </row>
    <row r="678" ht="18.75" customHeight="1">
      <c r="C678" s="37" t="b">
        <v>0</v>
      </c>
      <c r="E678" s="112"/>
    </row>
    <row r="679" ht="18.75" customHeight="1">
      <c r="C679" s="37" t="b">
        <v>0</v>
      </c>
      <c r="E679" s="112"/>
    </row>
    <row r="680" ht="18.75" customHeight="1">
      <c r="C680" s="37" t="b">
        <v>0</v>
      </c>
      <c r="E680" s="112"/>
    </row>
    <row r="681" ht="18.75" customHeight="1">
      <c r="C681" s="37" t="b">
        <v>0</v>
      </c>
      <c r="E681" s="112"/>
    </row>
    <row r="682" ht="18.75" customHeight="1">
      <c r="C682" s="37" t="b">
        <v>0</v>
      </c>
      <c r="E682" s="112"/>
    </row>
    <row r="683" ht="18.75" customHeight="1">
      <c r="C683" s="37" t="b">
        <v>0</v>
      </c>
      <c r="E683" s="112"/>
    </row>
    <row r="684" ht="18.75" customHeight="1">
      <c r="C684" s="37" t="b">
        <v>0</v>
      </c>
      <c r="E684" s="112"/>
    </row>
    <row r="685" ht="18.75" customHeight="1">
      <c r="C685" s="37" t="b">
        <v>0</v>
      </c>
      <c r="E685" s="112"/>
    </row>
    <row r="686" ht="18.75" customHeight="1">
      <c r="C686" s="37" t="b">
        <v>0</v>
      </c>
      <c r="E686" s="112"/>
    </row>
    <row r="687" ht="18.75" customHeight="1">
      <c r="C687" s="37" t="b">
        <v>0</v>
      </c>
      <c r="E687" s="112"/>
    </row>
    <row r="688" ht="18.75" customHeight="1">
      <c r="C688" s="37" t="b">
        <v>0</v>
      </c>
      <c r="E688" s="112"/>
    </row>
    <row r="689" ht="18.75" customHeight="1">
      <c r="C689" s="37" t="b">
        <v>0</v>
      </c>
      <c r="E689" s="112"/>
    </row>
    <row r="690" ht="18.75" customHeight="1">
      <c r="C690" s="37" t="b">
        <v>0</v>
      </c>
      <c r="E690" s="112"/>
    </row>
    <row r="691" ht="18.75" customHeight="1">
      <c r="C691" s="37" t="b">
        <v>0</v>
      </c>
      <c r="E691" s="112"/>
    </row>
    <row r="692" ht="18.75" customHeight="1">
      <c r="C692" s="37" t="b">
        <v>0</v>
      </c>
      <c r="E692" s="112"/>
    </row>
    <row r="693" ht="18.75" customHeight="1">
      <c r="C693" s="37" t="b">
        <v>0</v>
      </c>
      <c r="E693" s="112"/>
    </row>
    <row r="694" ht="18.75" customHeight="1">
      <c r="C694" s="37" t="b">
        <v>0</v>
      </c>
      <c r="E694" s="112"/>
    </row>
    <row r="695" ht="18.75" customHeight="1">
      <c r="C695" s="37" t="b">
        <v>0</v>
      </c>
      <c r="E695" s="112"/>
    </row>
    <row r="696" ht="18.75" customHeight="1">
      <c r="C696" s="37" t="b">
        <v>0</v>
      </c>
      <c r="E696" s="112"/>
    </row>
    <row r="697" ht="18.75" customHeight="1">
      <c r="C697" s="37" t="b">
        <v>0</v>
      </c>
      <c r="E697" s="112"/>
    </row>
    <row r="698" ht="18.75" customHeight="1">
      <c r="C698" s="37" t="b">
        <v>0</v>
      </c>
      <c r="E698" s="112"/>
    </row>
    <row r="699" ht="18.75" customHeight="1">
      <c r="C699" s="37" t="b">
        <v>0</v>
      </c>
      <c r="E699" s="112"/>
    </row>
    <row r="700" ht="18.75" customHeight="1">
      <c r="C700" s="37" t="b">
        <v>0</v>
      </c>
      <c r="E700" s="112"/>
    </row>
    <row r="701" ht="18.75" customHeight="1">
      <c r="C701" s="37" t="b">
        <v>0</v>
      </c>
      <c r="E701" s="112"/>
    </row>
    <row r="702" ht="18.75" customHeight="1">
      <c r="C702" s="37" t="b">
        <v>0</v>
      </c>
      <c r="E702" s="112"/>
    </row>
    <row r="703" ht="18.75" customHeight="1">
      <c r="C703" s="37" t="b">
        <v>0</v>
      </c>
      <c r="E703" s="112"/>
    </row>
    <row r="704" ht="18.75" customHeight="1">
      <c r="C704" s="37" t="b">
        <v>0</v>
      </c>
      <c r="E704" s="112"/>
    </row>
    <row r="705" ht="18.75" customHeight="1">
      <c r="C705" s="37" t="b">
        <v>0</v>
      </c>
      <c r="E705" s="112"/>
    </row>
    <row r="706" ht="18.75" customHeight="1">
      <c r="C706" s="37" t="b">
        <v>0</v>
      </c>
      <c r="E706" s="112"/>
    </row>
    <row r="707" ht="18.75" customHeight="1">
      <c r="C707" s="37" t="b">
        <v>0</v>
      </c>
      <c r="E707" s="112"/>
    </row>
    <row r="708" ht="18.75" customHeight="1">
      <c r="C708" s="37" t="b">
        <v>0</v>
      </c>
      <c r="E708" s="112"/>
    </row>
    <row r="709" ht="18.75" customHeight="1">
      <c r="C709" s="37" t="b">
        <v>0</v>
      </c>
      <c r="E709" s="112"/>
    </row>
    <row r="710" ht="18.75" customHeight="1">
      <c r="C710" s="37" t="b">
        <v>0</v>
      </c>
      <c r="E710" s="112"/>
    </row>
    <row r="711" ht="18.75" customHeight="1">
      <c r="C711" s="37" t="b">
        <v>0</v>
      </c>
      <c r="E711" s="112"/>
    </row>
    <row r="712" ht="18.75" customHeight="1">
      <c r="C712" s="37" t="b">
        <v>0</v>
      </c>
      <c r="E712" s="112"/>
    </row>
    <row r="713" ht="18.75" customHeight="1">
      <c r="C713" s="37" t="b">
        <v>0</v>
      </c>
      <c r="E713" s="112"/>
    </row>
    <row r="714" ht="18.75" customHeight="1">
      <c r="C714" s="37" t="b">
        <v>0</v>
      </c>
      <c r="E714" s="112"/>
    </row>
    <row r="715" ht="18.75" customHeight="1">
      <c r="C715" s="37" t="b">
        <v>0</v>
      </c>
      <c r="E715" s="112"/>
    </row>
    <row r="716" ht="18.75" customHeight="1">
      <c r="C716" s="37" t="b">
        <v>0</v>
      </c>
      <c r="E716" s="112"/>
    </row>
    <row r="717" ht="18.75" customHeight="1">
      <c r="C717" s="37" t="b">
        <v>0</v>
      </c>
      <c r="E717" s="112"/>
    </row>
    <row r="718" ht="18.75" customHeight="1">
      <c r="C718" s="37" t="b">
        <v>0</v>
      </c>
      <c r="E718" s="112"/>
    </row>
    <row r="719" ht="18.75" customHeight="1">
      <c r="C719" s="37" t="b">
        <v>0</v>
      </c>
      <c r="E719" s="112"/>
    </row>
    <row r="720" ht="18.75" customHeight="1">
      <c r="C720" s="37" t="b">
        <v>0</v>
      </c>
      <c r="E720" s="112"/>
    </row>
    <row r="721" ht="18.75" customHeight="1">
      <c r="C721" s="37" t="b">
        <v>0</v>
      </c>
      <c r="E721" s="112"/>
    </row>
    <row r="722" ht="18.75" customHeight="1">
      <c r="C722" s="37" t="b">
        <v>0</v>
      </c>
      <c r="E722" s="112"/>
    </row>
    <row r="723" ht="18.75" customHeight="1">
      <c r="C723" s="37" t="b">
        <v>0</v>
      </c>
      <c r="E723" s="112"/>
    </row>
    <row r="724" ht="18.75" customHeight="1">
      <c r="C724" s="37" t="b">
        <v>0</v>
      </c>
      <c r="E724" s="112"/>
    </row>
    <row r="725" ht="18.75" customHeight="1">
      <c r="C725" s="37" t="b">
        <v>0</v>
      </c>
      <c r="E725" s="112"/>
    </row>
    <row r="726" ht="18.75" customHeight="1">
      <c r="C726" s="37" t="b">
        <v>0</v>
      </c>
      <c r="E726" s="112"/>
    </row>
    <row r="727" ht="18.75" customHeight="1">
      <c r="C727" s="37" t="b">
        <v>0</v>
      </c>
      <c r="E727" s="112"/>
    </row>
    <row r="728" ht="18.75" customHeight="1">
      <c r="C728" s="37" t="b">
        <v>0</v>
      </c>
      <c r="E728" s="112"/>
    </row>
    <row r="729" ht="18.75" customHeight="1">
      <c r="C729" s="37" t="b">
        <v>0</v>
      </c>
      <c r="E729" s="112"/>
    </row>
    <row r="730" ht="18.75" customHeight="1">
      <c r="C730" s="37" t="b">
        <v>0</v>
      </c>
      <c r="E730" s="112"/>
    </row>
    <row r="731" ht="18.75" customHeight="1">
      <c r="C731" s="37" t="b">
        <v>0</v>
      </c>
      <c r="E731" s="112"/>
    </row>
    <row r="732" ht="18.75" customHeight="1">
      <c r="C732" s="37" t="b">
        <v>0</v>
      </c>
      <c r="E732" s="112"/>
    </row>
    <row r="733" ht="18.75" customHeight="1">
      <c r="C733" s="37" t="b">
        <v>0</v>
      </c>
      <c r="E733" s="112"/>
    </row>
    <row r="734" ht="18.75" customHeight="1">
      <c r="C734" s="37" t="b">
        <v>0</v>
      </c>
      <c r="E734" s="112"/>
    </row>
    <row r="735" ht="18.75" customHeight="1">
      <c r="C735" s="37" t="b">
        <v>0</v>
      </c>
      <c r="E735" s="112"/>
    </row>
    <row r="736" ht="18.75" customHeight="1">
      <c r="C736" s="37" t="b">
        <v>0</v>
      </c>
      <c r="E736" s="112"/>
    </row>
    <row r="737" ht="18.75" customHeight="1">
      <c r="C737" s="37" t="b">
        <v>0</v>
      </c>
      <c r="E737" s="112"/>
    </row>
    <row r="738" ht="18.75" customHeight="1">
      <c r="C738" s="37" t="b">
        <v>0</v>
      </c>
      <c r="E738" s="112"/>
    </row>
    <row r="739" ht="18.75" customHeight="1">
      <c r="C739" s="37" t="b">
        <v>0</v>
      </c>
      <c r="E739" s="112"/>
    </row>
    <row r="740" ht="18.75" customHeight="1">
      <c r="C740" s="37" t="b">
        <v>0</v>
      </c>
      <c r="E740" s="112"/>
    </row>
    <row r="741" ht="18.75" customHeight="1">
      <c r="C741" s="37" t="b">
        <v>0</v>
      </c>
      <c r="E741" s="112"/>
    </row>
    <row r="742" ht="18.75" customHeight="1">
      <c r="C742" s="37" t="b">
        <v>0</v>
      </c>
      <c r="E742" s="112"/>
    </row>
    <row r="743" ht="18.75" customHeight="1">
      <c r="C743" s="37" t="b">
        <v>0</v>
      </c>
      <c r="E743" s="112"/>
    </row>
    <row r="744" ht="18.75" customHeight="1">
      <c r="C744" s="37" t="b">
        <v>0</v>
      </c>
      <c r="E744" s="112"/>
    </row>
    <row r="745" ht="18.75" customHeight="1">
      <c r="C745" s="37" t="b">
        <v>0</v>
      </c>
      <c r="E745" s="112"/>
    </row>
    <row r="746" ht="18.75" customHeight="1">
      <c r="C746" s="37" t="b">
        <v>0</v>
      </c>
      <c r="E746" s="112"/>
    </row>
    <row r="747" ht="18.75" customHeight="1">
      <c r="C747" s="37" t="b">
        <v>0</v>
      </c>
      <c r="E747" s="112"/>
    </row>
    <row r="748" ht="18.75" customHeight="1">
      <c r="C748" s="37" t="b">
        <v>0</v>
      </c>
      <c r="E748" s="112"/>
    </row>
    <row r="749" ht="18.75" customHeight="1">
      <c r="C749" s="37" t="b">
        <v>0</v>
      </c>
      <c r="E749" s="112"/>
    </row>
    <row r="750" ht="18.75" customHeight="1">
      <c r="C750" s="37" t="b">
        <v>0</v>
      </c>
      <c r="E750" s="112"/>
    </row>
    <row r="751" ht="18.75" customHeight="1">
      <c r="C751" s="37" t="b">
        <v>0</v>
      </c>
      <c r="E751" s="112"/>
    </row>
    <row r="752" ht="18.75" customHeight="1">
      <c r="C752" s="37" t="b">
        <v>0</v>
      </c>
      <c r="E752" s="112"/>
    </row>
    <row r="753" ht="18.75" customHeight="1">
      <c r="C753" s="37" t="b">
        <v>0</v>
      </c>
      <c r="E753" s="112"/>
    </row>
    <row r="754" ht="18.75" customHeight="1">
      <c r="C754" s="37" t="b">
        <v>0</v>
      </c>
      <c r="E754" s="112"/>
    </row>
    <row r="755" ht="18.75" customHeight="1">
      <c r="C755" s="37" t="b">
        <v>0</v>
      </c>
      <c r="E755" s="112"/>
    </row>
    <row r="756" ht="18.75" customHeight="1">
      <c r="C756" s="37" t="b">
        <v>0</v>
      </c>
      <c r="E756" s="112"/>
    </row>
    <row r="757" ht="18.75" customHeight="1">
      <c r="C757" s="37" t="b">
        <v>0</v>
      </c>
      <c r="E757" s="112"/>
    </row>
    <row r="758" ht="18.75" customHeight="1">
      <c r="C758" s="37" t="b">
        <v>0</v>
      </c>
      <c r="E758" s="112"/>
    </row>
    <row r="759" ht="18.75" customHeight="1">
      <c r="C759" s="37" t="b">
        <v>0</v>
      </c>
      <c r="E759" s="112"/>
    </row>
    <row r="760" ht="18.75" customHeight="1">
      <c r="C760" s="37" t="b">
        <v>0</v>
      </c>
      <c r="E760" s="112"/>
    </row>
    <row r="761" ht="18.75" customHeight="1">
      <c r="C761" s="37" t="b">
        <v>0</v>
      </c>
      <c r="E761" s="112"/>
    </row>
    <row r="762" ht="18.75" customHeight="1">
      <c r="C762" s="37" t="b">
        <v>0</v>
      </c>
      <c r="E762" s="112"/>
    </row>
    <row r="763" ht="18.75" customHeight="1">
      <c r="C763" s="37" t="b">
        <v>0</v>
      </c>
      <c r="E763" s="112"/>
    </row>
    <row r="764" ht="18.75" customHeight="1">
      <c r="C764" s="37" t="b">
        <v>0</v>
      </c>
      <c r="E764" s="112"/>
    </row>
    <row r="765" ht="18.75" customHeight="1">
      <c r="C765" s="37" t="b">
        <v>0</v>
      </c>
      <c r="E765" s="112"/>
    </row>
    <row r="766" ht="18.75" customHeight="1">
      <c r="C766" s="37" t="b">
        <v>0</v>
      </c>
      <c r="E766" s="112"/>
    </row>
    <row r="767" ht="18.75" customHeight="1">
      <c r="C767" s="37" t="b">
        <v>0</v>
      </c>
      <c r="E767" s="112"/>
    </row>
    <row r="768" ht="18.75" customHeight="1">
      <c r="C768" s="37" t="b">
        <v>0</v>
      </c>
      <c r="E768" s="112"/>
    </row>
    <row r="769" ht="18.75" customHeight="1">
      <c r="C769" s="37" t="b">
        <v>0</v>
      </c>
      <c r="E769" s="112"/>
    </row>
    <row r="770" ht="18.75" customHeight="1">
      <c r="C770" s="37" t="b">
        <v>0</v>
      </c>
      <c r="E770" s="112"/>
    </row>
    <row r="771" ht="18.75" customHeight="1">
      <c r="C771" s="37" t="b">
        <v>0</v>
      </c>
      <c r="E771" s="112"/>
    </row>
    <row r="772" ht="18.75" customHeight="1">
      <c r="C772" s="37" t="b">
        <v>0</v>
      </c>
      <c r="E772" s="112"/>
    </row>
    <row r="773" ht="18.75" customHeight="1">
      <c r="C773" s="37" t="b">
        <v>0</v>
      </c>
      <c r="E773" s="112"/>
    </row>
    <row r="774" ht="18.75" customHeight="1">
      <c r="C774" s="37" t="b">
        <v>0</v>
      </c>
      <c r="E774" s="112"/>
    </row>
    <row r="775" ht="18.75" customHeight="1">
      <c r="C775" s="37" t="b">
        <v>0</v>
      </c>
      <c r="E775" s="112"/>
    </row>
    <row r="776" ht="18.75" customHeight="1">
      <c r="C776" s="37" t="b">
        <v>0</v>
      </c>
      <c r="E776" s="112"/>
    </row>
    <row r="777" ht="18.75" customHeight="1">
      <c r="C777" s="37" t="b">
        <v>0</v>
      </c>
      <c r="E777" s="112"/>
    </row>
    <row r="778" ht="18.75" customHeight="1">
      <c r="C778" s="37" t="b">
        <v>0</v>
      </c>
      <c r="E778" s="112"/>
    </row>
    <row r="779" ht="18.75" customHeight="1">
      <c r="C779" s="37" t="b">
        <v>0</v>
      </c>
      <c r="E779" s="112"/>
    </row>
    <row r="780" ht="18.75" customHeight="1">
      <c r="C780" s="37" t="b">
        <v>0</v>
      </c>
      <c r="E780" s="112"/>
    </row>
    <row r="781" ht="18.75" customHeight="1">
      <c r="C781" s="37" t="b">
        <v>0</v>
      </c>
      <c r="E781" s="112"/>
    </row>
    <row r="782" ht="18.75" customHeight="1">
      <c r="C782" s="37" t="b">
        <v>0</v>
      </c>
      <c r="E782" s="112"/>
    </row>
    <row r="783" ht="18.75" customHeight="1">
      <c r="C783" s="37" t="b">
        <v>0</v>
      </c>
      <c r="E783" s="112"/>
    </row>
    <row r="784" ht="18.75" customHeight="1">
      <c r="C784" s="37" t="b">
        <v>0</v>
      </c>
      <c r="E784" s="112"/>
    </row>
    <row r="785" ht="18.75" customHeight="1">
      <c r="C785" s="37" t="b">
        <v>0</v>
      </c>
      <c r="E785" s="112"/>
    </row>
    <row r="786" ht="18.75" customHeight="1">
      <c r="C786" s="37" t="b">
        <v>0</v>
      </c>
      <c r="E786" s="112"/>
    </row>
    <row r="787" ht="18.75" customHeight="1">
      <c r="C787" s="37" t="b">
        <v>0</v>
      </c>
      <c r="E787" s="112"/>
    </row>
    <row r="788" ht="18.75" customHeight="1">
      <c r="C788" s="37" t="b">
        <v>0</v>
      </c>
      <c r="E788" s="112"/>
    </row>
    <row r="789" ht="18.75" customHeight="1">
      <c r="C789" s="37" t="b">
        <v>0</v>
      </c>
      <c r="E789" s="112"/>
    </row>
    <row r="790" ht="18.75" customHeight="1">
      <c r="C790" s="37" t="b">
        <v>0</v>
      </c>
      <c r="E790" s="112"/>
    </row>
    <row r="791" ht="18.75" customHeight="1">
      <c r="C791" s="37" t="b">
        <v>0</v>
      </c>
      <c r="E791" s="112"/>
    </row>
    <row r="792" ht="18.75" customHeight="1">
      <c r="C792" s="37" t="b">
        <v>0</v>
      </c>
      <c r="E792" s="112"/>
    </row>
    <row r="793" ht="18.75" customHeight="1">
      <c r="C793" s="37" t="b">
        <v>0</v>
      </c>
      <c r="E793" s="112"/>
    </row>
    <row r="794" ht="18.75" customHeight="1">
      <c r="C794" s="37" t="b">
        <v>0</v>
      </c>
      <c r="E794" s="112"/>
    </row>
    <row r="795" ht="18.75" customHeight="1">
      <c r="C795" s="37" t="b">
        <v>0</v>
      </c>
      <c r="E795" s="112"/>
    </row>
    <row r="796" ht="18.75" customHeight="1">
      <c r="C796" s="37" t="b">
        <v>0</v>
      </c>
      <c r="E796" s="112"/>
    </row>
    <row r="797" ht="18.75" customHeight="1">
      <c r="C797" s="37" t="b">
        <v>0</v>
      </c>
      <c r="E797" s="112"/>
    </row>
    <row r="798" ht="18.75" customHeight="1">
      <c r="C798" s="37" t="b">
        <v>0</v>
      </c>
      <c r="E798" s="112"/>
    </row>
    <row r="799" ht="18.75" customHeight="1">
      <c r="C799" s="37" t="b">
        <v>0</v>
      </c>
      <c r="E799" s="112"/>
    </row>
    <row r="800" ht="18.75" customHeight="1">
      <c r="C800" s="37" t="b">
        <v>0</v>
      </c>
      <c r="E800" s="112"/>
    </row>
    <row r="801" ht="18.75" customHeight="1">
      <c r="C801" s="37" t="b">
        <v>0</v>
      </c>
      <c r="E801" s="112"/>
    </row>
    <row r="802" ht="18.75" customHeight="1">
      <c r="C802" s="37" t="b">
        <v>0</v>
      </c>
      <c r="E802" s="112"/>
    </row>
    <row r="803" ht="18.75" customHeight="1">
      <c r="C803" s="37" t="b">
        <v>0</v>
      </c>
      <c r="E803" s="112"/>
    </row>
    <row r="804" ht="18.75" customHeight="1">
      <c r="C804" s="37" t="b">
        <v>0</v>
      </c>
      <c r="E804" s="112"/>
    </row>
    <row r="805" ht="18.75" customHeight="1">
      <c r="C805" s="37" t="b">
        <v>0</v>
      </c>
      <c r="E805" s="112"/>
    </row>
    <row r="806" ht="18.75" customHeight="1">
      <c r="C806" s="37" t="b">
        <v>0</v>
      </c>
      <c r="E806" s="112"/>
    </row>
    <row r="807" ht="18.75" customHeight="1">
      <c r="C807" s="37" t="b">
        <v>0</v>
      </c>
      <c r="E807" s="112"/>
    </row>
    <row r="808" ht="18.75" customHeight="1">
      <c r="C808" s="37" t="b">
        <v>0</v>
      </c>
      <c r="E808" s="112"/>
    </row>
    <row r="809" ht="18.75" customHeight="1">
      <c r="C809" s="37" t="b">
        <v>0</v>
      </c>
      <c r="E809" s="112"/>
    </row>
    <row r="810" ht="18.75" customHeight="1">
      <c r="C810" s="37" t="b">
        <v>0</v>
      </c>
      <c r="E810" s="112"/>
    </row>
    <row r="811" ht="18.75" customHeight="1">
      <c r="C811" s="37" t="b">
        <v>0</v>
      </c>
      <c r="E811" s="112"/>
    </row>
    <row r="812" ht="18.75" customHeight="1">
      <c r="C812" s="37" t="b">
        <v>0</v>
      </c>
      <c r="E812" s="112"/>
    </row>
    <row r="813" ht="18.75" customHeight="1">
      <c r="C813" s="37" t="b">
        <v>0</v>
      </c>
      <c r="E813" s="112"/>
    </row>
    <row r="814" ht="18.75" customHeight="1">
      <c r="C814" s="37" t="b">
        <v>0</v>
      </c>
      <c r="E814" s="112"/>
    </row>
    <row r="815" ht="18.75" customHeight="1">
      <c r="C815" s="37" t="b">
        <v>0</v>
      </c>
      <c r="E815" s="112"/>
    </row>
    <row r="816" ht="18.75" customHeight="1">
      <c r="C816" s="37" t="b">
        <v>0</v>
      </c>
      <c r="E816" s="112"/>
    </row>
    <row r="817" ht="18.75" customHeight="1">
      <c r="C817" s="37" t="b">
        <v>0</v>
      </c>
      <c r="E817" s="112"/>
    </row>
    <row r="818" ht="18.75" customHeight="1">
      <c r="C818" s="37" t="b">
        <v>0</v>
      </c>
      <c r="E818" s="112"/>
    </row>
    <row r="819" ht="18.75" customHeight="1">
      <c r="C819" s="37" t="b">
        <v>0</v>
      </c>
      <c r="E819" s="112"/>
    </row>
    <row r="820" ht="18.75" customHeight="1">
      <c r="C820" s="37" t="b">
        <v>0</v>
      </c>
      <c r="E820" s="112"/>
    </row>
    <row r="821" ht="18.75" customHeight="1">
      <c r="C821" s="37" t="b">
        <v>0</v>
      </c>
      <c r="E821" s="112"/>
    </row>
    <row r="822" ht="18.75" customHeight="1">
      <c r="C822" s="37" t="b">
        <v>0</v>
      </c>
      <c r="E822" s="112"/>
    </row>
    <row r="823" ht="18.75" customHeight="1">
      <c r="C823" s="37" t="b">
        <v>0</v>
      </c>
      <c r="E823" s="112"/>
    </row>
    <row r="824" ht="18.75" customHeight="1">
      <c r="C824" s="37" t="b">
        <v>0</v>
      </c>
      <c r="E824" s="112"/>
    </row>
    <row r="825" ht="18.75" customHeight="1">
      <c r="C825" s="37" t="b">
        <v>0</v>
      </c>
      <c r="E825" s="112"/>
    </row>
    <row r="826" ht="18.75" customHeight="1">
      <c r="C826" s="37" t="b">
        <v>0</v>
      </c>
      <c r="E826" s="112"/>
    </row>
    <row r="827" ht="18.75" customHeight="1">
      <c r="C827" s="37" t="b">
        <v>0</v>
      </c>
      <c r="E827" s="112"/>
    </row>
    <row r="828" ht="18.75" customHeight="1">
      <c r="C828" s="37" t="b">
        <v>0</v>
      </c>
      <c r="E828" s="112"/>
    </row>
    <row r="829" ht="18.75" customHeight="1">
      <c r="C829" s="37" t="b">
        <v>0</v>
      </c>
      <c r="E829" s="112"/>
    </row>
    <row r="830" ht="18.75" customHeight="1">
      <c r="C830" s="37" t="b">
        <v>0</v>
      </c>
      <c r="E830" s="112"/>
    </row>
    <row r="831" ht="18.75" customHeight="1">
      <c r="C831" s="37" t="b">
        <v>0</v>
      </c>
      <c r="E831" s="112"/>
    </row>
    <row r="832" ht="18.75" customHeight="1">
      <c r="C832" s="37" t="b">
        <v>0</v>
      </c>
      <c r="E832" s="112"/>
    </row>
    <row r="833" ht="18.75" customHeight="1">
      <c r="C833" s="37" t="b">
        <v>0</v>
      </c>
      <c r="E833" s="112"/>
    </row>
    <row r="834" ht="18.75" customHeight="1">
      <c r="C834" s="37" t="b">
        <v>0</v>
      </c>
      <c r="E834" s="112"/>
    </row>
    <row r="835" ht="18.75" customHeight="1">
      <c r="C835" s="37" t="b">
        <v>0</v>
      </c>
      <c r="E835" s="112"/>
    </row>
    <row r="836" ht="18.75" customHeight="1">
      <c r="C836" s="37" t="b">
        <v>0</v>
      </c>
      <c r="E836" s="112"/>
    </row>
    <row r="837" ht="18.75" customHeight="1">
      <c r="C837" s="37" t="b">
        <v>0</v>
      </c>
      <c r="E837" s="112"/>
    </row>
    <row r="838" ht="18.75" customHeight="1">
      <c r="C838" s="37" t="b">
        <v>0</v>
      </c>
      <c r="E838" s="112"/>
    </row>
    <row r="839" ht="18.75" customHeight="1">
      <c r="C839" s="37" t="b">
        <v>0</v>
      </c>
      <c r="E839" s="112"/>
    </row>
    <row r="840" ht="18.75" customHeight="1">
      <c r="C840" s="37" t="b">
        <v>0</v>
      </c>
      <c r="E840" s="112"/>
    </row>
    <row r="841" ht="18.75" customHeight="1">
      <c r="C841" s="37" t="b">
        <v>0</v>
      </c>
      <c r="E841" s="112"/>
    </row>
    <row r="842" ht="18.75" customHeight="1">
      <c r="C842" s="37" t="b">
        <v>0</v>
      </c>
      <c r="E842" s="112"/>
    </row>
    <row r="843" ht="18.75" customHeight="1">
      <c r="C843" s="37" t="b">
        <v>0</v>
      </c>
      <c r="E843" s="112"/>
    </row>
    <row r="844" ht="18.75" customHeight="1">
      <c r="C844" s="37" t="b">
        <v>0</v>
      </c>
      <c r="E844" s="112"/>
    </row>
    <row r="845" ht="18.75" customHeight="1">
      <c r="C845" s="37" t="b">
        <v>0</v>
      </c>
      <c r="E845" s="112"/>
    </row>
    <row r="846" ht="18.75" customHeight="1">
      <c r="C846" s="37" t="b">
        <v>0</v>
      </c>
      <c r="E846" s="112"/>
    </row>
    <row r="847" ht="18.75" customHeight="1">
      <c r="C847" s="37" t="b">
        <v>0</v>
      </c>
      <c r="E847" s="112"/>
    </row>
    <row r="848" ht="18.75" customHeight="1">
      <c r="C848" s="37" t="b">
        <v>0</v>
      </c>
      <c r="E848" s="112"/>
    </row>
    <row r="849" ht="18.75" customHeight="1">
      <c r="C849" s="37" t="b">
        <v>0</v>
      </c>
      <c r="E849" s="112"/>
    </row>
    <row r="850" ht="18.75" customHeight="1">
      <c r="C850" s="37" t="b">
        <v>0</v>
      </c>
      <c r="E850" s="112"/>
    </row>
    <row r="851" ht="18.75" customHeight="1">
      <c r="C851" s="37" t="b">
        <v>0</v>
      </c>
      <c r="E851" s="112"/>
    </row>
    <row r="852" ht="18.75" customHeight="1">
      <c r="C852" s="37" t="b">
        <v>0</v>
      </c>
      <c r="E852" s="112"/>
    </row>
    <row r="853" ht="18.75" customHeight="1">
      <c r="C853" s="37" t="b">
        <v>0</v>
      </c>
      <c r="E853" s="112"/>
    </row>
    <row r="854" ht="18.75" customHeight="1">
      <c r="C854" s="37" t="b">
        <v>0</v>
      </c>
      <c r="E854" s="112"/>
    </row>
    <row r="855" ht="18.75" customHeight="1">
      <c r="C855" s="37" t="b">
        <v>0</v>
      </c>
      <c r="E855" s="112"/>
    </row>
    <row r="856" ht="18.75" customHeight="1">
      <c r="C856" s="37" t="b">
        <v>0</v>
      </c>
      <c r="E856" s="112"/>
    </row>
    <row r="857" ht="18.75" customHeight="1">
      <c r="C857" s="37" t="b">
        <v>0</v>
      </c>
      <c r="E857" s="112"/>
    </row>
    <row r="858" ht="18.75" customHeight="1">
      <c r="C858" s="37" t="b">
        <v>0</v>
      </c>
      <c r="E858" s="112"/>
    </row>
    <row r="859" ht="18.75" customHeight="1">
      <c r="C859" s="37" t="b">
        <v>0</v>
      </c>
      <c r="E859" s="112"/>
    </row>
    <row r="860" ht="18.75" customHeight="1">
      <c r="C860" s="37" t="b">
        <v>0</v>
      </c>
      <c r="E860" s="112"/>
    </row>
    <row r="861" ht="18.75" customHeight="1">
      <c r="C861" s="37" t="b">
        <v>0</v>
      </c>
      <c r="E861" s="112"/>
    </row>
    <row r="862" ht="18.75" customHeight="1">
      <c r="C862" s="37" t="b">
        <v>0</v>
      </c>
      <c r="E862" s="112"/>
    </row>
    <row r="863" ht="18.75" customHeight="1">
      <c r="C863" s="37" t="b">
        <v>0</v>
      </c>
      <c r="E863" s="112"/>
    </row>
    <row r="864" ht="18.75" customHeight="1">
      <c r="C864" s="37" t="b">
        <v>0</v>
      </c>
      <c r="E864" s="112"/>
    </row>
    <row r="865" ht="18.75" customHeight="1">
      <c r="C865" s="37" t="b">
        <v>0</v>
      </c>
      <c r="E865" s="112"/>
    </row>
    <row r="866" ht="18.75" customHeight="1">
      <c r="C866" s="37" t="b">
        <v>0</v>
      </c>
      <c r="E866" s="112"/>
    </row>
    <row r="867" ht="18.75" customHeight="1">
      <c r="C867" s="37" t="b">
        <v>0</v>
      </c>
      <c r="E867" s="112"/>
    </row>
    <row r="868" ht="18.75" customHeight="1">
      <c r="C868" s="37" t="b">
        <v>0</v>
      </c>
      <c r="E868" s="112"/>
    </row>
    <row r="869" ht="18.75" customHeight="1">
      <c r="C869" s="37" t="b">
        <v>0</v>
      </c>
      <c r="E869" s="112"/>
    </row>
    <row r="870" ht="18.75" customHeight="1">
      <c r="C870" s="37" t="b">
        <v>0</v>
      </c>
      <c r="E870" s="112"/>
    </row>
    <row r="871" ht="18.75" customHeight="1">
      <c r="C871" s="37" t="b">
        <v>0</v>
      </c>
      <c r="E871" s="112"/>
    </row>
    <row r="872" ht="18.75" customHeight="1">
      <c r="C872" s="37" t="b">
        <v>0</v>
      </c>
      <c r="E872" s="112"/>
    </row>
    <row r="873" ht="18.75" customHeight="1">
      <c r="C873" s="37" t="b">
        <v>0</v>
      </c>
      <c r="E873" s="112"/>
    </row>
    <row r="874" ht="18.75" customHeight="1">
      <c r="C874" s="37" t="b">
        <v>0</v>
      </c>
      <c r="E874" s="112"/>
    </row>
    <row r="875" ht="18.75" customHeight="1">
      <c r="C875" s="37" t="b">
        <v>0</v>
      </c>
      <c r="E875" s="112"/>
    </row>
    <row r="876" ht="18.75" customHeight="1">
      <c r="C876" s="37" t="b">
        <v>0</v>
      </c>
      <c r="E876" s="112"/>
    </row>
    <row r="877" ht="18.75" customHeight="1">
      <c r="C877" s="37" t="b">
        <v>0</v>
      </c>
      <c r="E877" s="112"/>
    </row>
    <row r="878" ht="18.75" customHeight="1">
      <c r="C878" s="37" t="b">
        <v>0</v>
      </c>
      <c r="E878" s="112"/>
    </row>
    <row r="879" ht="18.75" customHeight="1">
      <c r="C879" s="37" t="b">
        <v>0</v>
      </c>
      <c r="E879" s="112"/>
    </row>
    <row r="880" ht="18.75" customHeight="1">
      <c r="C880" s="37" t="b">
        <v>0</v>
      </c>
      <c r="E880" s="112"/>
    </row>
    <row r="881" ht="18.75" customHeight="1">
      <c r="C881" s="37" t="b">
        <v>0</v>
      </c>
      <c r="E881" s="112"/>
    </row>
    <row r="882" ht="18.75" customHeight="1">
      <c r="C882" s="37" t="b">
        <v>0</v>
      </c>
      <c r="E882" s="112"/>
    </row>
    <row r="883" ht="18.75" customHeight="1">
      <c r="C883" s="37" t="b">
        <v>0</v>
      </c>
      <c r="E883" s="112"/>
    </row>
    <row r="884" ht="18.75" customHeight="1">
      <c r="C884" s="37" t="b">
        <v>0</v>
      </c>
      <c r="E884" s="112"/>
    </row>
    <row r="885" ht="18.75" customHeight="1">
      <c r="C885" s="37" t="b">
        <v>0</v>
      </c>
      <c r="E885" s="112"/>
    </row>
    <row r="886" ht="18.75" customHeight="1">
      <c r="C886" s="37" t="b">
        <v>0</v>
      </c>
      <c r="E886" s="112"/>
    </row>
    <row r="887" ht="18.75" customHeight="1">
      <c r="C887" s="37" t="b">
        <v>0</v>
      </c>
      <c r="E887" s="112"/>
    </row>
    <row r="888" ht="18.75" customHeight="1">
      <c r="C888" s="37" t="b">
        <v>0</v>
      </c>
      <c r="E888" s="112"/>
    </row>
    <row r="889" ht="18.75" customHeight="1">
      <c r="C889" s="37" t="b">
        <v>0</v>
      </c>
      <c r="E889" s="112"/>
    </row>
    <row r="890" ht="18.75" customHeight="1">
      <c r="C890" s="37" t="b">
        <v>0</v>
      </c>
      <c r="E890" s="112"/>
    </row>
    <row r="891" ht="18.75" customHeight="1">
      <c r="C891" s="37" t="b">
        <v>0</v>
      </c>
      <c r="E891" s="112"/>
    </row>
    <row r="892" ht="18.75" customHeight="1">
      <c r="C892" s="37" t="b">
        <v>0</v>
      </c>
      <c r="E892" s="112"/>
    </row>
    <row r="893" ht="18.75" customHeight="1">
      <c r="C893" s="37" t="b">
        <v>0</v>
      </c>
      <c r="E893" s="112"/>
    </row>
    <row r="894" ht="18.75" customHeight="1">
      <c r="C894" s="37" t="b">
        <v>0</v>
      </c>
      <c r="E894" s="112"/>
    </row>
    <row r="895" ht="18.75" customHeight="1">
      <c r="C895" s="37" t="b">
        <v>0</v>
      </c>
      <c r="E895" s="112"/>
    </row>
    <row r="896" ht="18.75" customHeight="1">
      <c r="C896" s="37" t="b">
        <v>0</v>
      </c>
      <c r="E896" s="112"/>
    </row>
    <row r="897" ht="18.75" customHeight="1">
      <c r="C897" s="37" t="b">
        <v>0</v>
      </c>
      <c r="E897" s="112"/>
    </row>
    <row r="898" ht="18.75" customHeight="1">
      <c r="C898" s="37" t="b">
        <v>0</v>
      </c>
      <c r="E898" s="112"/>
    </row>
    <row r="899" ht="18.75" customHeight="1">
      <c r="C899" s="37" t="b">
        <v>0</v>
      </c>
      <c r="E899" s="112"/>
    </row>
    <row r="900" ht="18.75" customHeight="1">
      <c r="C900" s="37" t="b">
        <v>0</v>
      </c>
      <c r="E900" s="112"/>
    </row>
    <row r="901" ht="18.75" customHeight="1">
      <c r="C901" s="37" t="b">
        <v>0</v>
      </c>
      <c r="E901" s="112"/>
    </row>
    <row r="902" ht="18.75" customHeight="1">
      <c r="C902" s="37" t="b">
        <v>0</v>
      </c>
      <c r="E902" s="112"/>
    </row>
    <row r="903" ht="18.75" customHeight="1">
      <c r="C903" s="37" t="b">
        <v>0</v>
      </c>
      <c r="E903" s="112"/>
    </row>
    <row r="904" ht="18.75" customHeight="1">
      <c r="C904" s="37" t="b">
        <v>0</v>
      </c>
      <c r="E904" s="112"/>
    </row>
    <row r="905" ht="18.75" customHeight="1">
      <c r="C905" s="37" t="b">
        <v>0</v>
      </c>
      <c r="E905" s="112"/>
    </row>
    <row r="906" ht="18.75" customHeight="1">
      <c r="C906" s="37" t="b">
        <v>0</v>
      </c>
      <c r="E906" s="112"/>
    </row>
    <row r="907" ht="18.75" customHeight="1">
      <c r="C907" s="37" t="b">
        <v>0</v>
      </c>
      <c r="E907" s="112"/>
    </row>
    <row r="908" ht="18.75" customHeight="1">
      <c r="C908" s="37" t="b">
        <v>0</v>
      </c>
      <c r="E908" s="112"/>
    </row>
    <row r="909" ht="18.75" customHeight="1">
      <c r="C909" s="37" t="b">
        <v>0</v>
      </c>
      <c r="E909" s="112"/>
    </row>
    <row r="910" ht="18.75" customHeight="1">
      <c r="C910" s="37" t="b">
        <v>0</v>
      </c>
      <c r="E910" s="112"/>
    </row>
    <row r="911" ht="18.75" customHeight="1">
      <c r="C911" s="37" t="b">
        <v>0</v>
      </c>
      <c r="E911" s="112"/>
    </row>
    <row r="912" ht="18.75" customHeight="1">
      <c r="C912" s="37" t="b">
        <v>0</v>
      </c>
      <c r="E912" s="112"/>
    </row>
    <row r="913" ht="18.75" customHeight="1">
      <c r="C913" s="37" t="b">
        <v>0</v>
      </c>
      <c r="E913" s="112"/>
    </row>
    <row r="914" ht="18.75" customHeight="1">
      <c r="C914" s="37" t="b">
        <v>0</v>
      </c>
      <c r="E914" s="112"/>
    </row>
    <row r="915" ht="18.75" customHeight="1">
      <c r="C915" s="37" t="b">
        <v>0</v>
      </c>
      <c r="E915" s="112"/>
    </row>
    <row r="916" ht="18.75" customHeight="1">
      <c r="C916" s="37" t="b">
        <v>0</v>
      </c>
      <c r="E916" s="112"/>
    </row>
    <row r="917" ht="18.75" customHeight="1">
      <c r="C917" s="37" t="b">
        <v>0</v>
      </c>
      <c r="E917" s="112"/>
    </row>
    <row r="918" ht="18.75" customHeight="1">
      <c r="C918" s="37" t="b">
        <v>0</v>
      </c>
      <c r="E918" s="112"/>
    </row>
    <row r="919" ht="18.75" customHeight="1">
      <c r="C919" s="37" t="b">
        <v>0</v>
      </c>
      <c r="E919" s="112"/>
    </row>
    <row r="920" ht="18.75" customHeight="1">
      <c r="C920" s="37" t="b">
        <v>0</v>
      </c>
      <c r="E920" s="112"/>
    </row>
    <row r="921" ht="18.75" customHeight="1">
      <c r="C921" s="37" t="b">
        <v>0</v>
      </c>
      <c r="E921" s="112"/>
    </row>
    <row r="922" ht="18.75" customHeight="1">
      <c r="C922" s="37" t="b">
        <v>0</v>
      </c>
      <c r="E922" s="112"/>
    </row>
    <row r="923" ht="18.75" customHeight="1">
      <c r="C923" s="37" t="b">
        <v>0</v>
      </c>
      <c r="E923" s="112"/>
    </row>
    <row r="924" ht="18.75" customHeight="1">
      <c r="C924" s="37" t="b">
        <v>0</v>
      </c>
      <c r="E924" s="112"/>
    </row>
    <row r="925" ht="18.75" customHeight="1">
      <c r="C925" s="37" t="b">
        <v>0</v>
      </c>
      <c r="E925" s="112"/>
    </row>
    <row r="926" ht="18.75" customHeight="1">
      <c r="C926" s="37" t="b">
        <v>0</v>
      </c>
      <c r="E926" s="112"/>
    </row>
    <row r="927" ht="18.75" customHeight="1">
      <c r="C927" s="37" t="b">
        <v>0</v>
      </c>
      <c r="E927" s="112"/>
    </row>
    <row r="928" ht="18.75" customHeight="1">
      <c r="C928" s="37" t="b">
        <v>0</v>
      </c>
      <c r="E928" s="112"/>
    </row>
    <row r="929" ht="18.75" customHeight="1">
      <c r="C929" s="37" t="b">
        <v>0</v>
      </c>
      <c r="E929" s="112"/>
    </row>
    <row r="930" ht="18.75" customHeight="1">
      <c r="C930" s="37" t="b">
        <v>0</v>
      </c>
      <c r="E930" s="112"/>
    </row>
    <row r="931" ht="18.75" customHeight="1">
      <c r="C931" s="37" t="b">
        <v>0</v>
      </c>
      <c r="E931" s="112"/>
    </row>
    <row r="932" ht="18.75" customHeight="1">
      <c r="C932" s="37" t="b">
        <v>0</v>
      </c>
      <c r="E932" s="112"/>
    </row>
    <row r="933" ht="18.75" customHeight="1">
      <c r="C933" s="37" t="b">
        <v>0</v>
      </c>
      <c r="E933" s="112"/>
    </row>
    <row r="934" ht="18.75" customHeight="1">
      <c r="C934" s="37" t="b">
        <v>0</v>
      </c>
      <c r="E934" s="112"/>
    </row>
    <row r="935" ht="18.75" customHeight="1">
      <c r="C935" s="37" t="b">
        <v>0</v>
      </c>
      <c r="E935" s="112"/>
    </row>
    <row r="936" ht="18.75" customHeight="1">
      <c r="C936" s="37" t="b">
        <v>0</v>
      </c>
      <c r="E936" s="112"/>
    </row>
    <row r="937" ht="18.75" customHeight="1">
      <c r="C937" s="37" t="b">
        <v>0</v>
      </c>
      <c r="E937" s="112"/>
    </row>
    <row r="938" ht="18.75" customHeight="1">
      <c r="C938" s="37" t="b">
        <v>0</v>
      </c>
      <c r="E938" s="112"/>
    </row>
    <row r="939" ht="18.75" customHeight="1">
      <c r="C939" s="37" t="b">
        <v>0</v>
      </c>
      <c r="E939" s="112"/>
    </row>
    <row r="940" ht="18.75" customHeight="1">
      <c r="C940" s="37" t="b">
        <v>0</v>
      </c>
      <c r="E940" s="112"/>
    </row>
    <row r="941" ht="18.75" customHeight="1">
      <c r="C941" s="37" t="b">
        <v>0</v>
      </c>
      <c r="E941" s="112"/>
    </row>
    <row r="942" ht="18.75" customHeight="1">
      <c r="C942" s="37" t="b">
        <v>0</v>
      </c>
      <c r="E942" s="112"/>
    </row>
    <row r="943" ht="18.75" customHeight="1">
      <c r="C943" s="37" t="b">
        <v>0</v>
      </c>
      <c r="E943" s="112"/>
    </row>
    <row r="944" ht="18.75" customHeight="1">
      <c r="C944" s="37" t="b">
        <v>0</v>
      </c>
      <c r="E944" s="112"/>
    </row>
    <row r="945" ht="18.75" customHeight="1">
      <c r="C945" s="37" t="b">
        <v>0</v>
      </c>
      <c r="E945" s="112"/>
    </row>
    <row r="946" ht="18.75" customHeight="1">
      <c r="C946" s="37" t="b">
        <v>0</v>
      </c>
      <c r="E946" s="112"/>
    </row>
    <row r="947" ht="18.75" customHeight="1">
      <c r="C947" s="37" t="b">
        <v>0</v>
      </c>
      <c r="E947" s="112"/>
    </row>
    <row r="948" ht="18.75" customHeight="1">
      <c r="C948" s="37" t="b">
        <v>0</v>
      </c>
      <c r="E948" s="112"/>
    </row>
    <row r="949" ht="18.75" customHeight="1">
      <c r="C949" s="37" t="b">
        <v>0</v>
      </c>
      <c r="E949" s="112"/>
    </row>
    <row r="950" ht="18.75" customHeight="1">
      <c r="C950" s="37" t="b">
        <v>0</v>
      </c>
      <c r="E950" s="112"/>
    </row>
    <row r="951" ht="18.75" customHeight="1">
      <c r="C951" s="37" t="b">
        <v>0</v>
      </c>
      <c r="E951" s="112"/>
    </row>
    <row r="952" ht="18.75" customHeight="1">
      <c r="C952" s="37" t="b">
        <v>0</v>
      </c>
      <c r="E952" s="112"/>
    </row>
    <row r="953" ht="18.75" customHeight="1">
      <c r="C953" s="37" t="b">
        <v>0</v>
      </c>
      <c r="E953" s="112"/>
    </row>
    <row r="954" ht="18.75" customHeight="1">
      <c r="C954" s="37" t="b">
        <v>0</v>
      </c>
      <c r="E954" s="112"/>
    </row>
    <row r="955" ht="18.75" customHeight="1">
      <c r="C955" s="37" t="b">
        <v>0</v>
      </c>
      <c r="E955" s="112"/>
    </row>
    <row r="956" ht="18.75" customHeight="1">
      <c r="C956" s="37" t="b">
        <v>0</v>
      </c>
      <c r="E956" s="112"/>
    </row>
    <row r="957" ht="18.75" customHeight="1">
      <c r="C957" s="37" t="b">
        <v>0</v>
      </c>
      <c r="E957" s="112"/>
    </row>
    <row r="958" ht="18.75" customHeight="1">
      <c r="C958" s="37" t="b">
        <v>0</v>
      </c>
      <c r="E958" s="112"/>
    </row>
    <row r="959" ht="18.75" customHeight="1">
      <c r="C959" s="37" t="b">
        <v>0</v>
      </c>
      <c r="E959" s="112"/>
    </row>
    <row r="960" ht="18.75" customHeight="1">
      <c r="C960" s="37" t="b">
        <v>0</v>
      </c>
      <c r="E960" s="112"/>
    </row>
    <row r="961" ht="18.75" customHeight="1">
      <c r="C961" s="37" t="b">
        <v>0</v>
      </c>
      <c r="E961" s="112"/>
    </row>
    <row r="962" ht="18.75" customHeight="1">
      <c r="C962" s="37" t="b">
        <v>0</v>
      </c>
      <c r="E962" s="112"/>
    </row>
    <row r="963" ht="18.75" customHeight="1">
      <c r="C963" s="37" t="b">
        <v>0</v>
      </c>
      <c r="E963" s="112"/>
    </row>
    <row r="964" ht="18.75" customHeight="1">
      <c r="C964" s="37" t="b">
        <v>0</v>
      </c>
      <c r="E964" s="112"/>
    </row>
    <row r="965" ht="18.75" customHeight="1">
      <c r="C965" s="37" t="b">
        <v>0</v>
      </c>
      <c r="E965" s="112"/>
    </row>
    <row r="966" ht="18.75" customHeight="1">
      <c r="C966" s="37" t="b">
        <v>0</v>
      </c>
      <c r="E966" s="112"/>
    </row>
    <row r="967" ht="18.75" customHeight="1">
      <c r="C967" s="37" t="b">
        <v>0</v>
      </c>
      <c r="E967" s="112"/>
    </row>
    <row r="968" ht="18.75" customHeight="1">
      <c r="C968" s="37" t="b">
        <v>0</v>
      </c>
      <c r="E968" s="112"/>
    </row>
    <row r="969" ht="18.75" customHeight="1">
      <c r="C969" s="37" t="b">
        <v>0</v>
      </c>
      <c r="E969" s="112"/>
    </row>
    <row r="970" ht="18.75" customHeight="1">
      <c r="C970" s="37" t="b">
        <v>0</v>
      </c>
      <c r="E970" s="112"/>
    </row>
    <row r="971" ht="18.75" customHeight="1">
      <c r="C971" s="37" t="b">
        <v>0</v>
      </c>
      <c r="E971" s="112"/>
    </row>
    <row r="972" ht="18.75" customHeight="1">
      <c r="C972" s="37" t="b">
        <v>0</v>
      </c>
      <c r="E972" s="112"/>
    </row>
    <row r="973" ht="18.75" customHeight="1">
      <c r="C973" s="37" t="b">
        <v>0</v>
      </c>
      <c r="E973" s="112"/>
    </row>
    <row r="974" ht="18.75" customHeight="1">
      <c r="C974" s="37" t="b">
        <v>0</v>
      </c>
      <c r="E974" s="112"/>
    </row>
    <row r="975" ht="18.75" customHeight="1">
      <c r="C975" s="37" t="b">
        <v>0</v>
      </c>
      <c r="E975" s="112"/>
    </row>
    <row r="976" ht="18.75" customHeight="1">
      <c r="C976" s="37" t="b">
        <v>0</v>
      </c>
      <c r="E976" s="112"/>
    </row>
    <row r="977" ht="18.75" customHeight="1">
      <c r="C977" s="37" t="b">
        <v>0</v>
      </c>
      <c r="E977" s="112"/>
    </row>
    <row r="978" ht="18.75" customHeight="1">
      <c r="C978" s="37" t="b">
        <v>0</v>
      </c>
      <c r="E978" s="112"/>
    </row>
    <row r="979" ht="18.75" customHeight="1">
      <c r="C979" s="37" t="b">
        <v>0</v>
      </c>
      <c r="E979" s="112"/>
    </row>
    <row r="980" ht="18.75" customHeight="1">
      <c r="C980" s="37" t="b">
        <v>0</v>
      </c>
      <c r="E980" s="112"/>
    </row>
    <row r="981" ht="18.75" customHeight="1">
      <c r="C981" s="37" t="b">
        <v>0</v>
      </c>
      <c r="E981" s="112"/>
    </row>
    <row r="982" ht="18.75" customHeight="1">
      <c r="C982" s="37" t="b">
        <v>0</v>
      </c>
      <c r="E982" s="112"/>
    </row>
    <row r="983" ht="18.75" customHeight="1">
      <c r="C983" s="37" t="b">
        <v>0</v>
      </c>
      <c r="E983" s="112"/>
    </row>
    <row r="984" ht="18.75" customHeight="1">
      <c r="C984" s="37" t="b">
        <v>0</v>
      </c>
      <c r="E984" s="112"/>
    </row>
    <row r="985" ht="18.75" customHeight="1">
      <c r="C985" s="37" t="b">
        <v>0</v>
      </c>
      <c r="E985" s="112"/>
    </row>
    <row r="986" ht="18.75" customHeight="1">
      <c r="C986" s="37" t="b">
        <v>0</v>
      </c>
      <c r="E986" s="112"/>
    </row>
    <row r="987" ht="18.75" customHeight="1">
      <c r="C987" s="37" t="b">
        <v>0</v>
      </c>
      <c r="E987" s="112"/>
    </row>
    <row r="988" ht="18.75" customHeight="1">
      <c r="C988" s="37" t="b">
        <v>0</v>
      </c>
      <c r="E988" s="112"/>
    </row>
    <row r="989" ht="18.75" customHeight="1">
      <c r="C989" s="37" t="b">
        <v>0</v>
      </c>
      <c r="E989" s="112"/>
    </row>
    <row r="990" ht="18.75" customHeight="1">
      <c r="C990" s="37" t="b">
        <v>0</v>
      </c>
      <c r="E990" s="112"/>
    </row>
    <row r="991" ht="18.75" customHeight="1">
      <c r="C991" s="37" t="b">
        <v>0</v>
      </c>
      <c r="E991" s="112"/>
    </row>
    <row r="992" ht="18.75" customHeight="1">
      <c r="C992" s="37" t="b">
        <v>0</v>
      </c>
      <c r="E992" s="112"/>
    </row>
    <row r="993" ht="18.75" customHeight="1">
      <c r="C993" s="37" t="b">
        <v>0</v>
      </c>
      <c r="E993" s="112"/>
    </row>
    <row r="994" ht="18.75" customHeight="1">
      <c r="C994" s="37" t="b">
        <v>0</v>
      </c>
      <c r="E994" s="112"/>
    </row>
    <row r="995" ht="18.75" customHeight="1">
      <c r="C995" s="37" t="b">
        <v>0</v>
      </c>
      <c r="E995" s="112"/>
    </row>
    <row r="996" ht="18.75" customHeight="1">
      <c r="C996" s="37" t="b">
        <v>0</v>
      </c>
      <c r="E996" s="112"/>
    </row>
    <row r="997" ht="18.75" customHeight="1">
      <c r="C997" s="37" t="b">
        <v>0</v>
      </c>
      <c r="E997" s="112"/>
    </row>
    <row r="998" ht="18.75" customHeight="1">
      <c r="C998" s="37" t="b">
        <v>0</v>
      </c>
      <c r="E998" s="112"/>
    </row>
    <row r="999" ht="18.75" customHeight="1">
      <c r="C999" s="37" t="b">
        <v>0</v>
      </c>
      <c r="E999" s="112"/>
    </row>
    <row r="1000" ht="18.75" customHeight="1">
      <c r="C1000" s="37" t="b">
        <v>0</v>
      </c>
      <c r="E1000" s="112"/>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35.25"/>
    <col customWidth="1" min="3" max="3" width="2.38"/>
    <col customWidth="1" min="4" max="4" width="18.88"/>
    <col customWidth="1" min="5" max="5" width="45.13"/>
    <col customWidth="1" min="6" max="6" width="2.38"/>
    <col customWidth="1" min="7" max="7" width="17.63"/>
    <col customWidth="1" min="8" max="8" width="45.13"/>
    <col customWidth="1" min="9" max="9" width="17.63"/>
    <col customWidth="1" min="10" max="26" width="7.63"/>
  </cols>
  <sheetData>
    <row r="1" ht="18.75" customHeight="1">
      <c r="A1" s="113" t="s">
        <v>3014</v>
      </c>
      <c r="B1" s="114" t="s">
        <v>3015</v>
      </c>
      <c r="D1" s="113" t="s">
        <v>3016</v>
      </c>
      <c r="E1" s="114" t="s">
        <v>3015</v>
      </c>
      <c r="G1" s="113" t="s">
        <v>3017</v>
      </c>
      <c r="H1" s="114" t="s">
        <v>3015</v>
      </c>
      <c r="I1" s="113" t="s">
        <v>3018</v>
      </c>
    </row>
    <row r="2">
      <c r="A2" s="109" t="s">
        <v>3019</v>
      </c>
      <c r="B2" s="115" t="s">
        <v>3020</v>
      </c>
      <c r="C2" s="109"/>
      <c r="D2" s="109" t="s">
        <v>2593</v>
      </c>
      <c r="E2" s="115" t="s">
        <v>2642</v>
      </c>
      <c r="F2" s="109"/>
      <c r="G2" s="109" t="s">
        <v>3021</v>
      </c>
      <c r="H2" s="115" t="s">
        <v>3022</v>
      </c>
      <c r="I2" s="109" t="s">
        <v>3023</v>
      </c>
    </row>
    <row r="3">
      <c r="A3" s="109" t="s">
        <v>3024</v>
      </c>
      <c r="B3" s="115" t="s">
        <v>3025</v>
      </c>
      <c r="C3" s="109"/>
      <c r="D3" s="109" t="s">
        <v>1921</v>
      </c>
      <c r="E3" s="115" t="s">
        <v>2643</v>
      </c>
      <c r="F3" s="109"/>
      <c r="G3" s="109" t="s">
        <v>3026</v>
      </c>
      <c r="H3" s="115" t="s">
        <v>3027</v>
      </c>
      <c r="I3" s="109" t="s">
        <v>3028</v>
      </c>
    </row>
    <row r="4">
      <c r="A4" s="109" t="s">
        <v>3029</v>
      </c>
      <c r="B4" s="115" t="s">
        <v>3030</v>
      </c>
      <c r="C4" s="109"/>
      <c r="D4" s="109" t="s">
        <v>2594</v>
      </c>
      <c r="E4" s="115" t="s">
        <v>2644</v>
      </c>
      <c r="F4" s="109"/>
      <c r="G4" s="109" t="s">
        <v>3031</v>
      </c>
      <c r="H4" s="115" t="s">
        <v>3032</v>
      </c>
      <c r="I4" s="109" t="s">
        <v>3033</v>
      </c>
    </row>
    <row r="5">
      <c r="A5" s="109" t="s">
        <v>3034</v>
      </c>
      <c r="B5" s="115" t="s">
        <v>3035</v>
      </c>
      <c r="C5" s="109"/>
      <c r="D5" s="109" t="s">
        <v>2595</v>
      </c>
      <c r="E5" s="115" t="s">
        <v>2645</v>
      </c>
      <c r="F5" s="109"/>
      <c r="G5" s="109" t="s">
        <v>3036</v>
      </c>
      <c r="H5" s="115" t="s">
        <v>3037</v>
      </c>
      <c r="I5" s="109" t="s">
        <v>3038</v>
      </c>
    </row>
    <row r="6">
      <c r="A6" s="109" t="s">
        <v>3039</v>
      </c>
      <c r="B6" s="115" t="s">
        <v>3040</v>
      </c>
      <c r="C6" s="109"/>
      <c r="D6" s="109" t="s">
        <v>2596</v>
      </c>
      <c r="E6" s="115" t="s">
        <v>2646</v>
      </c>
      <c r="F6" s="109"/>
      <c r="G6" s="109" t="s">
        <v>3041</v>
      </c>
      <c r="H6" s="115" t="s">
        <v>3042</v>
      </c>
      <c r="I6" s="109" t="s">
        <v>3043</v>
      </c>
    </row>
    <row r="7">
      <c r="A7" s="109" t="s">
        <v>3044</v>
      </c>
      <c r="B7" s="115" t="s">
        <v>3045</v>
      </c>
      <c r="C7" s="109"/>
      <c r="D7" s="109" t="s">
        <v>1139</v>
      </c>
      <c r="E7" s="115" t="s">
        <v>2647</v>
      </c>
      <c r="F7" s="109"/>
      <c r="G7" s="109" t="s">
        <v>3046</v>
      </c>
      <c r="H7" s="115" t="s">
        <v>3047</v>
      </c>
      <c r="I7" s="109" t="s">
        <v>3048</v>
      </c>
    </row>
    <row r="8">
      <c r="A8" s="109" t="s">
        <v>3049</v>
      </c>
      <c r="B8" s="115" t="s">
        <v>3050</v>
      </c>
      <c r="C8" s="109"/>
      <c r="D8" s="109" t="s">
        <v>2598</v>
      </c>
      <c r="E8" s="115" t="s">
        <v>2648</v>
      </c>
      <c r="F8" s="109"/>
      <c r="G8" s="109" t="s">
        <v>3051</v>
      </c>
      <c r="H8" s="115" t="s">
        <v>3052</v>
      </c>
      <c r="I8" s="109" t="s">
        <v>3028</v>
      </c>
    </row>
    <row r="9">
      <c r="A9" s="109" t="s">
        <v>3053</v>
      </c>
      <c r="B9" s="115" t="s">
        <v>3054</v>
      </c>
      <c r="C9" s="109"/>
      <c r="D9" s="109" t="s">
        <v>2599</v>
      </c>
      <c r="E9" s="115" t="s">
        <v>2649</v>
      </c>
      <c r="F9" s="109"/>
      <c r="G9" s="109" t="s">
        <v>3055</v>
      </c>
      <c r="H9" s="115" t="s">
        <v>3056</v>
      </c>
      <c r="I9" s="109" t="s">
        <v>3057</v>
      </c>
    </row>
    <row r="10">
      <c r="A10" s="109" t="s">
        <v>3058</v>
      </c>
      <c r="B10" s="115" t="s">
        <v>3059</v>
      </c>
      <c r="C10" s="109"/>
      <c r="D10" s="109" t="s">
        <v>2600</v>
      </c>
      <c r="E10" s="115" t="s">
        <v>2650</v>
      </c>
      <c r="F10" s="109"/>
      <c r="G10" s="109"/>
      <c r="H10" s="115"/>
      <c r="I10" s="109"/>
    </row>
    <row r="11">
      <c r="A11" s="109" t="s">
        <v>3060</v>
      </c>
      <c r="B11" s="115" t="s">
        <v>3061</v>
      </c>
      <c r="C11" s="109"/>
      <c r="D11" s="109" t="s">
        <v>2601</v>
      </c>
      <c r="E11" s="115" t="s">
        <v>2651</v>
      </c>
      <c r="F11" s="109"/>
      <c r="G11" s="109" t="s">
        <v>3062</v>
      </c>
      <c r="H11" s="115"/>
      <c r="I11" s="109" t="s">
        <v>3057</v>
      </c>
    </row>
    <row r="12">
      <c r="A12" s="109" t="s">
        <v>3063</v>
      </c>
      <c r="B12" s="115" t="s">
        <v>3064</v>
      </c>
      <c r="C12" s="109"/>
      <c r="D12" s="109" t="s">
        <v>2602</v>
      </c>
      <c r="E12" s="115" t="s">
        <v>2652</v>
      </c>
      <c r="F12" s="109"/>
      <c r="G12" s="109" t="s">
        <v>3065</v>
      </c>
      <c r="H12" s="115"/>
      <c r="I12" s="109" t="s">
        <v>3057</v>
      </c>
    </row>
    <row r="13">
      <c r="A13" s="109" t="s">
        <v>3066</v>
      </c>
      <c r="B13" s="115" t="s">
        <v>3067</v>
      </c>
      <c r="C13" s="109"/>
      <c r="D13" s="109" t="s">
        <v>2603</v>
      </c>
      <c r="E13" s="115" t="s">
        <v>2653</v>
      </c>
      <c r="F13" s="109"/>
      <c r="G13" s="109" t="s">
        <v>3068</v>
      </c>
      <c r="H13" s="115"/>
      <c r="I13" s="109" t="s">
        <v>3057</v>
      </c>
    </row>
    <row r="14">
      <c r="A14" s="109" t="s">
        <v>3069</v>
      </c>
      <c r="B14" s="115" t="s">
        <v>3070</v>
      </c>
      <c r="C14" s="109"/>
      <c r="D14" s="109" t="s">
        <v>2604</v>
      </c>
      <c r="E14" s="115" t="s">
        <v>2654</v>
      </c>
      <c r="F14" s="109"/>
      <c r="G14" s="109" t="s">
        <v>3071</v>
      </c>
      <c r="H14" s="115"/>
      <c r="I14" s="109" t="s">
        <v>3057</v>
      </c>
    </row>
    <row r="15">
      <c r="A15" s="109" t="s">
        <v>3072</v>
      </c>
      <c r="B15" s="115" t="s">
        <v>3073</v>
      </c>
      <c r="C15" s="109"/>
      <c r="D15" s="109" t="s">
        <v>2429</v>
      </c>
      <c r="E15" s="115" t="s">
        <v>3074</v>
      </c>
      <c r="F15" s="109"/>
      <c r="G15" s="109" t="s">
        <v>3075</v>
      </c>
      <c r="H15" s="115" t="s">
        <v>3076</v>
      </c>
      <c r="I15" s="109" t="s">
        <v>3033</v>
      </c>
    </row>
    <row r="16">
      <c r="A16" s="109" t="s">
        <v>398</v>
      </c>
      <c r="B16" s="115" t="s">
        <v>3077</v>
      </c>
      <c r="C16" s="109"/>
      <c r="D16" s="109" t="s">
        <v>1179</v>
      </c>
      <c r="E16" s="115" t="s">
        <v>3078</v>
      </c>
      <c r="F16" s="109"/>
      <c r="G16" s="109" t="s">
        <v>3079</v>
      </c>
      <c r="H16" s="115" t="s">
        <v>3080</v>
      </c>
      <c r="I16" s="109" t="s">
        <v>3033</v>
      </c>
    </row>
    <row r="17">
      <c r="A17" s="109" t="s">
        <v>3081</v>
      </c>
      <c r="B17" s="115" t="s">
        <v>3082</v>
      </c>
      <c r="C17" s="109"/>
      <c r="D17" s="109"/>
      <c r="E17" s="109"/>
      <c r="F17" s="109"/>
      <c r="G17" s="109" t="s">
        <v>3083</v>
      </c>
      <c r="H17" s="115" t="s">
        <v>3084</v>
      </c>
      <c r="I17" s="109" t="s">
        <v>3028</v>
      </c>
    </row>
    <row r="18">
      <c r="A18" s="109" t="s">
        <v>1779</v>
      </c>
      <c r="B18" s="115" t="s">
        <v>3085</v>
      </c>
      <c r="C18" s="109"/>
      <c r="D18" s="109"/>
      <c r="E18" s="109"/>
      <c r="F18" s="109"/>
      <c r="G18" s="109" t="s">
        <v>3086</v>
      </c>
      <c r="H18" s="115" t="s">
        <v>3087</v>
      </c>
      <c r="I18" s="109" t="s">
        <v>3038</v>
      </c>
    </row>
    <row r="19">
      <c r="A19" s="109" t="s">
        <v>3088</v>
      </c>
      <c r="B19" s="115" t="s">
        <v>3089</v>
      </c>
      <c r="C19" s="109"/>
      <c r="D19" s="109"/>
      <c r="E19" s="109"/>
      <c r="F19" s="109"/>
      <c r="G19" s="109" t="s">
        <v>3090</v>
      </c>
      <c r="H19" s="115" t="s">
        <v>3091</v>
      </c>
      <c r="I19" s="109" t="s">
        <v>3038</v>
      </c>
    </row>
    <row r="20">
      <c r="A20" s="109" t="s">
        <v>3092</v>
      </c>
      <c r="B20" s="115" t="s">
        <v>3093</v>
      </c>
      <c r="C20" s="109"/>
      <c r="D20" s="109"/>
      <c r="E20" s="109"/>
      <c r="F20" s="109"/>
      <c r="G20" s="106" t="s">
        <v>3094</v>
      </c>
      <c r="H20" s="116" t="s">
        <v>3095</v>
      </c>
      <c r="I20" s="109"/>
    </row>
    <row r="21">
      <c r="A21" s="109" t="s">
        <v>1222</v>
      </c>
      <c r="B21" s="115" t="s">
        <v>3096</v>
      </c>
      <c r="C21" s="109"/>
      <c r="D21" s="109"/>
      <c r="E21" s="109"/>
      <c r="F21" s="109"/>
      <c r="G21" s="106" t="s">
        <v>3097</v>
      </c>
      <c r="H21" s="116" t="s">
        <v>3098</v>
      </c>
      <c r="I21" s="109"/>
    </row>
    <row r="22">
      <c r="A22" s="109" t="s">
        <v>3099</v>
      </c>
      <c r="B22" s="115" t="s">
        <v>3100</v>
      </c>
      <c r="C22" s="109"/>
      <c r="D22" s="109"/>
      <c r="E22" s="109"/>
      <c r="F22" s="109"/>
      <c r="G22" s="106" t="s">
        <v>3101</v>
      </c>
      <c r="H22" s="116" t="s">
        <v>3102</v>
      </c>
      <c r="I22" s="109"/>
    </row>
    <row r="23">
      <c r="A23" s="109" t="s">
        <v>3103</v>
      </c>
      <c r="B23" s="115" t="s">
        <v>3104</v>
      </c>
      <c r="C23" s="109"/>
      <c r="D23" s="109"/>
      <c r="E23" s="109"/>
      <c r="F23" s="109"/>
      <c r="G23" s="106" t="s">
        <v>3105</v>
      </c>
      <c r="H23" s="116" t="s">
        <v>3106</v>
      </c>
      <c r="I23" s="109"/>
    </row>
    <row r="24">
      <c r="A24" s="109" t="s">
        <v>1303</v>
      </c>
      <c r="B24" s="115" t="s">
        <v>3107</v>
      </c>
      <c r="C24" s="109"/>
      <c r="D24" s="109"/>
      <c r="E24" s="109"/>
      <c r="F24" s="109"/>
      <c r="G24" s="106" t="s">
        <v>3108</v>
      </c>
      <c r="H24" s="116" t="s">
        <v>3109</v>
      </c>
      <c r="I24" s="109"/>
    </row>
    <row r="25">
      <c r="A25" s="109" t="s">
        <v>3110</v>
      </c>
      <c r="B25" s="115" t="s">
        <v>3111</v>
      </c>
      <c r="C25" s="109"/>
      <c r="D25" s="109"/>
      <c r="E25" s="109"/>
      <c r="F25" s="109"/>
      <c r="G25" s="106" t="s">
        <v>3112</v>
      </c>
      <c r="H25" s="116" t="s">
        <v>3113</v>
      </c>
      <c r="I25" s="106" t="s">
        <v>3038</v>
      </c>
    </row>
    <row r="26">
      <c r="A26" s="109" t="s">
        <v>3114</v>
      </c>
      <c r="B26" s="115" t="s">
        <v>3115</v>
      </c>
      <c r="C26" s="109"/>
      <c r="D26" s="109"/>
      <c r="E26" s="109"/>
      <c r="F26" s="109"/>
      <c r="G26" s="109"/>
      <c r="H26" s="109"/>
      <c r="I26" s="109"/>
    </row>
    <row r="27">
      <c r="A27" s="109" t="s">
        <v>3116</v>
      </c>
      <c r="B27" s="115" t="s">
        <v>3117</v>
      </c>
      <c r="C27" s="109"/>
      <c r="D27" s="109"/>
      <c r="E27" s="109"/>
      <c r="F27" s="109"/>
      <c r="G27" s="109"/>
      <c r="H27" s="109"/>
      <c r="I27" s="109"/>
    </row>
    <row r="28">
      <c r="A28" s="109" t="s">
        <v>3118</v>
      </c>
      <c r="B28" s="115" t="s">
        <v>3119</v>
      </c>
      <c r="C28" s="109"/>
      <c r="D28" s="109"/>
      <c r="E28" s="109"/>
      <c r="F28" s="109"/>
      <c r="G28" s="109"/>
      <c r="H28" s="109"/>
      <c r="I28" s="109"/>
    </row>
    <row r="29">
      <c r="A29" s="109"/>
      <c r="B29" s="115"/>
      <c r="C29" s="109"/>
      <c r="D29" s="109"/>
      <c r="E29" s="109"/>
      <c r="F29" s="109"/>
      <c r="G29" s="109"/>
      <c r="H29" s="109"/>
      <c r="I29" s="109"/>
    </row>
    <row r="30">
      <c r="A30" s="109" t="s">
        <v>1249</v>
      </c>
      <c r="B30" s="115" t="s">
        <v>3120</v>
      </c>
      <c r="C30" s="109"/>
      <c r="D30" s="109"/>
      <c r="E30" s="109"/>
      <c r="F30" s="109"/>
      <c r="G30" s="109"/>
      <c r="H30" s="109"/>
      <c r="I30" s="109"/>
    </row>
    <row r="31">
      <c r="A31" s="109" t="s">
        <v>3121</v>
      </c>
      <c r="B31" s="115" t="s">
        <v>3122</v>
      </c>
      <c r="C31" s="109"/>
      <c r="D31" s="109"/>
      <c r="E31" s="109"/>
      <c r="F31" s="109"/>
      <c r="G31" s="109"/>
      <c r="H31" s="109"/>
      <c r="I31" s="109"/>
    </row>
    <row r="32">
      <c r="A32" s="109" t="s">
        <v>3123</v>
      </c>
      <c r="B32" s="115" t="s">
        <v>3124</v>
      </c>
      <c r="C32" s="109"/>
      <c r="D32" s="109"/>
      <c r="E32" s="109"/>
      <c r="F32" s="109"/>
      <c r="G32" s="109"/>
      <c r="H32" s="109"/>
      <c r="I32" s="109"/>
    </row>
    <row r="33">
      <c r="A33" s="109" t="s">
        <v>3125</v>
      </c>
      <c r="B33" s="115" t="s">
        <v>3126</v>
      </c>
      <c r="C33" s="109"/>
      <c r="D33" s="109"/>
      <c r="E33" s="109"/>
      <c r="F33" s="109"/>
      <c r="G33" s="109"/>
      <c r="H33" s="109"/>
      <c r="I33" s="109"/>
    </row>
    <row r="34">
      <c r="A34" s="109" t="s">
        <v>1296</v>
      </c>
      <c r="B34" s="115" t="s">
        <v>3127</v>
      </c>
      <c r="C34" s="109"/>
      <c r="D34" s="109"/>
      <c r="E34" s="109"/>
      <c r="F34" s="109"/>
      <c r="G34" s="109"/>
      <c r="H34" s="109"/>
      <c r="I34" s="109"/>
    </row>
    <row r="35">
      <c r="A35" s="109" t="s">
        <v>3128</v>
      </c>
      <c r="B35" s="115" t="s">
        <v>3129</v>
      </c>
      <c r="C35" s="109"/>
      <c r="D35" s="109"/>
      <c r="E35" s="109"/>
      <c r="F35" s="109"/>
      <c r="G35" s="109"/>
      <c r="H35" s="109"/>
      <c r="I35" s="109"/>
    </row>
    <row r="36">
      <c r="A36" s="109"/>
      <c r="B36" s="115"/>
      <c r="C36" s="109"/>
      <c r="D36" s="109"/>
      <c r="E36" s="109"/>
      <c r="F36" s="109"/>
      <c r="G36" s="109"/>
      <c r="H36" s="109"/>
      <c r="I36" s="109"/>
    </row>
    <row r="37">
      <c r="A37" s="109" t="s">
        <v>3130</v>
      </c>
      <c r="B37" s="115" t="s">
        <v>3131</v>
      </c>
      <c r="C37" s="109"/>
      <c r="D37" s="109"/>
      <c r="E37" s="109"/>
      <c r="F37" s="109"/>
      <c r="G37" s="109"/>
      <c r="H37" s="109"/>
      <c r="I37" s="109"/>
    </row>
    <row r="38">
      <c r="A38" s="109" t="s">
        <v>1330</v>
      </c>
      <c r="B38" s="115" t="s">
        <v>3132</v>
      </c>
      <c r="C38" s="109"/>
      <c r="D38" s="109"/>
      <c r="E38" s="109"/>
      <c r="F38" s="109"/>
      <c r="G38" s="109"/>
      <c r="H38" s="109"/>
      <c r="I38" s="109"/>
    </row>
    <row r="39">
      <c r="A39" s="109" t="s">
        <v>3133</v>
      </c>
      <c r="B39" s="115" t="s">
        <v>3134</v>
      </c>
      <c r="C39" s="109"/>
      <c r="D39" s="109"/>
      <c r="E39" s="109"/>
      <c r="F39" s="109"/>
      <c r="G39" s="109"/>
      <c r="H39" s="109"/>
      <c r="I39" s="109"/>
    </row>
    <row r="40">
      <c r="A40" s="109"/>
      <c r="B40" s="115"/>
      <c r="C40" s="109"/>
      <c r="D40" s="109"/>
      <c r="E40" s="109"/>
      <c r="F40" s="109"/>
      <c r="G40" s="109"/>
      <c r="H40" s="109"/>
      <c r="I40" s="109"/>
    </row>
    <row r="41">
      <c r="A41" s="109" t="s">
        <v>3135</v>
      </c>
      <c r="B41" s="115" t="s">
        <v>3136</v>
      </c>
      <c r="C41" s="109"/>
      <c r="D41" s="109"/>
      <c r="E41" s="109"/>
      <c r="F41" s="109"/>
      <c r="G41" s="109"/>
      <c r="H41" s="109"/>
      <c r="I41" s="109"/>
    </row>
    <row r="42">
      <c r="A42" s="109" t="s">
        <v>3137</v>
      </c>
      <c r="B42" s="115" t="s">
        <v>3138</v>
      </c>
      <c r="C42" s="109"/>
      <c r="D42" s="109"/>
      <c r="E42" s="109"/>
      <c r="F42" s="109"/>
      <c r="G42" s="109"/>
      <c r="H42" s="109"/>
      <c r="I42" s="109"/>
    </row>
    <row r="43">
      <c r="A43" s="109"/>
      <c r="B43" s="115"/>
      <c r="C43" s="109"/>
      <c r="D43" s="109"/>
      <c r="E43" s="109"/>
      <c r="F43" s="109"/>
      <c r="G43" s="109"/>
      <c r="H43" s="109"/>
      <c r="I43" s="109"/>
    </row>
    <row r="44">
      <c r="A44" s="109"/>
      <c r="B44" s="115"/>
      <c r="C44" s="109"/>
      <c r="D44" s="109"/>
      <c r="E44" s="109"/>
      <c r="F44" s="109"/>
      <c r="G44" s="109"/>
      <c r="H44" s="109"/>
      <c r="I44" s="109"/>
    </row>
    <row r="45">
      <c r="A45" s="109"/>
      <c r="B45" s="115"/>
      <c r="C45" s="109"/>
      <c r="D45" s="109"/>
      <c r="E45" s="109"/>
      <c r="F45" s="109"/>
      <c r="G45" s="109"/>
      <c r="H45" s="109"/>
      <c r="I45" s="109"/>
    </row>
    <row r="46">
      <c r="A46" s="109" t="s">
        <v>3139</v>
      </c>
      <c r="B46" s="115" t="s">
        <v>3140</v>
      </c>
      <c r="C46" s="109"/>
      <c r="D46" s="109"/>
      <c r="E46" s="109"/>
      <c r="F46" s="109"/>
      <c r="G46" s="109"/>
      <c r="H46" s="109"/>
      <c r="I46" s="109"/>
    </row>
    <row r="47">
      <c r="A47" s="109" t="s">
        <v>3141</v>
      </c>
      <c r="B47" s="115" t="s">
        <v>3142</v>
      </c>
      <c r="C47" s="109"/>
      <c r="D47" s="109"/>
      <c r="E47" s="109"/>
      <c r="F47" s="109"/>
      <c r="G47" s="109"/>
      <c r="H47" s="109"/>
      <c r="I47" s="109"/>
    </row>
    <row r="48">
      <c r="A48" s="109" t="s">
        <v>3143</v>
      </c>
      <c r="B48" s="115" t="s">
        <v>3144</v>
      </c>
      <c r="C48" s="109"/>
      <c r="D48" s="109"/>
      <c r="E48" s="109"/>
      <c r="F48" s="109"/>
      <c r="G48" s="109"/>
      <c r="H48" s="109"/>
      <c r="I48" s="109"/>
    </row>
    <row r="49">
      <c r="A49" s="109" t="s">
        <v>3145</v>
      </c>
      <c r="B49" s="115" t="s">
        <v>3146</v>
      </c>
      <c r="C49" s="109"/>
      <c r="D49" s="109"/>
      <c r="E49" s="109"/>
      <c r="F49" s="109"/>
      <c r="G49" s="109"/>
      <c r="H49" s="109"/>
      <c r="I49" s="109"/>
    </row>
    <row r="50">
      <c r="A50" s="109" t="s">
        <v>3147</v>
      </c>
      <c r="B50" s="115" t="s">
        <v>3148</v>
      </c>
      <c r="C50" s="109"/>
      <c r="D50" s="109"/>
      <c r="E50" s="109"/>
      <c r="F50" s="109"/>
      <c r="G50" s="109"/>
      <c r="H50" s="109"/>
      <c r="I50" s="109"/>
    </row>
    <row r="51">
      <c r="A51" s="109" t="s">
        <v>3149</v>
      </c>
      <c r="B51" s="115" t="s">
        <v>3150</v>
      </c>
      <c r="C51" s="109"/>
      <c r="D51" s="109"/>
      <c r="E51" s="109"/>
      <c r="F51" s="109"/>
      <c r="G51" s="109"/>
      <c r="H51" s="109"/>
      <c r="I51" s="109"/>
    </row>
    <row r="52">
      <c r="A52" s="109" t="s">
        <v>3151</v>
      </c>
      <c r="B52" s="115" t="s">
        <v>3152</v>
      </c>
      <c r="C52" s="109"/>
      <c r="D52" s="109"/>
      <c r="E52" s="109"/>
      <c r="F52" s="109"/>
      <c r="G52" s="109"/>
      <c r="H52" s="109"/>
      <c r="I52" s="109"/>
    </row>
    <row r="53">
      <c r="A53" s="109" t="s">
        <v>3153</v>
      </c>
      <c r="B53" s="115" t="s">
        <v>3154</v>
      </c>
      <c r="C53" s="109"/>
      <c r="D53" s="109"/>
      <c r="E53" s="109"/>
      <c r="F53" s="109"/>
      <c r="G53" s="109"/>
      <c r="H53" s="109"/>
      <c r="I53" s="109"/>
    </row>
    <row r="54">
      <c r="A54" s="109" t="s">
        <v>3155</v>
      </c>
      <c r="B54" s="115" t="s">
        <v>3156</v>
      </c>
      <c r="C54" s="109"/>
      <c r="D54" s="109"/>
      <c r="E54" s="109"/>
      <c r="F54" s="109"/>
      <c r="G54" s="109"/>
      <c r="H54" s="109"/>
      <c r="I54" s="109"/>
    </row>
    <row r="55">
      <c r="A55" s="109" t="s">
        <v>3157</v>
      </c>
      <c r="B55" s="115" t="s">
        <v>3158</v>
      </c>
      <c r="C55" s="109"/>
      <c r="D55" s="109"/>
      <c r="E55" s="109"/>
      <c r="F55" s="109"/>
      <c r="G55" s="109"/>
      <c r="H55" s="109"/>
      <c r="I55" s="109"/>
    </row>
    <row r="56">
      <c r="A56" s="109" t="s">
        <v>3159</v>
      </c>
      <c r="B56" s="115" t="s">
        <v>3160</v>
      </c>
      <c r="C56" s="109"/>
      <c r="D56" s="109"/>
      <c r="E56" s="109"/>
      <c r="F56" s="109"/>
      <c r="G56" s="109"/>
      <c r="H56" s="109"/>
      <c r="I56" s="109"/>
    </row>
    <row r="57">
      <c r="A57" s="109" t="s">
        <v>3161</v>
      </c>
      <c r="B57" s="115" t="s">
        <v>3162</v>
      </c>
      <c r="C57" s="109"/>
      <c r="D57" s="109"/>
      <c r="E57" s="109"/>
      <c r="F57" s="109"/>
      <c r="G57" s="109"/>
      <c r="H57" s="109"/>
      <c r="I57" s="109"/>
    </row>
    <row r="58">
      <c r="A58" s="109" t="s">
        <v>3163</v>
      </c>
      <c r="B58" s="115" t="s">
        <v>3164</v>
      </c>
      <c r="C58" s="109"/>
      <c r="D58" s="109"/>
      <c r="E58" s="109"/>
      <c r="F58" s="109"/>
      <c r="G58" s="109"/>
      <c r="H58" s="109"/>
      <c r="I58" s="109"/>
    </row>
    <row r="59">
      <c r="A59" s="109" t="s">
        <v>3165</v>
      </c>
      <c r="B59" s="115" t="s">
        <v>3166</v>
      </c>
      <c r="C59" s="109"/>
      <c r="D59" s="109"/>
      <c r="E59" s="109"/>
      <c r="F59" s="109"/>
      <c r="G59" s="109"/>
      <c r="H59" s="109"/>
      <c r="I59" s="109"/>
    </row>
    <row r="60">
      <c r="A60" s="109" t="s">
        <v>3167</v>
      </c>
      <c r="B60" s="115" t="s">
        <v>3168</v>
      </c>
      <c r="C60" s="109"/>
      <c r="D60" s="109"/>
      <c r="E60" s="109"/>
      <c r="F60" s="109"/>
      <c r="G60" s="109"/>
      <c r="H60" s="109"/>
      <c r="I60" s="109"/>
    </row>
    <row r="61">
      <c r="A61" s="109" t="s">
        <v>3169</v>
      </c>
      <c r="B61" s="115" t="s">
        <v>3170</v>
      </c>
      <c r="C61" s="109"/>
      <c r="D61" s="109"/>
      <c r="E61" s="109"/>
      <c r="F61" s="109"/>
      <c r="G61" s="109"/>
      <c r="H61" s="109"/>
      <c r="I61" s="109"/>
    </row>
    <row r="62">
      <c r="A62" s="109" t="s">
        <v>3171</v>
      </c>
      <c r="B62" s="115" t="s">
        <v>3172</v>
      </c>
      <c r="C62" s="109"/>
      <c r="D62" s="109"/>
      <c r="E62" s="109"/>
      <c r="F62" s="109"/>
      <c r="G62" s="109"/>
      <c r="H62" s="109"/>
      <c r="I62" s="109"/>
    </row>
    <row r="63">
      <c r="A63" s="109" t="s">
        <v>3173</v>
      </c>
      <c r="B63" s="115" t="s">
        <v>3174</v>
      </c>
      <c r="C63" s="109"/>
      <c r="D63" s="109"/>
      <c r="E63" s="109"/>
      <c r="F63" s="109"/>
      <c r="G63" s="109"/>
      <c r="H63" s="109"/>
      <c r="I63" s="109"/>
    </row>
    <row r="64">
      <c r="A64" s="109" t="s">
        <v>3175</v>
      </c>
      <c r="B64" s="115" t="s">
        <v>3176</v>
      </c>
      <c r="C64" s="109"/>
      <c r="D64" s="109"/>
      <c r="E64" s="109"/>
      <c r="F64" s="109"/>
      <c r="G64" s="109"/>
      <c r="H64" s="109"/>
      <c r="I64" s="109"/>
    </row>
    <row r="65">
      <c r="A65" s="109" t="s">
        <v>3177</v>
      </c>
      <c r="B65" s="115" t="s">
        <v>3178</v>
      </c>
      <c r="C65" s="109"/>
      <c r="D65" s="109"/>
      <c r="E65" s="109"/>
      <c r="F65" s="109"/>
      <c r="G65" s="109"/>
      <c r="H65" s="109"/>
      <c r="I65" s="109"/>
    </row>
    <row r="66">
      <c r="A66" s="109" t="s">
        <v>3179</v>
      </c>
      <c r="B66" s="115" t="s">
        <v>3180</v>
      </c>
      <c r="C66" s="109"/>
      <c r="D66" s="109"/>
      <c r="E66" s="109"/>
      <c r="F66" s="109"/>
      <c r="G66" s="109"/>
      <c r="H66" s="109"/>
      <c r="I66" s="109"/>
    </row>
    <row r="67">
      <c r="A67" s="109" t="s">
        <v>3181</v>
      </c>
      <c r="B67" s="115" t="s">
        <v>3182</v>
      </c>
      <c r="C67" s="109"/>
      <c r="D67" s="109"/>
      <c r="E67" s="109"/>
      <c r="F67" s="109"/>
      <c r="G67" s="109"/>
      <c r="H67" s="109"/>
      <c r="I67" s="109"/>
    </row>
    <row r="68">
      <c r="A68" s="109" t="s">
        <v>3183</v>
      </c>
      <c r="B68" s="115" t="s">
        <v>3184</v>
      </c>
      <c r="C68" s="109"/>
      <c r="D68" s="109"/>
      <c r="E68" s="109"/>
      <c r="F68" s="109"/>
      <c r="G68" s="109"/>
      <c r="H68" s="109"/>
      <c r="I68" s="109"/>
    </row>
    <row r="69">
      <c r="A69" s="109"/>
      <c r="B69" s="115"/>
      <c r="C69" s="109"/>
      <c r="D69" s="109"/>
      <c r="E69" s="109"/>
      <c r="F69" s="109"/>
      <c r="G69" s="109"/>
      <c r="H69" s="109"/>
      <c r="I69" s="109"/>
    </row>
    <row r="70">
      <c r="A70" s="109" t="s">
        <v>3185</v>
      </c>
      <c r="B70" s="115" t="s">
        <v>3186</v>
      </c>
      <c r="C70" s="109"/>
      <c r="D70" s="109"/>
      <c r="E70" s="109"/>
      <c r="F70" s="109"/>
      <c r="G70" s="109"/>
      <c r="H70" s="109"/>
      <c r="I70" s="109"/>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17" t="s">
        <v>3187</v>
      </c>
      <c r="B1" s="117" t="s">
        <v>2620</v>
      </c>
      <c r="C1" s="11" t="s">
        <v>3188</v>
      </c>
      <c r="D1" s="11" t="s">
        <v>3189</v>
      </c>
      <c r="E1" s="11" t="s">
        <v>3190</v>
      </c>
      <c r="F1" s="11" t="s">
        <v>3191</v>
      </c>
      <c r="G1" s="11" t="s">
        <v>2623</v>
      </c>
      <c r="H1" s="11" t="s">
        <v>2624</v>
      </c>
      <c r="I1" s="11" t="s">
        <v>2625</v>
      </c>
      <c r="J1" s="11" t="s">
        <v>2626</v>
      </c>
      <c r="K1" s="11" t="s">
        <v>3192</v>
      </c>
      <c r="L1" s="11" t="s">
        <v>3193</v>
      </c>
      <c r="M1" s="11" t="s">
        <v>3194</v>
      </c>
      <c r="N1" s="11" t="s">
        <v>3195</v>
      </c>
      <c r="O1" s="11" t="s">
        <v>3196</v>
      </c>
      <c r="P1" s="11" t="s">
        <v>3197</v>
      </c>
      <c r="Q1" s="11" t="s">
        <v>3198</v>
      </c>
      <c r="R1" s="11" t="s">
        <v>3199</v>
      </c>
      <c r="S1" s="11" t="s">
        <v>3200</v>
      </c>
      <c r="T1" s="11" t="s">
        <v>3201</v>
      </c>
      <c r="U1" s="11" t="s">
        <v>3202</v>
      </c>
      <c r="V1" s="11" t="s">
        <v>3203</v>
      </c>
      <c r="W1" s="11" t="s">
        <v>944</v>
      </c>
      <c r="X1" s="11" t="s">
        <v>425</v>
      </c>
      <c r="Y1" s="11" t="s">
        <v>336</v>
      </c>
      <c r="Z1" s="11" t="s">
        <v>1018</v>
      </c>
      <c r="AA1" s="11" t="s">
        <v>3204</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3205</v>
      </c>
      <c r="BE1" s="64" t="s">
        <v>1845</v>
      </c>
      <c r="BF1" s="64" t="s">
        <v>3206</v>
      </c>
      <c r="BG1" s="64" t="s">
        <v>849</v>
      </c>
      <c r="BH1" s="37" t="s">
        <v>2920</v>
      </c>
      <c r="BI1" s="37" t="s">
        <v>2921</v>
      </c>
      <c r="BJ1" s="117" t="s">
        <v>3207</v>
      </c>
      <c r="BK1" s="117" t="s">
        <v>3208</v>
      </c>
      <c r="BL1" s="117" t="s">
        <v>3209</v>
      </c>
      <c r="BM1" s="117" t="s">
        <v>3210</v>
      </c>
      <c r="BN1" s="117" t="s">
        <v>3211</v>
      </c>
      <c r="BO1" s="117" t="s">
        <v>3212</v>
      </c>
      <c r="BP1" s="117" t="s">
        <v>3213</v>
      </c>
      <c r="BQ1" s="117" t="s">
        <v>3214</v>
      </c>
      <c r="BR1" s="117" t="s">
        <v>3215</v>
      </c>
      <c r="BS1" s="117" t="s">
        <v>3216</v>
      </c>
      <c r="BT1" s="31" t="s">
        <v>3217</v>
      </c>
      <c r="BU1" s="31" t="s">
        <v>3218</v>
      </c>
      <c r="BV1" s="31" t="s">
        <v>3219</v>
      </c>
      <c r="BW1" s="31" t="s">
        <v>3220</v>
      </c>
    </row>
    <row r="2" ht="18.75" customHeight="1">
      <c r="A2" s="19" t="s">
        <v>54</v>
      </c>
      <c r="B2" s="117" t="s">
        <v>3221</v>
      </c>
      <c r="C2" s="118">
        <v>0.2</v>
      </c>
      <c r="D2" s="37">
        <v>1.0</v>
      </c>
      <c r="E2" s="37">
        <v>1.0</v>
      </c>
      <c r="F2" s="37" t="s">
        <v>3222</v>
      </c>
      <c r="G2" s="37">
        <v>60.0</v>
      </c>
      <c r="H2" s="37">
        <v>40.0</v>
      </c>
      <c r="I2" s="37">
        <v>20.0</v>
      </c>
      <c r="J2" s="37">
        <v>0.0</v>
      </c>
      <c r="K2" s="37">
        <v>25.0</v>
      </c>
      <c r="L2" s="37">
        <v>0.0</v>
      </c>
      <c r="M2" s="37">
        <v>0.0</v>
      </c>
      <c r="N2" s="37">
        <v>25.0</v>
      </c>
      <c r="O2" s="37">
        <v>10.0</v>
      </c>
      <c r="P2" s="37">
        <v>0.0</v>
      </c>
      <c r="Q2" s="37">
        <v>0.0</v>
      </c>
      <c r="R2" s="37">
        <v>0.0</v>
      </c>
      <c r="S2" s="37">
        <v>0.0</v>
      </c>
      <c r="T2" s="37">
        <v>0.0</v>
      </c>
      <c r="U2" s="37">
        <v>0.0</v>
      </c>
      <c r="V2" s="118">
        <v>0.0</v>
      </c>
      <c r="W2" s="118">
        <v>0.1</v>
      </c>
      <c r="X2" s="118">
        <v>0.0</v>
      </c>
      <c r="Y2" s="118">
        <v>0.0</v>
      </c>
      <c r="Z2" s="118">
        <v>0.0</v>
      </c>
      <c r="AA2" s="118">
        <v>0.05</v>
      </c>
      <c r="AB2" s="118">
        <v>-0.05</v>
      </c>
      <c r="AC2" s="118">
        <v>0.05</v>
      </c>
      <c r="AK2" s="64"/>
      <c r="AL2" s="64"/>
      <c r="BJ2" s="37" t="b">
        <f t="shared" ref="BJ2:BJ7" si="1">TRUE()</f>
        <v>1</v>
      </c>
      <c r="BK2" s="37">
        <v>1.0</v>
      </c>
      <c r="BL2" s="37" t="s">
        <v>3223</v>
      </c>
      <c r="BM2" s="37">
        <v>26.0</v>
      </c>
      <c r="BN2" s="37" t="s">
        <v>3224</v>
      </c>
      <c r="BO2" s="37" t="s">
        <v>3225</v>
      </c>
      <c r="BT2" s="119" t="s">
        <v>3225</v>
      </c>
      <c r="BU2" s="119"/>
      <c r="BV2" s="119"/>
      <c r="BW2" s="119"/>
    </row>
    <row r="3" ht="18.75" customHeight="1">
      <c r="A3" s="19" t="s">
        <v>56</v>
      </c>
      <c r="B3" s="117" t="s">
        <v>3226</v>
      </c>
      <c r="C3" s="118">
        <v>0.6</v>
      </c>
      <c r="D3" s="37">
        <v>3.0</v>
      </c>
      <c r="E3" s="37">
        <v>2.0</v>
      </c>
      <c r="F3" s="37" t="s">
        <v>3222</v>
      </c>
      <c r="G3" s="37">
        <v>25.0</v>
      </c>
      <c r="H3" s="37">
        <v>60.0</v>
      </c>
      <c r="I3" s="37">
        <v>35.0</v>
      </c>
      <c r="J3" s="37">
        <v>0.0</v>
      </c>
      <c r="K3" s="37">
        <v>100.0</v>
      </c>
      <c r="L3" s="39">
        <v>0.0</v>
      </c>
      <c r="M3" s="39">
        <v>0.0</v>
      </c>
      <c r="N3" s="37">
        <v>25.0</v>
      </c>
      <c r="O3" s="37">
        <v>0.0</v>
      </c>
      <c r="P3" s="37">
        <v>0.0</v>
      </c>
      <c r="Q3" s="37">
        <v>0.0</v>
      </c>
      <c r="R3" s="37">
        <v>0.0</v>
      </c>
      <c r="S3" s="37">
        <v>0.0</v>
      </c>
      <c r="T3" s="39">
        <v>0.0</v>
      </c>
      <c r="U3" s="39">
        <v>0.0</v>
      </c>
      <c r="V3" s="118">
        <v>-0.05</v>
      </c>
      <c r="W3" s="118">
        <v>-0.05</v>
      </c>
      <c r="X3" s="118">
        <v>0.05</v>
      </c>
      <c r="Y3" s="118">
        <v>0.0</v>
      </c>
      <c r="Z3" s="118">
        <v>0.0</v>
      </c>
      <c r="AA3" s="118">
        <v>0.05</v>
      </c>
      <c r="AB3" s="118">
        <v>0.05</v>
      </c>
      <c r="AC3" s="118">
        <v>0.1</v>
      </c>
      <c r="AK3" s="64">
        <v>-10.0</v>
      </c>
      <c r="AL3" s="64">
        <v>-5.0</v>
      </c>
      <c r="AS3" s="37">
        <v>35.0</v>
      </c>
      <c r="BB3" s="37">
        <v>15.0</v>
      </c>
      <c r="BJ3" s="37" t="b">
        <f t="shared" si="1"/>
        <v>1</v>
      </c>
      <c r="BK3" s="37">
        <v>3.0</v>
      </c>
      <c r="BL3" s="37" t="s">
        <v>3227</v>
      </c>
      <c r="BM3" s="37">
        <v>18.0</v>
      </c>
      <c r="BN3" s="37" t="s">
        <v>56</v>
      </c>
      <c r="BO3" s="37" t="s">
        <v>3225</v>
      </c>
      <c r="BT3" s="119" t="s">
        <v>3225</v>
      </c>
      <c r="BU3" s="119"/>
      <c r="BV3" s="119"/>
      <c r="BW3" s="119"/>
    </row>
    <row r="4" ht="18.75" customHeight="1">
      <c r="A4" s="19" t="s">
        <v>58</v>
      </c>
      <c r="B4" s="117" t="s">
        <v>3228</v>
      </c>
      <c r="C4" s="118">
        <v>0.5</v>
      </c>
      <c r="D4" s="37">
        <v>3.0</v>
      </c>
      <c r="E4" s="37">
        <v>2.0</v>
      </c>
      <c r="F4" s="37" t="s">
        <v>3222</v>
      </c>
      <c r="G4" s="37">
        <v>20.0</v>
      </c>
      <c r="H4" s="37">
        <v>20.0</v>
      </c>
      <c r="I4" s="37">
        <v>60.0</v>
      </c>
      <c r="J4" s="37">
        <v>10.0</v>
      </c>
      <c r="K4" s="37">
        <v>40.0</v>
      </c>
      <c r="L4" s="39">
        <v>0.0</v>
      </c>
      <c r="M4" s="39">
        <v>0.0</v>
      </c>
      <c r="N4" s="37">
        <v>100.0</v>
      </c>
      <c r="O4" s="37">
        <v>80.0</v>
      </c>
      <c r="P4" s="39">
        <v>0.0</v>
      </c>
      <c r="Q4" s="39">
        <v>0.0</v>
      </c>
      <c r="R4" s="39">
        <v>0.0</v>
      </c>
      <c r="S4" s="37">
        <v>10.0</v>
      </c>
      <c r="T4" s="39">
        <v>0.0</v>
      </c>
      <c r="U4" s="39">
        <v>0.0</v>
      </c>
      <c r="V4" s="118">
        <v>-0.05</v>
      </c>
      <c r="W4" s="118">
        <v>-0.05</v>
      </c>
      <c r="X4" s="118">
        <v>0.1</v>
      </c>
      <c r="Y4" s="118">
        <v>0.1</v>
      </c>
      <c r="Z4" s="118">
        <v>0.0</v>
      </c>
      <c r="AA4" s="118">
        <v>-0.05</v>
      </c>
      <c r="AB4" s="118">
        <v>0.15</v>
      </c>
      <c r="AC4" s="118">
        <v>0.1</v>
      </c>
      <c r="AK4" s="64"/>
      <c r="AL4" s="64"/>
      <c r="AS4" s="37">
        <v>-10.0</v>
      </c>
      <c r="BJ4" s="37" t="b">
        <f t="shared" si="1"/>
        <v>1</v>
      </c>
      <c r="BK4" s="37">
        <v>4.0</v>
      </c>
      <c r="BL4" s="37" t="s">
        <v>3229</v>
      </c>
      <c r="BM4" s="37">
        <v>12.0</v>
      </c>
      <c r="BN4" s="37" t="s">
        <v>3230</v>
      </c>
      <c r="BO4" s="37" t="s">
        <v>3225</v>
      </c>
      <c r="BQ4" s="37" t="s">
        <v>3230</v>
      </c>
    </row>
    <row r="5" ht="18.75" customHeight="1">
      <c r="A5" s="19" t="s">
        <v>57</v>
      </c>
      <c r="B5" s="117" t="s">
        <v>3231</v>
      </c>
      <c r="C5" s="118">
        <v>0.8</v>
      </c>
      <c r="D5" s="37">
        <v>5.0</v>
      </c>
      <c r="E5" s="37">
        <v>2.0</v>
      </c>
      <c r="F5" s="37" t="s">
        <v>3222</v>
      </c>
      <c r="G5" s="37">
        <v>10.0</v>
      </c>
      <c r="H5" s="37">
        <v>10.0</v>
      </c>
      <c r="I5" s="37">
        <v>20.0</v>
      </c>
      <c r="J5" s="37">
        <v>10.0</v>
      </c>
      <c r="K5" s="37">
        <v>30.0</v>
      </c>
      <c r="L5" s="39">
        <v>0.0</v>
      </c>
      <c r="M5" s="37">
        <v>0.0</v>
      </c>
      <c r="N5" s="37">
        <v>150.0</v>
      </c>
      <c r="O5" s="37">
        <v>200.0</v>
      </c>
      <c r="P5" s="39">
        <v>0.0</v>
      </c>
      <c r="Q5" s="39">
        <v>0.0</v>
      </c>
      <c r="R5" s="39">
        <v>0.0</v>
      </c>
      <c r="S5" s="37">
        <v>30.0</v>
      </c>
      <c r="T5" s="39">
        <v>0.0</v>
      </c>
      <c r="U5" s="39">
        <v>0.0</v>
      </c>
      <c r="V5" s="118">
        <v>-0.1</v>
      </c>
      <c r="W5" s="118">
        <v>-0.05</v>
      </c>
      <c r="X5" s="118">
        <v>0.15</v>
      </c>
      <c r="Y5" s="118">
        <v>0.2</v>
      </c>
      <c r="Z5" s="118">
        <v>0.0</v>
      </c>
      <c r="AA5" s="118">
        <v>-0.05</v>
      </c>
      <c r="AB5" s="118">
        <v>0.2</v>
      </c>
      <c r="AC5" s="118">
        <v>0.1</v>
      </c>
      <c r="AK5" s="64">
        <v>-15.0</v>
      </c>
      <c r="AL5" s="64">
        <v>-10.0</v>
      </c>
      <c r="BB5" s="37">
        <v>25.0</v>
      </c>
      <c r="BJ5" s="37" t="b">
        <f t="shared" si="1"/>
        <v>1</v>
      </c>
      <c r="BK5" s="37">
        <v>5.0</v>
      </c>
      <c r="BL5" s="37" t="s">
        <v>3232</v>
      </c>
      <c r="BM5" s="37">
        <v>10.0</v>
      </c>
      <c r="BN5" s="37" t="s">
        <v>3233</v>
      </c>
      <c r="BO5" s="37" t="s">
        <v>3225</v>
      </c>
      <c r="BP5" s="37">
        <v>0.2</v>
      </c>
      <c r="BQ5" s="37" t="s">
        <v>3233</v>
      </c>
    </row>
    <row r="6" ht="18.75" customHeight="1">
      <c r="A6" s="19" t="s">
        <v>60</v>
      </c>
      <c r="B6" s="117" t="s">
        <v>3234</v>
      </c>
      <c r="C6" s="118">
        <v>0.5</v>
      </c>
      <c r="D6" s="37">
        <v>2.0</v>
      </c>
      <c r="E6" s="37">
        <v>1.0</v>
      </c>
      <c r="F6" s="37" t="s">
        <v>3235</v>
      </c>
      <c r="G6" s="37">
        <v>10.0</v>
      </c>
      <c r="H6" s="37">
        <v>10.0</v>
      </c>
      <c r="I6" s="37">
        <v>0.0</v>
      </c>
      <c r="J6" s="37">
        <v>90.0</v>
      </c>
      <c r="K6" s="37">
        <v>0.0</v>
      </c>
      <c r="L6" s="37">
        <v>0.0</v>
      </c>
      <c r="M6" s="37">
        <v>0.0</v>
      </c>
      <c r="N6" s="37">
        <v>0.0</v>
      </c>
      <c r="O6" s="37">
        <v>35.0</v>
      </c>
      <c r="P6" s="39">
        <v>0.0</v>
      </c>
      <c r="Q6" s="37">
        <v>0.0</v>
      </c>
      <c r="R6" s="37">
        <v>0.0</v>
      </c>
      <c r="S6" s="37">
        <v>8.0</v>
      </c>
      <c r="T6" s="39">
        <v>0.0</v>
      </c>
      <c r="U6" s="39">
        <v>0.0</v>
      </c>
      <c r="V6" s="118">
        <v>0.1</v>
      </c>
      <c r="W6" s="118">
        <v>-0.1</v>
      </c>
      <c r="X6" s="118">
        <v>-0.05</v>
      </c>
      <c r="Y6" s="118">
        <v>0.0</v>
      </c>
      <c r="Z6" s="118">
        <v>0.0</v>
      </c>
      <c r="AA6" s="118">
        <v>0.2</v>
      </c>
      <c r="AB6" s="118">
        <v>-0.1</v>
      </c>
      <c r="AC6" s="118">
        <v>0.05</v>
      </c>
      <c r="AK6" s="64"/>
      <c r="AL6" s="64"/>
      <c r="BB6" s="37">
        <v>35.0</v>
      </c>
      <c r="BJ6" s="37" t="b">
        <f t="shared" si="1"/>
        <v>1</v>
      </c>
      <c r="BK6" s="37">
        <v>9.0</v>
      </c>
      <c r="BL6" s="37" t="s">
        <v>3236</v>
      </c>
      <c r="BM6" s="37">
        <v>8.0</v>
      </c>
      <c r="BN6" s="37" t="s">
        <v>60</v>
      </c>
      <c r="BO6" s="37" t="s">
        <v>3225</v>
      </c>
    </row>
    <row r="7" ht="18.75" customHeight="1">
      <c r="A7" s="19" t="s">
        <v>59</v>
      </c>
      <c r="B7" s="117" t="s">
        <v>3237</v>
      </c>
      <c r="C7" s="118">
        <v>0.4</v>
      </c>
      <c r="D7" s="37">
        <v>2.0</v>
      </c>
      <c r="E7" s="37">
        <v>1.0</v>
      </c>
      <c r="F7" s="37" t="s">
        <v>3222</v>
      </c>
      <c r="G7" s="37">
        <v>20.0</v>
      </c>
      <c r="H7" s="37">
        <v>15.0</v>
      </c>
      <c r="I7" s="37">
        <v>5.0</v>
      </c>
      <c r="J7" s="37">
        <v>35.0</v>
      </c>
      <c r="K7" s="37">
        <v>0.0</v>
      </c>
      <c r="L7" s="37">
        <v>0.0</v>
      </c>
      <c r="M7" s="37">
        <v>0.0</v>
      </c>
      <c r="N7" s="37">
        <v>0.0</v>
      </c>
      <c r="O7" s="37">
        <v>0.0</v>
      </c>
      <c r="P7" s="37">
        <v>0.0</v>
      </c>
      <c r="Q7" s="37">
        <v>0.0</v>
      </c>
      <c r="R7" s="37">
        <v>0.0</v>
      </c>
      <c r="S7" s="37">
        <v>5.0</v>
      </c>
      <c r="T7" s="39">
        <v>0.0</v>
      </c>
      <c r="U7" s="39">
        <v>0.0</v>
      </c>
      <c r="V7" s="118">
        <v>0.2</v>
      </c>
      <c r="W7" s="118">
        <v>-0.05</v>
      </c>
      <c r="X7" s="118">
        <v>-0.05</v>
      </c>
      <c r="Y7" s="118">
        <v>0.0</v>
      </c>
      <c r="Z7" s="118">
        <v>0.0</v>
      </c>
      <c r="AA7" s="118">
        <v>0.2</v>
      </c>
      <c r="AB7" s="118">
        <v>-0.05</v>
      </c>
      <c r="AC7" s="118">
        <v>0.05</v>
      </c>
      <c r="AK7" s="64"/>
      <c r="AL7" s="64"/>
      <c r="BJ7" s="37" t="b">
        <f t="shared" si="1"/>
        <v>1</v>
      </c>
      <c r="BK7" s="37">
        <v>8.0</v>
      </c>
      <c r="BL7" s="37" t="s">
        <v>3238</v>
      </c>
      <c r="BM7" s="37">
        <v>10.0</v>
      </c>
      <c r="BN7" s="37" t="s">
        <v>3239</v>
      </c>
      <c r="BO7" s="37" t="s">
        <v>3225</v>
      </c>
      <c r="BQ7" s="37" t="s">
        <v>3240</v>
      </c>
    </row>
    <row r="8" ht="18.75" customHeight="1">
      <c r="A8" s="19" t="s">
        <v>3241</v>
      </c>
      <c r="B8" s="117" t="s">
        <v>3242</v>
      </c>
      <c r="C8" s="118">
        <v>0.4</v>
      </c>
      <c r="D8" s="37">
        <v>2.0</v>
      </c>
      <c r="E8" s="37">
        <v>4.0</v>
      </c>
      <c r="F8" s="37" t="s">
        <v>3222</v>
      </c>
      <c r="G8" s="37">
        <v>25.0</v>
      </c>
      <c r="H8" s="37">
        <v>35.0</v>
      </c>
      <c r="I8" s="37">
        <v>10.0</v>
      </c>
      <c r="J8" s="37">
        <v>60.0</v>
      </c>
      <c r="K8" s="37">
        <v>0.0</v>
      </c>
      <c r="L8" s="37">
        <v>0.0</v>
      </c>
      <c r="M8" s="37">
        <v>0.0</v>
      </c>
      <c r="N8" s="37">
        <v>0.0</v>
      </c>
      <c r="O8" s="37">
        <v>0.0</v>
      </c>
      <c r="P8" s="37">
        <v>0.0</v>
      </c>
      <c r="Q8" s="37">
        <v>0.0</v>
      </c>
      <c r="R8" s="37">
        <v>0.0</v>
      </c>
      <c r="S8" s="37">
        <v>5.0</v>
      </c>
      <c r="T8" s="39">
        <v>0.0</v>
      </c>
      <c r="U8" s="39">
        <v>0.0</v>
      </c>
      <c r="V8" s="118">
        <v>0.2</v>
      </c>
      <c r="W8" s="118">
        <v>-0.05</v>
      </c>
      <c r="X8" s="118">
        <v>-0.05</v>
      </c>
      <c r="Y8" s="118">
        <v>0.0</v>
      </c>
      <c r="Z8" s="118">
        <v>0.0</v>
      </c>
      <c r="AA8" s="118">
        <v>0.2</v>
      </c>
      <c r="AB8" s="118">
        <v>-0.05</v>
      </c>
      <c r="AC8" s="118">
        <v>0.05</v>
      </c>
      <c r="AK8" s="64"/>
      <c r="AL8" s="64"/>
    </row>
    <row r="9" ht="18.75" customHeight="1">
      <c r="A9" s="19" t="s">
        <v>61</v>
      </c>
      <c r="B9" s="117" t="s">
        <v>3243</v>
      </c>
      <c r="C9" s="118">
        <v>0.75</v>
      </c>
      <c r="D9" s="37">
        <v>4.0</v>
      </c>
      <c r="E9" s="37">
        <v>2.0</v>
      </c>
      <c r="F9" s="37" t="s">
        <v>3235</v>
      </c>
      <c r="G9" s="37">
        <v>10.0</v>
      </c>
      <c r="H9" s="37">
        <v>10.0</v>
      </c>
      <c r="I9" s="37">
        <v>0.0</v>
      </c>
      <c r="J9" s="37">
        <v>110.0</v>
      </c>
      <c r="K9" s="37">
        <v>0.0</v>
      </c>
      <c r="L9" s="37">
        <v>0.0</v>
      </c>
      <c r="M9" s="37">
        <v>0.0</v>
      </c>
      <c r="N9" s="37">
        <v>0.0</v>
      </c>
      <c r="O9" s="37">
        <v>35.0</v>
      </c>
      <c r="P9" s="39">
        <v>0.0</v>
      </c>
      <c r="Q9" s="37">
        <v>0.0</v>
      </c>
      <c r="R9" s="37">
        <v>0.0</v>
      </c>
      <c r="S9" s="37">
        <v>20.0</v>
      </c>
      <c r="T9" s="39">
        <v>0.0</v>
      </c>
      <c r="U9" s="39">
        <v>0.0</v>
      </c>
      <c r="V9" s="118">
        <v>0.35</v>
      </c>
      <c r="W9" s="118">
        <v>-0.1</v>
      </c>
      <c r="X9" s="118">
        <v>-0.05</v>
      </c>
      <c r="Y9" s="118">
        <v>0.0</v>
      </c>
      <c r="Z9" s="118">
        <v>0.0</v>
      </c>
      <c r="AA9" s="118">
        <v>0.35</v>
      </c>
      <c r="AB9" s="118">
        <v>-0.1</v>
      </c>
      <c r="AC9" s="118">
        <v>0.05</v>
      </c>
      <c r="AK9" s="64"/>
      <c r="AL9" s="64"/>
      <c r="BJ9" s="37" t="b">
        <f t="shared" ref="BJ9:BJ11" si="2">TRUE()</f>
        <v>1</v>
      </c>
      <c r="BK9" s="37">
        <v>10.0</v>
      </c>
      <c r="BL9" s="37" t="s">
        <v>3244</v>
      </c>
      <c r="BM9" s="37">
        <v>7.0</v>
      </c>
      <c r="BN9" s="37" t="s">
        <v>61</v>
      </c>
    </row>
    <row r="10" ht="18.75" customHeight="1">
      <c r="A10" s="19" t="s">
        <v>3245</v>
      </c>
      <c r="B10" s="117" t="s">
        <v>3221</v>
      </c>
      <c r="C10" s="118">
        <v>0.3</v>
      </c>
      <c r="D10" s="37">
        <v>1.0</v>
      </c>
      <c r="E10" s="37">
        <v>1.0</v>
      </c>
      <c r="F10" s="37" t="s">
        <v>3222</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118">
        <v>0.0</v>
      </c>
      <c r="W10" s="118">
        <v>0.1</v>
      </c>
      <c r="X10" s="118">
        <v>0.0</v>
      </c>
      <c r="Y10" s="118">
        <v>0.0</v>
      </c>
      <c r="Z10" s="118">
        <v>0.1</v>
      </c>
      <c r="AA10" s="118">
        <v>0.0</v>
      </c>
      <c r="AB10" s="118">
        <v>0.1</v>
      </c>
      <c r="AC10" s="118">
        <v>0.0</v>
      </c>
      <c r="AK10" s="64"/>
      <c r="AL10" s="64"/>
      <c r="BJ10" s="37" t="b">
        <f t="shared" si="2"/>
        <v>1</v>
      </c>
      <c r="BK10" s="37">
        <v>2.0</v>
      </c>
      <c r="BL10" s="37" t="s">
        <v>3246</v>
      </c>
      <c r="BM10" s="37">
        <v>12.0</v>
      </c>
      <c r="BN10" s="37" t="s">
        <v>3247</v>
      </c>
      <c r="BO10" s="37" t="s">
        <v>3225</v>
      </c>
      <c r="BQ10" s="37" t="s">
        <v>3247</v>
      </c>
      <c r="BT10" s="119" t="s">
        <v>3225</v>
      </c>
      <c r="BU10" s="119"/>
      <c r="BV10" s="119"/>
      <c r="BW10" s="119"/>
    </row>
    <row r="11" ht="18.75" customHeight="1">
      <c r="A11" s="19" t="s">
        <v>62</v>
      </c>
      <c r="B11" s="117" t="s">
        <v>3248</v>
      </c>
      <c r="C11" s="118">
        <v>0.5</v>
      </c>
      <c r="D11" s="37">
        <v>4.0</v>
      </c>
      <c r="E11" s="37">
        <v>2.0</v>
      </c>
      <c r="F11" s="37" t="s">
        <v>3222</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118">
        <v>-0.05</v>
      </c>
      <c r="W11" s="118">
        <v>0.05</v>
      </c>
      <c r="X11" s="118">
        <v>-0.1</v>
      </c>
      <c r="Y11" s="118">
        <v>0.0</v>
      </c>
      <c r="Z11" s="118">
        <v>0.3</v>
      </c>
      <c r="AA11" s="118">
        <v>-0.05</v>
      </c>
      <c r="AB11" s="118">
        <v>0.05</v>
      </c>
      <c r="AC11" s="118">
        <v>0.05</v>
      </c>
      <c r="AK11" s="64">
        <v>-10.0</v>
      </c>
      <c r="AL11" s="64">
        <v>-10.0</v>
      </c>
      <c r="AS11" s="37">
        <v>-10.0</v>
      </c>
      <c r="BJ11" s="37" t="b">
        <f t="shared" si="2"/>
        <v>1</v>
      </c>
      <c r="BK11" s="37">
        <v>11.0</v>
      </c>
      <c r="BL11" s="37" t="s">
        <v>3249</v>
      </c>
      <c r="BM11" s="37">
        <v>7.0</v>
      </c>
      <c r="BN11" s="37" t="s">
        <v>3250</v>
      </c>
      <c r="BO11" s="37" t="s">
        <v>3225</v>
      </c>
      <c r="BT11" s="119" t="s">
        <v>3225</v>
      </c>
      <c r="BU11" s="119"/>
      <c r="BV11" s="119"/>
      <c r="BW11" s="119"/>
    </row>
    <row r="12" ht="18.75" customHeight="1">
      <c r="A12" s="19" t="s">
        <v>63</v>
      </c>
      <c r="B12" s="117" t="s">
        <v>3251</v>
      </c>
      <c r="C12" s="118">
        <v>0.65</v>
      </c>
      <c r="D12" s="37">
        <v>4.0</v>
      </c>
      <c r="E12" s="37">
        <v>3.0</v>
      </c>
      <c r="F12" s="37" t="s">
        <v>3222</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118">
        <v>0.1</v>
      </c>
      <c r="W12" s="118">
        <v>0.0</v>
      </c>
      <c r="X12" s="118">
        <v>0.0</v>
      </c>
      <c r="Y12" s="118">
        <v>0.0</v>
      </c>
      <c r="Z12" s="118">
        <v>0.0</v>
      </c>
      <c r="AA12" s="118">
        <v>0.3</v>
      </c>
      <c r="AB12" s="118">
        <v>0.0</v>
      </c>
      <c r="AC12" s="118">
        <v>0.1</v>
      </c>
      <c r="AK12" s="64">
        <v>-25.0</v>
      </c>
      <c r="AL12" s="64">
        <v>-15.0</v>
      </c>
      <c r="AS12" s="37">
        <v>10.0</v>
      </c>
      <c r="BO12" s="37" t="s">
        <v>3252</v>
      </c>
      <c r="BQ12" s="37" t="s">
        <v>3253</v>
      </c>
      <c r="BT12" s="119" t="s">
        <v>3252</v>
      </c>
      <c r="BU12" s="119"/>
      <c r="BV12" s="119"/>
      <c r="BW12" s="119"/>
    </row>
    <row r="13" ht="18.75" customHeight="1">
      <c r="A13" s="19" t="s">
        <v>3254</v>
      </c>
      <c r="B13" s="117" t="s">
        <v>3251</v>
      </c>
      <c r="C13" s="118">
        <v>0.65</v>
      </c>
      <c r="D13" s="37">
        <v>4.0</v>
      </c>
      <c r="E13" s="37">
        <v>3.0</v>
      </c>
      <c r="F13" s="37" t="s">
        <v>3222</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118">
        <v>0.1</v>
      </c>
      <c r="W13" s="118">
        <v>0.0</v>
      </c>
      <c r="X13" s="118">
        <v>0.0</v>
      </c>
      <c r="Y13" s="118">
        <v>0.0</v>
      </c>
      <c r="Z13" s="118">
        <v>0.0</v>
      </c>
      <c r="AA13" s="118">
        <v>0.3</v>
      </c>
      <c r="AB13" s="118">
        <v>0.0</v>
      </c>
      <c r="AC13" s="118">
        <v>0.1</v>
      </c>
      <c r="AK13" s="64">
        <v>-25.0</v>
      </c>
      <c r="AL13" s="64">
        <v>-15.0</v>
      </c>
      <c r="AS13" s="37">
        <v>10.0</v>
      </c>
      <c r="BT13" s="119" t="s">
        <v>3252</v>
      </c>
      <c r="BU13" s="119"/>
      <c r="BV13" s="119"/>
      <c r="BW13" s="119"/>
    </row>
    <row r="14" ht="18.75" customHeight="1">
      <c r="A14" s="19" t="s">
        <v>64</v>
      </c>
      <c r="B14" s="117" t="s">
        <v>3255</v>
      </c>
      <c r="C14" s="118">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118">
        <v>-0.1</v>
      </c>
      <c r="W14" s="118">
        <v>-0.05</v>
      </c>
      <c r="X14" s="118">
        <v>0.05</v>
      </c>
      <c r="Y14" s="118">
        <v>0.1</v>
      </c>
      <c r="Z14" s="118">
        <v>0.05</v>
      </c>
      <c r="AA14" s="118">
        <v>-0.2</v>
      </c>
      <c r="AB14" s="118">
        <v>0.3</v>
      </c>
      <c r="AC14" s="118">
        <v>0.05</v>
      </c>
      <c r="AK14" s="64"/>
      <c r="AL14" s="64"/>
      <c r="AS14" s="37">
        <v>15.0</v>
      </c>
      <c r="BO14" s="37" t="s">
        <v>3252</v>
      </c>
      <c r="BQ14" s="37" t="s">
        <v>3256</v>
      </c>
    </row>
    <row r="15" ht="18.75" customHeight="1">
      <c r="A15" s="19" t="s">
        <v>65</v>
      </c>
      <c r="B15" s="117" t="s">
        <v>3257</v>
      </c>
      <c r="C15" s="118">
        <v>0.9</v>
      </c>
      <c r="D15" s="37">
        <v>6.0</v>
      </c>
      <c r="E15" s="37">
        <v>1.0</v>
      </c>
      <c r="F15" s="37" t="s">
        <v>3222</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118">
        <v>0.0</v>
      </c>
      <c r="W15" s="118">
        <v>0.0</v>
      </c>
      <c r="X15" s="118">
        <v>0.0</v>
      </c>
      <c r="Y15" s="118">
        <v>0.0</v>
      </c>
      <c r="Z15" s="118">
        <v>0.0</v>
      </c>
      <c r="AA15" s="118">
        <v>-0.3</v>
      </c>
      <c r="AB15" s="118">
        <v>0.25</v>
      </c>
      <c r="AC15" s="118">
        <v>0.0</v>
      </c>
      <c r="AK15" s="64"/>
      <c r="AL15" s="64"/>
      <c r="AS15" s="64">
        <v>45.0</v>
      </c>
      <c r="BO15" s="37" t="s">
        <v>3252</v>
      </c>
      <c r="BQ15" s="37" t="s">
        <v>3258</v>
      </c>
      <c r="BU15" s="39" t="s">
        <v>3259</v>
      </c>
      <c r="BV15" s="39">
        <v>1.0</v>
      </c>
      <c r="BW15" s="39"/>
    </row>
    <row r="16" ht="18.75" customHeight="1">
      <c r="A16" s="19" t="s">
        <v>66</v>
      </c>
      <c r="B16" s="117" t="s">
        <v>3260</v>
      </c>
      <c r="C16" s="118">
        <v>0.65</v>
      </c>
      <c r="D16" s="37">
        <v>3.0</v>
      </c>
      <c r="E16" s="37">
        <v>1.0</v>
      </c>
      <c r="F16" s="37" t="s">
        <v>3222</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118">
        <v>-0.05</v>
      </c>
      <c r="W16" s="118">
        <v>0.05</v>
      </c>
      <c r="X16" s="118">
        <v>0.25</v>
      </c>
      <c r="Y16" s="118">
        <v>0.0</v>
      </c>
      <c r="Z16" s="118">
        <v>0.0</v>
      </c>
      <c r="AA16" s="118">
        <v>-0.05</v>
      </c>
      <c r="AB16" s="118">
        <v>0.1</v>
      </c>
      <c r="AC16" s="118">
        <v>0.1</v>
      </c>
      <c r="AK16" s="64">
        <v>-15.0</v>
      </c>
      <c r="AL16" s="64">
        <v>-10.0</v>
      </c>
      <c r="BJ16" s="37" t="b">
        <f t="shared" ref="BJ16:BJ17" si="3">TRUE()</f>
        <v>1</v>
      </c>
      <c r="BK16" s="37">
        <v>6.0</v>
      </c>
      <c r="BL16" s="37" t="s">
        <v>3261</v>
      </c>
      <c r="BM16" s="37">
        <v>6.0</v>
      </c>
      <c r="BN16" s="37" t="s">
        <v>3262</v>
      </c>
      <c r="BO16" s="37" t="s">
        <v>3225</v>
      </c>
      <c r="BQ16" s="37" t="s">
        <v>3262</v>
      </c>
      <c r="BT16" s="119" t="s">
        <v>3225</v>
      </c>
      <c r="BU16" s="119"/>
      <c r="BV16" s="119"/>
      <c r="BW16" s="119"/>
    </row>
    <row r="17" ht="18.75" customHeight="1">
      <c r="A17" s="19" t="s">
        <v>67</v>
      </c>
      <c r="B17" s="117" t="s">
        <v>3263</v>
      </c>
      <c r="C17" s="118">
        <v>0.95</v>
      </c>
      <c r="D17" s="37">
        <v>6.0</v>
      </c>
      <c r="E17" s="37">
        <v>2.0</v>
      </c>
      <c r="F17" s="37" t="s">
        <v>3222</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118">
        <v>0.0</v>
      </c>
      <c r="W17" s="118">
        <v>0.0</v>
      </c>
      <c r="X17" s="118">
        <v>0.0</v>
      </c>
      <c r="Y17" s="118">
        <v>0.4</v>
      </c>
      <c r="Z17" s="118">
        <v>0.1</v>
      </c>
      <c r="AA17" s="118">
        <v>-0.3</v>
      </c>
      <c r="AB17" s="118">
        <v>0.3</v>
      </c>
      <c r="AC17" s="118">
        <v>0.15</v>
      </c>
      <c r="AK17" s="64"/>
      <c r="AL17" s="64"/>
      <c r="BB17" s="37">
        <v>50.0</v>
      </c>
      <c r="BJ17" s="37" t="b">
        <f t="shared" si="3"/>
        <v>1</v>
      </c>
      <c r="BK17" s="37">
        <v>7.0</v>
      </c>
      <c r="BL17" s="37" t="s">
        <v>3264</v>
      </c>
      <c r="BM17" s="37">
        <v>4.0</v>
      </c>
      <c r="BN17" s="37" t="s">
        <v>3265</v>
      </c>
      <c r="BO17" s="37" t="s">
        <v>3225</v>
      </c>
    </row>
    <row r="18" ht="18.75" customHeight="1">
      <c r="A18" s="19" t="s">
        <v>68</v>
      </c>
      <c r="B18" s="117" t="s">
        <v>3266</v>
      </c>
      <c r="C18" s="118">
        <v>0.9</v>
      </c>
      <c r="D18" s="37">
        <v>3.0</v>
      </c>
      <c r="E18" s="37">
        <v>2.0</v>
      </c>
      <c r="F18" s="37" t="s">
        <v>3267</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118">
        <v>0.0</v>
      </c>
      <c r="W18" s="118">
        <v>0.0</v>
      </c>
      <c r="X18" s="118">
        <v>0.0</v>
      </c>
      <c r="Y18" s="118">
        <v>0.0</v>
      </c>
      <c r="Z18" s="118">
        <v>0.0</v>
      </c>
      <c r="AA18" s="118">
        <v>0.0</v>
      </c>
      <c r="AB18" s="118">
        <v>0.0</v>
      </c>
      <c r="AC18" s="118">
        <v>0.0</v>
      </c>
      <c r="AK18" s="64">
        <v>-30.0</v>
      </c>
      <c r="AL18" s="64">
        <v>-30.0</v>
      </c>
      <c r="BR18" s="37">
        <v>0.1</v>
      </c>
      <c r="BS18" s="37" t="s">
        <v>2580</v>
      </c>
    </row>
    <row r="19" ht="18.75" customHeight="1">
      <c r="A19" s="19" t="s">
        <v>69</v>
      </c>
      <c r="B19" s="117" t="s">
        <v>3268</v>
      </c>
      <c r="C19" s="118">
        <v>0.9</v>
      </c>
      <c r="D19" s="37">
        <v>4.0</v>
      </c>
      <c r="E19" s="37">
        <v>0.0</v>
      </c>
      <c r="F19" s="37" t="s">
        <v>3222</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118">
        <v>0.0</v>
      </c>
      <c r="W19" s="118">
        <v>0.0</v>
      </c>
      <c r="X19" s="118">
        <v>0.0</v>
      </c>
      <c r="Y19" s="118">
        <v>0.0</v>
      </c>
      <c r="Z19" s="118">
        <v>0.0</v>
      </c>
      <c r="AA19" s="118">
        <v>0.0</v>
      </c>
      <c r="AB19" s="118">
        <v>0.0</v>
      </c>
      <c r="AC19" s="118">
        <v>0.0</v>
      </c>
      <c r="AK19" s="64"/>
      <c r="AL19" s="64">
        <v>-15.0</v>
      </c>
      <c r="AS19" s="64">
        <v>20.0</v>
      </c>
      <c r="BF19" s="37">
        <v>50.0</v>
      </c>
      <c r="BT19" s="119" t="s">
        <v>3252</v>
      </c>
      <c r="BU19" s="119"/>
      <c r="BV19" s="119"/>
      <c r="BW19" s="119"/>
    </row>
    <row r="20" ht="18.75" customHeight="1">
      <c r="A20" s="19"/>
      <c r="B20" s="117"/>
      <c r="C20" s="118"/>
      <c r="V20" s="118"/>
      <c r="W20" s="118"/>
      <c r="X20" s="118"/>
      <c r="Y20" s="118"/>
      <c r="Z20" s="118"/>
      <c r="AA20" s="118"/>
      <c r="AB20" s="118"/>
      <c r="AC20" s="118"/>
      <c r="AK20" s="64"/>
      <c r="AL20" s="64"/>
      <c r="AS20" s="64"/>
    </row>
    <row r="21" ht="18.75" customHeight="1">
      <c r="A21" s="19" t="s">
        <v>3269</v>
      </c>
      <c r="B21" s="117"/>
      <c r="C21" s="118"/>
      <c r="G21" s="37">
        <v>15.0</v>
      </c>
      <c r="H21" s="37">
        <v>15.0</v>
      </c>
      <c r="V21" s="118"/>
      <c r="W21" s="118"/>
      <c r="X21" s="118"/>
      <c r="Y21" s="118"/>
      <c r="Z21" s="118"/>
      <c r="AA21" s="118"/>
      <c r="AB21" s="118"/>
      <c r="AC21" s="118"/>
      <c r="AK21" s="64"/>
      <c r="AL21" s="64"/>
      <c r="AS21" s="64"/>
      <c r="BE21" s="37">
        <v>5.0</v>
      </c>
      <c r="BG21" s="37">
        <v>10.0</v>
      </c>
      <c r="BT21" s="119" t="s">
        <v>3252</v>
      </c>
      <c r="BU21" s="119" t="s">
        <v>3270</v>
      </c>
      <c r="BV21" s="119">
        <v>1.0</v>
      </c>
      <c r="BW21" s="119"/>
    </row>
    <row r="22" ht="18.75" customHeight="1">
      <c r="A22" s="19" t="s">
        <v>3271</v>
      </c>
      <c r="B22" s="117"/>
      <c r="C22" s="118">
        <v>0.3</v>
      </c>
      <c r="S22" s="37">
        <v>40.0</v>
      </c>
      <c r="V22" s="118"/>
      <c r="W22" s="118"/>
      <c r="X22" s="118"/>
      <c r="Y22" s="118"/>
      <c r="Z22" s="118"/>
      <c r="AA22" s="118"/>
      <c r="AB22" s="118"/>
      <c r="AC22" s="118"/>
      <c r="AK22" s="64"/>
      <c r="AL22" s="64"/>
      <c r="AS22" s="64"/>
      <c r="BU22" s="39" t="s">
        <v>3272</v>
      </c>
      <c r="BV22" s="39">
        <v>1.0</v>
      </c>
      <c r="BW22" s="39"/>
    </row>
    <row r="23" ht="18.75" customHeight="1">
      <c r="A23" s="19" t="s">
        <v>3273</v>
      </c>
      <c r="B23" s="117"/>
      <c r="C23" s="118">
        <v>0.15</v>
      </c>
      <c r="T23" s="39">
        <v>0.0</v>
      </c>
      <c r="V23" s="118"/>
      <c r="W23" s="118"/>
      <c r="X23" s="118"/>
      <c r="Y23" s="118"/>
      <c r="Z23" s="118"/>
      <c r="AA23" s="118"/>
      <c r="AB23" s="118"/>
      <c r="AC23" s="118"/>
      <c r="AK23" s="64"/>
      <c r="AL23" s="64"/>
      <c r="AS23" s="64"/>
      <c r="BU23" s="39" t="s">
        <v>3272</v>
      </c>
      <c r="BV23" s="39">
        <v>1.0</v>
      </c>
      <c r="BW23" s="39"/>
    </row>
    <row r="24" ht="18.75" customHeight="1">
      <c r="A24" s="19" t="s">
        <v>3274</v>
      </c>
      <c r="B24" s="117"/>
      <c r="C24" s="118">
        <v>0.15</v>
      </c>
      <c r="U24" s="39">
        <v>0.0</v>
      </c>
      <c r="V24" s="118"/>
      <c r="W24" s="118"/>
      <c r="X24" s="118"/>
      <c r="Y24" s="118"/>
      <c r="Z24" s="118"/>
      <c r="AA24" s="118"/>
      <c r="AB24" s="118"/>
      <c r="AC24" s="118"/>
      <c r="AK24" s="64"/>
      <c r="AL24" s="64"/>
      <c r="AS24" s="64"/>
      <c r="BU24" s="39" t="s">
        <v>3272</v>
      </c>
      <c r="BV24" s="39">
        <v>2.0</v>
      </c>
      <c r="BW24" s="39"/>
    </row>
    <row r="25" ht="18.75" customHeight="1">
      <c r="A25" s="19" t="s">
        <v>3275</v>
      </c>
      <c r="B25" s="117"/>
      <c r="C25" s="118">
        <v>0.1</v>
      </c>
      <c r="G25" s="37">
        <v>20.0</v>
      </c>
      <c r="J25" s="37">
        <v>10.0</v>
      </c>
      <c r="V25" s="118"/>
      <c r="W25" s="118"/>
      <c r="X25" s="118"/>
      <c r="Y25" s="118"/>
      <c r="Z25" s="118"/>
      <c r="AA25" s="118">
        <v>0.25</v>
      </c>
      <c r="AB25" s="118">
        <v>0.25</v>
      </c>
      <c r="AC25" s="118"/>
      <c r="AK25" s="64"/>
      <c r="AL25" s="64"/>
      <c r="AS25" s="64"/>
      <c r="BG25" s="37">
        <v>5.0</v>
      </c>
    </row>
    <row r="26" ht="18.75" customHeight="1">
      <c r="A26" s="19" t="s">
        <v>3276</v>
      </c>
      <c r="B26" s="117"/>
      <c r="C26" s="118"/>
      <c r="G26" s="37">
        <v>-15.0</v>
      </c>
      <c r="H26" s="37">
        <v>-15.0</v>
      </c>
      <c r="I26" s="37">
        <v>-15.0</v>
      </c>
      <c r="J26" s="37">
        <v>-15.0</v>
      </c>
      <c r="K26" s="37">
        <v>-15.0</v>
      </c>
      <c r="L26" s="39">
        <v>0.0</v>
      </c>
      <c r="M26" s="39">
        <v>0.0</v>
      </c>
      <c r="N26" s="37">
        <v>-15.0</v>
      </c>
      <c r="O26" s="37">
        <v>-15.0</v>
      </c>
      <c r="P26" s="39">
        <v>0.0</v>
      </c>
      <c r="Q26" s="39">
        <v>0.0</v>
      </c>
      <c r="R26" s="39">
        <v>0.0</v>
      </c>
      <c r="S26" s="37">
        <v>-15.0</v>
      </c>
      <c r="T26" s="39">
        <v>0.0</v>
      </c>
      <c r="V26" s="118"/>
      <c r="W26" s="118"/>
      <c r="X26" s="118"/>
      <c r="Y26" s="118"/>
      <c r="Z26" s="118"/>
      <c r="AA26" s="118"/>
      <c r="AB26" s="118"/>
      <c r="AC26" s="118"/>
      <c r="AK26" s="64"/>
      <c r="AL26" s="64"/>
      <c r="AS26" s="64"/>
      <c r="BF26" s="37">
        <v>20.0</v>
      </c>
    </row>
    <row r="27" ht="18.75" customHeight="1">
      <c r="A27" s="19"/>
      <c r="B27" s="117"/>
      <c r="C27" s="118"/>
      <c r="V27" s="118"/>
      <c r="W27" s="118"/>
      <c r="X27" s="118"/>
      <c r="Y27" s="118"/>
      <c r="Z27" s="118"/>
      <c r="AA27" s="118"/>
      <c r="AB27" s="118"/>
      <c r="AC27" s="118"/>
      <c r="AK27" s="64"/>
      <c r="AL27" s="64"/>
      <c r="AS27" s="64"/>
    </row>
    <row r="28" ht="18.75" customHeight="1">
      <c r="A28" s="24"/>
      <c r="B28" s="120"/>
    </row>
    <row r="29" ht="18.75" customHeight="1">
      <c r="A29" s="24" t="s">
        <v>3277</v>
      </c>
      <c r="B29" s="120" t="s">
        <v>3278</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3279</v>
      </c>
      <c r="B30" s="117" t="s">
        <v>3280</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3281</v>
      </c>
      <c r="B31" s="117" t="s">
        <v>3282</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3283</v>
      </c>
      <c r="B32" s="121" t="s">
        <v>3284</v>
      </c>
    </row>
    <row r="33" ht="18.75" customHeight="1">
      <c r="A33" s="28" t="s">
        <v>3285</v>
      </c>
      <c r="B33" s="121" t="s">
        <v>3286</v>
      </c>
    </row>
    <row r="34" ht="18.75" customHeight="1">
      <c r="A34" s="28" t="s">
        <v>3287</v>
      </c>
      <c r="B34" s="121" t="s">
        <v>3288</v>
      </c>
    </row>
    <row r="35" ht="18.75" customHeight="1">
      <c r="A35" s="28" t="s">
        <v>3289</v>
      </c>
      <c r="B35" s="121" t="s">
        <v>3290</v>
      </c>
    </row>
    <row r="36" ht="18.75" customHeight="1">
      <c r="A36" s="28" t="s">
        <v>3291</v>
      </c>
      <c r="B36" s="121" t="s">
        <v>3292</v>
      </c>
      <c r="BJ36" s="39" t="b">
        <v>0</v>
      </c>
      <c r="BM36" s="39">
        <v>0.0</v>
      </c>
      <c r="BT36" s="39" t="s">
        <v>2630</v>
      </c>
      <c r="BV36" s="39">
        <v>0.0</v>
      </c>
      <c r="BW36" s="39" t="s">
        <v>3293</v>
      </c>
    </row>
    <row r="37" ht="18.75" customHeight="1">
      <c r="A37" s="28" t="s">
        <v>3294</v>
      </c>
      <c r="B37" s="121" t="s">
        <v>3295</v>
      </c>
      <c r="BJ37" s="39" t="b">
        <v>0</v>
      </c>
      <c r="BM37" s="39">
        <v>0.0</v>
      </c>
      <c r="BT37" s="39" t="s">
        <v>2630</v>
      </c>
      <c r="BV37" s="39">
        <v>0.0</v>
      </c>
      <c r="BW37" s="39" t="s">
        <v>3296</v>
      </c>
    </row>
    <row r="38" ht="18.75" customHeight="1">
      <c r="A38" s="28" t="s">
        <v>3297</v>
      </c>
      <c r="B38" s="121" t="s">
        <v>3298</v>
      </c>
      <c r="BJ38" s="39" t="b">
        <v>0</v>
      </c>
      <c r="BM38" s="39">
        <v>0.0</v>
      </c>
      <c r="BT38" s="39" t="s">
        <v>2630</v>
      </c>
      <c r="BV38" s="39">
        <v>0.0</v>
      </c>
      <c r="BW38" s="39" t="s">
        <v>3299</v>
      </c>
    </row>
    <row r="39" ht="18.75" customHeight="1">
      <c r="A39" s="28" t="s">
        <v>3300</v>
      </c>
      <c r="B39" s="121" t="s">
        <v>3301</v>
      </c>
      <c r="BJ39" s="39" t="b">
        <v>0</v>
      </c>
      <c r="BM39" s="39">
        <v>0.0</v>
      </c>
      <c r="BT39" s="39" t="s">
        <v>2630</v>
      </c>
      <c r="BV39" s="39">
        <v>0.0</v>
      </c>
      <c r="BW39" s="39" t="s">
        <v>3302</v>
      </c>
    </row>
    <row r="40" ht="18.75" customHeight="1">
      <c r="A40" s="28" t="s">
        <v>3303</v>
      </c>
      <c r="B40" s="121" t="s">
        <v>3304</v>
      </c>
      <c r="BJ40" s="39" t="b">
        <v>0</v>
      </c>
      <c r="BM40" s="39">
        <v>0.0</v>
      </c>
      <c r="BT40" s="39" t="s">
        <v>2630</v>
      </c>
      <c r="BV40" s="39">
        <v>0.0</v>
      </c>
      <c r="BW40" s="39" t="s">
        <v>3305</v>
      </c>
    </row>
    <row r="41" ht="18.75" customHeight="1">
      <c r="A41" s="28" t="s">
        <v>3306</v>
      </c>
      <c r="B41" s="121" t="s">
        <v>3307</v>
      </c>
      <c r="BJ41" s="39" t="b">
        <v>0</v>
      </c>
      <c r="BM41" s="39">
        <v>0.0</v>
      </c>
      <c r="BT41" s="39" t="s">
        <v>2630</v>
      </c>
      <c r="BV41" s="39">
        <v>0.0</v>
      </c>
      <c r="BW41" s="39" t="s">
        <v>3308</v>
      </c>
    </row>
    <row r="42" ht="18.75" customHeight="1">
      <c r="A42" s="24"/>
      <c r="B42" s="120"/>
    </row>
    <row r="43" ht="18.75" customHeight="1">
      <c r="A43" s="24"/>
      <c r="B43" s="120"/>
    </row>
    <row r="44" ht="18.75" customHeight="1">
      <c r="A44" s="24"/>
      <c r="B44" s="120"/>
    </row>
    <row r="45" ht="18.75" customHeight="1">
      <c r="A45" s="24"/>
      <c r="B45" s="120"/>
    </row>
    <row r="46" ht="18.75" customHeight="1">
      <c r="A46" s="24"/>
      <c r="B46" s="120"/>
    </row>
    <row r="47" ht="18.75" customHeight="1">
      <c r="A47" s="24"/>
      <c r="B47" s="120"/>
    </row>
    <row r="48" ht="18.75" customHeight="1">
      <c r="A48" s="24"/>
      <c r="B48" s="120"/>
    </row>
    <row r="49" ht="18.75" customHeight="1">
      <c r="A49" s="24"/>
      <c r="B49" s="120"/>
    </row>
    <row r="50" ht="18.75" customHeight="1">
      <c r="A50" s="24"/>
      <c r="B50" s="120"/>
    </row>
    <row r="51" ht="18.75" customHeight="1">
      <c r="A51" s="24"/>
      <c r="B51" s="120"/>
    </row>
    <row r="52" ht="18.75" customHeight="1">
      <c r="A52" s="24"/>
      <c r="B52" s="120"/>
    </row>
    <row r="53" ht="18.75" customHeight="1">
      <c r="A53" s="24"/>
      <c r="B53" s="120"/>
    </row>
    <row r="54" ht="18.75" customHeight="1">
      <c r="A54" s="24"/>
      <c r="B54" s="120"/>
    </row>
    <row r="55" ht="18.75" customHeight="1">
      <c r="A55" s="24"/>
      <c r="B55" s="120"/>
    </row>
    <row r="56" ht="18.75" customHeight="1">
      <c r="A56" s="24"/>
      <c r="B56" s="120"/>
    </row>
    <row r="57" ht="18.75" customHeight="1">
      <c r="A57" s="24"/>
      <c r="B57" s="120"/>
    </row>
    <row r="58" ht="18.75" customHeight="1">
      <c r="A58" s="24"/>
      <c r="B58" s="120"/>
    </row>
    <row r="59" ht="18.75" customHeight="1">
      <c r="A59" s="24"/>
      <c r="B59" s="120"/>
    </row>
    <row r="60" ht="18.75" customHeight="1">
      <c r="A60" s="24"/>
      <c r="B60" s="120"/>
    </row>
    <row r="61" ht="18.75" customHeight="1">
      <c r="A61" s="24"/>
      <c r="B61" s="120"/>
    </row>
    <row r="62" ht="18.75" customHeight="1">
      <c r="A62" s="24"/>
      <c r="B62" s="120"/>
    </row>
    <row r="63" ht="18.75" customHeight="1">
      <c r="A63" s="24"/>
      <c r="B63" s="120"/>
    </row>
    <row r="64" ht="18.75" customHeight="1">
      <c r="A64" s="24"/>
      <c r="B64" s="120"/>
    </row>
    <row r="65" ht="18.75" customHeight="1">
      <c r="A65" s="24"/>
      <c r="B65" s="120"/>
    </row>
    <row r="66" ht="18.75" customHeight="1">
      <c r="A66" s="24"/>
      <c r="B66" s="120"/>
    </row>
    <row r="67" ht="18.75" customHeight="1">
      <c r="A67" s="24"/>
      <c r="B67" s="120"/>
    </row>
    <row r="68" ht="18.75" customHeight="1">
      <c r="A68" s="24"/>
      <c r="B68" s="120"/>
    </row>
    <row r="69" ht="18.75" customHeight="1">
      <c r="A69" s="24"/>
      <c r="B69" s="120"/>
    </row>
    <row r="70" ht="18.75" customHeight="1">
      <c r="A70" s="24"/>
      <c r="B70" s="120"/>
    </row>
    <row r="71" ht="18.75" customHeight="1">
      <c r="A71" s="24"/>
      <c r="B71" s="120"/>
    </row>
    <row r="72" ht="18.75" customHeight="1">
      <c r="A72" s="24"/>
      <c r="B72" s="120"/>
    </row>
    <row r="73" ht="18.75" customHeight="1">
      <c r="A73" s="24"/>
      <c r="B73" s="120"/>
    </row>
    <row r="74" ht="18.75" customHeight="1">
      <c r="A74" s="24"/>
      <c r="B74" s="120"/>
    </row>
    <row r="75" ht="18.75" customHeight="1">
      <c r="A75" s="24"/>
      <c r="B75" s="120"/>
    </row>
    <row r="76" ht="18.75" customHeight="1">
      <c r="A76" s="24"/>
      <c r="B76" s="120"/>
    </row>
    <row r="77" ht="18.75" customHeight="1">
      <c r="A77" s="24"/>
      <c r="B77" s="120"/>
    </row>
    <row r="78" ht="18.75" customHeight="1">
      <c r="A78" s="24"/>
      <c r="B78" s="120"/>
    </row>
    <row r="79" ht="18.75" customHeight="1">
      <c r="A79" s="24"/>
      <c r="B79" s="120"/>
    </row>
    <row r="80" ht="18.75" customHeight="1">
      <c r="A80" s="24"/>
      <c r="B80" s="120"/>
    </row>
    <row r="81" ht="18.75" customHeight="1">
      <c r="A81" s="24"/>
      <c r="B81" s="120"/>
    </row>
    <row r="82" ht="18.75" customHeight="1">
      <c r="A82" s="24"/>
      <c r="B82" s="120"/>
    </row>
    <row r="83" ht="18.75" customHeight="1">
      <c r="A83" s="24"/>
      <c r="B83" s="120"/>
    </row>
    <row r="84" ht="18.75" customHeight="1">
      <c r="A84" s="24"/>
      <c r="B84" s="120"/>
    </row>
    <row r="85" ht="18.75" customHeight="1">
      <c r="A85" s="24"/>
      <c r="B85" s="120"/>
    </row>
    <row r="86" ht="18.75" customHeight="1">
      <c r="A86" s="24"/>
      <c r="B86" s="120"/>
    </row>
    <row r="87" ht="18.75" customHeight="1">
      <c r="A87" s="24"/>
      <c r="B87" s="120"/>
    </row>
    <row r="88" ht="18.75" customHeight="1">
      <c r="A88" s="24"/>
      <c r="B88" s="120"/>
    </row>
    <row r="89" ht="18.75" customHeight="1">
      <c r="A89" s="24"/>
      <c r="B89" s="120"/>
    </row>
    <row r="90" ht="18.75" customHeight="1">
      <c r="A90" s="24"/>
      <c r="B90" s="120"/>
    </row>
    <row r="91" ht="18.75" customHeight="1">
      <c r="A91" s="24"/>
      <c r="B91" s="120"/>
    </row>
    <row r="92" ht="18.75" customHeight="1">
      <c r="A92" s="24"/>
      <c r="B92" s="120"/>
    </row>
    <row r="93" ht="18.75" customHeight="1">
      <c r="A93" s="24"/>
      <c r="B93" s="120"/>
    </row>
    <row r="94" ht="18.75" customHeight="1">
      <c r="A94" s="24"/>
      <c r="B94" s="120"/>
    </row>
    <row r="95" ht="18.75" customHeight="1">
      <c r="A95" s="24"/>
      <c r="B95" s="120"/>
    </row>
    <row r="96" ht="18.75" customHeight="1">
      <c r="A96" s="24"/>
      <c r="B96" s="120"/>
    </row>
    <row r="97" ht="18.75" customHeight="1">
      <c r="A97" s="24"/>
      <c r="B97" s="120"/>
    </row>
    <row r="98" ht="18.75" customHeight="1">
      <c r="A98" s="24"/>
      <c r="B98" s="120"/>
    </row>
    <row r="99" ht="18.75" customHeight="1">
      <c r="A99" s="24"/>
      <c r="B99" s="120"/>
    </row>
    <row r="100" ht="18.75" customHeight="1">
      <c r="A100" s="24"/>
      <c r="B100" s="120"/>
    </row>
    <row r="101" ht="18.75" customHeight="1">
      <c r="A101" s="24"/>
      <c r="B101" s="120"/>
    </row>
    <row r="102" ht="18.75" customHeight="1">
      <c r="A102" s="24"/>
      <c r="B102" s="120"/>
    </row>
    <row r="103" ht="18.75" customHeight="1">
      <c r="A103" s="24"/>
      <c r="B103" s="120"/>
    </row>
    <row r="104" ht="18.75" customHeight="1">
      <c r="A104" s="24"/>
      <c r="B104" s="120"/>
    </row>
    <row r="105" ht="18.75" customHeight="1">
      <c r="A105" s="24"/>
      <c r="B105" s="120"/>
    </row>
    <row r="106" ht="18.75" customHeight="1">
      <c r="A106" s="24"/>
      <c r="B106" s="120"/>
    </row>
    <row r="107" ht="18.75" customHeight="1">
      <c r="A107" s="24"/>
      <c r="B107" s="120"/>
    </row>
    <row r="108" ht="18.75" customHeight="1">
      <c r="A108" s="24"/>
      <c r="B108" s="120"/>
    </row>
    <row r="109" ht="18.75" customHeight="1">
      <c r="A109" s="24"/>
      <c r="B109" s="120"/>
    </row>
    <row r="110" ht="18.75" customHeight="1">
      <c r="A110" s="24"/>
      <c r="B110" s="120"/>
    </row>
    <row r="111" ht="18.75" customHeight="1">
      <c r="A111" s="24"/>
      <c r="B111" s="120"/>
    </row>
    <row r="112" ht="18.75" customHeight="1">
      <c r="A112" s="24"/>
      <c r="B112" s="120"/>
    </row>
    <row r="113" ht="18.75" customHeight="1">
      <c r="A113" s="24"/>
      <c r="B113" s="120"/>
    </row>
    <row r="114" ht="18.75" customHeight="1">
      <c r="A114" s="24"/>
      <c r="B114" s="120"/>
    </row>
    <row r="115" ht="18.75" customHeight="1">
      <c r="A115" s="24"/>
      <c r="B115" s="120"/>
    </row>
    <row r="116" ht="18.75" customHeight="1">
      <c r="A116" s="24"/>
      <c r="B116" s="120"/>
    </row>
    <row r="117" ht="18.75" customHeight="1">
      <c r="A117" s="24"/>
      <c r="B117" s="120"/>
    </row>
    <row r="118" ht="18.75" customHeight="1">
      <c r="A118" s="24"/>
      <c r="B118" s="120"/>
    </row>
    <row r="119" ht="18.75" customHeight="1">
      <c r="A119" s="24"/>
      <c r="B119" s="120"/>
    </row>
    <row r="120" ht="18.75" customHeight="1">
      <c r="A120" s="24"/>
      <c r="B120" s="120"/>
    </row>
    <row r="121" ht="18.75" customHeight="1">
      <c r="A121" s="24"/>
      <c r="B121" s="120"/>
    </row>
    <row r="122" ht="18.75" customHeight="1">
      <c r="A122" s="24"/>
      <c r="B122" s="120"/>
    </row>
    <row r="123" ht="18.75" customHeight="1">
      <c r="A123" s="24"/>
      <c r="B123" s="120"/>
    </row>
    <row r="124" ht="18.75" customHeight="1">
      <c r="A124" s="24"/>
      <c r="B124" s="120"/>
    </row>
    <row r="125" ht="18.75" customHeight="1">
      <c r="A125" s="24"/>
      <c r="B125" s="120"/>
    </row>
    <row r="126" ht="18.75" customHeight="1">
      <c r="A126" s="24"/>
      <c r="B126" s="120"/>
    </row>
    <row r="127" ht="18.75" customHeight="1">
      <c r="A127" s="24"/>
      <c r="B127" s="120"/>
    </row>
    <row r="128" ht="18.75" customHeight="1">
      <c r="A128" s="24"/>
      <c r="B128" s="120"/>
    </row>
    <row r="129" ht="18.75" customHeight="1">
      <c r="A129" s="24"/>
      <c r="B129" s="120"/>
    </row>
    <row r="130" ht="18.75" customHeight="1">
      <c r="A130" s="24"/>
      <c r="B130" s="120"/>
    </row>
    <row r="131" ht="18.75" customHeight="1">
      <c r="A131" s="24"/>
      <c r="B131" s="120"/>
    </row>
    <row r="132" ht="18.75" customHeight="1">
      <c r="A132" s="24"/>
      <c r="B132" s="120"/>
    </row>
    <row r="133" ht="18.75" customHeight="1">
      <c r="A133" s="24"/>
      <c r="B133" s="120"/>
    </row>
    <row r="134" ht="18.75" customHeight="1">
      <c r="A134" s="24"/>
      <c r="B134" s="120"/>
    </row>
    <row r="135" ht="18.75" customHeight="1">
      <c r="A135" s="24"/>
      <c r="B135" s="120"/>
    </row>
    <row r="136" ht="18.75" customHeight="1">
      <c r="A136" s="24"/>
      <c r="B136" s="120"/>
    </row>
    <row r="137" ht="18.75" customHeight="1">
      <c r="A137" s="24"/>
      <c r="B137" s="120"/>
    </row>
    <row r="138" ht="18.75" customHeight="1">
      <c r="A138" s="24"/>
      <c r="B138" s="120"/>
    </row>
    <row r="139" ht="18.75" customHeight="1">
      <c r="A139" s="24"/>
      <c r="B139" s="120"/>
    </row>
    <row r="140" ht="18.75" customHeight="1">
      <c r="A140" s="24"/>
      <c r="B140" s="120"/>
    </row>
    <row r="141" ht="18.75" customHeight="1">
      <c r="A141" s="24"/>
      <c r="B141" s="120"/>
    </row>
    <row r="142" ht="18.75" customHeight="1">
      <c r="A142" s="24"/>
      <c r="B142" s="120"/>
    </row>
    <row r="143" ht="18.75" customHeight="1">
      <c r="A143" s="24"/>
      <c r="B143" s="120"/>
    </row>
    <row r="144" ht="18.75" customHeight="1">
      <c r="A144" s="24"/>
      <c r="B144" s="120"/>
    </row>
    <row r="145" ht="18.75" customHeight="1">
      <c r="A145" s="24"/>
      <c r="B145" s="120"/>
    </row>
    <row r="146" ht="18.75" customHeight="1">
      <c r="A146" s="24"/>
      <c r="B146" s="120"/>
    </row>
    <row r="147" ht="18.75" customHeight="1">
      <c r="A147" s="24"/>
      <c r="B147" s="120"/>
    </row>
    <row r="148" ht="18.75" customHeight="1">
      <c r="A148" s="24"/>
      <c r="B148" s="120"/>
    </row>
    <row r="149" ht="18.75" customHeight="1">
      <c r="A149" s="24"/>
      <c r="B149" s="120"/>
    </row>
    <row r="150" ht="18.75" customHeight="1">
      <c r="A150" s="24"/>
      <c r="B150" s="120"/>
    </row>
    <row r="151" ht="18.75" customHeight="1">
      <c r="A151" s="24"/>
      <c r="B151" s="120"/>
    </row>
    <row r="152" ht="18.75" customHeight="1">
      <c r="A152" s="24"/>
      <c r="B152" s="120"/>
    </row>
    <row r="153" ht="18.75" customHeight="1">
      <c r="A153" s="24"/>
      <c r="B153" s="120"/>
    </row>
    <row r="154" ht="18.75" customHeight="1">
      <c r="A154" s="24"/>
      <c r="B154" s="120"/>
    </row>
    <row r="155" ht="18.75" customHeight="1">
      <c r="A155" s="24"/>
      <c r="B155" s="120"/>
    </row>
    <row r="156" ht="18.75" customHeight="1">
      <c r="A156" s="24"/>
      <c r="B156" s="120"/>
    </row>
    <row r="157" ht="18.75" customHeight="1">
      <c r="A157" s="24"/>
      <c r="B157" s="120"/>
    </row>
    <row r="158" ht="18.75" customHeight="1">
      <c r="A158" s="24"/>
      <c r="B158" s="120"/>
    </row>
    <row r="159" ht="18.75" customHeight="1">
      <c r="A159" s="24"/>
      <c r="B159" s="120"/>
    </row>
    <row r="160" ht="18.75" customHeight="1">
      <c r="A160" s="24"/>
      <c r="B160" s="120"/>
    </row>
    <row r="161" ht="18.75" customHeight="1">
      <c r="A161" s="24"/>
      <c r="B161" s="120"/>
    </row>
    <row r="162" ht="18.75" customHeight="1">
      <c r="A162" s="24"/>
      <c r="B162" s="120"/>
    </row>
    <row r="163" ht="18.75" customHeight="1">
      <c r="A163" s="24"/>
      <c r="B163" s="120"/>
    </row>
    <row r="164" ht="18.75" customHeight="1">
      <c r="A164" s="24"/>
      <c r="B164" s="120"/>
    </row>
    <row r="165" ht="18.75" customHeight="1">
      <c r="A165" s="24"/>
      <c r="B165" s="120"/>
    </row>
    <row r="166" ht="18.75" customHeight="1">
      <c r="A166" s="24"/>
      <c r="B166" s="120"/>
    </row>
    <row r="167" ht="18.75" customHeight="1">
      <c r="A167" s="24"/>
      <c r="B167" s="120"/>
    </row>
    <row r="168" ht="18.75" customHeight="1">
      <c r="A168" s="24"/>
      <c r="B168" s="120"/>
    </row>
    <row r="169" ht="18.75" customHeight="1">
      <c r="A169" s="24"/>
      <c r="B169" s="120"/>
    </row>
    <row r="170" ht="18.75" customHeight="1">
      <c r="A170" s="24"/>
      <c r="B170" s="120"/>
    </row>
    <row r="171" ht="18.75" customHeight="1">
      <c r="A171" s="24"/>
      <c r="B171" s="120"/>
    </row>
    <row r="172" ht="18.75" customHeight="1">
      <c r="A172" s="24"/>
      <c r="B172" s="120"/>
    </row>
    <row r="173" ht="18.75" customHeight="1">
      <c r="A173" s="24"/>
      <c r="B173" s="120"/>
    </row>
    <row r="174" ht="18.75" customHeight="1">
      <c r="A174" s="24"/>
      <c r="B174" s="120"/>
    </row>
    <row r="175" ht="18.75" customHeight="1">
      <c r="A175" s="24"/>
      <c r="B175" s="120"/>
    </row>
    <row r="176" ht="18.75" customHeight="1">
      <c r="A176" s="24"/>
      <c r="B176" s="120"/>
    </row>
    <row r="177" ht="18.75" customHeight="1">
      <c r="A177" s="24"/>
      <c r="B177" s="120"/>
    </row>
    <row r="178" ht="18.75" customHeight="1">
      <c r="A178" s="24"/>
      <c r="B178" s="120"/>
    </row>
    <row r="179" ht="18.75" customHeight="1">
      <c r="A179" s="24"/>
      <c r="B179" s="120"/>
    </row>
    <row r="180" ht="18.75" customHeight="1">
      <c r="A180" s="24"/>
      <c r="B180" s="120"/>
    </row>
    <row r="181" ht="18.75" customHeight="1">
      <c r="A181" s="24"/>
      <c r="B181" s="120"/>
    </row>
    <row r="182" ht="18.75" customHeight="1">
      <c r="A182" s="24"/>
      <c r="B182" s="120"/>
    </row>
    <row r="183" ht="18.75" customHeight="1">
      <c r="A183" s="24"/>
      <c r="B183" s="120"/>
    </row>
    <row r="184" ht="18.75" customHeight="1">
      <c r="A184" s="24"/>
      <c r="B184" s="120"/>
    </row>
    <row r="185" ht="18.75" customHeight="1">
      <c r="A185" s="24"/>
      <c r="B185" s="120"/>
    </row>
    <row r="186" ht="18.75" customHeight="1">
      <c r="A186" s="24"/>
      <c r="B186" s="120"/>
    </row>
    <row r="187" ht="18.75" customHeight="1">
      <c r="A187" s="24"/>
      <c r="B187" s="120"/>
    </row>
    <row r="188" ht="18.75" customHeight="1">
      <c r="A188" s="24"/>
      <c r="B188" s="120"/>
    </row>
    <row r="189" ht="18.75" customHeight="1">
      <c r="A189" s="24"/>
      <c r="B189" s="120"/>
    </row>
    <row r="190" ht="18.75" customHeight="1">
      <c r="A190" s="24"/>
      <c r="B190" s="120"/>
    </row>
    <row r="191" ht="18.75" customHeight="1">
      <c r="A191" s="24"/>
      <c r="B191" s="120"/>
    </row>
    <row r="192" ht="18.75" customHeight="1">
      <c r="A192" s="24"/>
      <c r="B192" s="120"/>
    </row>
    <row r="193" ht="18.75" customHeight="1">
      <c r="A193" s="24"/>
      <c r="B193" s="120"/>
    </row>
    <row r="194" ht="18.75" customHeight="1">
      <c r="A194" s="24"/>
      <c r="B194" s="120"/>
    </row>
    <row r="195" ht="18.75" customHeight="1">
      <c r="A195" s="24"/>
      <c r="B195" s="120"/>
    </row>
    <row r="196" ht="18.75" customHeight="1">
      <c r="A196" s="24"/>
      <c r="B196" s="120"/>
    </row>
    <row r="197" ht="18.75" customHeight="1">
      <c r="A197" s="24"/>
      <c r="B197" s="120"/>
    </row>
    <row r="198" ht="18.75" customHeight="1">
      <c r="A198" s="24"/>
      <c r="B198" s="120"/>
    </row>
    <row r="199" ht="18.75" customHeight="1">
      <c r="A199" s="24"/>
      <c r="B199" s="120"/>
    </row>
    <row r="200" ht="18.75" customHeight="1">
      <c r="A200" s="24"/>
      <c r="B200" s="120"/>
    </row>
    <row r="201" ht="18.75" customHeight="1">
      <c r="A201" s="24"/>
      <c r="B201" s="120"/>
    </row>
    <row r="202" ht="18.75" customHeight="1">
      <c r="A202" s="24"/>
      <c r="B202" s="120"/>
    </row>
    <row r="203" ht="18.75" customHeight="1">
      <c r="A203" s="24"/>
      <c r="B203" s="120"/>
    </row>
    <row r="204" ht="18.75" customHeight="1">
      <c r="A204" s="24"/>
      <c r="B204" s="120"/>
    </row>
    <row r="205" ht="18.75" customHeight="1">
      <c r="A205" s="24"/>
      <c r="B205" s="120"/>
    </row>
    <row r="206" ht="18.75" customHeight="1">
      <c r="A206" s="24"/>
      <c r="B206" s="120"/>
    </row>
    <row r="207" ht="18.75" customHeight="1">
      <c r="A207" s="24"/>
      <c r="B207" s="120"/>
    </row>
    <row r="208" ht="18.75" customHeight="1">
      <c r="A208" s="24"/>
      <c r="B208" s="120"/>
    </row>
    <row r="209" ht="18.75" customHeight="1">
      <c r="A209" s="24"/>
      <c r="B209" s="120"/>
    </row>
    <row r="210" ht="18.75" customHeight="1">
      <c r="A210" s="24"/>
      <c r="B210" s="120"/>
    </row>
    <row r="211" ht="18.75" customHeight="1">
      <c r="A211" s="24"/>
      <c r="B211" s="120"/>
    </row>
    <row r="212" ht="18.75" customHeight="1">
      <c r="A212" s="24"/>
      <c r="B212" s="120"/>
    </row>
    <row r="213" ht="18.75" customHeight="1">
      <c r="A213" s="24"/>
      <c r="B213" s="120"/>
    </row>
    <row r="214" ht="18.75" customHeight="1">
      <c r="A214" s="24"/>
      <c r="B214" s="120"/>
    </row>
    <row r="215" ht="18.75" customHeight="1">
      <c r="A215" s="24"/>
      <c r="B215" s="120"/>
    </row>
    <row r="216" ht="18.75" customHeight="1">
      <c r="A216" s="24"/>
      <c r="B216" s="120"/>
    </row>
    <row r="217" ht="18.75" customHeight="1">
      <c r="A217" s="24"/>
      <c r="B217" s="120"/>
    </row>
    <row r="218" ht="18.75" customHeight="1">
      <c r="A218" s="24"/>
      <c r="B218" s="120"/>
    </row>
    <row r="219" ht="18.75" customHeight="1">
      <c r="A219" s="24"/>
      <c r="B219" s="120"/>
    </row>
    <row r="220" ht="18.75" customHeight="1">
      <c r="A220" s="24"/>
      <c r="B220" s="120"/>
    </row>
    <row r="221" ht="18.75" customHeight="1">
      <c r="A221" s="24"/>
      <c r="B221" s="120"/>
    </row>
    <row r="222" ht="18.75" customHeight="1">
      <c r="A222" s="24"/>
      <c r="B222" s="120"/>
    </row>
    <row r="223" ht="18.75" customHeight="1">
      <c r="A223" s="24"/>
      <c r="B223" s="120"/>
    </row>
    <row r="224" ht="18.75" customHeight="1">
      <c r="A224" s="24"/>
      <c r="B224" s="120"/>
    </row>
    <row r="225" ht="18.75" customHeight="1">
      <c r="A225" s="24"/>
      <c r="B225" s="120"/>
    </row>
    <row r="226" ht="18.75" customHeight="1">
      <c r="A226" s="24"/>
      <c r="B226" s="120"/>
    </row>
    <row r="227" ht="18.75" customHeight="1">
      <c r="A227" s="24"/>
      <c r="B227" s="120"/>
    </row>
    <row r="228" ht="18.75" customHeight="1">
      <c r="A228" s="24"/>
      <c r="B228" s="120"/>
    </row>
    <row r="229" ht="18.75" customHeight="1">
      <c r="A229" s="24"/>
      <c r="B229" s="120"/>
    </row>
    <row r="230" ht="18.75" customHeight="1">
      <c r="A230" s="24"/>
      <c r="B230" s="120"/>
    </row>
    <row r="231" ht="18.75" customHeight="1">
      <c r="A231" s="24"/>
      <c r="B231" s="120"/>
    </row>
    <row r="232" ht="18.75" customHeight="1">
      <c r="A232" s="24"/>
      <c r="B232" s="120"/>
    </row>
    <row r="233" ht="18.75" customHeight="1">
      <c r="A233" s="24"/>
      <c r="B233" s="120"/>
    </row>
    <row r="234" ht="18.75" customHeight="1">
      <c r="A234" s="24"/>
      <c r="B234" s="120"/>
    </row>
    <row r="235" ht="18.75" customHeight="1">
      <c r="A235" s="24"/>
      <c r="B235" s="120"/>
    </row>
    <row r="236" ht="18.75" customHeight="1">
      <c r="A236" s="24"/>
      <c r="B236" s="120"/>
    </row>
    <row r="237" ht="18.75" customHeight="1">
      <c r="A237" s="24"/>
      <c r="B237" s="120"/>
    </row>
    <row r="238" ht="18.75" customHeight="1">
      <c r="A238" s="24"/>
      <c r="B238" s="120"/>
    </row>
    <row r="239" ht="18.75" customHeight="1">
      <c r="A239" s="24"/>
      <c r="B239" s="120"/>
    </row>
    <row r="240" ht="18.75" customHeight="1">
      <c r="A240" s="24"/>
      <c r="B240" s="120"/>
    </row>
    <row r="241" ht="18.75" customHeight="1">
      <c r="A241" s="24"/>
      <c r="B241" s="120"/>
    </row>
    <row r="242" ht="18.75" customHeight="1">
      <c r="A242" s="24"/>
      <c r="B242" s="120"/>
    </row>
    <row r="243" ht="18.75" customHeight="1">
      <c r="A243" s="24"/>
      <c r="B243" s="120"/>
    </row>
    <row r="244" ht="18.75" customHeight="1">
      <c r="A244" s="24"/>
      <c r="B244" s="120"/>
    </row>
    <row r="245" ht="18.75" customHeight="1">
      <c r="A245" s="24"/>
      <c r="B245" s="120"/>
    </row>
    <row r="246" ht="18.75" customHeight="1">
      <c r="A246" s="24"/>
      <c r="B246" s="120"/>
    </row>
    <row r="247" ht="18.75" customHeight="1">
      <c r="A247" s="24"/>
      <c r="B247" s="120"/>
    </row>
    <row r="248" ht="18.75" customHeight="1">
      <c r="A248" s="24"/>
      <c r="B248" s="120"/>
    </row>
    <row r="249" ht="18.75" customHeight="1">
      <c r="A249" s="24"/>
      <c r="B249" s="120"/>
    </row>
    <row r="250" ht="18.75" customHeight="1">
      <c r="A250" s="24"/>
      <c r="B250" s="120"/>
    </row>
    <row r="251" ht="18.75" customHeight="1">
      <c r="A251" s="24"/>
      <c r="B251" s="120"/>
    </row>
    <row r="252" ht="18.75" customHeight="1">
      <c r="A252" s="24"/>
      <c r="B252" s="120"/>
    </row>
    <row r="253" ht="18.75" customHeight="1">
      <c r="A253" s="24"/>
      <c r="B253" s="120"/>
    </row>
    <row r="254" ht="18.75" customHeight="1">
      <c r="A254" s="24"/>
      <c r="B254" s="120"/>
    </row>
    <row r="255" ht="18.75" customHeight="1">
      <c r="A255" s="24"/>
      <c r="B255" s="120"/>
    </row>
    <row r="256" ht="18.75" customHeight="1">
      <c r="A256" s="24"/>
      <c r="B256" s="120"/>
    </row>
    <row r="257" ht="18.75" customHeight="1">
      <c r="A257" s="24"/>
      <c r="B257" s="120"/>
    </row>
    <row r="258" ht="18.75" customHeight="1">
      <c r="A258" s="24"/>
      <c r="B258" s="120"/>
    </row>
    <row r="259" ht="18.75" customHeight="1">
      <c r="A259" s="24"/>
      <c r="B259" s="120"/>
    </row>
    <row r="260" ht="18.75" customHeight="1">
      <c r="A260" s="24"/>
      <c r="B260" s="120"/>
    </row>
    <row r="261" ht="18.75" customHeight="1">
      <c r="A261" s="24"/>
      <c r="B261" s="120"/>
    </row>
    <row r="262" ht="18.75" customHeight="1">
      <c r="A262" s="24"/>
      <c r="B262" s="120"/>
    </row>
    <row r="263" ht="18.75" customHeight="1">
      <c r="A263" s="24"/>
      <c r="B263" s="120"/>
    </row>
    <row r="264" ht="18.75" customHeight="1">
      <c r="A264" s="24"/>
      <c r="B264" s="120"/>
    </row>
    <row r="265" ht="18.75" customHeight="1">
      <c r="A265" s="24"/>
      <c r="B265" s="120"/>
    </row>
    <row r="266" ht="18.75" customHeight="1">
      <c r="A266" s="24"/>
      <c r="B266" s="120"/>
    </row>
    <row r="267" ht="18.75" customHeight="1">
      <c r="A267" s="24"/>
      <c r="B267" s="120"/>
    </row>
    <row r="268" ht="18.75" customHeight="1">
      <c r="A268" s="24"/>
      <c r="B268" s="120"/>
    </row>
    <row r="269" ht="18.75" customHeight="1">
      <c r="A269" s="24"/>
      <c r="B269" s="120"/>
    </row>
    <row r="270" ht="18.75" customHeight="1">
      <c r="A270" s="24"/>
      <c r="B270" s="120"/>
    </row>
    <row r="271" ht="18.75" customHeight="1">
      <c r="A271" s="24"/>
      <c r="B271" s="120"/>
    </row>
    <row r="272" ht="18.75" customHeight="1">
      <c r="A272" s="24"/>
      <c r="B272" s="120"/>
    </row>
    <row r="273" ht="18.75" customHeight="1">
      <c r="A273" s="24"/>
      <c r="B273" s="120"/>
    </row>
    <row r="274" ht="18.75" customHeight="1">
      <c r="A274" s="24"/>
      <c r="B274" s="120"/>
    </row>
    <row r="275" ht="18.75" customHeight="1">
      <c r="A275" s="24"/>
      <c r="B275" s="120"/>
    </row>
    <row r="276" ht="18.75" customHeight="1">
      <c r="A276" s="24"/>
      <c r="B276" s="120"/>
    </row>
    <row r="277" ht="18.75" customHeight="1">
      <c r="A277" s="24"/>
      <c r="B277" s="120"/>
    </row>
    <row r="278" ht="18.75" customHeight="1">
      <c r="A278" s="24"/>
      <c r="B278" s="120"/>
    </row>
    <row r="279" ht="18.75" customHeight="1">
      <c r="A279" s="24"/>
      <c r="B279" s="120"/>
    </row>
    <row r="280" ht="18.75" customHeight="1">
      <c r="A280" s="24"/>
      <c r="B280" s="120"/>
    </row>
    <row r="281" ht="18.75" customHeight="1">
      <c r="A281" s="24"/>
      <c r="B281" s="120"/>
    </row>
    <row r="282" ht="18.75" customHeight="1">
      <c r="A282" s="24"/>
      <c r="B282" s="120"/>
    </row>
    <row r="283" ht="18.75" customHeight="1">
      <c r="A283" s="24"/>
      <c r="B283" s="120"/>
    </row>
    <row r="284" ht="18.75" customHeight="1">
      <c r="A284" s="24"/>
      <c r="B284" s="120"/>
    </row>
    <row r="285" ht="18.75" customHeight="1">
      <c r="A285" s="24"/>
      <c r="B285" s="120"/>
    </row>
    <row r="286" ht="18.75" customHeight="1">
      <c r="A286" s="24"/>
      <c r="B286" s="120"/>
    </row>
    <row r="287" ht="18.75" customHeight="1">
      <c r="A287" s="24"/>
      <c r="B287" s="120"/>
    </row>
    <row r="288" ht="18.75" customHeight="1">
      <c r="A288" s="24"/>
      <c r="B288" s="120"/>
    </row>
    <row r="289" ht="18.75" customHeight="1">
      <c r="A289" s="24"/>
      <c r="B289" s="120"/>
    </row>
    <row r="290" ht="18.75" customHeight="1">
      <c r="A290" s="24"/>
      <c r="B290" s="120"/>
    </row>
    <row r="291" ht="18.75" customHeight="1">
      <c r="A291" s="24"/>
      <c r="B291" s="120"/>
    </row>
    <row r="292" ht="18.75" customHeight="1">
      <c r="A292" s="24"/>
      <c r="B292" s="120"/>
    </row>
    <row r="293" ht="18.75" customHeight="1">
      <c r="A293" s="24"/>
      <c r="B293" s="120"/>
    </row>
    <row r="294" ht="18.75" customHeight="1">
      <c r="A294" s="24"/>
      <c r="B294" s="120"/>
    </row>
    <row r="295" ht="18.75" customHeight="1">
      <c r="A295" s="24"/>
      <c r="B295" s="120"/>
    </row>
    <row r="296" ht="18.75" customHeight="1">
      <c r="A296" s="24"/>
      <c r="B296" s="120"/>
    </row>
    <row r="297" ht="18.75" customHeight="1">
      <c r="A297" s="24"/>
      <c r="B297" s="120"/>
    </row>
    <row r="298" ht="18.75" customHeight="1">
      <c r="A298" s="24"/>
      <c r="B298" s="120"/>
    </row>
    <row r="299" ht="18.75" customHeight="1">
      <c r="A299" s="24"/>
      <c r="B299" s="120"/>
    </row>
    <row r="300" ht="18.75" customHeight="1">
      <c r="A300" s="24"/>
      <c r="B300" s="120"/>
    </row>
    <row r="301" ht="18.75" customHeight="1">
      <c r="A301" s="24"/>
      <c r="B301" s="120"/>
    </row>
    <row r="302" ht="18.75" customHeight="1">
      <c r="A302" s="24"/>
      <c r="B302" s="120"/>
    </row>
    <row r="303" ht="18.75" customHeight="1">
      <c r="A303" s="24"/>
      <c r="B303" s="120"/>
    </row>
    <row r="304" ht="18.75" customHeight="1">
      <c r="A304" s="24"/>
      <c r="B304" s="120"/>
    </row>
    <row r="305" ht="18.75" customHeight="1">
      <c r="A305" s="24"/>
      <c r="B305" s="120"/>
    </row>
    <row r="306" ht="18.75" customHeight="1">
      <c r="A306" s="24"/>
      <c r="B306" s="120"/>
    </row>
    <row r="307" ht="18.75" customHeight="1">
      <c r="A307" s="24"/>
      <c r="B307" s="120"/>
    </row>
    <row r="308" ht="18.75" customHeight="1">
      <c r="A308" s="24"/>
      <c r="B308" s="120"/>
    </row>
    <row r="309" ht="18.75" customHeight="1">
      <c r="A309" s="24"/>
      <c r="B309" s="120"/>
    </row>
    <row r="310" ht="18.75" customHeight="1">
      <c r="A310" s="24"/>
      <c r="B310" s="120"/>
    </row>
    <row r="311" ht="18.75" customHeight="1">
      <c r="A311" s="24"/>
      <c r="B311" s="120"/>
    </row>
    <row r="312" ht="18.75" customHeight="1">
      <c r="A312" s="24"/>
      <c r="B312" s="120"/>
    </row>
    <row r="313" ht="18.75" customHeight="1">
      <c r="A313" s="24"/>
      <c r="B313" s="120"/>
    </row>
    <row r="314" ht="18.75" customHeight="1">
      <c r="A314" s="24"/>
      <c r="B314" s="120"/>
    </row>
    <row r="315" ht="18.75" customHeight="1">
      <c r="A315" s="24"/>
      <c r="B315" s="120"/>
    </row>
    <row r="316" ht="18.75" customHeight="1">
      <c r="A316" s="24"/>
      <c r="B316" s="120"/>
    </row>
    <row r="317" ht="18.75" customHeight="1">
      <c r="A317" s="24"/>
      <c r="B317" s="120"/>
    </row>
    <row r="318" ht="18.75" customHeight="1">
      <c r="A318" s="24"/>
      <c r="B318" s="120"/>
    </row>
    <row r="319" ht="18.75" customHeight="1">
      <c r="A319" s="24"/>
      <c r="B319" s="120"/>
    </row>
    <row r="320" ht="18.75" customHeight="1">
      <c r="A320" s="24"/>
      <c r="B320" s="120"/>
    </row>
    <row r="321" ht="18.75" customHeight="1">
      <c r="A321" s="24"/>
      <c r="B321" s="120"/>
    </row>
    <row r="322" ht="18.75" customHeight="1">
      <c r="A322" s="24"/>
      <c r="B322" s="120"/>
    </row>
    <row r="323" ht="18.75" customHeight="1">
      <c r="A323" s="24"/>
      <c r="B323" s="120"/>
    </row>
    <row r="324" ht="18.75" customHeight="1">
      <c r="A324" s="24"/>
      <c r="B324" s="120"/>
    </row>
    <row r="325" ht="18.75" customHeight="1">
      <c r="A325" s="24"/>
      <c r="B325" s="120"/>
    </row>
    <row r="326" ht="18.75" customHeight="1">
      <c r="A326" s="24"/>
      <c r="B326" s="120"/>
    </row>
    <row r="327" ht="18.75" customHeight="1">
      <c r="A327" s="24"/>
      <c r="B327" s="120"/>
    </row>
    <row r="328" ht="18.75" customHeight="1">
      <c r="A328" s="24"/>
      <c r="B328" s="120"/>
    </row>
    <row r="329" ht="18.75" customHeight="1">
      <c r="A329" s="24"/>
      <c r="B329" s="120"/>
    </row>
    <row r="330" ht="18.75" customHeight="1">
      <c r="A330" s="24"/>
      <c r="B330" s="120"/>
    </row>
    <row r="331" ht="18.75" customHeight="1">
      <c r="A331" s="24"/>
      <c r="B331" s="120"/>
    </row>
    <row r="332" ht="18.75" customHeight="1">
      <c r="A332" s="24"/>
      <c r="B332" s="120"/>
    </row>
    <row r="333" ht="18.75" customHeight="1">
      <c r="A333" s="24"/>
      <c r="B333" s="120"/>
    </row>
    <row r="334" ht="18.75" customHeight="1">
      <c r="A334" s="24"/>
      <c r="B334" s="120"/>
    </row>
    <row r="335" ht="18.75" customHeight="1">
      <c r="A335" s="24"/>
      <c r="B335" s="120"/>
    </row>
    <row r="336" ht="18.75" customHeight="1">
      <c r="A336" s="24"/>
      <c r="B336" s="120"/>
    </row>
    <row r="337" ht="18.75" customHeight="1">
      <c r="A337" s="24"/>
      <c r="B337" s="120"/>
    </row>
    <row r="338" ht="18.75" customHeight="1">
      <c r="A338" s="24"/>
      <c r="B338" s="120"/>
    </row>
    <row r="339" ht="18.75" customHeight="1">
      <c r="A339" s="24"/>
      <c r="B339" s="120"/>
    </row>
    <row r="340" ht="18.75" customHeight="1">
      <c r="A340" s="24"/>
      <c r="B340" s="120"/>
    </row>
    <row r="341" ht="18.75" customHeight="1">
      <c r="A341" s="24"/>
      <c r="B341" s="120"/>
    </row>
    <row r="342" ht="18.75" customHeight="1">
      <c r="A342" s="24"/>
      <c r="B342" s="120"/>
    </row>
    <row r="343" ht="18.75" customHeight="1">
      <c r="A343" s="24"/>
      <c r="B343" s="120"/>
    </row>
    <row r="344" ht="18.75" customHeight="1">
      <c r="A344" s="24"/>
      <c r="B344" s="120"/>
    </row>
    <row r="345" ht="18.75" customHeight="1">
      <c r="A345" s="24"/>
      <c r="B345" s="120"/>
    </row>
    <row r="346" ht="18.75" customHeight="1">
      <c r="A346" s="24"/>
      <c r="B346" s="120"/>
    </row>
    <row r="347" ht="18.75" customHeight="1">
      <c r="A347" s="24"/>
      <c r="B347" s="120"/>
    </row>
    <row r="348" ht="18.75" customHeight="1">
      <c r="A348" s="24"/>
      <c r="B348" s="120"/>
    </row>
    <row r="349" ht="18.75" customHeight="1">
      <c r="A349" s="24"/>
      <c r="B349" s="120"/>
    </row>
    <row r="350" ht="18.75" customHeight="1">
      <c r="A350" s="24"/>
      <c r="B350" s="120"/>
    </row>
    <row r="351" ht="18.75" customHeight="1">
      <c r="A351" s="24"/>
      <c r="B351" s="120"/>
    </row>
    <row r="352" ht="18.75" customHeight="1">
      <c r="A352" s="24"/>
      <c r="B352" s="120"/>
    </row>
    <row r="353" ht="18.75" customHeight="1">
      <c r="A353" s="24"/>
      <c r="B353" s="120"/>
    </row>
    <row r="354" ht="18.75" customHeight="1">
      <c r="A354" s="24"/>
      <c r="B354" s="120"/>
    </row>
    <row r="355" ht="18.75" customHeight="1">
      <c r="A355" s="24"/>
      <c r="B355" s="120"/>
    </row>
    <row r="356" ht="18.75" customHeight="1">
      <c r="A356" s="24"/>
      <c r="B356" s="120"/>
    </row>
    <row r="357" ht="18.75" customHeight="1">
      <c r="A357" s="24"/>
      <c r="B357" s="120"/>
    </row>
    <row r="358" ht="18.75" customHeight="1">
      <c r="A358" s="24"/>
      <c r="B358" s="120"/>
    </row>
    <row r="359" ht="18.75" customHeight="1">
      <c r="A359" s="24"/>
      <c r="B359" s="120"/>
    </row>
    <row r="360" ht="18.75" customHeight="1">
      <c r="A360" s="24"/>
      <c r="B360" s="120"/>
    </row>
    <row r="361" ht="18.75" customHeight="1">
      <c r="A361" s="24"/>
      <c r="B361" s="120"/>
    </row>
    <row r="362" ht="18.75" customHeight="1">
      <c r="A362" s="24"/>
      <c r="B362" s="120"/>
    </row>
    <row r="363" ht="18.75" customHeight="1">
      <c r="A363" s="24"/>
      <c r="B363" s="120"/>
    </row>
    <row r="364" ht="18.75" customHeight="1">
      <c r="A364" s="24"/>
      <c r="B364" s="120"/>
    </row>
    <row r="365" ht="18.75" customHeight="1">
      <c r="A365" s="24"/>
      <c r="B365" s="120"/>
    </row>
    <row r="366" ht="18.75" customHeight="1">
      <c r="A366" s="24"/>
      <c r="B366" s="120"/>
    </row>
    <row r="367" ht="18.75" customHeight="1">
      <c r="A367" s="24"/>
      <c r="B367" s="120"/>
    </row>
    <row r="368" ht="18.75" customHeight="1">
      <c r="A368" s="24"/>
      <c r="B368" s="120"/>
    </row>
    <row r="369" ht="18.75" customHeight="1">
      <c r="A369" s="24"/>
      <c r="B369" s="120"/>
    </row>
    <row r="370" ht="18.75" customHeight="1">
      <c r="A370" s="24"/>
      <c r="B370" s="120"/>
    </row>
    <row r="371" ht="18.75" customHeight="1">
      <c r="A371" s="24"/>
      <c r="B371" s="120"/>
    </row>
    <row r="372" ht="18.75" customHeight="1">
      <c r="A372" s="24"/>
      <c r="B372" s="120"/>
    </row>
    <row r="373" ht="18.75" customHeight="1">
      <c r="A373" s="24"/>
      <c r="B373" s="120"/>
    </row>
    <row r="374" ht="18.75" customHeight="1">
      <c r="A374" s="24"/>
      <c r="B374" s="120"/>
    </row>
    <row r="375" ht="18.75" customHeight="1">
      <c r="A375" s="24"/>
      <c r="B375" s="120"/>
    </row>
    <row r="376" ht="18.75" customHeight="1">
      <c r="A376" s="24"/>
      <c r="B376" s="120"/>
    </row>
    <row r="377" ht="18.75" customHeight="1">
      <c r="A377" s="24"/>
      <c r="B377" s="120"/>
    </row>
    <row r="378" ht="18.75" customHeight="1">
      <c r="A378" s="24"/>
      <c r="B378" s="120"/>
    </row>
    <row r="379" ht="18.75" customHeight="1">
      <c r="A379" s="24"/>
      <c r="B379" s="120"/>
    </row>
    <row r="380" ht="18.75" customHeight="1">
      <c r="A380" s="24"/>
      <c r="B380" s="120"/>
    </row>
    <row r="381" ht="18.75" customHeight="1">
      <c r="A381" s="24"/>
      <c r="B381" s="120"/>
    </row>
    <row r="382" ht="18.75" customHeight="1">
      <c r="A382" s="24"/>
      <c r="B382" s="120"/>
    </row>
    <row r="383" ht="18.75" customHeight="1">
      <c r="A383" s="24"/>
      <c r="B383" s="120"/>
    </row>
    <row r="384" ht="18.75" customHeight="1">
      <c r="A384" s="24"/>
      <c r="B384" s="120"/>
    </row>
    <row r="385" ht="18.75" customHeight="1">
      <c r="A385" s="24"/>
      <c r="B385" s="120"/>
    </row>
    <row r="386" ht="18.75" customHeight="1">
      <c r="A386" s="24"/>
      <c r="B386" s="120"/>
    </row>
    <row r="387" ht="18.75" customHeight="1">
      <c r="A387" s="24"/>
      <c r="B387" s="120"/>
    </row>
    <row r="388" ht="18.75" customHeight="1">
      <c r="A388" s="24"/>
      <c r="B388" s="120"/>
    </row>
    <row r="389" ht="18.75" customHeight="1">
      <c r="A389" s="24"/>
      <c r="B389" s="120"/>
    </row>
    <row r="390" ht="18.75" customHeight="1">
      <c r="A390" s="24"/>
      <c r="B390" s="120"/>
    </row>
    <row r="391" ht="18.75" customHeight="1">
      <c r="A391" s="24"/>
      <c r="B391" s="120"/>
    </row>
    <row r="392" ht="18.75" customHeight="1">
      <c r="A392" s="24"/>
      <c r="B392" s="120"/>
    </row>
    <row r="393" ht="18.75" customHeight="1">
      <c r="A393" s="24"/>
      <c r="B393" s="120"/>
    </row>
    <row r="394" ht="18.75" customHeight="1">
      <c r="A394" s="24"/>
      <c r="B394" s="120"/>
    </row>
    <row r="395" ht="18.75" customHeight="1">
      <c r="A395" s="24"/>
      <c r="B395" s="120"/>
    </row>
    <row r="396" ht="18.75" customHeight="1">
      <c r="A396" s="24"/>
      <c r="B396" s="120"/>
    </row>
    <row r="397" ht="18.75" customHeight="1">
      <c r="A397" s="24"/>
      <c r="B397" s="120"/>
    </row>
    <row r="398" ht="18.75" customHeight="1">
      <c r="A398" s="24"/>
      <c r="B398" s="120"/>
    </row>
    <row r="399" ht="18.75" customHeight="1">
      <c r="A399" s="24"/>
      <c r="B399" s="120"/>
    </row>
    <row r="400" ht="18.75" customHeight="1">
      <c r="A400" s="24"/>
      <c r="B400" s="120"/>
    </row>
    <row r="401" ht="18.75" customHeight="1">
      <c r="A401" s="24"/>
      <c r="B401" s="120"/>
    </row>
    <row r="402" ht="18.75" customHeight="1">
      <c r="A402" s="24"/>
      <c r="B402" s="120"/>
    </row>
    <row r="403" ht="18.75" customHeight="1">
      <c r="A403" s="24"/>
      <c r="B403" s="120"/>
    </row>
    <row r="404" ht="18.75" customHeight="1">
      <c r="A404" s="24"/>
      <c r="B404" s="120"/>
    </row>
    <row r="405" ht="18.75" customHeight="1">
      <c r="A405" s="24"/>
      <c r="B405" s="120"/>
    </row>
    <row r="406" ht="18.75" customHeight="1">
      <c r="A406" s="24"/>
      <c r="B406" s="120"/>
    </row>
    <row r="407" ht="18.75" customHeight="1">
      <c r="A407" s="24"/>
      <c r="B407" s="120"/>
    </row>
    <row r="408" ht="18.75" customHeight="1">
      <c r="A408" s="24"/>
      <c r="B408" s="120"/>
    </row>
    <row r="409" ht="18.75" customHeight="1">
      <c r="A409" s="24"/>
      <c r="B409" s="120"/>
    </row>
    <row r="410" ht="18.75" customHeight="1">
      <c r="A410" s="24"/>
      <c r="B410" s="120"/>
    </row>
    <row r="411" ht="18.75" customHeight="1">
      <c r="A411" s="24"/>
      <c r="B411" s="120"/>
    </row>
    <row r="412" ht="18.75" customHeight="1">
      <c r="A412" s="24"/>
      <c r="B412" s="120"/>
    </row>
    <row r="413" ht="18.75" customHeight="1">
      <c r="A413" s="24"/>
      <c r="B413" s="120"/>
    </row>
    <row r="414" ht="18.75" customHeight="1">
      <c r="A414" s="24"/>
      <c r="B414" s="120"/>
    </row>
    <row r="415" ht="18.75" customHeight="1">
      <c r="A415" s="24"/>
      <c r="B415" s="120"/>
    </row>
    <row r="416" ht="18.75" customHeight="1">
      <c r="A416" s="24"/>
      <c r="B416" s="120"/>
    </row>
    <row r="417" ht="18.75" customHeight="1">
      <c r="A417" s="24"/>
      <c r="B417" s="120"/>
    </row>
    <row r="418" ht="18.75" customHeight="1">
      <c r="A418" s="24"/>
      <c r="B418" s="120"/>
    </row>
    <row r="419" ht="18.75" customHeight="1">
      <c r="A419" s="24"/>
      <c r="B419" s="120"/>
    </row>
    <row r="420" ht="18.75" customHeight="1">
      <c r="A420" s="24"/>
      <c r="B420" s="120"/>
    </row>
    <row r="421" ht="18.75" customHeight="1">
      <c r="A421" s="24"/>
      <c r="B421" s="120"/>
    </row>
    <row r="422" ht="18.75" customHeight="1">
      <c r="A422" s="24"/>
      <c r="B422" s="120"/>
    </row>
    <row r="423" ht="18.75" customHeight="1">
      <c r="A423" s="24"/>
      <c r="B423" s="120"/>
    </row>
    <row r="424" ht="18.75" customHeight="1">
      <c r="A424" s="24"/>
      <c r="B424" s="120"/>
    </row>
    <row r="425" ht="18.75" customHeight="1">
      <c r="A425" s="24"/>
      <c r="B425" s="120"/>
    </row>
    <row r="426" ht="18.75" customHeight="1">
      <c r="A426" s="24"/>
      <c r="B426" s="120"/>
    </row>
    <row r="427" ht="18.75" customHeight="1">
      <c r="A427" s="24"/>
      <c r="B427" s="120"/>
    </row>
    <row r="428" ht="18.75" customHeight="1">
      <c r="A428" s="24"/>
      <c r="B428" s="120"/>
    </row>
    <row r="429" ht="18.75" customHeight="1">
      <c r="A429" s="24"/>
      <c r="B429" s="120"/>
    </row>
    <row r="430" ht="18.75" customHeight="1">
      <c r="A430" s="24"/>
      <c r="B430" s="120"/>
    </row>
    <row r="431" ht="18.75" customHeight="1">
      <c r="A431" s="24"/>
      <c r="B431" s="120"/>
    </row>
    <row r="432" ht="18.75" customHeight="1">
      <c r="A432" s="24"/>
      <c r="B432" s="120"/>
    </row>
    <row r="433" ht="18.75" customHeight="1">
      <c r="A433" s="24"/>
      <c r="B433" s="120"/>
    </row>
    <row r="434" ht="18.75" customHeight="1">
      <c r="A434" s="24"/>
      <c r="B434" s="120"/>
    </row>
    <row r="435" ht="18.75" customHeight="1">
      <c r="A435" s="24"/>
      <c r="B435" s="120"/>
    </row>
    <row r="436" ht="18.75" customHeight="1">
      <c r="A436" s="24"/>
      <c r="B436" s="120"/>
    </row>
    <row r="437" ht="18.75" customHeight="1">
      <c r="A437" s="24"/>
      <c r="B437" s="120"/>
    </row>
    <row r="438" ht="18.75" customHeight="1">
      <c r="A438" s="24"/>
      <c r="B438" s="120"/>
    </row>
    <row r="439" ht="18.75" customHeight="1">
      <c r="A439" s="24"/>
      <c r="B439" s="120"/>
    </row>
    <row r="440" ht="18.75" customHeight="1">
      <c r="A440" s="24"/>
      <c r="B440" s="120"/>
    </row>
    <row r="441" ht="18.75" customHeight="1">
      <c r="A441" s="24"/>
      <c r="B441" s="120"/>
    </row>
    <row r="442" ht="18.75" customHeight="1">
      <c r="A442" s="24"/>
      <c r="B442" s="120"/>
    </row>
    <row r="443" ht="18.75" customHeight="1">
      <c r="A443" s="24"/>
      <c r="B443" s="120"/>
    </row>
    <row r="444" ht="18.75" customHeight="1">
      <c r="A444" s="24"/>
      <c r="B444" s="120"/>
    </row>
    <row r="445" ht="18.75" customHeight="1">
      <c r="A445" s="24"/>
      <c r="B445" s="120"/>
    </row>
    <row r="446" ht="18.75" customHeight="1">
      <c r="A446" s="24"/>
      <c r="B446" s="120"/>
    </row>
    <row r="447" ht="18.75" customHeight="1">
      <c r="A447" s="24"/>
      <c r="B447" s="120"/>
    </row>
    <row r="448" ht="18.75" customHeight="1">
      <c r="A448" s="24"/>
      <c r="B448" s="120"/>
    </row>
    <row r="449" ht="18.75" customHeight="1">
      <c r="A449" s="24"/>
      <c r="B449" s="120"/>
    </row>
    <row r="450" ht="18.75" customHeight="1">
      <c r="A450" s="24"/>
      <c r="B450" s="120"/>
    </row>
    <row r="451" ht="18.75" customHeight="1">
      <c r="A451" s="24"/>
      <c r="B451" s="120"/>
    </row>
    <row r="452" ht="18.75" customHeight="1">
      <c r="A452" s="24"/>
      <c r="B452" s="120"/>
    </row>
    <row r="453" ht="18.75" customHeight="1">
      <c r="A453" s="24"/>
      <c r="B453" s="120"/>
    </row>
    <row r="454" ht="18.75" customHeight="1">
      <c r="A454" s="24"/>
      <c r="B454" s="120"/>
    </row>
    <row r="455" ht="18.75" customHeight="1">
      <c r="A455" s="24"/>
      <c r="B455" s="120"/>
    </row>
    <row r="456" ht="18.75" customHeight="1">
      <c r="A456" s="24"/>
      <c r="B456" s="120"/>
    </row>
    <row r="457" ht="18.75" customHeight="1">
      <c r="A457" s="24"/>
      <c r="B457" s="120"/>
    </row>
    <row r="458" ht="18.75" customHeight="1">
      <c r="A458" s="24"/>
      <c r="B458" s="120"/>
    </row>
    <row r="459" ht="18.75" customHeight="1">
      <c r="A459" s="24"/>
      <c r="B459" s="120"/>
    </row>
    <row r="460" ht="18.75" customHeight="1">
      <c r="A460" s="24"/>
      <c r="B460" s="120"/>
    </row>
    <row r="461" ht="18.75" customHeight="1">
      <c r="A461" s="24"/>
      <c r="B461" s="120"/>
    </row>
    <row r="462" ht="18.75" customHeight="1">
      <c r="A462" s="24"/>
      <c r="B462" s="120"/>
    </row>
    <row r="463" ht="18.75" customHeight="1">
      <c r="A463" s="24"/>
      <c r="B463" s="120"/>
    </row>
    <row r="464" ht="18.75" customHeight="1">
      <c r="A464" s="24"/>
      <c r="B464" s="120"/>
    </row>
    <row r="465" ht="18.75" customHeight="1">
      <c r="A465" s="24"/>
      <c r="B465" s="120"/>
    </row>
    <row r="466" ht="18.75" customHeight="1">
      <c r="A466" s="24"/>
      <c r="B466" s="120"/>
    </row>
    <row r="467" ht="18.75" customHeight="1">
      <c r="A467" s="24"/>
      <c r="B467" s="120"/>
    </row>
    <row r="468" ht="18.75" customHeight="1">
      <c r="A468" s="24"/>
      <c r="B468" s="120"/>
    </row>
    <row r="469" ht="18.75" customHeight="1">
      <c r="A469" s="24"/>
      <c r="B469" s="120"/>
    </row>
    <row r="470" ht="18.75" customHeight="1">
      <c r="A470" s="24"/>
      <c r="B470" s="120"/>
    </row>
    <row r="471" ht="18.75" customHeight="1">
      <c r="A471" s="24"/>
      <c r="B471" s="120"/>
    </row>
    <row r="472" ht="18.75" customHeight="1">
      <c r="A472" s="24"/>
      <c r="B472" s="120"/>
    </row>
    <row r="473" ht="18.75" customHeight="1">
      <c r="A473" s="24"/>
      <c r="B473" s="120"/>
    </row>
    <row r="474" ht="18.75" customHeight="1">
      <c r="A474" s="24"/>
      <c r="B474" s="120"/>
    </row>
    <row r="475" ht="18.75" customHeight="1">
      <c r="A475" s="24"/>
      <c r="B475" s="120"/>
    </row>
    <row r="476" ht="18.75" customHeight="1">
      <c r="A476" s="24"/>
      <c r="B476" s="120"/>
    </row>
    <row r="477" ht="18.75" customHeight="1">
      <c r="A477" s="24"/>
      <c r="B477" s="120"/>
    </row>
    <row r="478" ht="18.75" customHeight="1">
      <c r="A478" s="24"/>
      <c r="B478" s="120"/>
    </row>
    <row r="479" ht="18.75" customHeight="1">
      <c r="A479" s="24"/>
      <c r="B479" s="120"/>
    </row>
    <row r="480" ht="18.75" customHeight="1">
      <c r="A480" s="24"/>
      <c r="B480" s="120"/>
    </row>
    <row r="481" ht="18.75" customHeight="1">
      <c r="A481" s="24"/>
      <c r="B481" s="120"/>
    </row>
    <row r="482" ht="18.75" customHeight="1">
      <c r="A482" s="24"/>
      <c r="B482" s="120"/>
    </row>
    <row r="483" ht="18.75" customHeight="1">
      <c r="A483" s="24"/>
      <c r="B483" s="120"/>
    </row>
    <row r="484" ht="18.75" customHeight="1">
      <c r="A484" s="24"/>
      <c r="B484" s="120"/>
    </row>
    <row r="485" ht="18.75" customHeight="1">
      <c r="A485" s="24"/>
      <c r="B485" s="120"/>
    </row>
    <row r="486" ht="18.75" customHeight="1">
      <c r="A486" s="24"/>
      <c r="B486" s="120"/>
    </row>
    <row r="487" ht="18.75" customHeight="1">
      <c r="A487" s="24"/>
      <c r="B487" s="120"/>
    </row>
    <row r="488" ht="18.75" customHeight="1">
      <c r="A488" s="24"/>
      <c r="B488" s="120"/>
    </row>
    <row r="489" ht="18.75" customHeight="1">
      <c r="A489" s="24"/>
      <c r="B489" s="120"/>
    </row>
    <row r="490" ht="18.75" customHeight="1">
      <c r="A490" s="24"/>
      <c r="B490" s="120"/>
    </row>
    <row r="491" ht="18.75" customHeight="1">
      <c r="A491" s="24"/>
      <c r="B491" s="120"/>
    </row>
    <row r="492" ht="18.75" customHeight="1">
      <c r="A492" s="24"/>
      <c r="B492" s="120"/>
    </row>
    <row r="493" ht="18.75" customHeight="1">
      <c r="A493" s="24"/>
      <c r="B493" s="120"/>
    </row>
    <row r="494" ht="18.75" customHeight="1">
      <c r="A494" s="24"/>
      <c r="B494" s="120"/>
    </row>
    <row r="495" ht="18.75" customHeight="1">
      <c r="A495" s="24"/>
      <c r="B495" s="120"/>
    </row>
    <row r="496" ht="18.75" customHeight="1">
      <c r="A496" s="24"/>
      <c r="B496" s="120"/>
    </row>
    <row r="497" ht="18.75" customHeight="1">
      <c r="A497" s="24"/>
      <c r="B497" s="120"/>
    </row>
    <row r="498" ht="18.75" customHeight="1">
      <c r="A498" s="24"/>
      <c r="B498" s="120"/>
    </row>
    <row r="499" ht="18.75" customHeight="1">
      <c r="A499" s="24"/>
      <c r="B499" s="120"/>
    </row>
    <row r="500" ht="18.75" customHeight="1">
      <c r="A500" s="24"/>
      <c r="B500" s="120"/>
    </row>
    <row r="501" ht="18.75" customHeight="1">
      <c r="A501" s="24"/>
      <c r="B501" s="120"/>
    </row>
    <row r="502" ht="18.75" customHeight="1">
      <c r="A502" s="24"/>
      <c r="B502" s="120"/>
    </row>
    <row r="503" ht="18.75" customHeight="1">
      <c r="A503" s="24"/>
      <c r="B503" s="120"/>
    </row>
    <row r="504" ht="18.75" customHeight="1">
      <c r="A504" s="24"/>
      <c r="B504" s="120"/>
    </row>
    <row r="505" ht="18.75" customHeight="1">
      <c r="A505" s="24"/>
      <c r="B505" s="120"/>
    </row>
    <row r="506" ht="18.75" customHeight="1">
      <c r="A506" s="24"/>
      <c r="B506" s="120"/>
    </row>
    <row r="507" ht="18.75" customHeight="1">
      <c r="A507" s="24"/>
      <c r="B507" s="120"/>
    </row>
    <row r="508" ht="18.75" customHeight="1">
      <c r="A508" s="24"/>
      <c r="B508" s="120"/>
    </row>
    <row r="509" ht="18.75" customHeight="1">
      <c r="A509" s="24"/>
      <c r="B509" s="120"/>
    </row>
    <row r="510" ht="18.75" customHeight="1">
      <c r="A510" s="24"/>
      <c r="B510" s="120"/>
    </row>
    <row r="511" ht="18.75" customHeight="1">
      <c r="A511" s="24"/>
      <c r="B511" s="120"/>
    </row>
    <row r="512" ht="18.75" customHeight="1">
      <c r="A512" s="24"/>
      <c r="B512" s="120"/>
    </row>
    <row r="513" ht="18.75" customHeight="1">
      <c r="A513" s="24"/>
      <c r="B513" s="120"/>
    </row>
    <row r="514" ht="18.75" customHeight="1">
      <c r="A514" s="24"/>
      <c r="B514" s="120"/>
    </row>
    <row r="515" ht="18.75" customHeight="1">
      <c r="A515" s="24"/>
      <c r="B515" s="120"/>
    </row>
    <row r="516" ht="18.75" customHeight="1">
      <c r="A516" s="24"/>
      <c r="B516" s="120"/>
    </row>
    <row r="517" ht="18.75" customHeight="1">
      <c r="A517" s="24"/>
      <c r="B517" s="120"/>
    </row>
    <row r="518" ht="18.75" customHeight="1">
      <c r="A518" s="24"/>
      <c r="B518" s="120"/>
    </row>
    <row r="519" ht="18.75" customHeight="1">
      <c r="A519" s="24"/>
      <c r="B519" s="120"/>
    </row>
    <row r="520" ht="18.75" customHeight="1">
      <c r="A520" s="24"/>
      <c r="B520" s="120"/>
    </row>
    <row r="521" ht="18.75" customHeight="1">
      <c r="A521" s="24"/>
      <c r="B521" s="120"/>
    </row>
    <row r="522" ht="18.75" customHeight="1">
      <c r="A522" s="24"/>
      <c r="B522" s="120"/>
    </row>
    <row r="523" ht="18.75" customHeight="1">
      <c r="A523" s="24"/>
      <c r="B523" s="120"/>
    </row>
    <row r="524" ht="18.75" customHeight="1">
      <c r="A524" s="24"/>
      <c r="B524" s="120"/>
    </row>
    <row r="525" ht="18.75" customHeight="1">
      <c r="A525" s="24"/>
      <c r="B525" s="120"/>
    </row>
    <row r="526" ht="18.75" customHeight="1">
      <c r="A526" s="24"/>
      <c r="B526" s="120"/>
    </row>
    <row r="527" ht="18.75" customHeight="1">
      <c r="A527" s="24"/>
      <c r="B527" s="120"/>
    </row>
    <row r="528" ht="18.75" customHeight="1">
      <c r="A528" s="24"/>
      <c r="B528" s="120"/>
    </row>
    <row r="529" ht="18.75" customHeight="1">
      <c r="A529" s="24"/>
      <c r="B529" s="120"/>
    </row>
    <row r="530" ht="18.75" customHeight="1">
      <c r="A530" s="24"/>
      <c r="B530" s="120"/>
    </row>
    <row r="531" ht="18.75" customHeight="1">
      <c r="A531" s="24"/>
      <c r="B531" s="120"/>
    </row>
    <row r="532" ht="18.75" customHeight="1">
      <c r="A532" s="24"/>
      <c r="B532" s="120"/>
    </row>
    <row r="533" ht="18.75" customHeight="1">
      <c r="A533" s="24"/>
      <c r="B533" s="120"/>
    </row>
    <row r="534" ht="18.75" customHeight="1">
      <c r="A534" s="24"/>
      <c r="B534" s="120"/>
    </row>
    <row r="535" ht="18.75" customHeight="1">
      <c r="A535" s="24"/>
      <c r="B535" s="120"/>
    </row>
    <row r="536" ht="18.75" customHeight="1">
      <c r="A536" s="24"/>
      <c r="B536" s="120"/>
    </row>
    <row r="537" ht="18.75" customHeight="1">
      <c r="A537" s="24"/>
      <c r="B537" s="120"/>
    </row>
    <row r="538" ht="18.75" customHeight="1">
      <c r="A538" s="24"/>
      <c r="B538" s="120"/>
    </row>
    <row r="539" ht="18.75" customHeight="1">
      <c r="A539" s="24"/>
      <c r="B539" s="120"/>
    </row>
    <row r="540" ht="18.75" customHeight="1">
      <c r="A540" s="24"/>
      <c r="B540" s="120"/>
    </row>
    <row r="541" ht="18.75" customHeight="1">
      <c r="A541" s="24"/>
      <c r="B541" s="120"/>
    </row>
    <row r="542" ht="18.75" customHeight="1">
      <c r="A542" s="24"/>
      <c r="B542" s="120"/>
    </row>
    <row r="543" ht="18.75" customHeight="1">
      <c r="A543" s="24"/>
      <c r="B543" s="120"/>
    </row>
    <row r="544" ht="18.75" customHeight="1">
      <c r="A544" s="24"/>
      <c r="B544" s="120"/>
    </row>
    <row r="545" ht="18.75" customHeight="1">
      <c r="A545" s="24"/>
      <c r="B545" s="120"/>
    </row>
    <row r="546" ht="18.75" customHeight="1">
      <c r="A546" s="24"/>
      <c r="B546" s="120"/>
    </row>
    <row r="547" ht="18.75" customHeight="1">
      <c r="A547" s="24"/>
      <c r="B547" s="120"/>
    </row>
    <row r="548" ht="18.75" customHeight="1">
      <c r="A548" s="24"/>
      <c r="B548" s="120"/>
    </row>
    <row r="549" ht="18.75" customHeight="1">
      <c r="A549" s="24"/>
      <c r="B549" s="120"/>
    </row>
    <row r="550" ht="18.75" customHeight="1">
      <c r="A550" s="24"/>
      <c r="B550" s="120"/>
    </row>
    <row r="551" ht="18.75" customHeight="1">
      <c r="A551" s="24"/>
      <c r="B551" s="120"/>
    </row>
    <row r="552" ht="18.75" customHeight="1">
      <c r="A552" s="24"/>
      <c r="B552" s="120"/>
    </row>
    <row r="553" ht="18.75" customHeight="1">
      <c r="A553" s="24"/>
      <c r="B553" s="120"/>
    </row>
    <row r="554" ht="18.75" customHeight="1">
      <c r="A554" s="24"/>
      <c r="B554" s="120"/>
    </row>
    <row r="555" ht="18.75" customHeight="1">
      <c r="A555" s="24"/>
      <c r="B555" s="120"/>
    </row>
    <row r="556" ht="18.75" customHeight="1">
      <c r="A556" s="24"/>
      <c r="B556" s="120"/>
    </row>
    <row r="557" ht="18.75" customHeight="1">
      <c r="A557" s="24"/>
      <c r="B557" s="120"/>
    </row>
    <row r="558" ht="18.75" customHeight="1">
      <c r="A558" s="24"/>
      <c r="B558" s="120"/>
    </row>
    <row r="559" ht="18.75" customHeight="1">
      <c r="A559" s="24"/>
      <c r="B559" s="120"/>
    </row>
    <row r="560" ht="18.75" customHeight="1">
      <c r="A560" s="24"/>
      <c r="B560" s="120"/>
    </row>
    <row r="561" ht="18.75" customHeight="1">
      <c r="A561" s="24"/>
      <c r="B561" s="120"/>
    </row>
    <row r="562" ht="18.75" customHeight="1">
      <c r="A562" s="24"/>
      <c r="B562" s="120"/>
    </row>
    <row r="563" ht="18.75" customHeight="1">
      <c r="A563" s="24"/>
      <c r="B563" s="120"/>
    </row>
    <row r="564" ht="18.75" customHeight="1">
      <c r="A564" s="24"/>
      <c r="B564" s="120"/>
    </row>
    <row r="565" ht="18.75" customHeight="1">
      <c r="A565" s="24"/>
      <c r="B565" s="120"/>
    </row>
    <row r="566" ht="18.75" customHeight="1">
      <c r="A566" s="24"/>
      <c r="B566" s="120"/>
    </row>
    <row r="567" ht="18.75" customHeight="1">
      <c r="A567" s="24"/>
      <c r="B567" s="120"/>
    </row>
    <row r="568" ht="18.75" customHeight="1">
      <c r="A568" s="24"/>
      <c r="B568" s="120"/>
    </row>
    <row r="569" ht="18.75" customHeight="1">
      <c r="A569" s="24"/>
      <c r="B569" s="120"/>
    </row>
    <row r="570" ht="18.75" customHeight="1">
      <c r="A570" s="24"/>
      <c r="B570" s="120"/>
    </row>
    <row r="571" ht="18.75" customHeight="1">
      <c r="A571" s="24"/>
      <c r="B571" s="120"/>
    </row>
    <row r="572" ht="18.75" customHeight="1">
      <c r="A572" s="24"/>
      <c r="B572" s="120"/>
    </row>
    <row r="573" ht="18.75" customHeight="1">
      <c r="A573" s="24"/>
      <c r="B573" s="120"/>
    </row>
    <row r="574" ht="18.75" customHeight="1">
      <c r="A574" s="24"/>
      <c r="B574" s="120"/>
    </row>
    <row r="575" ht="18.75" customHeight="1">
      <c r="A575" s="24"/>
      <c r="B575" s="120"/>
    </row>
    <row r="576" ht="18.75" customHeight="1">
      <c r="A576" s="24"/>
      <c r="B576" s="120"/>
    </row>
    <row r="577" ht="18.75" customHeight="1">
      <c r="A577" s="24"/>
      <c r="B577" s="120"/>
    </row>
    <row r="578" ht="18.75" customHeight="1">
      <c r="A578" s="24"/>
      <c r="B578" s="120"/>
    </row>
    <row r="579" ht="18.75" customHeight="1">
      <c r="A579" s="24"/>
      <c r="B579" s="120"/>
    </row>
    <row r="580" ht="18.75" customHeight="1">
      <c r="A580" s="24"/>
      <c r="B580" s="120"/>
    </row>
    <row r="581" ht="18.75" customHeight="1">
      <c r="A581" s="24"/>
      <c r="B581" s="120"/>
    </row>
    <row r="582" ht="18.75" customHeight="1">
      <c r="A582" s="24"/>
      <c r="B582" s="120"/>
    </row>
    <row r="583" ht="18.75" customHeight="1">
      <c r="A583" s="24"/>
      <c r="B583" s="120"/>
    </row>
    <row r="584" ht="18.75" customHeight="1">
      <c r="A584" s="24"/>
      <c r="B584" s="120"/>
    </row>
    <row r="585" ht="18.75" customHeight="1">
      <c r="A585" s="24"/>
      <c r="B585" s="120"/>
    </row>
    <row r="586" ht="18.75" customHeight="1">
      <c r="A586" s="24"/>
      <c r="B586" s="120"/>
    </row>
    <row r="587" ht="18.75" customHeight="1">
      <c r="A587" s="24"/>
      <c r="B587" s="120"/>
    </row>
    <row r="588" ht="18.75" customHeight="1">
      <c r="A588" s="24"/>
      <c r="B588" s="120"/>
    </row>
    <row r="589" ht="18.75" customHeight="1">
      <c r="A589" s="24"/>
      <c r="B589" s="120"/>
    </row>
    <row r="590" ht="18.75" customHeight="1">
      <c r="A590" s="24"/>
      <c r="B590" s="120"/>
    </row>
    <row r="591" ht="18.75" customHeight="1">
      <c r="A591" s="24"/>
      <c r="B591" s="120"/>
    </row>
    <row r="592" ht="18.75" customHeight="1">
      <c r="A592" s="24"/>
      <c r="B592" s="120"/>
    </row>
    <row r="593" ht="18.75" customHeight="1">
      <c r="A593" s="24"/>
      <c r="B593" s="120"/>
    </row>
    <row r="594" ht="18.75" customHeight="1">
      <c r="A594" s="24"/>
      <c r="B594" s="120"/>
    </row>
    <row r="595" ht="18.75" customHeight="1">
      <c r="A595" s="24"/>
      <c r="B595" s="120"/>
    </row>
    <row r="596" ht="18.75" customHeight="1">
      <c r="A596" s="24"/>
      <c r="B596" s="120"/>
    </row>
    <row r="597" ht="18.75" customHeight="1">
      <c r="A597" s="24"/>
      <c r="B597" s="120"/>
    </row>
    <row r="598" ht="18.75" customHeight="1">
      <c r="A598" s="24"/>
      <c r="B598" s="120"/>
    </row>
    <row r="599" ht="18.75" customHeight="1">
      <c r="A599" s="24"/>
      <c r="B599" s="120"/>
    </row>
    <row r="600" ht="18.75" customHeight="1">
      <c r="A600" s="24"/>
      <c r="B600" s="120"/>
    </row>
    <row r="601" ht="18.75" customHeight="1">
      <c r="A601" s="24"/>
      <c r="B601" s="120"/>
    </row>
    <row r="602" ht="18.75" customHeight="1">
      <c r="A602" s="24"/>
      <c r="B602" s="120"/>
    </row>
    <row r="603" ht="18.75" customHeight="1">
      <c r="A603" s="24"/>
      <c r="B603" s="120"/>
    </row>
    <row r="604" ht="18.75" customHeight="1">
      <c r="A604" s="24"/>
      <c r="B604" s="120"/>
    </row>
    <row r="605" ht="18.75" customHeight="1">
      <c r="A605" s="24"/>
      <c r="B605" s="120"/>
    </row>
    <row r="606" ht="18.75" customHeight="1">
      <c r="A606" s="24"/>
      <c r="B606" s="120"/>
    </row>
    <row r="607" ht="18.75" customHeight="1">
      <c r="A607" s="24"/>
      <c r="B607" s="120"/>
    </row>
    <row r="608" ht="18.75" customHeight="1">
      <c r="A608" s="24"/>
      <c r="B608" s="120"/>
    </row>
    <row r="609" ht="18.75" customHeight="1">
      <c r="A609" s="24"/>
      <c r="B609" s="120"/>
    </row>
    <row r="610" ht="18.75" customHeight="1">
      <c r="A610" s="24"/>
      <c r="B610" s="120"/>
    </row>
    <row r="611" ht="18.75" customHeight="1">
      <c r="A611" s="24"/>
      <c r="B611" s="120"/>
    </row>
    <row r="612" ht="18.75" customHeight="1">
      <c r="A612" s="24"/>
      <c r="B612" s="120"/>
    </row>
    <row r="613" ht="18.75" customHeight="1">
      <c r="A613" s="24"/>
      <c r="B613" s="120"/>
    </row>
    <row r="614" ht="18.75" customHeight="1">
      <c r="A614" s="24"/>
      <c r="B614" s="120"/>
    </row>
    <row r="615" ht="18.75" customHeight="1">
      <c r="A615" s="24"/>
      <c r="B615" s="120"/>
    </row>
    <row r="616" ht="18.75" customHeight="1">
      <c r="A616" s="24"/>
      <c r="B616" s="120"/>
    </row>
    <row r="617" ht="18.75" customHeight="1">
      <c r="A617" s="24"/>
      <c r="B617" s="120"/>
    </row>
    <row r="618" ht="18.75" customHeight="1">
      <c r="A618" s="24"/>
      <c r="B618" s="120"/>
    </row>
    <row r="619" ht="18.75" customHeight="1">
      <c r="A619" s="24"/>
      <c r="B619" s="120"/>
    </row>
    <row r="620" ht="18.75" customHeight="1">
      <c r="A620" s="24"/>
      <c r="B620" s="120"/>
    </row>
    <row r="621" ht="18.75" customHeight="1">
      <c r="A621" s="24"/>
      <c r="B621" s="120"/>
    </row>
    <row r="622" ht="18.75" customHeight="1">
      <c r="A622" s="24"/>
      <c r="B622" s="120"/>
    </row>
    <row r="623" ht="18.75" customHeight="1">
      <c r="A623" s="24"/>
      <c r="B623" s="120"/>
    </row>
    <row r="624" ht="18.75" customHeight="1">
      <c r="A624" s="24"/>
      <c r="B624" s="120"/>
    </row>
    <row r="625" ht="18.75" customHeight="1">
      <c r="A625" s="24"/>
      <c r="B625" s="120"/>
    </row>
    <row r="626" ht="18.75" customHeight="1">
      <c r="A626" s="24"/>
      <c r="B626" s="120"/>
    </row>
    <row r="627" ht="18.75" customHeight="1">
      <c r="A627" s="24"/>
      <c r="B627" s="120"/>
    </row>
    <row r="628" ht="18.75" customHeight="1">
      <c r="A628" s="24"/>
      <c r="B628" s="120"/>
    </row>
    <row r="629" ht="18.75" customHeight="1">
      <c r="A629" s="24"/>
      <c r="B629" s="120"/>
    </row>
    <row r="630" ht="18.75" customHeight="1">
      <c r="A630" s="24"/>
      <c r="B630" s="120"/>
    </row>
    <row r="631" ht="18.75" customHeight="1">
      <c r="A631" s="24"/>
      <c r="B631" s="120"/>
    </row>
    <row r="632" ht="18.75" customHeight="1">
      <c r="A632" s="24"/>
      <c r="B632" s="120"/>
    </row>
    <row r="633" ht="18.75" customHeight="1">
      <c r="A633" s="24"/>
      <c r="B633" s="120"/>
    </row>
    <row r="634" ht="18.75" customHeight="1">
      <c r="A634" s="24"/>
      <c r="B634" s="120"/>
    </row>
    <row r="635" ht="18.75" customHeight="1">
      <c r="A635" s="24"/>
      <c r="B635" s="120"/>
    </row>
    <row r="636" ht="18.75" customHeight="1">
      <c r="A636" s="24"/>
      <c r="B636" s="120"/>
    </row>
    <row r="637" ht="18.75" customHeight="1">
      <c r="A637" s="24"/>
      <c r="B637" s="120"/>
    </row>
    <row r="638" ht="18.75" customHeight="1">
      <c r="A638" s="24"/>
      <c r="B638" s="120"/>
    </row>
    <row r="639" ht="18.75" customHeight="1">
      <c r="A639" s="24"/>
      <c r="B639" s="120"/>
    </row>
    <row r="640" ht="18.75" customHeight="1">
      <c r="A640" s="24"/>
      <c r="B640" s="120"/>
    </row>
    <row r="641" ht="18.75" customHeight="1">
      <c r="A641" s="24"/>
      <c r="B641" s="120"/>
    </row>
    <row r="642" ht="18.75" customHeight="1">
      <c r="A642" s="24"/>
      <c r="B642" s="120"/>
    </row>
    <row r="643" ht="18.75" customHeight="1">
      <c r="A643" s="24"/>
      <c r="B643" s="120"/>
    </row>
    <row r="644" ht="18.75" customHeight="1">
      <c r="A644" s="24"/>
      <c r="B644" s="120"/>
    </row>
    <row r="645" ht="18.75" customHeight="1">
      <c r="A645" s="24"/>
      <c r="B645" s="120"/>
    </row>
    <row r="646" ht="18.75" customHeight="1">
      <c r="A646" s="24"/>
      <c r="B646" s="120"/>
    </row>
    <row r="647" ht="18.75" customHeight="1">
      <c r="A647" s="24"/>
      <c r="B647" s="120"/>
    </row>
    <row r="648" ht="18.75" customHeight="1">
      <c r="A648" s="24"/>
      <c r="B648" s="120"/>
    </row>
    <row r="649" ht="18.75" customHeight="1">
      <c r="A649" s="24"/>
      <c r="B649" s="120"/>
    </row>
    <row r="650" ht="18.75" customHeight="1">
      <c r="A650" s="24"/>
      <c r="B650" s="120"/>
    </row>
    <row r="651" ht="18.75" customHeight="1">
      <c r="A651" s="24"/>
      <c r="B651" s="120"/>
    </row>
    <row r="652" ht="18.75" customHeight="1">
      <c r="A652" s="24"/>
      <c r="B652" s="120"/>
    </row>
    <row r="653" ht="18.75" customHeight="1">
      <c r="A653" s="24"/>
      <c r="B653" s="120"/>
    </row>
    <row r="654" ht="18.75" customHeight="1">
      <c r="A654" s="24"/>
      <c r="B654" s="120"/>
    </row>
    <row r="655" ht="18.75" customHeight="1">
      <c r="A655" s="24"/>
      <c r="B655" s="120"/>
    </row>
    <row r="656" ht="18.75" customHeight="1">
      <c r="A656" s="24"/>
      <c r="B656" s="120"/>
    </row>
    <row r="657" ht="18.75" customHeight="1">
      <c r="A657" s="24"/>
      <c r="B657" s="120"/>
    </row>
    <row r="658" ht="18.75" customHeight="1">
      <c r="A658" s="24"/>
      <c r="B658" s="120"/>
    </row>
    <row r="659" ht="18.75" customHeight="1">
      <c r="A659" s="24"/>
      <c r="B659" s="120"/>
    </row>
    <row r="660" ht="18.75" customHeight="1">
      <c r="A660" s="24"/>
      <c r="B660" s="120"/>
    </row>
    <row r="661" ht="18.75" customHeight="1">
      <c r="A661" s="24"/>
      <c r="B661" s="120"/>
    </row>
    <row r="662" ht="18.75" customHeight="1">
      <c r="A662" s="24"/>
      <c r="B662" s="120"/>
    </row>
    <row r="663" ht="18.75" customHeight="1">
      <c r="A663" s="24"/>
      <c r="B663" s="120"/>
    </row>
    <row r="664" ht="18.75" customHeight="1">
      <c r="A664" s="24"/>
      <c r="B664" s="120"/>
    </row>
    <row r="665" ht="18.75" customHeight="1">
      <c r="A665" s="24"/>
      <c r="B665" s="120"/>
    </row>
    <row r="666" ht="18.75" customHeight="1">
      <c r="A666" s="24"/>
      <c r="B666" s="120"/>
    </row>
    <row r="667" ht="18.75" customHeight="1">
      <c r="A667" s="24"/>
      <c r="B667" s="120"/>
    </row>
    <row r="668" ht="18.75" customHeight="1">
      <c r="A668" s="24"/>
      <c r="B668" s="120"/>
    </row>
    <row r="669" ht="18.75" customHeight="1">
      <c r="A669" s="24"/>
      <c r="B669" s="120"/>
    </row>
    <row r="670" ht="18.75" customHeight="1">
      <c r="A670" s="24"/>
      <c r="B670" s="120"/>
    </row>
    <row r="671" ht="18.75" customHeight="1">
      <c r="A671" s="24"/>
      <c r="B671" s="120"/>
    </row>
    <row r="672" ht="18.75" customHeight="1">
      <c r="A672" s="24"/>
      <c r="B672" s="120"/>
    </row>
    <row r="673" ht="18.75" customHeight="1">
      <c r="A673" s="24"/>
      <c r="B673" s="120"/>
    </row>
    <row r="674" ht="18.75" customHeight="1">
      <c r="A674" s="24"/>
      <c r="B674" s="120"/>
    </row>
    <row r="675" ht="18.75" customHeight="1">
      <c r="A675" s="24"/>
      <c r="B675" s="120"/>
    </row>
    <row r="676" ht="18.75" customHeight="1">
      <c r="A676" s="24"/>
      <c r="B676" s="120"/>
    </row>
    <row r="677" ht="18.75" customHeight="1">
      <c r="A677" s="24"/>
      <c r="B677" s="120"/>
    </row>
    <row r="678" ht="18.75" customHeight="1">
      <c r="A678" s="24"/>
      <c r="B678" s="120"/>
    </row>
    <row r="679" ht="18.75" customHeight="1">
      <c r="A679" s="24"/>
      <c r="B679" s="120"/>
    </row>
    <row r="680" ht="18.75" customHeight="1">
      <c r="A680" s="24"/>
      <c r="B680" s="120"/>
    </row>
    <row r="681" ht="18.75" customHeight="1">
      <c r="A681" s="24"/>
      <c r="B681" s="120"/>
    </row>
    <row r="682" ht="18.75" customHeight="1">
      <c r="A682" s="24"/>
      <c r="B682" s="120"/>
    </row>
    <row r="683" ht="18.75" customHeight="1">
      <c r="A683" s="24"/>
      <c r="B683" s="120"/>
    </row>
    <row r="684" ht="18.75" customHeight="1">
      <c r="A684" s="24"/>
      <c r="B684" s="120"/>
    </row>
    <row r="685" ht="18.75" customHeight="1">
      <c r="A685" s="24"/>
      <c r="B685" s="120"/>
    </row>
    <row r="686" ht="18.75" customHeight="1">
      <c r="A686" s="24"/>
      <c r="B686" s="120"/>
    </row>
    <row r="687" ht="18.75" customHeight="1">
      <c r="A687" s="24"/>
      <c r="B687" s="120"/>
    </row>
    <row r="688" ht="18.75" customHeight="1">
      <c r="A688" s="24"/>
      <c r="B688" s="120"/>
    </row>
    <row r="689" ht="18.75" customHeight="1">
      <c r="A689" s="24"/>
      <c r="B689" s="120"/>
    </row>
    <row r="690" ht="18.75" customHeight="1">
      <c r="A690" s="24"/>
      <c r="B690" s="120"/>
    </row>
    <row r="691" ht="18.75" customHeight="1">
      <c r="A691" s="24"/>
      <c r="B691" s="120"/>
    </row>
    <row r="692" ht="18.75" customHeight="1">
      <c r="A692" s="24"/>
      <c r="B692" s="120"/>
    </row>
    <row r="693" ht="18.75" customHeight="1">
      <c r="A693" s="24"/>
      <c r="B693" s="120"/>
    </row>
    <row r="694" ht="18.75" customHeight="1">
      <c r="A694" s="24"/>
      <c r="B694" s="120"/>
    </row>
    <row r="695" ht="18.75" customHeight="1">
      <c r="A695" s="24"/>
      <c r="B695" s="120"/>
    </row>
    <row r="696" ht="18.75" customHeight="1">
      <c r="A696" s="24"/>
      <c r="B696" s="120"/>
    </row>
    <row r="697" ht="18.75" customHeight="1">
      <c r="A697" s="24"/>
      <c r="B697" s="120"/>
    </row>
    <row r="698" ht="18.75" customHeight="1">
      <c r="A698" s="24"/>
      <c r="B698" s="120"/>
    </row>
    <row r="699" ht="18.75" customHeight="1">
      <c r="A699" s="24"/>
      <c r="B699" s="120"/>
    </row>
    <row r="700" ht="18.75" customHeight="1">
      <c r="A700" s="24"/>
      <c r="B700" s="120"/>
    </row>
    <row r="701" ht="18.75" customHeight="1">
      <c r="A701" s="24"/>
      <c r="B701" s="120"/>
    </row>
    <row r="702" ht="18.75" customHeight="1">
      <c r="A702" s="24"/>
      <c r="B702" s="120"/>
    </row>
    <row r="703" ht="18.75" customHeight="1">
      <c r="A703" s="24"/>
      <c r="B703" s="120"/>
    </row>
    <row r="704" ht="18.75" customHeight="1">
      <c r="A704" s="24"/>
      <c r="B704" s="120"/>
    </row>
    <row r="705" ht="18.75" customHeight="1">
      <c r="A705" s="24"/>
      <c r="B705" s="120"/>
    </row>
    <row r="706" ht="18.75" customHeight="1">
      <c r="A706" s="24"/>
      <c r="B706" s="120"/>
    </row>
    <row r="707" ht="18.75" customHeight="1">
      <c r="A707" s="24"/>
      <c r="B707" s="120"/>
    </row>
    <row r="708" ht="18.75" customHeight="1">
      <c r="A708" s="24"/>
      <c r="B708" s="120"/>
    </row>
    <row r="709" ht="18.75" customHeight="1">
      <c r="A709" s="24"/>
      <c r="B709" s="120"/>
    </row>
    <row r="710" ht="18.75" customHeight="1">
      <c r="A710" s="24"/>
      <c r="B710" s="120"/>
    </row>
    <row r="711" ht="18.75" customHeight="1">
      <c r="A711" s="24"/>
      <c r="B711" s="120"/>
    </row>
    <row r="712" ht="18.75" customHeight="1">
      <c r="A712" s="24"/>
      <c r="B712" s="120"/>
    </row>
    <row r="713" ht="18.75" customHeight="1">
      <c r="A713" s="24"/>
      <c r="B713" s="120"/>
    </row>
    <row r="714" ht="18.75" customHeight="1">
      <c r="A714" s="24"/>
      <c r="B714" s="120"/>
    </row>
    <row r="715" ht="18.75" customHeight="1">
      <c r="A715" s="24"/>
      <c r="B715" s="120"/>
    </row>
    <row r="716" ht="18.75" customHeight="1">
      <c r="A716" s="24"/>
      <c r="B716" s="120"/>
    </row>
    <row r="717" ht="18.75" customHeight="1">
      <c r="A717" s="24"/>
      <c r="B717" s="120"/>
    </row>
    <row r="718" ht="18.75" customHeight="1">
      <c r="A718" s="24"/>
      <c r="B718" s="120"/>
    </row>
    <row r="719" ht="18.75" customHeight="1">
      <c r="A719" s="24"/>
      <c r="B719" s="120"/>
    </row>
    <row r="720" ht="18.75" customHeight="1">
      <c r="A720" s="24"/>
      <c r="B720" s="120"/>
    </row>
    <row r="721" ht="18.75" customHeight="1">
      <c r="A721" s="24"/>
      <c r="B721" s="120"/>
    </row>
    <row r="722" ht="18.75" customHeight="1">
      <c r="A722" s="24"/>
      <c r="B722" s="120"/>
    </row>
    <row r="723" ht="18.75" customHeight="1">
      <c r="A723" s="24"/>
      <c r="B723" s="120"/>
    </row>
    <row r="724" ht="18.75" customHeight="1">
      <c r="A724" s="24"/>
      <c r="B724" s="120"/>
    </row>
    <row r="725" ht="18.75" customHeight="1">
      <c r="A725" s="24"/>
      <c r="B725" s="120"/>
    </row>
    <row r="726" ht="18.75" customHeight="1">
      <c r="A726" s="24"/>
      <c r="B726" s="120"/>
    </row>
    <row r="727" ht="18.75" customHeight="1">
      <c r="A727" s="24"/>
      <c r="B727" s="120"/>
    </row>
    <row r="728" ht="18.75" customHeight="1">
      <c r="A728" s="24"/>
      <c r="B728" s="120"/>
    </row>
    <row r="729" ht="18.75" customHeight="1">
      <c r="A729" s="24"/>
      <c r="B729" s="120"/>
    </row>
    <row r="730" ht="18.75" customHeight="1">
      <c r="A730" s="24"/>
      <c r="B730" s="120"/>
    </row>
    <row r="731" ht="18.75" customHeight="1">
      <c r="A731" s="24"/>
      <c r="B731" s="120"/>
    </row>
    <row r="732" ht="18.75" customHeight="1">
      <c r="A732" s="24"/>
      <c r="B732" s="120"/>
    </row>
    <row r="733" ht="18.75" customHeight="1">
      <c r="A733" s="24"/>
      <c r="B733" s="120"/>
    </row>
    <row r="734" ht="18.75" customHeight="1">
      <c r="A734" s="24"/>
      <c r="B734" s="120"/>
    </row>
    <row r="735" ht="18.75" customHeight="1">
      <c r="A735" s="24"/>
      <c r="B735" s="120"/>
    </row>
    <row r="736" ht="18.75" customHeight="1">
      <c r="A736" s="24"/>
      <c r="B736" s="120"/>
    </row>
    <row r="737" ht="18.75" customHeight="1">
      <c r="A737" s="24"/>
      <c r="B737" s="120"/>
    </row>
    <row r="738" ht="18.75" customHeight="1">
      <c r="A738" s="24"/>
      <c r="B738" s="120"/>
    </row>
    <row r="739" ht="18.75" customHeight="1">
      <c r="A739" s="24"/>
      <c r="B739" s="120"/>
    </row>
    <row r="740" ht="18.75" customHeight="1">
      <c r="A740" s="24"/>
      <c r="B740" s="120"/>
    </row>
    <row r="741" ht="18.75" customHeight="1">
      <c r="A741" s="24"/>
      <c r="B741" s="120"/>
    </row>
    <row r="742" ht="18.75" customHeight="1">
      <c r="A742" s="24"/>
      <c r="B742" s="120"/>
    </row>
    <row r="743" ht="18.75" customHeight="1">
      <c r="A743" s="24"/>
      <c r="B743" s="120"/>
    </row>
    <row r="744" ht="18.75" customHeight="1">
      <c r="A744" s="24"/>
      <c r="B744" s="120"/>
    </row>
    <row r="745" ht="18.75" customHeight="1">
      <c r="A745" s="24"/>
      <c r="B745" s="120"/>
    </row>
    <row r="746" ht="18.75" customHeight="1">
      <c r="A746" s="24"/>
      <c r="B746" s="120"/>
    </row>
    <row r="747" ht="18.75" customHeight="1">
      <c r="A747" s="24"/>
      <c r="B747" s="120"/>
    </row>
    <row r="748" ht="18.75" customHeight="1">
      <c r="A748" s="24"/>
      <c r="B748" s="120"/>
    </row>
    <row r="749" ht="18.75" customHeight="1">
      <c r="A749" s="24"/>
      <c r="B749" s="120"/>
    </row>
    <row r="750" ht="18.75" customHeight="1">
      <c r="A750" s="24"/>
      <c r="B750" s="120"/>
    </row>
    <row r="751" ht="18.75" customHeight="1">
      <c r="A751" s="24"/>
      <c r="B751" s="120"/>
    </row>
    <row r="752" ht="18.75" customHeight="1">
      <c r="A752" s="24"/>
      <c r="B752" s="120"/>
    </row>
    <row r="753" ht="18.75" customHeight="1">
      <c r="A753" s="24"/>
      <c r="B753" s="120"/>
    </row>
    <row r="754" ht="18.75" customHeight="1">
      <c r="A754" s="24"/>
      <c r="B754" s="120"/>
    </row>
    <row r="755" ht="18.75" customHeight="1">
      <c r="A755" s="24"/>
      <c r="B755" s="120"/>
    </row>
    <row r="756" ht="18.75" customHeight="1">
      <c r="A756" s="24"/>
      <c r="B756" s="120"/>
    </row>
    <row r="757" ht="18.75" customHeight="1">
      <c r="A757" s="24"/>
      <c r="B757" s="120"/>
    </row>
    <row r="758" ht="18.75" customHeight="1">
      <c r="A758" s="24"/>
      <c r="B758" s="120"/>
    </row>
    <row r="759" ht="18.75" customHeight="1">
      <c r="A759" s="24"/>
      <c r="B759" s="120"/>
    </row>
    <row r="760" ht="18.75" customHeight="1">
      <c r="A760" s="24"/>
      <c r="B760" s="120"/>
    </row>
    <row r="761" ht="18.75" customHeight="1">
      <c r="A761" s="24"/>
      <c r="B761" s="120"/>
    </row>
    <row r="762" ht="18.75" customHeight="1">
      <c r="A762" s="24"/>
      <c r="B762" s="120"/>
    </row>
    <row r="763" ht="18.75" customHeight="1">
      <c r="A763" s="24"/>
      <c r="B763" s="120"/>
    </row>
    <row r="764" ht="18.75" customHeight="1">
      <c r="A764" s="24"/>
      <c r="B764" s="120"/>
    </row>
    <row r="765" ht="18.75" customHeight="1">
      <c r="A765" s="24"/>
      <c r="B765" s="120"/>
    </row>
    <row r="766" ht="18.75" customHeight="1">
      <c r="A766" s="24"/>
      <c r="B766" s="120"/>
    </row>
    <row r="767" ht="18.75" customHeight="1">
      <c r="A767" s="24"/>
      <c r="B767" s="120"/>
    </row>
    <row r="768" ht="18.75" customHeight="1">
      <c r="A768" s="24"/>
      <c r="B768" s="120"/>
    </row>
    <row r="769" ht="18.75" customHeight="1">
      <c r="A769" s="24"/>
      <c r="B769" s="120"/>
    </row>
    <row r="770" ht="18.75" customHeight="1">
      <c r="A770" s="24"/>
      <c r="B770" s="120"/>
    </row>
    <row r="771" ht="18.75" customHeight="1">
      <c r="A771" s="24"/>
      <c r="B771" s="120"/>
    </row>
    <row r="772" ht="18.75" customHeight="1">
      <c r="A772" s="24"/>
      <c r="B772" s="120"/>
    </row>
    <row r="773" ht="18.75" customHeight="1">
      <c r="A773" s="24"/>
      <c r="B773" s="120"/>
    </row>
    <row r="774" ht="18.75" customHeight="1">
      <c r="A774" s="24"/>
      <c r="B774" s="120"/>
    </row>
    <row r="775" ht="18.75" customHeight="1">
      <c r="A775" s="24"/>
      <c r="B775" s="120"/>
    </row>
    <row r="776" ht="18.75" customHeight="1">
      <c r="A776" s="24"/>
      <c r="B776" s="120"/>
    </row>
    <row r="777" ht="18.75" customHeight="1">
      <c r="A777" s="24"/>
      <c r="B777" s="120"/>
    </row>
    <row r="778" ht="18.75" customHeight="1">
      <c r="A778" s="24"/>
      <c r="B778" s="120"/>
    </row>
    <row r="779" ht="18.75" customHeight="1">
      <c r="A779" s="24"/>
      <c r="B779" s="120"/>
    </row>
    <row r="780" ht="18.75" customHeight="1">
      <c r="A780" s="24"/>
      <c r="B780" s="120"/>
    </row>
    <row r="781" ht="18.75" customHeight="1">
      <c r="A781" s="24"/>
      <c r="B781" s="120"/>
    </row>
    <row r="782" ht="18.75" customHeight="1">
      <c r="A782" s="24"/>
      <c r="B782" s="120"/>
    </row>
    <row r="783" ht="18.75" customHeight="1">
      <c r="A783" s="24"/>
      <c r="B783" s="120"/>
    </row>
    <row r="784" ht="18.75" customHeight="1">
      <c r="A784" s="24"/>
      <c r="B784" s="120"/>
    </row>
    <row r="785" ht="18.75" customHeight="1">
      <c r="A785" s="24"/>
      <c r="B785" s="120"/>
    </row>
    <row r="786" ht="18.75" customHeight="1">
      <c r="A786" s="24"/>
      <c r="B786" s="120"/>
    </row>
    <row r="787" ht="18.75" customHeight="1">
      <c r="A787" s="24"/>
      <c r="B787" s="120"/>
    </row>
    <row r="788" ht="18.75" customHeight="1">
      <c r="A788" s="24"/>
      <c r="B788" s="120"/>
    </row>
    <row r="789" ht="18.75" customHeight="1">
      <c r="A789" s="24"/>
      <c r="B789" s="120"/>
    </row>
    <row r="790" ht="18.75" customHeight="1">
      <c r="A790" s="24"/>
      <c r="B790" s="120"/>
    </row>
    <row r="791" ht="18.75" customHeight="1">
      <c r="A791" s="24"/>
      <c r="B791" s="120"/>
    </row>
    <row r="792" ht="18.75" customHeight="1">
      <c r="A792" s="24"/>
      <c r="B792" s="120"/>
    </row>
    <row r="793" ht="18.75" customHeight="1">
      <c r="A793" s="24"/>
      <c r="B793" s="120"/>
    </row>
    <row r="794" ht="18.75" customHeight="1">
      <c r="A794" s="24"/>
      <c r="B794" s="120"/>
    </row>
    <row r="795" ht="18.75" customHeight="1">
      <c r="A795" s="24"/>
      <c r="B795" s="120"/>
    </row>
    <row r="796" ht="18.75" customHeight="1">
      <c r="A796" s="24"/>
      <c r="B796" s="120"/>
    </row>
    <row r="797" ht="18.75" customHeight="1">
      <c r="A797" s="24"/>
      <c r="B797" s="120"/>
    </row>
    <row r="798" ht="18.75" customHeight="1">
      <c r="A798" s="24"/>
      <c r="B798" s="120"/>
    </row>
    <row r="799" ht="18.75" customHeight="1">
      <c r="A799" s="24"/>
      <c r="B799" s="120"/>
    </row>
    <row r="800" ht="18.75" customHeight="1">
      <c r="A800" s="24"/>
      <c r="B800" s="120"/>
    </row>
    <row r="801" ht="18.75" customHeight="1">
      <c r="A801" s="24"/>
      <c r="B801" s="120"/>
    </row>
    <row r="802" ht="18.75" customHeight="1">
      <c r="A802" s="24"/>
      <c r="B802" s="120"/>
    </row>
    <row r="803" ht="18.75" customHeight="1">
      <c r="A803" s="24"/>
      <c r="B803" s="120"/>
    </row>
    <row r="804" ht="18.75" customHeight="1">
      <c r="A804" s="24"/>
      <c r="B804" s="120"/>
    </row>
    <row r="805" ht="18.75" customHeight="1">
      <c r="A805" s="24"/>
      <c r="B805" s="120"/>
    </row>
    <row r="806" ht="18.75" customHeight="1">
      <c r="A806" s="24"/>
      <c r="B806" s="120"/>
    </row>
    <row r="807" ht="18.75" customHeight="1">
      <c r="A807" s="24"/>
      <c r="B807" s="120"/>
    </row>
    <row r="808" ht="18.75" customHeight="1">
      <c r="A808" s="24"/>
      <c r="B808" s="120"/>
    </row>
    <row r="809" ht="18.75" customHeight="1">
      <c r="A809" s="24"/>
      <c r="B809" s="120"/>
    </row>
    <row r="810" ht="18.75" customHeight="1">
      <c r="A810" s="24"/>
      <c r="B810" s="120"/>
    </row>
    <row r="811" ht="18.75" customHeight="1">
      <c r="A811" s="24"/>
      <c r="B811" s="120"/>
    </row>
    <row r="812" ht="18.75" customHeight="1">
      <c r="A812" s="24"/>
      <c r="B812" s="120"/>
    </row>
    <row r="813" ht="18.75" customHeight="1">
      <c r="A813" s="24"/>
      <c r="B813" s="120"/>
    </row>
    <row r="814" ht="18.75" customHeight="1">
      <c r="A814" s="24"/>
      <c r="B814" s="120"/>
    </row>
    <row r="815" ht="18.75" customHeight="1">
      <c r="A815" s="24"/>
      <c r="B815" s="120"/>
    </row>
    <row r="816" ht="18.75" customHeight="1">
      <c r="A816" s="24"/>
      <c r="B816" s="120"/>
    </row>
    <row r="817" ht="18.75" customHeight="1">
      <c r="A817" s="24"/>
      <c r="B817" s="120"/>
    </row>
    <row r="818" ht="18.75" customHeight="1">
      <c r="A818" s="24"/>
      <c r="B818" s="120"/>
    </row>
    <row r="819" ht="18.75" customHeight="1">
      <c r="A819" s="24"/>
      <c r="B819" s="120"/>
    </row>
    <row r="820" ht="18.75" customHeight="1">
      <c r="A820" s="24"/>
      <c r="B820" s="120"/>
    </row>
    <row r="821" ht="18.75" customHeight="1">
      <c r="A821" s="24"/>
      <c r="B821" s="120"/>
    </row>
    <row r="822" ht="18.75" customHeight="1">
      <c r="A822" s="24"/>
      <c r="B822" s="120"/>
    </row>
    <row r="823" ht="18.75" customHeight="1">
      <c r="A823" s="24"/>
      <c r="B823" s="120"/>
    </row>
    <row r="824" ht="18.75" customHeight="1">
      <c r="A824" s="24"/>
      <c r="B824" s="120"/>
    </row>
    <row r="825" ht="18.75" customHeight="1">
      <c r="A825" s="24"/>
      <c r="B825" s="120"/>
    </row>
    <row r="826" ht="18.75" customHeight="1">
      <c r="A826" s="24"/>
      <c r="B826" s="120"/>
    </row>
    <row r="827" ht="18.75" customHeight="1">
      <c r="A827" s="24"/>
      <c r="B827" s="120"/>
    </row>
    <row r="828" ht="18.75" customHeight="1">
      <c r="A828" s="24"/>
      <c r="B828" s="120"/>
    </row>
    <row r="829" ht="18.75" customHeight="1">
      <c r="A829" s="24"/>
      <c r="B829" s="120"/>
    </row>
    <row r="830" ht="18.75" customHeight="1">
      <c r="A830" s="24"/>
      <c r="B830" s="120"/>
    </row>
    <row r="831" ht="18.75" customHeight="1">
      <c r="A831" s="24"/>
      <c r="B831" s="120"/>
    </row>
    <row r="832" ht="18.75" customHeight="1">
      <c r="A832" s="24"/>
      <c r="B832" s="120"/>
    </row>
    <row r="833" ht="18.75" customHeight="1">
      <c r="A833" s="24"/>
      <c r="B833" s="120"/>
    </row>
    <row r="834" ht="18.75" customHeight="1">
      <c r="A834" s="24"/>
      <c r="B834" s="120"/>
    </row>
    <row r="835" ht="18.75" customHeight="1">
      <c r="A835" s="24"/>
      <c r="B835" s="120"/>
    </row>
    <row r="836" ht="18.75" customHeight="1">
      <c r="A836" s="24"/>
      <c r="B836" s="120"/>
    </row>
    <row r="837" ht="18.75" customHeight="1">
      <c r="A837" s="24"/>
      <c r="B837" s="120"/>
    </row>
    <row r="838" ht="18.75" customHeight="1">
      <c r="A838" s="24"/>
      <c r="B838" s="120"/>
    </row>
    <row r="839" ht="18.75" customHeight="1">
      <c r="A839" s="24"/>
      <c r="B839" s="120"/>
    </row>
    <row r="840" ht="18.75" customHeight="1">
      <c r="A840" s="24"/>
      <c r="B840" s="120"/>
    </row>
    <row r="841" ht="18.75" customHeight="1">
      <c r="A841" s="24"/>
      <c r="B841" s="120"/>
    </row>
    <row r="842" ht="18.75" customHeight="1">
      <c r="A842" s="24"/>
      <c r="B842" s="120"/>
    </row>
    <row r="843" ht="18.75" customHeight="1">
      <c r="A843" s="24"/>
      <c r="B843" s="120"/>
    </row>
    <row r="844" ht="18.75" customHeight="1">
      <c r="A844" s="24"/>
      <c r="B844" s="120"/>
    </row>
    <row r="845" ht="18.75" customHeight="1">
      <c r="A845" s="24"/>
      <c r="B845" s="120"/>
    </row>
    <row r="846" ht="18.75" customHeight="1">
      <c r="A846" s="24"/>
      <c r="B846" s="120"/>
    </row>
    <row r="847" ht="18.75" customHeight="1">
      <c r="A847" s="24"/>
      <c r="B847" s="120"/>
    </row>
    <row r="848" ht="18.75" customHeight="1">
      <c r="A848" s="24"/>
      <c r="B848" s="120"/>
    </row>
    <row r="849" ht="18.75" customHeight="1">
      <c r="A849" s="24"/>
      <c r="B849" s="120"/>
    </row>
    <row r="850" ht="18.75" customHeight="1">
      <c r="A850" s="24"/>
      <c r="B850" s="120"/>
    </row>
    <row r="851" ht="18.75" customHeight="1">
      <c r="A851" s="24"/>
      <c r="B851" s="120"/>
    </row>
    <row r="852" ht="18.75" customHeight="1">
      <c r="A852" s="24"/>
      <c r="B852" s="120"/>
    </row>
    <row r="853" ht="18.75" customHeight="1">
      <c r="A853" s="24"/>
      <c r="B853" s="120"/>
    </row>
    <row r="854" ht="18.75" customHeight="1">
      <c r="A854" s="24"/>
      <c r="B854" s="120"/>
    </row>
    <row r="855" ht="18.75" customHeight="1">
      <c r="A855" s="24"/>
      <c r="B855" s="120"/>
    </row>
    <row r="856" ht="18.75" customHeight="1">
      <c r="A856" s="24"/>
      <c r="B856" s="120"/>
    </row>
    <row r="857" ht="18.75" customHeight="1">
      <c r="A857" s="24"/>
      <c r="B857" s="120"/>
    </row>
    <row r="858" ht="18.75" customHeight="1">
      <c r="A858" s="24"/>
      <c r="B858" s="120"/>
    </row>
    <row r="859" ht="18.75" customHeight="1">
      <c r="A859" s="24"/>
      <c r="B859" s="120"/>
    </row>
    <row r="860" ht="18.75" customHeight="1">
      <c r="A860" s="24"/>
      <c r="B860" s="120"/>
    </row>
    <row r="861" ht="18.75" customHeight="1">
      <c r="A861" s="24"/>
      <c r="B861" s="120"/>
    </row>
    <row r="862" ht="18.75" customHeight="1">
      <c r="A862" s="24"/>
      <c r="B862" s="120"/>
    </row>
    <row r="863" ht="18.75" customHeight="1">
      <c r="A863" s="24"/>
      <c r="B863" s="120"/>
    </row>
    <row r="864" ht="18.75" customHeight="1">
      <c r="A864" s="24"/>
      <c r="B864" s="120"/>
    </row>
    <row r="865" ht="18.75" customHeight="1">
      <c r="A865" s="24"/>
      <c r="B865" s="120"/>
    </row>
    <row r="866" ht="18.75" customHeight="1">
      <c r="A866" s="24"/>
      <c r="B866" s="120"/>
    </row>
    <row r="867" ht="18.75" customHeight="1">
      <c r="A867" s="24"/>
      <c r="B867" s="120"/>
    </row>
    <row r="868" ht="18.75" customHeight="1">
      <c r="A868" s="24"/>
      <c r="B868" s="120"/>
    </row>
    <row r="869" ht="18.75" customHeight="1">
      <c r="A869" s="24"/>
      <c r="B869" s="120"/>
    </row>
    <row r="870" ht="18.75" customHeight="1">
      <c r="A870" s="24"/>
      <c r="B870" s="120"/>
    </row>
    <row r="871" ht="18.75" customHeight="1">
      <c r="A871" s="24"/>
      <c r="B871" s="120"/>
    </row>
    <row r="872" ht="18.75" customHeight="1">
      <c r="A872" s="24"/>
      <c r="B872" s="120"/>
    </row>
    <row r="873" ht="18.75" customHeight="1">
      <c r="A873" s="24"/>
      <c r="B873" s="120"/>
    </row>
    <row r="874" ht="18.75" customHeight="1">
      <c r="A874" s="24"/>
      <c r="B874" s="120"/>
    </row>
    <row r="875" ht="18.75" customHeight="1">
      <c r="A875" s="24"/>
      <c r="B875" s="120"/>
    </row>
    <row r="876" ht="18.75" customHeight="1">
      <c r="A876" s="24"/>
      <c r="B876" s="120"/>
    </row>
    <row r="877" ht="18.75" customHeight="1">
      <c r="A877" s="24"/>
      <c r="B877" s="120"/>
    </row>
    <row r="878" ht="18.75" customHeight="1">
      <c r="A878" s="24"/>
      <c r="B878" s="120"/>
    </row>
    <row r="879" ht="18.75" customHeight="1">
      <c r="A879" s="24"/>
      <c r="B879" s="120"/>
    </row>
    <row r="880" ht="18.75" customHeight="1">
      <c r="A880" s="24"/>
      <c r="B880" s="120"/>
    </row>
    <row r="881" ht="18.75" customHeight="1">
      <c r="A881" s="24"/>
      <c r="B881" s="120"/>
    </row>
    <row r="882" ht="18.75" customHeight="1">
      <c r="A882" s="24"/>
      <c r="B882" s="120"/>
    </row>
    <row r="883" ht="18.75" customHeight="1">
      <c r="A883" s="24"/>
      <c r="B883" s="120"/>
    </row>
    <row r="884" ht="18.75" customHeight="1">
      <c r="A884" s="24"/>
      <c r="B884" s="120"/>
    </row>
    <row r="885" ht="18.75" customHeight="1">
      <c r="A885" s="24"/>
      <c r="B885" s="120"/>
    </row>
    <row r="886" ht="18.75" customHeight="1">
      <c r="A886" s="24"/>
      <c r="B886" s="120"/>
    </row>
    <row r="887" ht="18.75" customHeight="1">
      <c r="A887" s="24"/>
      <c r="B887" s="120"/>
    </row>
    <row r="888" ht="18.75" customHeight="1">
      <c r="A888" s="24"/>
      <c r="B888" s="120"/>
    </row>
    <row r="889" ht="18.75" customHeight="1">
      <c r="A889" s="24"/>
      <c r="B889" s="120"/>
    </row>
    <row r="890" ht="18.75" customHeight="1">
      <c r="A890" s="24"/>
      <c r="B890" s="120"/>
    </row>
    <row r="891" ht="18.75" customHeight="1">
      <c r="A891" s="24"/>
      <c r="B891" s="120"/>
    </row>
    <row r="892" ht="18.75" customHeight="1">
      <c r="A892" s="24"/>
      <c r="B892" s="120"/>
    </row>
    <row r="893" ht="18.75" customHeight="1">
      <c r="A893" s="24"/>
      <c r="B893" s="120"/>
    </row>
    <row r="894" ht="18.75" customHeight="1">
      <c r="A894" s="24"/>
      <c r="B894" s="120"/>
    </row>
    <row r="895" ht="18.75" customHeight="1">
      <c r="A895" s="24"/>
      <c r="B895" s="120"/>
    </row>
    <row r="896" ht="18.75" customHeight="1">
      <c r="A896" s="24"/>
      <c r="B896" s="120"/>
    </row>
    <row r="897" ht="18.75" customHeight="1">
      <c r="A897" s="24"/>
      <c r="B897" s="120"/>
    </row>
    <row r="898" ht="18.75" customHeight="1">
      <c r="A898" s="24"/>
      <c r="B898" s="120"/>
    </row>
    <row r="899" ht="18.75" customHeight="1">
      <c r="A899" s="24"/>
      <c r="B899" s="120"/>
    </row>
    <row r="900" ht="18.75" customHeight="1">
      <c r="A900" s="24"/>
      <c r="B900" s="120"/>
    </row>
    <row r="901" ht="18.75" customHeight="1">
      <c r="A901" s="24"/>
      <c r="B901" s="120"/>
    </row>
    <row r="902" ht="18.75" customHeight="1">
      <c r="A902" s="24"/>
      <c r="B902" s="120"/>
    </row>
    <row r="903" ht="18.75" customHeight="1">
      <c r="A903" s="24"/>
      <c r="B903" s="120"/>
    </row>
    <row r="904" ht="18.75" customHeight="1">
      <c r="A904" s="24"/>
      <c r="B904" s="120"/>
    </row>
    <row r="905" ht="18.75" customHeight="1">
      <c r="A905" s="24"/>
      <c r="B905" s="120"/>
    </row>
    <row r="906" ht="18.75" customHeight="1">
      <c r="A906" s="24"/>
      <c r="B906" s="120"/>
    </row>
    <row r="907" ht="18.75" customHeight="1">
      <c r="A907" s="24"/>
      <c r="B907" s="120"/>
    </row>
    <row r="908" ht="18.75" customHeight="1">
      <c r="A908" s="24"/>
      <c r="B908" s="120"/>
    </row>
    <row r="909" ht="18.75" customHeight="1">
      <c r="A909" s="24"/>
      <c r="B909" s="120"/>
    </row>
    <row r="910" ht="18.75" customHeight="1">
      <c r="A910" s="24"/>
      <c r="B910" s="120"/>
    </row>
    <row r="911" ht="18.75" customHeight="1">
      <c r="A911" s="24"/>
      <c r="B911" s="120"/>
    </row>
    <row r="912" ht="18.75" customHeight="1">
      <c r="A912" s="24"/>
      <c r="B912" s="120"/>
    </row>
    <row r="913" ht="18.75" customHeight="1">
      <c r="A913" s="24"/>
      <c r="B913" s="120"/>
    </row>
    <row r="914" ht="18.75" customHeight="1">
      <c r="A914" s="24"/>
      <c r="B914" s="120"/>
    </row>
    <row r="915" ht="18.75" customHeight="1">
      <c r="A915" s="24"/>
      <c r="B915" s="120"/>
    </row>
    <row r="916" ht="18.75" customHeight="1">
      <c r="A916" s="24"/>
      <c r="B916" s="120"/>
    </row>
    <row r="917" ht="18.75" customHeight="1">
      <c r="A917" s="24"/>
      <c r="B917" s="120"/>
    </row>
    <row r="918" ht="18.75" customHeight="1">
      <c r="A918" s="24"/>
      <c r="B918" s="120"/>
    </row>
    <row r="919" ht="18.75" customHeight="1">
      <c r="A919" s="24"/>
      <c r="B919" s="120"/>
    </row>
    <row r="920" ht="18.75" customHeight="1">
      <c r="A920" s="24"/>
      <c r="B920" s="120"/>
    </row>
    <row r="921" ht="18.75" customHeight="1">
      <c r="A921" s="24"/>
      <c r="B921" s="120"/>
    </row>
    <row r="922" ht="18.75" customHeight="1">
      <c r="A922" s="24"/>
      <c r="B922" s="120"/>
    </row>
    <row r="923" ht="18.75" customHeight="1">
      <c r="A923" s="24"/>
      <c r="B923" s="120"/>
    </row>
    <row r="924" ht="18.75" customHeight="1">
      <c r="A924" s="24"/>
      <c r="B924" s="120"/>
    </row>
    <row r="925" ht="18.75" customHeight="1">
      <c r="A925" s="24"/>
      <c r="B925" s="120"/>
    </row>
    <row r="926" ht="18.75" customHeight="1">
      <c r="A926" s="24"/>
      <c r="B926" s="120"/>
    </row>
    <row r="927" ht="18.75" customHeight="1">
      <c r="A927" s="24"/>
      <c r="B927" s="120"/>
    </row>
    <row r="928" ht="18.75" customHeight="1">
      <c r="A928" s="24"/>
      <c r="B928" s="120"/>
    </row>
    <row r="929" ht="18.75" customHeight="1">
      <c r="A929" s="24"/>
      <c r="B929" s="120"/>
    </row>
    <row r="930" ht="18.75" customHeight="1">
      <c r="A930" s="24"/>
      <c r="B930" s="120"/>
    </row>
    <row r="931" ht="18.75" customHeight="1">
      <c r="A931" s="24"/>
      <c r="B931" s="120"/>
    </row>
    <row r="932" ht="18.75" customHeight="1">
      <c r="A932" s="24"/>
      <c r="B932" s="120"/>
    </row>
    <row r="933" ht="18.75" customHeight="1">
      <c r="A933" s="24"/>
      <c r="B933" s="120"/>
    </row>
    <row r="934" ht="18.75" customHeight="1">
      <c r="A934" s="24"/>
      <c r="B934" s="120"/>
    </row>
    <row r="935" ht="18.75" customHeight="1">
      <c r="A935" s="24"/>
      <c r="B935" s="120"/>
    </row>
    <row r="936" ht="18.75" customHeight="1">
      <c r="A936" s="24"/>
      <c r="B936" s="120"/>
    </row>
    <row r="937" ht="18.75" customHeight="1">
      <c r="A937" s="24"/>
      <c r="B937" s="120"/>
    </row>
    <row r="938" ht="18.75" customHeight="1">
      <c r="A938" s="24"/>
      <c r="B938" s="120"/>
    </row>
    <row r="939" ht="18.75" customHeight="1">
      <c r="A939" s="24"/>
      <c r="B939" s="120"/>
    </row>
    <row r="940" ht="18.75" customHeight="1">
      <c r="A940" s="24"/>
      <c r="B940" s="120"/>
    </row>
    <row r="941" ht="18.75" customHeight="1">
      <c r="A941" s="24"/>
      <c r="B941" s="120"/>
    </row>
    <row r="942" ht="18.75" customHeight="1">
      <c r="A942" s="24"/>
      <c r="B942" s="120"/>
    </row>
    <row r="943" ht="18.75" customHeight="1">
      <c r="A943" s="24"/>
      <c r="B943" s="120"/>
    </row>
    <row r="944" ht="18.75" customHeight="1">
      <c r="A944" s="24"/>
      <c r="B944" s="120"/>
    </row>
    <row r="945" ht="18.75" customHeight="1">
      <c r="A945" s="24"/>
      <c r="B945" s="120"/>
    </row>
    <row r="946" ht="18.75" customHeight="1">
      <c r="A946" s="24"/>
      <c r="B946" s="120"/>
    </row>
    <row r="947" ht="18.75" customHeight="1">
      <c r="A947" s="24"/>
      <c r="B947" s="120"/>
    </row>
    <row r="948" ht="18.75" customHeight="1">
      <c r="A948" s="24"/>
      <c r="B948" s="120"/>
    </row>
    <row r="949" ht="18.75" customHeight="1">
      <c r="A949" s="24"/>
      <c r="B949" s="120"/>
    </row>
    <row r="950" ht="18.75" customHeight="1">
      <c r="A950" s="24"/>
      <c r="B950" s="120"/>
    </row>
    <row r="951" ht="18.75" customHeight="1">
      <c r="A951" s="24"/>
      <c r="B951" s="120"/>
    </row>
    <row r="952" ht="18.75" customHeight="1">
      <c r="A952" s="24"/>
      <c r="B952" s="120"/>
    </row>
    <row r="953" ht="18.75" customHeight="1">
      <c r="A953" s="24"/>
      <c r="B953" s="120"/>
    </row>
    <row r="954" ht="18.75" customHeight="1">
      <c r="A954" s="24"/>
      <c r="B954" s="120"/>
    </row>
    <row r="955" ht="18.75" customHeight="1">
      <c r="A955" s="24"/>
      <c r="B955" s="120"/>
    </row>
    <row r="956" ht="18.75" customHeight="1">
      <c r="A956" s="24"/>
      <c r="B956" s="120"/>
    </row>
    <row r="957" ht="18.75" customHeight="1">
      <c r="A957" s="24"/>
      <c r="B957" s="120"/>
    </row>
    <row r="958" ht="18.75" customHeight="1">
      <c r="A958" s="24"/>
      <c r="B958" s="120"/>
    </row>
    <row r="959" ht="18.75" customHeight="1">
      <c r="A959" s="24"/>
      <c r="B959" s="120"/>
    </row>
    <row r="960" ht="18.75" customHeight="1">
      <c r="A960" s="24"/>
      <c r="B960" s="120"/>
    </row>
    <row r="961" ht="18.75" customHeight="1">
      <c r="A961" s="24"/>
      <c r="B961" s="120"/>
    </row>
    <row r="962" ht="18.75" customHeight="1">
      <c r="A962" s="24"/>
      <c r="B962" s="120"/>
    </row>
    <row r="963" ht="18.75" customHeight="1">
      <c r="A963" s="24"/>
      <c r="B963" s="120"/>
    </row>
    <row r="964" ht="18.75" customHeight="1">
      <c r="A964" s="24"/>
      <c r="B964" s="120"/>
    </row>
    <row r="965" ht="18.75" customHeight="1">
      <c r="A965" s="24"/>
      <c r="B965" s="120"/>
    </row>
    <row r="966" ht="18.75" customHeight="1">
      <c r="A966" s="24"/>
      <c r="B966" s="120"/>
    </row>
    <row r="967" ht="18.75" customHeight="1">
      <c r="A967" s="24"/>
      <c r="B967" s="120"/>
    </row>
    <row r="968" ht="18.75" customHeight="1">
      <c r="A968" s="24"/>
      <c r="B968" s="120"/>
    </row>
    <row r="969" ht="18.75" customHeight="1">
      <c r="A969" s="24"/>
      <c r="B969" s="120"/>
    </row>
    <row r="970" ht="18.75" customHeight="1">
      <c r="A970" s="24"/>
      <c r="B970" s="120"/>
    </row>
    <row r="971" ht="18.75" customHeight="1">
      <c r="A971" s="24"/>
      <c r="B971" s="120"/>
    </row>
    <row r="972" ht="18.75" customHeight="1">
      <c r="A972" s="24"/>
      <c r="B972" s="120"/>
    </row>
    <row r="973" ht="18.75" customHeight="1">
      <c r="A973" s="24"/>
      <c r="B973" s="120"/>
    </row>
    <row r="974" ht="18.75" customHeight="1">
      <c r="A974" s="24"/>
      <c r="B974" s="120"/>
    </row>
    <row r="975" ht="18.75" customHeight="1">
      <c r="A975" s="24"/>
      <c r="B975" s="120"/>
    </row>
    <row r="976" ht="18.75" customHeight="1">
      <c r="A976" s="24"/>
      <c r="B976" s="120"/>
    </row>
    <row r="977" ht="18.75" customHeight="1">
      <c r="A977" s="24"/>
      <c r="B977" s="120"/>
    </row>
    <row r="978" ht="18.75" customHeight="1">
      <c r="A978" s="24"/>
      <c r="B978" s="120"/>
    </row>
    <row r="979" ht="18.75" customHeight="1">
      <c r="A979" s="24"/>
      <c r="B979" s="120"/>
    </row>
    <row r="980" ht="18.75" customHeight="1">
      <c r="A980" s="24"/>
      <c r="B980" s="120"/>
    </row>
    <row r="981" ht="18.75" customHeight="1">
      <c r="A981" s="24"/>
      <c r="B981" s="120"/>
    </row>
    <row r="982" ht="18.75" customHeight="1">
      <c r="A982" s="24"/>
      <c r="B982" s="120"/>
    </row>
    <row r="983" ht="18.75" customHeight="1">
      <c r="A983" s="24"/>
      <c r="B983" s="120"/>
    </row>
    <row r="984" ht="18.75" customHeight="1">
      <c r="A984" s="24"/>
      <c r="B984" s="120"/>
    </row>
    <row r="985" ht="18.75" customHeight="1">
      <c r="A985" s="24"/>
      <c r="B985" s="120"/>
    </row>
    <row r="986" ht="18.75" customHeight="1">
      <c r="A986" s="24"/>
      <c r="B986" s="120"/>
    </row>
    <row r="987" ht="18.75" customHeight="1">
      <c r="A987" s="24"/>
      <c r="B987" s="120"/>
    </row>
    <row r="988" ht="18.75" customHeight="1">
      <c r="A988" s="24"/>
      <c r="B988" s="120"/>
    </row>
    <row r="989" ht="18.75" customHeight="1">
      <c r="A989" s="24"/>
      <c r="B989" s="120"/>
    </row>
    <row r="990" ht="18.75" customHeight="1">
      <c r="A990" s="24"/>
      <c r="B990" s="120"/>
    </row>
    <row r="991" ht="18.75" customHeight="1">
      <c r="A991" s="24"/>
      <c r="B991" s="120"/>
    </row>
    <row r="992" ht="18.75" customHeight="1">
      <c r="A992" s="24"/>
      <c r="B992" s="120"/>
    </row>
    <row r="993" ht="18.75" customHeight="1">
      <c r="A993" s="24"/>
      <c r="B993" s="120"/>
    </row>
    <row r="994" ht="18.75" customHeight="1">
      <c r="A994" s="24"/>
      <c r="B994" s="120"/>
    </row>
    <row r="995" ht="18.75" customHeight="1">
      <c r="A995" s="24"/>
      <c r="B995" s="120"/>
    </row>
    <row r="996" ht="18.75" customHeight="1">
      <c r="A996" s="24"/>
      <c r="B996" s="120"/>
    </row>
    <row r="997" ht="18.75" customHeight="1">
      <c r="A997" s="24"/>
      <c r="B997" s="120"/>
    </row>
    <row r="998" ht="18.75" customHeight="1">
      <c r="A998" s="24"/>
      <c r="B998" s="120"/>
    </row>
    <row r="999" ht="18.75" customHeight="1">
      <c r="A999" s="24"/>
      <c r="B999" s="120"/>
    </row>
    <row r="1000" ht="18.75" customHeight="1">
      <c r="A1000" s="24"/>
      <c r="B1000" s="120"/>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3309</v>
      </c>
      <c r="B1" s="11" t="s">
        <v>3310</v>
      </c>
      <c r="C1" s="1" t="s">
        <v>3311</v>
      </c>
      <c r="D1" s="1" t="s">
        <v>3312</v>
      </c>
      <c r="E1" s="1" t="s">
        <v>2657</v>
      </c>
      <c r="F1" s="1" t="s">
        <v>3313</v>
      </c>
      <c r="G1" s="122" t="s">
        <v>3314</v>
      </c>
      <c r="H1" s="122" t="s">
        <v>3315</v>
      </c>
      <c r="I1" s="122" t="s">
        <v>3316</v>
      </c>
      <c r="J1" s="11" t="s">
        <v>3317</v>
      </c>
      <c r="K1" s="11" t="s">
        <v>3318</v>
      </c>
      <c r="L1" s="11" t="s">
        <v>3319</v>
      </c>
      <c r="M1" s="11" t="s">
        <v>3320</v>
      </c>
      <c r="N1" s="11" t="s">
        <v>2634</v>
      </c>
      <c r="O1" s="11" t="s">
        <v>2636</v>
      </c>
      <c r="P1" s="11" t="s">
        <v>2637</v>
      </c>
      <c r="Q1" s="11" t="s">
        <v>2638</v>
      </c>
      <c r="R1" s="11" t="s">
        <v>2913</v>
      </c>
      <c r="S1" s="11" t="s">
        <v>3321</v>
      </c>
      <c r="T1" s="11"/>
      <c r="U1" s="11"/>
      <c r="V1" s="11"/>
      <c r="W1" s="11" t="s">
        <v>3322</v>
      </c>
      <c r="X1" s="22" t="s">
        <v>3323</v>
      </c>
      <c r="Y1" s="22" t="s">
        <v>3324</v>
      </c>
      <c r="Z1" s="22" t="s">
        <v>3325</v>
      </c>
      <c r="AA1" s="22" t="s">
        <v>3326</v>
      </c>
      <c r="AB1" s="22" t="s">
        <v>3327</v>
      </c>
      <c r="AC1" s="22" t="s">
        <v>3328</v>
      </c>
      <c r="AD1" s="22" t="s">
        <v>3329</v>
      </c>
      <c r="AE1" s="123" t="s">
        <v>3330</v>
      </c>
      <c r="AF1" s="123" t="s">
        <v>3331</v>
      </c>
      <c r="AG1" s="123" t="s">
        <v>3332</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3333</v>
      </c>
      <c r="S3" s="37" t="str">
        <f t="shared" ref="S3:S107" si="1">IFERROR(VLOOKUP(B3,$U:$V,2,FALSE),"")</f>
        <v>鳥系生物の巣</v>
      </c>
      <c r="U3" s="37" t="s">
        <v>1507</v>
      </c>
      <c r="V3" s="37" t="s">
        <v>3334</v>
      </c>
      <c r="W3" s="37" t="s">
        <v>3335</v>
      </c>
      <c r="X3" s="39" t="s">
        <v>3336</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3337</v>
      </c>
      <c r="W4" s="37" t="s">
        <v>3338</v>
      </c>
      <c r="X4" s="39" t="s">
        <v>3336</v>
      </c>
      <c r="Y4" s="39">
        <v>7.0</v>
      </c>
      <c r="AA4" s="37"/>
      <c r="AD4" s="39">
        <v>1.0</v>
      </c>
      <c r="AE4" s="39">
        <v>0.0</v>
      </c>
      <c r="AF4" s="39">
        <v>45.0</v>
      </c>
      <c r="AG4" s="39" t="s">
        <v>3339</v>
      </c>
    </row>
    <row r="5" ht="18.75" customHeight="1" outlineLevel="1">
      <c r="A5" s="1" t="s">
        <v>54</v>
      </c>
      <c r="B5" s="11" t="s">
        <v>3340</v>
      </c>
      <c r="C5" s="37" t="str">
        <f>LET(
 _xlpm.dOK,COUNTIF('クラス'!A:A,E5)&gt;0,
 _xlpm.eOK,COUNTIF('クラス'!A:A,F5)&gt;0,
 IF(_xlpm.dOK,"○","×") &amp; IF(_xlpm.eOK,"○","×")
)</f>
        <v>××</v>
      </c>
      <c r="G5" s="39">
        <v>5.0</v>
      </c>
      <c r="H5" s="39">
        <v>10.0</v>
      </c>
      <c r="S5" s="37" t="str">
        <f t="shared" si="1"/>
        <v>虫系の巣</v>
      </c>
      <c r="U5" s="37" t="s">
        <v>3340</v>
      </c>
      <c r="V5" s="37" t="s">
        <v>3341</v>
      </c>
      <c r="W5" s="37" t="s">
        <v>3342</v>
      </c>
      <c r="X5" s="39" t="s">
        <v>3343</v>
      </c>
      <c r="Y5" s="39">
        <v>1.0</v>
      </c>
      <c r="AA5" s="37"/>
      <c r="AD5" s="39">
        <v>1.0</v>
      </c>
      <c r="AE5" s="39"/>
      <c r="AF5" s="39"/>
      <c r="AG5" s="39"/>
    </row>
    <row r="6" ht="18.75" customHeight="1" outlineLevel="1">
      <c r="A6" s="1" t="s">
        <v>54</v>
      </c>
      <c r="B6" s="11" t="s">
        <v>3344</v>
      </c>
      <c r="C6" s="37" t="str">
        <f>LET(
 _xlpm.dOK,COUNTIF('クラス'!A:A,E6)&gt;0,
 _xlpm.eOK,COUNTIF('クラス'!A:A,F6)&gt;0,
 IF(_xlpm.dOK,"○","×") &amp; IF(_xlpm.eOK,"○","×")
)</f>
        <v>××</v>
      </c>
      <c r="S6" s="37" t="str">
        <f t="shared" si="1"/>
        <v>地中生物の巣</v>
      </c>
      <c r="U6" s="37" t="s">
        <v>3344</v>
      </c>
      <c r="V6" s="37" t="s">
        <v>3345</v>
      </c>
      <c r="W6" s="37" t="s">
        <v>3346</v>
      </c>
      <c r="X6" s="39" t="s">
        <v>29</v>
      </c>
      <c r="Y6" s="39" t="s">
        <v>29</v>
      </c>
      <c r="AA6" s="37"/>
      <c r="AD6" s="39">
        <v>1.0</v>
      </c>
      <c r="AE6" s="39"/>
      <c r="AF6" s="39"/>
      <c r="AG6" s="39"/>
    </row>
    <row r="7" ht="18.75" customHeight="1" outlineLevel="1">
      <c r="A7" s="1" t="s">
        <v>54</v>
      </c>
      <c r="B7" s="11" t="s">
        <v>3347</v>
      </c>
      <c r="C7" s="37" t="str">
        <f>LET(
 _xlpm.dOK,COUNTIF('クラス'!A:A,E7)&gt;0,
 _xlpm.eOK,COUNTIF('クラス'!A:A,F7)&gt;0,
 IF(_xlpm.dOK,"○","×") &amp; IF(_xlpm.eOK,"○","×")
)</f>
        <v>○○</v>
      </c>
      <c r="D7" s="37" t="b">
        <v>1</v>
      </c>
      <c r="E7" s="37" t="s">
        <v>1494</v>
      </c>
      <c r="F7" s="37" t="s">
        <v>1507</v>
      </c>
      <c r="G7" s="39">
        <v>5.0</v>
      </c>
      <c r="H7" s="39">
        <v>15.0</v>
      </c>
      <c r="R7" s="37" t="s">
        <v>3347</v>
      </c>
      <c r="S7" s="37" t="str">
        <f t="shared" si="1"/>
        <v>肉食生物の巣</v>
      </c>
      <c r="U7" s="37" t="s">
        <v>3347</v>
      </c>
      <c r="V7" s="37" t="s">
        <v>3337</v>
      </c>
      <c r="W7" s="37" t="s">
        <v>3348</v>
      </c>
      <c r="X7" s="39" t="s">
        <v>3349</v>
      </c>
      <c r="Y7" s="39">
        <v>1.0</v>
      </c>
      <c r="AA7" s="37"/>
      <c r="AD7" s="39">
        <v>1.0</v>
      </c>
      <c r="AE7" s="39"/>
      <c r="AF7" s="39"/>
      <c r="AG7" s="39"/>
    </row>
    <row r="8" ht="18.75" customHeight="1" outlineLevel="1">
      <c r="A8" s="1" t="s">
        <v>54</v>
      </c>
      <c r="B8" s="11" t="s">
        <v>3350</v>
      </c>
      <c r="C8" s="37" t="str">
        <f>LET(
 _xlpm.dOK,COUNTIF('クラス'!A:A,E8)&gt;0,
 _xlpm.eOK,COUNTIF('クラス'!A:A,F8)&gt;0,
 IF(_xlpm.dOK,"○","×") &amp; IF(_xlpm.eOK,"○","×")
)</f>
        <v>○○</v>
      </c>
      <c r="E8" s="37" t="s">
        <v>1501</v>
      </c>
      <c r="F8" s="37" t="s">
        <v>1344</v>
      </c>
      <c r="G8" s="39">
        <v>5.0</v>
      </c>
      <c r="H8" s="39">
        <v>15.0</v>
      </c>
      <c r="R8" s="37" t="s">
        <v>3350</v>
      </c>
      <c r="S8" s="37" t="str">
        <f t="shared" si="1"/>
        <v>肉食生物の巣</v>
      </c>
      <c r="U8" s="37" t="s">
        <v>3350</v>
      </c>
      <c r="V8" s="37" t="s">
        <v>3337</v>
      </c>
      <c r="W8" s="37" t="s">
        <v>3351</v>
      </c>
      <c r="X8" s="39" t="s">
        <v>3349</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3352</v>
      </c>
      <c r="W9" s="37" t="s">
        <v>3353</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3245</v>
      </c>
      <c r="B11" s="11" t="s">
        <v>1501</v>
      </c>
      <c r="C11" s="37" t="str">
        <f>LET(
 _xlpm.dOK,COUNTIF('クラス'!A:A,E11)&gt;0,
 _xlpm.eOK,COUNTIF('クラス'!A:A,F11)&gt;0,
 IF(_xlpm.dOK,"○","×") &amp; IF(_xlpm.eOK,"○","×")
)</f>
        <v>○×</v>
      </c>
      <c r="D11" s="37" t="b">
        <v>1</v>
      </c>
      <c r="E11" s="37" t="s">
        <v>1501</v>
      </c>
      <c r="G11" s="39">
        <v>3.0</v>
      </c>
      <c r="H11" s="39">
        <v>7.0</v>
      </c>
      <c r="R11" s="37" t="s">
        <v>3354</v>
      </c>
      <c r="S11" s="37" t="str">
        <f t="shared" si="1"/>
        <v>肉食生物の巣</v>
      </c>
      <c r="U11" s="37" t="s">
        <v>1501</v>
      </c>
      <c r="V11" s="37" t="s">
        <v>3337</v>
      </c>
      <c r="W11" s="37" t="s">
        <v>3355</v>
      </c>
      <c r="X11" s="39" t="s">
        <v>3356</v>
      </c>
      <c r="Y11" s="39">
        <v>3.0</v>
      </c>
      <c r="AA11" s="37"/>
      <c r="AD11" s="39">
        <v>1.0</v>
      </c>
      <c r="AE11" s="39"/>
      <c r="AF11" s="39"/>
      <c r="AG11" s="39"/>
    </row>
    <row r="12" ht="18.75" customHeight="1" outlineLevel="1">
      <c r="A12" s="1" t="s">
        <v>3245</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3337</v>
      </c>
      <c r="W12" s="37" t="s">
        <v>3357</v>
      </c>
      <c r="X12" s="39" t="s">
        <v>3336</v>
      </c>
      <c r="Y12" s="39">
        <v>7.0</v>
      </c>
      <c r="AA12" s="37"/>
      <c r="AD12" s="39">
        <v>1.0</v>
      </c>
      <c r="AE12" s="39">
        <v>0.0</v>
      </c>
      <c r="AF12" s="39">
        <v>45.0</v>
      </c>
      <c r="AG12" s="39" t="s">
        <v>3339</v>
      </c>
    </row>
    <row r="13" ht="18.75" customHeight="1" outlineLevel="1">
      <c r="A13" s="1" t="s">
        <v>3245</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3337</v>
      </c>
      <c r="W13" s="37" t="s">
        <v>3358</v>
      </c>
      <c r="X13" s="39" t="s">
        <v>3359</v>
      </c>
      <c r="Y13" s="39">
        <v>1.0</v>
      </c>
      <c r="AA13" s="37"/>
      <c r="AD13" s="39">
        <v>1.0</v>
      </c>
      <c r="AE13" s="39">
        <v>0.0</v>
      </c>
      <c r="AF13" s="39">
        <v>45.0</v>
      </c>
      <c r="AG13" s="39" t="s">
        <v>3339</v>
      </c>
    </row>
    <row r="14" ht="18.75" customHeight="1" outlineLevel="1">
      <c r="A14" s="1" t="s">
        <v>3245</v>
      </c>
      <c r="B14" s="11" t="s">
        <v>3360</v>
      </c>
      <c r="C14" s="37" t="str">
        <f>LET(
 _xlpm.dOK,COUNTIF('クラス'!A:A,E14)&gt;0,
 _xlpm.eOK,COUNTIF('クラス'!A:A,F14)&gt;0,
 IF(_xlpm.dOK,"○","×") &amp; IF(_xlpm.eOK,"○","×")
)</f>
        <v>○×</v>
      </c>
      <c r="E14" s="37" t="s">
        <v>1504</v>
      </c>
      <c r="G14" s="39">
        <v>5.0</v>
      </c>
      <c r="H14" s="39">
        <v>10.0</v>
      </c>
      <c r="S14" s="37" t="str">
        <f t="shared" si="1"/>
        <v>地中生物の巣</v>
      </c>
      <c r="U14" s="37" t="s">
        <v>3360</v>
      </c>
      <c r="V14" s="37" t="s">
        <v>3345</v>
      </c>
      <c r="W14" s="37" t="s">
        <v>3361</v>
      </c>
      <c r="X14" s="39" t="s">
        <v>3362</v>
      </c>
      <c r="Y14" s="39">
        <v>2.0</v>
      </c>
      <c r="AA14" s="37"/>
      <c r="AD14" s="39">
        <v>1.0</v>
      </c>
      <c r="AE14" s="39">
        <v>0.0</v>
      </c>
      <c r="AF14" s="39">
        <v>45.0</v>
      </c>
      <c r="AG14" s="39" t="s">
        <v>3339</v>
      </c>
    </row>
    <row r="15" ht="18.75" customHeight="1" outlineLevel="1">
      <c r="A15" s="1" t="s">
        <v>3245</v>
      </c>
      <c r="B15" s="11" t="s">
        <v>3347</v>
      </c>
      <c r="C15" s="37" t="str">
        <f>LET(
 _xlpm.dOK,COUNTIF('クラス'!A:A,E15)&gt;0,
 _xlpm.eOK,COUNTIF('クラス'!A:A,F15)&gt;0,
 IF(_xlpm.dOK,"○","×") &amp; IF(_xlpm.eOK,"○","×")
)</f>
        <v>○○</v>
      </c>
      <c r="D15" s="37" t="b">
        <v>1</v>
      </c>
      <c r="E15" s="37" t="s">
        <v>1494</v>
      </c>
      <c r="F15" s="37" t="s">
        <v>1507</v>
      </c>
      <c r="G15" s="39">
        <v>5.0</v>
      </c>
      <c r="H15" s="39">
        <v>15.0</v>
      </c>
      <c r="R15" s="37" t="s">
        <v>3347</v>
      </c>
      <c r="S15" s="37" t="str">
        <f t="shared" si="1"/>
        <v>肉食生物の巣</v>
      </c>
      <c r="U15" s="37" t="s">
        <v>3347</v>
      </c>
      <c r="V15" s="37" t="s">
        <v>3337</v>
      </c>
      <c r="W15" s="37" t="s">
        <v>3363</v>
      </c>
      <c r="X15" s="39" t="s">
        <v>3349</v>
      </c>
      <c r="Y15" s="39">
        <v>1.0</v>
      </c>
      <c r="AA15" s="37"/>
      <c r="AD15" s="39">
        <v>1.0</v>
      </c>
      <c r="AE15" s="39"/>
      <c r="AF15" s="39"/>
      <c r="AG15" s="39"/>
    </row>
    <row r="16" ht="18.75" customHeight="1" outlineLevel="1">
      <c r="A16" s="1" t="s">
        <v>3245</v>
      </c>
      <c r="B16" s="11" t="s">
        <v>3350</v>
      </c>
      <c r="C16" s="37" t="str">
        <f>LET(
 _xlpm.dOK,COUNTIF('クラス'!A:A,E16)&gt;0,
 _xlpm.eOK,COUNTIF('クラス'!A:A,F16)&gt;0,
 IF(_xlpm.dOK,"○","×") &amp; IF(_xlpm.eOK,"○","×")
)</f>
        <v>○○</v>
      </c>
      <c r="E16" s="37" t="s">
        <v>1501</v>
      </c>
      <c r="F16" s="37" t="s">
        <v>1344</v>
      </c>
      <c r="G16" s="39">
        <v>5.0</v>
      </c>
      <c r="H16" s="39">
        <v>15.0</v>
      </c>
      <c r="R16" s="37" t="s">
        <v>3350</v>
      </c>
      <c r="S16" s="37" t="str">
        <f t="shared" si="1"/>
        <v>肉食生物の巣</v>
      </c>
      <c r="U16" s="37" t="s">
        <v>3350</v>
      </c>
      <c r="V16" s="37" t="s">
        <v>3337</v>
      </c>
      <c r="W16" s="37" t="s">
        <v>3364</v>
      </c>
      <c r="X16" s="39" t="s">
        <v>3349</v>
      </c>
      <c r="Y16" s="39">
        <v>6.0</v>
      </c>
      <c r="AA16" s="37"/>
      <c r="AD16" s="39">
        <v>1.0</v>
      </c>
      <c r="AE16" s="39"/>
      <c r="AF16" s="39"/>
      <c r="AG16" s="39"/>
    </row>
    <row r="17" ht="18.75" customHeight="1" outlineLevel="1">
      <c r="A17" s="1" t="s">
        <v>3245</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3352</v>
      </c>
      <c r="W17" s="37" t="s">
        <v>3365</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3366</v>
      </c>
      <c r="C19" s="37" t="str">
        <f>LET(
 _xlpm.dOK,COUNTIF('クラス'!A:A,E19)&gt;0,
 _xlpm.eOK,COUNTIF('クラス'!A:A,F19)&gt;0,
 IF(_xlpm.dOK,"○","×") &amp; IF(_xlpm.eOK,"○","×")
)</f>
        <v>××</v>
      </c>
      <c r="S19" s="37" t="str">
        <f t="shared" si="1"/>
        <v>死霊の巣</v>
      </c>
      <c r="U19" s="37" t="s">
        <v>3366</v>
      </c>
      <c r="V19" s="37" t="s">
        <v>3367</v>
      </c>
      <c r="W19" s="37" t="s">
        <v>3368</v>
      </c>
      <c r="X19" s="39" t="s">
        <v>29</v>
      </c>
      <c r="Y19" s="39" t="s">
        <v>29</v>
      </c>
      <c r="AA19" s="37"/>
      <c r="AD19" s="39">
        <v>1.0</v>
      </c>
      <c r="AE19" s="39"/>
      <c r="AF19" s="39"/>
      <c r="AG19" s="39"/>
    </row>
    <row r="20" ht="18.75" customHeight="1" outlineLevel="1">
      <c r="A20" s="1" t="s">
        <v>62</v>
      </c>
      <c r="B20" s="11" t="s">
        <v>3369</v>
      </c>
      <c r="C20" s="37" t="str">
        <f>LET(
 _xlpm.dOK,COUNTIF('クラス'!A:A,E20)&gt;0,
 _xlpm.eOK,COUNTIF('クラス'!A:A,F20)&gt;0,
 IF(_xlpm.dOK,"○","×") &amp; IF(_xlpm.eOK,"○","×")
)</f>
        <v>××</v>
      </c>
      <c r="S20" s="37" t="str">
        <f t="shared" si="1"/>
        <v>毒生成物の巣</v>
      </c>
      <c r="U20" s="37" t="s">
        <v>3369</v>
      </c>
      <c r="V20" s="37" t="s">
        <v>3370</v>
      </c>
      <c r="W20" s="37" t="s">
        <v>3371</v>
      </c>
      <c r="X20" s="39" t="s">
        <v>29</v>
      </c>
      <c r="Y20" s="39" t="s">
        <v>29</v>
      </c>
      <c r="AA20" s="37"/>
      <c r="AD20" s="39">
        <v>1.0</v>
      </c>
      <c r="AE20" s="39"/>
      <c r="AF20" s="39"/>
      <c r="AG20" s="39"/>
    </row>
    <row r="21" ht="18.75" customHeight="1" outlineLevel="1">
      <c r="A21" s="1" t="s">
        <v>62</v>
      </c>
      <c r="B21" s="11" t="s">
        <v>3372</v>
      </c>
      <c r="C21" s="37" t="str">
        <f>LET(
 _xlpm.dOK,COUNTIF('クラス'!A:A,E21)&gt;0,
 _xlpm.eOK,COUNTIF('クラス'!A:A,F21)&gt;0,
 IF(_xlpm.dOK,"○","×") &amp; IF(_xlpm.eOK,"○","×")
)</f>
        <v>××</v>
      </c>
      <c r="S21" s="37" t="str">
        <f t="shared" si="1"/>
        <v>飛竜の巣</v>
      </c>
      <c r="U21" s="37" t="s">
        <v>3372</v>
      </c>
      <c r="V21" s="37" t="s">
        <v>3352</v>
      </c>
      <c r="W21" s="37" t="s">
        <v>3373</v>
      </c>
      <c r="X21" s="39" t="s">
        <v>29</v>
      </c>
      <c r="Y21" s="39" t="s">
        <v>29</v>
      </c>
      <c r="AA21" s="37"/>
      <c r="AD21" s="39">
        <v>1.0</v>
      </c>
      <c r="AE21" s="39"/>
      <c r="AF21" s="39"/>
      <c r="AG21" s="39"/>
    </row>
    <row r="22" ht="18.75" customHeight="1" outlineLevel="1">
      <c r="A22" s="1" t="s">
        <v>62</v>
      </c>
      <c r="B22" s="11" t="s">
        <v>3374</v>
      </c>
      <c r="C22" s="37" t="str">
        <f>LET(
 _xlpm.dOK,COUNTIF('クラス'!A:A,E22)&gt;0,
 _xlpm.eOK,COUNTIF('クラス'!A:A,F22)&gt;0,
 IF(_xlpm.dOK,"○","×") &amp; IF(_xlpm.eOK,"○","×")
)</f>
        <v>××</v>
      </c>
      <c r="R22" s="37" t="s">
        <v>3374</v>
      </c>
      <c r="S22" s="37" t="str">
        <f t="shared" si="1"/>
        <v>地中生物の巣</v>
      </c>
      <c r="U22" s="37" t="s">
        <v>3374</v>
      </c>
      <c r="V22" s="37" t="s">
        <v>3345</v>
      </c>
      <c r="W22" s="37" t="s">
        <v>3375</v>
      </c>
      <c r="X22" s="39" t="s">
        <v>3362</v>
      </c>
      <c r="Y22" s="39">
        <v>3.0</v>
      </c>
      <c r="AA22" s="37"/>
      <c r="AD22" s="39">
        <v>1.0</v>
      </c>
      <c r="AE22" s="39"/>
      <c r="AF22" s="39"/>
      <c r="AG22" s="39"/>
    </row>
    <row r="23" ht="18.75" customHeight="1" outlineLevel="1">
      <c r="A23" s="1" t="s">
        <v>62</v>
      </c>
      <c r="B23" s="11" t="s">
        <v>3376</v>
      </c>
      <c r="C23" s="37" t="str">
        <f>LET(
 _xlpm.dOK,COUNTIF('クラス'!A:A,E23)&gt;0,
 _xlpm.eOK,COUNTIF('クラス'!A:A,F23)&gt;0,
 IF(_xlpm.dOK,"○","×") &amp; IF(_xlpm.eOK,"○","×")
)</f>
        <v>××</v>
      </c>
      <c r="G23" s="39">
        <v>5.0</v>
      </c>
      <c r="H23" s="39">
        <v>10.0</v>
      </c>
      <c r="R23" s="37" t="s">
        <v>3377</v>
      </c>
      <c r="S23" s="37" t="str">
        <f t="shared" si="1"/>
        <v>虫系の巣</v>
      </c>
      <c r="U23" s="37" t="s">
        <v>3376</v>
      </c>
      <c r="V23" s="37" t="s">
        <v>3341</v>
      </c>
      <c r="W23" s="37" t="s">
        <v>3378</v>
      </c>
      <c r="X23" s="39" t="s">
        <v>3343</v>
      </c>
      <c r="Y23" s="39">
        <v>7.0</v>
      </c>
      <c r="AA23" s="37"/>
      <c r="AD23" s="39">
        <v>1.0</v>
      </c>
      <c r="AE23" s="39"/>
      <c r="AF23" s="39"/>
      <c r="AG23" s="39"/>
    </row>
    <row r="24" ht="18.75" customHeight="1" outlineLevel="1">
      <c r="A24" s="1" t="s">
        <v>62</v>
      </c>
      <c r="B24" s="11" t="s">
        <v>3379</v>
      </c>
      <c r="C24" s="37" t="str">
        <f>LET(
 _xlpm.dOK,COUNTIF('クラス'!A:A,E24)&gt;0,
 _xlpm.eOK,COUNTIF('クラス'!A:A,F24)&gt;0,
 IF(_xlpm.dOK,"○","×") &amp; IF(_xlpm.eOK,"○","×")
)</f>
        <v>××</v>
      </c>
      <c r="S24" s="37" t="str">
        <f t="shared" si="1"/>
        <v>肉食生物の巣</v>
      </c>
      <c r="U24" s="37" t="s">
        <v>3379</v>
      </c>
      <c r="V24" s="37" t="s">
        <v>3337</v>
      </c>
      <c r="W24" s="37" t="s">
        <v>3380</v>
      </c>
      <c r="X24" s="39" t="s">
        <v>3349</v>
      </c>
      <c r="Y24" s="39">
        <v>5.0</v>
      </c>
      <c r="AA24" s="37"/>
      <c r="AD24" s="39">
        <v>1.0</v>
      </c>
      <c r="AE24" s="39"/>
      <c r="AF24" s="39"/>
      <c r="AG24" s="39"/>
    </row>
    <row r="25" ht="18.75" customHeight="1" outlineLevel="1">
      <c r="A25" s="1" t="s">
        <v>62</v>
      </c>
      <c r="B25" s="11" t="s">
        <v>3381</v>
      </c>
      <c r="C25" s="37" t="str">
        <f>LET(
 _xlpm.dOK,COUNTIF('クラス'!A:A,E25)&gt;0,
 _xlpm.eOK,COUNTIF('クラス'!A:A,F25)&gt;0,
 IF(_xlpm.dOK,"○","×") &amp; IF(_xlpm.eOK,"○","×")
)</f>
        <v>××</v>
      </c>
      <c r="S25" s="37" t="str">
        <f t="shared" si="1"/>
        <v>土の輪</v>
      </c>
      <c r="U25" s="37" t="s">
        <v>3381</v>
      </c>
      <c r="V25" s="37" t="s">
        <v>3382</v>
      </c>
      <c r="W25" s="37" t="s">
        <v>3383</v>
      </c>
      <c r="X25" s="39" t="s">
        <v>29</v>
      </c>
      <c r="Y25" s="39" t="s">
        <v>29</v>
      </c>
      <c r="AA25" s="37"/>
      <c r="AD25" s="39">
        <v>1.0</v>
      </c>
      <c r="AE25" s="39"/>
      <c r="AF25" s="39"/>
      <c r="AG25" s="39"/>
    </row>
    <row r="26" ht="18.75" customHeight="1" outlineLevel="1">
      <c r="A26" s="1" t="s">
        <v>62</v>
      </c>
      <c r="B26" s="11" t="s">
        <v>3360</v>
      </c>
      <c r="C26" s="37" t="str">
        <f>LET(
 _xlpm.dOK,COUNTIF('クラス'!A:A,E26)&gt;0,
 _xlpm.eOK,COUNTIF('クラス'!A:A,F26)&gt;0,
 IF(_xlpm.dOK,"○","×") &amp; IF(_xlpm.eOK,"○","×")
)</f>
        <v>××</v>
      </c>
      <c r="G26" s="39">
        <v>5.0</v>
      </c>
      <c r="H26" s="39">
        <v>10.0</v>
      </c>
      <c r="R26" s="37" t="s">
        <v>3360</v>
      </c>
      <c r="S26" s="37" t="str">
        <f t="shared" si="1"/>
        <v>地中生物の巣</v>
      </c>
      <c r="U26" s="37" t="s">
        <v>3360</v>
      </c>
      <c r="V26" s="37" t="s">
        <v>3345</v>
      </c>
      <c r="W26" s="37" t="s">
        <v>3384</v>
      </c>
      <c r="X26" s="39" t="s">
        <v>3362</v>
      </c>
      <c r="Y26" s="39">
        <v>2.0</v>
      </c>
      <c r="AA26" s="37"/>
      <c r="AD26" s="39">
        <v>1.0</v>
      </c>
      <c r="AE26" s="39"/>
      <c r="AF26" s="39"/>
      <c r="AG26" s="39"/>
    </row>
    <row r="27" ht="18.75" customHeight="1" outlineLevel="1">
      <c r="A27" s="1" t="s">
        <v>62</v>
      </c>
      <c r="B27" s="11" t="s">
        <v>3385</v>
      </c>
      <c r="C27" s="37" t="str">
        <f>LET(
 _xlpm.dOK,COUNTIF('クラス'!A:A,E27)&gt;0,
 _xlpm.eOK,COUNTIF('クラス'!A:A,F27)&gt;0,
 IF(_xlpm.dOK,"○","×") &amp; IF(_xlpm.eOK,"○","×")
)</f>
        <v>××</v>
      </c>
      <c r="S27" s="37" t="str">
        <f t="shared" si="1"/>
        <v>死霊の巣</v>
      </c>
      <c r="U27" s="37" t="s">
        <v>3385</v>
      </c>
      <c r="V27" s="37" t="s">
        <v>3367</v>
      </c>
      <c r="W27" s="37" t="s">
        <v>3386</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3387</v>
      </c>
      <c r="V29" s="37" t="s">
        <v>3388</v>
      </c>
      <c r="X29" s="39" t="s">
        <v>29</v>
      </c>
      <c r="Y29" s="39" t="s">
        <v>29</v>
      </c>
      <c r="AA29" s="37"/>
      <c r="AD29" s="37"/>
      <c r="AE29" s="37"/>
      <c r="AF29" s="37"/>
      <c r="AG29" s="37"/>
    </row>
    <row r="30" ht="18.75" customHeight="1">
      <c r="A30" s="1" t="s">
        <v>56</v>
      </c>
      <c r="B30" s="11" t="s">
        <v>3387</v>
      </c>
      <c r="C30" s="37" t="str">
        <f>LET(
 _xlpm.dOK,COUNTIF('クラス'!A:A,E30)&gt;0,
 _xlpm.eOK,COUNTIF('クラス'!A:A,F30)&gt;0,
 IF(_xlpm.dOK,"○","×") &amp; IF(_xlpm.eOK,"○","×")
)</f>
        <v>××</v>
      </c>
      <c r="S30" s="37" t="str">
        <f t="shared" si="1"/>
        <v>植物生物の巣</v>
      </c>
      <c r="U30" s="37" t="s">
        <v>1265</v>
      </c>
      <c r="V30" s="37" t="s">
        <v>3388</v>
      </c>
      <c r="W30" s="37" t="s">
        <v>3389</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3390</v>
      </c>
      <c r="V31" s="37" t="s">
        <v>3337</v>
      </c>
      <c r="W31" s="37" t="s">
        <v>3391</v>
      </c>
      <c r="X31" s="39" t="s">
        <v>29</v>
      </c>
      <c r="Y31" s="39" t="s">
        <v>29</v>
      </c>
      <c r="AA31" s="37"/>
      <c r="AD31" s="39">
        <v>1.0</v>
      </c>
      <c r="AE31" s="39"/>
      <c r="AF31" s="39"/>
      <c r="AG31" s="39"/>
    </row>
    <row r="32" ht="18.75" customHeight="1" outlineLevel="1">
      <c r="A32" s="1" t="s">
        <v>56</v>
      </c>
      <c r="B32" s="11" t="s">
        <v>3390</v>
      </c>
      <c r="C32" s="37" t="str">
        <f>LET(
 _xlpm.dOK,COUNTIF('クラス'!A:A,E32)&gt;0,
 _xlpm.eOK,COUNTIF('クラス'!A:A,F32)&gt;0,
 IF(_xlpm.dOK,"○","×") &amp; IF(_xlpm.eOK,"○","×")
)</f>
        <v>○○</v>
      </c>
      <c r="D32" s="37" t="b">
        <v>1</v>
      </c>
      <c r="E32" s="37" t="s">
        <v>1511</v>
      </c>
      <c r="F32" s="37" t="s">
        <v>1766</v>
      </c>
      <c r="G32" s="37">
        <v>15.0</v>
      </c>
      <c r="H32" s="37">
        <v>25.0</v>
      </c>
      <c r="R32" s="37" t="s">
        <v>3390</v>
      </c>
      <c r="S32" s="37" t="str">
        <f t="shared" si="1"/>
        <v>肉食生物の巣</v>
      </c>
      <c r="U32" s="37" t="s">
        <v>3392</v>
      </c>
      <c r="V32" s="37" t="s">
        <v>3370</v>
      </c>
      <c r="W32" s="37" t="s">
        <v>3393</v>
      </c>
      <c r="X32" s="39" t="s">
        <v>3349</v>
      </c>
      <c r="Y32" s="39">
        <v>4.0</v>
      </c>
      <c r="AA32" s="37"/>
      <c r="AD32" s="39">
        <v>1.0</v>
      </c>
      <c r="AE32" s="39"/>
      <c r="AF32" s="39"/>
      <c r="AG32" s="39"/>
    </row>
    <row r="33" ht="18.75" customHeight="1" outlineLevel="1">
      <c r="A33" s="1" t="s">
        <v>56</v>
      </c>
      <c r="B33" s="11" t="s">
        <v>3392</v>
      </c>
      <c r="C33" s="37" t="str">
        <f>LET(
 _xlpm.dOK,COUNTIF('クラス'!A:A,E33)&gt;0,
 _xlpm.eOK,COUNTIF('クラス'!A:A,F33)&gt;0,
 IF(_xlpm.dOK,"○","×") &amp; IF(_xlpm.eOK,"○","×")
)</f>
        <v>××</v>
      </c>
      <c r="S33" s="37" t="str">
        <f t="shared" si="1"/>
        <v>毒生成物の巣</v>
      </c>
      <c r="U33" s="37" t="s">
        <v>3394</v>
      </c>
      <c r="V33" s="37" t="s">
        <v>3388</v>
      </c>
      <c r="W33" s="37" t="s">
        <v>3395</v>
      </c>
      <c r="X33" s="39" t="s">
        <v>29</v>
      </c>
      <c r="Y33" s="39" t="s">
        <v>29</v>
      </c>
      <c r="AA33" s="37"/>
      <c r="AD33" s="39">
        <v>1.0</v>
      </c>
      <c r="AE33" s="39"/>
      <c r="AF33" s="39"/>
      <c r="AG33" s="39"/>
    </row>
    <row r="34" ht="18.75" customHeight="1" outlineLevel="1">
      <c r="A34" s="1" t="s">
        <v>56</v>
      </c>
      <c r="B34" s="11" t="s">
        <v>3394</v>
      </c>
      <c r="C34" s="37" t="str">
        <f>LET(
 _xlpm.dOK,COUNTIF('クラス'!A:A,E34)&gt;0,
 _xlpm.eOK,COUNTIF('クラス'!A:A,F34)&gt;0,
 IF(_xlpm.dOK,"○","×") &amp; IF(_xlpm.eOK,"○","×")
)</f>
        <v>××</v>
      </c>
      <c r="S34" s="37" t="str">
        <f t="shared" si="1"/>
        <v>植物生物の巣</v>
      </c>
      <c r="U34" s="37" t="s">
        <v>3396</v>
      </c>
      <c r="V34" s="37" t="s">
        <v>3388</v>
      </c>
      <c r="W34" s="37" t="s">
        <v>3397</v>
      </c>
      <c r="X34" s="39" t="s">
        <v>29</v>
      </c>
      <c r="Y34" s="39" t="s">
        <v>29</v>
      </c>
      <c r="AA34" s="37"/>
      <c r="AD34" s="39">
        <v>1.0</v>
      </c>
      <c r="AE34" s="39"/>
      <c r="AF34" s="39"/>
      <c r="AG34" s="39"/>
    </row>
    <row r="35" ht="18.75" customHeight="1" outlineLevel="1">
      <c r="A35" s="1" t="s">
        <v>56</v>
      </c>
      <c r="B35" s="11" t="s">
        <v>3396</v>
      </c>
      <c r="C35" s="37" t="str">
        <f>LET(
 _xlpm.dOK,COUNTIF('クラス'!A:A,E35)&gt;0,
 _xlpm.eOK,COUNTIF('クラス'!A:A,F35)&gt;0,
 IF(_xlpm.dOK,"○","×") &amp; IF(_xlpm.eOK,"○","×")
)</f>
        <v>××</v>
      </c>
      <c r="S35" s="37" t="str">
        <f t="shared" si="1"/>
        <v>植物生物の巣</v>
      </c>
      <c r="U35" s="37" t="s">
        <v>3398</v>
      </c>
      <c r="V35" s="37" t="s">
        <v>3388</v>
      </c>
      <c r="W35" s="37" t="s">
        <v>3399</v>
      </c>
      <c r="X35" s="39" t="s">
        <v>29</v>
      </c>
      <c r="Y35" s="39" t="s">
        <v>29</v>
      </c>
      <c r="AA35" s="37"/>
      <c r="AD35" s="39">
        <v>1.0</v>
      </c>
      <c r="AE35" s="39"/>
      <c r="AF35" s="39"/>
      <c r="AG35" s="39"/>
    </row>
    <row r="36" ht="18.75" customHeight="1" outlineLevel="1">
      <c r="A36" s="1" t="s">
        <v>56</v>
      </c>
      <c r="B36" s="11" t="s">
        <v>3398</v>
      </c>
      <c r="C36" s="37" t="str">
        <f>LET(
 _xlpm.dOK,COUNTIF('クラス'!A:A,E36)&gt;0,
 _xlpm.eOK,COUNTIF('クラス'!A:A,F36)&gt;0,
 IF(_xlpm.dOK,"○","×") &amp; IF(_xlpm.eOK,"○","×")
)</f>
        <v>××</v>
      </c>
      <c r="S36" s="37" t="str">
        <f t="shared" si="1"/>
        <v>植物生物の巣</v>
      </c>
      <c r="U36" s="37" t="s">
        <v>3400</v>
      </c>
      <c r="V36" s="37" t="s">
        <v>3401</v>
      </c>
      <c r="W36" s="37" t="s">
        <v>3402</v>
      </c>
      <c r="X36" s="39" t="s">
        <v>29</v>
      </c>
      <c r="Y36" s="39" t="s">
        <v>29</v>
      </c>
      <c r="AA36" s="37"/>
      <c r="AD36" s="39">
        <v>1.0</v>
      </c>
      <c r="AE36" s="39"/>
      <c r="AF36" s="39"/>
      <c r="AG36" s="39"/>
    </row>
    <row r="37" ht="18.75" customHeight="1" outlineLevel="1">
      <c r="A37" s="1" t="s">
        <v>56</v>
      </c>
      <c r="B37" s="11" t="s">
        <v>3400</v>
      </c>
      <c r="C37" s="37" t="str">
        <f>LET(
 _xlpm.dOK,COUNTIF('クラス'!A:A,E37)&gt;0,
 _xlpm.eOK,COUNTIF('クラス'!A:A,F37)&gt;0,
 IF(_xlpm.dOK,"○","×") &amp; IF(_xlpm.eOK,"○","×")
)</f>
        <v>××</v>
      </c>
      <c r="S37" s="37" t="str">
        <f t="shared" si="1"/>
        <v>風の輪</v>
      </c>
      <c r="U37" s="37" t="s">
        <v>1494</v>
      </c>
      <c r="V37" s="37" t="s">
        <v>3337</v>
      </c>
      <c r="W37" s="37" t="s">
        <v>3403</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3337</v>
      </c>
      <c r="W38" s="37" t="s">
        <v>3404</v>
      </c>
      <c r="X38" s="39" t="s">
        <v>3359</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3354</v>
      </c>
      <c r="S39" s="37" t="str">
        <f t="shared" si="1"/>
        <v>肉食生物の巣</v>
      </c>
      <c r="W39" s="37" t="s">
        <v>3405</v>
      </c>
      <c r="X39" s="39" t="s">
        <v>3356</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3406</v>
      </c>
      <c r="V40" s="37" t="s">
        <v>3352</v>
      </c>
      <c r="X40" s="39" t="s">
        <v>29</v>
      </c>
      <c r="Y40" s="39" t="s">
        <v>29</v>
      </c>
      <c r="AA40" s="37"/>
      <c r="AD40" s="37"/>
      <c r="AE40" s="37"/>
      <c r="AF40" s="37"/>
      <c r="AG40" s="37"/>
    </row>
    <row r="41" ht="18.75" customHeight="1" outlineLevel="1">
      <c r="A41" s="1" t="s">
        <v>63</v>
      </c>
      <c r="B41" s="11" t="s">
        <v>3406</v>
      </c>
      <c r="C41" s="37" t="str">
        <f>LET(
 _xlpm.dOK,COUNTIF('クラス'!A:A,E41)&gt;0,
 _xlpm.eOK,COUNTIF('クラス'!A:A,F41)&gt;0,
 IF(_xlpm.dOK,"○","×") &amp; IF(_xlpm.eOK,"○","×")
)</f>
        <v>××</v>
      </c>
      <c r="S41" s="37" t="str">
        <f t="shared" si="1"/>
        <v>飛竜の巣</v>
      </c>
      <c r="U41" s="37" t="s">
        <v>3394</v>
      </c>
      <c r="V41" s="37" t="s">
        <v>3388</v>
      </c>
      <c r="W41" s="37" t="s">
        <v>3407</v>
      </c>
      <c r="X41" s="39" t="s">
        <v>29</v>
      </c>
      <c r="Y41" s="39" t="s">
        <v>29</v>
      </c>
      <c r="AA41" s="37"/>
      <c r="AD41" s="39">
        <v>1.0</v>
      </c>
      <c r="AE41" s="39"/>
      <c r="AF41" s="39"/>
      <c r="AG41" s="39"/>
    </row>
    <row r="42" ht="18.75" customHeight="1" outlineLevel="1">
      <c r="A42" s="1" t="s">
        <v>63</v>
      </c>
      <c r="B42" s="11" t="s">
        <v>3394</v>
      </c>
      <c r="C42" s="37" t="str">
        <f>LET(
 _xlpm.dOK,COUNTIF('クラス'!A:A,E42)&gt;0,
 _xlpm.eOK,COUNTIF('クラス'!A:A,F42)&gt;0,
 IF(_xlpm.dOK,"○","×") &amp; IF(_xlpm.eOK,"○","×")
)</f>
        <v>××</v>
      </c>
      <c r="S42" s="37" t="str">
        <f t="shared" si="1"/>
        <v>植物生物の巣</v>
      </c>
      <c r="U42" s="37" t="s">
        <v>3408</v>
      </c>
      <c r="V42" s="37" t="s">
        <v>3409</v>
      </c>
      <c r="W42" s="37" t="s">
        <v>3410</v>
      </c>
      <c r="X42" s="39" t="s">
        <v>29</v>
      </c>
      <c r="Y42" s="39" t="s">
        <v>29</v>
      </c>
      <c r="AA42" s="37"/>
      <c r="AD42" s="39">
        <v>1.0</v>
      </c>
      <c r="AE42" s="39"/>
      <c r="AF42" s="39"/>
      <c r="AG42" s="39"/>
    </row>
    <row r="43" ht="18.75" customHeight="1" outlineLevel="1">
      <c r="A43" s="1" t="s">
        <v>63</v>
      </c>
      <c r="B43" s="11" t="s">
        <v>3408</v>
      </c>
      <c r="C43" s="37" t="str">
        <f>LET(
 _xlpm.dOK,COUNTIF('クラス'!A:A,E43)&gt;0,
 _xlpm.eOK,COUNTIF('クラス'!A:A,F43)&gt;0,
 IF(_xlpm.dOK,"○","×") &amp; IF(_xlpm.eOK,"○","×")
)</f>
        <v>××</v>
      </c>
      <c r="S43" s="37" t="str">
        <f t="shared" si="1"/>
        <v>闇の輪</v>
      </c>
      <c r="U43" s="37" t="s">
        <v>3411</v>
      </c>
      <c r="V43" s="37" t="s">
        <v>3337</v>
      </c>
      <c r="W43" s="37" t="s">
        <v>3412</v>
      </c>
      <c r="X43" s="39" t="s">
        <v>29</v>
      </c>
      <c r="Y43" s="39" t="s">
        <v>29</v>
      </c>
      <c r="AA43" s="37"/>
      <c r="AD43" s="39">
        <v>1.0</v>
      </c>
      <c r="AE43" s="39"/>
      <c r="AF43" s="39"/>
      <c r="AG43" s="39"/>
    </row>
    <row r="44" ht="18.75" customHeight="1" outlineLevel="1">
      <c r="A44" s="1" t="s">
        <v>63</v>
      </c>
      <c r="B44" s="11" t="s">
        <v>3411</v>
      </c>
      <c r="C44" s="37" t="str">
        <f>LET(
 _xlpm.dOK,COUNTIF('クラス'!A:A,E44)&gt;0,
 _xlpm.eOK,COUNTIF('クラス'!A:A,F44)&gt;0,
 IF(_xlpm.dOK,"○","×") &amp; IF(_xlpm.eOK,"○","×")
)</f>
        <v>××</v>
      </c>
      <c r="S44" s="37" t="str">
        <f t="shared" si="1"/>
        <v>肉食生物の巣</v>
      </c>
      <c r="U44" s="37" t="s">
        <v>3413</v>
      </c>
      <c r="V44" s="37" t="s">
        <v>3337</v>
      </c>
      <c r="W44" s="37" t="s">
        <v>3414</v>
      </c>
      <c r="X44" s="39" t="s">
        <v>29</v>
      </c>
      <c r="Y44" s="39" t="s">
        <v>29</v>
      </c>
      <c r="AA44" s="37"/>
      <c r="AD44" s="39">
        <v>1.0</v>
      </c>
      <c r="AE44" s="39"/>
      <c r="AF44" s="39"/>
      <c r="AG44" s="39"/>
    </row>
    <row r="45" ht="18.75" customHeight="1" outlineLevel="1">
      <c r="A45" s="1" t="s">
        <v>63</v>
      </c>
      <c r="B45" s="11" t="s">
        <v>3413</v>
      </c>
      <c r="C45" s="37" t="str">
        <f>LET(
 _xlpm.dOK,COUNTIF('クラス'!A:A,E45)&gt;0,
 _xlpm.eOK,COUNTIF('クラス'!A:A,F45)&gt;0,
 IF(_xlpm.dOK,"○","×") &amp; IF(_xlpm.eOK,"○","×")
)</f>
        <v>××</v>
      </c>
      <c r="S45" s="37" t="str">
        <f t="shared" si="1"/>
        <v>肉食生物の巣</v>
      </c>
      <c r="U45" s="37" t="s">
        <v>1988</v>
      </c>
      <c r="V45" s="37" t="s">
        <v>3345</v>
      </c>
      <c r="W45" s="37" t="s">
        <v>3415</v>
      </c>
      <c r="X45" s="39" t="s">
        <v>3349</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3416</v>
      </c>
      <c r="V46" s="37" t="s">
        <v>3352</v>
      </c>
      <c r="W46" s="37" t="s">
        <v>3417</v>
      </c>
      <c r="X46" s="39" t="s">
        <v>29</v>
      </c>
      <c r="Y46" s="39" t="s">
        <v>29</v>
      </c>
      <c r="AA46" s="37"/>
      <c r="AD46" s="39">
        <v>1.0</v>
      </c>
      <c r="AE46" s="39"/>
      <c r="AF46" s="39"/>
      <c r="AG46" s="39"/>
    </row>
    <row r="47" ht="18.75" customHeight="1" outlineLevel="1">
      <c r="A47" s="1" t="s">
        <v>63</v>
      </c>
      <c r="B47" s="11" t="s">
        <v>3416</v>
      </c>
      <c r="C47" s="37" t="str">
        <f>LET(
 _xlpm.dOK,COUNTIF('クラス'!A:A,E47)&gt;0,
 _xlpm.eOK,COUNTIF('クラス'!A:A,F47)&gt;0,
 IF(_xlpm.dOK,"○","×") &amp; IF(_xlpm.eOK,"○","×")
)</f>
        <v>××</v>
      </c>
      <c r="S47" s="37" t="str">
        <f t="shared" si="1"/>
        <v>飛竜の巣</v>
      </c>
      <c r="W47" s="37" t="s">
        <v>3418</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3419</v>
      </c>
      <c r="V48" s="37" t="s">
        <v>3334</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3334</v>
      </c>
      <c r="X49" s="39" t="s">
        <v>29</v>
      </c>
      <c r="Y49" s="39" t="s">
        <v>29</v>
      </c>
      <c r="AA49" s="37"/>
      <c r="AD49" s="37"/>
      <c r="AE49" s="37"/>
      <c r="AF49" s="37"/>
      <c r="AG49" s="37"/>
    </row>
    <row r="50" ht="18.75" customHeight="1">
      <c r="A50" s="1" t="s">
        <v>58</v>
      </c>
      <c r="B50" s="11" t="s">
        <v>3419</v>
      </c>
      <c r="C50" s="37" t="str">
        <f>LET(
 _xlpm.dOK,COUNTIF('クラス'!A:A,E50)&gt;0,
 _xlpm.eOK,COUNTIF('クラス'!A:A,F50)&gt;0,
 IF(_xlpm.dOK,"○","×") &amp; IF(_xlpm.eOK,"○","×")
)</f>
        <v>○○</v>
      </c>
      <c r="D50" s="37" t="b">
        <v>1</v>
      </c>
      <c r="E50" s="37" t="s">
        <v>1494</v>
      </c>
      <c r="F50" s="37" t="s">
        <v>1507</v>
      </c>
      <c r="G50" s="39">
        <v>5.0</v>
      </c>
      <c r="H50" s="39">
        <v>15.0</v>
      </c>
      <c r="R50" s="37" t="s">
        <v>3419</v>
      </c>
      <c r="S50" s="37" t="str">
        <f t="shared" si="1"/>
        <v>鳥系生物の巣</v>
      </c>
      <c r="U50" s="37" t="s">
        <v>1491</v>
      </c>
      <c r="V50" s="37" t="s">
        <v>3382</v>
      </c>
      <c r="W50" s="37" t="s">
        <v>3420</v>
      </c>
      <c r="X50" s="39" t="s">
        <v>3349</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3421</v>
      </c>
      <c r="R51" s="37" t="s">
        <v>1507</v>
      </c>
      <c r="S51" s="37" t="str">
        <f t="shared" si="1"/>
        <v>鳥系生物の巣</v>
      </c>
      <c r="U51" s="37" t="s">
        <v>3422</v>
      </c>
      <c r="V51" s="37" t="s">
        <v>3337</v>
      </c>
      <c r="W51" s="37" t="s">
        <v>3423</v>
      </c>
      <c r="X51" s="39" t="s">
        <v>3336</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3424</v>
      </c>
      <c r="S52" s="37" t="str">
        <f t="shared" si="1"/>
        <v>土の輪</v>
      </c>
      <c r="U52" s="37" t="s">
        <v>3344</v>
      </c>
      <c r="V52" s="37" t="s">
        <v>3345</v>
      </c>
      <c r="W52" s="37" t="s">
        <v>3425</v>
      </c>
      <c r="X52" s="39" t="s">
        <v>3426</v>
      </c>
      <c r="Y52" s="39">
        <v>1.0</v>
      </c>
      <c r="Z52" s="39" t="b">
        <v>1</v>
      </c>
      <c r="AA52" s="39"/>
      <c r="AB52" s="39"/>
      <c r="AC52" s="39"/>
      <c r="AD52" s="39">
        <v>1.0</v>
      </c>
      <c r="AE52" s="39"/>
      <c r="AF52" s="39"/>
      <c r="AG52" s="39"/>
    </row>
    <row r="53" ht="18.75" customHeight="1" outlineLevel="1">
      <c r="A53" s="1" t="s">
        <v>58</v>
      </c>
      <c r="B53" s="11" t="s">
        <v>3422</v>
      </c>
      <c r="C53" s="37" t="str">
        <f>LET(
 _xlpm.dOK,COUNTIF('クラス'!A:A,E53)&gt;0,
 _xlpm.eOK,COUNTIF('クラス'!A:A,F53)&gt;0,
 IF(_xlpm.dOK,"○","×") &amp; IF(_xlpm.eOK,"○","×")
)</f>
        <v>○○</v>
      </c>
      <c r="E53" s="37" t="s">
        <v>1494</v>
      </c>
      <c r="F53" s="37" t="s">
        <v>1504</v>
      </c>
      <c r="G53" s="39">
        <v>5.0</v>
      </c>
      <c r="H53" s="39">
        <v>15.0</v>
      </c>
      <c r="R53" s="37" t="s">
        <v>3422</v>
      </c>
      <c r="S53" s="37" t="str">
        <f t="shared" si="1"/>
        <v>肉食生物の巣</v>
      </c>
      <c r="U53" s="37" t="s">
        <v>3427</v>
      </c>
      <c r="V53" s="37" t="s">
        <v>3345</v>
      </c>
      <c r="W53" s="37" t="s">
        <v>3428</v>
      </c>
      <c r="X53" s="39" t="s">
        <v>3349</v>
      </c>
      <c r="Y53" s="39">
        <v>2.0</v>
      </c>
      <c r="AA53" s="37"/>
      <c r="AD53" s="39">
        <v>1.0</v>
      </c>
      <c r="AE53" s="39"/>
      <c r="AF53" s="39"/>
      <c r="AG53" s="39"/>
    </row>
    <row r="54" ht="18.75" customHeight="1" outlineLevel="1">
      <c r="A54" s="1" t="s">
        <v>58</v>
      </c>
      <c r="B54" s="11" t="s">
        <v>3344</v>
      </c>
      <c r="C54" s="37" t="str">
        <f>LET(
 _xlpm.dOK,COUNTIF('クラス'!A:A,E54)&gt;0,
 _xlpm.eOK,COUNTIF('クラス'!A:A,F54)&gt;0,
 IF(_xlpm.dOK,"○","×") &amp; IF(_xlpm.eOK,"○","×")
)</f>
        <v>××</v>
      </c>
      <c r="S54" s="37" t="str">
        <f t="shared" si="1"/>
        <v>地中生物の巣</v>
      </c>
      <c r="U54" s="37" t="s">
        <v>3347</v>
      </c>
      <c r="V54" s="37" t="s">
        <v>3337</v>
      </c>
      <c r="W54" s="37" t="s">
        <v>3429</v>
      </c>
      <c r="X54" s="39" t="s">
        <v>29</v>
      </c>
      <c r="Y54" s="39" t="s">
        <v>29</v>
      </c>
      <c r="AA54" s="37"/>
      <c r="AD54" s="39">
        <v>1.0</v>
      </c>
      <c r="AE54" s="39"/>
      <c r="AF54" s="39"/>
      <c r="AG54" s="39"/>
    </row>
    <row r="55" ht="18.75" customHeight="1" outlineLevel="1">
      <c r="A55" s="1" t="s">
        <v>58</v>
      </c>
      <c r="B55" s="11" t="s">
        <v>3427</v>
      </c>
      <c r="C55" s="37" t="str">
        <f>LET(
 _xlpm.dOK,COUNTIF('クラス'!A:A,E55)&gt;0,
 _xlpm.eOK,COUNTIF('クラス'!A:A,F55)&gt;0,
 IF(_xlpm.dOK,"○","×") &amp; IF(_xlpm.eOK,"○","×")
)</f>
        <v>××</v>
      </c>
      <c r="S55" s="37" t="str">
        <f t="shared" si="1"/>
        <v>地中生物の巣</v>
      </c>
      <c r="U55" s="37" t="s">
        <v>1920</v>
      </c>
      <c r="V55" s="37" t="s">
        <v>3352</v>
      </c>
      <c r="W55" s="37" t="s">
        <v>3430</v>
      </c>
      <c r="X55" s="39" t="s">
        <v>29</v>
      </c>
      <c r="Y55" s="39" t="s">
        <v>29</v>
      </c>
      <c r="AA55" s="37"/>
      <c r="AD55" s="39">
        <v>1.0</v>
      </c>
      <c r="AE55" s="39"/>
      <c r="AF55" s="39"/>
      <c r="AG55" s="39"/>
    </row>
    <row r="56" ht="18.75" customHeight="1" outlineLevel="1">
      <c r="A56" s="1" t="s">
        <v>58</v>
      </c>
      <c r="B56" s="11" t="s">
        <v>3347</v>
      </c>
      <c r="C56" s="37" t="str">
        <f>LET(
 _xlpm.dOK,COUNTIF('クラス'!A:A,E56)&gt;0,
 _xlpm.eOK,COUNTIF('クラス'!A:A,F56)&gt;0,
 IF(_xlpm.dOK,"○","×") &amp; IF(_xlpm.eOK,"○","×")
)</f>
        <v>××</v>
      </c>
      <c r="S56" s="37" t="str">
        <f t="shared" si="1"/>
        <v>肉食生物の巣</v>
      </c>
      <c r="W56" s="37" t="s">
        <v>3431</v>
      </c>
      <c r="X56" s="39" t="s">
        <v>3349</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3432</v>
      </c>
      <c r="R57" s="37" t="s">
        <v>1920</v>
      </c>
      <c r="S57" s="37" t="str">
        <f t="shared" si="1"/>
        <v>飛竜の巣</v>
      </c>
      <c r="U57" s="37" t="s">
        <v>3433</v>
      </c>
      <c r="V57" s="37" t="s">
        <v>3401</v>
      </c>
      <c r="W57" s="37" t="s">
        <v>3434</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3382</v>
      </c>
      <c r="X58" s="39" t="s">
        <v>29</v>
      </c>
      <c r="Y58" s="39" t="s">
        <v>29</v>
      </c>
      <c r="AA58" s="37"/>
      <c r="AD58" s="37"/>
      <c r="AE58" s="37"/>
      <c r="AF58" s="37"/>
      <c r="AG58" s="37"/>
    </row>
    <row r="59" ht="18.75" customHeight="1" outlineLevel="1">
      <c r="A59" s="1" t="s">
        <v>57</v>
      </c>
      <c r="B59" s="11" t="s">
        <v>3433</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3435</v>
      </c>
      <c r="V59" s="37" t="s">
        <v>3337</v>
      </c>
      <c r="W59" s="37" t="s">
        <v>3436</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3437</v>
      </c>
      <c r="R60" s="37" t="s">
        <v>3424</v>
      </c>
      <c r="S60" s="37" t="str">
        <f t="shared" si="1"/>
        <v>土の輪</v>
      </c>
      <c r="U60" s="37" t="s">
        <v>3438</v>
      </c>
      <c r="V60" s="37" t="s">
        <v>3345</v>
      </c>
      <c r="W60" s="37" t="s">
        <v>3439</v>
      </c>
      <c r="X60" s="39" t="s">
        <v>3426</v>
      </c>
      <c r="Y60" s="39">
        <v>1.0</v>
      </c>
      <c r="Z60" s="39" t="b">
        <v>1</v>
      </c>
      <c r="AA60" s="39"/>
      <c r="AB60" s="39"/>
      <c r="AC60" s="39"/>
      <c r="AD60" s="39">
        <v>1.0</v>
      </c>
      <c r="AE60" s="39"/>
      <c r="AF60" s="39"/>
      <c r="AG60" s="39"/>
    </row>
    <row r="61" ht="18.75" customHeight="1" outlineLevel="1">
      <c r="A61" s="1" t="s">
        <v>57</v>
      </c>
      <c r="B61" s="11" t="s">
        <v>3435</v>
      </c>
      <c r="C61" s="37" t="str">
        <f>LET(
 _xlpm.dOK,COUNTIF('クラス'!A:A,E61)&gt;0,
 _xlpm.eOK,COUNTIF('クラス'!A:A,F61)&gt;0,
 IF(_xlpm.dOK,"○","×") &amp; IF(_xlpm.eOK,"○","×")
)</f>
        <v>○○</v>
      </c>
      <c r="D61" s="37" t="b">
        <v>1</v>
      </c>
      <c r="E61" s="37" t="s">
        <v>1511</v>
      </c>
      <c r="F61" s="37" t="s">
        <v>1491</v>
      </c>
      <c r="G61" s="37">
        <v>25.0</v>
      </c>
      <c r="H61" s="37">
        <v>30.0</v>
      </c>
      <c r="R61" s="37" t="s">
        <v>3440</v>
      </c>
      <c r="S61" s="37" t="str">
        <f t="shared" si="1"/>
        <v>肉食生物の巣</v>
      </c>
      <c r="U61" s="37" t="s">
        <v>3441</v>
      </c>
      <c r="V61" s="37" t="s">
        <v>3442</v>
      </c>
      <c r="W61" s="37" t="s">
        <v>3443</v>
      </c>
      <c r="X61" s="39" t="s">
        <v>29</v>
      </c>
      <c r="Y61" s="39" t="s">
        <v>29</v>
      </c>
      <c r="AA61" s="37"/>
      <c r="AD61" s="39">
        <v>1.0</v>
      </c>
      <c r="AE61" s="39"/>
      <c r="AF61" s="39"/>
      <c r="AG61" s="39"/>
    </row>
    <row r="62" ht="18.75" customHeight="1" outlineLevel="1">
      <c r="A62" s="1" t="s">
        <v>57</v>
      </c>
      <c r="B62" s="11" t="s">
        <v>3438</v>
      </c>
      <c r="C62" s="37" t="str">
        <f>LET(
 _xlpm.dOK,COUNTIF('クラス'!A:A,E62)&gt;0,
 _xlpm.eOK,COUNTIF('クラス'!A:A,F62)&gt;0,
 IF(_xlpm.dOK,"○","×") &amp; IF(_xlpm.eOK,"○","×")
)</f>
        <v>××</v>
      </c>
      <c r="S62" s="37" t="str">
        <f t="shared" si="1"/>
        <v>地中生物の巣</v>
      </c>
      <c r="U62" s="37" t="s">
        <v>3444</v>
      </c>
      <c r="V62" s="37" t="s">
        <v>3345</v>
      </c>
      <c r="W62" s="37" t="s">
        <v>3445</v>
      </c>
      <c r="X62" s="39" t="s">
        <v>29</v>
      </c>
      <c r="Y62" s="39" t="s">
        <v>29</v>
      </c>
      <c r="AA62" s="37"/>
      <c r="AD62" s="39">
        <v>1.0</v>
      </c>
      <c r="AE62" s="39"/>
      <c r="AF62" s="39"/>
      <c r="AG62" s="39"/>
    </row>
    <row r="63" ht="18.75" customHeight="1" outlineLevel="1">
      <c r="A63" s="1" t="s">
        <v>57</v>
      </c>
      <c r="B63" s="11" t="s">
        <v>3441</v>
      </c>
      <c r="C63" s="37" t="str">
        <f>LET(
 _xlpm.dOK,COUNTIF('クラス'!A:A,E63)&gt;0,
 _xlpm.eOK,COUNTIF('クラス'!A:A,F63)&gt;0,
 IF(_xlpm.dOK,"○","×") &amp; IF(_xlpm.eOK,"○","×")
)</f>
        <v>××</v>
      </c>
      <c r="S63" s="37" t="str">
        <f t="shared" si="1"/>
        <v>水の輪</v>
      </c>
      <c r="U63" s="37" t="s">
        <v>3446</v>
      </c>
      <c r="V63" s="37" t="s">
        <v>3352</v>
      </c>
      <c r="W63" s="37" t="s">
        <v>3447</v>
      </c>
      <c r="X63" s="39" t="s">
        <v>29</v>
      </c>
      <c r="Y63" s="39" t="s">
        <v>29</v>
      </c>
      <c r="AA63" s="37"/>
      <c r="AD63" s="39">
        <v>1.0</v>
      </c>
      <c r="AE63" s="39"/>
      <c r="AF63" s="39"/>
      <c r="AG63" s="39"/>
    </row>
    <row r="64" ht="18.75" customHeight="1" outlineLevel="1">
      <c r="A64" s="1" t="s">
        <v>57</v>
      </c>
      <c r="B64" s="11" t="s">
        <v>3444</v>
      </c>
      <c r="C64" s="37" t="str">
        <f>LET(
 _xlpm.dOK,COUNTIF('クラス'!A:A,E64)&gt;0,
 _xlpm.eOK,COUNTIF('クラス'!A:A,F64)&gt;0,
 IF(_xlpm.dOK,"○","×") &amp; IF(_xlpm.eOK,"○","×")
)</f>
        <v>××</v>
      </c>
      <c r="S64" s="37" t="str">
        <f t="shared" si="1"/>
        <v>地中生物の巣</v>
      </c>
      <c r="U64" s="37" t="s">
        <v>3448</v>
      </c>
      <c r="V64" s="37" t="s">
        <v>3334</v>
      </c>
      <c r="W64" s="37" t="s">
        <v>3449</v>
      </c>
      <c r="X64" s="39" t="s">
        <v>29</v>
      </c>
      <c r="Y64" s="39" t="s">
        <v>29</v>
      </c>
      <c r="AA64" s="37"/>
      <c r="AD64" s="39">
        <v>1.0</v>
      </c>
      <c r="AE64" s="39"/>
      <c r="AF64" s="39"/>
      <c r="AG64" s="39"/>
    </row>
    <row r="65" ht="18.75" customHeight="1" outlineLevel="1">
      <c r="A65" s="1" t="s">
        <v>57</v>
      </c>
      <c r="B65" s="11" t="s">
        <v>3446</v>
      </c>
      <c r="C65" s="37" t="str">
        <f>LET(
 _xlpm.dOK,COUNTIF('クラス'!A:A,E65)&gt;0,
 _xlpm.eOK,COUNTIF('クラス'!A:A,F65)&gt;0,
 IF(_xlpm.dOK,"○","×") &amp; IF(_xlpm.eOK,"○","×")
)</f>
        <v>××</v>
      </c>
      <c r="S65" s="37" t="str">
        <f t="shared" si="1"/>
        <v>飛竜の巣</v>
      </c>
      <c r="U65" s="37" t="s">
        <v>3450</v>
      </c>
      <c r="V65" s="37" t="s">
        <v>3337</v>
      </c>
      <c r="W65" s="37" t="s">
        <v>3451</v>
      </c>
      <c r="X65" s="39" t="s">
        <v>29</v>
      </c>
      <c r="Y65" s="39" t="s">
        <v>29</v>
      </c>
      <c r="AA65" s="37"/>
      <c r="AD65" s="39">
        <v>1.0</v>
      </c>
      <c r="AE65" s="39"/>
      <c r="AF65" s="39"/>
      <c r="AG65" s="39"/>
    </row>
    <row r="66" ht="18.75" customHeight="1" outlineLevel="1">
      <c r="A66" s="1" t="s">
        <v>57</v>
      </c>
      <c r="B66" s="11" t="s">
        <v>3448</v>
      </c>
      <c r="C66" s="37" t="str">
        <f>LET(
 _xlpm.dOK,COUNTIF('クラス'!A:A,E66)&gt;0,
 _xlpm.eOK,COUNTIF('クラス'!A:A,F66)&gt;0,
 IF(_xlpm.dOK,"○","×") &amp; IF(_xlpm.eOK,"○","×")
)</f>
        <v>××</v>
      </c>
      <c r="S66" s="37" t="str">
        <f t="shared" si="1"/>
        <v>鳥系生物の巣</v>
      </c>
      <c r="W66" s="37" t="s">
        <v>3452</v>
      </c>
      <c r="X66" s="39" t="s">
        <v>29</v>
      </c>
      <c r="Y66" s="39" t="s">
        <v>29</v>
      </c>
      <c r="AA66" s="37"/>
      <c r="AD66" s="39">
        <v>1.0</v>
      </c>
      <c r="AE66" s="39"/>
      <c r="AF66" s="39"/>
      <c r="AG66" s="39"/>
    </row>
    <row r="67" ht="18.75" customHeight="1" outlineLevel="1">
      <c r="A67" s="1" t="s">
        <v>57</v>
      </c>
      <c r="B67" s="11" t="s">
        <v>3450</v>
      </c>
      <c r="C67" s="37" t="str">
        <f>LET(
 _xlpm.dOK,COUNTIF('クラス'!A:A,E67)&gt;0,
 _xlpm.eOK,COUNTIF('クラス'!A:A,F67)&gt;0,
 IF(_xlpm.dOK,"○","×") &amp; IF(_xlpm.eOK,"○","×")
)</f>
        <v>××</v>
      </c>
      <c r="S67" s="37" t="str">
        <f t="shared" si="1"/>
        <v>肉食生物の巣</v>
      </c>
      <c r="U67" s="37" t="s">
        <v>3444</v>
      </c>
      <c r="V67" s="37" t="s">
        <v>3345</v>
      </c>
      <c r="W67" s="37" t="s">
        <v>3453</v>
      </c>
      <c r="X67" s="39" t="s">
        <v>3349</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3352</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3347</v>
      </c>
      <c r="V69" s="37" t="s">
        <v>3337</v>
      </c>
      <c r="X69" s="39" t="s">
        <v>29</v>
      </c>
      <c r="Y69" s="39" t="s">
        <v>29</v>
      </c>
      <c r="AA69" s="37"/>
      <c r="AD69" s="37"/>
      <c r="AE69" s="37"/>
      <c r="AF69" s="37"/>
      <c r="AG69" s="37"/>
    </row>
    <row r="70" ht="18.75" customHeight="1">
      <c r="A70" s="1" t="s">
        <v>64</v>
      </c>
      <c r="B70" s="11" t="s">
        <v>3444</v>
      </c>
      <c r="C70" s="37" t="str">
        <f>LET(
 _xlpm.dOK,COUNTIF('クラス'!A:A,E70)&gt;0,
 _xlpm.eOK,COUNTIF('クラス'!A:A,F70)&gt;0,
 IF(_xlpm.dOK,"○","×") &amp; IF(_xlpm.eOK,"○","×")
)</f>
        <v>××</v>
      </c>
      <c r="S70" s="37" t="str">
        <f t="shared" si="1"/>
        <v>地中生物の巣</v>
      </c>
      <c r="U70" s="37" t="s">
        <v>3438</v>
      </c>
      <c r="V70" s="37" t="s">
        <v>3345</v>
      </c>
      <c r="W70" s="37" t="s">
        <v>3454</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3455</v>
      </c>
      <c r="V71" s="37" t="s">
        <v>3334</v>
      </c>
      <c r="W71" s="37" t="s">
        <v>3456</v>
      </c>
      <c r="X71" s="39" t="s">
        <v>29</v>
      </c>
      <c r="Y71" s="39" t="s">
        <v>29</v>
      </c>
      <c r="AA71" s="37"/>
      <c r="AD71" s="39">
        <v>1.0</v>
      </c>
      <c r="AE71" s="39"/>
      <c r="AF71" s="39"/>
      <c r="AG71" s="39"/>
    </row>
    <row r="72" ht="18.75" customHeight="1" outlineLevel="1">
      <c r="A72" s="1" t="s">
        <v>64</v>
      </c>
      <c r="B72" s="11" t="s">
        <v>3347</v>
      </c>
      <c r="C72" s="37" t="str">
        <f>LET(
 _xlpm.dOK,COUNTIF('クラス'!A:A,E72)&gt;0,
 _xlpm.eOK,COUNTIF('クラス'!A:A,F72)&gt;0,
 IF(_xlpm.dOK,"○","×") &amp; IF(_xlpm.eOK,"○","×")
)</f>
        <v>××</v>
      </c>
      <c r="S72" s="37" t="str">
        <f t="shared" si="1"/>
        <v>肉食生物の巣</v>
      </c>
      <c r="W72" s="37" t="s">
        <v>3457</v>
      </c>
      <c r="X72" s="39" t="s">
        <v>3349</v>
      </c>
      <c r="Y72" s="39">
        <v>1.0</v>
      </c>
      <c r="AA72" s="37"/>
      <c r="AD72" s="39">
        <v>1.0</v>
      </c>
      <c r="AE72" s="39"/>
      <c r="AF72" s="39"/>
      <c r="AG72" s="39"/>
    </row>
    <row r="73" ht="18.75" customHeight="1" outlineLevel="1">
      <c r="A73" s="1" t="s">
        <v>64</v>
      </c>
      <c r="B73" s="11" t="s">
        <v>3438</v>
      </c>
      <c r="C73" s="37" t="str">
        <f>LET(
 _xlpm.dOK,COUNTIF('クラス'!A:A,E73)&gt;0,
 _xlpm.eOK,COUNTIF('クラス'!A:A,F73)&gt;0,
 IF(_xlpm.dOK,"○","×") &amp; IF(_xlpm.eOK,"○","×")
)</f>
        <v>××</v>
      </c>
      <c r="S73" s="37" t="str">
        <f t="shared" si="1"/>
        <v>地中生物の巣</v>
      </c>
      <c r="U73" s="37" t="s">
        <v>3458</v>
      </c>
      <c r="V73" s="37" t="s">
        <v>3409</v>
      </c>
      <c r="W73" s="37" t="s">
        <v>3459</v>
      </c>
      <c r="X73" s="39" t="s">
        <v>29</v>
      </c>
      <c r="Y73" s="39" t="s">
        <v>29</v>
      </c>
      <c r="AA73" s="37"/>
      <c r="AD73" s="39">
        <v>1.0</v>
      </c>
      <c r="AE73" s="39"/>
      <c r="AF73" s="39"/>
      <c r="AG73" s="39"/>
    </row>
    <row r="74" ht="18.75" customHeight="1" outlineLevel="1">
      <c r="A74" s="1" t="s">
        <v>64</v>
      </c>
      <c r="B74" s="11" t="s">
        <v>3455</v>
      </c>
      <c r="C74" s="37" t="str">
        <f>LET(
 _xlpm.dOK,COUNTIF('クラス'!A:A,E74)&gt;0,
 _xlpm.eOK,COUNTIF('クラス'!A:A,F74)&gt;0,
 IF(_xlpm.dOK,"○","×") &amp; IF(_xlpm.eOK,"○","×")
)</f>
        <v>××</v>
      </c>
      <c r="S74" s="37" t="str">
        <f t="shared" si="1"/>
        <v>鳥系生物の巣</v>
      </c>
      <c r="U74" s="37" t="s">
        <v>3460</v>
      </c>
      <c r="V74" s="37" t="s">
        <v>3409</v>
      </c>
      <c r="W74" s="37" t="s">
        <v>3461</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3340</v>
      </c>
      <c r="V75" s="37" t="s">
        <v>3341</v>
      </c>
      <c r="X75" s="39" t="s">
        <v>29</v>
      </c>
      <c r="Y75" s="39" t="s">
        <v>29</v>
      </c>
      <c r="AA75" s="37"/>
      <c r="AD75" s="37"/>
      <c r="AE75" s="37"/>
      <c r="AF75" s="37"/>
      <c r="AG75" s="37"/>
    </row>
    <row r="76" ht="18.75" customHeight="1" outlineLevel="1">
      <c r="A76" s="1" t="s">
        <v>65</v>
      </c>
      <c r="B76" s="11" t="s">
        <v>3458</v>
      </c>
      <c r="C76" s="37" t="str">
        <f>LET(
 _xlpm.dOK,COUNTIF('クラス'!A:A,E76)&gt;0,
 _xlpm.eOK,COUNTIF('クラス'!A:A,F76)&gt;0,
 IF(_xlpm.dOK,"○","×") &amp; IF(_xlpm.eOK,"○","×")
)</f>
        <v>××</v>
      </c>
      <c r="S76" s="37" t="str">
        <f t="shared" si="1"/>
        <v>闇の輪</v>
      </c>
      <c r="U76" s="37" t="s">
        <v>3444</v>
      </c>
      <c r="V76" s="37" t="s">
        <v>3345</v>
      </c>
      <c r="W76" s="37" t="s">
        <v>3462</v>
      </c>
      <c r="X76" s="39" t="s">
        <v>29</v>
      </c>
      <c r="Y76" s="39" t="s">
        <v>29</v>
      </c>
      <c r="AA76" s="39" t="s">
        <v>3463</v>
      </c>
      <c r="AB76" s="39">
        <v>1.0</v>
      </c>
      <c r="AC76" s="39">
        <v>1.0</v>
      </c>
      <c r="AD76" s="39">
        <v>1.0</v>
      </c>
      <c r="AE76" s="39"/>
      <c r="AF76" s="39"/>
      <c r="AG76" s="39"/>
    </row>
    <row r="77" ht="18.75" customHeight="1" outlineLevel="1">
      <c r="A77" s="1" t="s">
        <v>65</v>
      </c>
      <c r="B77" s="11" t="s">
        <v>3460</v>
      </c>
      <c r="C77" s="37" t="str">
        <f>LET(
 _xlpm.dOK,COUNTIF('クラス'!A:A,E77)&gt;0,
 _xlpm.eOK,COUNTIF('クラス'!A:A,F77)&gt;0,
 IF(_xlpm.dOK,"○","×") &amp; IF(_xlpm.eOK,"○","×")
)</f>
        <v>××</v>
      </c>
      <c r="S77" s="37" t="str">
        <f t="shared" si="1"/>
        <v>闇の輪</v>
      </c>
      <c r="U77" s="37" t="s">
        <v>3450</v>
      </c>
      <c r="V77" s="37" t="s">
        <v>3337</v>
      </c>
      <c r="W77" s="37" t="s">
        <v>3464</v>
      </c>
      <c r="X77" s="39" t="s">
        <v>29</v>
      </c>
      <c r="Y77" s="39" t="s">
        <v>29</v>
      </c>
      <c r="AA77" s="39" t="s">
        <v>3465</v>
      </c>
      <c r="AB77" s="39">
        <v>2.0</v>
      </c>
      <c r="AC77" s="39">
        <v>3.0</v>
      </c>
      <c r="AD77" s="39">
        <v>1.0</v>
      </c>
      <c r="AE77" s="39"/>
      <c r="AF77" s="39"/>
      <c r="AG77" s="39"/>
    </row>
    <row r="78" ht="18.75" customHeight="1" outlineLevel="1">
      <c r="A78" s="1" t="s">
        <v>65</v>
      </c>
      <c r="B78" s="11" t="s">
        <v>3340</v>
      </c>
      <c r="C78" s="37" t="str">
        <f>LET(
 _xlpm.dOK,COUNTIF('クラス'!A:A,E78)&gt;0,
 _xlpm.eOK,COUNTIF('クラス'!A:A,F78)&gt;0,
 IF(_xlpm.dOK,"○","×") &amp; IF(_xlpm.eOK,"○","×")
)</f>
        <v>××</v>
      </c>
      <c r="G78" s="39">
        <v>5.0</v>
      </c>
      <c r="H78" s="39">
        <v>10.0</v>
      </c>
      <c r="S78" s="37" t="str">
        <f t="shared" si="1"/>
        <v>虫系の巣</v>
      </c>
      <c r="U78" s="37" t="s">
        <v>3374</v>
      </c>
      <c r="V78" s="37" t="s">
        <v>3345</v>
      </c>
      <c r="W78" s="37" t="s">
        <v>3466</v>
      </c>
      <c r="X78" s="39" t="s">
        <v>3343</v>
      </c>
      <c r="Y78" s="39">
        <v>1.0</v>
      </c>
      <c r="AA78" s="39" t="s">
        <v>3463</v>
      </c>
      <c r="AB78" s="39">
        <v>1.0</v>
      </c>
      <c r="AC78" s="39">
        <v>1.0</v>
      </c>
      <c r="AD78" s="39">
        <v>1.0</v>
      </c>
      <c r="AE78" s="39"/>
      <c r="AF78" s="39"/>
      <c r="AG78" s="39"/>
    </row>
    <row r="79" ht="18.75" customHeight="1" outlineLevel="1">
      <c r="A79" s="1" t="s">
        <v>65</v>
      </c>
      <c r="B79" s="11" t="s">
        <v>3444</v>
      </c>
      <c r="C79" s="37" t="str">
        <f>LET(
 _xlpm.dOK,COUNTIF('クラス'!A:A,E79)&gt;0,
 _xlpm.eOK,COUNTIF('クラス'!A:A,F79)&gt;0,
 IF(_xlpm.dOK,"○","×") &amp; IF(_xlpm.eOK,"○","×")
)</f>
        <v>××</v>
      </c>
      <c r="S79" s="37" t="str">
        <f t="shared" si="1"/>
        <v>地中生物の巣</v>
      </c>
      <c r="W79" s="37" t="s">
        <v>3467</v>
      </c>
      <c r="X79" s="39" t="s">
        <v>29</v>
      </c>
      <c r="Y79" s="39" t="s">
        <v>29</v>
      </c>
      <c r="AA79" s="39" t="s">
        <v>3463</v>
      </c>
      <c r="AB79" s="39">
        <v>1.0</v>
      </c>
      <c r="AC79" s="39">
        <v>1.0</v>
      </c>
      <c r="AD79" s="39">
        <v>1.0</v>
      </c>
      <c r="AE79" s="39"/>
      <c r="AF79" s="39"/>
      <c r="AG79" s="39"/>
    </row>
    <row r="80" ht="18.75" customHeight="1" outlineLevel="1">
      <c r="A80" s="1" t="s">
        <v>65</v>
      </c>
      <c r="B80" s="11" t="s">
        <v>3450</v>
      </c>
      <c r="C80" s="37" t="str">
        <f>LET(
 _xlpm.dOK,COUNTIF('クラス'!A:A,E80)&gt;0,
 _xlpm.eOK,COUNTIF('クラス'!A:A,F80)&gt;0,
 IF(_xlpm.dOK,"○","×") &amp; IF(_xlpm.eOK,"○","×")
)</f>
        <v>××</v>
      </c>
      <c r="R80" s="37" t="s">
        <v>3450</v>
      </c>
      <c r="S80" s="37" t="str">
        <f t="shared" si="1"/>
        <v>肉食生物の巣</v>
      </c>
      <c r="U80" s="37" t="s">
        <v>1480</v>
      </c>
      <c r="V80" s="37" t="s">
        <v>3442</v>
      </c>
      <c r="W80" s="37" t="s">
        <v>3468</v>
      </c>
      <c r="X80" s="39" t="s">
        <v>3349</v>
      </c>
      <c r="Y80" s="39">
        <v>7.0</v>
      </c>
      <c r="AA80" s="39" t="s">
        <v>3463</v>
      </c>
      <c r="AB80" s="39">
        <v>1.0</v>
      </c>
      <c r="AC80" s="39">
        <v>1.0</v>
      </c>
      <c r="AD80" s="39">
        <v>1.0</v>
      </c>
      <c r="AE80" s="39"/>
      <c r="AF80" s="39"/>
      <c r="AG80" s="39"/>
    </row>
    <row r="81" ht="18.75" customHeight="1" outlineLevel="1">
      <c r="A81" s="1" t="s">
        <v>65</v>
      </c>
      <c r="B81" s="11" t="s">
        <v>3374</v>
      </c>
      <c r="C81" s="37" t="str">
        <f>LET(
 _xlpm.dOK,COUNTIF('クラス'!A:A,E81)&gt;0,
 _xlpm.eOK,COUNTIF('クラス'!A:A,F81)&gt;0,
 IF(_xlpm.dOK,"○","×") &amp; IF(_xlpm.eOK,"○","×")
)</f>
        <v>××</v>
      </c>
      <c r="R81" s="37" t="s">
        <v>3374</v>
      </c>
      <c r="S81" s="37" t="str">
        <f t="shared" si="1"/>
        <v>地中生物の巣</v>
      </c>
      <c r="U81" s="37" t="s">
        <v>3469</v>
      </c>
      <c r="V81" s="37" t="s">
        <v>3370</v>
      </c>
      <c r="W81" s="37" t="s">
        <v>3470</v>
      </c>
      <c r="X81" s="39" t="s">
        <v>3362</v>
      </c>
      <c r="Y81" s="39">
        <v>3.0</v>
      </c>
      <c r="AA81" s="39" t="s">
        <v>3463</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3442</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3471</v>
      </c>
      <c r="V84" s="37" t="s">
        <v>3337</v>
      </c>
      <c r="W84" s="37" t="s">
        <v>3472</v>
      </c>
      <c r="X84" s="39" t="s">
        <v>3473</v>
      </c>
      <c r="Y84" s="39">
        <v>9.0</v>
      </c>
      <c r="Z84" s="39" t="b">
        <v>1</v>
      </c>
      <c r="AA84" s="39"/>
      <c r="AB84" s="39"/>
      <c r="AC84" s="39"/>
      <c r="AD84" s="39">
        <v>1.0</v>
      </c>
      <c r="AE84" s="39"/>
      <c r="AF84" s="39"/>
      <c r="AG84" s="39"/>
    </row>
    <row r="85" ht="18.75" customHeight="1" outlineLevel="1">
      <c r="A85" s="1" t="s">
        <v>59</v>
      </c>
      <c r="B85" s="11" t="s">
        <v>3469</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3474</v>
      </c>
      <c r="X85" s="39" t="s">
        <v>3336</v>
      </c>
      <c r="Y85" s="39">
        <v>8.0</v>
      </c>
      <c r="AA85" s="37"/>
      <c r="AD85" s="39">
        <v>1.0</v>
      </c>
      <c r="AE85" s="39">
        <v>0.0</v>
      </c>
      <c r="AF85" s="39">
        <v>45.0</v>
      </c>
      <c r="AG85" s="39" t="s">
        <v>3339</v>
      </c>
    </row>
    <row r="86" ht="18.75" customHeight="1" outlineLevel="1">
      <c r="A86" s="1"/>
      <c r="B86" s="11"/>
      <c r="C86" s="37" t="str">
        <f>LET(
 _xlpm.dOK,COUNTIF('クラス'!A:A,E86)&gt;0,
 _xlpm.eOK,COUNTIF('クラス'!A:A,F86)&gt;0,
 IF(_xlpm.dOK,"○","×") &amp; IF(_xlpm.eOK,"○","×")
)</f>
        <v>××</v>
      </c>
      <c r="S86" s="37" t="str">
        <f t="shared" si="1"/>
        <v/>
      </c>
      <c r="U86" s="37" t="s">
        <v>3471</v>
      </c>
      <c r="V86" s="37" t="s">
        <v>3337</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3442</v>
      </c>
      <c r="W87" s="37" t="s">
        <v>3475</v>
      </c>
      <c r="X87" s="39" t="s">
        <v>3473</v>
      </c>
      <c r="Y87" s="39">
        <v>9.0</v>
      </c>
      <c r="Z87" s="39" t="b">
        <v>1</v>
      </c>
      <c r="AA87" s="39"/>
      <c r="AB87" s="39"/>
      <c r="AC87" s="39"/>
      <c r="AD87" s="39">
        <v>1.0</v>
      </c>
      <c r="AE87" s="39"/>
      <c r="AF87" s="39"/>
      <c r="AG87" s="39"/>
    </row>
    <row r="88" ht="18.75" customHeight="1" outlineLevel="1">
      <c r="A88" s="1" t="s">
        <v>60</v>
      </c>
      <c r="B88" s="11" t="s">
        <v>3471</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3476</v>
      </c>
      <c r="X88" s="39" t="s">
        <v>29</v>
      </c>
      <c r="Y88" s="39" t="s">
        <v>29</v>
      </c>
      <c r="AA88" s="37"/>
      <c r="AD88" s="39">
        <v>1.0</v>
      </c>
      <c r="AE88" s="39">
        <v>0.0</v>
      </c>
      <c r="AF88" s="39">
        <v>45.0</v>
      </c>
      <c r="AG88" s="39" t="s">
        <v>3339</v>
      </c>
    </row>
    <row r="89" ht="18.75" customHeight="1" outlineLevel="1">
      <c r="A89" s="1"/>
      <c r="B89" s="11"/>
      <c r="C89" s="37" t="str">
        <f>LET(
 _xlpm.dOK,COUNTIF('クラス'!A:A,E89)&gt;0,
 _xlpm.eOK,COUNTIF('クラス'!A:A,F89)&gt;0,
 IF(_xlpm.dOK,"○","×") &amp; IF(_xlpm.eOK,"○","×")
)</f>
        <v>××</v>
      </c>
      <c r="S89" s="37" t="str">
        <f t="shared" si="1"/>
        <v/>
      </c>
      <c r="U89" s="37" t="s">
        <v>3446</v>
      </c>
      <c r="V89" s="37" t="s">
        <v>3352</v>
      </c>
      <c r="X89" s="39" t="s">
        <v>29</v>
      </c>
      <c r="Y89" s="39" t="s">
        <v>29</v>
      </c>
      <c r="AA89" s="37"/>
      <c r="AD89" s="37"/>
      <c r="AE89" s="37"/>
      <c r="AF89" s="37"/>
      <c r="AG89" s="37"/>
    </row>
    <row r="90" ht="18.75" customHeight="1" outlineLevel="1">
      <c r="A90" s="1" t="s">
        <v>61</v>
      </c>
      <c r="B90" s="11" t="s">
        <v>3471</v>
      </c>
      <c r="C90" s="37" t="str">
        <f>LET(
 _xlpm.dOK,COUNTIF('クラス'!A:A,E90)&gt;0,
 _xlpm.eOK,COUNTIF('クラス'!A:A,F90)&gt;0,
 IF(_xlpm.dOK,"○","×") &amp; IF(_xlpm.eOK,"○","×")
)</f>
        <v>○○</v>
      </c>
      <c r="E90" s="37" t="s">
        <v>1504</v>
      </c>
      <c r="F90" s="37" t="s">
        <v>1781</v>
      </c>
      <c r="G90" s="39">
        <v>8.0</v>
      </c>
      <c r="H90" s="39">
        <v>13.0</v>
      </c>
      <c r="S90" s="37" t="str">
        <f t="shared" si="1"/>
        <v>肉食生物の巣</v>
      </c>
      <c r="U90" s="37" t="s">
        <v>3477</v>
      </c>
      <c r="V90" s="37" t="s">
        <v>3478</v>
      </c>
      <c r="W90" s="37" t="s">
        <v>3479</v>
      </c>
      <c r="X90" s="39" t="s">
        <v>29</v>
      </c>
      <c r="Y90" s="39" t="s">
        <v>29</v>
      </c>
      <c r="AA90" s="37"/>
      <c r="AD90" s="39">
        <v>1.0</v>
      </c>
      <c r="AE90" s="39">
        <v>0.0</v>
      </c>
      <c r="AF90" s="39">
        <v>45.0</v>
      </c>
      <c r="AG90" s="39" t="s">
        <v>3339</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3480</v>
      </c>
      <c r="V91" s="37" t="s">
        <v>3478</v>
      </c>
      <c r="W91" s="37" t="s">
        <v>3481</v>
      </c>
      <c r="X91" s="39" t="s">
        <v>3473</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3477</v>
      </c>
      <c r="V93" s="37" t="s">
        <v>3478</v>
      </c>
      <c r="X93" s="39" t="s">
        <v>29</v>
      </c>
      <c r="Y93" s="39" t="s">
        <v>29</v>
      </c>
      <c r="AA93" s="37"/>
      <c r="AD93" s="37"/>
      <c r="AE93" s="37"/>
      <c r="AF93" s="37"/>
      <c r="AG93" s="37"/>
    </row>
    <row r="94" ht="18.75" customHeight="1">
      <c r="A94" s="1" t="s">
        <v>67</v>
      </c>
      <c r="B94" s="11" t="s">
        <v>3446</v>
      </c>
      <c r="C94" s="37" t="str">
        <f>LET(
 _xlpm.dOK,COUNTIF('クラス'!A:A,E94)&gt;0,
 _xlpm.eOK,COUNTIF('クラス'!A:A,F94)&gt;0,
 IF(_xlpm.dOK,"○","×") &amp; IF(_xlpm.eOK,"○","×")
)</f>
        <v>××</v>
      </c>
      <c r="S94" s="37" t="str">
        <f t="shared" si="1"/>
        <v>飛竜の巣</v>
      </c>
      <c r="U94" s="37" t="s">
        <v>3482</v>
      </c>
      <c r="V94" s="37" t="s">
        <v>3478</v>
      </c>
      <c r="W94" s="37" t="s">
        <v>3483</v>
      </c>
      <c r="X94" s="39" t="s">
        <v>29</v>
      </c>
      <c r="Y94" s="39" t="s">
        <v>29</v>
      </c>
      <c r="AA94" s="37"/>
      <c r="AD94" s="39">
        <v>1.0</v>
      </c>
      <c r="AE94" s="39"/>
      <c r="AF94" s="39"/>
      <c r="AG94" s="39"/>
    </row>
    <row r="95" ht="18.75" customHeight="1" outlineLevel="1">
      <c r="A95" s="1" t="s">
        <v>67</v>
      </c>
      <c r="B95" s="11" t="s">
        <v>3477</v>
      </c>
      <c r="C95" s="37" t="str">
        <f>LET(
 _xlpm.dOK,COUNTIF('クラス'!A:A,E95)&gt;0,
 _xlpm.eOK,COUNTIF('クラス'!A:A,F95)&gt;0,
 IF(_xlpm.dOK,"○","×") &amp; IF(_xlpm.eOK,"○","×")
)</f>
        <v>○×</v>
      </c>
      <c r="D95" s="11"/>
      <c r="E95" s="11" t="s">
        <v>1477</v>
      </c>
      <c r="G95" s="37">
        <v>15.0</v>
      </c>
      <c r="H95" s="37">
        <v>30.0</v>
      </c>
      <c r="R95" s="37" t="s">
        <v>3484</v>
      </c>
      <c r="S95" s="37" t="str">
        <f t="shared" si="1"/>
        <v>炎の輪</v>
      </c>
      <c r="U95" s="37" t="s">
        <v>1942</v>
      </c>
      <c r="V95" s="37" t="s">
        <v>3370</v>
      </c>
      <c r="W95" s="37" t="s">
        <v>3485</v>
      </c>
      <c r="X95" s="39" t="s">
        <v>3486</v>
      </c>
      <c r="Y95" s="39">
        <v>1.0</v>
      </c>
      <c r="Z95" s="39" t="b">
        <v>1</v>
      </c>
      <c r="AA95" s="39"/>
      <c r="AB95" s="39"/>
      <c r="AC95" s="39"/>
      <c r="AD95" s="39">
        <v>1.0</v>
      </c>
      <c r="AE95" s="39">
        <v>15.0</v>
      </c>
      <c r="AF95" s="39">
        <v>60.0</v>
      </c>
      <c r="AG95" s="39" t="s">
        <v>3487</v>
      </c>
    </row>
    <row r="96" ht="18.75" customHeight="1" outlineLevel="1">
      <c r="A96" s="1" t="s">
        <v>67</v>
      </c>
      <c r="B96" s="11" t="s">
        <v>3480</v>
      </c>
      <c r="C96" s="37" t="str">
        <f>LET(
 _xlpm.dOK,COUNTIF('クラス'!A:A,E96)&gt;0,
 _xlpm.eOK,COUNTIF('クラス'!A:A,F96)&gt;0,
 IF(_xlpm.dOK,"○","×") &amp; IF(_xlpm.eOK,"○","×")
)</f>
        <v>××</v>
      </c>
      <c r="S96" s="37" t="str">
        <f t="shared" si="1"/>
        <v>炎の輪</v>
      </c>
      <c r="W96" s="37" t="s">
        <v>3488</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3441</v>
      </c>
      <c r="V97" s="37" t="s">
        <v>3442</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3489</v>
      </c>
      <c r="V98" s="37" t="s">
        <v>3337</v>
      </c>
      <c r="X98" s="39" t="s">
        <v>29</v>
      </c>
      <c r="Y98" s="39" t="s">
        <v>29</v>
      </c>
      <c r="AA98" s="37"/>
      <c r="AD98" s="37"/>
      <c r="AE98" s="37"/>
      <c r="AF98" s="37"/>
      <c r="AG98" s="37"/>
    </row>
    <row r="99" ht="18.75" customHeight="1" outlineLevel="1">
      <c r="A99" s="1" t="s">
        <v>68</v>
      </c>
      <c r="B99" s="11" t="s">
        <v>3477</v>
      </c>
      <c r="C99" s="37" t="str">
        <f>LET(
 _xlpm.dOK,COUNTIF('クラス'!A:A,E99)&gt;0,
 _xlpm.eOK,COUNTIF('クラス'!A:A,F99)&gt;0,
 IF(_xlpm.dOK,"○","×") &amp; IF(_xlpm.eOK,"○","×")
)</f>
        <v>○×</v>
      </c>
      <c r="D99" s="11"/>
      <c r="E99" s="11" t="s">
        <v>1477</v>
      </c>
      <c r="G99" s="39">
        <v>5.0</v>
      </c>
      <c r="H99" s="39">
        <v>15.0</v>
      </c>
      <c r="R99" s="37" t="s">
        <v>3484</v>
      </c>
      <c r="S99" s="37" t="str">
        <f t="shared" si="1"/>
        <v>炎の輪</v>
      </c>
      <c r="U99" s="37" t="s">
        <v>3490</v>
      </c>
      <c r="V99" s="37" t="s">
        <v>3337</v>
      </c>
      <c r="W99" s="37" t="s">
        <v>3491</v>
      </c>
      <c r="X99" s="39" t="s">
        <v>3486</v>
      </c>
      <c r="Y99" s="39">
        <v>1.0</v>
      </c>
      <c r="Z99" s="39" t="b">
        <v>1</v>
      </c>
      <c r="AA99" s="39"/>
      <c r="AB99" s="39"/>
      <c r="AC99" s="39"/>
      <c r="AD99" s="39">
        <v>1.0</v>
      </c>
      <c r="AE99" s="39">
        <v>15.0</v>
      </c>
      <c r="AF99" s="39">
        <v>60.0</v>
      </c>
      <c r="AG99" s="39" t="s">
        <v>3487</v>
      </c>
    </row>
    <row r="100" ht="18.75" customHeight="1" outlineLevel="1">
      <c r="A100" s="1" t="s">
        <v>68</v>
      </c>
      <c r="B100" s="11" t="s">
        <v>3482</v>
      </c>
      <c r="C100" s="37" t="str">
        <f>LET(
 _xlpm.dOK,COUNTIF('クラス'!A:A,E100)&gt;0,
 _xlpm.eOK,COUNTIF('クラス'!A:A,F100)&gt;0,
 IF(_xlpm.dOK,"○","×") &amp; IF(_xlpm.eOK,"○","×")
)</f>
        <v>××</v>
      </c>
      <c r="S100" s="37" t="str">
        <f t="shared" si="1"/>
        <v>炎の輪</v>
      </c>
      <c r="U100" s="37" t="s">
        <v>1479</v>
      </c>
      <c r="V100" s="37" t="s">
        <v>3442</v>
      </c>
      <c r="W100" s="37" t="s">
        <v>3492</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3493</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3441</v>
      </c>
      <c r="C104" s="37" t="str">
        <f>LET(
 _xlpm.dOK,COUNTIF('クラス'!A:A,E104)&gt;0,
 _xlpm.eOK,COUNTIF('クラス'!A:A,F104)&gt;0,
 IF(_xlpm.dOK,"○","×") &amp; IF(_xlpm.eOK,"○","×")
)</f>
        <v>××</v>
      </c>
      <c r="S104" s="37" t="str">
        <f t="shared" si="1"/>
        <v>水の輪</v>
      </c>
      <c r="W104" s="37" t="s">
        <v>3494</v>
      </c>
      <c r="X104" s="39" t="s">
        <v>29</v>
      </c>
      <c r="Y104" s="39" t="s">
        <v>29</v>
      </c>
      <c r="AA104" s="37"/>
      <c r="AD104" s="39">
        <v>1.0</v>
      </c>
      <c r="AE104" s="39"/>
      <c r="AF104" s="39"/>
      <c r="AG104" s="39"/>
    </row>
    <row r="105" ht="18.75" customHeight="1" outlineLevel="1">
      <c r="A105" s="1" t="s">
        <v>66</v>
      </c>
      <c r="B105" s="11" t="s">
        <v>3489</v>
      </c>
      <c r="C105" s="37" t="str">
        <f>LET(
 _xlpm.dOK,COUNTIF('クラス'!A:A,E105)&gt;0,
 _xlpm.eOK,COUNTIF('クラス'!A:A,F105)&gt;0,
 IF(_xlpm.dOK,"○","×") &amp; IF(_xlpm.eOK,"○","×")
)</f>
        <v>××</v>
      </c>
      <c r="S105" s="37" t="str">
        <f t="shared" si="1"/>
        <v>肉食生物の巣</v>
      </c>
      <c r="W105" s="37" t="s">
        <v>3495</v>
      </c>
      <c r="X105" s="39" t="s">
        <v>29</v>
      </c>
      <c r="Y105" s="39" t="s">
        <v>29</v>
      </c>
      <c r="AA105" s="37"/>
      <c r="AD105" s="39">
        <v>1.0</v>
      </c>
      <c r="AE105" s="39"/>
      <c r="AF105" s="39"/>
      <c r="AG105" s="39"/>
    </row>
    <row r="106" ht="18.75" customHeight="1" outlineLevel="1">
      <c r="A106" s="1" t="s">
        <v>66</v>
      </c>
      <c r="B106" s="11" t="s">
        <v>3490</v>
      </c>
      <c r="C106" s="37" t="str">
        <f>LET(
 _xlpm.dOK,COUNTIF('クラス'!A:A,E106)&gt;0,
 _xlpm.eOK,COUNTIF('クラス'!A:A,F106)&gt;0,
 IF(_xlpm.dOK,"○","×") &amp; IF(_xlpm.eOK,"○","×")
)</f>
        <v>××</v>
      </c>
      <c r="S106" s="37" t="str">
        <f t="shared" si="1"/>
        <v>肉食生物の巣</v>
      </c>
      <c r="W106" s="37" t="s">
        <v>3496</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3497</v>
      </c>
      <c r="X107" s="39" t="s">
        <v>3486</v>
      </c>
      <c r="Y107" s="39">
        <v>5.0</v>
      </c>
      <c r="Z107" s="39" t="b">
        <v>1</v>
      </c>
      <c r="AA107" s="39"/>
      <c r="AB107" s="39"/>
      <c r="AC107" s="39"/>
      <c r="AD107" s="39">
        <v>1.0</v>
      </c>
      <c r="AE107" s="39">
        <v>-40.0</v>
      </c>
      <c r="AF107" s="39">
        <v>15.0</v>
      </c>
      <c r="AG107" s="39" t="s">
        <v>3498</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3499</v>
      </c>
      <c r="R108" s="39" t="s">
        <v>1521</v>
      </c>
      <c r="S108" s="39" t="s">
        <v>3500</v>
      </c>
      <c r="W108" s="39" t="s">
        <v>3501</v>
      </c>
      <c r="X108" s="39" t="s">
        <v>3502</v>
      </c>
      <c r="Y108" s="39">
        <v>7.0</v>
      </c>
      <c r="Z108" s="39" t="b">
        <v>0</v>
      </c>
      <c r="AA108" s="39"/>
      <c r="AB108" s="39"/>
      <c r="AC108" s="39"/>
      <c r="AD108" s="39">
        <v>1.0</v>
      </c>
      <c r="AE108" s="39"/>
      <c r="AF108" s="39"/>
      <c r="AG108" s="39"/>
    </row>
    <row r="109" ht="18.75" customHeight="1" outlineLevel="1">
      <c r="A109" s="26" t="s">
        <v>3245</v>
      </c>
      <c r="B109" s="22" t="s">
        <v>1521</v>
      </c>
      <c r="C109" s="37" t="str">
        <f>IF(COUNTIF('クラス'!A:A,E109)&gt;0,"○","×")&amp;IF(COUNTIF('クラス'!A:A,F109)&gt;0,"○","×")</f>
        <v>○×</v>
      </c>
      <c r="D109" s="39" t="b">
        <v>0</v>
      </c>
      <c r="E109" s="39" t="s">
        <v>1521</v>
      </c>
      <c r="G109" s="39">
        <v>2.0</v>
      </c>
      <c r="H109" s="39">
        <v>5.0</v>
      </c>
      <c r="J109" s="39" t="s">
        <v>3499</v>
      </c>
      <c r="R109" s="39" t="s">
        <v>1521</v>
      </c>
      <c r="S109" s="39" t="s">
        <v>3500</v>
      </c>
      <c r="W109" s="39" t="s">
        <v>3503</v>
      </c>
      <c r="X109" s="39" t="s">
        <v>3502</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3499</v>
      </c>
      <c r="R110" s="39" t="s">
        <v>1528</v>
      </c>
      <c r="S110" s="39" t="s">
        <v>3337</v>
      </c>
      <c r="W110" s="39" t="s">
        <v>3504</v>
      </c>
      <c r="X110" s="39" t="s">
        <v>3505</v>
      </c>
      <c r="Y110" s="39">
        <v>7.0</v>
      </c>
      <c r="Z110" s="39" t="b">
        <v>0</v>
      </c>
      <c r="AA110" s="39"/>
      <c r="AB110" s="39"/>
      <c r="AC110" s="39"/>
      <c r="AD110" s="39">
        <v>1.0</v>
      </c>
      <c r="AE110" s="39"/>
      <c r="AF110" s="39"/>
      <c r="AG110" s="39"/>
    </row>
    <row r="111" ht="18.75" customHeight="1" outlineLevel="1">
      <c r="A111" s="26" t="s">
        <v>3245</v>
      </c>
      <c r="B111" s="22" t="s">
        <v>1528</v>
      </c>
      <c r="C111" s="37" t="str">
        <f>IF(COUNTIF('クラス'!A:A,E111)&gt;0,"○","×")&amp;IF(COUNTIF('クラス'!A:A,F111)&gt;0,"○","×")</f>
        <v>○×</v>
      </c>
      <c r="D111" s="39" t="b">
        <v>0</v>
      </c>
      <c r="E111" s="39" t="s">
        <v>1528</v>
      </c>
      <c r="G111" s="39">
        <v>3.0</v>
      </c>
      <c r="H111" s="39">
        <v>7.0</v>
      </c>
      <c r="J111" s="39" t="s">
        <v>3499</v>
      </c>
      <c r="R111" s="39" t="s">
        <v>1528</v>
      </c>
      <c r="S111" s="39" t="s">
        <v>3337</v>
      </c>
      <c r="W111" s="39" t="s">
        <v>3506</v>
      </c>
      <c r="X111" s="39" t="s">
        <v>3505</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3499</v>
      </c>
      <c r="R112" s="39" t="s">
        <v>1528</v>
      </c>
      <c r="S112" s="39" t="s">
        <v>3337</v>
      </c>
      <c r="W112" s="39" t="s">
        <v>3507</v>
      </c>
      <c r="X112" s="39" t="s">
        <v>3505</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3499</v>
      </c>
      <c r="R113" s="39" t="s">
        <v>1914</v>
      </c>
      <c r="S113" s="39" t="s">
        <v>3352</v>
      </c>
      <c r="W113" s="39" t="s">
        <v>3508</v>
      </c>
      <c r="X113" s="39" t="s">
        <v>3509</v>
      </c>
      <c r="Y113" s="39">
        <v>7.0</v>
      </c>
      <c r="Z113" s="39" t="b">
        <v>0</v>
      </c>
      <c r="AA113" s="39" t="s">
        <v>3463</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3510</v>
      </c>
      <c r="R114" s="39" t="s">
        <v>1598</v>
      </c>
      <c r="S114" s="39" t="s">
        <v>3341</v>
      </c>
      <c r="W114" s="39" t="s">
        <v>3511</v>
      </c>
      <c r="X114" s="39" t="s">
        <v>3512</v>
      </c>
      <c r="Y114" s="39">
        <v>1.0</v>
      </c>
      <c r="Z114" s="39" t="b">
        <v>0</v>
      </c>
      <c r="AA114" s="39"/>
      <c r="AB114" s="39"/>
      <c r="AC114" s="39"/>
      <c r="AD114" s="39">
        <v>1.0</v>
      </c>
      <c r="AE114" s="39">
        <v>5.0</v>
      </c>
      <c r="AF114" s="39">
        <v>45.0</v>
      </c>
      <c r="AG114" s="39" t="s">
        <v>3513</v>
      </c>
    </row>
    <row r="115" ht="18.75" customHeight="1">
      <c r="A115" s="26" t="s">
        <v>54</v>
      </c>
      <c r="B115" s="22" t="s">
        <v>1617</v>
      </c>
      <c r="C115" s="37" t="str">
        <f>IF(COUNTIF('クラス'!A:A,E115)&gt;0,"○","×")&amp;IF(COUNTIF('クラス'!A:A,F115)&gt;0,"○","×")</f>
        <v>○×</v>
      </c>
      <c r="D115" s="39" t="b">
        <v>1</v>
      </c>
      <c r="E115" s="39" t="s">
        <v>1617</v>
      </c>
      <c r="G115" s="39">
        <v>3.0</v>
      </c>
      <c r="H115" s="39">
        <v>7.0</v>
      </c>
      <c r="J115" s="39" t="s">
        <v>3510</v>
      </c>
      <c r="R115" s="39" t="s">
        <v>1617</v>
      </c>
      <c r="S115" s="39" t="s">
        <v>3341</v>
      </c>
      <c r="W115" s="39" t="s">
        <v>3514</v>
      </c>
      <c r="X115" s="39" t="s">
        <v>3515</v>
      </c>
      <c r="Y115" s="39">
        <v>1.0</v>
      </c>
      <c r="Z115" s="39" t="b">
        <v>0</v>
      </c>
      <c r="AA115" s="39"/>
      <c r="AB115" s="39"/>
      <c r="AC115" s="39"/>
      <c r="AD115" s="39">
        <v>1.0</v>
      </c>
      <c r="AE115" s="39">
        <v>5.0</v>
      </c>
      <c r="AF115" s="39">
        <v>45.0</v>
      </c>
      <c r="AG115" s="39" t="s">
        <v>3487</v>
      </c>
    </row>
    <row r="116" ht="18.75" customHeight="1">
      <c r="A116" s="26" t="s">
        <v>54</v>
      </c>
      <c r="B116" s="22" t="s">
        <v>1625</v>
      </c>
      <c r="C116" s="37" t="str">
        <f>IF(COUNTIF('クラス'!A:A,E116)&gt;0,"○","×")&amp;IF(COUNTIF('クラス'!A:A,F116)&gt;0,"○","×")</f>
        <v>○×</v>
      </c>
      <c r="D116" s="39" t="b">
        <v>1</v>
      </c>
      <c r="E116" s="39" t="s">
        <v>1625</v>
      </c>
      <c r="G116" s="39">
        <v>1.0</v>
      </c>
      <c r="H116" s="39">
        <v>5.0</v>
      </c>
      <c r="J116" s="39" t="s">
        <v>3510</v>
      </c>
      <c r="R116" s="39" t="s">
        <v>1625</v>
      </c>
      <c r="S116" s="39" t="s">
        <v>3341</v>
      </c>
      <c r="W116" s="39" t="s">
        <v>3516</v>
      </c>
      <c r="X116" s="39" t="s">
        <v>3517</v>
      </c>
      <c r="Y116" s="39">
        <v>7.0</v>
      </c>
      <c r="Z116" s="39" t="b">
        <v>0</v>
      </c>
      <c r="AA116" s="39"/>
      <c r="AB116" s="39"/>
      <c r="AC116" s="39"/>
      <c r="AD116" s="39">
        <v>1.0</v>
      </c>
      <c r="AE116" s="39">
        <v>5.0</v>
      </c>
      <c r="AF116" s="39">
        <v>45.0</v>
      </c>
      <c r="AG116" s="39" t="s">
        <v>3487</v>
      </c>
    </row>
    <row r="117" ht="18.75" customHeight="1">
      <c r="A117" s="26" t="s">
        <v>54</v>
      </c>
      <c r="B117" s="22" t="s">
        <v>1633</v>
      </c>
      <c r="C117" s="37" t="str">
        <f>IF(COUNTIF('クラス'!A:A,E117)&gt;0,"○","×")&amp;IF(COUNTIF('クラス'!A:A,F117)&gt;0,"○","×")</f>
        <v>○×</v>
      </c>
      <c r="D117" s="39" t="b">
        <v>1</v>
      </c>
      <c r="E117" s="39" t="s">
        <v>1633</v>
      </c>
      <c r="G117" s="39">
        <v>1.0</v>
      </c>
      <c r="H117" s="39">
        <v>4.0</v>
      </c>
      <c r="J117" s="39" t="s">
        <v>3510</v>
      </c>
      <c r="R117" s="39" t="s">
        <v>1633</v>
      </c>
      <c r="S117" s="39" t="s">
        <v>3341</v>
      </c>
      <c r="W117" s="39" t="s">
        <v>3518</v>
      </c>
      <c r="X117" s="39" t="s">
        <v>3517</v>
      </c>
      <c r="Y117" s="39">
        <v>1.0</v>
      </c>
      <c r="Z117" s="39" t="b">
        <v>0</v>
      </c>
      <c r="AA117" s="39"/>
      <c r="AB117" s="39"/>
      <c r="AC117" s="39"/>
      <c r="AD117" s="39">
        <v>1.0</v>
      </c>
      <c r="AE117" s="39">
        <v>5.0</v>
      </c>
      <c r="AF117" s="39">
        <v>45.0</v>
      </c>
      <c r="AG117" s="39" t="s">
        <v>3513</v>
      </c>
    </row>
    <row r="118" ht="18.75" customHeight="1">
      <c r="A118" s="26" t="s">
        <v>3245</v>
      </c>
      <c r="B118" s="22" t="s">
        <v>1598</v>
      </c>
      <c r="C118" s="37" t="str">
        <f>IF(COUNTIF('クラス'!A:A,E118)&gt;0,"○","×")&amp;IF(COUNTIF('クラス'!A:A,F118)&gt;0,"○","×")</f>
        <v>○×</v>
      </c>
      <c r="D118" s="39" t="b">
        <v>0</v>
      </c>
      <c r="E118" s="39" t="s">
        <v>1598</v>
      </c>
      <c r="G118" s="39">
        <v>2.0</v>
      </c>
      <c r="H118" s="39">
        <v>5.0</v>
      </c>
      <c r="J118" s="39" t="s">
        <v>3510</v>
      </c>
      <c r="R118" s="39" t="s">
        <v>1598</v>
      </c>
      <c r="S118" s="39" t="s">
        <v>3341</v>
      </c>
      <c r="W118" s="39" t="s">
        <v>3519</v>
      </c>
      <c r="X118" s="39" t="s">
        <v>3512</v>
      </c>
      <c r="Y118" s="39">
        <v>1.0</v>
      </c>
      <c r="Z118" s="39" t="b">
        <v>0</v>
      </c>
      <c r="AA118" s="39"/>
      <c r="AB118" s="39"/>
      <c r="AC118" s="39"/>
      <c r="AD118" s="39">
        <v>1.0</v>
      </c>
      <c r="AE118" s="39">
        <v>5.0</v>
      </c>
      <c r="AF118" s="39">
        <v>45.0</v>
      </c>
      <c r="AG118" s="39" t="s">
        <v>3513</v>
      </c>
    </row>
    <row r="119" ht="18.75" customHeight="1">
      <c r="A119" s="26" t="s">
        <v>3245</v>
      </c>
      <c r="B119" s="22" t="s">
        <v>1633</v>
      </c>
      <c r="C119" s="37" t="str">
        <f>IF(COUNTIF('クラス'!A:A,E119)&gt;0,"○","×")&amp;IF(COUNTIF('クラス'!A:A,F119)&gt;0,"○","×")</f>
        <v>○×</v>
      </c>
      <c r="D119" s="39" t="b">
        <v>1</v>
      </c>
      <c r="E119" s="39" t="s">
        <v>1633</v>
      </c>
      <c r="G119" s="39">
        <v>1.0</v>
      </c>
      <c r="H119" s="39">
        <v>4.0</v>
      </c>
      <c r="J119" s="39" t="s">
        <v>3510</v>
      </c>
      <c r="R119" s="39" t="s">
        <v>1633</v>
      </c>
      <c r="S119" s="39" t="s">
        <v>3341</v>
      </c>
      <c r="W119" s="39" t="s">
        <v>3520</v>
      </c>
      <c r="X119" s="39" t="s">
        <v>3517</v>
      </c>
      <c r="Y119" s="39">
        <v>1.0</v>
      </c>
      <c r="Z119" s="39" t="b">
        <v>0</v>
      </c>
      <c r="AA119" s="39"/>
      <c r="AB119" s="39"/>
      <c r="AC119" s="39"/>
      <c r="AD119" s="39">
        <v>1.0</v>
      </c>
      <c r="AE119" s="39">
        <v>5.0</v>
      </c>
      <c r="AF119" s="39">
        <v>45.0</v>
      </c>
      <c r="AG119" s="39" t="s">
        <v>3513</v>
      </c>
    </row>
    <row r="120" ht="18.75" customHeight="1">
      <c r="A120" s="26" t="s">
        <v>3245</v>
      </c>
      <c r="B120" s="22" t="s">
        <v>1656</v>
      </c>
      <c r="C120" s="37" t="str">
        <f>IF(COUNTIF('クラス'!A:A,E120)&gt;0,"○","×")&amp;IF(COUNTIF('クラス'!A:A,F120)&gt;0,"○","×")</f>
        <v>○×</v>
      </c>
      <c r="D120" s="39" t="b">
        <v>1</v>
      </c>
      <c r="E120" s="39" t="s">
        <v>1656</v>
      </c>
      <c r="G120" s="39">
        <v>3.0</v>
      </c>
      <c r="H120" s="39">
        <v>8.0</v>
      </c>
      <c r="J120" s="39" t="s">
        <v>3510</v>
      </c>
      <c r="R120" s="39" t="s">
        <v>1656</v>
      </c>
      <c r="S120" s="39" t="s">
        <v>3341</v>
      </c>
      <c r="W120" s="39" t="s">
        <v>3521</v>
      </c>
      <c r="X120" s="39" t="s">
        <v>3343</v>
      </c>
      <c r="Y120" s="39">
        <v>7.0</v>
      </c>
      <c r="Z120" s="39" t="b">
        <v>0</v>
      </c>
      <c r="AA120" s="39"/>
      <c r="AB120" s="39"/>
      <c r="AC120" s="39"/>
      <c r="AD120" s="39">
        <v>1.0</v>
      </c>
      <c r="AE120" s="39">
        <v>5.0</v>
      </c>
      <c r="AF120" s="39">
        <v>45.0</v>
      </c>
      <c r="AG120" s="39" t="s">
        <v>3513</v>
      </c>
    </row>
    <row r="121" ht="18.75" customHeight="1">
      <c r="A121" s="26" t="s">
        <v>62</v>
      </c>
      <c r="B121" s="22" t="s">
        <v>1656</v>
      </c>
      <c r="C121" s="37" t="str">
        <f>IF(COUNTIF('クラス'!A:A,E121)&gt;0,"○","×")&amp;IF(COUNTIF('クラス'!A:A,F121)&gt;0,"○","×")</f>
        <v>○×</v>
      </c>
      <c r="D121" s="39" t="b">
        <v>1</v>
      </c>
      <c r="E121" s="39" t="s">
        <v>1656</v>
      </c>
      <c r="G121" s="39">
        <v>3.0</v>
      </c>
      <c r="H121" s="39">
        <v>8.0</v>
      </c>
      <c r="J121" s="39" t="s">
        <v>3510</v>
      </c>
      <c r="R121" s="39" t="s">
        <v>1656</v>
      </c>
      <c r="S121" s="39" t="s">
        <v>3341</v>
      </c>
      <c r="W121" s="39" t="s">
        <v>3522</v>
      </c>
      <c r="X121" s="39" t="s">
        <v>3343</v>
      </c>
      <c r="Y121" s="39">
        <v>7.0</v>
      </c>
      <c r="Z121" s="39" t="b">
        <v>0</v>
      </c>
      <c r="AA121" s="39"/>
      <c r="AB121" s="39"/>
      <c r="AC121" s="39"/>
      <c r="AD121" s="39">
        <v>1.0</v>
      </c>
      <c r="AE121" s="39">
        <v>5.0</v>
      </c>
      <c r="AF121" s="39">
        <v>45.0</v>
      </c>
      <c r="AG121" s="39" t="s">
        <v>3513</v>
      </c>
    </row>
    <row r="122" ht="18.75" customHeight="1">
      <c r="A122" s="26" t="s">
        <v>62</v>
      </c>
      <c r="B122" s="22" t="s">
        <v>1647</v>
      </c>
      <c r="C122" s="37" t="str">
        <f>IF(COUNTIF('クラス'!A:A,E122)&gt;0,"○","×")&amp;IF(COUNTIF('クラス'!A:A,F122)&gt;0,"○","×")</f>
        <v>○×</v>
      </c>
      <c r="D122" s="39" t="b">
        <v>1</v>
      </c>
      <c r="E122" s="39" t="s">
        <v>1647</v>
      </c>
      <c r="G122" s="39">
        <v>3.0</v>
      </c>
      <c r="H122" s="39">
        <v>7.0</v>
      </c>
      <c r="J122" s="39" t="s">
        <v>3510</v>
      </c>
      <c r="R122" s="39" t="s">
        <v>1647</v>
      </c>
      <c r="S122" s="39" t="s">
        <v>3341</v>
      </c>
      <c r="W122" s="39" t="s">
        <v>3523</v>
      </c>
      <c r="X122" s="39" t="s">
        <v>3524</v>
      </c>
      <c r="Y122" s="39">
        <v>7.0</v>
      </c>
      <c r="Z122" s="39" t="b">
        <v>0</v>
      </c>
      <c r="AA122" s="39"/>
      <c r="AB122" s="39"/>
      <c r="AC122" s="39"/>
      <c r="AD122" s="39">
        <v>1.0</v>
      </c>
      <c r="AE122" s="39">
        <v>5.0</v>
      </c>
      <c r="AF122" s="39">
        <v>45.0</v>
      </c>
      <c r="AG122" s="39" t="s">
        <v>3513</v>
      </c>
    </row>
    <row r="123" ht="18.75" customHeight="1">
      <c r="A123" s="26" t="s">
        <v>56</v>
      </c>
      <c r="B123" s="22" t="s">
        <v>1609</v>
      </c>
      <c r="C123" s="37" t="str">
        <f>IF(COUNTIF('クラス'!A:A,E123)&gt;0,"○","×")&amp;IF(COUNTIF('クラス'!A:A,F123)&gt;0,"○","×")</f>
        <v>○×</v>
      </c>
      <c r="D123" s="39" t="b">
        <v>1</v>
      </c>
      <c r="E123" s="39" t="s">
        <v>1609</v>
      </c>
      <c r="G123" s="39">
        <v>2.0</v>
      </c>
      <c r="H123" s="39">
        <v>6.0</v>
      </c>
      <c r="J123" s="39" t="s">
        <v>3510</v>
      </c>
      <c r="R123" s="39"/>
      <c r="S123" s="39" t="s">
        <v>3341</v>
      </c>
      <c r="W123" s="39" t="s">
        <v>3525</v>
      </c>
      <c r="X123" s="39"/>
      <c r="Y123" s="39"/>
      <c r="Z123" s="39" t="b">
        <v>0</v>
      </c>
      <c r="AA123" s="39"/>
      <c r="AB123" s="39"/>
      <c r="AC123" s="39"/>
      <c r="AD123" s="39">
        <v>1.0</v>
      </c>
      <c r="AE123" s="39">
        <v>5.0</v>
      </c>
      <c r="AF123" s="39">
        <v>45.0</v>
      </c>
      <c r="AG123" s="39" t="s">
        <v>3513</v>
      </c>
    </row>
    <row r="124" ht="18.75" customHeight="1">
      <c r="A124" s="26" t="s">
        <v>56</v>
      </c>
      <c r="B124" s="22" t="s">
        <v>1617</v>
      </c>
      <c r="C124" s="37" t="str">
        <f>IF(COUNTIF('クラス'!A:A,E124)&gt;0,"○","×")&amp;IF(COUNTIF('クラス'!A:A,F124)&gt;0,"○","×")</f>
        <v>○×</v>
      </c>
      <c r="D124" s="39" t="b">
        <v>1</v>
      </c>
      <c r="E124" s="39" t="s">
        <v>1617</v>
      </c>
      <c r="G124" s="39">
        <v>3.0</v>
      </c>
      <c r="H124" s="39">
        <v>7.0</v>
      </c>
      <c r="J124" s="39" t="s">
        <v>3510</v>
      </c>
      <c r="R124" s="39" t="s">
        <v>1617</v>
      </c>
      <c r="S124" s="39" t="s">
        <v>3341</v>
      </c>
      <c r="W124" s="39" t="s">
        <v>3526</v>
      </c>
      <c r="X124" s="39" t="s">
        <v>3515</v>
      </c>
      <c r="Y124" s="39">
        <v>1.0</v>
      </c>
      <c r="Z124" s="39" t="b">
        <v>0</v>
      </c>
      <c r="AA124" s="39"/>
      <c r="AB124" s="39"/>
      <c r="AC124" s="39"/>
      <c r="AD124" s="39">
        <v>1.0</v>
      </c>
      <c r="AE124" s="39">
        <v>5.0</v>
      </c>
      <c r="AF124" s="39">
        <v>45.0</v>
      </c>
      <c r="AG124" s="39" t="s">
        <v>3487</v>
      </c>
    </row>
    <row r="125" ht="18.75" customHeight="1">
      <c r="A125" s="26" t="s">
        <v>56</v>
      </c>
      <c r="B125" s="22" t="s">
        <v>1625</v>
      </c>
      <c r="C125" s="37" t="str">
        <f>IF(COUNTIF('クラス'!A:A,E125)&gt;0,"○","×")&amp;IF(COUNTIF('クラス'!A:A,F125)&gt;0,"○","×")</f>
        <v>○×</v>
      </c>
      <c r="D125" s="39" t="b">
        <v>1</v>
      </c>
      <c r="E125" s="39" t="s">
        <v>1625</v>
      </c>
      <c r="G125" s="39">
        <v>1.0</v>
      </c>
      <c r="H125" s="39">
        <v>5.0</v>
      </c>
      <c r="J125" s="39" t="s">
        <v>3510</v>
      </c>
      <c r="R125" s="39" t="s">
        <v>1625</v>
      </c>
      <c r="S125" s="39" t="s">
        <v>3341</v>
      </c>
      <c r="W125" s="39" t="s">
        <v>3527</v>
      </c>
      <c r="X125" s="39" t="s">
        <v>3517</v>
      </c>
      <c r="Y125" s="39">
        <v>7.0</v>
      </c>
      <c r="Z125" s="39" t="b">
        <v>0</v>
      </c>
      <c r="AA125" s="39"/>
      <c r="AB125" s="39"/>
      <c r="AC125" s="39"/>
      <c r="AD125" s="39">
        <v>1.0</v>
      </c>
      <c r="AE125" s="39">
        <v>5.0</v>
      </c>
      <c r="AF125" s="39">
        <v>45.0</v>
      </c>
      <c r="AG125" s="39" t="s">
        <v>3487</v>
      </c>
    </row>
    <row r="126" ht="18.75" customHeight="1">
      <c r="A126" s="26" t="s">
        <v>56</v>
      </c>
      <c r="B126" s="22" t="s">
        <v>1633</v>
      </c>
      <c r="C126" s="37" t="str">
        <f>IF(COUNTIF('クラス'!A:A,E126)&gt;0,"○","×")&amp;IF(COUNTIF('クラス'!A:A,F126)&gt;0,"○","×")</f>
        <v>○×</v>
      </c>
      <c r="D126" s="39" t="b">
        <v>1</v>
      </c>
      <c r="E126" s="39" t="s">
        <v>1633</v>
      </c>
      <c r="G126" s="39">
        <v>1.0</v>
      </c>
      <c r="H126" s="39">
        <v>4.0</v>
      </c>
      <c r="J126" s="39" t="s">
        <v>3510</v>
      </c>
      <c r="R126" s="39" t="s">
        <v>1633</v>
      </c>
      <c r="S126" s="39" t="s">
        <v>3341</v>
      </c>
      <c r="W126" s="39" t="s">
        <v>3528</v>
      </c>
      <c r="X126" s="39" t="s">
        <v>3517</v>
      </c>
      <c r="Y126" s="39">
        <v>1.0</v>
      </c>
      <c r="Z126" s="39" t="b">
        <v>0</v>
      </c>
      <c r="AA126" s="39"/>
      <c r="AB126" s="39"/>
      <c r="AC126" s="39"/>
      <c r="AD126" s="39">
        <v>1.0</v>
      </c>
      <c r="AE126" s="39">
        <v>5.0</v>
      </c>
      <c r="AF126" s="39">
        <v>45.0</v>
      </c>
      <c r="AG126" s="39" t="s">
        <v>3513</v>
      </c>
    </row>
    <row r="127" ht="18.75" customHeight="1">
      <c r="A127" s="26" t="s">
        <v>56</v>
      </c>
      <c r="B127" s="22" t="s">
        <v>1640</v>
      </c>
      <c r="C127" s="37" t="str">
        <f>IF(COUNTIF('クラス'!A:A,E127)&gt;0,"○","×")&amp;IF(COUNTIF('クラス'!A:A,F127)&gt;0,"○","×")</f>
        <v>○×</v>
      </c>
      <c r="D127" s="39" t="b">
        <v>1</v>
      </c>
      <c r="E127" s="39" t="s">
        <v>1640</v>
      </c>
      <c r="G127" s="39">
        <v>2.0</v>
      </c>
      <c r="H127" s="39">
        <v>6.0</v>
      </c>
      <c r="J127" s="39" t="s">
        <v>3510</v>
      </c>
      <c r="R127" s="39" t="s">
        <v>1640</v>
      </c>
      <c r="S127" s="39" t="s">
        <v>3341</v>
      </c>
      <c r="W127" s="39" t="s">
        <v>3529</v>
      </c>
      <c r="X127" s="39" t="s">
        <v>3524</v>
      </c>
      <c r="Y127" s="39">
        <v>1.0</v>
      </c>
      <c r="Z127" s="39" t="b">
        <v>0</v>
      </c>
      <c r="AA127" s="39"/>
      <c r="AB127" s="39"/>
      <c r="AC127" s="39"/>
      <c r="AD127" s="39">
        <v>1.0</v>
      </c>
      <c r="AE127" s="39">
        <v>5.0</v>
      </c>
      <c r="AF127" s="39">
        <v>45.0</v>
      </c>
      <c r="AG127" s="39" t="s">
        <v>3513</v>
      </c>
    </row>
    <row r="128" ht="18.75" customHeight="1">
      <c r="A128" s="26" t="s">
        <v>56</v>
      </c>
      <c r="B128" s="22" t="s">
        <v>1647</v>
      </c>
      <c r="C128" s="37" t="str">
        <f>IF(COUNTIF('クラス'!A:A,E128)&gt;0,"○","×")&amp;IF(COUNTIF('クラス'!A:A,F128)&gt;0,"○","×")</f>
        <v>○×</v>
      </c>
      <c r="D128" s="39" t="b">
        <v>1</v>
      </c>
      <c r="E128" s="39" t="s">
        <v>1647</v>
      </c>
      <c r="G128" s="39">
        <v>3.0</v>
      </c>
      <c r="H128" s="39">
        <v>7.0</v>
      </c>
      <c r="J128" s="39" t="s">
        <v>3510</v>
      </c>
      <c r="R128" s="39" t="s">
        <v>1647</v>
      </c>
      <c r="S128" s="39" t="s">
        <v>3341</v>
      </c>
      <c r="W128" s="39" t="s">
        <v>3530</v>
      </c>
      <c r="X128" s="39" t="s">
        <v>3524</v>
      </c>
      <c r="Y128" s="39">
        <v>7.0</v>
      </c>
      <c r="Z128" s="39" t="b">
        <v>0</v>
      </c>
      <c r="AA128" s="39"/>
      <c r="AB128" s="39"/>
      <c r="AC128" s="39"/>
      <c r="AD128" s="39">
        <v>1.0</v>
      </c>
      <c r="AE128" s="39">
        <v>5.0</v>
      </c>
      <c r="AF128" s="39">
        <v>45.0</v>
      </c>
      <c r="AG128" s="39" t="s">
        <v>3513</v>
      </c>
    </row>
    <row r="129" ht="18.75" customHeight="1">
      <c r="A129" s="26" t="s">
        <v>63</v>
      </c>
      <c r="B129" s="22" t="s">
        <v>1640</v>
      </c>
      <c r="C129" s="37" t="str">
        <f>IF(COUNTIF('クラス'!A:A,E129)&gt;0,"○","×")&amp;IF(COUNTIF('クラス'!A:A,F129)&gt;0,"○","×")</f>
        <v>○×</v>
      </c>
      <c r="D129" s="39" t="b">
        <v>1</v>
      </c>
      <c r="E129" s="39" t="s">
        <v>1640</v>
      </c>
      <c r="G129" s="39">
        <v>2.0</v>
      </c>
      <c r="H129" s="39">
        <v>6.0</v>
      </c>
      <c r="J129" s="39" t="s">
        <v>3510</v>
      </c>
      <c r="R129" s="39" t="s">
        <v>1640</v>
      </c>
      <c r="S129" s="39" t="s">
        <v>3341</v>
      </c>
      <c r="W129" s="39" t="s">
        <v>3531</v>
      </c>
      <c r="X129" s="39" t="s">
        <v>3524</v>
      </c>
      <c r="Y129" s="39">
        <v>1.0</v>
      </c>
      <c r="Z129" s="39" t="b">
        <v>0</v>
      </c>
      <c r="AA129" s="39"/>
      <c r="AB129" s="39"/>
      <c r="AC129" s="39"/>
      <c r="AD129" s="39">
        <v>1.0</v>
      </c>
      <c r="AE129" s="39">
        <v>5.0</v>
      </c>
      <c r="AF129" s="39">
        <v>45.0</v>
      </c>
      <c r="AG129" s="39" t="s">
        <v>3513</v>
      </c>
    </row>
    <row r="130" ht="18.75" customHeight="1">
      <c r="A130" s="26" t="s">
        <v>63</v>
      </c>
      <c r="B130" s="22" t="s">
        <v>1647</v>
      </c>
      <c r="C130" s="37" t="str">
        <f>IF(COUNTIF('クラス'!A:A,E130)&gt;0,"○","×")&amp;IF(COUNTIF('クラス'!A:A,F130)&gt;0,"○","×")</f>
        <v>○×</v>
      </c>
      <c r="D130" s="39" t="b">
        <v>1</v>
      </c>
      <c r="E130" s="39" t="s">
        <v>1647</v>
      </c>
      <c r="G130" s="39">
        <v>3.0</v>
      </c>
      <c r="H130" s="39">
        <v>7.0</v>
      </c>
      <c r="J130" s="39" t="s">
        <v>3510</v>
      </c>
      <c r="R130" s="39" t="s">
        <v>1647</v>
      </c>
      <c r="S130" s="39" t="s">
        <v>3341</v>
      </c>
      <c r="W130" s="39" t="s">
        <v>3532</v>
      </c>
      <c r="X130" s="39" t="s">
        <v>3524</v>
      </c>
      <c r="Y130" s="39">
        <v>7.0</v>
      </c>
      <c r="Z130" s="39" t="b">
        <v>0</v>
      </c>
      <c r="AA130" s="39"/>
      <c r="AB130" s="39"/>
      <c r="AC130" s="39"/>
      <c r="AD130" s="39">
        <v>1.0</v>
      </c>
      <c r="AE130" s="39">
        <v>5.0</v>
      </c>
      <c r="AF130" s="39">
        <v>45.0</v>
      </c>
      <c r="AG130" s="39" t="s">
        <v>3513</v>
      </c>
    </row>
    <row r="131" ht="18.75" customHeight="1">
      <c r="A131" s="26" t="s">
        <v>65</v>
      </c>
      <c r="B131" s="22" t="s">
        <v>1598</v>
      </c>
      <c r="C131" s="37" t="str">
        <f>IF(COUNTIF('クラス'!A:A,E131)&gt;0,"○","×")&amp;IF(COUNTIF('クラス'!A:A,F131)&gt;0,"○","×")</f>
        <v>○×</v>
      </c>
      <c r="D131" s="39" t="b">
        <v>0</v>
      </c>
      <c r="E131" s="39" t="s">
        <v>1598</v>
      </c>
      <c r="G131" s="39">
        <v>2.0</v>
      </c>
      <c r="H131" s="39">
        <v>5.0</v>
      </c>
      <c r="J131" s="39" t="s">
        <v>3510</v>
      </c>
      <c r="R131" s="39" t="s">
        <v>1598</v>
      </c>
      <c r="S131" s="39" t="s">
        <v>3341</v>
      </c>
      <c r="W131" s="39" t="s">
        <v>3533</v>
      </c>
      <c r="X131" s="39" t="s">
        <v>3512</v>
      </c>
      <c r="Y131" s="39">
        <v>1.0</v>
      </c>
      <c r="Z131" s="39" t="b">
        <v>0</v>
      </c>
      <c r="AA131" s="39" t="s">
        <v>3534</v>
      </c>
      <c r="AB131" s="39">
        <v>5.0</v>
      </c>
      <c r="AC131" s="39">
        <v>8.0</v>
      </c>
      <c r="AD131" s="39">
        <v>1.0</v>
      </c>
      <c r="AE131" s="39">
        <v>5.0</v>
      </c>
      <c r="AF131" s="39">
        <v>45.0</v>
      </c>
      <c r="AG131" s="39" t="s">
        <v>3513</v>
      </c>
    </row>
    <row r="132" ht="18.75" customHeight="1">
      <c r="A132" s="26" t="s">
        <v>65</v>
      </c>
      <c r="B132" s="22" t="s">
        <v>1640</v>
      </c>
      <c r="C132" s="37" t="str">
        <f>IF(COUNTIF('クラス'!A:A,E132)&gt;0,"○","×")&amp;IF(COUNTIF('クラス'!A:A,F132)&gt;0,"○","×")</f>
        <v>○×</v>
      </c>
      <c r="D132" s="39" t="b">
        <v>1</v>
      </c>
      <c r="E132" s="39" t="s">
        <v>1640</v>
      </c>
      <c r="G132" s="39">
        <v>2.0</v>
      </c>
      <c r="H132" s="39">
        <v>6.0</v>
      </c>
      <c r="J132" s="39" t="s">
        <v>3510</v>
      </c>
      <c r="R132" s="39" t="s">
        <v>1640</v>
      </c>
      <c r="S132" s="39" t="s">
        <v>3341</v>
      </c>
      <c r="W132" s="39" t="s">
        <v>3535</v>
      </c>
      <c r="X132" s="39" t="s">
        <v>3524</v>
      </c>
      <c r="Y132" s="39">
        <v>1.0</v>
      </c>
      <c r="Z132" s="39" t="b">
        <v>0</v>
      </c>
      <c r="AA132" s="39" t="s">
        <v>3465</v>
      </c>
      <c r="AB132" s="39">
        <v>2.0</v>
      </c>
      <c r="AC132" s="39">
        <v>3.0</v>
      </c>
      <c r="AD132" s="39">
        <v>1.0</v>
      </c>
      <c r="AE132" s="39">
        <v>5.0</v>
      </c>
      <c r="AF132" s="39">
        <v>45.0</v>
      </c>
      <c r="AG132" s="39" t="s">
        <v>3513</v>
      </c>
    </row>
    <row r="133" ht="18.75" customHeight="1">
      <c r="A133" s="26" t="s">
        <v>65</v>
      </c>
      <c r="B133" s="22" t="s">
        <v>1647</v>
      </c>
      <c r="C133" s="37" t="str">
        <f>IF(COUNTIF('クラス'!A:A,E133)&gt;0,"○","×")&amp;IF(COUNTIF('クラス'!A:A,F133)&gt;0,"○","×")</f>
        <v>○×</v>
      </c>
      <c r="D133" s="39" t="b">
        <v>1</v>
      </c>
      <c r="E133" s="39" t="s">
        <v>1647</v>
      </c>
      <c r="G133" s="39">
        <v>3.0</v>
      </c>
      <c r="H133" s="39">
        <v>7.0</v>
      </c>
      <c r="J133" s="39" t="s">
        <v>3510</v>
      </c>
      <c r="R133" s="39" t="s">
        <v>1647</v>
      </c>
      <c r="S133" s="39" t="s">
        <v>3341</v>
      </c>
      <c r="W133" s="39" t="s">
        <v>3536</v>
      </c>
      <c r="X133" s="39" t="s">
        <v>3524</v>
      </c>
      <c r="Y133" s="39">
        <v>7.0</v>
      </c>
      <c r="Z133" s="39" t="b">
        <v>0</v>
      </c>
      <c r="AA133" s="39" t="s">
        <v>3465</v>
      </c>
      <c r="AB133" s="39">
        <v>2.0</v>
      </c>
      <c r="AC133" s="39">
        <v>3.0</v>
      </c>
      <c r="AD133" s="39">
        <v>1.0</v>
      </c>
      <c r="AE133" s="39">
        <v>5.0</v>
      </c>
      <c r="AF133" s="39">
        <v>45.0</v>
      </c>
      <c r="AG133" s="39" t="s">
        <v>3513</v>
      </c>
    </row>
    <row r="134" ht="18.75" customHeight="1">
      <c r="A134" s="26" t="s">
        <v>69</v>
      </c>
      <c r="B134" s="22" t="s">
        <v>1317</v>
      </c>
      <c r="C134" s="37" t="str">
        <f>IF(COUNTIF('クラス'!A:A,E134)&gt;0,"○","×")&amp;IF(COUNTIF('クラス'!A:A,F134)&gt;0,"○","×")</f>
        <v>○×</v>
      </c>
      <c r="D134" s="39" t="b">
        <v>1</v>
      </c>
      <c r="E134" s="39" t="s">
        <v>1317</v>
      </c>
      <c r="G134" s="39">
        <v>5.0</v>
      </c>
      <c r="H134" s="39">
        <v>15.0</v>
      </c>
      <c r="J134" s="39" t="s">
        <v>3537</v>
      </c>
      <c r="R134" s="39" t="s">
        <v>1317</v>
      </c>
      <c r="S134" s="39" t="s">
        <v>3367</v>
      </c>
      <c r="W134" s="39" t="s">
        <v>3538</v>
      </c>
      <c r="X134" s="39" t="s">
        <v>3539</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3537</v>
      </c>
      <c r="R135" s="39" t="s">
        <v>1331</v>
      </c>
      <c r="S135" s="39" t="s">
        <v>3367</v>
      </c>
      <c r="W135" s="39" t="s">
        <v>3540</v>
      </c>
      <c r="X135" s="39" t="s">
        <v>3539</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3537</v>
      </c>
      <c r="R136" s="39" t="s">
        <v>1344</v>
      </c>
      <c r="S136" s="39" t="s">
        <v>3367</v>
      </c>
      <c r="W136" s="39" t="s">
        <v>3541</v>
      </c>
      <c r="X136" s="39" t="s">
        <v>3539</v>
      </c>
      <c r="Y136" s="39">
        <v>6.0</v>
      </c>
      <c r="Z136" s="39" t="b">
        <v>0</v>
      </c>
      <c r="AA136" s="39"/>
      <c r="AB136" s="39"/>
      <c r="AC136" s="39"/>
      <c r="AD136" s="39">
        <v>1.0</v>
      </c>
      <c r="AE136" s="39"/>
      <c r="AF136" s="39"/>
      <c r="AG136" s="39"/>
    </row>
    <row r="137" ht="18.75" customHeight="1">
      <c r="A137" s="26" t="s">
        <v>56</v>
      </c>
      <c r="B137" s="22" t="s">
        <v>3542</v>
      </c>
      <c r="C137" s="39" t="s">
        <v>3543</v>
      </c>
      <c r="E137" s="39" t="s">
        <v>1501</v>
      </c>
      <c r="F137" s="39" t="s">
        <v>1812</v>
      </c>
      <c r="G137" s="39">
        <v>11.0</v>
      </c>
      <c r="H137" s="39">
        <v>14.0</v>
      </c>
      <c r="J137" s="39" t="s">
        <v>3544</v>
      </c>
      <c r="W137" s="39" t="s">
        <v>3545</v>
      </c>
      <c r="AA137" s="37"/>
      <c r="AD137" s="39">
        <v>1.0</v>
      </c>
      <c r="AE137" s="39"/>
      <c r="AF137" s="39"/>
      <c r="AG137" s="39"/>
    </row>
    <row r="138" ht="18.75" customHeight="1">
      <c r="A138" s="26" t="s">
        <v>3245</v>
      </c>
      <c r="B138" s="22" t="s">
        <v>3542</v>
      </c>
      <c r="C138" s="39" t="s">
        <v>3543</v>
      </c>
      <c r="E138" s="39" t="s">
        <v>1501</v>
      </c>
      <c r="F138" s="39" t="s">
        <v>1812</v>
      </c>
      <c r="G138" s="39">
        <v>11.0</v>
      </c>
      <c r="H138" s="39">
        <v>14.0</v>
      </c>
      <c r="J138" s="39" t="s">
        <v>3544</v>
      </c>
      <c r="W138" s="39" t="s">
        <v>3546</v>
      </c>
      <c r="AA138" s="37"/>
      <c r="AD138" s="39">
        <v>1.0</v>
      </c>
      <c r="AE138" s="39"/>
      <c r="AF138" s="39"/>
      <c r="AG138" s="39"/>
    </row>
    <row r="139" ht="18.75" customHeight="1">
      <c r="A139" s="26" t="s">
        <v>66</v>
      </c>
      <c r="B139" s="22" t="s">
        <v>3547</v>
      </c>
      <c r="C139" s="39" t="s">
        <v>3543</v>
      </c>
      <c r="E139" s="39" t="s">
        <v>1501</v>
      </c>
      <c r="F139" s="39" t="s">
        <v>1763</v>
      </c>
      <c r="G139" s="39">
        <v>11.0</v>
      </c>
      <c r="H139" s="39">
        <v>14.0</v>
      </c>
      <c r="J139" s="39" t="s">
        <v>3544</v>
      </c>
      <c r="W139" s="39" t="s">
        <v>3548</v>
      </c>
      <c r="AA139" s="37"/>
      <c r="AD139" s="39">
        <v>1.0</v>
      </c>
      <c r="AE139" s="39">
        <v>-40.0</v>
      </c>
      <c r="AF139" s="39">
        <v>15.0</v>
      </c>
      <c r="AG139" s="39" t="s">
        <v>3498</v>
      </c>
    </row>
    <row r="140" ht="18.75" customHeight="1">
      <c r="A140" s="26" t="s">
        <v>57</v>
      </c>
      <c r="B140" s="22" t="s">
        <v>3547</v>
      </c>
      <c r="C140" s="39" t="s">
        <v>3543</v>
      </c>
      <c r="E140" s="39" t="s">
        <v>1501</v>
      </c>
      <c r="F140" s="39" t="s">
        <v>1763</v>
      </c>
      <c r="G140" s="39">
        <v>11.0</v>
      </c>
      <c r="H140" s="39">
        <v>14.0</v>
      </c>
      <c r="J140" s="39" t="s">
        <v>3544</v>
      </c>
      <c r="W140" s="39" t="s">
        <v>3549</v>
      </c>
      <c r="AA140" s="37"/>
      <c r="AD140" s="39">
        <v>1.0</v>
      </c>
      <c r="AE140" s="39">
        <v>-40.0</v>
      </c>
      <c r="AF140" s="39">
        <v>15.0</v>
      </c>
      <c r="AG140" s="39" t="s">
        <v>3498</v>
      </c>
    </row>
    <row r="141" ht="18.75" customHeight="1">
      <c r="A141" s="26" t="s">
        <v>54</v>
      </c>
      <c r="B141" s="22" t="s">
        <v>3550</v>
      </c>
      <c r="C141" s="39" t="s">
        <v>3543</v>
      </c>
      <c r="E141" s="39" t="s">
        <v>1521</v>
      </c>
      <c r="F141" s="39" t="s">
        <v>1812</v>
      </c>
      <c r="G141" s="39">
        <v>11.0</v>
      </c>
      <c r="H141" s="39">
        <v>14.0</v>
      </c>
      <c r="J141" s="39" t="s">
        <v>3544</v>
      </c>
      <c r="W141" s="39" t="s">
        <v>3551</v>
      </c>
      <c r="AA141" s="37"/>
      <c r="AD141" s="39">
        <v>1.0</v>
      </c>
      <c r="AE141" s="39"/>
      <c r="AF141" s="39"/>
      <c r="AG141" s="39"/>
    </row>
    <row r="142" ht="18.75" customHeight="1">
      <c r="A142" s="26" t="s">
        <v>3245</v>
      </c>
      <c r="B142" s="22" t="s">
        <v>3550</v>
      </c>
      <c r="C142" s="39" t="s">
        <v>3543</v>
      </c>
      <c r="E142" s="39" t="s">
        <v>1521</v>
      </c>
      <c r="F142" s="39" t="s">
        <v>1812</v>
      </c>
      <c r="G142" s="39">
        <v>11.0</v>
      </c>
      <c r="H142" s="39">
        <v>14.0</v>
      </c>
      <c r="J142" s="39" t="s">
        <v>3544</v>
      </c>
      <c r="W142" s="39" t="s">
        <v>3552</v>
      </c>
      <c r="AA142" s="37"/>
      <c r="AD142" s="39">
        <v>1.0</v>
      </c>
      <c r="AE142" s="39"/>
      <c r="AF142" s="39"/>
      <c r="AG142" s="39"/>
    </row>
    <row r="143" ht="18.75" customHeight="1">
      <c r="A143" s="26" t="s">
        <v>58</v>
      </c>
      <c r="B143" s="22" t="s">
        <v>3553</v>
      </c>
      <c r="C143" s="39" t="s">
        <v>3543</v>
      </c>
      <c r="E143" s="39" t="s">
        <v>1507</v>
      </c>
      <c r="F143" s="39" t="s">
        <v>1775</v>
      </c>
      <c r="G143" s="39">
        <v>11.0</v>
      </c>
      <c r="H143" s="39">
        <v>14.0</v>
      </c>
      <c r="J143" s="39" t="s">
        <v>3544</v>
      </c>
      <c r="W143" s="39" t="s">
        <v>3554</v>
      </c>
      <c r="AA143" s="37"/>
      <c r="AD143" s="39">
        <v>1.0</v>
      </c>
      <c r="AE143" s="39"/>
      <c r="AF143" s="39"/>
      <c r="AG143" s="39"/>
    </row>
    <row r="144" ht="18.75" customHeight="1">
      <c r="A144" s="26" t="s">
        <v>57</v>
      </c>
      <c r="B144" s="22" t="s">
        <v>3553</v>
      </c>
      <c r="C144" s="39" t="s">
        <v>3543</v>
      </c>
      <c r="E144" s="39" t="s">
        <v>1507</v>
      </c>
      <c r="F144" s="39" t="s">
        <v>1775</v>
      </c>
      <c r="G144" s="39">
        <v>11.0</v>
      </c>
      <c r="H144" s="39">
        <v>14.0</v>
      </c>
      <c r="J144" s="39" t="s">
        <v>3544</v>
      </c>
      <c r="W144" s="39" t="s">
        <v>3555</v>
      </c>
      <c r="AA144" s="37"/>
      <c r="AD144" s="39">
        <v>1.0</v>
      </c>
      <c r="AE144" s="39"/>
      <c r="AF144" s="39"/>
      <c r="AG144" s="39"/>
    </row>
    <row r="145" ht="18.75" customHeight="1">
      <c r="A145" s="26" t="s">
        <v>54</v>
      </c>
      <c r="B145" s="22" t="s">
        <v>3556</v>
      </c>
      <c r="C145" s="39" t="s">
        <v>3543</v>
      </c>
      <c r="E145" s="39" t="s">
        <v>1507</v>
      </c>
      <c r="F145" s="39" t="s">
        <v>1766</v>
      </c>
      <c r="G145" s="39">
        <v>11.0</v>
      </c>
      <c r="H145" s="39">
        <v>14.0</v>
      </c>
      <c r="J145" s="39" t="s">
        <v>3544</v>
      </c>
      <c r="W145" s="39" t="s">
        <v>3557</v>
      </c>
      <c r="AA145" s="37"/>
      <c r="AD145" s="39">
        <v>1.0</v>
      </c>
      <c r="AE145" s="39"/>
      <c r="AF145" s="39"/>
      <c r="AG145" s="39"/>
    </row>
    <row r="146" ht="18.75" customHeight="1">
      <c r="A146" s="26" t="s">
        <v>58</v>
      </c>
      <c r="B146" s="22" t="s">
        <v>3556</v>
      </c>
      <c r="C146" s="39" t="s">
        <v>3543</v>
      </c>
      <c r="E146" s="39" t="s">
        <v>1507</v>
      </c>
      <c r="F146" s="39" t="s">
        <v>1766</v>
      </c>
      <c r="G146" s="39">
        <v>11.0</v>
      </c>
      <c r="H146" s="39">
        <v>14.0</v>
      </c>
      <c r="J146" s="39" t="s">
        <v>3544</v>
      </c>
      <c r="W146" s="39" t="s">
        <v>3558</v>
      </c>
      <c r="AA146" s="37"/>
      <c r="AD146" s="39">
        <v>1.0</v>
      </c>
      <c r="AE146" s="39"/>
      <c r="AF146" s="39"/>
      <c r="AG146" s="39"/>
    </row>
    <row r="147" ht="18.75" customHeight="1">
      <c r="A147" s="26" t="s">
        <v>57</v>
      </c>
      <c r="B147" s="22" t="s">
        <v>3556</v>
      </c>
      <c r="C147" s="39" t="s">
        <v>3543</v>
      </c>
      <c r="E147" s="39" t="s">
        <v>1507</v>
      </c>
      <c r="F147" s="39" t="s">
        <v>1766</v>
      </c>
      <c r="G147" s="39">
        <v>11.0</v>
      </c>
      <c r="H147" s="39">
        <v>14.0</v>
      </c>
      <c r="J147" s="39" t="s">
        <v>3544</v>
      </c>
      <c r="W147" s="39" t="s">
        <v>3559</v>
      </c>
      <c r="AA147" s="37"/>
      <c r="AD147" s="39">
        <v>1.0</v>
      </c>
      <c r="AE147" s="39"/>
      <c r="AF147" s="39"/>
      <c r="AG147" s="39"/>
    </row>
    <row r="148" ht="18.75" customHeight="1">
      <c r="A148" s="26" t="s">
        <v>63</v>
      </c>
      <c r="B148" s="22" t="s">
        <v>3560</v>
      </c>
      <c r="C148" s="39" t="s">
        <v>3543</v>
      </c>
      <c r="E148" s="39" t="s">
        <v>1504</v>
      </c>
      <c r="F148" s="39" t="s">
        <v>1778</v>
      </c>
      <c r="G148" s="39">
        <v>11.0</v>
      </c>
      <c r="H148" s="39">
        <v>14.0</v>
      </c>
      <c r="J148" s="39" t="s">
        <v>3544</v>
      </c>
      <c r="W148" s="39" t="s">
        <v>3561</v>
      </c>
      <c r="AA148" s="37"/>
      <c r="AD148" s="39">
        <v>1.0</v>
      </c>
      <c r="AE148" s="39">
        <v>0.0</v>
      </c>
      <c r="AF148" s="39">
        <v>45.0</v>
      </c>
      <c r="AG148" s="39" t="s">
        <v>3339</v>
      </c>
    </row>
    <row r="149" ht="18.75" customHeight="1">
      <c r="A149" s="26" t="s">
        <v>59</v>
      </c>
      <c r="B149" s="22" t="s">
        <v>3560</v>
      </c>
      <c r="C149" s="39" t="s">
        <v>3543</v>
      </c>
      <c r="E149" s="39" t="s">
        <v>1504</v>
      </c>
      <c r="F149" s="39" t="s">
        <v>1778</v>
      </c>
      <c r="G149" s="39">
        <v>11.0</v>
      </c>
      <c r="H149" s="39">
        <v>14.0</v>
      </c>
      <c r="J149" s="39" t="s">
        <v>3544</v>
      </c>
      <c r="W149" s="39" t="s">
        <v>3562</v>
      </c>
      <c r="AA149" s="37"/>
      <c r="AD149" s="39">
        <v>1.0</v>
      </c>
      <c r="AE149" s="39">
        <v>0.0</v>
      </c>
      <c r="AF149" s="39">
        <v>45.0</v>
      </c>
      <c r="AG149" s="39" t="s">
        <v>3339</v>
      </c>
    </row>
    <row r="150" ht="18.75" customHeight="1">
      <c r="A150" s="26" t="s">
        <v>56</v>
      </c>
      <c r="B150" s="22" t="s">
        <v>3560</v>
      </c>
      <c r="C150" s="39" t="s">
        <v>3543</v>
      </c>
      <c r="E150" s="39" t="s">
        <v>1504</v>
      </c>
      <c r="F150" s="39" t="s">
        <v>1778</v>
      </c>
      <c r="G150" s="39">
        <v>11.0</v>
      </c>
      <c r="H150" s="39">
        <v>14.0</v>
      </c>
      <c r="J150" s="39" t="s">
        <v>3544</v>
      </c>
      <c r="W150" s="39" t="s">
        <v>3563</v>
      </c>
      <c r="AA150" s="37"/>
      <c r="AD150" s="39">
        <v>1.0</v>
      </c>
      <c r="AE150" s="39">
        <v>0.0</v>
      </c>
      <c r="AF150" s="39">
        <v>45.0</v>
      </c>
      <c r="AG150" s="39" t="s">
        <v>3339</v>
      </c>
    </row>
    <row r="151" ht="18.75" customHeight="1">
      <c r="A151" s="26" t="s">
        <v>59</v>
      </c>
      <c r="B151" s="22" t="s">
        <v>3564</v>
      </c>
      <c r="C151" s="39" t="s">
        <v>3543</v>
      </c>
      <c r="E151" s="39" t="s">
        <v>1504</v>
      </c>
      <c r="F151" s="39" t="s">
        <v>1781</v>
      </c>
      <c r="G151" s="39">
        <v>11.0</v>
      </c>
      <c r="H151" s="39">
        <v>14.0</v>
      </c>
      <c r="J151" s="39" t="s">
        <v>3544</v>
      </c>
      <c r="W151" s="39" t="s">
        <v>3565</v>
      </c>
      <c r="AA151" s="37"/>
      <c r="AD151" s="39">
        <v>1.0</v>
      </c>
      <c r="AE151" s="39">
        <v>0.0</v>
      </c>
      <c r="AF151" s="39">
        <v>45.0</v>
      </c>
      <c r="AG151" s="39" t="s">
        <v>3339</v>
      </c>
    </row>
    <row r="152" ht="18.75" customHeight="1">
      <c r="A152" s="26" t="s">
        <v>60</v>
      </c>
      <c r="B152" s="22" t="s">
        <v>3564</v>
      </c>
      <c r="C152" s="39" t="s">
        <v>3543</v>
      </c>
      <c r="E152" s="39" t="s">
        <v>1504</v>
      </c>
      <c r="F152" s="39" t="s">
        <v>1781</v>
      </c>
      <c r="G152" s="39">
        <v>11.0</v>
      </c>
      <c r="H152" s="39">
        <v>14.0</v>
      </c>
      <c r="J152" s="39" t="s">
        <v>3544</v>
      </c>
      <c r="W152" s="39" t="s">
        <v>3566</v>
      </c>
      <c r="AA152" s="37"/>
      <c r="AD152" s="39">
        <v>1.0</v>
      </c>
      <c r="AE152" s="39">
        <v>0.0</v>
      </c>
      <c r="AF152" s="39">
        <v>45.0</v>
      </c>
      <c r="AG152" s="39" t="s">
        <v>3339</v>
      </c>
    </row>
    <row r="153" ht="18.75" customHeight="1">
      <c r="A153" s="26" t="s">
        <v>61</v>
      </c>
      <c r="B153" s="22" t="s">
        <v>3564</v>
      </c>
      <c r="C153" s="39" t="s">
        <v>3543</v>
      </c>
      <c r="E153" s="39" t="s">
        <v>1504</v>
      </c>
      <c r="F153" s="39" t="s">
        <v>1781</v>
      </c>
      <c r="G153" s="39">
        <v>11.0</v>
      </c>
      <c r="H153" s="39">
        <v>14.0</v>
      </c>
      <c r="J153" s="39" t="s">
        <v>3544</v>
      </c>
      <c r="W153" s="39" t="s">
        <v>3567</v>
      </c>
      <c r="AA153" s="37"/>
      <c r="AD153" s="39">
        <v>1.0</v>
      </c>
      <c r="AE153" s="39">
        <v>0.0</v>
      </c>
      <c r="AF153" s="39">
        <v>45.0</v>
      </c>
      <c r="AG153" s="39" t="s">
        <v>3339</v>
      </c>
    </row>
    <row r="154" ht="18.75" customHeight="1">
      <c r="A154" s="26" t="s">
        <v>59</v>
      </c>
      <c r="B154" s="22" t="s">
        <v>3568</v>
      </c>
      <c r="C154" s="39" t="s">
        <v>3543</v>
      </c>
      <c r="E154" s="39" t="s">
        <v>1516</v>
      </c>
      <c r="F154" s="39" t="s">
        <v>1781</v>
      </c>
      <c r="G154" s="39">
        <v>13.0</v>
      </c>
      <c r="H154" s="39">
        <v>16.0</v>
      </c>
      <c r="J154" s="39" t="s">
        <v>3569</v>
      </c>
      <c r="W154" s="39" t="s">
        <v>3570</v>
      </c>
      <c r="AA154" s="37"/>
      <c r="AD154" s="39">
        <v>1.0</v>
      </c>
      <c r="AE154" s="39">
        <v>0.0</v>
      </c>
      <c r="AF154" s="39">
        <v>45.0</v>
      </c>
      <c r="AG154" s="39" t="s">
        <v>3339</v>
      </c>
    </row>
    <row r="155" ht="18.75" customHeight="1">
      <c r="A155" s="26" t="s">
        <v>60</v>
      </c>
      <c r="B155" s="22" t="s">
        <v>3568</v>
      </c>
      <c r="C155" s="39" t="s">
        <v>3543</v>
      </c>
      <c r="E155" s="39" t="s">
        <v>1516</v>
      </c>
      <c r="F155" s="39" t="s">
        <v>1781</v>
      </c>
      <c r="G155" s="39">
        <v>13.0</v>
      </c>
      <c r="H155" s="39">
        <v>16.0</v>
      </c>
      <c r="J155" s="39" t="s">
        <v>3569</v>
      </c>
      <c r="W155" s="39" t="s">
        <v>3571</v>
      </c>
      <c r="AA155" s="37"/>
      <c r="AD155" s="39">
        <v>1.0</v>
      </c>
      <c r="AE155" s="39">
        <v>0.0</v>
      </c>
      <c r="AF155" s="39">
        <v>45.0</v>
      </c>
      <c r="AG155" s="39" t="s">
        <v>3339</v>
      </c>
    </row>
    <row r="156" ht="18.75" customHeight="1">
      <c r="A156" s="26" t="s">
        <v>63</v>
      </c>
      <c r="B156" s="22" t="s">
        <v>3568</v>
      </c>
      <c r="C156" s="39" t="s">
        <v>3543</v>
      </c>
      <c r="E156" s="39" t="s">
        <v>1516</v>
      </c>
      <c r="F156" s="39" t="s">
        <v>1781</v>
      </c>
      <c r="G156" s="39">
        <v>13.0</v>
      </c>
      <c r="H156" s="39">
        <v>16.0</v>
      </c>
      <c r="J156" s="39" t="s">
        <v>3569</v>
      </c>
      <c r="W156" s="39" t="s">
        <v>3572</v>
      </c>
      <c r="AA156" s="37"/>
      <c r="AD156" s="39">
        <v>1.0</v>
      </c>
      <c r="AE156" s="39">
        <v>0.0</v>
      </c>
      <c r="AF156" s="39">
        <v>45.0</v>
      </c>
      <c r="AG156" s="39" t="s">
        <v>3339</v>
      </c>
    </row>
    <row r="157" ht="18.75" customHeight="1">
      <c r="A157" s="26" t="s">
        <v>3245</v>
      </c>
      <c r="B157" s="22" t="s">
        <v>3573</v>
      </c>
      <c r="C157" s="39" t="s">
        <v>3543</v>
      </c>
      <c r="E157" s="39" t="s">
        <v>1516</v>
      </c>
      <c r="F157" s="39" t="s">
        <v>1788</v>
      </c>
      <c r="G157" s="39">
        <v>13.0</v>
      </c>
      <c r="H157" s="39">
        <v>16.0</v>
      </c>
      <c r="J157" s="39" t="s">
        <v>3569</v>
      </c>
      <c r="W157" s="39" t="s">
        <v>3574</v>
      </c>
      <c r="AA157" s="37"/>
      <c r="AD157" s="39">
        <v>1.0</v>
      </c>
      <c r="AE157" s="39">
        <v>0.0</v>
      </c>
      <c r="AF157" s="39">
        <v>45.0</v>
      </c>
      <c r="AG157" s="39" t="s">
        <v>3339</v>
      </c>
    </row>
    <row r="158" ht="18.75" customHeight="1">
      <c r="A158" s="26" t="s">
        <v>63</v>
      </c>
      <c r="B158" s="22" t="s">
        <v>3573</v>
      </c>
      <c r="C158" s="39" t="s">
        <v>3543</v>
      </c>
      <c r="E158" s="39" t="s">
        <v>1516</v>
      </c>
      <c r="F158" s="39" t="s">
        <v>1788</v>
      </c>
      <c r="G158" s="39">
        <v>13.0</v>
      </c>
      <c r="H158" s="39">
        <v>16.0</v>
      </c>
      <c r="J158" s="39" t="s">
        <v>3569</v>
      </c>
      <c r="W158" s="39" t="s">
        <v>3575</v>
      </c>
      <c r="AA158" s="37"/>
      <c r="AD158" s="39">
        <v>1.0</v>
      </c>
      <c r="AE158" s="39">
        <v>0.0</v>
      </c>
      <c r="AF158" s="39">
        <v>45.0</v>
      </c>
      <c r="AG158" s="39" t="s">
        <v>3339</v>
      </c>
    </row>
    <row r="159" ht="18.75" customHeight="1">
      <c r="A159" s="26" t="s">
        <v>63</v>
      </c>
      <c r="B159" s="22" t="s">
        <v>3576</v>
      </c>
      <c r="C159" s="39" t="s">
        <v>3543</v>
      </c>
      <c r="E159" s="39" t="s">
        <v>1516</v>
      </c>
      <c r="F159" s="39" t="s">
        <v>1778</v>
      </c>
      <c r="G159" s="39">
        <v>13.0</v>
      </c>
      <c r="H159" s="39">
        <v>16.0</v>
      </c>
      <c r="J159" s="39" t="s">
        <v>3569</v>
      </c>
      <c r="W159" s="39" t="s">
        <v>3577</v>
      </c>
      <c r="AA159" s="37"/>
      <c r="AD159" s="39">
        <v>1.0</v>
      </c>
      <c r="AE159" s="39">
        <v>0.0</v>
      </c>
      <c r="AF159" s="39">
        <v>45.0</v>
      </c>
      <c r="AG159" s="39" t="s">
        <v>3339</v>
      </c>
    </row>
    <row r="160" ht="18.75" customHeight="1">
      <c r="A160" s="26" t="s">
        <v>56</v>
      </c>
      <c r="B160" s="22" t="s">
        <v>3578</v>
      </c>
      <c r="C160" s="39" t="s">
        <v>3543</v>
      </c>
      <c r="E160" s="39" t="s">
        <v>1494</v>
      </c>
      <c r="F160" s="39" t="s">
        <v>1775</v>
      </c>
      <c r="G160" s="39">
        <v>13.0</v>
      </c>
      <c r="H160" s="39">
        <v>16.0</v>
      </c>
      <c r="J160" s="39" t="s">
        <v>3569</v>
      </c>
      <c r="W160" s="39" t="s">
        <v>3579</v>
      </c>
      <c r="AA160" s="37"/>
      <c r="AD160" s="39">
        <v>1.0</v>
      </c>
      <c r="AE160" s="39"/>
      <c r="AF160" s="39"/>
      <c r="AG160" s="39"/>
    </row>
    <row r="161" ht="18.75" customHeight="1">
      <c r="A161" s="26" t="s">
        <v>58</v>
      </c>
      <c r="B161" s="22" t="s">
        <v>3578</v>
      </c>
      <c r="C161" s="39" t="s">
        <v>3543</v>
      </c>
      <c r="E161" s="39" t="s">
        <v>1494</v>
      </c>
      <c r="F161" s="39" t="s">
        <v>1775</v>
      </c>
      <c r="G161" s="39">
        <v>13.0</v>
      </c>
      <c r="H161" s="39">
        <v>16.0</v>
      </c>
      <c r="J161" s="39" t="s">
        <v>3569</v>
      </c>
      <c r="W161" s="39" t="s">
        <v>3580</v>
      </c>
      <c r="AA161" s="37"/>
      <c r="AD161" s="39">
        <v>1.0</v>
      </c>
      <c r="AE161" s="39"/>
      <c r="AF161" s="39"/>
      <c r="AG161" s="39"/>
    </row>
    <row r="162" ht="18.75" customHeight="1">
      <c r="A162" s="26" t="s">
        <v>56</v>
      </c>
      <c r="B162" s="22" t="s">
        <v>3581</v>
      </c>
      <c r="C162" s="39" t="s">
        <v>3543</v>
      </c>
      <c r="E162" s="39" t="s">
        <v>1494</v>
      </c>
      <c r="F162" s="39" t="s">
        <v>1788</v>
      </c>
      <c r="G162" s="39">
        <v>13.0</v>
      </c>
      <c r="H162" s="39">
        <v>16.0</v>
      </c>
      <c r="J162" s="39" t="s">
        <v>3569</v>
      </c>
      <c r="W162" s="39" t="s">
        <v>3582</v>
      </c>
      <c r="AA162" s="37"/>
      <c r="AD162" s="39">
        <v>1.0</v>
      </c>
      <c r="AE162" s="39"/>
      <c r="AF162" s="39"/>
      <c r="AG162" s="39"/>
    </row>
    <row r="163" ht="18.75" customHeight="1">
      <c r="A163" s="26" t="s">
        <v>58</v>
      </c>
      <c r="B163" s="22" t="s">
        <v>3581</v>
      </c>
      <c r="C163" s="39" t="s">
        <v>3543</v>
      </c>
      <c r="E163" s="39" t="s">
        <v>1494</v>
      </c>
      <c r="F163" s="39" t="s">
        <v>1788</v>
      </c>
      <c r="G163" s="39">
        <v>13.0</v>
      </c>
      <c r="H163" s="39">
        <v>16.0</v>
      </c>
      <c r="J163" s="39" t="s">
        <v>3569</v>
      </c>
      <c r="W163" s="39" t="s">
        <v>3583</v>
      </c>
      <c r="AA163" s="37"/>
      <c r="AD163" s="39">
        <v>1.0</v>
      </c>
      <c r="AE163" s="39"/>
      <c r="AF163" s="39"/>
      <c r="AG163" s="39"/>
    </row>
    <row r="164" ht="18.75" customHeight="1">
      <c r="A164" s="26" t="s">
        <v>57</v>
      </c>
      <c r="B164" s="22" t="s">
        <v>3581</v>
      </c>
      <c r="C164" s="39" t="s">
        <v>3543</v>
      </c>
      <c r="E164" s="39" t="s">
        <v>1494</v>
      </c>
      <c r="F164" s="39" t="s">
        <v>1788</v>
      </c>
      <c r="G164" s="39">
        <v>13.0</v>
      </c>
      <c r="H164" s="39">
        <v>16.0</v>
      </c>
      <c r="J164" s="39" t="s">
        <v>3569</v>
      </c>
      <c r="W164" s="39" t="s">
        <v>3584</v>
      </c>
      <c r="AA164" s="37"/>
      <c r="AD164" s="39">
        <v>1.0</v>
      </c>
      <c r="AE164" s="39"/>
      <c r="AF164" s="39"/>
      <c r="AG164" s="39"/>
    </row>
    <row r="165" ht="18.75" customHeight="1">
      <c r="A165" s="26" t="s">
        <v>54</v>
      </c>
      <c r="B165" s="22" t="s">
        <v>3585</v>
      </c>
      <c r="C165" s="39" t="s">
        <v>3543</v>
      </c>
      <c r="E165" s="39" t="s">
        <v>1494</v>
      </c>
      <c r="F165" s="39" t="s">
        <v>1797</v>
      </c>
      <c r="G165" s="39">
        <v>13.0</v>
      </c>
      <c r="H165" s="39">
        <v>16.0</v>
      </c>
      <c r="J165" s="39" t="s">
        <v>3569</v>
      </c>
      <c r="W165" s="39" t="s">
        <v>3586</v>
      </c>
      <c r="AA165" s="37"/>
      <c r="AD165" s="39">
        <v>1.0</v>
      </c>
      <c r="AE165" s="39">
        <v>5.0</v>
      </c>
      <c r="AF165" s="39">
        <v>50.0</v>
      </c>
      <c r="AG165" s="39" t="s">
        <v>3487</v>
      </c>
    </row>
    <row r="166" ht="18.75" customHeight="1">
      <c r="A166" s="26" t="s">
        <v>3245</v>
      </c>
      <c r="B166" s="22" t="s">
        <v>3585</v>
      </c>
      <c r="C166" s="39" t="s">
        <v>3543</v>
      </c>
      <c r="E166" s="39" t="s">
        <v>1494</v>
      </c>
      <c r="F166" s="39" t="s">
        <v>1797</v>
      </c>
      <c r="G166" s="39">
        <v>13.0</v>
      </c>
      <c r="H166" s="39">
        <v>16.0</v>
      </c>
      <c r="J166" s="39" t="s">
        <v>3569</v>
      </c>
      <c r="W166" s="39" t="s">
        <v>3587</v>
      </c>
      <c r="AA166" s="37"/>
      <c r="AD166" s="39">
        <v>1.0</v>
      </c>
      <c r="AE166" s="39">
        <v>5.0</v>
      </c>
      <c r="AF166" s="39">
        <v>50.0</v>
      </c>
      <c r="AG166" s="39" t="s">
        <v>3487</v>
      </c>
    </row>
    <row r="167" ht="18.75" customHeight="1">
      <c r="A167" s="26" t="s">
        <v>56</v>
      </c>
      <c r="B167" s="22" t="s">
        <v>3588</v>
      </c>
      <c r="C167" s="39" t="s">
        <v>3543</v>
      </c>
      <c r="E167" s="39" t="s">
        <v>1528</v>
      </c>
      <c r="F167" s="39" t="s">
        <v>1788</v>
      </c>
      <c r="G167" s="39">
        <v>11.0</v>
      </c>
      <c r="H167" s="39">
        <v>14.0</v>
      </c>
      <c r="J167" s="39" t="s">
        <v>3544</v>
      </c>
      <c r="W167" s="39" t="s">
        <v>3589</v>
      </c>
      <c r="AA167" s="37"/>
      <c r="AD167" s="39">
        <v>1.0</v>
      </c>
      <c r="AE167" s="39"/>
      <c r="AF167" s="39"/>
      <c r="AG167" s="39"/>
    </row>
    <row r="168" ht="18.75" customHeight="1">
      <c r="A168" s="26" t="s">
        <v>3245</v>
      </c>
      <c r="B168" s="22" t="s">
        <v>3588</v>
      </c>
      <c r="C168" s="39" t="s">
        <v>3543</v>
      </c>
      <c r="E168" s="39" t="s">
        <v>1528</v>
      </c>
      <c r="F168" s="39" t="s">
        <v>1788</v>
      </c>
      <c r="G168" s="39">
        <v>11.0</v>
      </c>
      <c r="H168" s="39">
        <v>14.0</v>
      </c>
      <c r="J168" s="39" t="s">
        <v>3544</v>
      </c>
      <c r="W168" s="39" t="s">
        <v>3590</v>
      </c>
      <c r="AA168" s="37"/>
      <c r="AD168" s="39">
        <v>1.0</v>
      </c>
      <c r="AE168" s="39"/>
      <c r="AF168" s="39"/>
      <c r="AG168" s="39"/>
    </row>
    <row r="169" ht="18.75" customHeight="1">
      <c r="A169" s="26" t="s">
        <v>58</v>
      </c>
      <c r="B169" s="22" t="s">
        <v>3588</v>
      </c>
      <c r="C169" s="39" t="s">
        <v>3543</v>
      </c>
      <c r="E169" s="39" t="s">
        <v>1528</v>
      </c>
      <c r="F169" s="39" t="s">
        <v>1788</v>
      </c>
      <c r="G169" s="39">
        <v>11.0</v>
      </c>
      <c r="H169" s="39">
        <v>14.0</v>
      </c>
      <c r="J169" s="39" t="s">
        <v>3544</v>
      </c>
      <c r="W169" s="39" t="s">
        <v>3591</v>
      </c>
      <c r="AA169" s="37"/>
      <c r="AD169" s="39">
        <v>1.0</v>
      </c>
      <c r="AE169" s="39"/>
      <c r="AF169" s="39"/>
      <c r="AG169" s="39"/>
    </row>
    <row r="170" ht="18.75" customHeight="1">
      <c r="A170" s="26" t="s">
        <v>56</v>
      </c>
      <c r="B170" s="22" t="s">
        <v>3592</v>
      </c>
      <c r="C170" s="39" t="s">
        <v>3543</v>
      </c>
      <c r="E170" s="39" t="s">
        <v>1528</v>
      </c>
      <c r="F170" s="39" t="s">
        <v>1778</v>
      </c>
      <c r="G170" s="39">
        <v>11.0</v>
      </c>
      <c r="H170" s="39">
        <v>14.0</v>
      </c>
      <c r="J170" s="39" t="s">
        <v>3544</v>
      </c>
      <c r="W170" s="39" t="s">
        <v>3593</v>
      </c>
      <c r="AA170" s="37"/>
      <c r="AD170" s="39">
        <v>1.0</v>
      </c>
      <c r="AE170" s="39"/>
      <c r="AF170" s="39"/>
      <c r="AG170" s="39"/>
    </row>
    <row r="171" ht="18.75" customHeight="1">
      <c r="A171" s="26" t="s">
        <v>63</v>
      </c>
      <c r="B171" s="22" t="s">
        <v>3592</v>
      </c>
      <c r="C171" s="39" t="s">
        <v>3543</v>
      </c>
      <c r="E171" s="39" t="s">
        <v>1528</v>
      </c>
      <c r="F171" s="39" t="s">
        <v>1778</v>
      </c>
      <c r="G171" s="39">
        <v>11.0</v>
      </c>
      <c r="H171" s="39">
        <v>14.0</v>
      </c>
      <c r="J171" s="39" t="s">
        <v>3544</v>
      </c>
      <c r="W171" s="39" t="s">
        <v>3594</v>
      </c>
      <c r="AA171" s="37"/>
      <c r="AD171" s="39">
        <v>1.0</v>
      </c>
      <c r="AE171" s="39"/>
      <c r="AF171" s="39"/>
      <c r="AG171" s="39"/>
    </row>
    <row r="172" ht="18.75" customHeight="1">
      <c r="A172" s="26" t="s">
        <v>3245</v>
      </c>
      <c r="B172" s="22" t="s">
        <v>3595</v>
      </c>
      <c r="C172" s="39" t="s">
        <v>3543</v>
      </c>
      <c r="E172" s="39" t="s">
        <v>1528</v>
      </c>
      <c r="F172" s="39" t="s">
        <v>1760</v>
      </c>
      <c r="G172" s="39">
        <v>11.0</v>
      </c>
      <c r="H172" s="39">
        <v>14.0</v>
      </c>
      <c r="J172" s="39" t="s">
        <v>3544</v>
      </c>
      <c r="W172" s="39" t="s">
        <v>3596</v>
      </c>
      <c r="AA172" s="37"/>
      <c r="AD172" s="39">
        <v>1.0</v>
      </c>
      <c r="AE172" s="39">
        <v>15.0</v>
      </c>
      <c r="AF172" s="39">
        <v>60.0</v>
      </c>
      <c r="AG172" s="39" t="s">
        <v>3487</v>
      </c>
    </row>
    <row r="173" ht="18.75" customHeight="1">
      <c r="A173" s="26" t="s">
        <v>67</v>
      </c>
      <c r="B173" s="22" t="s">
        <v>3595</v>
      </c>
      <c r="C173" s="39" t="s">
        <v>3543</v>
      </c>
      <c r="E173" s="39" t="s">
        <v>1528</v>
      </c>
      <c r="F173" s="39" t="s">
        <v>1760</v>
      </c>
      <c r="G173" s="39">
        <v>11.0</v>
      </c>
      <c r="H173" s="39">
        <v>14.0</v>
      </c>
      <c r="J173" s="39" t="s">
        <v>3544</v>
      </c>
      <c r="W173" s="39" t="s">
        <v>3597</v>
      </c>
      <c r="AA173" s="37"/>
      <c r="AD173" s="39">
        <v>1.0</v>
      </c>
      <c r="AE173" s="39">
        <v>15.0</v>
      </c>
      <c r="AF173" s="39">
        <v>60.0</v>
      </c>
      <c r="AG173" s="39" t="s">
        <v>3487</v>
      </c>
    </row>
    <row r="174" ht="18.75" customHeight="1">
      <c r="A174" s="26" t="s">
        <v>56</v>
      </c>
      <c r="B174" s="22" t="s">
        <v>3598</v>
      </c>
      <c r="C174" s="39" t="s">
        <v>3543</v>
      </c>
      <c r="E174" s="39" t="s">
        <v>1573</v>
      </c>
      <c r="F174" s="39" t="s">
        <v>1760</v>
      </c>
      <c r="G174" s="39">
        <v>11.0</v>
      </c>
      <c r="H174" s="39">
        <v>14.0</v>
      </c>
      <c r="J174" s="39" t="s">
        <v>3544</v>
      </c>
      <c r="W174" s="39" t="s">
        <v>3599</v>
      </c>
      <c r="AA174" s="37"/>
      <c r="AD174" s="39">
        <v>1.0</v>
      </c>
      <c r="AE174" s="39">
        <v>15.0</v>
      </c>
      <c r="AF174" s="39">
        <v>60.0</v>
      </c>
      <c r="AG174" s="39" t="s">
        <v>3487</v>
      </c>
    </row>
    <row r="175" ht="18.75" customHeight="1">
      <c r="A175" s="26" t="s">
        <v>3245</v>
      </c>
      <c r="B175" s="22" t="s">
        <v>3598</v>
      </c>
      <c r="C175" s="39" t="s">
        <v>3543</v>
      </c>
      <c r="E175" s="39" t="s">
        <v>1573</v>
      </c>
      <c r="F175" s="39" t="s">
        <v>1760</v>
      </c>
      <c r="G175" s="39">
        <v>11.0</v>
      </c>
      <c r="H175" s="39">
        <v>14.0</v>
      </c>
      <c r="J175" s="39" t="s">
        <v>3544</v>
      </c>
      <c r="W175" s="39" t="s">
        <v>3600</v>
      </c>
      <c r="AA175" s="37"/>
      <c r="AD175" s="39">
        <v>1.0</v>
      </c>
      <c r="AE175" s="39">
        <v>15.0</v>
      </c>
      <c r="AF175" s="39">
        <v>60.0</v>
      </c>
      <c r="AG175" s="39" t="s">
        <v>3487</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3333</v>
      </c>
      <c r="S178" s="37" t="str">
        <f t="shared" ref="S178:S197" si="2">IFERROR(VLOOKUP(B178,$U:$V,2,FALSE),"")</f>
        <v>鳥系生物の巣</v>
      </c>
      <c r="W178" s="39" t="s">
        <v>3601</v>
      </c>
      <c r="X178" s="39" t="s">
        <v>3336</v>
      </c>
      <c r="Y178" s="39">
        <v>1.0</v>
      </c>
      <c r="AA178" s="39" t="s">
        <v>3463</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3602</v>
      </c>
      <c r="X179" s="39" t="s">
        <v>3336</v>
      </c>
      <c r="Y179" s="39">
        <v>7.0</v>
      </c>
      <c r="AA179" s="39" t="s">
        <v>3463</v>
      </c>
      <c r="AB179" s="39">
        <v>1.0</v>
      </c>
      <c r="AC179" s="39">
        <v>1.0</v>
      </c>
      <c r="AD179" s="39">
        <v>3.0</v>
      </c>
      <c r="AE179" s="39">
        <v>0.0</v>
      </c>
      <c r="AF179" s="39">
        <v>45.0</v>
      </c>
      <c r="AG179" s="39" t="s">
        <v>3339</v>
      </c>
    </row>
    <row r="180" ht="18.75" customHeight="1">
      <c r="A180" s="1" t="s">
        <v>54</v>
      </c>
      <c r="B180" s="11" t="s">
        <v>3347</v>
      </c>
      <c r="C180" s="37" t="str">
        <f>LET(
 _xlpm.dOK,COUNTIF('クラス'!A:A,E180)&gt;0,
 _xlpm.eOK,COUNTIF('クラス'!A:A,F180)&gt;0,
 IF(_xlpm.dOK,"○","×") &amp; IF(_xlpm.eOK,"○","×")
)</f>
        <v>○○</v>
      </c>
      <c r="D180" s="37" t="b">
        <v>1</v>
      </c>
      <c r="E180" s="37" t="s">
        <v>1494</v>
      </c>
      <c r="F180" s="37" t="s">
        <v>1507</v>
      </c>
      <c r="G180" s="39">
        <v>1.0</v>
      </c>
      <c r="H180" s="39">
        <v>10.0</v>
      </c>
      <c r="R180" s="37" t="s">
        <v>3347</v>
      </c>
      <c r="S180" s="37" t="str">
        <f t="shared" si="2"/>
        <v>肉食生物の巣</v>
      </c>
      <c r="W180" s="39" t="s">
        <v>3603</v>
      </c>
      <c r="X180" s="39" t="s">
        <v>3349</v>
      </c>
      <c r="Y180" s="39">
        <v>1.0</v>
      </c>
      <c r="AA180" s="39" t="s">
        <v>3463</v>
      </c>
      <c r="AB180" s="39">
        <v>1.0</v>
      </c>
      <c r="AC180" s="39">
        <v>1.0</v>
      </c>
      <c r="AD180" s="39">
        <v>3.0</v>
      </c>
      <c r="AE180" s="39"/>
      <c r="AF180" s="39"/>
      <c r="AG180" s="39"/>
    </row>
    <row r="181" ht="18.75" customHeight="1">
      <c r="A181" s="1" t="s">
        <v>54</v>
      </c>
      <c r="B181" s="11" t="s">
        <v>3350</v>
      </c>
      <c r="C181" s="37" t="str">
        <f>LET(
 _xlpm.dOK,COUNTIF('クラス'!A:A,E181)&gt;0,
 _xlpm.eOK,COUNTIF('クラス'!A:A,F181)&gt;0,
 IF(_xlpm.dOK,"○","×") &amp; IF(_xlpm.eOK,"○","×")
)</f>
        <v>○○</v>
      </c>
      <c r="E181" s="37" t="s">
        <v>1501</v>
      </c>
      <c r="F181" s="37" t="s">
        <v>1344</v>
      </c>
      <c r="G181" s="39">
        <v>1.0</v>
      </c>
      <c r="H181" s="39">
        <v>10.0</v>
      </c>
      <c r="R181" s="37" t="s">
        <v>3350</v>
      </c>
      <c r="S181" s="37" t="str">
        <f t="shared" si="2"/>
        <v>肉食生物の巣</v>
      </c>
      <c r="W181" s="39" t="s">
        <v>3604</v>
      </c>
      <c r="X181" s="39" t="s">
        <v>3349</v>
      </c>
      <c r="Y181" s="39">
        <v>6.0</v>
      </c>
      <c r="AA181" s="39" t="s">
        <v>3463</v>
      </c>
      <c r="AB181" s="39">
        <v>1.0</v>
      </c>
      <c r="AC181" s="39">
        <v>1.0</v>
      </c>
      <c r="AD181" s="39">
        <v>3.0</v>
      </c>
      <c r="AE181" s="39"/>
      <c r="AF181" s="39"/>
      <c r="AG181" s="39"/>
    </row>
    <row r="182" ht="18.75" customHeight="1">
      <c r="A182" s="1" t="s">
        <v>3245</v>
      </c>
      <c r="B182" s="11" t="s">
        <v>1501</v>
      </c>
      <c r="C182" s="37" t="str">
        <f>LET(
 _xlpm.dOK,COUNTIF('クラス'!A:A,E182)&gt;0,
 _xlpm.eOK,COUNTIF('クラス'!A:A,F182)&gt;0,
 IF(_xlpm.dOK,"○","×") &amp; IF(_xlpm.eOK,"○","×")
)</f>
        <v>○×</v>
      </c>
      <c r="D182" s="37" t="b">
        <v>1</v>
      </c>
      <c r="E182" s="37" t="s">
        <v>1501</v>
      </c>
      <c r="G182" s="39">
        <v>3.0</v>
      </c>
      <c r="H182" s="39">
        <v>7.0</v>
      </c>
      <c r="R182" s="37" t="s">
        <v>3354</v>
      </c>
      <c r="S182" s="37" t="str">
        <f t="shared" si="2"/>
        <v>肉食生物の巣</v>
      </c>
      <c r="W182" s="39" t="s">
        <v>3605</v>
      </c>
      <c r="X182" s="39" t="s">
        <v>3356</v>
      </c>
      <c r="Y182" s="39">
        <v>3.0</v>
      </c>
      <c r="AA182" s="39" t="s">
        <v>3463</v>
      </c>
      <c r="AB182" s="39">
        <v>1.0</v>
      </c>
      <c r="AC182" s="39">
        <v>1.0</v>
      </c>
      <c r="AD182" s="39">
        <v>3.0</v>
      </c>
      <c r="AE182" s="39"/>
      <c r="AF182" s="39"/>
      <c r="AG182" s="39"/>
    </row>
    <row r="183" ht="18.75" customHeight="1">
      <c r="A183" s="1" t="s">
        <v>3245</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3606</v>
      </c>
      <c r="X183" s="39" t="s">
        <v>3336</v>
      </c>
      <c r="Y183" s="39">
        <v>7.0</v>
      </c>
      <c r="AA183" s="39" t="s">
        <v>3463</v>
      </c>
      <c r="AB183" s="39">
        <v>1.0</v>
      </c>
      <c r="AC183" s="39">
        <v>1.0</v>
      </c>
      <c r="AD183" s="39">
        <v>3.0</v>
      </c>
      <c r="AE183" s="39">
        <v>0.0</v>
      </c>
      <c r="AF183" s="39">
        <v>45.0</v>
      </c>
      <c r="AG183" s="39" t="s">
        <v>3339</v>
      </c>
    </row>
    <row r="184" ht="18.75" customHeight="1">
      <c r="A184" s="1" t="s">
        <v>3245</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3607</v>
      </c>
      <c r="X184" s="39" t="s">
        <v>3359</v>
      </c>
      <c r="Y184" s="39">
        <v>1.0</v>
      </c>
      <c r="AA184" s="39" t="s">
        <v>3463</v>
      </c>
      <c r="AB184" s="39">
        <v>1.0</v>
      </c>
      <c r="AC184" s="39">
        <v>1.0</v>
      </c>
      <c r="AD184" s="39">
        <v>3.0</v>
      </c>
      <c r="AE184" s="39">
        <v>0.0</v>
      </c>
      <c r="AF184" s="39">
        <v>45.0</v>
      </c>
      <c r="AG184" s="39" t="s">
        <v>3339</v>
      </c>
    </row>
    <row r="185" ht="18.75" customHeight="1">
      <c r="A185" s="1" t="s">
        <v>3245</v>
      </c>
      <c r="B185" s="11" t="s">
        <v>3360</v>
      </c>
      <c r="C185" s="37" t="str">
        <f>LET(
 _xlpm.dOK,COUNTIF('クラス'!A:A,E185)&gt;0,
 _xlpm.eOK,COUNTIF('クラス'!A:A,F185)&gt;0,
 IF(_xlpm.dOK,"○","×") &amp; IF(_xlpm.eOK,"○","×")
)</f>
        <v>○×</v>
      </c>
      <c r="E185" s="37" t="s">
        <v>1504</v>
      </c>
      <c r="G185" s="39">
        <v>5.0</v>
      </c>
      <c r="H185" s="39">
        <v>10.0</v>
      </c>
      <c r="S185" s="37" t="str">
        <f t="shared" si="2"/>
        <v>地中生物の巣</v>
      </c>
      <c r="W185" s="39" t="s">
        <v>3608</v>
      </c>
      <c r="X185" s="39" t="s">
        <v>3362</v>
      </c>
      <c r="Y185" s="39">
        <v>2.0</v>
      </c>
      <c r="AA185" s="39" t="s">
        <v>3463</v>
      </c>
      <c r="AB185" s="39">
        <v>1.0</v>
      </c>
      <c r="AC185" s="39">
        <v>1.0</v>
      </c>
      <c r="AD185" s="39">
        <v>3.0</v>
      </c>
      <c r="AE185" s="39">
        <v>0.0</v>
      </c>
      <c r="AF185" s="39">
        <v>45.0</v>
      </c>
      <c r="AG185" s="39" t="s">
        <v>3339</v>
      </c>
    </row>
    <row r="186" ht="18.75" customHeight="1">
      <c r="A186" s="1" t="s">
        <v>3245</v>
      </c>
      <c r="B186" s="11" t="s">
        <v>3347</v>
      </c>
      <c r="C186" s="37" t="str">
        <f>LET(
 _xlpm.dOK,COUNTIF('クラス'!A:A,E186)&gt;0,
 _xlpm.eOK,COUNTIF('クラス'!A:A,F186)&gt;0,
 IF(_xlpm.dOK,"○","×") &amp; IF(_xlpm.eOK,"○","×")
)</f>
        <v>○○</v>
      </c>
      <c r="D186" s="37" t="b">
        <v>1</v>
      </c>
      <c r="E186" s="37" t="s">
        <v>1494</v>
      </c>
      <c r="F186" s="37" t="s">
        <v>1507</v>
      </c>
      <c r="G186" s="39">
        <v>1.0</v>
      </c>
      <c r="H186" s="39">
        <v>10.0</v>
      </c>
      <c r="R186" s="37" t="s">
        <v>3347</v>
      </c>
      <c r="S186" s="37" t="str">
        <f t="shared" si="2"/>
        <v>肉食生物の巣</v>
      </c>
      <c r="W186" s="39" t="s">
        <v>3609</v>
      </c>
      <c r="X186" s="39" t="s">
        <v>3349</v>
      </c>
      <c r="Y186" s="39">
        <v>1.0</v>
      </c>
      <c r="AA186" s="39" t="s">
        <v>3463</v>
      </c>
      <c r="AB186" s="39">
        <v>1.0</v>
      </c>
      <c r="AC186" s="39">
        <v>1.0</v>
      </c>
      <c r="AD186" s="39">
        <v>3.0</v>
      </c>
      <c r="AE186" s="39"/>
      <c r="AF186" s="39"/>
      <c r="AG186" s="39"/>
    </row>
    <row r="187" ht="18.75" customHeight="1">
      <c r="A187" s="1" t="s">
        <v>3245</v>
      </c>
      <c r="B187" s="11" t="s">
        <v>3350</v>
      </c>
      <c r="C187" s="37" t="str">
        <f>LET(
 _xlpm.dOK,COUNTIF('クラス'!A:A,E187)&gt;0,
 _xlpm.eOK,COUNTIF('クラス'!A:A,F187)&gt;0,
 IF(_xlpm.dOK,"○","×") &amp; IF(_xlpm.eOK,"○","×")
)</f>
        <v>○○</v>
      </c>
      <c r="E187" s="37" t="s">
        <v>1501</v>
      </c>
      <c r="F187" s="37" t="s">
        <v>1344</v>
      </c>
      <c r="G187" s="39">
        <v>1.0</v>
      </c>
      <c r="H187" s="39">
        <v>10.0</v>
      </c>
      <c r="R187" s="37" t="s">
        <v>3350</v>
      </c>
      <c r="S187" s="37" t="str">
        <f t="shared" si="2"/>
        <v>肉食生物の巣</v>
      </c>
      <c r="W187" s="39" t="s">
        <v>3610</v>
      </c>
      <c r="X187" s="39" t="s">
        <v>3349</v>
      </c>
      <c r="Y187" s="39">
        <v>6.0</v>
      </c>
      <c r="AA187" s="39" t="s">
        <v>3463</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3611</v>
      </c>
      <c r="X188" s="39" t="s">
        <v>3359</v>
      </c>
      <c r="Y188" s="39">
        <v>7.0</v>
      </c>
      <c r="AA188" s="39" t="s">
        <v>3463</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3354</v>
      </c>
      <c r="S189" s="37" t="str">
        <f t="shared" si="2"/>
        <v>肉食生物の巣</v>
      </c>
      <c r="W189" s="39" t="s">
        <v>3612</v>
      </c>
      <c r="X189" s="39" t="s">
        <v>3356</v>
      </c>
      <c r="Y189" s="39">
        <v>3.0</v>
      </c>
      <c r="AA189" s="39" t="s">
        <v>3463</v>
      </c>
      <c r="AB189" s="39">
        <v>1.0</v>
      </c>
      <c r="AC189" s="39">
        <v>1.0</v>
      </c>
      <c r="AD189" s="39">
        <v>3.0</v>
      </c>
      <c r="AE189" s="39"/>
      <c r="AF189" s="39"/>
      <c r="AG189" s="39"/>
    </row>
    <row r="190" ht="18.75" customHeight="1">
      <c r="A190" s="1" t="s">
        <v>58</v>
      </c>
      <c r="B190" s="11" t="s">
        <v>3419</v>
      </c>
      <c r="C190" s="37" t="str">
        <f>LET(
 _xlpm.dOK,COUNTIF('クラス'!A:A,E190)&gt;0,
 _xlpm.eOK,COUNTIF('クラス'!A:A,F190)&gt;0,
 IF(_xlpm.dOK,"○","×") &amp; IF(_xlpm.eOK,"○","×")
)</f>
        <v>○○</v>
      </c>
      <c r="D190" s="37" t="b">
        <v>1</v>
      </c>
      <c r="E190" s="37" t="s">
        <v>1494</v>
      </c>
      <c r="F190" s="37" t="s">
        <v>1507</v>
      </c>
      <c r="G190" s="39">
        <v>1.0</v>
      </c>
      <c r="H190" s="39">
        <v>10.0</v>
      </c>
      <c r="R190" s="37" t="s">
        <v>3419</v>
      </c>
      <c r="S190" s="37" t="str">
        <f t="shared" si="2"/>
        <v>鳥系生物の巣</v>
      </c>
      <c r="W190" s="39" t="s">
        <v>3613</v>
      </c>
      <c r="X190" s="39" t="s">
        <v>3349</v>
      </c>
      <c r="Y190" s="39">
        <v>3.0</v>
      </c>
      <c r="AA190" s="39" t="s">
        <v>3463</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3421</v>
      </c>
      <c r="R191" s="37" t="s">
        <v>1507</v>
      </c>
      <c r="S191" s="37" t="str">
        <f t="shared" si="2"/>
        <v>鳥系生物の巣</v>
      </c>
      <c r="W191" s="39" t="s">
        <v>3614</v>
      </c>
      <c r="X191" s="39" t="s">
        <v>3336</v>
      </c>
      <c r="Y191" s="39">
        <v>1.0</v>
      </c>
      <c r="AA191" s="39" t="s">
        <v>3463</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3424</v>
      </c>
      <c r="S192" s="37" t="str">
        <f t="shared" si="2"/>
        <v>土の輪</v>
      </c>
      <c r="W192" s="39" t="s">
        <v>3615</v>
      </c>
      <c r="X192" s="39" t="s">
        <v>3426</v>
      </c>
      <c r="Y192" s="39">
        <v>1.0</v>
      </c>
      <c r="Z192" s="39" t="b">
        <v>1</v>
      </c>
      <c r="AA192" s="39" t="s">
        <v>3463</v>
      </c>
      <c r="AB192" s="39">
        <v>1.0</v>
      </c>
      <c r="AC192" s="39">
        <v>1.0</v>
      </c>
      <c r="AD192" s="39">
        <v>3.0</v>
      </c>
      <c r="AE192" s="39"/>
      <c r="AF192" s="39"/>
      <c r="AG192" s="39"/>
    </row>
    <row r="193" ht="18.75" customHeight="1">
      <c r="A193" s="1" t="s">
        <v>58</v>
      </c>
      <c r="B193" s="11" t="s">
        <v>3422</v>
      </c>
      <c r="C193" s="37" t="str">
        <f>LET(
 _xlpm.dOK,COUNTIF('クラス'!A:A,E193)&gt;0,
 _xlpm.eOK,COUNTIF('クラス'!A:A,F193)&gt;0,
 IF(_xlpm.dOK,"○","×") &amp; IF(_xlpm.eOK,"○","×")
)</f>
        <v>○○</v>
      </c>
      <c r="E193" s="37" t="s">
        <v>1494</v>
      </c>
      <c r="F193" s="37" t="s">
        <v>1504</v>
      </c>
      <c r="G193" s="39">
        <v>1.0</v>
      </c>
      <c r="H193" s="39">
        <v>10.0</v>
      </c>
      <c r="R193" s="37" t="s">
        <v>3422</v>
      </c>
      <c r="S193" s="37" t="str">
        <f t="shared" si="2"/>
        <v>肉食生物の巣</v>
      </c>
      <c r="W193" s="39" t="s">
        <v>3616</v>
      </c>
      <c r="X193" s="39" t="s">
        <v>3349</v>
      </c>
      <c r="Y193" s="39">
        <v>2.0</v>
      </c>
      <c r="AA193" s="39" t="s">
        <v>3463</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3617</v>
      </c>
      <c r="X194" s="39" t="s">
        <v>3473</v>
      </c>
      <c r="Y194" s="39">
        <v>9.0</v>
      </c>
      <c r="Z194" s="39" t="b">
        <v>1</v>
      </c>
      <c r="AA194" s="39" t="s">
        <v>3463</v>
      </c>
      <c r="AB194" s="39">
        <v>1.0</v>
      </c>
      <c r="AC194" s="39">
        <v>1.0</v>
      </c>
      <c r="AD194" s="39">
        <v>3.0</v>
      </c>
      <c r="AE194" s="39"/>
      <c r="AF194" s="39"/>
      <c r="AG194" s="39"/>
    </row>
    <row r="195" ht="18.75" customHeight="1">
      <c r="A195" s="1" t="s">
        <v>59</v>
      </c>
      <c r="B195" s="11" t="s">
        <v>3469</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3618</v>
      </c>
      <c r="X195" s="39" t="s">
        <v>3336</v>
      </c>
      <c r="Y195" s="39">
        <v>8.0</v>
      </c>
      <c r="AA195" s="39" t="s">
        <v>3463</v>
      </c>
      <c r="AB195" s="39">
        <v>1.0</v>
      </c>
      <c r="AC195" s="39">
        <v>1.0</v>
      </c>
      <c r="AD195" s="39">
        <v>3.0</v>
      </c>
      <c r="AE195" s="39">
        <v>0.0</v>
      </c>
      <c r="AF195" s="39">
        <v>45.0</v>
      </c>
      <c r="AG195" s="39" t="s">
        <v>3339</v>
      </c>
    </row>
    <row r="196" ht="18.75" customHeight="1">
      <c r="A196" s="1" t="s">
        <v>61</v>
      </c>
      <c r="B196" s="11" t="s">
        <v>3471</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3619</v>
      </c>
      <c r="X196" s="39" t="s">
        <v>29</v>
      </c>
      <c r="Y196" s="39" t="s">
        <v>29</v>
      </c>
      <c r="AA196" s="39" t="s">
        <v>3463</v>
      </c>
      <c r="AB196" s="39">
        <v>1.0</v>
      </c>
      <c r="AC196" s="39">
        <v>1.0</v>
      </c>
      <c r="AD196" s="39">
        <v>3.0</v>
      </c>
      <c r="AE196" s="39">
        <v>0.0</v>
      </c>
      <c r="AF196" s="39">
        <v>45.0</v>
      </c>
      <c r="AG196" s="39" t="s">
        <v>3339</v>
      </c>
    </row>
    <row r="197" ht="18.75" customHeight="1">
      <c r="A197" s="1" t="s">
        <v>68</v>
      </c>
      <c r="B197" s="11" t="s">
        <v>3477</v>
      </c>
      <c r="C197" s="37" t="str">
        <f>LET(
 _xlpm.dOK,COUNTIF('クラス'!A:A,E197)&gt;0,
 _xlpm.eOK,COUNTIF('クラス'!A:A,F197)&gt;0,
 IF(_xlpm.dOK,"○","×") &amp; IF(_xlpm.eOK,"○","×")
)</f>
        <v>○×</v>
      </c>
      <c r="D197" s="11"/>
      <c r="E197" s="11" t="s">
        <v>1477</v>
      </c>
      <c r="G197" s="39">
        <v>1.0</v>
      </c>
      <c r="H197" s="39">
        <v>10.0</v>
      </c>
      <c r="R197" s="37" t="s">
        <v>3484</v>
      </c>
      <c r="S197" s="37" t="str">
        <f t="shared" si="2"/>
        <v>炎の輪</v>
      </c>
      <c r="W197" s="39" t="s">
        <v>3620</v>
      </c>
      <c r="X197" s="39" t="s">
        <v>3486</v>
      </c>
      <c r="Y197" s="39">
        <v>1.0</v>
      </c>
      <c r="Z197" s="39" t="b">
        <v>1</v>
      </c>
      <c r="AA197" s="39" t="s">
        <v>3463</v>
      </c>
      <c r="AB197" s="39">
        <v>1.0</v>
      </c>
      <c r="AC197" s="39">
        <v>1.0</v>
      </c>
      <c r="AD197" s="39">
        <v>3.0</v>
      </c>
      <c r="AE197" s="39">
        <v>15.0</v>
      </c>
      <c r="AF197" s="39">
        <v>60.0</v>
      </c>
      <c r="AG197" s="39" t="s">
        <v>3487</v>
      </c>
    </row>
    <row r="198" ht="18.75" customHeight="1">
      <c r="A198" s="26" t="s">
        <v>54</v>
      </c>
      <c r="B198" s="22" t="s">
        <v>1521</v>
      </c>
      <c r="C198" s="37" t="str">
        <f>IF(COUNTIF('クラス'!A:A,E198)&gt;0,"○","×")&amp;IF(COUNTIF('クラス'!A:A,F198)&gt;0,"○","×")</f>
        <v>○×</v>
      </c>
      <c r="D198" s="39" t="b">
        <v>0</v>
      </c>
      <c r="E198" s="39" t="s">
        <v>1521</v>
      </c>
      <c r="G198" s="39">
        <v>2.0</v>
      </c>
      <c r="H198" s="39">
        <v>5.0</v>
      </c>
      <c r="J198" s="39" t="s">
        <v>3499</v>
      </c>
      <c r="R198" s="39" t="s">
        <v>1521</v>
      </c>
      <c r="S198" s="39" t="s">
        <v>3500</v>
      </c>
      <c r="W198" s="39" t="s">
        <v>3621</v>
      </c>
      <c r="X198" s="39" t="s">
        <v>3502</v>
      </c>
      <c r="Y198" s="39">
        <v>7.0</v>
      </c>
      <c r="Z198" s="39" t="b">
        <v>0</v>
      </c>
      <c r="AA198" s="39" t="s">
        <v>3463</v>
      </c>
      <c r="AB198" s="39">
        <v>1.0</v>
      </c>
      <c r="AC198" s="39">
        <v>1.0</v>
      </c>
      <c r="AD198" s="39">
        <v>3.0</v>
      </c>
      <c r="AE198" s="39"/>
      <c r="AF198" s="39"/>
      <c r="AG198" s="39"/>
    </row>
    <row r="199" ht="18.75" customHeight="1">
      <c r="A199" s="26" t="s">
        <v>3245</v>
      </c>
      <c r="B199" s="22" t="s">
        <v>1521</v>
      </c>
      <c r="C199" s="37" t="str">
        <f>IF(COUNTIF('クラス'!A:A,E199)&gt;0,"○","×")&amp;IF(COUNTIF('クラス'!A:A,F199)&gt;0,"○","×")</f>
        <v>○×</v>
      </c>
      <c r="D199" s="39" t="b">
        <v>0</v>
      </c>
      <c r="E199" s="39" t="s">
        <v>1521</v>
      </c>
      <c r="G199" s="39">
        <v>2.0</v>
      </c>
      <c r="H199" s="39">
        <v>5.0</v>
      </c>
      <c r="J199" s="39" t="s">
        <v>3499</v>
      </c>
      <c r="R199" s="39" t="s">
        <v>1521</v>
      </c>
      <c r="S199" s="39" t="s">
        <v>3500</v>
      </c>
      <c r="W199" s="39" t="s">
        <v>3622</v>
      </c>
      <c r="X199" s="39" t="s">
        <v>3502</v>
      </c>
      <c r="Y199" s="39">
        <v>7.0</v>
      </c>
      <c r="Z199" s="39" t="b">
        <v>0</v>
      </c>
      <c r="AA199" s="39" t="s">
        <v>3463</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3499</v>
      </c>
      <c r="R200" s="39" t="s">
        <v>1528</v>
      </c>
      <c r="S200" s="39" t="s">
        <v>3337</v>
      </c>
      <c r="W200" s="39" t="s">
        <v>3623</v>
      </c>
      <c r="X200" s="39" t="s">
        <v>3505</v>
      </c>
      <c r="Y200" s="39">
        <v>7.0</v>
      </c>
      <c r="Z200" s="39" t="b">
        <v>0</v>
      </c>
      <c r="AA200" s="39" t="s">
        <v>3463</v>
      </c>
      <c r="AB200" s="39">
        <v>1.0</v>
      </c>
      <c r="AC200" s="39">
        <v>1.0</v>
      </c>
      <c r="AD200" s="39">
        <v>3.0</v>
      </c>
      <c r="AE200" s="39"/>
      <c r="AF200" s="39"/>
      <c r="AG200" s="39"/>
    </row>
    <row r="201" ht="18.75" customHeight="1">
      <c r="A201" s="26" t="s">
        <v>3245</v>
      </c>
      <c r="B201" s="22" t="s">
        <v>1528</v>
      </c>
      <c r="C201" s="37" t="str">
        <f>IF(COUNTIF('クラス'!A:A,E201)&gt;0,"○","×")&amp;IF(COUNTIF('クラス'!A:A,F201)&gt;0,"○","×")</f>
        <v>○×</v>
      </c>
      <c r="D201" s="39" t="b">
        <v>0</v>
      </c>
      <c r="E201" s="39" t="s">
        <v>1528</v>
      </c>
      <c r="G201" s="39">
        <v>3.0</v>
      </c>
      <c r="H201" s="39">
        <v>7.0</v>
      </c>
      <c r="J201" s="39" t="s">
        <v>3499</v>
      </c>
      <c r="R201" s="39" t="s">
        <v>1528</v>
      </c>
      <c r="S201" s="39" t="s">
        <v>3337</v>
      </c>
      <c r="W201" s="39" t="s">
        <v>3624</v>
      </c>
      <c r="X201" s="39" t="s">
        <v>3505</v>
      </c>
      <c r="Y201" s="39">
        <v>7.0</v>
      </c>
      <c r="Z201" s="39" t="b">
        <v>0</v>
      </c>
      <c r="AA201" s="39" t="s">
        <v>3463</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3499</v>
      </c>
      <c r="R202" s="39" t="s">
        <v>1528</v>
      </c>
      <c r="S202" s="39" t="s">
        <v>3337</v>
      </c>
      <c r="W202" s="39" t="s">
        <v>3625</v>
      </c>
      <c r="X202" s="39" t="s">
        <v>3505</v>
      </c>
      <c r="Y202" s="39">
        <v>7.0</v>
      </c>
      <c r="Z202" s="39" t="b">
        <v>0</v>
      </c>
      <c r="AA202" s="39" t="s">
        <v>3463</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3510</v>
      </c>
      <c r="R203" s="39" t="s">
        <v>1598</v>
      </c>
      <c r="S203" s="39" t="s">
        <v>3341</v>
      </c>
      <c r="W203" s="39" t="s">
        <v>3626</v>
      </c>
      <c r="X203" s="39" t="s">
        <v>3512</v>
      </c>
      <c r="Y203" s="39">
        <v>1.0</v>
      </c>
      <c r="Z203" s="39" t="b">
        <v>0</v>
      </c>
      <c r="AA203" s="39" t="s">
        <v>3463</v>
      </c>
      <c r="AB203" s="39">
        <v>1.0</v>
      </c>
      <c r="AC203" s="39">
        <v>1.0</v>
      </c>
      <c r="AD203" s="39">
        <v>3.0</v>
      </c>
      <c r="AE203" s="39">
        <v>5.0</v>
      </c>
      <c r="AF203" s="39">
        <v>45.0</v>
      </c>
      <c r="AG203" s="39" t="s">
        <v>3513</v>
      </c>
    </row>
    <row r="204" ht="18.75" customHeight="1">
      <c r="A204" s="26" t="s">
        <v>54</v>
      </c>
      <c r="B204" s="22" t="s">
        <v>1617</v>
      </c>
      <c r="C204" s="37" t="str">
        <f>IF(COUNTIF('クラス'!A:A,E204)&gt;0,"○","×")&amp;IF(COUNTIF('クラス'!A:A,F204)&gt;0,"○","×")</f>
        <v>○×</v>
      </c>
      <c r="D204" s="39" t="b">
        <v>1</v>
      </c>
      <c r="E204" s="39" t="s">
        <v>1617</v>
      </c>
      <c r="G204" s="39">
        <v>3.0</v>
      </c>
      <c r="H204" s="39">
        <v>7.0</v>
      </c>
      <c r="J204" s="39" t="s">
        <v>3510</v>
      </c>
      <c r="R204" s="39" t="s">
        <v>1617</v>
      </c>
      <c r="S204" s="39" t="s">
        <v>3341</v>
      </c>
      <c r="W204" s="39" t="s">
        <v>3627</v>
      </c>
      <c r="X204" s="39" t="s">
        <v>3515</v>
      </c>
      <c r="Y204" s="39">
        <v>1.0</v>
      </c>
      <c r="Z204" s="39" t="b">
        <v>0</v>
      </c>
      <c r="AA204" s="39" t="s">
        <v>3463</v>
      </c>
      <c r="AB204" s="39">
        <v>1.0</v>
      </c>
      <c r="AC204" s="39">
        <v>1.0</v>
      </c>
      <c r="AD204" s="39">
        <v>3.0</v>
      </c>
      <c r="AE204" s="39">
        <v>5.0</v>
      </c>
      <c r="AF204" s="39">
        <v>45.0</v>
      </c>
      <c r="AG204" s="39" t="s">
        <v>3487</v>
      </c>
    </row>
    <row r="205" ht="18.75" customHeight="1">
      <c r="A205" s="26" t="s">
        <v>54</v>
      </c>
      <c r="B205" s="22" t="s">
        <v>1625</v>
      </c>
      <c r="C205" s="37" t="str">
        <f>IF(COUNTIF('クラス'!A:A,E205)&gt;0,"○","×")&amp;IF(COUNTIF('クラス'!A:A,F205)&gt;0,"○","×")</f>
        <v>○×</v>
      </c>
      <c r="D205" s="39" t="b">
        <v>1</v>
      </c>
      <c r="E205" s="39" t="s">
        <v>1625</v>
      </c>
      <c r="G205" s="39">
        <v>1.0</v>
      </c>
      <c r="H205" s="39">
        <v>5.0</v>
      </c>
      <c r="J205" s="39" t="s">
        <v>3510</v>
      </c>
      <c r="R205" s="39" t="s">
        <v>1625</v>
      </c>
      <c r="S205" s="39" t="s">
        <v>3341</v>
      </c>
      <c r="W205" s="39" t="s">
        <v>3628</v>
      </c>
      <c r="X205" s="39" t="s">
        <v>3517</v>
      </c>
      <c r="Y205" s="39">
        <v>7.0</v>
      </c>
      <c r="Z205" s="39" t="b">
        <v>0</v>
      </c>
      <c r="AA205" s="39" t="s">
        <v>3463</v>
      </c>
      <c r="AB205" s="39">
        <v>1.0</v>
      </c>
      <c r="AC205" s="39">
        <v>1.0</v>
      </c>
      <c r="AD205" s="39">
        <v>3.0</v>
      </c>
      <c r="AE205" s="39">
        <v>5.0</v>
      </c>
      <c r="AF205" s="39">
        <v>45.0</v>
      </c>
      <c r="AG205" s="39" t="s">
        <v>3487</v>
      </c>
    </row>
    <row r="206" ht="18.75" customHeight="1">
      <c r="A206" s="26" t="s">
        <v>54</v>
      </c>
      <c r="B206" s="22" t="s">
        <v>1633</v>
      </c>
      <c r="C206" s="37" t="str">
        <f>IF(COUNTIF('クラス'!A:A,E206)&gt;0,"○","×")&amp;IF(COUNTIF('クラス'!A:A,F206)&gt;0,"○","×")</f>
        <v>○×</v>
      </c>
      <c r="D206" s="39" t="b">
        <v>1</v>
      </c>
      <c r="E206" s="39" t="s">
        <v>1633</v>
      </c>
      <c r="G206" s="39">
        <v>1.0</v>
      </c>
      <c r="H206" s="39">
        <v>4.0</v>
      </c>
      <c r="J206" s="39" t="s">
        <v>3510</v>
      </c>
      <c r="R206" s="39" t="s">
        <v>1633</v>
      </c>
      <c r="S206" s="39" t="s">
        <v>3341</v>
      </c>
      <c r="W206" s="39" t="s">
        <v>3629</v>
      </c>
      <c r="X206" s="39" t="s">
        <v>3517</v>
      </c>
      <c r="Y206" s="39">
        <v>1.0</v>
      </c>
      <c r="Z206" s="39" t="b">
        <v>0</v>
      </c>
      <c r="AA206" s="39" t="s">
        <v>3463</v>
      </c>
      <c r="AB206" s="39">
        <v>1.0</v>
      </c>
      <c r="AC206" s="39">
        <v>1.0</v>
      </c>
      <c r="AD206" s="39">
        <v>3.0</v>
      </c>
      <c r="AE206" s="39">
        <v>5.0</v>
      </c>
      <c r="AF206" s="39">
        <v>45.0</v>
      </c>
      <c r="AG206" s="39" t="s">
        <v>3513</v>
      </c>
    </row>
    <row r="207" ht="18.75" customHeight="1">
      <c r="A207" s="26" t="s">
        <v>3245</v>
      </c>
      <c r="B207" s="22" t="s">
        <v>1598</v>
      </c>
      <c r="C207" s="37" t="str">
        <f>IF(COUNTIF('クラス'!A:A,E207)&gt;0,"○","×")&amp;IF(COUNTIF('クラス'!A:A,F207)&gt;0,"○","×")</f>
        <v>○×</v>
      </c>
      <c r="D207" s="39" t="b">
        <v>0</v>
      </c>
      <c r="E207" s="39" t="s">
        <v>1598</v>
      </c>
      <c r="G207" s="39">
        <v>2.0</v>
      </c>
      <c r="H207" s="39">
        <v>5.0</v>
      </c>
      <c r="J207" s="39" t="s">
        <v>3510</v>
      </c>
      <c r="R207" s="39" t="s">
        <v>1598</v>
      </c>
      <c r="S207" s="39" t="s">
        <v>3341</v>
      </c>
      <c r="W207" s="39" t="s">
        <v>3630</v>
      </c>
      <c r="X207" s="39" t="s">
        <v>3512</v>
      </c>
      <c r="Y207" s="39">
        <v>1.0</v>
      </c>
      <c r="Z207" s="39" t="b">
        <v>0</v>
      </c>
      <c r="AA207" s="39" t="s">
        <v>3463</v>
      </c>
      <c r="AB207" s="39">
        <v>1.0</v>
      </c>
      <c r="AC207" s="39">
        <v>1.0</v>
      </c>
      <c r="AD207" s="39">
        <v>3.0</v>
      </c>
      <c r="AE207" s="39">
        <v>5.0</v>
      </c>
      <c r="AF207" s="39">
        <v>45.0</v>
      </c>
      <c r="AG207" s="39" t="s">
        <v>3513</v>
      </c>
    </row>
    <row r="208" ht="18.75" customHeight="1">
      <c r="A208" s="26" t="s">
        <v>3245</v>
      </c>
      <c r="B208" s="22" t="s">
        <v>1633</v>
      </c>
      <c r="C208" s="37" t="str">
        <f>IF(COUNTIF('クラス'!A:A,E208)&gt;0,"○","×")&amp;IF(COUNTIF('クラス'!A:A,F208)&gt;0,"○","×")</f>
        <v>○×</v>
      </c>
      <c r="D208" s="39" t="b">
        <v>1</v>
      </c>
      <c r="E208" s="39" t="s">
        <v>1633</v>
      </c>
      <c r="G208" s="39">
        <v>1.0</v>
      </c>
      <c r="H208" s="39">
        <v>4.0</v>
      </c>
      <c r="J208" s="39" t="s">
        <v>3510</v>
      </c>
      <c r="R208" s="39" t="s">
        <v>1633</v>
      </c>
      <c r="S208" s="39" t="s">
        <v>3341</v>
      </c>
      <c r="W208" s="39" t="s">
        <v>3631</v>
      </c>
      <c r="X208" s="39" t="s">
        <v>3517</v>
      </c>
      <c r="Y208" s="39">
        <v>1.0</v>
      </c>
      <c r="Z208" s="39" t="b">
        <v>0</v>
      </c>
      <c r="AA208" s="39" t="s">
        <v>3463</v>
      </c>
      <c r="AB208" s="39">
        <v>1.0</v>
      </c>
      <c r="AC208" s="39">
        <v>1.0</v>
      </c>
      <c r="AD208" s="39">
        <v>3.0</v>
      </c>
      <c r="AE208" s="39">
        <v>5.0</v>
      </c>
      <c r="AF208" s="39">
        <v>45.0</v>
      </c>
      <c r="AG208" s="39" t="s">
        <v>3513</v>
      </c>
    </row>
    <row r="209" ht="18.75" customHeight="1">
      <c r="A209" s="26" t="s">
        <v>3245</v>
      </c>
      <c r="B209" s="22" t="s">
        <v>1656</v>
      </c>
      <c r="C209" s="37" t="str">
        <f>IF(COUNTIF('クラス'!A:A,E209)&gt;0,"○","×")&amp;IF(COUNTIF('クラス'!A:A,F209)&gt;0,"○","×")</f>
        <v>○×</v>
      </c>
      <c r="D209" s="39" t="b">
        <v>1</v>
      </c>
      <c r="E209" s="39" t="s">
        <v>1656</v>
      </c>
      <c r="G209" s="39">
        <v>3.0</v>
      </c>
      <c r="H209" s="39">
        <v>8.0</v>
      </c>
      <c r="J209" s="39" t="s">
        <v>3510</v>
      </c>
      <c r="R209" s="39" t="s">
        <v>1656</v>
      </c>
      <c r="S209" s="39" t="s">
        <v>3341</v>
      </c>
      <c r="W209" s="39" t="s">
        <v>3632</v>
      </c>
      <c r="X209" s="39" t="s">
        <v>3343</v>
      </c>
      <c r="Y209" s="39">
        <v>7.0</v>
      </c>
      <c r="Z209" s="39" t="b">
        <v>0</v>
      </c>
      <c r="AA209" s="39" t="s">
        <v>3463</v>
      </c>
      <c r="AB209" s="39">
        <v>1.0</v>
      </c>
      <c r="AC209" s="39">
        <v>1.0</v>
      </c>
      <c r="AD209" s="39">
        <v>3.0</v>
      </c>
      <c r="AE209" s="39">
        <v>5.0</v>
      </c>
      <c r="AF209" s="39">
        <v>45.0</v>
      </c>
      <c r="AG209" s="39" t="s">
        <v>3513</v>
      </c>
    </row>
    <row r="210" ht="18.75" customHeight="1">
      <c r="A210" s="26" t="s">
        <v>62</v>
      </c>
      <c r="B210" s="22" t="s">
        <v>1656</v>
      </c>
      <c r="C210" s="37" t="str">
        <f>IF(COUNTIF('クラス'!A:A,E210)&gt;0,"○","×")&amp;IF(COUNTIF('クラス'!A:A,F210)&gt;0,"○","×")</f>
        <v>○×</v>
      </c>
      <c r="D210" s="39" t="b">
        <v>1</v>
      </c>
      <c r="E210" s="39" t="s">
        <v>1656</v>
      </c>
      <c r="G210" s="39">
        <v>3.0</v>
      </c>
      <c r="H210" s="39">
        <v>8.0</v>
      </c>
      <c r="J210" s="39" t="s">
        <v>3510</v>
      </c>
      <c r="R210" s="39" t="s">
        <v>1656</v>
      </c>
      <c r="S210" s="39" t="s">
        <v>3341</v>
      </c>
      <c r="W210" s="39" t="s">
        <v>3633</v>
      </c>
      <c r="X210" s="39" t="s">
        <v>3343</v>
      </c>
      <c r="Y210" s="39">
        <v>7.0</v>
      </c>
      <c r="Z210" s="39" t="b">
        <v>0</v>
      </c>
      <c r="AA210" s="39" t="s">
        <v>3463</v>
      </c>
      <c r="AB210" s="39">
        <v>1.0</v>
      </c>
      <c r="AC210" s="39">
        <v>1.0</v>
      </c>
      <c r="AD210" s="39">
        <v>3.0</v>
      </c>
      <c r="AE210" s="39">
        <v>5.0</v>
      </c>
      <c r="AF210" s="39">
        <v>45.0</v>
      </c>
      <c r="AG210" s="39" t="s">
        <v>3513</v>
      </c>
    </row>
    <row r="211" ht="18.75" customHeight="1">
      <c r="A211" s="26" t="s">
        <v>62</v>
      </c>
      <c r="B211" s="22" t="s">
        <v>1647</v>
      </c>
      <c r="C211" s="37" t="str">
        <f>IF(COUNTIF('クラス'!A:A,E211)&gt;0,"○","×")&amp;IF(COUNTIF('クラス'!A:A,F211)&gt;0,"○","×")</f>
        <v>○×</v>
      </c>
      <c r="D211" s="39" t="b">
        <v>1</v>
      </c>
      <c r="E211" s="39" t="s">
        <v>1647</v>
      </c>
      <c r="G211" s="39">
        <v>3.0</v>
      </c>
      <c r="H211" s="39">
        <v>7.0</v>
      </c>
      <c r="J211" s="39" t="s">
        <v>3510</v>
      </c>
      <c r="R211" s="39" t="s">
        <v>1647</v>
      </c>
      <c r="S211" s="39" t="s">
        <v>3341</v>
      </c>
      <c r="W211" s="39" t="s">
        <v>3634</v>
      </c>
      <c r="X211" s="39" t="s">
        <v>3524</v>
      </c>
      <c r="Y211" s="39">
        <v>7.0</v>
      </c>
      <c r="Z211" s="39" t="b">
        <v>0</v>
      </c>
      <c r="AA211" s="39" t="s">
        <v>3463</v>
      </c>
      <c r="AB211" s="39">
        <v>1.0</v>
      </c>
      <c r="AC211" s="39">
        <v>1.0</v>
      </c>
      <c r="AD211" s="39">
        <v>3.0</v>
      </c>
      <c r="AE211" s="39">
        <v>5.0</v>
      </c>
      <c r="AF211" s="39">
        <v>45.0</v>
      </c>
      <c r="AG211" s="39" t="s">
        <v>3513</v>
      </c>
    </row>
    <row r="212" ht="18.75" customHeight="1">
      <c r="A212" s="26" t="s">
        <v>56</v>
      </c>
      <c r="B212" s="22" t="s">
        <v>1609</v>
      </c>
      <c r="C212" s="37" t="str">
        <f>IF(COUNTIF('クラス'!A:A,E212)&gt;0,"○","×")&amp;IF(COUNTIF('クラス'!A:A,F212)&gt;0,"○","×")</f>
        <v>○×</v>
      </c>
      <c r="D212" s="39" t="b">
        <v>1</v>
      </c>
      <c r="E212" s="39" t="s">
        <v>1609</v>
      </c>
      <c r="G212" s="39">
        <v>2.0</v>
      </c>
      <c r="H212" s="39">
        <v>6.0</v>
      </c>
      <c r="J212" s="39" t="s">
        <v>3510</v>
      </c>
      <c r="R212" s="39"/>
      <c r="S212" s="39" t="s">
        <v>3341</v>
      </c>
      <c r="W212" s="39" t="s">
        <v>3635</v>
      </c>
      <c r="X212" s="39"/>
      <c r="Y212" s="39"/>
      <c r="Z212" s="39" t="b">
        <v>0</v>
      </c>
      <c r="AA212" s="39" t="s">
        <v>3463</v>
      </c>
      <c r="AB212" s="39">
        <v>1.0</v>
      </c>
      <c r="AC212" s="39">
        <v>1.0</v>
      </c>
      <c r="AD212" s="39">
        <v>3.0</v>
      </c>
      <c r="AE212" s="39">
        <v>5.0</v>
      </c>
      <c r="AF212" s="39">
        <v>45.0</v>
      </c>
      <c r="AG212" s="39" t="s">
        <v>3513</v>
      </c>
    </row>
    <row r="213" ht="18.75" customHeight="1">
      <c r="A213" s="26" t="s">
        <v>56</v>
      </c>
      <c r="B213" s="22" t="s">
        <v>1617</v>
      </c>
      <c r="C213" s="37" t="str">
        <f>IF(COUNTIF('クラス'!A:A,E213)&gt;0,"○","×")&amp;IF(COUNTIF('クラス'!A:A,F213)&gt;0,"○","×")</f>
        <v>○×</v>
      </c>
      <c r="D213" s="39" t="b">
        <v>1</v>
      </c>
      <c r="E213" s="39" t="s">
        <v>1617</v>
      </c>
      <c r="G213" s="39">
        <v>3.0</v>
      </c>
      <c r="H213" s="39">
        <v>7.0</v>
      </c>
      <c r="J213" s="39" t="s">
        <v>3510</v>
      </c>
      <c r="R213" s="39" t="s">
        <v>1617</v>
      </c>
      <c r="S213" s="39" t="s">
        <v>3341</v>
      </c>
      <c r="W213" s="39" t="s">
        <v>3636</v>
      </c>
      <c r="X213" s="39" t="s">
        <v>3515</v>
      </c>
      <c r="Y213" s="39">
        <v>1.0</v>
      </c>
      <c r="Z213" s="39" t="b">
        <v>0</v>
      </c>
      <c r="AA213" s="39" t="s">
        <v>3463</v>
      </c>
      <c r="AB213" s="39">
        <v>1.0</v>
      </c>
      <c r="AC213" s="39">
        <v>1.0</v>
      </c>
      <c r="AD213" s="39">
        <v>3.0</v>
      </c>
      <c r="AE213" s="39">
        <v>5.0</v>
      </c>
      <c r="AF213" s="39">
        <v>45.0</v>
      </c>
      <c r="AG213" s="39" t="s">
        <v>3487</v>
      </c>
    </row>
    <row r="214" ht="18.75" customHeight="1">
      <c r="A214" s="26" t="s">
        <v>56</v>
      </c>
      <c r="B214" s="22" t="s">
        <v>1625</v>
      </c>
      <c r="C214" s="37" t="str">
        <f>IF(COUNTIF('クラス'!A:A,E214)&gt;0,"○","×")&amp;IF(COUNTIF('クラス'!A:A,F214)&gt;0,"○","×")</f>
        <v>○×</v>
      </c>
      <c r="D214" s="39" t="b">
        <v>1</v>
      </c>
      <c r="E214" s="39" t="s">
        <v>1625</v>
      </c>
      <c r="G214" s="39">
        <v>1.0</v>
      </c>
      <c r="H214" s="39">
        <v>5.0</v>
      </c>
      <c r="J214" s="39" t="s">
        <v>3510</v>
      </c>
      <c r="R214" s="39" t="s">
        <v>1625</v>
      </c>
      <c r="S214" s="39" t="s">
        <v>3341</v>
      </c>
      <c r="W214" s="39" t="s">
        <v>3637</v>
      </c>
      <c r="X214" s="39" t="s">
        <v>3517</v>
      </c>
      <c r="Y214" s="39">
        <v>7.0</v>
      </c>
      <c r="Z214" s="39" t="b">
        <v>0</v>
      </c>
      <c r="AA214" s="39" t="s">
        <v>3463</v>
      </c>
      <c r="AB214" s="39">
        <v>1.0</v>
      </c>
      <c r="AC214" s="39">
        <v>1.0</v>
      </c>
      <c r="AD214" s="39">
        <v>3.0</v>
      </c>
      <c r="AE214" s="39">
        <v>5.0</v>
      </c>
      <c r="AF214" s="39">
        <v>45.0</v>
      </c>
      <c r="AG214" s="39" t="s">
        <v>3487</v>
      </c>
    </row>
    <row r="215" ht="18.75" customHeight="1">
      <c r="A215" s="26" t="s">
        <v>56</v>
      </c>
      <c r="B215" s="22" t="s">
        <v>1633</v>
      </c>
      <c r="C215" s="37" t="str">
        <f>IF(COUNTIF('クラス'!A:A,E215)&gt;0,"○","×")&amp;IF(COUNTIF('クラス'!A:A,F215)&gt;0,"○","×")</f>
        <v>○×</v>
      </c>
      <c r="D215" s="39" t="b">
        <v>1</v>
      </c>
      <c r="E215" s="39" t="s">
        <v>1633</v>
      </c>
      <c r="G215" s="39">
        <v>1.0</v>
      </c>
      <c r="H215" s="39">
        <v>4.0</v>
      </c>
      <c r="J215" s="39" t="s">
        <v>3510</v>
      </c>
      <c r="R215" s="39" t="s">
        <v>1633</v>
      </c>
      <c r="S215" s="39" t="s">
        <v>3341</v>
      </c>
      <c r="W215" s="39" t="s">
        <v>3638</v>
      </c>
      <c r="X215" s="39" t="s">
        <v>3517</v>
      </c>
      <c r="Y215" s="39">
        <v>1.0</v>
      </c>
      <c r="Z215" s="39" t="b">
        <v>0</v>
      </c>
      <c r="AA215" s="39" t="s">
        <v>3463</v>
      </c>
      <c r="AB215" s="39">
        <v>1.0</v>
      </c>
      <c r="AC215" s="39">
        <v>1.0</v>
      </c>
      <c r="AD215" s="39">
        <v>3.0</v>
      </c>
      <c r="AE215" s="39">
        <v>5.0</v>
      </c>
      <c r="AF215" s="39">
        <v>45.0</v>
      </c>
      <c r="AG215" s="39" t="s">
        <v>3513</v>
      </c>
    </row>
    <row r="216" ht="18.75" customHeight="1">
      <c r="A216" s="26" t="s">
        <v>56</v>
      </c>
      <c r="B216" s="22" t="s">
        <v>1640</v>
      </c>
      <c r="C216" s="37" t="str">
        <f>IF(COUNTIF('クラス'!A:A,E216)&gt;0,"○","×")&amp;IF(COUNTIF('クラス'!A:A,F216)&gt;0,"○","×")</f>
        <v>○×</v>
      </c>
      <c r="D216" s="39" t="b">
        <v>1</v>
      </c>
      <c r="E216" s="39" t="s">
        <v>1640</v>
      </c>
      <c r="G216" s="39">
        <v>2.0</v>
      </c>
      <c r="H216" s="39">
        <v>6.0</v>
      </c>
      <c r="J216" s="39" t="s">
        <v>3510</v>
      </c>
      <c r="R216" s="39" t="s">
        <v>1640</v>
      </c>
      <c r="S216" s="39" t="s">
        <v>3341</v>
      </c>
      <c r="W216" s="39" t="s">
        <v>3639</v>
      </c>
      <c r="X216" s="39" t="s">
        <v>3524</v>
      </c>
      <c r="Y216" s="39">
        <v>1.0</v>
      </c>
      <c r="Z216" s="39" t="b">
        <v>0</v>
      </c>
      <c r="AA216" s="39" t="s">
        <v>3463</v>
      </c>
      <c r="AB216" s="39">
        <v>1.0</v>
      </c>
      <c r="AC216" s="39">
        <v>1.0</v>
      </c>
      <c r="AD216" s="39">
        <v>3.0</v>
      </c>
      <c r="AE216" s="39">
        <v>5.0</v>
      </c>
      <c r="AF216" s="39">
        <v>45.0</v>
      </c>
      <c r="AG216" s="39" t="s">
        <v>3513</v>
      </c>
    </row>
    <row r="217" ht="18.75" customHeight="1">
      <c r="A217" s="26" t="s">
        <v>56</v>
      </c>
      <c r="B217" s="22" t="s">
        <v>1647</v>
      </c>
      <c r="C217" s="37" t="str">
        <f>IF(COUNTIF('クラス'!A:A,E217)&gt;0,"○","×")&amp;IF(COUNTIF('クラス'!A:A,F217)&gt;0,"○","×")</f>
        <v>○×</v>
      </c>
      <c r="D217" s="39" t="b">
        <v>1</v>
      </c>
      <c r="E217" s="39" t="s">
        <v>1647</v>
      </c>
      <c r="G217" s="39">
        <v>3.0</v>
      </c>
      <c r="H217" s="39">
        <v>7.0</v>
      </c>
      <c r="J217" s="39" t="s">
        <v>3510</v>
      </c>
      <c r="R217" s="39" t="s">
        <v>1647</v>
      </c>
      <c r="S217" s="39" t="s">
        <v>3341</v>
      </c>
      <c r="W217" s="39" t="s">
        <v>3640</v>
      </c>
      <c r="X217" s="39" t="s">
        <v>3524</v>
      </c>
      <c r="Y217" s="39">
        <v>7.0</v>
      </c>
      <c r="Z217" s="39" t="b">
        <v>0</v>
      </c>
      <c r="AA217" s="39" t="s">
        <v>3463</v>
      </c>
      <c r="AB217" s="39">
        <v>1.0</v>
      </c>
      <c r="AC217" s="39">
        <v>1.0</v>
      </c>
      <c r="AD217" s="39">
        <v>3.0</v>
      </c>
      <c r="AE217" s="39">
        <v>5.0</v>
      </c>
      <c r="AF217" s="39">
        <v>45.0</v>
      </c>
      <c r="AG217" s="39" t="s">
        <v>3513</v>
      </c>
    </row>
    <row r="218" ht="18.75" customHeight="1">
      <c r="A218" s="26" t="s">
        <v>63</v>
      </c>
      <c r="B218" s="22" t="s">
        <v>1640</v>
      </c>
      <c r="C218" s="37" t="str">
        <f>IF(COUNTIF('クラス'!A:A,E218)&gt;0,"○","×")&amp;IF(COUNTIF('クラス'!A:A,F218)&gt;0,"○","×")</f>
        <v>○×</v>
      </c>
      <c r="D218" s="39" t="b">
        <v>1</v>
      </c>
      <c r="E218" s="39" t="s">
        <v>1640</v>
      </c>
      <c r="G218" s="39">
        <v>2.0</v>
      </c>
      <c r="H218" s="39">
        <v>6.0</v>
      </c>
      <c r="J218" s="39" t="s">
        <v>3510</v>
      </c>
      <c r="R218" s="39" t="s">
        <v>1640</v>
      </c>
      <c r="S218" s="39" t="s">
        <v>3341</v>
      </c>
      <c r="W218" s="39" t="s">
        <v>3641</v>
      </c>
      <c r="X218" s="39" t="s">
        <v>3524</v>
      </c>
      <c r="Y218" s="39">
        <v>1.0</v>
      </c>
      <c r="Z218" s="39" t="b">
        <v>0</v>
      </c>
      <c r="AA218" s="39" t="s">
        <v>3463</v>
      </c>
      <c r="AB218" s="39">
        <v>1.0</v>
      </c>
      <c r="AC218" s="39">
        <v>1.0</v>
      </c>
      <c r="AD218" s="39">
        <v>3.0</v>
      </c>
      <c r="AE218" s="39">
        <v>5.0</v>
      </c>
      <c r="AF218" s="39">
        <v>45.0</v>
      </c>
      <c r="AG218" s="39" t="s">
        <v>3513</v>
      </c>
    </row>
    <row r="219" ht="18.75" customHeight="1">
      <c r="A219" s="26" t="s">
        <v>63</v>
      </c>
      <c r="B219" s="22" t="s">
        <v>1647</v>
      </c>
      <c r="C219" s="37" t="str">
        <f>IF(COUNTIF('クラス'!A:A,E219)&gt;0,"○","×")&amp;IF(COUNTIF('クラス'!A:A,F219)&gt;0,"○","×")</f>
        <v>○×</v>
      </c>
      <c r="D219" s="39" t="b">
        <v>1</v>
      </c>
      <c r="E219" s="39" t="s">
        <v>1647</v>
      </c>
      <c r="G219" s="39">
        <v>3.0</v>
      </c>
      <c r="H219" s="39">
        <v>7.0</v>
      </c>
      <c r="J219" s="39" t="s">
        <v>3510</v>
      </c>
      <c r="R219" s="39" t="s">
        <v>1647</v>
      </c>
      <c r="S219" s="39" t="s">
        <v>3341</v>
      </c>
      <c r="W219" s="39" t="s">
        <v>3642</v>
      </c>
      <c r="X219" s="39" t="s">
        <v>3524</v>
      </c>
      <c r="Y219" s="39">
        <v>7.0</v>
      </c>
      <c r="Z219" s="39" t="b">
        <v>0</v>
      </c>
      <c r="AA219" s="39" t="s">
        <v>3463</v>
      </c>
      <c r="AB219" s="39">
        <v>1.0</v>
      </c>
      <c r="AC219" s="39">
        <v>1.0</v>
      </c>
      <c r="AD219" s="39">
        <v>3.0</v>
      </c>
      <c r="AE219" s="39">
        <v>5.0</v>
      </c>
      <c r="AF219" s="39">
        <v>45.0</v>
      </c>
      <c r="AG219" s="39" t="s">
        <v>3513</v>
      </c>
    </row>
    <row r="220" ht="18.75" customHeight="1">
      <c r="A220" s="26" t="s">
        <v>65</v>
      </c>
      <c r="B220" s="22" t="s">
        <v>1598</v>
      </c>
      <c r="C220" s="37" t="str">
        <f>IF(COUNTIF('クラス'!A:A,E220)&gt;0,"○","×")&amp;IF(COUNTIF('クラス'!A:A,F220)&gt;0,"○","×")</f>
        <v>○×</v>
      </c>
      <c r="D220" s="39" t="b">
        <v>0</v>
      </c>
      <c r="E220" s="39" t="s">
        <v>1598</v>
      </c>
      <c r="G220" s="39">
        <v>2.0</v>
      </c>
      <c r="H220" s="39">
        <v>5.0</v>
      </c>
      <c r="J220" s="39" t="s">
        <v>3510</v>
      </c>
      <c r="R220" s="39" t="s">
        <v>1598</v>
      </c>
      <c r="S220" s="39" t="s">
        <v>3341</v>
      </c>
      <c r="W220" s="39" t="s">
        <v>3643</v>
      </c>
      <c r="X220" s="39" t="s">
        <v>3512</v>
      </c>
      <c r="Y220" s="39">
        <v>1.0</v>
      </c>
      <c r="Z220" s="39" t="b">
        <v>0</v>
      </c>
      <c r="AA220" s="39" t="s">
        <v>3463</v>
      </c>
      <c r="AB220" s="39">
        <v>1.0</v>
      </c>
      <c r="AC220" s="39">
        <v>1.0</v>
      </c>
      <c r="AD220" s="39">
        <v>3.0</v>
      </c>
      <c r="AE220" s="39">
        <v>5.0</v>
      </c>
      <c r="AF220" s="39">
        <v>45.0</v>
      </c>
      <c r="AG220" s="39" t="s">
        <v>3513</v>
      </c>
    </row>
    <row r="221" ht="18.75" customHeight="1">
      <c r="A221" s="26" t="s">
        <v>65</v>
      </c>
      <c r="B221" s="22" t="s">
        <v>1640</v>
      </c>
      <c r="C221" s="37" t="str">
        <f>IF(COUNTIF('クラス'!A:A,E221)&gt;0,"○","×")&amp;IF(COUNTIF('クラス'!A:A,F221)&gt;0,"○","×")</f>
        <v>○×</v>
      </c>
      <c r="D221" s="39" t="b">
        <v>1</v>
      </c>
      <c r="E221" s="39" t="s">
        <v>1640</v>
      </c>
      <c r="G221" s="39">
        <v>2.0</v>
      </c>
      <c r="H221" s="39">
        <v>6.0</v>
      </c>
      <c r="J221" s="39" t="s">
        <v>3510</v>
      </c>
      <c r="R221" s="39" t="s">
        <v>1640</v>
      </c>
      <c r="S221" s="39" t="s">
        <v>3341</v>
      </c>
      <c r="W221" s="39" t="s">
        <v>3644</v>
      </c>
      <c r="X221" s="39" t="s">
        <v>3524</v>
      </c>
      <c r="Y221" s="39">
        <v>1.0</v>
      </c>
      <c r="Z221" s="39" t="b">
        <v>0</v>
      </c>
      <c r="AA221" s="39" t="s">
        <v>3463</v>
      </c>
      <c r="AB221" s="39">
        <v>1.0</v>
      </c>
      <c r="AC221" s="39">
        <v>1.0</v>
      </c>
      <c r="AD221" s="39">
        <v>3.0</v>
      </c>
      <c r="AE221" s="39">
        <v>5.0</v>
      </c>
      <c r="AF221" s="39">
        <v>45.0</v>
      </c>
      <c r="AG221" s="39" t="s">
        <v>3513</v>
      </c>
    </row>
    <row r="222" ht="18.75" customHeight="1">
      <c r="A222" s="26" t="s">
        <v>65</v>
      </c>
      <c r="B222" s="22" t="s">
        <v>1647</v>
      </c>
      <c r="C222" s="37" t="str">
        <f>IF(COUNTIF('クラス'!A:A,E222)&gt;0,"○","×")&amp;IF(COUNTIF('クラス'!A:A,F222)&gt;0,"○","×")</f>
        <v>○×</v>
      </c>
      <c r="D222" s="39" t="b">
        <v>1</v>
      </c>
      <c r="E222" s="39" t="s">
        <v>1647</v>
      </c>
      <c r="G222" s="39">
        <v>3.0</v>
      </c>
      <c r="H222" s="39">
        <v>7.0</v>
      </c>
      <c r="J222" s="39" t="s">
        <v>3510</v>
      </c>
      <c r="R222" s="39" t="s">
        <v>1647</v>
      </c>
      <c r="S222" s="39" t="s">
        <v>3341</v>
      </c>
      <c r="W222" s="39" t="s">
        <v>3645</v>
      </c>
      <c r="X222" s="39" t="s">
        <v>3524</v>
      </c>
      <c r="Y222" s="39">
        <v>7.0</v>
      </c>
      <c r="Z222" s="39" t="b">
        <v>0</v>
      </c>
      <c r="AA222" s="39" t="s">
        <v>3463</v>
      </c>
      <c r="AB222" s="39">
        <v>1.0</v>
      </c>
      <c r="AC222" s="39">
        <v>1.0</v>
      </c>
      <c r="AD222" s="39">
        <v>3.0</v>
      </c>
      <c r="AE222" s="39">
        <v>5.0</v>
      </c>
      <c r="AF222" s="39">
        <v>45.0</v>
      </c>
      <c r="AG222" s="39" t="s">
        <v>3513</v>
      </c>
    </row>
    <row r="223" ht="18.75" customHeight="1">
      <c r="A223" s="26" t="s">
        <v>69</v>
      </c>
      <c r="B223" s="22" t="s">
        <v>1317</v>
      </c>
      <c r="C223" s="37" t="str">
        <f>IF(COUNTIF('クラス'!A:A,E223)&gt;0,"○","×")&amp;IF(COUNTIF('クラス'!A:A,F223)&gt;0,"○","×")</f>
        <v>○×</v>
      </c>
      <c r="D223" s="39" t="b">
        <v>1</v>
      </c>
      <c r="E223" s="39" t="s">
        <v>1317</v>
      </c>
      <c r="G223" s="39">
        <v>1.0</v>
      </c>
      <c r="H223" s="39">
        <v>10.0</v>
      </c>
      <c r="J223" s="39" t="s">
        <v>3537</v>
      </c>
      <c r="R223" s="39" t="s">
        <v>1317</v>
      </c>
      <c r="S223" s="39" t="s">
        <v>3367</v>
      </c>
      <c r="W223" s="39" t="s">
        <v>3646</v>
      </c>
      <c r="X223" s="39" t="s">
        <v>3539</v>
      </c>
      <c r="Y223" s="39">
        <v>1.0</v>
      </c>
      <c r="Z223" s="39" t="b">
        <v>0</v>
      </c>
      <c r="AA223" s="39" t="s">
        <v>3463</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3537</v>
      </c>
      <c r="R224" s="39" t="s">
        <v>1331</v>
      </c>
      <c r="S224" s="39" t="s">
        <v>3367</v>
      </c>
      <c r="W224" s="39" t="s">
        <v>3647</v>
      </c>
      <c r="X224" s="39" t="s">
        <v>3539</v>
      </c>
      <c r="Y224" s="39">
        <v>2.0</v>
      </c>
      <c r="Z224" s="39" t="b">
        <v>0</v>
      </c>
      <c r="AA224" s="39" t="s">
        <v>3463</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3537</v>
      </c>
      <c r="R225" s="39" t="s">
        <v>1344</v>
      </c>
      <c r="S225" s="39" t="s">
        <v>3367</v>
      </c>
      <c r="W225" s="39" t="s">
        <v>3648</v>
      </c>
      <c r="X225" s="39" t="s">
        <v>3539</v>
      </c>
      <c r="Y225" s="39">
        <v>6.0</v>
      </c>
      <c r="Z225" s="39" t="b">
        <v>0</v>
      </c>
      <c r="AA225" s="39" t="s">
        <v>3463</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24" t="s">
        <v>3649</v>
      </c>
      <c r="B1" s="124" t="s">
        <v>3650</v>
      </c>
      <c r="C1" s="125" t="s">
        <v>3651</v>
      </c>
      <c r="D1" s="124" t="s">
        <v>3652</v>
      </c>
      <c r="E1" s="125" t="s">
        <v>3317</v>
      </c>
      <c r="F1" s="124" t="s">
        <v>3318</v>
      </c>
      <c r="G1" s="124" t="s">
        <v>3319</v>
      </c>
      <c r="H1" s="124" t="s">
        <v>3320</v>
      </c>
      <c r="I1" s="124" t="s">
        <v>2634</v>
      </c>
      <c r="J1" s="124" t="s">
        <v>2636</v>
      </c>
      <c r="K1" s="124" t="s">
        <v>2637</v>
      </c>
      <c r="L1" s="124" t="s">
        <v>2638</v>
      </c>
      <c r="M1" s="124" t="s">
        <v>3653</v>
      </c>
      <c r="N1" s="124" t="s">
        <v>3654</v>
      </c>
    </row>
    <row r="2">
      <c r="A2" s="39" t="s">
        <v>1317</v>
      </c>
      <c r="B2" s="39" t="s">
        <v>3655</v>
      </c>
      <c r="C2" s="126" t="s">
        <v>3656</v>
      </c>
      <c r="D2" s="89">
        <v>3.0</v>
      </c>
      <c r="E2" s="127"/>
      <c r="F2" s="89"/>
      <c r="G2" s="89"/>
      <c r="H2" s="89"/>
      <c r="I2" s="89"/>
      <c r="J2" s="89"/>
      <c r="K2" s="89"/>
      <c r="L2" s="89"/>
      <c r="M2" s="89"/>
      <c r="N2" s="89"/>
    </row>
    <row r="3">
      <c r="A3" s="39" t="s">
        <v>1331</v>
      </c>
      <c r="B3" s="39" t="s">
        <v>3655</v>
      </c>
      <c r="C3" s="126" t="s">
        <v>3657</v>
      </c>
      <c r="D3" s="89">
        <v>6.0</v>
      </c>
      <c r="E3" s="127" t="s">
        <v>3658</v>
      </c>
      <c r="F3" s="89" t="s">
        <v>3659</v>
      </c>
      <c r="G3" s="89"/>
      <c r="H3" s="89"/>
      <c r="I3" s="89"/>
      <c r="J3" s="89"/>
      <c r="K3" s="89"/>
      <c r="L3" s="89"/>
      <c r="M3" s="89"/>
      <c r="N3" s="89"/>
    </row>
    <row r="4">
      <c r="A4" s="39" t="s">
        <v>1344</v>
      </c>
      <c r="B4" s="39" t="s">
        <v>3655</v>
      </c>
      <c r="C4" s="126" t="s">
        <v>2735</v>
      </c>
      <c r="D4" s="89">
        <v>10.0</v>
      </c>
      <c r="E4" s="127"/>
      <c r="F4" s="89"/>
      <c r="G4" s="89"/>
      <c r="H4" s="89"/>
      <c r="I4" s="89"/>
      <c r="J4" s="89"/>
      <c r="K4" s="89"/>
      <c r="L4" s="89"/>
      <c r="M4" s="89"/>
      <c r="N4" s="89"/>
    </row>
    <row r="5">
      <c r="A5" s="39" t="s">
        <v>1357</v>
      </c>
      <c r="B5" s="39" t="s">
        <v>3655</v>
      </c>
      <c r="C5" s="126" t="s">
        <v>3660</v>
      </c>
      <c r="D5" s="89">
        <v>12.0</v>
      </c>
      <c r="E5" s="127"/>
      <c r="F5" s="89"/>
      <c r="G5" s="89"/>
      <c r="H5" s="89"/>
      <c r="I5" s="89"/>
      <c r="J5" s="89"/>
      <c r="K5" s="89"/>
      <c r="L5" s="89"/>
      <c r="M5" s="89"/>
      <c r="N5" s="89"/>
    </row>
    <row r="6">
      <c r="A6" s="39" t="s">
        <v>1370</v>
      </c>
      <c r="B6" s="39" t="s">
        <v>3655</v>
      </c>
      <c r="C6" s="126" t="s">
        <v>3661</v>
      </c>
      <c r="D6" s="89">
        <v>14.0</v>
      </c>
      <c r="E6" s="127"/>
      <c r="F6" s="89" t="s">
        <v>3662</v>
      </c>
      <c r="G6" s="89" t="s">
        <v>3663</v>
      </c>
      <c r="H6" s="89" t="s">
        <v>3664</v>
      </c>
      <c r="I6" s="89"/>
      <c r="J6" s="89" t="s">
        <v>3665</v>
      </c>
      <c r="K6" s="89"/>
      <c r="L6" s="89"/>
      <c r="M6" s="89"/>
      <c r="N6" s="89"/>
    </row>
    <row r="7">
      <c r="A7" s="39" t="s">
        <v>1383</v>
      </c>
      <c r="B7" s="39" t="s">
        <v>3655</v>
      </c>
      <c r="C7" s="126" t="s">
        <v>3666</v>
      </c>
      <c r="D7" s="89">
        <v>16.0</v>
      </c>
      <c r="E7" s="127"/>
      <c r="F7" s="89"/>
      <c r="G7" s="89"/>
      <c r="H7" s="89"/>
      <c r="I7" s="89"/>
      <c r="J7" s="89"/>
      <c r="K7" s="89"/>
      <c r="L7" s="89"/>
      <c r="M7" s="89"/>
      <c r="N7" s="89"/>
    </row>
    <row r="8">
      <c r="A8" s="39" t="s">
        <v>1396</v>
      </c>
      <c r="B8" s="39" t="s">
        <v>3655</v>
      </c>
      <c r="C8" s="126" t="s">
        <v>3667</v>
      </c>
      <c r="D8" s="89">
        <v>18.0</v>
      </c>
      <c r="E8" s="127"/>
      <c r="F8" s="89"/>
      <c r="G8" s="89"/>
      <c r="H8" s="89"/>
      <c r="I8" s="89"/>
      <c r="J8" s="89"/>
      <c r="K8" s="89"/>
      <c r="L8" s="89"/>
      <c r="M8" s="89"/>
      <c r="N8" s="89"/>
    </row>
    <row r="9">
      <c r="A9" s="39" t="s">
        <v>1448</v>
      </c>
      <c r="B9" s="39" t="s">
        <v>3655</v>
      </c>
      <c r="C9" s="126" t="s">
        <v>3668</v>
      </c>
      <c r="D9" s="89">
        <v>20.0</v>
      </c>
      <c r="E9" s="127"/>
      <c r="F9" s="89" t="s">
        <v>3669</v>
      </c>
      <c r="G9" s="89" t="s">
        <v>3670</v>
      </c>
      <c r="H9" s="89" t="s">
        <v>3671</v>
      </c>
      <c r="I9" s="89"/>
      <c r="J9" s="89" t="s">
        <v>3665</v>
      </c>
      <c r="K9" s="89"/>
      <c r="L9" s="89"/>
      <c r="M9" s="89"/>
      <c r="N9" s="89"/>
    </row>
    <row r="10">
      <c r="A10" s="39" t="s">
        <v>1409</v>
      </c>
      <c r="B10" s="39" t="s">
        <v>3655</v>
      </c>
      <c r="C10" s="126" t="s">
        <v>3672</v>
      </c>
      <c r="D10" s="89">
        <v>20.0</v>
      </c>
      <c r="E10" s="127"/>
      <c r="F10" s="89"/>
      <c r="G10" s="89"/>
      <c r="H10" s="89"/>
      <c r="I10" s="89"/>
      <c r="J10" s="89"/>
      <c r="K10" s="89"/>
      <c r="L10" s="89"/>
      <c r="M10" s="89"/>
      <c r="N10" s="89"/>
    </row>
    <row r="11">
      <c r="A11" s="39" t="s">
        <v>2546</v>
      </c>
      <c r="B11" s="39" t="s">
        <v>3655</v>
      </c>
      <c r="C11" s="126" t="s">
        <v>3673</v>
      </c>
      <c r="D11" s="89">
        <v>23.0</v>
      </c>
      <c r="E11" s="127"/>
      <c r="F11" s="89"/>
      <c r="G11" s="89"/>
      <c r="H11" s="89"/>
      <c r="I11" s="89"/>
      <c r="J11" s="89"/>
      <c r="K11" s="89"/>
      <c r="L11" s="89"/>
      <c r="M11" s="89"/>
      <c r="N11" s="89"/>
    </row>
    <row r="12">
      <c r="A12" s="39" t="s">
        <v>1435</v>
      </c>
      <c r="B12" s="39" t="s">
        <v>3655</v>
      </c>
      <c r="C12" s="126" t="s">
        <v>3674</v>
      </c>
      <c r="D12" s="89">
        <v>23.0</v>
      </c>
      <c r="E12" s="127" t="s">
        <v>3675</v>
      </c>
      <c r="F12" s="89" t="s">
        <v>3676</v>
      </c>
      <c r="G12" s="89"/>
      <c r="H12" s="89" t="s">
        <v>3677</v>
      </c>
      <c r="I12" s="89"/>
      <c r="J12" s="89"/>
      <c r="K12" s="89"/>
      <c r="L12" s="89"/>
      <c r="M12" s="89"/>
      <c r="N12" s="89"/>
    </row>
    <row r="13">
      <c r="A13" s="39" t="s">
        <v>2733</v>
      </c>
      <c r="B13" s="39" t="s">
        <v>3655</v>
      </c>
      <c r="C13" s="126" t="s">
        <v>3678</v>
      </c>
      <c r="D13" s="89">
        <v>25.0</v>
      </c>
      <c r="E13" s="127"/>
      <c r="F13" s="89"/>
      <c r="G13" s="89"/>
      <c r="H13" s="89"/>
      <c r="I13" s="89"/>
      <c r="J13" s="89"/>
      <c r="K13" s="89"/>
      <c r="L13" s="89"/>
      <c r="M13" s="89"/>
      <c r="N13" s="89"/>
    </row>
    <row r="14">
      <c r="A14" s="39" t="s">
        <v>2737</v>
      </c>
      <c r="B14" s="39" t="s">
        <v>3655</v>
      </c>
      <c r="C14" s="126" t="s">
        <v>3679</v>
      </c>
      <c r="D14" s="89">
        <v>27.0</v>
      </c>
      <c r="E14" s="127"/>
      <c r="F14" s="89"/>
      <c r="G14" s="89"/>
      <c r="H14" s="89"/>
      <c r="I14" s="89"/>
      <c r="J14" s="89"/>
      <c r="K14" s="89"/>
      <c r="L14" s="89"/>
      <c r="M14" s="89"/>
      <c r="N14" s="89"/>
    </row>
    <row r="15">
      <c r="A15" s="39" t="s">
        <v>1462</v>
      </c>
      <c r="B15" s="39" t="s">
        <v>3655</v>
      </c>
      <c r="C15" s="126" t="s">
        <v>3680</v>
      </c>
      <c r="D15" s="89">
        <v>30.0</v>
      </c>
      <c r="E15" s="127"/>
      <c r="F15" s="89" t="s">
        <v>3681</v>
      </c>
      <c r="G15" s="89" t="s">
        <v>3682</v>
      </c>
      <c r="H15" s="89" t="s">
        <v>3671</v>
      </c>
      <c r="I15" s="89"/>
      <c r="J15" s="89" t="s">
        <v>3683</v>
      </c>
      <c r="K15" s="89"/>
      <c r="L15" s="89"/>
      <c r="M15" s="89"/>
      <c r="N15" s="89"/>
    </row>
    <row r="16">
      <c r="A16" s="41" t="s">
        <v>3684</v>
      </c>
      <c r="B16" s="39" t="s">
        <v>1280</v>
      </c>
      <c r="C16" s="128" t="s">
        <v>3685</v>
      </c>
      <c r="D16" s="89">
        <v>3.0</v>
      </c>
      <c r="E16" s="129" t="s">
        <v>3686</v>
      </c>
      <c r="F16" s="130"/>
      <c r="G16" s="71"/>
      <c r="H16" s="130"/>
      <c r="I16" s="71"/>
      <c r="J16" s="130"/>
      <c r="K16" s="71"/>
      <c r="L16" s="71"/>
      <c r="M16" s="71"/>
      <c r="N16" s="71"/>
    </row>
    <row r="17">
      <c r="A17" s="39" t="s">
        <v>3687</v>
      </c>
      <c r="B17" s="39" t="s">
        <v>1280</v>
      </c>
      <c r="C17" s="128" t="s">
        <v>3688</v>
      </c>
      <c r="D17" s="89">
        <v>6.0</v>
      </c>
      <c r="E17" s="127" t="s">
        <v>3689</v>
      </c>
      <c r="F17" s="130" t="s">
        <v>3690</v>
      </c>
      <c r="G17" s="71"/>
      <c r="H17" s="130" t="s">
        <v>3691</v>
      </c>
      <c r="I17" s="71"/>
      <c r="J17" s="130" t="s">
        <v>3692</v>
      </c>
      <c r="K17" s="71"/>
      <c r="L17" s="71"/>
      <c r="M17" s="71"/>
      <c r="N17" s="71"/>
    </row>
    <row r="18">
      <c r="A18" s="41" t="s">
        <v>3693</v>
      </c>
      <c r="B18" s="39" t="s">
        <v>1280</v>
      </c>
      <c r="C18" s="126" t="s">
        <v>3694</v>
      </c>
      <c r="D18" s="89">
        <v>9.0</v>
      </c>
      <c r="E18" s="127" t="s">
        <v>3695</v>
      </c>
      <c r="F18" s="130" t="s">
        <v>3696</v>
      </c>
      <c r="G18" s="71"/>
      <c r="H18" s="130" t="s">
        <v>3691</v>
      </c>
      <c r="I18" s="71"/>
      <c r="J18" s="130" t="s">
        <v>3692</v>
      </c>
      <c r="K18" s="71"/>
      <c r="L18" s="71"/>
      <c r="M18" s="71"/>
      <c r="N18" s="71"/>
    </row>
    <row r="19">
      <c r="A19" s="39" t="s">
        <v>3697</v>
      </c>
      <c r="B19" s="39" t="s">
        <v>1280</v>
      </c>
      <c r="C19" s="126" t="s">
        <v>3698</v>
      </c>
      <c r="D19" s="89">
        <v>12.0</v>
      </c>
      <c r="E19" s="127" t="s">
        <v>3699</v>
      </c>
      <c r="F19" s="71"/>
      <c r="G19" s="71"/>
      <c r="H19" s="71"/>
      <c r="I19" s="71"/>
      <c r="J19" s="71"/>
      <c r="K19" s="71"/>
      <c r="L19" s="71"/>
      <c r="M19" s="71"/>
      <c r="N19" s="71"/>
    </row>
    <row r="20">
      <c r="A20" s="39" t="s">
        <v>3700</v>
      </c>
      <c r="B20" s="39" t="s">
        <v>1280</v>
      </c>
      <c r="C20" s="126" t="s">
        <v>3701</v>
      </c>
      <c r="D20" s="89">
        <v>15.0</v>
      </c>
      <c r="E20" s="127" t="s">
        <v>3702</v>
      </c>
      <c r="F20" s="71"/>
      <c r="G20" s="71"/>
      <c r="H20" s="71"/>
      <c r="I20" s="71"/>
      <c r="J20" s="71"/>
      <c r="K20" s="71"/>
      <c r="L20" s="71"/>
      <c r="M20" s="71"/>
      <c r="N20" s="71"/>
    </row>
    <row r="21">
      <c r="A21" s="39" t="s">
        <v>3703</v>
      </c>
      <c r="B21" s="39" t="s">
        <v>1280</v>
      </c>
      <c r="C21" s="126" t="s">
        <v>3704</v>
      </c>
      <c r="D21" s="89">
        <v>18.0</v>
      </c>
      <c r="E21" s="127" t="s">
        <v>3705</v>
      </c>
      <c r="F21" s="130" t="s">
        <v>3706</v>
      </c>
      <c r="G21" s="71"/>
      <c r="H21" s="130" t="s">
        <v>3671</v>
      </c>
      <c r="I21" s="130" t="s">
        <v>3707</v>
      </c>
      <c r="J21" s="130" t="s">
        <v>3683</v>
      </c>
      <c r="K21" s="71"/>
      <c r="L21" s="71"/>
      <c r="M21" s="71"/>
      <c r="N21" s="71"/>
    </row>
    <row r="22">
      <c r="A22" s="39" t="s">
        <v>3708</v>
      </c>
      <c r="B22" s="39" t="s">
        <v>1280</v>
      </c>
      <c r="C22" s="126" t="s">
        <v>3709</v>
      </c>
      <c r="D22" s="89">
        <v>21.0</v>
      </c>
      <c r="E22" s="127" t="s">
        <v>3710</v>
      </c>
      <c r="F22" s="130" t="s">
        <v>3706</v>
      </c>
      <c r="G22" s="71"/>
      <c r="H22" s="130" t="s">
        <v>3671</v>
      </c>
      <c r="I22" s="71"/>
      <c r="J22" s="130" t="s">
        <v>3683</v>
      </c>
      <c r="K22" s="71"/>
      <c r="L22" s="71"/>
      <c r="M22" s="71"/>
      <c r="N22" s="71"/>
    </row>
    <row r="23">
      <c r="A23" s="39" t="s">
        <v>3711</v>
      </c>
      <c r="B23" s="39" t="s">
        <v>1280</v>
      </c>
      <c r="C23" s="126" t="s">
        <v>3712</v>
      </c>
      <c r="D23" s="89">
        <v>24.0</v>
      </c>
      <c r="E23" s="127" t="s">
        <v>3713</v>
      </c>
      <c r="F23" s="130" t="s">
        <v>3706</v>
      </c>
      <c r="G23" s="71"/>
      <c r="H23" s="130" t="s">
        <v>3671</v>
      </c>
      <c r="I23" s="130" t="s">
        <v>3707</v>
      </c>
      <c r="J23" s="130" t="s">
        <v>3683</v>
      </c>
      <c r="K23" s="71"/>
      <c r="L23" s="71"/>
      <c r="M23" s="71"/>
      <c r="N23" s="71"/>
    </row>
    <row r="24">
      <c r="A24" s="39" t="s">
        <v>3714</v>
      </c>
      <c r="B24" s="39" t="s">
        <v>1280</v>
      </c>
      <c r="C24" s="126" t="s">
        <v>3715</v>
      </c>
      <c r="D24" s="89">
        <v>27.0</v>
      </c>
      <c r="E24" s="127" t="s">
        <v>3716</v>
      </c>
      <c r="F24" s="130" t="s">
        <v>3717</v>
      </c>
      <c r="G24" s="130" t="s">
        <v>3669</v>
      </c>
      <c r="H24" s="130" t="s">
        <v>3671</v>
      </c>
      <c r="I24" s="130" t="s">
        <v>3707</v>
      </c>
      <c r="J24" s="130" t="s">
        <v>3683</v>
      </c>
      <c r="K24" s="71"/>
      <c r="L24" s="71"/>
      <c r="M24" s="71"/>
      <c r="N24" s="71"/>
    </row>
    <row r="25">
      <c r="A25" s="39" t="s">
        <v>3718</v>
      </c>
      <c r="B25" s="39" t="s">
        <v>1280</v>
      </c>
      <c r="C25" s="128" t="s">
        <v>3719</v>
      </c>
      <c r="D25" s="89">
        <v>30.0</v>
      </c>
      <c r="E25" s="127" t="s">
        <v>3720</v>
      </c>
      <c r="F25" s="130" t="s">
        <v>3721</v>
      </c>
      <c r="G25" s="71"/>
      <c r="H25" s="130" t="s">
        <v>3671</v>
      </c>
      <c r="I25" s="130" t="s">
        <v>3707</v>
      </c>
      <c r="J25" s="130" t="s">
        <v>3683</v>
      </c>
      <c r="K25" s="71"/>
      <c r="L25" s="71"/>
      <c r="M25" s="71"/>
      <c r="N25" s="71"/>
    </row>
    <row r="26">
      <c r="A26" s="39" t="s">
        <v>3722</v>
      </c>
      <c r="B26" s="39" t="s">
        <v>1280</v>
      </c>
      <c r="C26" s="128" t="s">
        <v>3723</v>
      </c>
      <c r="D26" s="89">
        <v>33.0</v>
      </c>
      <c r="E26" s="127" t="s">
        <v>3724</v>
      </c>
      <c r="F26" s="130" t="s">
        <v>3725</v>
      </c>
      <c r="G26" s="71"/>
      <c r="H26" s="130" t="s">
        <v>3726</v>
      </c>
      <c r="I26" s="130" t="s">
        <v>3727</v>
      </c>
      <c r="J26" s="130" t="s">
        <v>3728</v>
      </c>
      <c r="K26" s="71"/>
      <c r="L26" s="71"/>
      <c r="M26" s="71"/>
      <c r="N26" s="71"/>
    </row>
    <row r="27">
      <c r="A27" s="39" t="s">
        <v>3729</v>
      </c>
      <c r="B27" s="39" t="s">
        <v>1280</v>
      </c>
      <c r="C27" s="128" t="s">
        <v>3730</v>
      </c>
      <c r="D27" s="89">
        <v>35.0</v>
      </c>
      <c r="E27" s="127" t="s">
        <v>3731</v>
      </c>
      <c r="F27" s="130" t="s">
        <v>3732</v>
      </c>
      <c r="G27" s="71"/>
      <c r="H27" s="130" t="s">
        <v>3677</v>
      </c>
      <c r="I27" s="130" t="s">
        <v>3733</v>
      </c>
      <c r="J27" s="130" t="s">
        <v>3728</v>
      </c>
      <c r="K27" s="71"/>
      <c r="L27" s="71"/>
      <c r="M27" s="71"/>
      <c r="N27" s="71"/>
    </row>
    <row r="28">
      <c r="A28" s="39" t="s">
        <v>3734</v>
      </c>
      <c r="B28" s="39" t="s">
        <v>3735</v>
      </c>
      <c r="C28" s="128" t="s">
        <v>3736</v>
      </c>
      <c r="D28" s="85">
        <v>6.0</v>
      </c>
      <c r="E28" s="127" t="s">
        <v>3737</v>
      </c>
      <c r="F28" s="130" t="s">
        <v>3738</v>
      </c>
      <c r="G28" s="130"/>
      <c r="H28" s="130" t="s">
        <v>3691</v>
      </c>
      <c r="I28" s="130" t="s">
        <v>3739</v>
      </c>
      <c r="J28" s="130" t="s">
        <v>3692</v>
      </c>
      <c r="K28" s="71"/>
      <c r="L28" s="71"/>
      <c r="M28" s="71"/>
      <c r="N28" s="71"/>
    </row>
    <row r="29">
      <c r="A29" s="39" t="s">
        <v>3740</v>
      </c>
      <c r="B29" s="39" t="s">
        <v>3735</v>
      </c>
      <c r="C29" s="128" t="s">
        <v>3741</v>
      </c>
      <c r="D29" s="85">
        <v>9.0</v>
      </c>
      <c r="E29" s="127" t="s">
        <v>3742</v>
      </c>
      <c r="F29" s="130" t="s">
        <v>3663</v>
      </c>
      <c r="G29" s="130"/>
      <c r="H29" s="130" t="s">
        <v>3691</v>
      </c>
      <c r="I29" s="130"/>
      <c r="J29" s="130" t="s">
        <v>3692</v>
      </c>
      <c r="K29" s="71"/>
      <c r="L29" s="71"/>
      <c r="M29" s="71"/>
      <c r="N29" s="71"/>
    </row>
    <row r="30">
      <c r="A30" s="39" t="s">
        <v>2701</v>
      </c>
      <c r="B30" s="39" t="s">
        <v>3735</v>
      </c>
      <c r="C30" s="128" t="s">
        <v>3743</v>
      </c>
      <c r="D30" s="85">
        <v>10.0</v>
      </c>
      <c r="E30" s="127" t="s">
        <v>3744</v>
      </c>
      <c r="F30" s="130" t="s">
        <v>3690</v>
      </c>
      <c r="G30" s="130" t="s">
        <v>3663</v>
      </c>
      <c r="H30" s="130" t="s">
        <v>3691</v>
      </c>
      <c r="I30" s="130" t="s">
        <v>3739</v>
      </c>
      <c r="J30" s="130" t="s">
        <v>3692</v>
      </c>
      <c r="K30" s="71"/>
      <c r="L30" s="71"/>
      <c r="M30" s="71"/>
      <c r="N30" s="71"/>
    </row>
    <row r="31">
      <c r="A31" s="39" t="s">
        <v>3745</v>
      </c>
      <c r="B31" s="39" t="s">
        <v>3735</v>
      </c>
      <c r="C31" s="128" t="s">
        <v>3746</v>
      </c>
      <c r="D31" s="85">
        <v>12.0</v>
      </c>
      <c r="E31" s="127" t="s">
        <v>3747</v>
      </c>
      <c r="F31" s="130" t="s">
        <v>3662</v>
      </c>
      <c r="G31" s="130" t="s">
        <v>3670</v>
      </c>
      <c r="H31" s="130" t="s">
        <v>3664</v>
      </c>
      <c r="I31" s="130" t="s">
        <v>3748</v>
      </c>
      <c r="J31" s="130" t="s">
        <v>3665</v>
      </c>
      <c r="K31" s="71"/>
      <c r="L31" s="71"/>
      <c r="M31" s="71"/>
      <c r="N31" s="71"/>
    </row>
    <row r="32">
      <c r="A32" s="41" t="s">
        <v>2704</v>
      </c>
      <c r="B32" s="39" t="s">
        <v>3735</v>
      </c>
      <c r="C32" s="128" t="s">
        <v>3749</v>
      </c>
      <c r="D32" s="89">
        <v>15.0</v>
      </c>
      <c r="E32" s="127" t="s">
        <v>3750</v>
      </c>
      <c r="F32" s="130" t="s">
        <v>3662</v>
      </c>
      <c r="G32" s="130" t="s">
        <v>3670</v>
      </c>
      <c r="H32" s="130" t="s">
        <v>3664</v>
      </c>
      <c r="I32" s="130" t="s">
        <v>3748</v>
      </c>
      <c r="J32" s="130" t="s">
        <v>3665</v>
      </c>
      <c r="K32" s="71"/>
      <c r="L32" s="71"/>
      <c r="M32" s="71"/>
      <c r="N32" s="71"/>
    </row>
    <row r="33">
      <c r="A33" s="39" t="s">
        <v>3751</v>
      </c>
      <c r="B33" s="39" t="s">
        <v>3735</v>
      </c>
      <c r="C33" s="128" t="s">
        <v>3752</v>
      </c>
      <c r="D33" s="85">
        <v>18.0</v>
      </c>
      <c r="E33" s="127" t="s">
        <v>3753</v>
      </c>
      <c r="F33" s="130" t="s">
        <v>3706</v>
      </c>
      <c r="G33" s="89"/>
      <c r="H33" s="130" t="s">
        <v>3671</v>
      </c>
      <c r="I33" s="89" t="s">
        <v>3707</v>
      </c>
      <c r="J33" s="130" t="s">
        <v>3683</v>
      </c>
      <c r="K33" s="71"/>
      <c r="L33" s="71"/>
      <c r="M33" s="71"/>
      <c r="N33" s="71"/>
    </row>
    <row r="34">
      <c r="A34" s="39" t="s">
        <v>2707</v>
      </c>
      <c r="B34" s="39" t="s">
        <v>3735</v>
      </c>
      <c r="C34" s="126" t="s">
        <v>3754</v>
      </c>
      <c r="D34" s="89">
        <v>21.0</v>
      </c>
      <c r="E34" s="127" t="s">
        <v>3755</v>
      </c>
      <c r="F34" s="130" t="s">
        <v>3669</v>
      </c>
      <c r="G34" s="89" t="s">
        <v>3682</v>
      </c>
      <c r="H34" s="130" t="s">
        <v>3671</v>
      </c>
      <c r="I34" s="89" t="s">
        <v>3707</v>
      </c>
      <c r="J34" s="130" t="s">
        <v>3683</v>
      </c>
      <c r="K34" s="71"/>
      <c r="L34" s="71"/>
      <c r="M34" s="71"/>
      <c r="N34" s="71"/>
    </row>
    <row r="35">
      <c r="A35" s="39" t="s">
        <v>3756</v>
      </c>
      <c r="B35" s="39" t="s">
        <v>3735</v>
      </c>
      <c r="C35" s="126" t="s">
        <v>3757</v>
      </c>
      <c r="D35" s="89">
        <v>24.0</v>
      </c>
      <c r="E35" s="127" t="s">
        <v>3758</v>
      </c>
      <c r="F35" s="130" t="s">
        <v>3676</v>
      </c>
      <c r="G35" s="71"/>
      <c r="H35" s="130" t="s">
        <v>3677</v>
      </c>
      <c r="I35" s="89" t="s">
        <v>3733</v>
      </c>
      <c r="J35" s="130" t="s">
        <v>3728</v>
      </c>
      <c r="K35" s="71"/>
      <c r="L35" s="71"/>
      <c r="M35" s="71"/>
      <c r="N35" s="71"/>
    </row>
    <row r="36">
      <c r="A36" s="39" t="s">
        <v>3759</v>
      </c>
      <c r="B36" s="39" t="s">
        <v>3735</v>
      </c>
      <c r="C36" s="126" t="s">
        <v>3760</v>
      </c>
      <c r="D36" s="89">
        <v>27.0</v>
      </c>
      <c r="E36" s="127" t="s">
        <v>3761</v>
      </c>
      <c r="F36" s="130" t="s">
        <v>3762</v>
      </c>
      <c r="G36" s="89" t="s">
        <v>3682</v>
      </c>
      <c r="H36" s="130" t="s">
        <v>3671</v>
      </c>
      <c r="I36" s="89" t="s">
        <v>3707</v>
      </c>
      <c r="J36" s="130" t="s">
        <v>3683</v>
      </c>
      <c r="K36" s="71"/>
      <c r="L36" s="71"/>
      <c r="M36" s="71"/>
      <c r="N36" s="71"/>
    </row>
    <row r="37">
      <c r="A37" s="39" t="s">
        <v>2710</v>
      </c>
      <c r="B37" s="39" t="s">
        <v>3735</v>
      </c>
      <c r="C37" s="126" t="s">
        <v>3763</v>
      </c>
      <c r="D37" s="89">
        <v>28.0</v>
      </c>
      <c r="E37" s="127" t="s">
        <v>3764</v>
      </c>
      <c r="F37" s="130" t="s">
        <v>3669</v>
      </c>
      <c r="G37" s="89" t="s">
        <v>3682</v>
      </c>
      <c r="H37" s="130" t="s">
        <v>3671</v>
      </c>
      <c r="I37" s="89" t="s">
        <v>3707</v>
      </c>
      <c r="J37" s="130" t="s">
        <v>3683</v>
      </c>
      <c r="K37" s="71"/>
      <c r="L37" s="71"/>
      <c r="M37" s="71"/>
      <c r="N37" s="71"/>
    </row>
    <row r="38">
      <c r="A38" s="39" t="s">
        <v>3765</v>
      </c>
      <c r="B38" s="39" t="s">
        <v>3735</v>
      </c>
      <c r="C38" s="126" t="s">
        <v>3766</v>
      </c>
      <c r="D38" s="89">
        <v>30.0</v>
      </c>
      <c r="E38" s="127" t="s">
        <v>3767</v>
      </c>
      <c r="F38" s="130" t="s">
        <v>3681</v>
      </c>
      <c r="G38" s="89" t="s">
        <v>3682</v>
      </c>
      <c r="H38" s="130" t="s">
        <v>3671</v>
      </c>
      <c r="I38" s="89" t="s">
        <v>3707</v>
      </c>
      <c r="J38" s="130" t="s">
        <v>3683</v>
      </c>
      <c r="K38" s="71"/>
      <c r="L38" s="71"/>
      <c r="M38" s="71"/>
      <c r="N38" s="71"/>
    </row>
    <row r="39">
      <c r="A39" s="39" t="s">
        <v>2713</v>
      </c>
      <c r="B39" s="39" t="s">
        <v>3735</v>
      </c>
      <c r="C39" s="126" t="s">
        <v>3768</v>
      </c>
      <c r="D39" s="89">
        <v>35.0</v>
      </c>
      <c r="E39" s="127" t="s">
        <v>3769</v>
      </c>
      <c r="F39" s="130"/>
      <c r="G39" s="89"/>
      <c r="H39" s="130" t="s">
        <v>3770</v>
      </c>
      <c r="I39" s="89"/>
      <c r="J39" s="130" t="s">
        <v>3728</v>
      </c>
      <c r="K39" s="71"/>
      <c r="L39" s="71"/>
      <c r="M39" s="71"/>
      <c r="N39" s="71"/>
    </row>
    <row r="40">
      <c r="A40" s="39"/>
      <c r="B40" s="39"/>
      <c r="C40" s="126"/>
      <c r="D40" s="89"/>
      <c r="E40" s="127"/>
      <c r="F40" s="130"/>
      <c r="G40" s="89"/>
      <c r="H40" s="130"/>
      <c r="I40" s="89"/>
      <c r="J40" s="130"/>
      <c r="K40" s="71"/>
      <c r="L40" s="71"/>
      <c r="M40" s="71"/>
      <c r="N40" s="71"/>
    </row>
    <row r="41">
      <c r="A41" s="39"/>
      <c r="B41" s="39"/>
      <c r="C41" s="126"/>
      <c r="D41" s="89"/>
      <c r="E41" s="127"/>
      <c r="F41" s="130"/>
      <c r="G41" s="89"/>
      <c r="H41" s="130"/>
      <c r="I41" s="89"/>
      <c r="J41" s="130"/>
      <c r="K41" s="71"/>
      <c r="L41" s="71"/>
      <c r="M41" s="71"/>
      <c r="N41" s="71"/>
    </row>
    <row r="42">
      <c r="A42" s="39"/>
      <c r="B42" s="39"/>
      <c r="C42" s="126"/>
      <c r="D42" s="89"/>
      <c r="E42" s="127"/>
      <c r="F42" s="130"/>
      <c r="G42" s="89"/>
      <c r="H42" s="130"/>
      <c r="I42" s="89"/>
      <c r="J42" s="130"/>
      <c r="K42" s="71"/>
      <c r="L42" s="71"/>
      <c r="M42" s="71"/>
      <c r="N42" s="71"/>
    </row>
    <row r="43">
      <c r="A43" s="39" t="s">
        <v>1477</v>
      </c>
      <c r="B43" s="39" t="s">
        <v>3771</v>
      </c>
      <c r="C43" s="126" t="s">
        <v>2745</v>
      </c>
      <c r="D43" s="89">
        <v>10.0</v>
      </c>
      <c r="E43" s="127" t="s">
        <v>3772</v>
      </c>
      <c r="F43" s="130"/>
      <c r="G43" s="71"/>
      <c r="H43" s="130"/>
      <c r="I43" s="71"/>
      <c r="J43" s="130"/>
      <c r="K43" s="71"/>
      <c r="L43" s="71"/>
      <c r="M43" s="71"/>
      <c r="N43" s="71"/>
    </row>
    <row r="44">
      <c r="A44" s="39" t="s">
        <v>2744</v>
      </c>
      <c r="B44" s="39" t="s">
        <v>3771</v>
      </c>
      <c r="C44" s="126" t="s">
        <v>3773</v>
      </c>
      <c r="D44" s="89">
        <v>20.0</v>
      </c>
      <c r="E44" s="127" t="s">
        <v>3774</v>
      </c>
      <c r="F44" s="130"/>
      <c r="G44" s="71"/>
      <c r="H44" s="130"/>
      <c r="I44" s="71"/>
      <c r="J44" s="130"/>
      <c r="K44" s="71"/>
      <c r="L44" s="71"/>
      <c r="M44" s="71"/>
      <c r="N44" s="71"/>
    </row>
    <row r="45">
      <c r="A45" s="39" t="s">
        <v>2747</v>
      </c>
      <c r="B45" s="39" t="s">
        <v>3771</v>
      </c>
      <c r="C45" s="126" t="s">
        <v>3775</v>
      </c>
      <c r="D45" s="89">
        <v>30.0</v>
      </c>
      <c r="E45" s="127" t="s">
        <v>3774</v>
      </c>
      <c r="F45" s="130"/>
      <c r="G45" s="71"/>
      <c r="H45" s="130"/>
      <c r="I45" s="71"/>
      <c r="J45" s="130"/>
      <c r="K45" s="71"/>
      <c r="L45" s="71"/>
      <c r="M45" s="71"/>
      <c r="N45" s="71"/>
    </row>
    <row r="46">
      <c r="A46" s="39" t="s">
        <v>1479</v>
      </c>
      <c r="B46" s="39" t="s">
        <v>3771</v>
      </c>
      <c r="C46" s="126" t="s">
        <v>2754</v>
      </c>
      <c r="D46" s="89">
        <v>10.0</v>
      </c>
      <c r="E46" s="127" t="s">
        <v>3776</v>
      </c>
      <c r="F46" s="130"/>
      <c r="G46" s="71"/>
      <c r="H46" s="130"/>
      <c r="I46" s="71"/>
      <c r="J46" s="130"/>
      <c r="K46" s="71"/>
      <c r="L46" s="71"/>
      <c r="M46" s="71"/>
      <c r="N46" s="71"/>
    </row>
    <row r="47">
      <c r="A47" s="39" t="s">
        <v>2753</v>
      </c>
      <c r="B47" s="39" t="s">
        <v>3771</v>
      </c>
      <c r="C47" s="126" t="s">
        <v>3777</v>
      </c>
      <c r="D47" s="89">
        <v>20.0</v>
      </c>
      <c r="E47" s="127" t="s">
        <v>3778</v>
      </c>
      <c r="F47" s="130"/>
      <c r="G47" s="71"/>
      <c r="H47" s="130"/>
      <c r="I47" s="71"/>
      <c r="J47" s="130"/>
      <c r="K47" s="71"/>
      <c r="L47" s="71"/>
      <c r="M47" s="71"/>
      <c r="N47" s="71"/>
    </row>
    <row r="48">
      <c r="A48" s="39" t="s">
        <v>2756</v>
      </c>
      <c r="B48" s="39" t="s">
        <v>3771</v>
      </c>
      <c r="C48" s="126" t="s">
        <v>3779</v>
      </c>
      <c r="D48" s="89">
        <v>30.0</v>
      </c>
      <c r="E48" s="127" t="s">
        <v>3778</v>
      </c>
      <c r="F48" s="130"/>
      <c r="G48" s="71"/>
      <c r="H48" s="130"/>
      <c r="I48" s="71"/>
      <c r="J48" s="130"/>
      <c r="K48" s="71"/>
      <c r="L48" s="71"/>
      <c r="M48" s="71"/>
      <c r="N48" s="71"/>
    </row>
    <row r="49">
      <c r="A49" s="39" t="s">
        <v>1480</v>
      </c>
      <c r="B49" s="39" t="s">
        <v>3771</v>
      </c>
      <c r="C49" s="126" t="s">
        <v>2763</v>
      </c>
      <c r="D49" s="89">
        <v>10.0</v>
      </c>
      <c r="E49" s="127" t="s">
        <v>3780</v>
      </c>
      <c r="F49" s="130"/>
      <c r="G49" s="71"/>
      <c r="H49" s="130"/>
      <c r="I49" s="71"/>
      <c r="J49" s="130"/>
      <c r="K49" s="71"/>
      <c r="L49" s="71"/>
      <c r="M49" s="71"/>
      <c r="N49" s="71"/>
    </row>
    <row r="50">
      <c r="A50" s="39" t="s">
        <v>2762</v>
      </c>
      <c r="B50" s="39" t="s">
        <v>3771</v>
      </c>
      <c r="C50" s="126" t="s">
        <v>3781</v>
      </c>
      <c r="D50" s="89">
        <v>20.0</v>
      </c>
      <c r="E50" s="127" t="s">
        <v>3782</v>
      </c>
      <c r="F50" s="130"/>
      <c r="G50" s="71"/>
      <c r="H50" s="130"/>
      <c r="I50" s="71"/>
      <c r="J50" s="130"/>
      <c r="K50" s="71"/>
      <c r="L50" s="71"/>
      <c r="M50" s="71"/>
      <c r="N50" s="71"/>
    </row>
    <row r="51">
      <c r="A51" s="39" t="s">
        <v>2765</v>
      </c>
      <c r="B51" s="39" t="s">
        <v>3771</v>
      </c>
      <c r="C51" s="126" t="s">
        <v>3783</v>
      </c>
      <c r="D51" s="89">
        <v>30.0</v>
      </c>
      <c r="E51" s="127" t="s">
        <v>3782</v>
      </c>
      <c r="F51" s="130"/>
      <c r="G51" s="71"/>
      <c r="H51" s="130"/>
      <c r="I51" s="71"/>
      <c r="J51" s="130"/>
      <c r="K51" s="71"/>
      <c r="L51" s="71"/>
      <c r="M51" s="71"/>
      <c r="N51" s="71"/>
    </row>
    <row r="52">
      <c r="A52" s="39" t="s">
        <v>1489</v>
      </c>
      <c r="B52" s="39" t="s">
        <v>3771</v>
      </c>
      <c r="C52" s="126" t="s">
        <v>2772</v>
      </c>
      <c r="D52" s="89">
        <v>10.0</v>
      </c>
      <c r="E52" s="127" t="s">
        <v>3784</v>
      </c>
      <c r="F52" s="130"/>
      <c r="G52" s="71"/>
      <c r="H52" s="130"/>
      <c r="I52" s="71"/>
      <c r="J52" s="130"/>
      <c r="K52" s="71"/>
      <c r="L52" s="71"/>
      <c r="M52" s="71"/>
      <c r="N52" s="71"/>
    </row>
    <row r="53">
      <c r="A53" s="39" t="s">
        <v>2771</v>
      </c>
      <c r="B53" s="39" t="s">
        <v>3771</v>
      </c>
      <c r="C53" s="126" t="s">
        <v>3785</v>
      </c>
      <c r="D53" s="89">
        <v>20.0</v>
      </c>
      <c r="E53" s="127" t="s">
        <v>3786</v>
      </c>
      <c r="F53" s="130"/>
      <c r="G53" s="71"/>
      <c r="H53" s="130"/>
      <c r="I53" s="71"/>
      <c r="J53" s="130"/>
      <c r="K53" s="71"/>
      <c r="L53" s="71"/>
      <c r="M53" s="71"/>
      <c r="N53" s="71"/>
    </row>
    <row r="54">
      <c r="A54" s="39" t="s">
        <v>2774</v>
      </c>
      <c r="B54" s="39" t="s">
        <v>3771</v>
      </c>
      <c r="C54" s="126" t="s">
        <v>3787</v>
      </c>
      <c r="D54" s="89">
        <v>30.0</v>
      </c>
      <c r="E54" s="127" t="s">
        <v>3786</v>
      </c>
      <c r="F54" s="130"/>
      <c r="G54" s="71"/>
      <c r="H54" s="130"/>
      <c r="I54" s="71"/>
      <c r="J54" s="130"/>
      <c r="K54" s="71"/>
      <c r="L54" s="71"/>
      <c r="M54" s="71"/>
      <c r="N54" s="71"/>
    </row>
    <row r="55">
      <c r="A55" s="39" t="s">
        <v>1491</v>
      </c>
      <c r="B55" s="39" t="s">
        <v>3771</v>
      </c>
      <c r="C55" s="126" t="s">
        <v>2781</v>
      </c>
      <c r="D55" s="89">
        <v>10.0</v>
      </c>
      <c r="E55" s="127" t="s">
        <v>3788</v>
      </c>
      <c r="F55" s="130"/>
      <c r="G55" s="71"/>
      <c r="H55" s="130"/>
      <c r="I55" s="71"/>
      <c r="J55" s="130"/>
      <c r="K55" s="71"/>
      <c r="L55" s="71"/>
      <c r="M55" s="71"/>
      <c r="N55" s="71"/>
    </row>
    <row r="56">
      <c r="A56" s="39" t="s">
        <v>2780</v>
      </c>
      <c r="B56" s="39" t="s">
        <v>3771</v>
      </c>
      <c r="C56" s="126" t="s">
        <v>3789</v>
      </c>
      <c r="D56" s="89">
        <v>20.0</v>
      </c>
      <c r="E56" s="127" t="s">
        <v>3790</v>
      </c>
      <c r="F56" s="130"/>
      <c r="G56" s="71"/>
      <c r="H56" s="130"/>
      <c r="I56" s="71"/>
      <c r="J56" s="130"/>
      <c r="K56" s="71"/>
      <c r="L56" s="71"/>
      <c r="M56" s="71"/>
      <c r="N56" s="71"/>
    </row>
    <row r="57">
      <c r="A57" s="39" t="s">
        <v>2783</v>
      </c>
      <c r="B57" s="39" t="s">
        <v>3771</v>
      </c>
      <c r="C57" s="126" t="s">
        <v>3791</v>
      </c>
      <c r="D57" s="89">
        <v>30.0</v>
      </c>
      <c r="E57" s="127" t="s">
        <v>3790</v>
      </c>
      <c r="F57" s="130"/>
      <c r="G57" s="71"/>
      <c r="H57" s="130"/>
      <c r="I57" s="71"/>
      <c r="J57" s="130"/>
      <c r="K57" s="71"/>
      <c r="L57" s="71"/>
      <c r="M57" s="71"/>
      <c r="N57" s="71"/>
    </row>
    <row r="58">
      <c r="A58" s="39" t="s">
        <v>3792</v>
      </c>
      <c r="B58" s="39" t="s">
        <v>3771</v>
      </c>
      <c r="C58" s="126" t="s">
        <v>3793</v>
      </c>
      <c r="D58" s="89">
        <v>15.0</v>
      </c>
      <c r="E58" s="127" t="s">
        <v>3794</v>
      </c>
      <c r="F58" s="130" t="s">
        <v>3662</v>
      </c>
      <c r="G58" s="71"/>
      <c r="H58" s="130" t="s">
        <v>3691</v>
      </c>
      <c r="I58" s="71"/>
      <c r="J58" s="130" t="s">
        <v>3692</v>
      </c>
      <c r="K58" s="71"/>
      <c r="L58" s="71"/>
      <c r="M58" s="71"/>
      <c r="N58" s="71"/>
    </row>
    <row r="59">
      <c r="A59" s="39" t="s">
        <v>3795</v>
      </c>
      <c r="B59" s="39" t="s">
        <v>3771</v>
      </c>
      <c r="C59" s="126" t="s">
        <v>3796</v>
      </c>
      <c r="D59" s="89">
        <v>15.0</v>
      </c>
      <c r="E59" s="127" t="s">
        <v>3797</v>
      </c>
      <c r="F59" s="130" t="s">
        <v>3662</v>
      </c>
      <c r="G59" s="89" t="s">
        <v>3670</v>
      </c>
      <c r="H59" s="130" t="s">
        <v>3664</v>
      </c>
      <c r="I59" s="71"/>
      <c r="J59" s="130" t="s">
        <v>3665</v>
      </c>
      <c r="K59" s="71"/>
      <c r="L59" s="71"/>
      <c r="M59" s="71"/>
      <c r="N59" s="71"/>
    </row>
    <row r="60">
      <c r="A60" s="39" t="s">
        <v>3798</v>
      </c>
      <c r="B60" s="39" t="s">
        <v>3771</v>
      </c>
      <c r="C60" s="126" t="s">
        <v>3799</v>
      </c>
      <c r="D60" s="89">
        <v>15.0</v>
      </c>
      <c r="E60" s="127" t="s">
        <v>3800</v>
      </c>
      <c r="F60" s="130" t="s">
        <v>3662</v>
      </c>
      <c r="G60" s="71"/>
      <c r="H60" s="130" t="s">
        <v>3691</v>
      </c>
      <c r="I60" s="71"/>
      <c r="J60" s="130" t="s">
        <v>3692</v>
      </c>
      <c r="K60" s="71"/>
      <c r="L60" s="71"/>
      <c r="M60" s="71"/>
      <c r="N60" s="71"/>
    </row>
    <row r="61">
      <c r="A61" s="39" t="s">
        <v>3801</v>
      </c>
      <c r="B61" s="39" t="s">
        <v>3771</v>
      </c>
      <c r="C61" s="126" t="s">
        <v>3802</v>
      </c>
      <c r="D61" s="89">
        <v>15.0</v>
      </c>
      <c r="E61" s="127" t="s">
        <v>3803</v>
      </c>
      <c r="F61" s="130" t="s">
        <v>3662</v>
      </c>
      <c r="G61" s="89" t="s">
        <v>3670</v>
      </c>
      <c r="H61" s="130" t="s">
        <v>3664</v>
      </c>
      <c r="I61" s="71"/>
      <c r="J61" s="130" t="s">
        <v>3665</v>
      </c>
      <c r="K61" s="71"/>
      <c r="L61" s="71"/>
      <c r="M61" s="71"/>
      <c r="N61" s="71"/>
    </row>
    <row r="62">
      <c r="A62" s="39" t="s">
        <v>3804</v>
      </c>
      <c r="B62" s="39" t="s">
        <v>3771</v>
      </c>
      <c r="C62" s="126" t="s">
        <v>3805</v>
      </c>
      <c r="D62" s="89">
        <v>15.0</v>
      </c>
      <c r="E62" s="127" t="s">
        <v>3806</v>
      </c>
      <c r="F62" s="130" t="s">
        <v>3738</v>
      </c>
      <c r="G62" s="71"/>
      <c r="H62" s="130" t="s">
        <v>3807</v>
      </c>
      <c r="I62" s="71"/>
      <c r="J62" s="130" t="s">
        <v>3692</v>
      </c>
      <c r="K62" s="71"/>
      <c r="L62" s="71"/>
      <c r="M62" s="71"/>
      <c r="N62" s="71"/>
    </row>
    <row r="63">
      <c r="A63" s="39" t="s">
        <v>3808</v>
      </c>
      <c r="B63" s="39" t="s">
        <v>3771</v>
      </c>
      <c r="C63" s="126" t="s">
        <v>3809</v>
      </c>
      <c r="D63" s="89">
        <v>25.0</v>
      </c>
      <c r="E63" s="127" t="s">
        <v>3810</v>
      </c>
      <c r="F63" s="130" t="s">
        <v>3669</v>
      </c>
      <c r="G63" s="71"/>
      <c r="H63" s="130" t="s">
        <v>3726</v>
      </c>
      <c r="I63" s="71"/>
      <c r="J63" s="130" t="s">
        <v>3728</v>
      </c>
      <c r="K63" s="71"/>
      <c r="L63" s="71"/>
      <c r="M63" s="71"/>
      <c r="N63" s="71"/>
    </row>
    <row r="64">
      <c r="A64" s="39" t="s">
        <v>3811</v>
      </c>
      <c r="B64" s="39" t="s">
        <v>3771</v>
      </c>
      <c r="C64" s="126" t="s">
        <v>3812</v>
      </c>
      <c r="D64" s="89">
        <v>25.0</v>
      </c>
      <c r="E64" s="127" t="s">
        <v>3813</v>
      </c>
      <c r="F64" s="130" t="s">
        <v>3669</v>
      </c>
      <c r="G64" s="89" t="s">
        <v>3682</v>
      </c>
      <c r="H64" s="130" t="s">
        <v>3671</v>
      </c>
      <c r="I64" s="71"/>
      <c r="J64" s="130" t="s">
        <v>3683</v>
      </c>
      <c r="K64" s="71"/>
      <c r="L64" s="71"/>
      <c r="M64" s="71"/>
      <c r="N64" s="71"/>
    </row>
    <row r="65">
      <c r="A65" s="39" t="s">
        <v>3814</v>
      </c>
      <c r="B65" s="39" t="s">
        <v>3771</v>
      </c>
      <c r="C65" s="126" t="s">
        <v>3815</v>
      </c>
      <c r="D65" s="89">
        <v>25.0</v>
      </c>
      <c r="E65" s="127" t="s">
        <v>3816</v>
      </c>
      <c r="F65" s="130" t="s">
        <v>3669</v>
      </c>
      <c r="G65" s="71"/>
      <c r="H65" s="130" t="s">
        <v>3726</v>
      </c>
      <c r="I65" s="71"/>
      <c r="J65" s="130" t="s">
        <v>3728</v>
      </c>
      <c r="K65" s="71"/>
      <c r="L65" s="71"/>
      <c r="M65" s="71"/>
      <c r="N65" s="71"/>
    </row>
    <row r="66">
      <c r="A66" s="39" t="s">
        <v>3817</v>
      </c>
      <c r="B66" s="39" t="s">
        <v>3771</v>
      </c>
      <c r="C66" s="126" t="s">
        <v>3818</v>
      </c>
      <c r="D66" s="89">
        <v>25.0</v>
      </c>
      <c r="E66" s="127" t="s">
        <v>3819</v>
      </c>
      <c r="F66" s="130" t="s">
        <v>3669</v>
      </c>
      <c r="G66" s="89" t="s">
        <v>3682</v>
      </c>
      <c r="H66" s="130" t="s">
        <v>3671</v>
      </c>
      <c r="I66" s="71"/>
      <c r="J66" s="130" t="s">
        <v>3683</v>
      </c>
      <c r="K66" s="71"/>
      <c r="L66" s="71"/>
      <c r="M66" s="71"/>
      <c r="N66" s="71"/>
    </row>
    <row r="67">
      <c r="A67" s="39" t="s">
        <v>3820</v>
      </c>
      <c r="B67" s="39" t="s">
        <v>3771</v>
      </c>
      <c r="C67" s="126" t="s">
        <v>3821</v>
      </c>
      <c r="D67" s="89">
        <v>25.0</v>
      </c>
      <c r="E67" s="127" t="s">
        <v>3822</v>
      </c>
      <c r="F67" s="130" t="s">
        <v>3676</v>
      </c>
      <c r="G67" s="71"/>
      <c r="H67" s="130" t="s">
        <v>3677</v>
      </c>
      <c r="I67" s="71"/>
      <c r="J67" s="130" t="s">
        <v>3728</v>
      </c>
      <c r="K67" s="71"/>
      <c r="L67" s="71"/>
      <c r="M67" s="71"/>
      <c r="N67" s="71"/>
    </row>
    <row r="68">
      <c r="C68" s="131"/>
      <c r="E68" s="132"/>
    </row>
    <row r="69">
      <c r="A69" s="39" t="s">
        <v>3823</v>
      </c>
      <c r="B69" s="39" t="s">
        <v>3735</v>
      </c>
      <c r="C69" s="126" t="s">
        <v>3824</v>
      </c>
      <c r="D69" s="89">
        <v>9.0</v>
      </c>
      <c r="E69" s="127" t="s">
        <v>3825</v>
      </c>
      <c r="F69" s="71"/>
      <c r="G69" s="71"/>
      <c r="H69" s="71"/>
      <c r="I69" s="71"/>
      <c r="J69" s="71"/>
      <c r="K69" s="71"/>
      <c r="L69" s="71"/>
      <c r="M69" s="71"/>
      <c r="N69" s="71"/>
    </row>
    <row r="70">
      <c r="A70" s="39" t="s">
        <v>3826</v>
      </c>
      <c r="B70" s="39" t="s">
        <v>3735</v>
      </c>
      <c r="C70" s="126" t="s">
        <v>3827</v>
      </c>
      <c r="D70" s="89">
        <v>15.0</v>
      </c>
      <c r="E70" s="127" t="s">
        <v>3828</v>
      </c>
      <c r="F70" s="71"/>
      <c r="G70" s="71"/>
      <c r="H70" s="71"/>
      <c r="I70" s="71"/>
      <c r="J70" s="71"/>
      <c r="K70" s="71"/>
      <c r="L70" s="71"/>
      <c r="M70" s="71"/>
      <c r="N70" s="71"/>
    </row>
    <row r="71">
      <c r="A71" s="39" t="s">
        <v>3829</v>
      </c>
      <c r="B71" s="39" t="s">
        <v>3735</v>
      </c>
      <c r="C71" s="126" t="s">
        <v>3830</v>
      </c>
      <c r="D71" s="89">
        <v>21.0</v>
      </c>
      <c r="E71" s="127" t="s">
        <v>3831</v>
      </c>
      <c r="F71" s="71"/>
      <c r="G71" s="71"/>
      <c r="H71" s="71"/>
      <c r="I71" s="71"/>
      <c r="J71" s="71"/>
      <c r="K71" s="71"/>
      <c r="L71" s="71"/>
      <c r="M71" s="71"/>
      <c r="N71" s="71"/>
    </row>
    <row r="72">
      <c r="C72" s="131"/>
      <c r="E72" s="132"/>
    </row>
    <row r="73">
      <c r="C73" s="131"/>
      <c r="E73" s="132"/>
    </row>
    <row r="74">
      <c r="C74" s="131"/>
      <c r="E74" s="132"/>
    </row>
    <row r="75">
      <c r="C75" s="131"/>
      <c r="E75" s="132"/>
    </row>
    <row r="76">
      <c r="C76" s="131"/>
      <c r="E76" s="132"/>
    </row>
    <row r="77">
      <c r="C77" s="131"/>
      <c r="E77" s="132"/>
    </row>
    <row r="78">
      <c r="C78" s="131"/>
      <c r="E78" s="132"/>
    </row>
    <row r="79">
      <c r="C79" s="131"/>
      <c r="E79" s="132"/>
    </row>
    <row r="80">
      <c r="C80" s="131"/>
      <c r="E80" s="132"/>
    </row>
    <row r="81">
      <c r="C81" s="131"/>
      <c r="E81" s="132"/>
    </row>
    <row r="82">
      <c r="C82" s="131"/>
      <c r="E82" s="132"/>
    </row>
    <row r="83">
      <c r="C83" s="131"/>
      <c r="E83" s="132"/>
    </row>
    <row r="84">
      <c r="C84" s="131"/>
      <c r="E84" s="132"/>
    </row>
    <row r="85">
      <c r="C85" s="131"/>
      <c r="E85" s="132"/>
    </row>
    <row r="86">
      <c r="C86" s="131"/>
      <c r="E86" s="132"/>
    </row>
    <row r="87">
      <c r="C87" s="131"/>
      <c r="E87" s="132"/>
    </row>
    <row r="88">
      <c r="C88" s="131"/>
      <c r="E88" s="132"/>
    </row>
    <row r="89">
      <c r="C89" s="131"/>
      <c r="E89" s="132"/>
    </row>
    <row r="90">
      <c r="C90" s="131"/>
      <c r="E90" s="132"/>
    </row>
    <row r="91">
      <c r="C91" s="131"/>
      <c r="E91" s="132"/>
    </row>
    <row r="92">
      <c r="C92" s="131"/>
      <c r="E92" s="132"/>
    </row>
    <row r="93">
      <c r="C93" s="131"/>
      <c r="E93" s="132"/>
    </row>
    <row r="94">
      <c r="C94" s="131"/>
      <c r="E94" s="132"/>
    </row>
    <row r="95">
      <c r="C95" s="131"/>
      <c r="E95" s="132"/>
    </row>
    <row r="96">
      <c r="C96" s="131"/>
      <c r="E96" s="132"/>
    </row>
    <row r="97">
      <c r="C97" s="131"/>
      <c r="E97" s="132"/>
    </row>
    <row r="98">
      <c r="C98" s="131"/>
      <c r="E98" s="132"/>
    </row>
    <row r="99">
      <c r="C99" s="131"/>
      <c r="E99" s="132"/>
    </row>
    <row r="100">
      <c r="C100" s="131"/>
      <c r="E100" s="132"/>
    </row>
    <row r="101">
      <c r="C101" s="131"/>
      <c r="E101" s="132"/>
    </row>
    <row r="102">
      <c r="C102" s="131"/>
      <c r="E102" s="132"/>
    </row>
    <row r="103">
      <c r="C103" s="131"/>
      <c r="E103" s="132"/>
    </row>
    <row r="104">
      <c r="C104" s="131"/>
      <c r="E104" s="132"/>
    </row>
    <row r="105">
      <c r="C105" s="131"/>
      <c r="E105" s="132"/>
    </row>
    <row r="106">
      <c r="C106" s="131"/>
      <c r="E106" s="132"/>
    </row>
    <row r="107">
      <c r="C107" s="131"/>
      <c r="E107" s="132"/>
    </row>
    <row r="108">
      <c r="C108" s="131"/>
      <c r="E108" s="132"/>
    </row>
    <row r="109">
      <c r="C109" s="131"/>
      <c r="E109" s="132"/>
    </row>
    <row r="110">
      <c r="C110" s="131"/>
      <c r="E110" s="132"/>
    </row>
    <row r="111">
      <c r="C111" s="131"/>
      <c r="E111" s="132"/>
    </row>
    <row r="112">
      <c r="C112" s="131"/>
      <c r="E112" s="132"/>
    </row>
    <row r="113">
      <c r="C113" s="131"/>
      <c r="E113" s="132"/>
    </row>
    <row r="114">
      <c r="C114" s="131"/>
      <c r="E114" s="132"/>
    </row>
    <row r="115">
      <c r="C115" s="131"/>
      <c r="E115" s="132"/>
    </row>
    <row r="116">
      <c r="C116" s="131"/>
      <c r="E116" s="132"/>
    </row>
    <row r="117">
      <c r="C117" s="131"/>
      <c r="E117" s="132"/>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33" t="s">
        <v>3832</v>
      </c>
      <c r="B1" s="133" t="s">
        <v>3833</v>
      </c>
      <c r="C1" s="133" t="s">
        <v>3834</v>
      </c>
      <c r="D1" s="133" t="s">
        <v>3835</v>
      </c>
      <c r="E1" s="133" t="s">
        <v>3836</v>
      </c>
      <c r="F1" s="133" t="s">
        <v>3837</v>
      </c>
      <c r="G1" s="133" t="s">
        <v>3317</v>
      </c>
      <c r="H1" s="133"/>
      <c r="I1" s="134"/>
      <c r="J1" s="133" t="s">
        <v>3838</v>
      </c>
      <c r="K1" s="133" t="s">
        <v>3839</v>
      </c>
      <c r="L1" s="133" t="s">
        <v>3840</v>
      </c>
      <c r="M1" s="133" t="s">
        <v>3837</v>
      </c>
      <c r="N1" s="133" t="s">
        <v>3317</v>
      </c>
      <c r="O1" s="133"/>
      <c r="P1" s="135" t="s">
        <v>3841</v>
      </c>
      <c r="Q1" s="135" t="s">
        <v>3650</v>
      </c>
      <c r="R1" s="135" t="s">
        <v>3842</v>
      </c>
      <c r="S1" s="135" t="s">
        <v>3843</v>
      </c>
      <c r="T1" s="135" t="s">
        <v>3844</v>
      </c>
      <c r="U1" s="135" t="s">
        <v>3837</v>
      </c>
      <c r="V1" s="135" t="s">
        <v>3317</v>
      </c>
      <c r="W1" s="135"/>
    </row>
    <row r="2">
      <c r="A2" s="119" t="s">
        <v>3845</v>
      </c>
      <c r="B2" s="119" t="s">
        <v>3846</v>
      </c>
      <c r="C2" s="119" t="s">
        <v>3847</v>
      </c>
      <c r="D2" s="119" t="s">
        <v>3848</v>
      </c>
      <c r="E2" s="111" t="s">
        <v>3849</v>
      </c>
      <c r="F2" s="119" t="s">
        <v>3850</v>
      </c>
      <c r="G2" s="119" t="s">
        <v>3851</v>
      </c>
      <c r="H2" s="119"/>
      <c r="I2" s="136"/>
      <c r="J2" s="119" t="s">
        <v>1501</v>
      </c>
      <c r="K2" s="119" t="s">
        <v>1812</v>
      </c>
      <c r="L2" s="119" t="s">
        <v>3542</v>
      </c>
      <c r="M2" s="119" t="s">
        <v>3850</v>
      </c>
      <c r="N2" s="119" t="s">
        <v>3852</v>
      </c>
      <c r="O2" s="119"/>
      <c r="P2" s="137" t="s">
        <v>1820</v>
      </c>
      <c r="Q2" s="137" t="s">
        <v>3853</v>
      </c>
      <c r="R2" s="137" t="s">
        <v>29</v>
      </c>
      <c r="S2" s="137" t="s">
        <v>3854</v>
      </c>
      <c r="T2" s="137" t="s">
        <v>3855</v>
      </c>
      <c r="U2" s="137" t="s">
        <v>3856</v>
      </c>
      <c r="V2" s="137" t="s">
        <v>3857</v>
      </c>
      <c r="W2" s="137"/>
    </row>
    <row r="3">
      <c r="A3" s="119" t="s">
        <v>3858</v>
      </c>
      <c r="B3" s="119" t="s">
        <v>3829</v>
      </c>
      <c r="C3" s="119" t="s">
        <v>1820</v>
      </c>
      <c r="D3" s="119" t="s">
        <v>3859</v>
      </c>
      <c r="E3" s="111" t="s">
        <v>3860</v>
      </c>
      <c r="F3" s="119" t="s">
        <v>3861</v>
      </c>
      <c r="G3" s="119" t="s">
        <v>3862</v>
      </c>
      <c r="H3" s="119"/>
      <c r="I3" s="136"/>
      <c r="J3" s="119" t="s">
        <v>1501</v>
      </c>
      <c r="K3" s="119" t="s">
        <v>1763</v>
      </c>
      <c r="L3" s="119" t="s">
        <v>3547</v>
      </c>
      <c r="M3" s="119" t="s">
        <v>3850</v>
      </c>
      <c r="N3" s="119" t="s">
        <v>3852</v>
      </c>
      <c r="O3" s="119"/>
      <c r="P3" s="137" t="s">
        <v>1838</v>
      </c>
      <c r="Q3" s="137" t="s">
        <v>3863</v>
      </c>
      <c r="R3" s="137" t="s">
        <v>1820</v>
      </c>
      <c r="S3" s="137" t="s">
        <v>3864</v>
      </c>
      <c r="T3" s="137" t="s">
        <v>3865</v>
      </c>
      <c r="U3" s="137" t="s">
        <v>3856</v>
      </c>
      <c r="V3" s="137" t="s">
        <v>3866</v>
      </c>
      <c r="W3" s="137"/>
    </row>
    <row r="4">
      <c r="A4" s="119" t="s">
        <v>3867</v>
      </c>
      <c r="B4" s="119" t="s">
        <v>3697</v>
      </c>
      <c r="C4" s="119"/>
      <c r="D4" s="119"/>
      <c r="E4" s="111"/>
      <c r="F4" s="119" t="s">
        <v>3861</v>
      </c>
      <c r="G4" s="119" t="s">
        <v>3862</v>
      </c>
      <c r="H4" s="119"/>
      <c r="I4" s="136"/>
      <c r="J4" s="119" t="s">
        <v>1501</v>
      </c>
      <c r="K4" s="119"/>
      <c r="L4" s="119" t="s">
        <v>3868</v>
      </c>
      <c r="M4" s="119" t="s">
        <v>3850</v>
      </c>
      <c r="N4" s="119" t="s">
        <v>3869</v>
      </c>
      <c r="O4" s="119"/>
      <c r="P4" s="137" t="s">
        <v>1857</v>
      </c>
      <c r="Q4" s="137" t="s">
        <v>3863</v>
      </c>
      <c r="R4" s="137" t="s">
        <v>1820</v>
      </c>
      <c r="S4" s="137" t="s">
        <v>3870</v>
      </c>
      <c r="T4" s="137" t="s">
        <v>3871</v>
      </c>
      <c r="U4" s="137" t="s">
        <v>3856</v>
      </c>
      <c r="V4" s="137" t="s">
        <v>3872</v>
      </c>
      <c r="W4" s="137"/>
    </row>
    <row r="5">
      <c r="A5" s="119" t="s">
        <v>3873</v>
      </c>
      <c r="B5" s="119" t="s">
        <v>3874</v>
      </c>
      <c r="C5" s="119"/>
      <c r="D5" s="119"/>
      <c r="E5" s="111"/>
      <c r="F5" s="119" t="s">
        <v>3875</v>
      </c>
      <c r="G5" s="119" t="s">
        <v>3876</v>
      </c>
      <c r="H5" s="119"/>
      <c r="I5" s="136"/>
      <c r="J5" s="119" t="s">
        <v>1521</v>
      </c>
      <c r="K5" s="119" t="s">
        <v>1812</v>
      </c>
      <c r="L5" s="119" t="s">
        <v>3550</v>
      </c>
      <c r="M5" s="119" t="s">
        <v>3850</v>
      </c>
      <c r="N5" s="119" t="s">
        <v>3877</v>
      </c>
      <c r="O5" s="119"/>
      <c r="P5" s="137" t="s">
        <v>1876</v>
      </c>
      <c r="Q5" s="137" t="s">
        <v>3863</v>
      </c>
      <c r="R5" s="137" t="s">
        <v>1820</v>
      </c>
      <c r="S5" s="137" t="s">
        <v>3878</v>
      </c>
      <c r="T5" s="137" t="s">
        <v>3879</v>
      </c>
      <c r="U5" s="137" t="s">
        <v>3856</v>
      </c>
      <c r="V5" s="137" t="s">
        <v>3880</v>
      </c>
      <c r="W5" s="137"/>
    </row>
    <row r="6">
      <c r="A6" s="119" t="s">
        <v>3881</v>
      </c>
      <c r="B6" s="119" t="s">
        <v>3882</v>
      </c>
      <c r="C6" s="119"/>
      <c r="D6" s="119"/>
      <c r="E6" s="111"/>
      <c r="F6" s="119" t="s">
        <v>3875</v>
      </c>
      <c r="G6" s="119" t="s">
        <v>3883</v>
      </c>
      <c r="H6" s="119"/>
      <c r="I6" s="136"/>
      <c r="J6" s="119" t="s">
        <v>1507</v>
      </c>
      <c r="K6" s="119" t="s">
        <v>1775</v>
      </c>
      <c r="L6" s="119" t="s">
        <v>3553</v>
      </c>
      <c r="M6" s="119" t="s">
        <v>3850</v>
      </c>
      <c r="N6" s="119" t="s">
        <v>3852</v>
      </c>
      <c r="O6" s="119"/>
      <c r="P6" s="137" t="s">
        <v>1894</v>
      </c>
      <c r="Q6" s="137" t="s">
        <v>3884</v>
      </c>
      <c r="R6" s="137" t="s">
        <v>29</v>
      </c>
      <c r="S6" s="137" t="s">
        <v>3885</v>
      </c>
      <c r="T6" s="137" t="s">
        <v>3886</v>
      </c>
      <c r="U6" s="137" t="s">
        <v>3887</v>
      </c>
      <c r="V6" s="137" t="s">
        <v>3888</v>
      </c>
      <c r="W6" s="137"/>
    </row>
    <row r="7">
      <c r="A7" s="119" t="s">
        <v>3889</v>
      </c>
      <c r="B7" s="119" t="s">
        <v>3347</v>
      </c>
      <c r="C7" s="119" t="s">
        <v>1820</v>
      </c>
      <c r="D7" s="119" t="s">
        <v>3890</v>
      </c>
      <c r="E7" s="111" t="s">
        <v>3891</v>
      </c>
      <c r="F7" s="119" t="s">
        <v>3861</v>
      </c>
      <c r="G7" s="119" t="s">
        <v>3892</v>
      </c>
      <c r="H7" s="119"/>
      <c r="I7" s="136"/>
      <c r="J7" s="119" t="s">
        <v>1507</v>
      </c>
      <c r="K7" s="119" t="s">
        <v>1766</v>
      </c>
      <c r="L7" s="119" t="s">
        <v>3556</v>
      </c>
      <c r="M7" s="119" t="s">
        <v>3850</v>
      </c>
      <c r="N7" s="119" t="s">
        <v>3852</v>
      </c>
      <c r="O7" s="119"/>
      <c r="P7" s="137" t="s">
        <v>3893</v>
      </c>
      <c r="Q7" s="137" t="s">
        <v>3884</v>
      </c>
      <c r="R7" s="137" t="s">
        <v>29</v>
      </c>
      <c r="S7" s="137" t="s">
        <v>3894</v>
      </c>
      <c r="T7" s="137" t="s">
        <v>3895</v>
      </c>
      <c r="U7" s="137" t="s">
        <v>3887</v>
      </c>
      <c r="V7" s="137" t="s">
        <v>3896</v>
      </c>
      <c r="W7" s="137"/>
    </row>
    <row r="8">
      <c r="A8" s="119" t="s">
        <v>3897</v>
      </c>
      <c r="B8" s="119" t="s">
        <v>3350</v>
      </c>
      <c r="C8" s="119"/>
      <c r="D8" s="119" t="s">
        <v>3898</v>
      </c>
      <c r="E8" s="111" t="s">
        <v>3899</v>
      </c>
      <c r="F8" s="119" t="s">
        <v>3861</v>
      </c>
      <c r="G8" s="119" t="s">
        <v>3900</v>
      </c>
      <c r="H8" s="119"/>
      <c r="I8" s="136"/>
      <c r="J8" s="119" t="s">
        <v>1507</v>
      </c>
      <c r="K8" s="119"/>
      <c r="L8" s="119" t="s">
        <v>3901</v>
      </c>
      <c r="M8" s="119" t="s">
        <v>3850</v>
      </c>
      <c r="N8" s="119" t="s">
        <v>3869</v>
      </c>
      <c r="O8" s="119"/>
    </row>
    <row r="9">
      <c r="A9" s="119" t="s">
        <v>3902</v>
      </c>
      <c r="B9" s="119" t="s">
        <v>3419</v>
      </c>
      <c r="C9" s="119" t="s">
        <v>1820</v>
      </c>
      <c r="D9" s="119" t="s">
        <v>3903</v>
      </c>
      <c r="E9" s="111" t="s">
        <v>3904</v>
      </c>
      <c r="F9" s="119" t="s">
        <v>3861</v>
      </c>
      <c r="G9" s="119" t="s">
        <v>3905</v>
      </c>
      <c r="H9" s="119"/>
      <c r="I9" s="136"/>
      <c r="J9" s="119" t="s">
        <v>1504</v>
      </c>
      <c r="K9" s="119" t="s">
        <v>1778</v>
      </c>
      <c r="L9" s="119" t="s">
        <v>3560</v>
      </c>
      <c r="M9" s="119" t="s">
        <v>3850</v>
      </c>
      <c r="N9" s="119" t="s">
        <v>3852</v>
      </c>
      <c r="O9" s="119"/>
      <c r="P9" s="119"/>
      <c r="Q9" s="119"/>
      <c r="R9" s="119"/>
      <c r="S9" s="119"/>
      <c r="T9" s="119"/>
      <c r="U9" s="119"/>
      <c r="V9" s="119"/>
      <c r="W9" s="119"/>
    </row>
    <row r="10">
      <c r="A10" s="119" t="s">
        <v>3906</v>
      </c>
      <c r="B10" s="119" t="s">
        <v>3422</v>
      </c>
      <c r="C10" s="119" t="s">
        <v>1820</v>
      </c>
      <c r="D10" s="119" t="s">
        <v>3907</v>
      </c>
      <c r="E10" s="111" t="s">
        <v>3908</v>
      </c>
      <c r="F10" s="119" t="s">
        <v>3861</v>
      </c>
      <c r="G10" s="119" t="s">
        <v>3909</v>
      </c>
      <c r="H10" s="119"/>
      <c r="I10" s="136"/>
      <c r="J10" s="119" t="s">
        <v>1504</v>
      </c>
      <c r="K10" s="119"/>
      <c r="L10" s="119" t="s">
        <v>3910</v>
      </c>
      <c r="M10" s="119" t="s">
        <v>3850</v>
      </c>
      <c r="N10" s="119" t="s">
        <v>3869</v>
      </c>
      <c r="O10" s="119"/>
      <c r="P10" s="111"/>
      <c r="Q10" s="111"/>
      <c r="R10" s="111"/>
      <c r="S10" s="111"/>
      <c r="T10" s="111"/>
      <c r="U10" s="111"/>
      <c r="V10" s="111"/>
      <c r="W10" s="111"/>
    </row>
    <row r="11">
      <c r="A11" s="119" t="s">
        <v>3911</v>
      </c>
      <c r="B11" s="119" t="s">
        <v>3390</v>
      </c>
      <c r="C11" s="119"/>
      <c r="D11" s="119" t="s">
        <v>3912</v>
      </c>
      <c r="E11" s="111" t="s">
        <v>3913</v>
      </c>
      <c r="F11" s="119" t="s">
        <v>3861</v>
      </c>
      <c r="G11" s="119" t="s">
        <v>3914</v>
      </c>
      <c r="H11" s="119"/>
      <c r="I11" s="136"/>
      <c r="J11" s="119" t="s">
        <v>1504</v>
      </c>
      <c r="K11" s="119" t="s">
        <v>1781</v>
      </c>
      <c r="L11" s="119" t="s">
        <v>3564</v>
      </c>
      <c r="M11" s="119" t="s">
        <v>3850</v>
      </c>
      <c r="N11" s="119" t="s">
        <v>3852</v>
      </c>
      <c r="O11" s="119"/>
      <c r="P11" s="111"/>
      <c r="Q11" s="111"/>
      <c r="R11" s="111"/>
      <c r="S11" s="111"/>
      <c r="T11" s="111"/>
      <c r="U11" s="111"/>
      <c r="V11" s="111"/>
      <c r="W11" s="111"/>
    </row>
    <row r="12">
      <c r="A12" s="119" t="s">
        <v>3915</v>
      </c>
      <c r="B12" s="119" t="s">
        <v>3379</v>
      </c>
      <c r="C12" s="119" t="s">
        <v>1820</v>
      </c>
      <c r="D12" s="119" t="s">
        <v>3916</v>
      </c>
      <c r="E12" s="111" t="s">
        <v>3917</v>
      </c>
      <c r="F12" s="119" t="s">
        <v>3861</v>
      </c>
      <c r="G12" s="119" t="s">
        <v>3918</v>
      </c>
      <c r="H12" s="119"/>
      <c r="I12" s="136"/>
      <c r="J12" s="119" t="s">
        <v>1516</v>
      </c>
      <c r="K12" s="119" t="s">
        <v>1781</v>
      </c>
      <c r="L12" s="119" t="s">
        <v>3568</v>
      </c>
      <c r="M12" s="119" t="s">
        <v>3850</v>
      </c>
      <c r="N12" s="119" t="s">
        <v>3852</v>
      </c>
      <c r="O12" s="119"/>
      <c r="P12" s="111"/>
      <c r="Q12" s="111"/>
      <c r="R12" s="111"/>
      <c r="S12" s="111"/>
      <c r="T12" s="111"/>
      <c r="U12" s="111"/>
      <c r="V12" s="111"/>
      <c r="W12" s="111"/>
    </row>
    <row r="13">
      <c r="A13" s="119" t="s">
        <v>3919</v>
      </c>
      <c r="B13" s="119" t="s">
        <v>3450</v>
      </c>
      <c r="C13" s="119" t="s">
        <v>3920</v>
      </c>
      <c r="D13" s="119" t="s">
        <v>3921</v>
      </c>
      <c r="E13" s="111" t="s">
        <v>3922</v>
      </c>
      <c r="F13" s="119" t="s">
        <v>3861</v>
      </c>
      <c r="G13" s="119" t="s">
        <v>3923</v>
      </c>
      <c r="H13" s="119"/>
      <c r="I13" s="136"/>
      <c r="J13" s="119" t="s">
        <v>1516</v>
      </c>
      <c r="K13" s="119" t="s">
        <v>1788</v>
      </c>
      <c r="L13" s="119" t="s">
        <v>3573</v>
      </c>
      <c r="M13" s="119" t="s">
        <v>3850</v>
      </c>
      <c r="N13" s="119" t="s">
        <v>3852</v>
      </c>
      <c r="O13" s="119"/>
      <c r="P13" s="111"/>
      <c r="Q13" s="111"/>
      <c r="R13" s="111"/>
      <c r="S13" s="111"/>
      <c r="T13" s="111"/>
      <c r="U13" s="111"/>
      <c r="V13" s="111"/>
      <c r="W13" s="111"/>
    </row>
    <row r="14">
      <c r="A14" s="119" t="s">
        <v>3924</v>
      </c>
      <c r="B14" s="119" t="s">
        <v>3413</v>
      </c>
      <c r="C14" s="119" t="s">
        <v>3925</v>
      </c>
      <c r="D14" s="119" t="s">
        <v>3926</v>
      </c>
      <c r="E14" s="109" t="s">
        <v>3927</v>
      </c>
      <c r="F14" s="119" t="s">
        <v>3861</v>
      </c>
      <c r="G14" s="119" t="s">
        <v>3928</v>
      </c>
      <c r="H14" s="119"/>
      <c r="I14" s="136"/>
      <c r="J14" s="119" t="s">
        <v>1516</v>
      </c>
      <c r="K14" s="119" t="s">
        <v>1778</v>
      </c>
      <c r="L14" s="119" t="s">
        <v>3576</v>
      </c>
      <c r="M14" s="119" t="s">
        <v>3850</v>
      </c>
      <c r="N14" s="119" t="s">
        <v>3852</v>
      </c>
      <c r="O14" s="119"/>
      <c r="P14" s="111"/>
      <c r="Q14" s="111"/>
      <c r="R14" s="111"/>
      <c r="S14" s="111"/>
      <c r="T14" s="111"/>
      <c r="U14" s="111"/>
      <c r="V14" s="111"/>
      <c r="W14" s="111"/>
    </row>
    <row r="15">
      <c r="A15" s="119" t="s">
        <v>3929</v>
      </c>
      <c r="B15" s="119" t="s">
        <v>1920</v>
      </c>
      <c r="C15" s="119"/>
      <c r="D15" s="119" t="s">
        <v>3930</v>
      </c>
      <c r="E15" s="111" t="s">
        <v>3931</v>
      </c>
      <c r="F15" s="119" t="s">
        <v>3861</v>
      </c>
      <c r="G15" s="119" t="s">
        <v>3932</v>
      </c>
      <c r="H15" s="138"/>
      <c r="I15" s="136"/>
      <c r="J15" s="119" t="s">
        <v>1494</v>
      </c>
      <c r="K15" s="119" t="s">
        <v>1775</v>
      </c>
      <c r="L15" s="119" t="s">
        <v>3578</v>
      </c>
      <c r="M15" s="119" t="s">
        <v>3850</v>
      </c>
      <c r="N15" s="119" t="s">
        <v>3852</v>
      </c>
      <c r="O15" s="119"/>
      <c r="P15" s="111"/>
      <c r="Q15" s="111"/>
      <c r="R15" s="111"/>
      <c r="S15" s="111"/>
      <c r="T15" s="111"/>
      <c r="U15" s="111"/>
      <c r="V15" s="111"/>
      <c r="W15" s="111"/>
    </row>
    <row r="16">
      <c r="A16" s="119" t="s">
        <v>3933</v>
      </c>
      <c r="B16" s="119" t="s">
        <v>3344</v>
      </c>
      <c r="C16" s="119"/>
      <c r="D16" s="119" t="s">
        <v>3934</v>
      </c>
      <c r="E16" s="111" t="s">
        <v>3935</v>
      </c>
      <c r="F16" s="119" t="s">
        <v>3861</v>
      </c>
      <c r="G16" s="119" t="s">
        <v>3936</v>
      </c>
      <c r="I16" s="139"/>
      <c r="J16" s="39" t="s">
        <v>1494</v>
      </c>
      <c r="K16" s="39" t="s">
        <v>1788</v>
      </c>
      <c r="L16" s="39" t="s">
        <v>3581</v>
      </c>
      <c r="M16" s="39" t="s">
        <v>3850</v>
      </c>
      <c r="N16" s="39" t="s">
        <v>3852</v>
      </c>
      <c r="O16" s="39"/>
      <c r="P16" s="106"/>
      <c r="Q16" s="106"/>
      <c r="R16" s="106"/>
      <c r="S16" s="106"/>
      <c r="T16" s="106"/>
      <c r="U16" s="106"/>
      <c r="V16" s="106"/>
      <c r="W16" s="106"/>
    </row>
    <row r="17">
      <c r="A17" s="119" t="s">
        <v>3937</v>
      </c>
      <c r="B17" s="119" t="s">
        <v>3480</v>
      </c>
      <c r="C17" s="119"/>
      <c r="D17" s="119" t="s">
        <v>3938</v>
      </c>
      <c r="E17" s="111" t="s">
        <v>3939</v>
      </c>
      <c r="F17" s="119" t="s">
        <v>3861</v>
      </c>
      <c r="G17" s="119" t="s">
        <v>3940</v>
      </c>
      <c r="I17" s="139"/>
      <c r="J17" s="39" t="s">
        <v>1494</v>
      </c>
      <c r="K17" s="39" t="s">
        <v>1797</v>
      </c>
      <c r="L17" s="39" t="s">
        <v>3585</v>
      </c>
      <c r="M17" s="39" t="s">
        <v>3850</v>
      </c>
      <c r="N17" s="39" t="s">
        <v>3852</v>
      </c>
      <c r="O17" s="39"/>
      <c r="P17" s="106"/>
      <c r="Q17" s="106"/>
      <c r="R17" s="106"/>
      <c r="S17" s="109"/>
      <c r="T17" s="109"/>
      <c r="U17" s="106"/>
      <c r="V17" s="109"/>
      <c r="W17" s="106"/>
    </row>
    <row r="18">
      <c r="A18" s="119" t="s">
        <v>3941</v>
      </c>
      <c r="B18" s="119" t="s">
        <v>3489</v>
      </c>
      <c r="C18" s="119"/>
      <c r="D18" s="119" t="s">
        <v>3942</v>
      </c>
      <c r="E18" s="111" t="s">
        <v>3943</v>
      </c>
      <c r="F18" s="119" t="s">
        <v>3861</v>
      </c>
      <c r="G18" s="119" t="s">
        <v>3944</v>
      </c>
      <c r="I18" s="139"/>
      <c r="J18" s="39" t="s">
        <v>1511</v>
      </c>
      <c r="K18" s="39"/>
      <c r="L18" s="39" t="s">
        <v>3945</v>
      </c>
      <c r="M18" s="39" t="s">
        <v>3850</v>
      </c>
      <c r="N18" s="39" t="s">
        <v>3869</v>
      </c>
      <c r="O18" s="39"/>
      <c r="P18" s="106"/>
      <c r="Q18" s="106"/>
      <c r="R18" s="106"/>
      <c r="S18" s="106"/>
      <c r="T18" s="106"/>
      <c r="U18" s="106"/>
      <c r="V18" s="106"/>
      <c r="W18" s="106"/>
    </row>
    <row r="19">
      <c r="A19" s="119"/>
      <c r="B19" s="119"/>
      <c r="C19" s="119"/>
      <c r="D19" s="119"/>
      <c r="E19" s="111"/>
      <c r="F19" s="119"/>
      <c r="G19" s="119"/>
      <c r="I19" s="139"/>
      <c r="J19" s="39" t="s">
        <v>1528</v>
      </c>
      <c r="K19" s="39" t="s">
        <v>1788</v>
      </c>
      <c r="L19" s="39" t="s">
        <v>3588</v>
      </c>
      <c r="M19" s="39" t="s">
        <v>3850</v>
      </c>
      <c r="N19" s="39" t="s">
        <v>3852</v>
      </c>
      <c r="O19" s="39"/>
      <c r="P19" s="106"/>
      <c r="Q19" s="106"/>
      <c r="R19" s="106"/>
      <c r="S19" s="106"/>
      <c r="T19" s="106"/>
      <c r="U19" s="106"/>
      <c r="V19" s="106"/>
      <c r="W19" s="106"/>
    </row>
    <row r="20">
      <c r="A20" s="39" t="s">
        <v>3946</v>
      </c>
      <c r="B20" s="39" t="s">
        <v>3458</v>
      </c>
      <c r="C20" s="39" t="s">
        <v>147</v>
      </c>
      <c r="D20" s="39" t="s">
        <v>3947</v>
      </c>
      <c r="E20" s="106" t="s">
        <v>3948</v>
      </c>
      <c r="F20" s="39" t="s">
        <v>3861</v>
      </c>
      <c r="G20" s="39" t="s">
        <v>3949</v>
      </c>
      <c r="I20" s="139"/>
      <c r="J20" s="39" t="s">
        <v>1528</v>
      </c>
      <c r="K20" s="39" t="s">
        <v>1778</v>
      </c>
      <c r="L20" s="39" t="s">
        <v>3592</v>
      </c>
      <c r="M20" s="39" t="s">
        <v>3850</v>
      </c>
      <c r="N20" s="39" t="s">
        <v>3852</v>
      </c>
      <c r="O20" s="39"/>
      <c r="P20" s="106"/>
      <c r="Q20" s="106"/>
      <c r="R20" s="106"/>
      <c r="S20" s="106"/>
      <c r="T20" s="106"/>
      <c r="U20" s="106"/>
      <c r="V20" s="106"/>
      <c r="W20" s="106"/>
    </row>
    <row r="21">
      <c r="A21" s="39" t="s">
        <v>3950</v>
      </c>
      <c r="B21" s="39" t="s">
        <v>3951</v>
      </c>
      <c r="C21" s="39" t="s">
        <v>1820</v>
      </c>
      <c r="D21" s="39" t="s">
        <v>3952</v>
      </c>
      <c r="E21" s="106" t="s">
        <v>3953</v>
      </c>
      <c r="F21" s="39" t="s">
        <v>3861</v>
      </c>
      <c r="G21" s="39" t="s">
        <v>3954</v>
      </c>
      <c r="I21" s="139"/>
      <c r="J21" s="39" t="s">
        <v>1528</v>
      </c>
      <c r="K21" s="39" t="s">
        <v>1760</v>
      </c>
      <c r="L21" s="39" t="s">
        <v>3595</v>
      </c>
      <c r="M21" s="39" t="s">
        <v>3850</v>
      </c>
      <c r="N21" s="39" t="s">
        <v>3852</v>
      </c>
      <c r="O21" s="39"/>
      <c r="P21" s="106"/>
      <c r="Q21" s="106"/>
      <c r="R21" s="106"/>
      <c r="S21" s="106"/>
      <c r="T21" s="106"/>
      <c r="U21" s="106"/>
      <c r="V21" s="106"/>
      <c r="W21" s="106"/>
    </row>
    <row r="22">
      <c r="A22" s="39" t="s">
        <v>3955</v>
      </c>
      <c r="B22" s="39" t="s">
        <v>3956</v>
      </c>
      <c r="C22" s="39" t="s">
        <v>3957</v>
      </c>
      <c r="D22" s="39" t="s">
        <v>3958</v>
      </c>
      <c r="E22" s="106" t="s">
        <v>3959</v>
      </c>
      <c r="F22" s="39" t="s">
        <v>3861</v>
      </c>
      <c r="G22" s="39" t="s">
        <v>3960</v>
      </c>
      <c r="I22" s="139"/>
      <c r="J22" s="39" t="s">
        <v>1573</v>
      </c>
      <c r="K22" s="39" t="s">
        <v>1760</v>
      </c>
      <c r="L22" s="39" t="s">
        <v>3598</v>
      </c>
      <c r="M22" s="39" t="s">
        <v>3850</v>
      </c>
      <c r="N22" s="39" t="s">
        <v>3961</v>
      </c>
      <c r="O22" s="39"/>
      <c r="P22" s="106"/>
      <c r="Q22" s="106"/>
      <c r="R22" s="106"/>
      <c r="S22" s="106"/>
      <c r="T22" s="106"/>
      <c r="U22" s="106"/>
      <c r="V22" s="106"/>
      <c r="W22" s="106"/>
    </row>
    <row r="23">
      <c r="A23" s="39" t="s">
        <v>3962</v>
      </c>
      <c r="B23" s="39" t="s">
        <v>3963</v>
      </c>
      <c r="E23" s="109"/>
      <c r="F23" s="39" t="s">
        <v>3861</v>
      </c>
      <c r="G23" s="39" t="s">
        <v>3964</v>
      </c>
      <c r="I23" s="139"/>
      <c r="J23" s="39" t="s">
        <v>1511</v>
      </c>
      <c r="K23" s="39" t="s">
        <v>1766</v>
      </c>
      <c r="L23" s="39" t="s">
        <v>3390</v>
      </c>
      <c r="M23" s="39" t="s">
        <v>3861</v>
      </c>
      <c r="N23" s="39" t="s">
        <v>3965</v>
      </c>
      <c r="O23" s="39"/>
      <c r="P23" s="106"/>
      <c r="Q23" s="106"/>
      <c r="R23" s="106"/>
      <c r="S23" s="106"/>
      <c r="T23" s="106"/>
      <c r="U23" s="106"/>
      <c r="V23" s="106"/>
      <c r="W23" s="106"/>
    </row>
    <row r="24">
      <c r="A24" s="39" t="s">
        <v>3966</v>
      </c>
      <c r="B24" s="39" t="s">
        <v>3967</v>
      </c>
      <c r="E24" s="109"/>
      <c r="F24" s="39" t="s">
        <v>3861</v>
      </c>
      <c r="G24" s="39" t="s">
        <v>3968</v>
      </c>
      <c r="I24" s="139"/>
      <c r="J24" s="39" t="s">
        <v>1507</v>
      </c>
      <c r="K24" s="39" t="s">
        <v>1775</v>
      </c>
      <c r="L24" s="39" t="s">
        <v>3433</v>
      </c>
      <c r="M24" s="39" t="s">
        <v>3861</v>
      </c>
      <c r="N24" s="39" t="s">
        <v>3969</v>
      </c>
      <c r="O24" s="39"/>
      <c r="P24" s="106"/>
      <c r="Q24" s="106"/>
      <c r="R24" s="106"/>
      <c r="S24" s="106"/>
      <c r="T24" s="106"/>
      <c r="U24" s="106"/>
      <c r="V24" s="106"/>
      <c r="W24" s="106"/>
    </row>
    <row r="25">
      <c r="A25" s="39" t="s">
        <v>3970</v>
      </c>
      <c r="B25" s="39" t="s">
        <v>3971</v>
      </c>
      <c r="E25" s="109"/>
      <c r="F25" s="39" t="s">
        <v>3861</v>
      </c>
      <c r="G25" s="39" t="s">
        <v>3972</v>
      </c>
      <c r="I25" s="140"/>
      <c r="J25" s="39" t="s">
        <v>1511</v>
      </c>
      <c r="K25" s="39" t="s">
        <v>1491</v>
      </c>
      <c r="L25" s="39" t="s">
        <v>3435</v>
      </c>
      <c r="M25" s="39" t="s">
        <v>3861</v>
      </c>
      <c r="N25" s="39" t="s">
        <v>3973</v>
      </c>
      <c r="O25" s="39"/>
      <c r="P25" s="106"/>
      <c r="Q25" s="106"/>
      <c r="R25" s="106"/>
      <c r="S25" s="106"/>
      <c r="T25" s="106"/>
      <c r="U25" s="106"/>
      <c r="V25" s="106"/>
      <c r="W25" s="106"/>
    </row>
    <row r="26">
      <c r="A26" s="39" t="s">
        <v>3974</v>
      </c>
      <c r="B26" s="39" t="s">
        <v>3975</v>
      </c>
      <c r="E26" s="109"/>
      <c r="F26" s="39" t="s">
        <v>3861</v>
      </c>
      <c r="G26" s="39" t="s">
        <v>3976</v>
      </c>
      <c r="I26" s="140"/>
      <c r="J26" s="39" t="s">
        <v>1504</v>
      </c>
      <c r="K26" s="39" t="s">
        <v>1778</v>
      </c>
      <c r="L26" s="39" t="s">
        <v>3469</v>
      </c>
      <c r="M26" s="39" t="s">
        <v>3861</v>
      </c>
      <c r="N26" s="39" t="s">
        <v>3977</v>
      </c>
      <c r="O26" s="39"/>
      <c r="P26" s="106"/>
      <c r="Q26" s="106"/>
      <c r="R26" s="106"/>
      <c r="S26" s="106"/>
      <c r="T26" s="106"/>
      <c r="U26" s="106"/>
      <c r="V26" s="106"/>
      <c r="W26" s="106"/>
    </row>
    <row r="27">
      <c r="A27" s="39" t="s">
        <v>3978</v>
      </c>
      <c r="B27" s="39" t="s">
        <v>3979</v>
      </c>
      <c r="E27" s="109"/>
      <c r="F27" s="39" t="s">
        <v>3861</v>
      </c>
      <c r="G27" s="39" t="s">
        <v>3980</v>
      </c>
      <c r="I27" s="140"/>
      <c r="J27" s="39" t="s">
        <v>1504</v>
      </c>
      <c r="K27" s="39" t="s">
        <v>1781</v>
      </c>
      <c r="L27" s="39" t="s">
        <v>3471</v>
      </c>
      <c r="M27" s="39" t="s">
        <v>3861</v>
      </c>
      <c r="N27" s="39" t="s">
        <v>3981</v>
      </c>
      <c r="O27" s="39"/>
      <c r="P27" s="106"/>
      <c r="Q27" s="106"/>
      <c r="R27" s="106"/>
      <c r="S27" s="106"/>
      <c r="T27" s="106"/>
      <c r="U27" s="106"/>
      <c r="V27" s="106"/>
      <c r="W27" s="106"/>
    </row>
    <row r="28">
      <c r="A28" s="39" t="s">
        <v>3982</v>
      </c>
      <c r="B28" s="39" t="s">
        <v>3983</v>
      </c>
      <c r="E28" s="109"/>
      <c r="F28" s="39" t="s">
        <v>3861</v>
      </c>
      <c r="G28" s="39" t="s">
        <v>3984</v>
      </c>
      <c r="I28" s="140"/>
      <c r="J28" s="39" t="s">
        <v>1533</v>
      </c>
      <c r="K28" s="39" t="s">
        <v>1760</v>
      </c>
      <c r="M28" s="39" t="s">
        <v>3850</v>
      </c>
      <c r="N28" s="39" t="s">
        <v>3985</v>
      </c>
      <c r="O28" s="39"/>
      <c r="P28" s="106"/>
      <c r="Q28" s="106"/>
      <c r="R28" s="106"/>
      <c r="S28" s="106"/>
      <c r="T28" s="106"/>
      <c r="U28" s="106"/>
      <c r="V28" s="106"/>
      <c r="W28" s="106"/>
    </row>
    <row r="29">
      <c r="A29" s="39" t="s">
        <v>3986</v>
      </c>
      <c r="B29" s="39" t="s">
        <v>3987</v>
      </c>
      <c r="C29" s="39" t="s">
        <v>3988</v>
      </c>
      <c r="D29" s="39" t="s">
        <v>3989</v>
      </c>
      <c r="E29" s="106" t="s">
        <v>3990</v>
      </c>
      <c r="F29" s="39" t="s">
        <v>3861</v>
      </c>
      <c r="G29" s="39" t="s">
        <v>3991</v>
      </c>
      <c r="I29" s="140"/>
      <c r="J29" s="39" t="s">
        <v>1533</v>
      </c>
      <c r="K29" s="39" t="s">
        <v>1797</v>
      </c>
      <c r="M29" s="39" t="s">
        <v>3850</v>
      </c>
      <c r="N29" s="39" t="s">
        <v>3985</v>
      </c>
      <c r="O29" s="39"/>
      <c r="P29" s="106"/>
      <c r="Q29" s="106"/>
      <c r="R29" s="106"/>
      <c r="S29" s="106"/>
      <c r="T29" s="106"/>
      <c r="U29" s="106"/>
      <c r="V29" s="106"/>
      <c r="W29" s="106"/>
    </row>
    <row r="30">
      <c r="A30" s="39" t="s">
        <v>3992</v>
      </c>
      <c r="B30" s="39" t="s">
        <v>3993</v>
      </c>
      <c r="E30" s="109"/>
      <c r="F30" s="39" t="s">
        <v>3861</v>
      </c>
      <c r="G30" s="39" t="s">
        <v>3994</v>
      </c>
      <c r="I30" s="140"/>
      <c r="J30" s="39" t="s">
        <v>1533</v>
      </c>
      <c r="K30" s="39" t="s">
        <v>1788</v>
      </c>
      <c r="M30" s="39" t="s">
        <v>3850</v>
      </c>
      <c r="N30" s="39" t="s">
        <v>3985</v>
      </c>
      <c r="O30" s="39"/>
      <c r="P30" s="106"/>
      <c r="Q30" s="106"/>
      <c r="R30" s="106"/>
      <c r="S30" s="106"/>
      <c r="T30" s="106"/>
      <c r="U30" s="106"/>
      <c r="V30" s="106"/>
      <c r="W30" s="106"/>
    </row>
    <row r="31">
      <c r="A31" s="39" t="s">
        <v>3995</v>
      </c>
      <c r="B31" s="39" t="s">
        <v>3996</v>
      </c>
      <c r="C31" s="39" t="s">
        <v>3988</v>
      </c>
      <c r="E31" s="109"/>
      <c r="F31" s="39" t="s">
        <v>3861</v>
      </c>
      <c r="G31" s="39" t="s">
        <v>3997</v>
      </c>
      <c r="I31" s="140"/>
      <c r="J31" s="39" t="s">
        <v>3998</v>
      </c>
      <c r="K31" s="39" t="s">
        <v>1788</v>
      </c>
      <c r="M31" s="39" t="s">
        <v>3850</v>
      </c>
      <c r="N31" s="39" t="s">
        <v>3985</v>
      </c>
      <c r="O31" s="39"/>
      <c r="P31" s="106"/>
      <c r="Q31" s="106"/>
      <c r="R31" s="106"/>
      <c r="S31" s="106"/>
      <c r="T31" s="106"/>
      <c r="U31" s="106"/>
      <c r="V31" s="106"/>
      <c r="W31" s="106"/>
    </row>
    <row r="32">
      <c r="A32" s="39" t="s">
        <v>3999</v>
      </c>
      <c r="B32" s="39" t="s">
        <v>4000</v>
      </c>
      <c r="C32" s="39" t="s">
        <v>4001</v>
      </c>
      <c r="D32" s="39" t="s">
        <v>4002</v>
      </c>
      <c r="E32" s="106" t="s">
        <v>4003</v>
      </c>
      <c r="F32" s="39" t="s">
        <v>3861</v>
      </c>
      <c r="G32" s="39" t="s">
        <v>4004</v>
      </c>
      <c r="I32" s="140"/>
      <c r="J32" s="39" t="s">
        <v>3998</v>
      </c>
      <c r="K32" s="39" t="s">
        <v>1775</v>
      </c>
      <c r="M32" s="39" t="s">
        <v>3850</v>
      </c>
      <c r="N32" s="39" t="s">
        <v>3985</v>
      </c>
      <c r="O32" s="39"/>
      <c r="P32" s="106"/>
      <c r="Q32" s="106"/>
      <c r="R32" s="106"/>
      <c r="S32" s="106"/>
      <c r="T32" s="106"/>
      <c r="U32" s="106"/>
      <c r="V32" s="106"/>
      <c r="W32" s="106"/>
    </row>
    <row r="33">
      <c r="A33" s="39" t="s">
        <v>4005</v>
      </c>
      <c r="B33" s="39" t="s">
        <v>4006</v>
      </c>
      <c r="C33" s="39" t="s">
        <v>4001</v>
      </c>
      <c r="D33" s="39" t="s">
        <v>4007</v>
      </c>
      <c r="E33" s="106" t="s">
        <v>4008</v>
      </c>
      <c r="F33" s="39" t="s">
        <v>3861</v>
      </c>
      <c r="G33" s="39" t="s">
        <v>4009</v>
      </c>
      <c r="I33" s="140"/>
      <c r="J33" s="39" t="s">
        <v>3998</v>
      </c>
      <c r="K33" s="39" t="s">
        <v>1763</v>
      </c>
      <c r="M33" s="39" t="s">
        <v>3850</v>
      </c>
      <c r="N33" s="39" t="s">
        <v>3985</v>
      </c>
      <c r="O33" s="39"/>
      <c r="P33" s="106"/>
      <c r="Q33" s="106"/>
      <c r="R33" s="106"/>
      <c r="S33" s="106"/>
      <c r="T33" s="106"/>
      <c r="U33" s="106"/>
      <c r="V33" s="106"/>
      <c r="W33" s="106"/>
    </row>
    <row r="34">
      <c r="A34" s="39" t="s">
        <v>4010</v>
      </c>
      <c r="B34" s="39" t="s">
        <v>4011</v>
      </c>
      <c r="C34" s="39" t="s">
        <v>4001</v>
      </c>
      <c r="D34" s="39" t="s">
        <v>4012</v>
      </c>
      <c r="E34" s="106" t="s">
        <v>4013</v>
      </c>
      <c r="F34" s="39" t="s">
        <v>3861</v>
      </c>
      <c r="G34" s="39" t="s">
        <v>4014</v>
      </c>
      <c r="I34" s="140"/>
      <c r="J34" s="39" t="s">
        <v>4015</v>
      </c>
      <c r="K34" s="39" t="s">
        <v>1788</v>
      </c>
      <c r="M34" s="39" t="s">
        <v>3850</v>
      </c>
      <c r="N34" s="39" t="s">
        <v>3985</v>
      </c>
      <c r="O34" s="39"/>
      <c r="P34" s="106"/>
      <c r="Q34" s="106"/>
      <c r="R34" s="106"/>
      <c r="S34" s="106"/>
      <c r="T34" s="106"/>
      <c r="U34" s="106"/>
      <c r="V34" s="106"/>
      <c r="W34" s="106"/>
    </row>
    <row r="35">
      <c r="A35" s="39" t="s">
        <v>4016</v>
      </c>
      <c r="B35" s="39" t="s">
        <v>4017</v>
      </c>
      <c r="C35" s="39" t="s">
        <v>4001</v>
      </c>
      <c r="D35" s="39" t="s">
        <v>4018</v>
      </c>
      <c r="E35" s="106" t="s">
        <v>4019</v>
      </c>
      <c r="F35" s="39" t="s">
        <v>3861</v>
      </c>
      <c r="G35" s="39" t="s">
        <v>4020</v>
      </c>
      <c r="I35" s="140"/>
      <c r="J35" s="39" t="s">
        <v>4015</v>
      </c>
      <c r="K35" s="39" t="s">
        <v>1781</v>
      </c>
      <c r="M35" s="39" t="s">
        <v>3850</v>
      </c>
      <c r="N35" s="39" t="s">
        <v>3985</v>
      </c>
      <c r="O35" s="39"/>
      <c r="P35" s="106"/>
      <c r="Q35" s="106"/>
      <c r="R35" s="106"/>
      <c r="S35" s="106"/>
      <c r="T35" s="106"/>
      <c r="U35" s="106"/>
      <c r="V35" s="106"/>
      <c r="W35" s="106"/>
    </row>
    <row r="36">
      <c r="A36" s="39" t="s">
        <v>4021</v>
      </c>
      <c r="B36" s="39" t="s">
        <v>4022</v>
      </c>
      <c r="C36" s="39" t="s">
        <v>4023</v>
      </c>
      <c r="D36" s="39" t="s">
        <v>4024</v>
      </c>
      <c r="E36" s="106" t="s">
        <v>4025</v>
      </c>
      <c r="F36" s="39" t="s">
        <v>3861</v>
      </c>
      <c r="G36" s="39" t="s">
        <v>4026</v>
      </c>
      <c r="I36" s="140"/>
      <c r="J36" s="39" t="s">
        <v>4015</v>
      </c>
      <c r="K36" s="39" t="s">
        <v>1775</v>
      </c>
      <c r="M36" s="39" t="s">
        <v>3850</v>
      </c>
      <c r="N36" s="39" t="s">
        <v>3985</v>
      </c>
      <c r="O36" s="39"/>
      <c r="P36" s="39"/>
      <c r="Q36" s="39"/>
      <c r="R36" s="39"/>
      <c r="S36" s="39"/>
      <c r="T36" s="39"/>
      <c r="U36" s="39"/>
      <c r="V36" s="39"/>
      <c r="W36" s="39"/>
    </row>
    <row r="37">
      <c r="A37" s="39" t="s">
        <v>4027</v>
      </c>
      <c r="B37" s="39" t="s">
        <v>4028</v>
      </c>
      <c r="C37" s="39" t="s">
        <v>4023</v>
      </c>
      <c r="D37" s="39" t="s">
        <v>4029</v>
      </c>
      <c r="E37" s="106" t="s">
        <v>4030</v>
      </c>
      <c r="F37" s="39" t="s">
        <v>3861</v>
      </c>
      <c r="G37" s="39" t="s">
        <v>4031</v>
      </c>
      <c r="I37" s="140"/>
      <c r="J37" s="39" t="s">
        <v>1547</v>
      </c>
      <c r="K37" s="39" t="s">
        <v>1766</v>
      </c>
      <c r="M37" s="39" t="s">
        <v>3850</v>
      </c>
      <c r="N37" s="39" t="s">
        <v>3985</v>
      </c>
      <c r="O37" s="39"/>
      <c r="P37" s="39"/>
      <c r="Q37" s="39"/>
      <c r="R37" s="39"/>
      <c r="S37" s="39"/>
      <c r="T37" s="39"/>
      <c r="U37" s="39"/>
      <c r="V37" s="39"/>
      <c r="W37" s="39"/>
    </row>
    <row r="38">
      <c r="A38" s="39" t="s">
        <v>4032</v>
      </c>
      <c r="B38" s="39" t="s">
        <v>4033</v>
      </c>
      <c r="C38" s="39" t="s">
        <v>4023</v>
      </c>
      <c r="D38" s="39" t="s">
        <v>4034</v>
      </c>
      <c r="E38" s="106" t="s">
        <v>4035</v>
      </c>
      <c r="F38" s="39" t="s">
        <v>3861</v>
      </c>
      <c r="G38" s="39" t="s">
        <v>4036</v>
      </c>
      <c r="I38" s="140"/>
      <c r="J38" s="39" t="s">
        <v>1547</v>
      </c>
      <c r="K38" s="39" t="s">
        <v>1812</v>
      </c>
      <c r="M38" s="39" t="s">
        <v>3850</v>
      </c>
      <c r="N38" s="39" t="s">
        <v>3985</v>
      </c>
      <c r="O38" s="39"/>
      <c r="P38" s="39"/>
      <c r="Q38" s="39"/>
      <c r="R38" s="39"/>
      <c r="S38" s="39"/>
      <c r="T38" s="39"/>
      <c r="U38" s="39"/>
      <c r="V38" s="39"/>
      <c r="W38" s="39"/>
    </row>
    <row r="39">
      <c r="A39" s="39" t="s">
        <v>4037</v>
      </c>
      <c r="B39" s="39" t="s">
        <v>4038</v>
      </c>
      <c r="C39" s="39" t="s">
        <v>4023</v>
      </c>
      <c r="D39" s="39" t="s">
        <v>4039</v>
      </c>
      <c r="E39" s="106" t="s">
        <v>4040</v>
      </c>
      <c r="F39" s="39" t="s">
        <v>3861</v>
      </c>
      <c r="G39" s="39" t="s">
        <v>4041</v>
      </c>
      <c r="J39" s="39" t="s">
        <v>1547</v>
      </c>
      <c r="K39" s="39" t="s">
        <v>1295</v>
      </c>
      <c r="L39" s="37"/>
      <c r="M39" s="39" t="s">
        <v>3850</v>
      </c>
      <c r="N39" s="39" t="s">
        <v>3985</v>
      </c>
      <c r="O39" s="39"/>
      <c r="P39" s="39"/>
      <c r="Q39" s="39"/>
      <c r="R39" s="39"/>
      <c r="S39" s="39"/>
      <c r="T39" s="39"/>
      <c r="U39" s="39"/>
      <c r="V39" s="39"/>
      <c r="W39" s="39"/>
    </row>
    <row r="40">
      <c r="A40" s="39" t="s">
        <v>4042</v>
      </c>
      <c r="B40" s="39" t="s">
        <v>4043</v>
      </c>
      <c r="C40" s="39" t="s">
        <v>4044</v>
      </c>
      <c r="D40" s="39" t="s">
        <v>4045</v>
      </c>
      <c r="E40" s="106" t="s">
        <v>4046</v>
      </c>
      <c r="F40" s="39" t="s">
        <v>3861</v>
      </c>
      <c r="G40" s="39" t="s">
        <v>4047</v>
      </c>
      <c r="J40" s="39" t="s">
        <v>4048</v>
      </c>
      <c r="K40" s="39" t="s">
        <v>1788</v>
      </c>
      <c r="L40" s="37"/>
      <c r="M40" s="39" t="s">
        <v>3850</v>
      </c>
      <c r="N40" s="39" t="s">
        <v>3985</v>
      </c>
      <c r="O40" s="39"/>
      <c r="P40" s="39"/>
      <c r="Q40" s="39"/>
      <c r="R40" s="39"/>
      <c r="S40" s="39"/>
      <c r="T40" s="39"/>
      <c r="U40" s="39"/>
      <c r="V40" s="39"/>
      <c r="W40" s="39"/>
    </row>
    <row r="41">
      <c r="A41" s="39" t="s">
        <v>4049</v>
      </c>
      <c r="B41" s="39" t="s">
        <v>4050</v>
      </c>
      <c r="C41" s="39" t="s">
        <v>4023</v>
      </c>
      <c r="D41" s="39" t="s">
        <v>4051</v>
      </c>
      <c r="E41" s="106" t="s">
        <v>4052</v>
      </c>
      <c r="F41" s="39" t="s">
        <v>3861</v>
      </c>
      <c r="G41" s="39" t="s">
        <v>4053</v>
      </c>
      <c r="J41" s="39" t="s">
        <v>4048</v>
      </c>
      <c r="K41" s="39" t="s">
        <v>1760</v>
      </c>
      <c r="L41" s="37"/>
      <c r="M41" s="39" t="s">
        <v>3850</v>
      </c>
      <c r="N41" s="39" t="s">
        <v>3985</v>
      </c>
      <c r="O41" s="39"/>
      <c r="P41" s="39"/>
      <c r="Q41" s="39"/>
      <c r="R41" s="39"/>
      <c r="S41" s="39"/>
      <c r="T41" s="39"/>
      <c r="U41" s="39"/>
      <c r="V41" s="39"/>
      <c r="W41" s="39"/>
    </row>
    <row r="42">
      <c r="A42" s="39" t="s">
        <v>4054</v>
      </c>
      <c r="B42" s="39" t="s">
        <v>4055</v>
      </c>
      <c r="C42" s="39" t="s">
        <v>4056</v>
      </c>
      <c r="D42" s="39" t="s">
        <v>4057</v>
      </c>
      <c r="E42" s="106" t="s">
        <v>4058</v>
      </c>
      <c r="F42" s="39" t="s">
        <v>3861</v>
      </c>
      <c r="G42" s="39" t="s">
        <v>4059</v>
      </c>
      <c r="J42" s="39" t="s">
        <v>4048</v>
      </c>
      <c r="K42" s="39" t="s">
        <v>1766</v>
      </c>
      <c r="L42" s="37"/>
      <c r="M42" s="39" t="s">
        <v>3850</v>
      </c>
      <c r="N42" s="39" t="s">
        <v>3985</v>
      </c>
      <c r="O42" s="39"/>
      <c r="P42" s="39"/>
      <c r="Q42" s="39"/>
      <c r="R42" s="39"/>
      <c r="S42" s="39"/>
      <c r="T42" s="39"/>
      <c r="U42" s="39"/>
      <c r="V42" s="39"/>
      <c r="W42" s="39"/>
    </row>
    <row r="43">
      <c r="A43" s="39" t="s">
        <v>4060</v>
      </c>
      <c r="B43" s="39" t="s">
        <v>4061</v>
      </c>
      <c r="C43" s="39" t="s">
        <v>4062</v>
      </c>
      <c r="D43" s="39" t="s">
        <v>4063</v>
      </c>
      <c r="E43" s="106" t="s">
        <v>4064</v>
      </c>
      <c r="F43" s="39" t="s">
        <v>3861</v>
      </c>
      <c r="G43" s="39" t="s">
        <v>4065</v>
      </c>
      <c r="J43" s="39" t="s">
        <v>1590</v>
      </c>
      <c r="K43" s="39" t="s">
        <v>1766</v>
      </c>
      <c r="L43" s="37"/>
      <c r="M43" s="39" t="s">
        <v>3850</v>
      </c>
      <c r="N43" s="39" t="s">
        <v>3985</v>
      </c>
      <c r="O43" s="39"/>
      <c r="P43" s="39"/>
      <c r="Q43" s="39"/>
      <c r="R43" s="39"/>
      <c r="S43" s="39"/>
      <c r="T43" s="39"/>
      <c r="U43" s="39"/>
      <c r="V43" s="39"/>
      <c r="W43" s="39"/>
    </row>
    <row r="44">
      <c r="A44" s="39" t="s">
        <v>4066</v>
      </c>
      <c r="B44" s="39" t="s">
        <v>4067</v>
      </c>
      <c r="C44" s="39" t="s">
        <v>4068</v>
      </c>
      <c r="D44" s="39" t="s">
        <v>4069</v>
      </c>
      <c r="E44" s="106" t="s">
        <v>4070</v>
      </c>
      <c r="F44" s="39" t="s">
        <v>3861</v>
      </c>
      <c r="G44" s="39" t="s">
        <v>4071</v>
      </c>
      <c r="J44" s="39" t="s">
        <v>1590</v>
      </c>
      <c r="K44" s="39" t="s">
        <v>1797</v>
      </c>
      <c r="L44" s="37"/>
      <c r="M44" s="39" t="s">
        <v>3850</v>
      </c>
      <c r="N44" s="39" t="s">
        <v>3985</v>
      </c>
      <c r="O44" s="39"/>
      <c r="P44" s="39"/>
      <c r="Q44" s="39"/>
      <c r="R44" s="39"/>
      <c r="S44" s="39"/>
      <c r="T44" s="39"/>
      <c r="U44" s="39"/>
      <c r="V44" s="39"/>
      <c r="W44" s="39"/>
    </row>
    <row r="45">
      <c r="A45" s="39" t="s">
        <v>4072</v>
      </c>
      <c r="B45" s="39" t="s">
        <v>4073</v>
      </c>
      <c r="C45" s="39" t="s">
        <v>4068</v>
      </c>
      <c r="D45" s="39" t="s">
        <v>4074</v>
      </c>
      <c r="E45" s="106" t="s">
        <v>4075</v>
      </c>
      <c r="F45" s="39" t="s">
        <v>3861</v>
      </c>
      <c r="G45" s="39" t="s">
        <v>4076</v>
      </c>
      <c r="J45" s="39" t="s">
        <v>1590</v>
      </c>
      <c r="K45" s="39" t="s">
        <v>1763</v>
      </c>
      <c r="L45" s="37"/>
      <c r="M45" s="39" t="s">
        <v>3850</v>
      </c>
      <c r="N45" s="39" t="s">
        <v>3985</v>
      </c>
      <c r="O45" s="39"/>
      <c r="P45" s="39"/>
      <c r="Q45" s="39"/>
      <c r="R45" s="39"/>
      <c r="S45" s="39"/>
      <c r="T45" s="39"/>
      <c r="U45" s="39"/>
      <c r="V45" s="39"/>
      <c r="W45" s="39"/>
    </row>
    <row r="46">
      <c r="A46" s="39" t="s">
        <v>4077</v>
      </c>
      <c r="B46" s="39" t="s">
        <v>4078</v>
      </c>
      <c r="C46" s="39" t="s">
        <v>1820</v>
      </c>
      <c r="D46" s="39" t="s">
        <v>4079</v>
      </c>
      <c r="E46" s="106" t="s">
        <v>4080</v>
      </c>
      <c r="F46" s="39" t="s">
        <v>3861</v>
      </c>
      <c r="G46" s="39" t="s">
        <v>4081</v>
      </c>
      <c r="J46" s="39" t="s">
        <v>1580</v>
      </c>
      <c r="K46" s="39" t="s">
        <v>1781</v>
      </c>
      <c r="L46" s="37"/>
      <c r="M46" s="39" t="s">
        <v>3850</v>
      </c>
      <c r="N46" s="39" t="s">
        <v>3985</v>
      </c>
      <c r="O46" s="39"/>
      <c r="P46" s="39"/>
      <c r="Q46" s="39"/>
      <c r="R46" s="39"/>
      <c r="S46" s="39"/>
      <c r="T46" s="39"/>
      <c r="U46" s="39"/>
      <c r="V46" s="39"/>
      <c r="W46" s="39"/>
    </row>
    <row r="47">
      <c r="F47" s="37"/>
      <c r="J47" s="39" t="s">
        <v>1580</v>
      </c>
      <c r="K47" s="39" t="s">
        <v>1788</v>
      </c>
      <c r="L47" s="37"/>
      <c r="M47" s="39" t="s">
        <v>3850</v>
      </c>
      <c r="N47" s="39" t="s">
        <v>3985</v>
      </c>
      <c r="O47" s="39"/>
      <c r="P47" s="39"/>
      <c r="Q47" s="39"/>
      <c r="R47" s="39"/>
      <c r="S47" s="39"/>
      <c r="T47" s="39"/>
      <c r="U47" s="39"/>
      <c r="V47" s="39"/>
      <c r="W47" s="39"/>
    </row>
    <row r="48">
      <c r="F48" s="37"/>
      <c r="J48" s="39" t="s">
        <v>1580</v>
      </c>
      <c r="K48" s="39" t="s">
        <v>1763</v>
      </c>
      <c r="L48" s="37"/>
      <c r="M48" s="39" t="s">
        <v>3850</v>
      </c>
      <c r="N48" s="39" t="s">
        <v>3985</v>
      </c>
      <c r="O48" s="39"/>
      <c r="P48" s="39"/>
      <c r="Q48" s="39"/>
      <c r="R48" s="39"/>
      <c r="S48" s="39"/>
      <c r="T48" s="39"/>
      <c r="U48" s="39"/>
      <c r="V48" s="39"/>
      <c r="W48" s="39"/>
    </row>
    <row r="49">
      <c r="F49" s="37"/>
      <c r="J49" s="39" t="s">
        <v>4082</v>
      </c>
      <c r="K49" s="39" t="s">
        <v>1781</v>
      </c>
      <c r="L49" s="37"/>
      <c r="M49" s="39" t="s">
        <v>3850</v>
      </c>
      <c r="N49" s="39" t="s">
        <v>3985</v>
      </c>
      <c r="O49" s="39"/>
      <c r="P49" s="39"/>
      <c r="Q49" s="39"/>
      <c r="R49" s="39"/>
      <c r="S49" s="39"/>
      <c r="T49" s="39"/>
      <c r="U49" s="39"/>
      <c r="V49" s="39"/>
      <c r="W49" s="39"/>
    </row>
    <row r="50">
      <c r="F50" s="37"/>
      <c r="J50" s="39" t="s">
        <v>4082</v>
      </c>
      <c r="K50" s="39" t="s">
        <v>1763</v>
      </c>
      <c r="L50" s="37"/>
      <c r="M50" s="39" t="s">
        <v>3850</v>
      </c>
      <c r="N50" s="39" t="s">
        <v>3985</v>
      </c>
      <c r="O50" s="39"/>
      <c r="P50" s="39"/>
      <c r="Q50" s="39"/>
      <c r="R50" s="39"/>
      <c r="S50" s="39"/>
      <c r="T50" s="39"/>
      <c r="U50" s="39"/>
      <c r="V50" s="39"/>
      <c r="W50" s="39"/>
    </row>
    <row r="51">
      <c r="F51" s="37"/>
      <c r="J51" s="39" t="s">
        <v>4082</v>
      </c>
      <c r="K51" s="39" t="s">
        <v>1778</v>
      </c>
      <c r="L51" s="37"/>
      <c r="M51" s="39" t="s">
        <v>3850</v>
      </c>
      <c r="N51" s="39" t="s">
        <v>3985</v>
      </c>
      <c r="O51" s="39"/>
      <c r="P51" s="39"/>
      <c r="Q51" s="39"/>
      <c r="R51" s="39"/>
      <c r="S51" s="39"/>
      <c r="T51" s="39"/>
      <c r="U51" s="39"/>
      <c r="V51" s="39"/>
      <c r="W51" s="39"/>
    </row>
    <row r="52">
      <c r="F52" s="37"/>
      <c r="J52" s="39" t="s">
        <v>4083</v>
      </c>
      <c r="K52" s="39" t="s">
        <v>1781</v>
      </c>
      <c r="L52" s="37"/>
      <c r="M52" s="39" t="s">
        <v>3850</v>
      </c>
      <c r="N52" s="39" t="s">
        <v>3985</v>
      </c>
      <c r="O52" s="39"/>
      <c r="P52" s="39"/>
      <c r="Q52" s="39"/>
      <c r="R52" s="39"/>
      <c r="S52" s="39"/>
      <c r="T52" s="39"/>
      <c r="U52" s="39"/>
      <c r="V52" s="39"/>
      <c r="W52" s="39"/>
    </row>
    <row r="53">
      <c r="F53" s="37"/>
      <c r="J53" s="39" t="s">
        <v>4083</v>
      </c>
      <c r="K53" s="39" t="s">
        <v>1778</v>
      </c>
      <c r="L53" s="37"/>
      <c r="M53" s="39" t="s">
        <v>3850</v>
      </c>
      <c r="N53" s="39" t="s">
        <v>3985</v>
      </c>
      <c r="O53" s="39"/>
      <c r="P53" s="39"/>
      <c r="Q53" s="39"/>
      <c r="R53" s="39"/>
      <c r="S53" s="39"/>
      <c r="T53" s="39"/>
      <c r="U53" s="39"/>
      <c r="V53" s="39"/>
      <c r="W53" s="39"/>
    </row>
    <row r="54">
      <c r="F54" s="37"/>
      <c r="J54" s="39" t="s">
        <v>4083</v>
      </c>
      <c r="K54" s="39" t="s">
        <v>1280</v>
      </c>
      <c r="L54" s="37"/>
      <c r="M54" s="39" t="s">
        <v>3850</v>
      </c>
      <c r="N54" s="39" t="s">
        <v>3985</v>
      </c>
      <c r="O54" s="39"/>
      <c r="P54" s="39"/>
      <c r="Q54" s="39"/>
      <c r="R54" s="39"/>
      <c r="S54" s="39"/>
      <c r="T54" s="39"/>
      <c r="U54" s="39"/>
      <c r="V54" s="39"/>
      <c r="W54" s="39"/>
    </row>
    <row r="55">
      <c r="F55" s="37"/>
      <c r="J55" s="39" t="s">
        <v>4084</v>
      </c>
      <c r="K55" s="39" t="s">
        <v>1778</v>
      </c>
      <c r="L55" s="37"/>
      <c r="M55" s="39" t="s">
        <v>3850</v>
      </c>
      <c r="N55" s="39" t="s">
        <v>3985</v>
      </c>
      <c r="O55" s="39"/>
      <c r="P55" s="39"/>
      <c r="Q55" s="39"/>
      <c r="R55" s="39"/>
      <c r="S55" s="39"/>
      <c r="T55" s="39"/>
      <c r="U55" s="39"/>
      <c r="V55" s="39"/>
      <c r="W55" s="39"/>
    </row>
    <row r="56">
      <c r="F56" s="37"/>
      <c r="J56" s="39" t="s">
        <v>4084</v>
      </c>
      <c r="K56" s="39" t="s">
        <v>1788</v>
      </c>
      <c r="L56" s="37"/>
      <c r="M56" s="39" t="s">
        <v>3850</v>
      </c>
      <c r="N56" s="39" t="s">
        <v>3985</v>
      </c>
      <c r="O56" s="39"/>
      <c r="P56" s="39"/>
      <c r="Q56" s="39"/>
      <c r="R56" s="39"/>
      <c r="S56" s="39"/>
      <c r="T56" s="39"/>
      <c r="U56" s="39"/>
      <c r="V56" s="39"/>
      <c r="W56" s="39"/>
    </row>
    <row r="57">
      <c r="F57" s="37"/>
      <c r="J57" s="39" t="s">
        <v>4084</v>
      </c>
      <c r="K57" s="39" t="s">
        <v>1280</v>
      </c>
      <c r="L57" s="37"/>
      <c r="M57" s="39" t="s">
        <v>3850</v>
      </c>
      <c r="N57" s="39" t="s">
        <v>3985</v>
      </c>
      <c r="O57" s="39"/>
      <c r="P57" s="39"/>
      <c r="Q57" s="39"/>
      <c r="R57" s="39"/>
      <c r="S57" s="39"/>
      <c r="T57" s="39"/>
      <c r="U57" s="39"/>
      <c r="V57" s="39"/>
      <c r="W57" s="39"/>
    </row>
    <row r="58">
      <c r="F58" s="37"/>
      <c r="J58" s="39" t="s">
        <v>4085</v>
      </c>
      <c r="K58" s="39" t="s">
        <v>1766</v>
      </c>
      <c r="L58" s="37"/>
      <c r="M58" s="39" t="s">
        <v>3850</v>
      </c>
      <c r="N58" s="39" t="s">
        <v>4086</v>
      </c>
      <c r="O58" s="39"/>
      <c r="P58" s="39"/>
      <c r="Q58" s="39"/>
      <c r="R58" s="39"/>
      <c r="S58" s="39"/>
      <c r="T58" s="39"/>
      <c r="U58" s="39"/>
      <c r="V58" s="39"/>
      <c r="W58" s="39"/>
    </row>
    <row r="59">
      <c r="F59" s="37"/>
      <c r="J59" s="39" t="s">
        <v>4085</v>
      </c>
      <c r="K59" s="39" t="s">
        <v>1812</v>
      </c>
      <c r="L59" s="37"/>
      <c r="M59" s="39" t="s">
        <v>3850</v>
      </c>
      <c r="N59" s="39" t="s">
        <v>4086</v>
      </c>
      <c r="O59" s="39"/>
      <c r="P59" s="39"/>
      <c r="Q59" s="39"/>
      <c r="R59" s="39"/>
      <c r="S59" s="39"/>
      <c r="T59" s="39"/>
      <c r="U59" s="39"/>
      <c r="V59" s="39"/>
      <c r="W59" s="39"/>
    </row>
    <row r="60">
      <c r="F60" s="37"/>
      <c r="J60" s="39" t="s">
        <v>4085</v>
      </c>
      <c r="K60" s="39" t="s">
        <v>1295</v>
      </c>
      <c r="L60" s="37"/>
      <c r="M60" s="39" t="s">
        <v>3850</v>
      </c>
      <c r="N60" s="39" t="s">
        <v>4087</v>
      </c>
      <c r="O60" s="39"/>
      <c r="P60" s="39"/>
      <c r="Q60" s="39"/>
      <c r="R60" s="39"/>
      <c r="S60" s="39"/>
      <c r="T60" s="39"/>
      <c r="U60" s="39"/>
      <c r="V60" s="39"/>
      <c r="W60" s="39"/>
    </row>
    <row r="61">
      <c r="F61" s="37"/>
      <c r="J61" s="39" t="s">
        <v>4088</v>
      </c>
      <c r="L61" s="37"/>
      <c r="M61" s="39" t="s">
        <v>4089</v>
      </c>
      <c r="N61" s="39" t="s">
        <v>4090</v>
      </c>
      <c r="O61" s="39"/>
      <c r="P61" s="39"/>
      <c r="Q61" s="39"/>
      <c r="R61" s="39"/>
      <c r="S61" s="39"/>
      <c r="T61" s="39"/>
      <c r="U61" s="39"/>
      <c r="V61" s="39"/>
      <c r="W61" s="39"/>
    </row>
    <row r="62">
      <c r="F62" s="37"/>
      <c r="J62" s="39" t="s">
        <v>4091</v>
      </c>
      <c r="L62" s="37"/>
      <c r="M62" s="39" t="s">
        <v>4089</v>
      </c>
      <c r="N62" s="39" t="s">
        <v>4092</v>
      </c>
      <c r="O62" s="39"/>
      <c r="P62" s="39"/>
      <c r="Q62" s="39"/>
      <c r="R62" s="39"/>
      <c r="S62" s="39"/>
      <c r="T62" s="39"/>
      <c r="U62" s="39"/>
      <c r="V62" s="39"/>
      <c r="W62" s="39"/>
    </row>
    <row r="63">
      <c r="F63" s="37"/>
      <c r="J63" s="39" t="s">
        <v>4093</v>
      </c>
      <c r="L63" s="37"/>
      <c r="M63" s="39" t="s">
        <v>4089</v>
      </c>
      <c r="N63" s="39" t="s">
        <v>4092</v>
      </c>
      <c r="O63" s="39"/>
      <c r="P63" s="39"/>
      <c r="Q63" s="39"/>
      <c r="R63" s="39"/>
      <c r="S63" s="39"/>
      <c r="T63" s="39"/>
      <c r="U63" s="39"/>
      <c r="V63" s="39"/>
      <c r="W63" s="39"/>
    </row>
    <row r="64">
      <c r="F64" s="37"/>
      <c r="J64" s="39" t="s">
        <v>4094</v>
      </c>
      <c r="L64" s="37"/>
      <c r="M64" s="39" t="s">
        <v>4089</v>
      </c>
      <c r="N64" s="39" t="s">
        <v>4092</v>
      </c>
      <c r="O64" s="39"/>
      <c r="P64" s="39"/>
      <c r="Q64" s="39"/>
      <c r="R64" s="39"/>
      <c r="S64" s="39"/>
      <c r="T64" s="39"/>
      <c r="U64" s="39"/>
      <c r="V64" s="39"/>
      <c r="W64" s="39"/>
    </row>
    <row r="65">
      <c r="F65" s="37"/>
      <c r="J65" s="39" t="s">
        <v>1554</v>
      </c>
      <c r="L65" s="37"/>
      <c r="M65" s="39" t="s">
        <v>4089</v>
      </c>
      <c r="N65" s="39" t="s">
        <v>4092</v>
      </c>
      <c r="O65" s="39"/>
      <c r="P65" s="39"/>
      <c r="Q65" s="39"/>
      <c r="R65" s="39"/>
      <c r="S65" s="39"/>
      <c r="T65" s="39"/>
      <c r="U65" s="39"/>
      <c r="V65" s="39"/>
      <c r="W65" s="39"/>
    </row>
    <row r="66">
      <c r="F66" s="37"/>
      <c r="J66" s="39" t="s">
        <v>4095</v>
      </c>
      <c r="L66" s="37"/>
      <c r="M66" s="39" t="s">
        <v>4089</v>
      </c>
      <c r="N66" s="39" t="s">
        <v>4096</v>
      </c>
      <c r="O66" s="39"/>
      <c r="P66" s="39"/>
      <c r="Q66" s="39"/>
      <c r="R66" s="39"/>
      <c r="S66" s="39"/>
      <c r="T66" s="39"/>
      <c r="U66" s="39"/>
      <c r="V66" s="39"/>
      <c r="W66" s="39"/>
    </row>
    <row r="67">
      <c r="F67" s="37"/>
      <c r="J67" s="39" t="s">
        <v>1561</v>
      </c>
      <c r="L67" s="37"/>
      <c r="M67" s="39" t="s">
        <v>4089</v>
      </c>
      <c r="N67" s="39" t="s">
        <v>4096</v>
      </c>
      <c r="O67" s="39"/>
      <c r="P67" s="39"/>
      <c r="Q67" s="39"/>
      <c r="R67" s="39"/>
      <c r="S67" s="39"/>
      <c r="T67" s="39"/>
      <c r="U67" s="39"/>
      <c r="V67" s="39"/>
      <c r="W67" s="39"/>
    </row>
    <row r="68">
      <c r="F68" s="37"/>
      <c r="J68" s="39" t="s">
        <v>3340</v>
      </c>
      <c r="L68" s="37"/>
      <c r="M68" s="39" t="s">
        <v>4089</v>
      </c>
      <c r="N68" s="39" t="s">
        <v>4097</v>
      </c>
      <c r="O68" s="39"/>
      <c r="P68" s="39"/>
      <c r="Q68" s="39"/>
      <c r="R68" s="39"/>
      <c r="S68" s="39"/>
      <c r="T68" s="39"/>
      <c r="U68" s="39"/>
      <c r="V68" s="39"/>
      <c r="W68" s="39"/>
    </row>
    <row r="69">
      <c r="F69" s="37"/>
      <c r="J69" s="39" t="s">
        <v>3377</v>
      </c>
      <c r="L69" s="37"/>
      <c r="M69" s="39" t="s">
        <v>4089</v>
      </c>
      <c r="N69" s="39" t="s">
        <v>4097</v>
      </c>
      <c r="O69" s="39"/>
      <c r="P69" s="39"/>
      <c r="Q69" s="39"/>
      <c r="R69" s="39"/>
      <c r="S69" s="39"/>
      <c r="T69" s="39"/>
      <c r="U69" s="39"/>
      <c r="V69" s="39"/>
      <c r="W69" s="39"/>
    </row>
    <row r="70">
      <c r="F70" s="37"/>
      <c r="J70" s="39" t="s">
        <v>4098</v>
      </c>
      <c r="L70" s="37"/>
      <c r="M70" s="39" t="s">
        <v>4089</v>
      </c>
      <c r="N70" s="39" t="s">
        <v>4097</v>
      </c>
      <c r="O70" s="39"/>
      <c r="P70" s="39"/>
      <c r="Q70" s="39"/>
      <c r="R70" s="39"/>
      <c r="S70" s="39"/>
      <c r="T70" s="39"/>
      <c r="U70" s="39"/>
      <c r="V70" s="39"/>
      <c r="W70" s="39"/>
    </row>
    <row r="71">
      <c r="F71" s="37"/>
      <c r="J71" s="39" t="s">
        <v>4099</v>
      </c>
      <c r="L71" s="37"/>
      <c r="M71" s="39" t="s">
        <v>4089</v>
      </c>
      <c r="N71" s="39" t="s">
        <v>4097</v>
      </c>
      <c r="O71" s="39"/>
      <c r="P71" s="39"/>
      <c r="Q71" s="39"/>
      <c r="R71" s="39"/>
      <c r="S71" s="39"/>
      <c r="T71" s="39"/>
      <c r="U71" s="39"/>
      <c r="V71" s="39"/>
      <c r="W71" s="39"/>
    </row>
    <row r="72">
      <c r="F72" s="37"/>
      <c r="J72" s="39" t="s">
        <v>4100</v>
      </c>
      <c r="L72" s="37"/>
      <c r="M72" s="39" t="s">
        <v>4089</v>
      </c>
      <c r="N72" s="39" t="s">
        <v>4101</v>
      </c>
      <c r="O72" s="39"/>
      <c r="P72" s="39"/>
      <c r="Q72" s="39"/>
      <c r="R72" s="39"/>
      <c r="S72" s="39"/>
      <c r="T72" s="39"/>
      <c r="U72" s="39"/>
      <c r="V72" s="39"/>
      <c r="W72" s="39"/>
    </row>
    <row r="73">
      <c r="F73" s="37"/>
      <c r="J73" s="39" t="s">
        <v>1609</v>
      </c>
      <c r="L73" s="37"/>
      <c r="M73" s="39" t="s">
        <v>4089</v>
      </c>
      <c r="N73" s="39" t="s">
        <v>4101</v>
      </c>
      <c r="O73" s="39"/>
      <c r="P73" s="39"/>
      <c r="Q73" s="39"/>
      <c r="R73" s="39"/>
      <c r="S73" s="39"/>
      <c r="T73" s="39"/>
      <c r="U73" s="39"/>
      <c r="V73" s="39"/>
      <c r="W73" s="39"/>
    </row>
    <row r="74">
      <c r="F74" s="37"/>
      <c r="J74" s="39" t="s">
        <v>4102</v>
      </c>
      <c r="L74" s="37"/>
      <c r="M74" s="39" t="s">
        <v>4089</v>
      </c>
      <c r="N74" s="39" t="s">
        <v>4097</v>
      </c>
      <c r="O74" s="39"/>
      <c r="P74" s="39"/>
      <c r="Q74" s="39"/>
      <c r="R74" s="39"/>
      <c r="S74" s="39"/>
      <c r="T74" s="39"/>
      <c r="U74" s="39"/>
      <c r="V74" s="39"/>
      <c r="W74" s="39"/>
    </row>
    <row r="75">
      <c r="F75" s="37"/>
      <c r="J75" s="39" t="s">
        <v>4103</v>
      </c>
      <c r="L75" s="37"/>
      <c r="M75" s="39" t="s">
        <v>4089</v>
      </c>
      <c r="N75" s="39" t="s">
        <v>4097</v>
      </c>
      <c r="O75" s="39"/>
      <c r="P75" s="39"/>
      <c r="Q75" s="39"/>
      <c r="R75" s="39"/>
      <c r="S75" s="39"/>
      <c r="T75" s="39"/>
      <c r="U75" s="39"/>
      <c r="V75" s="39"/>
      <c r="W75" s="39"/>
    </row>
    <row r="76">
      <c r="F76" s="37"/>
      <c r="J76" s="39" t="s">
        <v>4104</v>
      </c>
      <c r="L76" s="37"/>
      <c r="M76" s="39" t="s">
        <v>4089</v>
      </c>
      <c r="N76" s="39" t="s">
        <v>4097</v>
      </c>
      <c r="O76" s="39"/>
      <c r="P76" s="39"/>
      <c r="Q76" s="39"/>
      <c r="R76" s="39"/>
      <c r="S76" s="39"/>
      <c r="T76" s="39"/>
      <c r="U76" s="39"/>
      <c r="V76" s="39"/>
      <c r="W76" s="39"/>
    </row>
    <row r="77">
      <c r="F77" s="37"/>
      <c r="J77" s="39" t="s">
        <v>4105</v>
      </c>
      <c r="L77" s="37"/>
      <c r="M77" s="39" t="s">
        <v>4089</v>
      </c>
      <c r="N77" s="39" t="s">
        <v>4097</v>
      </c>
      <c r="O77" s="39"/>
      <c r="P77" s="39"/>
      <c r="Q77" s="39"/>
      <c r="R77" s="39"/>
      <c r="S77" s="39"/>
      <c r="T77" s="39"/>
      <c r="U77" s="39"/>
      <c r="V77" s="39"/>
      <c r="W77" s="39"/>
    </row>
    <row r="78">
      <c r="F78" s="37"/>
      <c r="J78" s="39" t="s">
        <v>4106</v>
      </c>
      <c r="L78" s="37"/>
      <c r="M78" s="39" t="s">
        <v>4089</v>
      </c>
      <c r="N78" s="39" t="s">
        <v>4107</v>
      </c>
      <c r="O78" s="39"/>
      <c r="P78" s="39"/>
      <c r="Q78" s="39"/>
      <c r="R78" s="39"/>
      <c r="S78" s="39"/>
      <c r="T78" s="39"/>
      <c r="U78" s="39"/>
      <c r="V78" s="39"/>
      <c r="W78" s="39"/>
    </row>
    <row r="79">
      <c r="F79" s="37"/>
      <c r="J79" s="39" t="s">
        <v>4108</v>
      </c>
      <c r="L79" s="37"/>
      <c r="M79" s="39" t="s">
        <v>4089</v>
      </c>
      <c r="N79" s="39" t="s">
        <v>4097</v>
      </c>
      <c r="O79" s="39"/>
      <c r="P79" s="39"/>
      <c r="Q79" s="39"/>
      <c r="R79" s="39"/>
      <c r="S79" s="39"/>
      <c r="T79" s="39"/>
      <c r="U79" s="39"/>
      <c r="V79" s="39"/>
      <c r="W79" s="39"/>
    </row>
    <row r="80">
      <c r="F80" s="37"/>
      <c r="J80" s="39" t="s">
        <v>4109</v>
      </c>
      <c r="L80" s="37"/>
      <c r="M80" s="39" t="s">
        <v>4089</v>
      </c>
      <c r="N80" s="39" t="s">
        <v>4110</v>
      </c>
      <c r="O80" s="39"/>
      <c r="P80" s="39"/>
      <c r="Q80" s="39"/>
      <c r="R80" s="39"/>
      <c r="S80" s="39"/>
      <c r="T80" s="39"/>
      <c r="U80" s="39"/>
      <c r="V80" s="39"/>
      <c r="W80" s="39"/>
    </row>
    <row r="81">
      <c r="F81" s="37"/>
      <c r="J81" s="39" t="s">
        <v>1598</v>
      </c>
      <c r="L81" s="37"/>
      <c r="M81" s="39" t="s">
        <v>4089</v>
      </c>
      <c r="N81" s="39" t="s">
        <v>4111</v>
      </c>
      <c r="O81" s="39"/>
      <c r="P81" s="39"/>
      <c r="Q81" s="39"/>
      <c r="R81" s="39"/>
      <c r="S81" s="39"/>
      <c r="T81" s="39"/>
      <c r="U81" s="39"/>
      <c r="V81" s="39"/>
      <c r="W81" s="39"/>
    </row>
    <row r="82">
      <c r="F82" s="37"/>
      <c r="J82" s="39" t="s">
        <v>3360</v>
      </c>
      <c r="K82" s="39" t="s">
        <v>1778</v>
      </c>
      <c r="L82" s="39" t="s">
        <v>3374</v>
      </c>
      <c r="M82" s="39" t="s">
        <v>3861</v>
      </c>
      <c r="N82" s="39" t="s">
        <v>4112</v>
      </c>
      <c r="O82" s="39"/>
      <c r="P82" s="39"/>
      <c r="Q82" s="39"/>
      <c r="R82" s="39"/>
      <c r="S82" s="39"/>
      <c r="T82" s="39"/>
      <c r="U82" s="39"/>
      <c r="V82" s="39"/>
      <c r="W82" s="39"/>
    </row>
    <row r="83">
      <c r="F83" s="37"/>
      <c r="J83" s="39" t="s">
        <v>3374</v>
      </c>
      <c r="L83" s="37"/>
      <c r="M83" s="39" t="s">
        <v>4089</v>
      </c>
      <c r="N83" s="39" t="s">
        <v>4113</v>
      </c>
      <c r="O83" s="39"/>
      <c r="P83" s="39"/>
      <c r="Q83" s="39"/>
      <c r="R83" s="39"/>
      <c r="S83" s="39"/>
      <c r="T83" s="39"/>
      <c r="U83" s="39"/>
      <c r="V83" s="39"/>
      <c r="W83" s="39"/>
    </row>
    <row r="84">
      <c r="F84" s="37"/>
      <c r="J84" s="39" t="s">
        <v>4114</v>
      </c>
      <c r="L84" s="37"/>
      <c r="M84" s="39" t="s">
        <v>4089</v>
      </c>
      <c r="N84" s="39" t="s">
        <v>4113</v>
      </c>
      <c r="O84" s="39"/>
      <c r="P84" s="39"/>
      <c r="Q84" s="39"/>
      <c r="R84" s="39"/>
      <c r="S84" s="39"/>
      <c r="T84" s="39"/>
      <c r="U84" s="39"/>
      <c r="V84" s="39"/>
      <c r="W84" s="39"/>
    </row>
    <row r="85">
      <c r="F85" s="37"/>
      <c r="J85" s="39" t="s">
        <v>4115</v>
      </c>
      <c r="L85" s="37"/>
      <c r="M85" s="39" t="s">
        <v>4089</v>
      </c>
      <c r="N85" s="39" t="s">
        <v>4113</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 customWidth="1" min="39" max="47" width="18.88"/>
    <col customWidth="1" min="48" max="48" width="40.13"/>
  </cols>
  <sheetData>
    <row r="1" ht="18.75" customHeight="1">
      <c r="A1" s="64" t="s">
        <v>4116</v>
      </c>
      <c r="B1" s="64" t="s">
        <v>8</v>
      </c>
      <c r="C1" s="64" t="s">
        <v>3322</v>
      </c>
      <c r="D1" s="141" t="s">
        <v>4117</v>
      </c>
      <c r="E1" s="64" t="s">
        <v>4118</v>
      </c>
      <c r="F1" s="64" t="s">
        <v>4119</v>
      </c>
      <c r="G1" s="64" t="s">
        <v>4120</v>
      </c>
      <c r="H1" s="64" t="s">
        <v>4121</v>
      </c>
      <c r="I1" s="64" t="s">
        <v>4122</v>
      </c>
      <c r="J1" s="141" t="s">
        <v>4123</v>
      </c>
      <c r="K1" s="64" t="s">
        <v>4124</v>
      </c>
      <c r="L1" s="64" t="s">
        <v>4125</v>
      </c>
      <c r="M1" s="64" t="s">
        <v>4126</v>
      </c>
      <c r="N1" s="64" t="s">
        <v>4127</v>
      </c>
      <c r="O1" s="39" t="s">
        <v>4128</v>
      </c>
      <c r="P1" s="39" t="s">
        <v>4129</v>
      </c>
      <c r="Q1" s="39" t="s">
        <v>4130</v>
      </c>
      <c r="R1" s="39" t="s">
        <v>4131</v>
      </c>
      <c r="S1" s="39" t="s">
        <v>4132</v>
      </c>
      <c r="T1" s="39" t="s">
        <v>4133</v>
      </c>
      <c r="U1" s="39" t="s">
        <v>3323</v>
      </c>
      <c r="V1" s="39" t="s">
        <v>3324</v>
      </c>
      <c r="W1" s="39" t="s">
        <v>4134</v>
      </c>
      <c r="X1" s="39" t="s">
        <v>4135</v>
      </c>
      <c r="Y1" s="39" t="s">
        <v>4136</v>
      </c>
      <c r="Z1" s="39" t="s">
        <v>4137</v>
      </c>
      <c r="AA1" s="39" t="s">
        <v>4138</v>
      </c>
      <c r="AB1" s="39" t="s">
        <v>4139</v>
      </c>
      <c r="AC1" s="39" t="s">
        <v>4140</v>
      </c>
      <c r="AD1" s="39" t="s">
        <v>4141</v>
      </c>
      <c r="AE1" s="142" t="s">
        <v>4142</v>
      </c>
      <c r="AF1" s="142" t="s">
        <v>4143</v>
      </c>
      <c r="AG1" s="143" t="s">
        <v>4144</v>
      </c>
      <c r="AH1" s="142" t="s">
        <v>4145</v>
      </c>
      <c r="AI1" s="142" t="s">
        <v>4146</v>
      </c>
      <c r="AJ1" s="142" t="s">
        <v>4147</v>
      </c>
      <c r="AK1" s="142" t="s">
        <v>4148</v>
      </c>
      <c r="AL1" s="142" t="s">
        <v>4149</v>
      </c>
      <c r="AM1" s="142" t="s">
        <v>4150</v>
      </c>
      <c r="AN1" s="142" t="s">
        <v>4151</v>
      </c>
      <c r="AO1" s="142" t="s">
        <v>4152</v>
      </c>
      <c r="AP1" s="142" t="s">
        <v>4153</v>
      </c>
      <c r="AQ1" s="142" t="s">
        <v>4154</v>
      </c>
      <c r="AR1" s="142" t="s">
        <v>4155</v>
      </c>
      <c r="AS1" s="142" t="s">
        <v>4156</v>
      </c>
      <c r="AT1" s="142" t="s">
        <v>4157</v>
      </c>
      <c r="AU1" s="142" t="s">
        <v>4158</v>
      </c>
      <c r="AV1" s="131" t="s">
        <v>4159</v>
      </c>
    </row>
    <row r="2" ht="18.75" customHeight="1">
      <c r="A2" s="64" t="s">
        <v>4160</v>
      </c>
      <c r="B2" s="64" t="s">
        <v>3015</v>
      </c>
      <c r="D2" s="144"/>
      <c r="J2" s="144"/>
    </row>
    <row r="3" ht="18.75" customHeight="1">
      <c r="A3" s="64" t="s">
        <v>4161</v>
      </c>
      <c r="B3" s="102" t="s">
        <v>4162</v>
      </c>
      <c r="C3" s="37" t="s">
        <v>4163</v>
      </c>
      <c r="D3" s="145">
        <v>0.012</v>
      </c>
      <c r="F3" s="39">
        <v>1.0</v>
      </c>
      <c r="J3" s="145">
        <v>0.5</v>
      </c>
      <c r="K3" s="39">
        <v>2.0</v>
      </c>
      <c r="N3" s="39">
        <v>5.0</v>
      </c>
      <c r="O3" s="39" t="s">
        <v>4164</v>
      </c>
      <c r="P3" s="39" t="s">
        <v>4165</v>
      </c>
      <c r="Q3" s="39">
        <v>0.0</v>
      </c>
      <c r="R3" s="39" t="b">
        <v>0</v>
      </c>
      <c r="S3" s="39" t="b">
        <v>0</v>
      </c>
      <c r="T3" s="39" t="s">
        <v>3265</v>
      </c>
      <c r="U3" s="39" t="s">
        <v>4166</v>
      </c>
      <c r="V3" s="39">
        <v>1.0</v>
      </c>
      <c r="W3" s="39" t="b">
        <v>1</v>
      </c>
      <c r="X3" s="39">
        <v>4.0</v>
      </c>
      <c r="Y3" s="39" t="s">
        <v>4167</v>
      </c>
      <c r="Z3" s="39">
        <v>0.0</v>
      </c>
      <c r="AA3" s="39">
        <v>3.0</v>
      </c>
      <c r="AB3" s="39" t="s">
        <v>284</v>
      </c>
      <c r="AC3" s="39">
        <v>20.0</v>
      </c>
      <c r="AD3" s="39">
        <v>20.0</v>
      </c>
      <c r="AE3" s="39"/>
      <c r="AF3" s="39"/>
      <c r="AG3" s="39"/>
      <c r="AH3" s="39" t="s">
        <v>4168</v>
      </c>
      <c r="AI3" s="39" t="s">
        <v>4169</v>
      </c>
      <c r="AJ3" s="39">
        <v>2.0</v>
      </c>
      <c r="AK3" s="39"/>
      <c r="AL3" s="39"/>
      <c r="AM3" s="39"/>
      <c r="AN3" s="39"/>
      <c r="AO3" s="39"/>
      <c r="AP3" s="39"/>
      <c r="AQ3" s="39"/>
      <c r="AR3" s="39"/>
      <c r="AS3" s="39"/>
      <c r="AT3" s="39"/>
      <c r="AU3" s="39"/>
      <c r="AV3" s="39"/>
    </row>
    <row r="4" ht="18.75" customHeight="1">
      <c r="A4" s="64" t="s">
        <v>3204</v>
      </c>
      <c r="B4" s="64" t="s">
        <v>4170</v>
      </c>
      <c r="C4" s="37" t="s">
        <v>4171</v>
      </c>
      <c r="D4" s="145">
        <v>0.01</v>
      </c>
      <c r="F4" s="39">
        <v>1.0</v>
      </c>
      <c r="J4" s="145">
        <v>0.5</v>
      </c>
      <c r="K4" s="39">
        <v>2.0</v>
      </c>
      <c r="N4" s="39">
        <v>4.0</v>
      </c>
      <c r="O4" s="39" t="s">
        <v>4172</v>
      </c>
      <c r="P4" s="39" t="s">
        <v>4165</v>
      </c>
      <c r="Q4" s="39">
        <v>0.0</v>
      </c>
      <c r="R4" s="39" t="b">
        <v>0</v>
      </c>
      <c r="S4" s="39" t="b">
        <v>0</v>
      </c>
      <c r="T4" s="39" t="s">
        <v>453</v>
      </c>
      <c r="U4" s="39" t="s">
        <v>4166</v>
      </c>
      <c r="V4" s="39">
        <v>2.0</v>
      </c>
      <c r="W4" s="39" t="b">
        <v>1</v>
      </c>
      <c r="X4" s="39">
        <v>4.0</v>
      </c>
      <c r="Y4" s="39" t="s">
        <v>4173</v>
      </c>
      <c r="Z4" s="39">
        <v>0.0</v>
      </c>
      <c r="AA4" s="39">
        <v>1.0</v>
      </c>
      <c r="AB4" s="39" t="s">
        <v>1782</v>
      </c>
      <c r="AC4" s="39">
        <v>20.0</v>
      </c>
      <c r="AD4" s="39">
        <v>0.0</v>
      </c>
      <c r="AE4" s="39" t="s">
        <v>4174</v>
      </c>
      <c r="AF4" s="39">
        <v>0.0</v>
      </c>
      <c r="AG4" s="39"/>
      <c r="AH4" s="39" t="s">
        <v>4168</v>
      </c>
      <c r="AI4" s="39" t="s">
        <v>4175</v>
      </c>
      <c r="AJ4" s="39">
        <v>2.0</v>
      </c>
      <c r="AK4" s="39"/>
      <c r="AL4" s="39"/>
      <c r="AM4" s="39"/>
      <c r="AN4" s="39"/>
      <c r="AO4" s="39"/>
      <c r="AP4" s="39"/>
      <c r="AQ4" s="39"/>
      <c r="AR4" s="39"/>
      <c r="AS4" s="39"/>
      <c r="AT4" s="39"/>
      <c r="AU4" s="39"/>
      <c r="AV4" s="39"/>
    </row>
    <row r="5" ht="18.75" customHeight="1">
      <c r="A5" s="64" t="s">
        <v>4176</v>
      </c>
      <c r="B5" s="64" t="s">
        <v>4177</v>
      </c>
      <c r="C5" s="37" t="s">
        <v>4178</v>
      </c>
      <c r="D5" s="145">
        <v>0.01</v>
      </c>
      <c r="F5" s="39">
        <v>2.0</v>
      </c>
      <c r="J5" s="145">
        <v>0.5</v>
      </c>
      <c r="K5" s="39">
        <v>3.0</v>
      </c>
      <c r="N5" s="39">
        <v>3.0</v>
      </c>
      <c r="O5" s="39" t="s">
        <v>4179</v>
      </c>
      <c r="P5" s="39" t="s">
        <v>4165</v>
      </c>
      <c r="Q5" s="39">
        <v>0.0</v>
      </c>
      <c r="R5" s="39" t="b">
        <v>0</v>
      </c>
      <c r="S5" s="39" t="b">
        <v>0</v>
      </c>
      <c r="T5" s="39" t="s">
        <v>4180</v>
      </c>
      <c r="U5" s="39" t="s">
        <v>4166</v>
      </c>
      <c r="V5" s="39">
        <v>3.0</v>
      </c>
      <c r="W5" s="39" t="b">
        <v>1</v>
      </c>
      <c r="X5" s="39">
        <v>4.0</v>
      </c>
      <c r="Y5" s="39" t="s">
        <v>4181</v>
      </c>
      <c r="Z5" s="39">
        <v>0.0</v>
      </c>
      <c r="AA5" s="39">
        <v>1.0</v>
      </c>
      <c r="AB5" s="39"/>
      <c r="AC5" s="39"/>
      <c r="AD5" s="39"/>
      <c r="AE5" s="39"/>
      <c r="AF5" s="39"/>
      <c r="AG5" s="39"/>
      <c r="AH5" s="39" t="s">
        <v>4168</v>
      </c>
      <c r="AI5" s="39" t="s">
        <v>4169</v>
      </c>
      <c r="AJ5" s="39">
        <v>3.0</v>
      </c>
      <c r="AK5" s="39"/>
      <c r="AL5" s="39"/>
      <c r="AM5" s="39"/>
      <c r="AN5" s="39"/>
      <c r="AO5" s="39"/>
      <c r="AP5" s="39"/>
      <c r="AQ5" s="39"/>
      <c r="AR5" s="39"/>
      <c r="AS5" s="39"/>
      <c r="AT5" s="39"/>
      <c r="AU5" s="39"/>
      <c r="AV5" s="39"/>
    </row>
    <row r="6" ht="18.75" customHeight="1">
      <c r="A6" s="64" t="s">
        <v>1767</v>
      </c>
      <c r="B6" s="64" t="s">
        <v>4182</v>
      </c>
      <c r="C6" s="37" t="s">
        <v>4183</v>
      </c>
      <c r="D6" s="145">
        <v>0.008</v>
      </c>
      <c r="F6" s="39">
        <v>2.0</v>
      </c>
      <c r="J6" s="145">
        <v>0.8</v>
      </c>
      <c r="K6" s="39">
        <v>2.0</v>
      </c>
      <c r="N6" s="39">
        <v>2.0</v>
      </c>
      <c r="O6" s="39" t="s">
        <v>29</v>
      </c>
      <c r="P6" s="39" t="s">
        <v>4165</v>
      </c>
      <c r="Q6" s="39">
        <v>0.0</v>
      </c>
      <c r="R6" s="39" t="b">
        <v>0</v>
      </c>
      <c r="S6" s="39" t="b">
        <v>0</v>
      </c>
      <c r="T6" s="39" t="s">
        <v>908</v>
      </c>
      <c r="U6" s="39" t="s">
        <v>4166</v>
      </c>
      <c r="V6" s="39">
        <v>4.0</v>
      </c>
      <c r="W6" s="39" t="b">
        <v>1</v>
      </c>
      <c r="X6" s="39">
        <v>4.0</v>
      </c>
      <c r="Y6" s="39" t="s">
        <v>4181</v>
      </c>
      <c r="Z6" s="39">
        <v>0.0</v>
      </c>
      <c r="AA6" s="39">
        <v>1.0</v>
      </c>
      <c r="AB6" s="39"/>
      <c r="AC6" s="39"/>
      <c r="AD6" s="39"/>
      <c r="AE6" s="39"/>
      <c r="AF6" s="39"/>
      <c r="AG6" s="39"/>
      <c r="AH6" s="39" t="s">
        <v>4168</v>
      </c>
      <c r="AI6" s="39" t="s">
        <v>4184</v>
      </c>
      <c r="AJ6" s="39">
        <v>1.0</v>
      </c>
      <c r="AK6" s="39"/>
      <c r="AL6" s="39"/>
      <c r="AM6" s="39"/>
      <c r="AN6" s="39"/>
      <c r="AO6" s="39"/>
      <c r="AP6" s="39"/>
      <c r="AQ6" s="39"/>
      <c r="AR6" s="39"/>
      <c r="AS6" s="39"/>
      <c r="AT6" s="39"/>
      <c r="AU6" s="39"/>
      <c r="AV6" s="39"/>
    </row>
    <row r="7" ht="18.75" customHeight="1">
      <c r="A7" s="64" t="s">
        <v>1049</v>
      </c>
      <c r="B7" s="64" t="s">
        <v>4185</v>
      </c>
      <c r="C7" s="37" t="s">
        <v>4186</v>
      </c>
      <c r="D7" s="145">
        <v>0.006</v>
      </c>
      <c r="F7" s="39">
        <v>1.0</v>
      </c>
      <c r="J7" s="145">
        <v>0.7</v>
      </c>
      <c r="K7" s="39">
        <v>1.0</v>
      </c>
      <c r="N7" s="39">
        <v>7.0</v>
      </c>
      <c r="O7" s="39" t="s">
        <v>4187</v>
      </c>
      <c r="P7" s="39" t="s">
        <v>4165</v>
      </c>
      <c r="Q7" s="39">
        <v>0.0</v>
      </c>
      <c r="R7" s="39" t="b">
        <v>0</v>
      </c>
      <c r="S7" s="39" t="b">
        <v>0</v>
      </c>
      <c r="T7" s="39" t="s">
        <v>4188</v>
      </c>
      <c r="U7" s="39" t="s">
        <v>4166</v>
      </c>
      <c r="V7" s="39">
        <v>5.0</v>
      </c>
      <c r="W7" s="39" t="b">
        <v>1</v>
      </c>
      <c r="X7" s="39">
        <v>4.0</v>
      </c>
      <c r="Y7" s="39" t="s">
        <v>4189</v>
      </c>
      <c r="Z7" s="39">
        <v>0.0</v>
      </c>
      <c r="AA7" s="39">
        <v>1.0</v>
      </c>
      <c r="AB7" s="39" t="s">
        <v>1782</v>
      </c>
      <c r="AC7" s="39">
        <v>80.0</v>
      </c>
      <c r="AD7" s="39">
        <v>0.0</v>
      </c>
      <c r="AE7" s="39" t="s">
        <v>4174</v>
      </c>
      <c r="AF7" s="39">
        <v>0.0</v>
      </c>
      <c r="AG7" s="39"/>
      <c r="AH7" s="39" t="s">
        <v>4190</v>
      </c>
      <c r="AI7" s="39" t="s">
        <v>29</v>
      </c>
      <c r="AJ7" s="39">
        <v>0.0</v>
      </c>
      <c r="AK7" s="39"/>
      <c r="AL7" s="39"/>
      <c r="AM7" s="39"/>
      <c r="AN7" s="39"/>
      <c r="AO7" s="39"/>
      <c r="AP7" s="39"/>
      <c r="AQ7" s="39"/>
      <c r="AR7" s="39"/>
      <c r="AS7" s="39"/>
      <c r="AT7" s="39"/>
      <c r="AU7" s="39"/>
      <c r="AV7" s="39"/>
    </row>
    <row r="8" ht="18.75" customHeight="1">
      <c r="A8" s="64" t="s">
        <v>4191</v>
      </c>
      <c r="B8" s="102" t="s">
        <v>4192</v>
      </c>
      <c r="C8" s="37" t="s">
        <v>4193</v>
      </c>
      <c r="D8" s="145">
        <v>0.006</v>
      </c>
      <c r="F8" s="39">
        <v>1.0</v>
      </c>
      <c r="J8" s="145">
        <v>0.9</v>
      </c>
      <c r="K8" s="39">
        <v>1.0</v>
      </c>
      <c r="N8" s="39">
        <v>3.0</v>
      </c>
      <c r="O8" s="39" t="s">
        <v>29</v>
      </c>
      <c r="P8" s="39" t="s">
        <v>4165</v>
      </c>
      <c r="Q8" s="39">
        <v>0.0</v>
      </c>
      <c r="R8" s="39" t="b">
        <v>0</v>
      </c>
      <c r="S8" s="39" t="b">
        <v>0</v>
      </c>
      <c r="T8" s="39" t="s">
        <v>518</v>
      </c>
      <c r="U8" s="39" t="s">
        <v>4166</v>
      </c>
      <c r="V8" s="39">
        <v>6.0</v>
      </c>
      <c r="W8" s="39" t="b">
        <v>1</v>
      </c>
      <c r="X8" s="39">
        <v>4.0</v>
      </c>
      <c r="Y8" s="39" t="s">
        <v>4194</v>
      </c>
      <c r="Z8" s="39">
        <v>0.0</v>
      </c>
      <c r="AA8" s="39">
        <v>1.0</v>
      </c>
      <c r="AB8" s="39" t="s">
        <v>518</v>
      </c>
      <c r="AC8" s="39">
        <v>140.0</v>
      </c>
      <c r="AD8" s="39">
        <v>0.0</v>
      </c>
      <c r="AE8" s="39" t="s">
        <v>4195</v>
      </c>
      <c r="AF8" s="39">
        <v>0.0</v>
      </c>
      <c r="AG8" s="39">
        <v>3.0</v>
      </c>
      <c r="AH8" s="39" t="s">
        <v>4168</v>
      </c>
      <c r="AI8" s="39" t="s">
        <v>554</v>
      </c>
      <c r="AJ8" s="39">
        <v>1.0</v>
      </c>
      <c r="AK8" s="39"/>
      <c r="AL8" s="39"/>
      <c r="AM8" s="39"/>
      <c r="AN8" s="39"/>
      <c r="AO8" s="39"/>
      <c r="AP8" s="39"/>
      <c r="AQ8" s="39"/>
      <c r="AR8" s="39"/>
      <c r="AS8" s="39"/>
      <c r="AT8" s="39"/>
      <c r="AU8" s="39"/>
      <c r="AV8" s="39" t="s">
        <v>4196</v>
      </c>
    </row>
    <row r="9" ht="18.75" customHeight="1">
      <c r="A9" s="64" t="s">
        <v>4197</v>
      </c>
      <c r="B9" s="64" t="s">
        <v>4198</v>
      </c>
      <c r="C9" s="37" t="s">
        <v>4199</v>
      </c>
      <c r="D9" s="145">
        <v>0.006</v>
      </c>
      <c r="F9" s="39">
        <v>2.0</v>
      </c>
      <c r="J9" s="145">
        <v>0.7</v>
      </c>
      <c r="K9" s="39">
        <v>2.0</v>
      </c>
      <c r="N9" s="39">
        <v>3.0</v>
      </c>
      <c r="O9" s="39" t="s">
        <v>4200</v>
      </c>
      <c r="P9" s="39" t="s">
        <v>4165</v>
      </c>
      <c r="Q9" s="39">
        <v>0.0</v>
      </c>
      <c r="R9" s="39" t="b">
        <v>0</v>
      </c>
      <c r="S9" s="39" t="b">
        <v>0</v>
      </c>
      <c r="T9" s="39" t="s">
        <v>4201</v>
      </c>
      <c r="U9" s="39" t="s">
        <v>4166</v>
      </c>
      <c r="V9" s="39">
        <v>7.0</v>
      </c>
      <c r="W9" s="39" t="b">
        <v>1</v>
      </c>
      <c r="X9" s="39">
        <v>4.0</v>
      </c>
      <c r="Y9" s="39" t="s">
        <v>4181</v>
      </c>
      <c r="Z9" s="39">
        <v>0.0</v>
      </c>
      <c r="AA9" s="39">
        <v>1.0</v>
      </c>
      <c r="AB9" s="39"/>
      <c r="AC9" s="39"/>
      <c r="AD9" s="39"/>
      <c r="AE9" s="39"/>
      <c r="AF9" s="39"/>
      <c r="AG9" s="39"/>
      <c r="AH9" s="39" t="s">
        <v>4168</v>
      </c>
      <c r="AI9" s="39" t="s">
        <v>4202</v>
      </c>
      <c r="AJ9" s="39">
        <v>2.0</v>
      </c>
      <c r="AK9" s="39"/>
      <c r="AL9" s="39"/>
      <c r="AM9" s="39"/>
      <c r="AN9" s="39"/>
      <c r="AO9" s="39"/>
      <c r="AP9" s="39"/>
      <c r="AQ9" s="39"/>
      <c r="AR9" s="39"/>
      <c r="AS9" s="39"/>
      <c r="AT9" s="39"/>
      <c r="AU9" s="39"/>
      <c r="AV9" s="39"/>
    </row>
    <row r="10" ht="18.75" customHeight="1">
      <c r="A10" s="64" t="s">
        <v>4203</v>
      </c>
      <c r="B10" s="64" t="s">
        <v>4204</v>
      </c>
      <c r="C10" s="37" t="s">
        <v>4205</v>
      </c>
      <c r="D10" s="145">
        <v>0.006</v>
      </c>
      <c r="F10" s="39">
        <v>2.0</v>
      </c>
      <c r="J10" s="145">
        <v>0.5</v>
      </c>
      <c r="K10" s="39">
        <v>2.0</v>
      </c>
      <c r="N10" s="39">
        <v>3.0</v>
      </c>
      <c r="O10" s="39" t="s">
        <v>4179</v>
      </c>
      <c r="P10" s="39" t="s">
        <v>4165</v>
      </c>
      <c r="Q10" s="39">
        <v>0.0</v>
      </c>
      <c r="R10" s="39" t="b">
        <v>0</v>
      </c>
      <c r="S10" s="39" t="b">
        <v>0</v>
      </c>
      <c r="T10" s="39" t="s">
        <v>4206</v>
      </c>
      <c r="U10" s="39" t="s">
        <v>4166</v>
      </c>
      <c r="V10" s="39">
        <v>8.0</v>
      </c>
      <c r="W10" s="39" t="b">
        <v>1</v>
      </c>
      <c r="X10" s="39">
        <v>4.0</v>
      </c>
      <c r="Y10" s="39" t="s">
        <v>4181</v>
      </c>
      <c r="Z10" s="39">
        <v>0.0</v>
      </c>
      <c r="AA10" s="39">
        <v>1.0</v>
      </c>
      <c r="AB10" s="39"/>
      <c r="AC10" s="39"/>
      <c r="AD10" s="39"/>
      <c r="AE10" s="39"/>
      <c r="AF10" s="39"/>
      <c r="AG10" s="39"/>
      <c r="AH10" s="39" t="s">
        <v>4168</v>
      </c>
      <c r="AI10" s="39" t="s">
        <v>4207</v>
      </c>
      <c r="AJ10" s="39">
        <v>2.0</v>
      </c>
      <c r="AK10" s="39"/>
      <c r="AL10" s="39"/>
      <c r="AM10" s="39"/>
      <c r="AN10" s="39"/>
      <c r="AO10" s="39"/>
      <c r="AP10" s="39"/>
      <c r="AQ10" s="39"/>
      <c r="AR10" s="39"/>
      <c r="AS10" s="39"/>
      <c r="AT10" s="39"/>
      <c r="AU10" s="39"/>
      <c r="AV10" s="39"/>
    </row>
    <row r="11" ht="18.75" customHeight="1">
      <c r="A11" s="64" t="s">
        <v>4208</v>
      </c>
      <c r="B11" s="64" t="s">
        <v>4209</v>
      </c>
      <c r="C11" s="37" t="s">
        <v>4210</v>
      </c>
      <c r="D11" s="144">
        <v>0.01</v>
      </c>
      <c r="E11" s="37">
        <v>1.0</v>
      </c>
      <c r="F11" s="37">
        <v>1.0</v>
      </c>
      <c r="G11" s="37">
        <v>3.0</v>
      </c>
      <c r="H11" s="37">
        <v>0.35</v>
      </c>
      <c r="I11" s="37">
        <v>38.0</v>
      </c>
      <c r="J11" s="144">
        <v>0.5</v>
      </c>
      <c r="K11" s="37">
        <v>2.0</v>
      </c>
      <c r="L11" s="37">
        <v>1.0</v>
      </c>
      <c r="M11" s="37">
        <v>3.0</v>
      </c>
      <c r="N11" s="37">
        <v>10.0</v>
      </c>
      <c r="O11" s="39" t="s">
        <v>29</v>
      </c>
      <c r="P11" s="39" t="s">
        <v>4165</v>
      </c>
      <c r="Q11" s="39">
        <v>0.0</v>
      </c>
      <c r="R11" s="39" t="b">
        <v>0</v>
      </c>
      <c r="S11" s="39" t="b">
        <v>0</v>
      </c>
      <c r="T11" s="39" t="s">
        <v>4211</v>
      </c>
      <c r="U11" s="39" t="s">
        <v>4166</v>
      </c>
      <c r="V11" s="39">
        <v>9.0</v>
      </c>
      <c r="W11" s="39" t="b">
        <v>1</v>
      </c>
      <c r="X11" s="39">
        <v>4.0</v>
      </c>
      <c r="Y11" s="39" t="s">
        <v>4212</v>
      </c>
      <c r="Z11" s="39">
        <v>0.0</v>
      </c>
      <c r="AA11" s="39">
        <v>1.0</v>
      </c>
      <c r="AB11" s="39"/>
      <c r="AC11" s="39"/>
      <c r="AD11" s="39"/>
      <c r="AE11" s="39"/>
      <c r="AF11" s="39"/>
      <c r="AG11" s="39"/>
      <c r="AH11" s="39" t="s">
        <v>4213</v>
      </c>
      <c r="AI11" s="39" t="s">
        <v>29</v>
      </c>
      <c r="AJ11" s="39">
        <v>0.0</v>
      </c>
      <c r="AK11" s="39"/>
      <c r="AL11" s="39"/>
      <c r="AM11" s="39"/>
      <c r="AN11" s="39"/>
      <c r="AO11" s="39"/>
      <c r="AP11" s="39"/>
      <c r="AQ11" s="39"/>
      <c r="AR11" s="39"/>
      <c r="AS11" s="39"/>
      <c r="AT11" s="39"/>
      <c r="AU11" s="39"/>
      <c r="AV11" s="39"/>
    </row>
    <row r="12" ht="18.75" customHeight="1">
      <c r="A12" s="64" t="s">
        <v>4214</v>
      </c>
      <c r="B12" s="64" t="s">
        <v>4215</v>
      </c>
      <c r="C12" s="37" t="s">
        <v>4216</v>
      </c>
      <c r="D12" s="145">
        <v>0.008</v>
      </c>
      <c r="F12" s="39">
        <v>1.0</v>
      </c>
      <c r="J12" s="145">
        <v>0.6</v>
      </c>
      <c r="K12" s="39">
        <v>1.0</v>
      </c>
      <c r="N12" s="39">
        <v>5.0</v>
      </c>
      <c r="O12" s="39" t="s">
        <v>4187</v>
      </c>
      <c r="P12" s="39" t="s">
        <v>4165</v>
      </c>
      <c r="Q12" s="39">
        <v>0.0</v>
      </c>
      <c r="R12" s="39" t="b">
        <v>0</v>
      </c>
      <c r="S12" s="39" t="b">
        <v>0</v>
      </c>
      <c r="T12" s="39" t="s">
        <v>4217</v>
      </c>
      <c r="U12" s="39" t="s">
        <v>4166</v>
      </c>
      <c r="V12" s="39">
        <v>10.0</v>
      </c>
      <c r="W12" s="39" t="b">
        <v>1</v>
      </c>
      <c r="X12" s="39">
        <v>4.0</v>
      </c>
      <c r="Y12" s="39" t="s">
        <v>4189</v>
      </c>
      <c r="Z12" s="39">
        <v>0.0</v>
      </c>
      <c r="AA12" s="39">
        <v>1.0</v>
      </c>
      <c r="AB12" s="39" t="s">
        <v>1782</v>
      </c>
      <c r="AC12" s="39">
        <v>80.0</v>
      </c>
      <c r="AD12" s="39">
        <v>0.0</v>
      </c>
      <c r="AE12" s="39" t="s">
        <v>4174</v>
      </c>
      <c r="AF12" s="39">
        <v>0.0</v>
      </c>
      <c r="AG12" s="39"/>
      <c r="AH12" s="39" t="s">
        <v>4168</v>
      </c>
      <c r="AI12" s="39" t="s">
        <v>4175</v>
      </c>
      <c r="AJ12" s="39">
        <v>2.0</v>
      </c>
      <c r="AK12" s="39"/>
      <c r="AL12" s="39"/>
      <c r="AM12" s="39"/>
      <c r="AN12" s="39"/>
      <c r="AO12" s="39"/>
      <c r="AP12" s="39"/>
      <c r="AQ12" s="39"/>
      <c r="AR12" s="39"/>
      <c r="AS12" s="39"/>
      <c r="AT12" s="39"/>
      <c r="AU12" s="39"/>
      <c r="AV12" s="39"/>
    </row>
    <row r="13" ht="18.75" customHeight="1">
      <c r="A13" s="64"/>
      <c r="B13" s="64"/>
      <c r="D13" s="144"/>
      <c r="J13" s="144"/>
    </row>
    <row r="14" ht="18.75" customHeight="1">
      <c r="A14" s="64"/>
      <c r="B14" s="64"/>
      <c r="D14" s="144"/>
      <c r="J14" s="144"/>
    </row>
    <row r="15" ht="18.75" customHeight="1">
      <c r="A15" s="64" t="s">
        <v>4160</v>
      </c>
      <c r="B15" s="64" t="s">
        <v>3015</v>
      </c>
      <c r="D15" s="144"/>
      <c r="J15" s="144"/>
    </row>
    <row r="16" ht="18.75" customHeight="1">
      <c r="A16" s="64" t="s">
        <v>4218</v>
      </c>
      <c r="B16" s="64" t="s">
        <v>4219</v>
      </c>
      <c r="C16" s="37" t="s">
        <v>4220</v>
      </c>
      <c r="D16" s="145">
        <v>0.004</v>
      </c>
      <c r="F16" s="39">
        <v>1.0</v>
      </c>
      <c r="J16" s="145">
        <v>0.7</v>
      </c>
      <c r="K16" s="39">
        <v>3.0</v>
      </c>
      <c r="N16" s="39">
        <v>5.0</v>
      </c>
      <c r="O16" s="39" t="s">
        <v>4221</v>
      </c>
      <c r="P16" s="39" t="s">
        <v>4165</v>
      </c>
      <c r="Q16" s="39">
        <v>0.0</v>
      </c>
      <c r="R16" s="39" t="b">
        <v>0</v>
      </c>
      <c r="S16" s="39" t="b">
        <v>1</v>
      </c>
      <c r="T16" s="39" t="s">
        <v>716</v>
      </c>
      <c r="U16" s="39" t="s">
        <v>29</v>
      </c>
      <c r="V16" s="39">
        <v>0.0</v>
      </c>
      <c r="W16" s="39" t="b">
        <v>1</v>
      </c>
      <c r="X16" s="39">
        <v>4.0</v>
      </c>
      <c r="Y16" s="39" t="s">
        <v>4181</v>
      </c>
      <c r="Z16" s="39">
        <v>0.0</v>
      </c>
      <c r="AA16" s="39">
        <v>1.0</v>
      </c>
      <c r="AB16" s="39"/>
      <c r="AC16" s="39"/>
      <c r="AD16" s="39"/>
      <c r="AE16" s="39"/>
      <c r="AF16" s="39"/>
      <c r="AG16" s="39"/>
      <c r="AH16" s="39" t="s">
        <v>4168</v>
      </c>
      <c r="AI16" s="39" t="s">
        <v>4222</v>
      </c>
      <c r="AJ16" s="39">
        <v>1.0</v>
      </c>
      <c r="AK16" s="39"/>
      <c r="AL16" s="39"/>
      <c r="AM16" s="39"/>
      <c r="AN16" s="39"/>
      <c r="AO16" s="39"/>
      <c r="AP16" s="39"/>
      <c r="AQ16" s="39"/>
      <c r="AR16" s="39"/>
      <c r="AS16" s="39"/>
      <c r="AT16" s="39"/>
      <c r="AU16" s="39"/>
      <c r="AV16" s="39"/>
    </row>
    <row r="17" ht="18.75" customHeight="1">
      <c r="A17" s="64" t="s">
        <v>4223</v>
      </c>
      <c r="B17" s="64" t="s">
        <v>4224</v>
      </c>
      <c r="C17" s="37" t="s">
        <v>4225</v>
      </c>
      <c r="D17" s="145">
        <v>0.003</v>
      </c>
      <c r="F17" s="39">
        <v>1.0</v>
      </c>
      <c r="J17" s="145">
        <v>0.9</v>
      </c>
      <c r="K17" s="39">
        <v>1.0</v>
      </c>
      <c r="N17" s="39">
        <v>2.0</v>
      </c>
      <c r="O17" s="39" t="s">
        <v>29</v>
      </c>
      <c r="P17" s="39" t="s">
        <v>4165</v>
      </c>
      <c r="Q17" s="39">
        <v>0.0</v>
      </c>
      <c r="R17" s="39" t="b">
        <v>0</v>
      </c>
      <c r="S17" s="39" t="b">
        <v>0</v>
      </c>
      <c r="T17" s="39" t="s">
        <v>4226</v>
      </c>
      <c r="U17" s="39" t="s">
        <v>29</v>
      </c>
      <c r="V17" s="39">
        <v>0.0</v>
      </c>
      <c r="W17" s="39" t="b">
        <v>1</v>
      </c>
      <c r="X17" s="39">
        <v>4.0</v>
      </c>
      <c r="Y17" s="39" t="s">
        <v>4227</v>
      </c>
      <c r="Z17" s="39">
        <v>0.0</v>
      </c>
      <c r="AA17" s="39">
        <v>1.0</v>
      </c>
      <c r="AB17" s="39" t="s">
        <v>783</v>
      </c>
      <c r="AC17" s="39">
        <v>40.0</v>
      </c>
      <c r="AD17" s="39">
        <v>0.0</v>
      </c>
      <c r="AE17" s="39" t="s">
        <v>4174</v>
      </c>
      <c r="AF17" s="39">
        <v>0.0</v>
      </c>
      <c r="AG17" s="39"/>
      <c r="AH17" s="39" t="s">
        <v>4228</v>
      </c>
      <c r="AI17" s="39" t="s">
        <v>29</v>
      </c>
      <c r="AJ17" s="39">
        <v>0.0</v>
      </c>
      <c r="AK17" s="39"/>
      <c r="AL17" s="39"/>
      <c r="AM17" s="39"/>
      <c r="AN17" s="39"/>
      <c r="AO17" s="39"/>
      <c r="AP17" s="39"/>
      <c r="AQ17" s="39"/>
      <c r="AR17" s="39"/>
      <c r="AS17" s="39"/>
      <c r="AT17" s="39"/>
      <c r="AU17" s="39"/>
      <c r="AV17" s="39"/>
    </row>
    <row r="18" ht="18.75" customHeight="1">
      <c r="A18" s="64" t="s">
        <v>4229</v>
      </c>
      <c r="B18" s="64" t="s">
        <v>4230</v>
      </c>
      <c r="C18" s="37" t="s">
        <v>4231</v>
      </c>
      <c r="D18" s="145">
        <v>0.003</v>
      </c>
      <c r="F18" s="39">
        <v>1.0</v>
      </c>
      <c r="J18" s="145">
        <v>0.8</v>
      </c>
      <c r="K18" s="39">
        <v>2.0</v>
      </c>
      <c r="N18" s="39">
        <v>2.0</v>
      </c>
      <c r="O18" s="39" t="s">
        <v>29</v>
      </c>
      <c r="P18" s="39" t="s">
        <v>4165</v>
      </c>
      <c r="Q18" s="39">
        <v>0.0</v>
      </c>
      <c r="R18" s="39" t="b">
        <v>0</v>
      </c>
      <c r="S18" s="39" t="b">
        <v>0</v>
      </c>
      <c r="T18" s="39" t="s">
        <v>4232</v>
      </c>
      <c r="U18" s="39" t="s">
        <v>29</v>
      </c>
      <c r="V18" s="39">
        <v>0.0</v>
      </c>
      <c r="W18" s="39" t="b">
        <v>1</v>
      </c>
      <c r="X18" s="39">
        <v>4.0</v>
      </c>
      <c r="Y18" s="39" t="s">
        <v>4181</v>
      </c>
      <c r="Z18" s="39">
        <v>0.0</v>
      </c>
      <c r="AA18" s="39">
        <v>1.0</v>
      </c>
      <c r="AB18" s="39"/>
      <c r="AC18" s="39"/>
      <c r="AD18" s="39"/>
      <c r="AE18" s="39"/>
      <c r="AF18" s="39"/>
      <c r="AG18" s="39"/>
      <c r="AH18" s="39" t="s">
        <v>4228</v>
      </c>
      <c r="AI18" s="39" t="s">
        <v>29</v>
      </c>
      <c r="AJ18" s="39">
        <v>0.0</v>
      </c>
      <c r="AK18" s="39"/>
      <c r="AL18" s="39"/>
      <c r="AM18" s="39"/>
      <c r="AN18" s="39"/>
      <c r="AO18" s="39"/>
      <c r="AP18" s="39"/>
      <c r="AQ18" s="39"/>
      <c r="AR18" s="39"/>
      <c r="AS18" s="39"/>
      <c r="AT18" s="39"/>
      <c r="AU18" s="39"/>
      <c r="AV18" s="39"/>
    </row>
    <row r="19" ht="18.75" customHeight="1">
      <c r="A19" s="64" t="s">
        <v>4233</v>
      </c>
      <c r="B19" s="64" t="s">
        <v>4234</v>
      </c>
      <c r="C19" s="37" t="s">
        <v>4235</v>
      </c>
      <c r="D19" s="145">
        <v>0.003</v>
      </c>
      <c r="F19" s="39">
        <v>1.0</v>
      </c>
      <c r="J19" s="145">
        <v>0.9</v>
      </c>
      <c r="K19" s="39">
        <v>2.0</v>
      </c>
      <c r="N19" s="39">
        <v>1.0</v>
      </c>
      <c r="O19" s="39" t="s">
        <v>29</v>
      </c>
      <c r="P19" s="39" t="s">
        <v>4165</v>
      </c>
      <c r="Q19" s="39">
        <v>0.0</v>
      </c>
      <c r="R19" s="39" t="b">
        <v>0</v>
      </c>
      <c r="S19" s="39" t="b">
        <v>0</v>
      </c>
      <c r="T19" s="39" t="s">
        <v>4236</v>
      </c>
      <c r="U19" s="39" t="s">
        <v>29</v>
      </c>
      <c r="V19" s="39">
        <v>0.0</v>
      </c>
      <c r="W19" s="39" t="b">
        <v>1</v>
      </c>
      <c r="X19" s="39">
        <v>4.0</v>
      </c>
      <c r="Y19" s="39" t="s">
        <v>4181</v>
      </c>
      <c r="Z19" s="39">
        <v>0.0</v>
      </c>
      <c r="AA19" s="39">
        <v>1.0</v>
      </c>
      <c r="AB19" s="39"/>
      <c r="AC19" s="39"/>
      <c r="AD19" s="39"/>
      <c r="AE19" s="39"/>
      <c r="AF19" s="39"/>
      <c r="AG19" s="39"/>
      <c r="AH19" s="39" t="s">
        <v>4228</v>
      </c>
      <c r="AI19" s="39" t="s">
        <v>29</v>
      </c>
      <c r="AJ19" s="39">
        <v>0.0</v>
      </c>
      <c r="AK19" s="39"/>
      <c r="AL19" s="39"/>
      <c r="AM19" s="39"/>
      <c r="AN19" s="39"/>
      <c r="AO19" s="39"/>
      <c r="AP19" s="39"/>
      <c r="AQ19" s="39"/>
      <c r="AR19" s="39"/>
      <c r="AS19" s="39"/>
      <c r="AT19" s="39"/>
      <c r="AU19" s="39"/>
      <c r="AV19" s="39"/>
    </row>
    <row r="20" ht="18.75" customHeight="1">
      <c r="A20" s="64" t="s">
        <v>4237</v>
      </c>
      <c r="B20" s="64" t="s">
        <v>4238</v>
      </c>
      <c r="C20" s="37" t="s">
        <v>4239</v>
      </c>
      <c r="D20" s="145">
        <v>0.003</v>
      </c>
      <c r="F20" s="39">
        <v>1.0</v>
      </c>
      <c r="J20" s="145">
        <v>0.9</v>
      </c>
      <c r="K20" s="39">
        <v>2.0</v>
      </c>
      <c r="N20" s="39">
        <v>1.0</v>
      </c>
      <c r="O20" s="39" t="s">
        <v>29</v>
      </c>
      <c r="P20" s="39" t="s">
        <v>4165</v>
      </c>
      <c r="Q20" s="39">
        <v>0.0</v>
      </c>
      <c r="R20" s="39" t="b">
        <v>0</v>
      </c>
      <c r="S20" s="39" t="b">
        <v>0</v>
      </c>
      <c r="T20" s="39" t="s">
        <v>4240</v>
      </c>
      <c r="U20" s="39" t="s">
        <v>29</v>
      </c>
      <c r="V20" s="39">
        <v>0.0</v>
      </c>
      <c r="W20" s="39" t="b">
        <v>1</v>
      </c>
      <c r="X20" s="39">
        <v>4.0</v>
      </c>
      <c r="Y20" s="39" t="s">
        <v>4181</v>
      </c>
      <c r="Z20" s="39">
        <v>0.0</v>
      </c>
      <c r="AA20" s="39">
        <v>1.0</v>
      </c>
      <c r="AB20" s="39"/>
      <c r="AC20" s="39"/>
      <c r="AD20" s="39"/>
      <c r="AE20" s="39"/>
      <c r="AF20" s="39"/>
      <c r="AG20" s="39"/>
      <c r="AH20" s="39" t="s">
        <v>4228</v>
      </c>
      <c r="AI20" s="39" t="s">
        <v>29</v>
      </c>
      <c r="AJ20" s="39">
        <v>0.0</v>
      </c>
      <c r="AK20" s="39"/>
      <c r="AL20" s="39"/>
      <c r="AM20" s="39"/>
      <c r="AN20" s="39"/>
      <c r="AO20" s="39"/>
      <c r="AP20" s="39"/>
      <c r="AQ20" s="39"/>
      <c r="AR20" s="39"/>
      <c r="AS20" s="39"/>
      <c r="AT20" s="39"/>
      <c r="AU20" s="39"/>
      <c r="AV20" s="39"/>
    </row>
    <row r="21" ht="18.75" customHeight="1">
      <c r="A21" s="64" t="s">
        <v>4241</v>
      </c>
      <c r="B21" s="64" t="s">
        <v>4242</v>
      </c>
      <c r="C21" s="37" t="s">
        <v>4243</v>
      </c>
      <c r="D21" s="145">
        <v>0.004</v>
      </c>
      <c r="F21" s="39">
        <v>1.0</v>
      </c>
      <c r="J21" s="145">
        <v>0.8</v>
      </c>
      <c r="K21" s="39">
        <v>2.0</v>
      </c>
      <c r="N21" s="39">
        <v>4.0</v>
      </c>
      <c r="O21" s="39" t="s">
        <v>4221</v>
      </c>
      <c r="P21" s="39" t="s">
        <v>4165</v>
      </c>
      <c r="Q21" s="39">
        <v>0.0</v>
      </c>
      <c r="R21" s="39" t="b">
        <v>0</v>
      </c>
      <c r="S21" s="39" t="b">
        <v>1</v>
      </c>
      <c r="T21" s="39" t="s">
        <v>2627</v>
      </c>
      <c r="U21" s="39" t="s">
        <v>29</v>
      </c>
      <c r="V21" s="39">
        <v>0.0</v>
      </c>
      <c r="W21" s="39" t="b">
        <v>1</v>
      </c>
      <c r="X21" s="39">
        <v>4.0</v>
      </c>
      <c r="Y21" s="39" t="s">
        <v>4244</v>
      </c>
      <c r="Z21" s="39">
        <v>0.0</v>
      </c>
      <c r="AA21" s="39">
        <v>1.0</v>
      </c>
      <c r="AB21" s="39" t="s">
        <v>1348</v>
      </c>
      <c r="AC21" s="39">
        <v>30.0</v>
      </c>
      <c r="AD21" s="39">
        <v>0.0</v>
      </c>
      <c r="AE21" s="39" t="s">
        <v>4174</v>
      </c>
      <c r="AF21" s="39">
        <v>0.0</v>
      </c>
      <c r="AG21" s="39"/>
      <c r="AH21" s="39" t="s">
        <v>4168</v>
      </c>
      <c r="AI21" s="39" t="s">
        <v>4222</v>
      </c>
      <c r="AJ21" s="39">
        <v>1.0</v>
      </c>
      <c r="AK21" s="39"/>
      <c r="AL21" s="39"/>
      <c r="AM21" s="39"/>
      <c r="AN21" s="39"/>
      <c r="AO21" s="39"/>
      <c r="AP21" s="39"/>
      <c r="AQ21" s="39"/>
      <c r="AR21" s="39"/>
      <c r="AS21" s="39"/>
      <c r="AT21" s="39"/>
      <c r="AU21" s="39"/>
      <c r="AV21" s="39"/>
    </row>
    <row r="22" ht="18.75" customHeight="1">
      <c r="A22" s="64" t="s">
        <v>4245</v>
      </c>
      <c r="B22" s="64" t="s">
        <v>4246</v>
      </c>
      <c r="C22" s="37" t="s">
        <v>4247</v>
      </c>
      <c r="D22" s="145">
        <v>0.005</v>
      </c>
      <c r="F22" s="39">
        <v>1.0</v>
      </c>
      <c r="J22" s="145">
        <v>0.7</v>
      </c>
      <c r="K22" s="39">
        <v>2.0</v>
      </c>
      <c r="N22" s="39">
        <v>4.0</v>
      </c>
      <c r="O22" s="39" t="s">
        <v>4248</v>
      </c>
      <c r="P22" s="39" t="s">
        <v>4165</v>
      </c>
      <c r="Q22" s="39">
        <v>0.0</v>
      </c>
      <c r="R22" s="39" t="b">
        <v>0</v>
      </c>
      <c r="S22" s="39" t="b">
        <v>0</v>
      </c>
      <c r="T22" s="39" t="s">
        <v>4249</v>
      </c>
      <c r="U22" s="39" t="s">
        <v>4166</v>
      </c>
      <c r="V22" s="39">
        <v>11.0</v>
      </c>
      <c r="W22" s="39" t="b">
        <v>1</v>
      </c>
      <c r="X22" s="39">
        <v>4.0</v>
      </c>
      <c r="Y22" s="39" t="s">
        <v>4250</v>
      </c>
      <c r="Z22" s="39">
        <v>0.0</v>
      </c>
      <c r="AA22" s="39">
        <v>1.0</v>
      </c>
      <c r="AB22" s="39" t="s">
        <v>644</v>
      </c>
      <c r="AC22" s="39">
        <v>20.0</v>
      </c>
      <c r="AD22" s="39">
        <v>0.0</v>
      </c>
      <c r="AE22" s="39" t="s">
        <v>4174</v>
      </c>
      <c r="AF22" s="39">
        <v>0.0</v>
      </c>
      <c r="AG22" s="39"/>
      <c r="AH22" s="39" t="s">
        <v>4168</v>
      </c>
      <c r="AI22" s="39" t="s">
        <v>4222</v>
      </c>
      <c r="AJ22" s="39">
        <v>1.0</v>
      </c>
      <c r="AK22" s="39"/>
      <c r="AL22" s="39"/>
      <c r="AM22" s="39"/>
      <c r="AN22" s="39"/>
      <c r="AO22" s="39"/>
      <c r="AP22" s="39"/>
      <c r="AQ22" s="39"/>
      <c r="AR22" s="39"/>
      <c r="AS22" s="39"/>
      <c r="AT22" s="39"/>
      <c r="AU22" s="39"/>
      <c r="AV22" s="39"/>
    </row>
    <row r="23" ht="18.75" customHeight="1">
      <c r="A23" s="64"/>
      <c r="B23" s="64"/>
      <c r="D23" s="144"/>
      <c r="J23" s="144"/>
    </row>
    <row r="24" ht="18.75" customHeight="1">
      <c r="A24" s="64"/>
      <c r="B24" s="64"/>
      <c r="D24" s="144"/>
      <c r="J24" s="144"/>
    </row>
    <row r="25" ht="18.75" customHeight="1">
      <c r="A25" s="64" t="s">
        <v>4160</v>
      </c>
      <c r="B25" s="64" t="s">
        <v>3015</v>
      </c>
      <c r="D25" s="144"/>
      <c r="J25" s="144"/>
    </row>
    <row r="26" ht="18.75" customHeight="1">
      <c r="A26" s="64" t="s">
        <v>4251</v>
      </c>
      <c r="B26" s="64" t="s">
        <v>4252</v>
      </c>
      <c r="C26" s="37" t="s">
        <v>4253</v>
      </c>
      <c r="D26" s="145">
        <v>0.005</v>
      </c>
      <c r="F26" s="39">
        <v>0.0</v>
      </c>
      <c r="J26" s="145">
        <v>0.8</v>
      </c>
      <c r="K26" s="39">
        <v>3.0</v>
      </c>
      <c r="N26" s="39">
        <v>6.0</v>
      </c>
      <c r="O26" s="39" t="s">
        <v>29</v>
      </c>
      <c r="P26" s="39" t="s">
        <v>4254</v>
      </c>
      <c r="Q26" s="39">
        <v>0.0</v>
      </c>
      <c r="R26" s="39" t="b">
        <v>0</v>
      </c>
      <c r="S26" s="39" t="b">
        <v>0</v>
      </c>
      <c r="T26" s="39" t="s">
        <v>4255</v>
      </c>
      <c r="U26" s="39" t="s">
        <v>4166</v>
      </c>
      <c r="V26" s="39">
        <v>12.0</v>
      </c>
      <c r="W26" s="39" t="b">
        <v>1</v>
      </c>
      <c r="X26" s="39">
        <v>4.0</v>
      </c>
      <c r="Y26" s="39" t="s">
        <v>4181</v>
      </c>
      <c r="Z26" s="39">
        <v>0.0</v>
      </c>
      <c r="AA26" s="39">
        <v>1.0</v>
      </c>
      <c r="AB26" s="39"/>
      <c r="AC26" s="39"/>
      <c r="AD26" s="39"/>
      <c r="AE26" s="39"/>
      <c r="AF26" s="39"/>
      <c r="AG26" s="39"/>
      <c r="AH26" s="39" t="s">
        <v>4256</v>
      </c>
      <c r="AI26" s="39" t="s">
        <v>29</v>
      </c>
      <c r="AJ26" s="39">
        <v>0.0</v>
      </c>
      <c r="AK26" s="39"/>
      <c r="AL26" s="39"/>
      <c r="AM26" s="39"/>
      <c r="AN26" s="39"/>
      <c r="AO26" s="39"/>
      <c r="AP26" s="39"/>
      <c r="AQ26" s="39"/>
      <c r="AR26" s="39"/>
      <c r="AS26" s="39"/>
      <c r="AT26" s="39"/>
      <c r="AU26" s="39"/>
      <c r="AV26" s="39"/>
    </row>
    <row r="27" ht="18.75" customHeight="1">
      <c r="A27" s="64" t="s">
        <v>4257</v>
      </c>
      <c r="B27" s="64" t="s">
        <v>4258</v>
      </c>
      <c r="C27" s="37" t="s">
        <v>4259</v>
      </c>
      <c r="D27" s="145">
        <v>0.003</v>
      </c>
      <c r="F27" s="39">
        <v>0.0</v>
      </c>
      <c r="J27" s="145">
        <v>0.8</v>
      </c>
      <c r="K27" s="39">
        <v>2.0</v>
      </c>
      <c r="N27" s="39">
        <v>8.0</v>
      </c>
      <c r="O27" s="39" t="s">
        <v>29</v>
      </c>
      <c r="P27" s="39" t="s">
        <v>4254</v>
      </c>
      <c r="Q27" s="39">
        <v>0.0</v>
      </c>
      <c r="R27" s="39" t="b">
        <v>0</v>
      </c>
      <c r="S27" s="39" t="b">
        <v>0</v>
      </c>
      <c r="T27" s="39" t="s">
        <v>4260</v>
      </c>
      <c r="U27" s="39" t="s">
        <v>29</v>
      </c>
      <c r="V27" s="39">
        <v>0.0</v>
      </c>
      <c r="W27" s="39" t="b">
        <v>1</v>
      </c>
      <c r="X27" s="39">
        <v>4.0</v>
      </c>
      <c r="Y27" s="39" t="s">
        <v>4181</v>
      </c>
      <c r="Z27" s="39">
        <v>0.0</v>
      </c>
      <c r="AA27" s="39">
        <v>1.0</v>
      </c>
      <c r="AB27" s="39"/>
      <c r="AC27" s="39"/>
      <c r="AD27" s="39"/>
      <c r="AE27" s="39"/>
      <c r="AF27" s="39"/>
      <c r="AG27" s="39"/>
      <c r="AH27" s="39" t="s">
        <v>4256</v>
      </c>
      <c r="AI27" s="39" t="s">
        <v>29</v>
      </c>
      <c r="AJ27" s="39">
        <v>0.0</v>
      </c>
      <c r="AK27" s="39"/>
      <c r="AL27" s="39"/>
      <c r="AM27" s="39"/>
      <c r="AN27" s="39"/>
      <c r="AO27" s="39"/>
      <c r="AP27" s="39"/>
      <c r="AQ27" s="39"/>
      <c r="AR27" s="39"/>
      <c r="AS27" s="39"/>
      <c r="AT27" s="39"/>
      <c r="AU27" s="39"/>
      <c r="AV27" s="39"/>
    </row>
    <row r="28" ht="18.75" customHeight="1">
      <c r="A28" s="64" t="s">
        <v>4261</v>
      </c>
      <c r="B28" s="64" t="s">
        <v>4262</v>
      </c>
      <c r="C28" s="37" t="s">
        <v>4263</v>
      </c>
      <c r="D28" s="145">
        <v>0.005</v>
      </c>
      <c r="F28" s="39">
        <v>0.0</v>
      </c>
      <c r="J28" s="145">
        <v>0.6</v>
      </c>
      <c r="K28" s="39">
        <v>3.0</v>
      </c>
      <c r="N28" s="39">
        <v>6.0</v>
      </c>
      <c r="O28" s="39" t="s">
        <v>29</v>
      </c>
      <c r="P28" s="39" t="s">
        <v>4254</v>
      </c>
      <c r="Q28" s="39">
        <v>0.0</v>
      </c>
      <c r="R28" s="39" t="b">
        <v>0</v>
      </c>
      <c r="S28" s="39" t="b">
        <v>0</v>
      </c>
      <c r="T28" s="39" t="s">
        <v>4264</v>
      </c>
      <c r="U28" s="39" t="s">
        <v>29</v>
      </c>
      <c r="V28" s="39">
        <v>0.0</v>
      </c>
      <c r="W28" s="39" t="b">
        <v>1</v>
      </c>
      <c r="X28" s="39">
        <v>4.0</v>
      </c>
      <c r="Y28" s="39" t="s">
        <v>4181</v>
      </c>
      <c r="Z28" s="39">
        <v>0.0</v>
      </c>
      <c r="AA28" s="39">
        <v>1.0</v>
      </c>
      <c r="AB28" s="39"/>
      <c r="AC28" s="39"/>
      <c r="AD28" s="39"/>
      <c r="AE28" s="39"/>
      <c r="AF28" s="39"/>
      <c r="AG28" s="39"/>
      <c r="AH28" s="39" t="s">
        <v>4256</v>
      </c>
      <c r="AI28" s="39" t="s">
        <v>29</v>
      </c>
      <c r="AJ28" s="39">
        <v>0.0</v>
      </c>
      <c r="AK28" s="39"/>
      <c r="AL28" s="39"/>
      <c r="AM28" s="39"/>
      <c r="AN28" s="39"/>
      <c r="AO28" s="39"/>
      <c r="AP28" s="39"/>
      <c r="AQ28" s="39"/>
      <c r="AR28" s="39"/>
      <c r="AS28" s="39"/>
      <c r="AT28" s="39"/>
      <c r="AU28" s="39"/>
      <c r="AV28" s="39"/>
    </row>
    <row r="29" ht="18.75" customHeight="1">
      <c r="A29" s="64" t="s">
        <v>4265</v>
      </c>
      <c r="B29" s="64" t="s">
        <v>4266</v>
      </c>
      <c r="C29" s="37" t="s">
        <v>4267</v>
      </c>
      <c r="D29" s="145">
        <v>0.004</v>
      </c>
      <c r="F29" s="39">
        <v>0.0</v>
      </c>
      <c r="J29" s="145">
        <v>0.5</v>
      </c>
      <c r="K29" s="39">
        <v>3.0</v>
      </c>
      <c r="N29" s="39">
        <v>2.0</v>
      </c>
      <c r="O29" s="39" t="s">
        <v>29</v>
      </c>
      <c r="P29" s="39" t="s">
        <v>4254</v>
      </c>
      <c r="Q29" s="39">
        <v>0.0</v>
      </c>
      <c r="R29" s="39" t="b">
        <v>0</v>
      </c>
      <c r="S29" s="39" t="b">
        <v>0</v>
      </c>
      <c r="T29" s="39" t="s">
        <v>4268</v>
      </c>
      <c r="U29" s="39" t="s">
        <v>29</v>
      </c>
      <c r="V29" s="39">
        <v>0.0</v>
      </c>
      <c r="W29" s="39" t="b">
        <v>1</v>
      </c>
      <c r="X29" s="39">
        <v>4.0</v>
      </c>
      <c r="Y29" s="39" t="s">
        <v>4181</v>
      </c>
      <c r="Z29" s="39">
        <v>0.0</v>
      </c>
      <c r="AA29" s="39">
        <v>1.0</v>
      </c>
      <c r="AB29" s="39"/>
      <c r="AC29" s="39"/>
      <c r="AD29" s="39"/>
      <c r="AE29" s="39"/>
      <c r="AF29" s="39"/>
      <c r="AG29" s="39"/>
      <c r="AH29" s="39" t="s">
        <v>4256</v>
      </c>
      <c r="AI29" s="39" t="s">
        <v>29</v>
      </c>
      <c r="AJ29" s="39">
        <v>0.0</v>
      </c>
      <c r="AK29" s="39"/>
      <c r="AL29" s="39"/>
      <c r="AM29" s="39"/>
      <c r="AN29" s="39"/>
      <c r="AO29" s="39"/>
      <c r="AP29" s="39"/>
      <c r="AQ29" s="39"/>
      <c r="AR29" s="39"/>
      <c r="AS29" s="39"/>
      <c r="AT29" s="39"/>
      <c r="AU29" s="39"/>
      <c r="AV29" s="39"/>
    </row>
    <row r="30" ht="18.75" customHeight="1">
      <c r="A30" s="64" t="s">
        <v>4269</v>
      </c>
      <c r="B30" s="64" t="s">
        <v>4270</v>
      </c>
      <c r="C30" s="37" t="s">
        <v>4271</v>
      </c>
      <c r="D30" s="145">
        <v>0.003</v>
      </c>
      <c r="F30" s="39">
        <v>0.0</v>
      </c>
      <c r="J30" s="145">
        <v>0.9</v>
      </c>
      <c r="K30" s="39">
        <v>3.0</v>
      </c>
      <c r="N30" s="39">
        <v>5.0</v>
      </c>
      <c r="O30" s="39" t="s">
        <v>29</v>
      </c>
      <c r="P30" s="39" t="s">
        <v>4254</v>
      </c>
      <c r="Q30" s="39">
        <v>0.0</v>
      </c>
      <c r="R30" s="39" t="b">
        <v>0</v>
      </c>
      <c r="S30" s="39" t="b">
        <v>0</v>
      </c>
      <c r="T30" s="39" t="s">
        <v>4272</v>
      </c>
      <c r="U30" s="39" t="s">
        <v>29</v>
      </c>
      <c r="V30" s="39">
        <v>0.0</v>
      </c>
      <c r="W30" s="39" t="b">
        <v>1</v>
      </c>
      <c r="X30" s="39">
        <v>4.0</v>
      </c>
      <c r="Y30" s="39" t="s">
        <v>4181</v>
      </c>
      <c r="Z30" s="39">
        <v>0.0</v>
      </c>
      <c r="AA30" s="39">
        <v>1.0</v>
      </c>
      <c r="AB30" s="39"/>
      <c r="AC30" s="39"/>
      <c r="AD30" s="39"/>
      <c r="AE30" s="39"/>
      <c r="AF30" s="39"/>
      <c r="AG30" s="39"/>
      <c r="AH30" s="39" t="s">
        <v>4256</v>
      </c>
      <c r="AI30" s="39" t="s">
        <v>29</v>
      </c>
      <c r="AJ30" s="39">
        <v>0.0</v>
      </c>
      <c r="AK30" s="39"/>
      <c r="AL30" s="39"/>
      <c r="AM30" s="39"/>
      <c r="AN30" s="39"/>
      <c r="AO30" s="39"/>
      <c r="AP30" s="39"/>
      <c r="AQ30" s="39"/>
      <c r="AR30" s="39"/>
      <c r="AS30" s="39"/>
      <c r="AT30" s="39"/>
      <c r="AU30" s="39"/>
      <c r="AV30" s="39"/>
    </row>
    <row r="31" ht="18.75" customHeight="1">
      <c r="A31" s="64" t="s">
        <v>4273</v>
      </c>
      <c r="B31" s="64" t="s">
        <v>4274</v>
      </c>
      <c r="C31" s="37" t="s">
        <v>4275</v>
      </c>
      <c r="D31" s="145">
        <v>0.003</v>
      </c>
      <c r="F31" s="39">
        <v>0.0</v>
      </c>
      <c r="J31" s="145">
        <v>0.7</v>
      </c>
      <c r="K31" s="39">
        <v>3.0</v>
      </c>
      <c r="N31" s="39">
        <v>3.0</v>
      </c>
      <c r="O31" s="39" t="s">
        <v>29</v>
      </c>
      <c r="P31" s="39" t="s">
        <v>4254</v>
      </c>
      <c r="Q31" s="39">
        <v>0.0</v>
      </c>
      <c r="R31" s="39" t="b">
        <v>0</v>
      </c>
      <c r="S31" s="39" t="b">
        <v>0</v>
      </c>
      <c r="T31" s="39" t="s">
        <v>4276</v>
      </c>
      <c r="U31" s="39" t="s">
        <v>29</v>
      </c>
      <c r="V31" s="39">
        <v>0.0</v>
      </c>
      <c r="W31" s="39" t="b">
        <v>1</v>
      </c>
      <c r="X31" s="39">
        <v>4.0</v>
      </c>
      <c r="Y31" s="39" t="s">
        <v>4181</v>
      </c>
      <c r="Z31" s="39">
        <v>0.0</v>
      </c>
      <c r="AA31" s="39">
        <v>1.0</v>
      </c>
      <c r="AB31" s="39"/>
      <c r="AC31" s="39"/>
      <c r="AD31" s="39"/>
      <c r="AE31" s="39"/>
      <c r="AF31" s="39"/>
      <c r="AG31" s="39"/>
      <c r="AH31" s="39" t="s">
        <v>4256</v>
      </c>
      <c r="AI31" s="39" t="s">
        <v>29</v>
      </c>
      <c r="AJ31" s="39">
        <v>0.0</v>
      </c>
      <c r="AK31" s="39"/>
      <c r="AL31" s="39"/>
      <c r="AM31" s="39"/>
      <c r="AN31" s="39"/>
      <c r="AO31" s="39"/>
      <c r="AP31" s="39"/>
      <c r="AQ31" s="39"/>
      <c r="AR31" s="39"/>
      <c r="AS31" s="39"/>
      <c r="AT31" s="39"/>
      <c r="AU31" s="39"/>
      <c r="AV31" s="39"/>
    </row>
    <row r="32" ht="18.75" customHeight="1">
      <c r="A32" s="64" t="s">
        <v>4277</v>
      </c>
      <c r="B32" s="64" t="s">
        <v>4278</v>
      </c>
      <c r="C32" s="37" t="s">
        <v>4279</v>
      </c>
      <c r="D32" s="145">
        <v>0.004</v>
      </c>
      <c r="F32" s="39">
        <v>1.0</v>
      </c>
      <c r="J32" s="145">
        <v>1.0</v>
      </c>
      <c r="K32" s="39">
        <v>1.0</v>
      </c>
      <c r="N32" s="39">
        <v>4.0</v>
      </c>
      <c r="O32" s="39" t="s">
        <v>29</v>
      </c>
      <c r="P32" s="39" t="s">
        <v>4165</v>
      </c>
      <c r="Q32" s="39">
        <v>0.0</v>
      </c>
      <c r="R32" s="39" t="b">
        <v>1</v>
      </c>
      <c r="S32" s="39" t="b">
        <v>0</v>
      </c>
      <c r="T32" s="39" t="s">
        <v>2949</v>
      </c>
      <c r="U32" s="39" t="s">
        <v>29</v>
      </c>
      <c r="V32" s="39">
        <v>0.0</v>
      </c>
      <c r="W32" s="39" t="b">
        <v>1</v>
      </c>
      <c r="X32" s="39">
        <v>4.0</v>
      </c>
      <c r="Y32" s="39" t="s">
        <v>4181</v>
      </c>
      <c r="Z32" s="39">
        <v>0.0</v>
      </c>
      <c r="AA32" s="39">
        <v>1.0</v>
      </c>
      <c r="AB32" s="39"/>
      <c r="AC32" s="39"/>
      <c r="AD32" s="39"/>
      <c r="AE32" s="39"/>
      <c r="AF32" s="39"/>
      <c r="AG32" s="39"/>
      <c r="AH32" s="39" t="s">
        <v>4228</v>
      </c>
      <c r="AI32" s="39" t="s">
        <v>29</v>
      </c>
      <c r="AJ32" s="39">
        <v>0.0</v>
      </c>
      <c r="AK32" s="39"/>
      <c r="AL32" s="39"/>
      <c r="AM32" s="39"/>
      <c r="AN32" s="39"/>
      <c r="AO32" s="39"/>
      <c r="AP32" s="39"/>
      <c r="AQ32" s="39"/>
      <c r="AR32" s="39"/>
      <c r="AS32" s="39"/>
      <c r="AT32" s="39"/>
      <c r="AU32" s="39"/>
      <c r="AV32" s="39"/>
    </row>
    <row r="33" ht="18.75" customHeight="1">
      <c r="A33" s="64"/>
      <c r="B33" s="64"/>
      <c r="D33" s="144"/>
      <c r="J33" s="144"/>
    </row>
    <row r="34" ht="18.75" customHeight="1">
      <c r="A34" s="64" t="s">
        <v>4280</v>
      </c>
      <c r="B34" s="64" t="s">
        <v>4281</v>
      </c>
      <c r="C34" s="37" t="s">
        <v>4282</v>
      </c>
      <c r="D34" s="145">
        <v>0.002</v>
      </c>
      <c r="F34" s="39">
        <v>1.0</v>
      </c>
      <c r="J34" s="145">
        <v>0.5</v>
      </c>
      <c r="K34" s="39">
        <v>1.0</v>
      </c>
      <c r="N34" s="39">
        <v>8.0</v>
      </c>
      <c r="O34" s="39" t="s">
        <v>29</v>
      </c>
      <c r="P34" s="39" t="s">
        <v>4165</v>
      </c>
      <c r="Q34" s="39">
        <v>0.0</v>
      </c>
      <c r="R34" s="39" t="b">
        <v>0</v>
      </c>
      <c r="S34" s="39" t="b">
        <v>0</v>
      </c>
      <c r="T34" s="39" t="s">
        <v>4283</v>
      </c>
      <c r="U34" s="39" t="s">
        <v>29</v>
      </c>
      <c r="V34" s="39">
        <v>0.0</v>
      </c>
      <c r="W34" s="39" t="b">
        <v>1</v>
      </c>
      <c r="X34" s="39">
        <v>4.0</v>
      </c>
      <c r="Y34" s="39" t="s">
        <v>4284</v>
      </c>
      <c r="Z34" s="39">
        <v>0.0</v>
      </c>
      <c r="AA34" s="39">
        <v>1.0</v>
      </c>
      <c r="AB34" s="39" t="s">
        <v>1782</v>
      </c>
      <c r="AC34" s="39">
        <v>100.0</v>
      </c>
      <c r="AD34" s="39">
        <v>0.0</v>
      </c>
      <c r="AE34" s="39" t="s">
        <v>4174</v>
      </c>
      <c r="AF34" s="39">
        <v>0.0</v>
      </c>
      <c r="AG34" s="39"/>
      <c r="AH34" s="39" t="s">
        <v>4190</v>
      </c>
      <c r="AI34" s="39" t="s">
        <v>29</v>
      </c>
      <c r="AJ34" s="39">
        <v>0.0</v>
      </c>
      <c r="AK34" s="39"/>
      <c r="AL34" s="39"/>
      <c r="AM34" s="39"/>
      <c r="AN34" s="39"/>
      <c r="AO34" s="39"/>
      <c r="AP34" s="39"/>
      <c r="AQ34" s="39"/>
      <c r="AR34" s="39"/>
      <c r="AS34" s="39"/>
      <c r="AT34" s="39"/>
      <c r="AU34" s="39"/>
      <c r="AV34" s="39"/>
    </row>
    <row r="35" ht="18.75" customHeight="1">
      <c r="A35" s="64"/>
      <c r="B35" s="64"/>
      <c r="D35" s="144"/>
      <c r="J35" s="144"/>
    </row>
    <row r="36" ht="18.75" customHeight="1">
      <c r="A36" s="102" t="s">
        <v>3291</v>
      </c>
      <c r="B36" s="102" t="s">
        <v>4285</v>
      </c>
      <c r="C36" s="39" t="s">
        <v>4286</v>
      </c>
      <c r="D36" s="145">
        <v>0.0</v>
      </c>
      <c r="F36" s="39">
        <v>1.0</v>
      </c>
      <c r="J36" s="145">
        <v>1.0</v>
      </c>
      <c r="K36" s="39">
        <v>1.0</v>
      </c>
      <c r="N36" s="39">
        <v>0.0</v>
      </c>
      <c r="O36" s="39" t="s">
        <v>4287</v>
      </c>
      <c r="P36" s="39" t="s">
        <v>4165</v>
      </c>
      <c r="Q36" s="39">
        <v>0.0</v>
      </c>
      <c r="R36" s="39" t="b">
        <v>0</v>
      </c>
      <c r="S36" s="39" t="b">
        <v>0</v>
      </c>
      <c r="T36" s="39" t="s">
        <v>4288</v>
      </c>
      <c r="W36" s="39" t="b">
        <v>1</v>
      </c>
      <c r="X36" s="39">
        <v>0.0</v>
      </c>
      <c r="Y36" s="39" t="s">
        <v>4289</v>
      </c>
      <c r="Z36" s="39">
        <v>0.0</v>
      </c>
      <c r="AA36" s="39">
        <v>1.0</v>
      </c>
      <c r="AB36" s="39" t="s">
        <v>644</v>
      </c>
      <c r="AC36" s="39">
        <v>20.0</v>
      </c>
      <c r="AD36" s="39">
        <v>20.0</v>
      </c>
      <c r="AE36" s="39" t="s">
        <v>4174</v>
      </c>
      <c r="AH36" s="39" t="s">
        <v>4290</v>
      </c>
      <c r="AJ36" s="39">
        <v>0.0</v>
      </c>
      <c r="AK36" s="39" t="b">
        <v>1</v>
      </c>
      <c r="AL36" s="39" t="s">
        <v>4291</v>
      </c>
      <c r="AM36" s="39"/>
      <c r="AN36" s="39"/>
      <c r="AO36" s="39"/>
      <c r="AP36" s="39"/>
      <c r="AQ36" s="39"/>
      <c r="AR36" s="39"/>
      <c r="AS36" s="39"/>
      <c r="AT36" s="39"/>
      <c r="AU36" s="39"/>
      <c r="AV36" s="39"/>
    </row>
    <row r="37" ht="18.75" customHeight="1">
      <c r="A37" s="102" t="s">
        <v>3294</v>
      </c>
      <c r="B37" s="102" t="s">
        <v>4292</v>
      </c>
      <c r="C37" s="39" t="s">
        <v>4293</v>
      </c>
      <c r="D37" s="145">
        <v>0.0</v>
      </c>
      <c r="F37" s="39">
        <v>1.0</v>
      </c>
      <c r="J37" s="145">
        <v>1.0</v>
      </c>
      <c r="K37" s="39">
        <v>1.0</v>
      </c>
      <c r="N37" s="39">
        <v>0.0</v>
      </c>
      <c r="O37" s="39" t="s">
        <v>4294</v>
      </c>
      <c r="P37" s="39" t="s">
        <v>4165</v>
      </c>
      <c r="Q37" s="39">
        <v>0.0</v>
      </c>
      <c r="R37" s="39" t="b">
        <v>0</v>
      </c>
      <c r="S37" s="39" t="b">
        <v>0</v>
      </c>
      <c r="T37" s="39" t="s">
        <v>644</v>
      </c>
      <c r="W37" s="39" t="b">
        <v>1</v>
      </c>
      <c r="X37" s="39">
        <v>0.0</v>
      </c>
      <c r="Y37" s="39" t="s">
        <v>4289</v>
      </c>
      <c r="Z37" s="39">
        <v>0.0</v>
      </c>
      <c r="AA37" s="39">
        <v>1.0</v>
      </c>
      <c r="AB37" s="39" t="s">
        <v>644</v>
      </c>
      <c r="AC37" s="39">
        <v>0.0</v>
      </c>
      <c r="AD37" s="39">
        <v>0.0</v>
      </c>
      <c r="AE37" s="39" t="s">
        <v>4174</v>
      </c>
      <c r="AH37" s="39" t="s">
        <v>4290</v>
      </c>
      <c r="AJ37" s="39">
        <v>0.0</v>
      </c>
      <c r="AK37" s="39" t="b">
        <v>1</v>
      </c>
      <c r="AL37" s="39" t="s">
        <v>4295</v>
      </c>
      <c r="AM37" s="39"/>
      <c r="AN37" s="39"/>
      <c r="AO37" s="39"/>
      <c r="AP37" s="39"/>
      <c r="AQ37" s="39"/>
      <c r="AR37" s="39"/>
      <c r="AS37" s="39"/>
      <c r="AT37" s="39"/>
      <c r="AU37" s="39"/>
      <c r="AV37" s="39"/>
    </row>
    <row r="38" ht="18.75" customHeight="1">
      <c r="A38" s="102" t="s">
        <v>3297</v>
      </c>
      <c r="B38" s="102" t="s">
        <v>4296</v>
      </c>
      <c r="C38" s="39" t="s">
        <v>4297</v>
      </c>
      <c r="D38" s="145">
        <v>0.0</v>
      </c>
      <c r="F38" s="39">
        <v>1.0</v>
      </c>
      <c r="J38" s="145">
        <v>1.0</v>
      </c>
      <c r="K38" s="39">
        <v>1.0</v>
      </c>
      <c r="N38" s="39">
        <v>0.0</v>
      </c>
      <c r="O38" s="39" t="s">
        <v>4298</v>
      </c>
      <c r="P38" s="39" t="s">
        <v>4165</v>
      </c>
      <c r="Q38" s="39">
        <v>0.0</v>
      </c>
      <c r="R38" s="39" t="b">
        <v>0</v>
      </c>
      <c r="S38" s="39" t="b">
        <v>0</v>
      </c>
      <c r="T38" s="39" t="s">
        <v>4299</v>
      </c>
      <c r="W38" s="39" t="b">
        <v>1</v>
      </c>
      <c r="X38" s="39">
        <v>0.0</v>
      </c>
      <c r="Y38" s="39" t="s">
        <v>4289</v>
      </c>
      <c r="Z38" s="39">
        <v>0.0</v>
      </c>
      <c r="AA38" s="39">
        <v>1.0</v>
      </c>
      <c r="AB38" s="39" t="s">
        <v>29</v>
      </c>
      <c r="AC38" s="39">
        <v>0.0</v>
      </c>
      <c r="AD38" s="39">
        <v>0.0</v>
      </c>
      <c r="AE38" s="39" t="s">
        <v>4174</v>
      </c>
      <c r="AH38" s="39" t="s">
        <v>4290</v>
      </c>
      <c r="AJ38" s="39">
        <v>0.0</v>
      </c>
      <c r="AK38" s="39" t="b">
        <v>1</v>
      </c>
      <c r="AL38" s="39" t="s">
        <v>4300</v>
      </c>
      <c r="AM38" s="39"/>
      <c r="AN38" s="39"/>
      <c r="AO38" s="39"/>
      <c r="AP38" s="39"/>
      <c r="AQ38" s="39"/>
      <c r="AR38" s="39"/>
      <c r="AS38" s="39"/>
      <c r="AT38" s="39"/>
      <c r="AU38" s="39"/>
      <c r="AV38" s="39"/>
    </row>
    <row r="39" ht="18.75" customHeight="1">
      <c r="A39" s="102" t="s">
        <v>3300</v>
      </c>
      <c r="B39" s="102" t="s">
        <v>4301</v>
      </c>
      <c r="C39" s="39" t="s">
        <v>4302</v>
      </c>
      <c r="D39" s="145">
        <v>0.0</v>
      </c>
      <c r="F39" s="39">
        <v>1.0</v>
      </c>
      <c r="J39" s="145">
        <v>1.0</v>
      </c>
      <c r="K39" s="39">
        <v>1.0</v>
      </c>
      <c r="N39" s="39">
        <v>0.0</v>
      </c>
      <c r="O39" s="39" t="s">
        <v>67</v>
      </c>
      <c r="P39" s="39" t="s">
        <v>4165</v>
      </c>
      <c r="Q39" s="39">
        <v>0.0</v>
      </c>
      <c r="R39" s="39" t="b">
        <v>0</v>
      </c>
      <c r="S39" s="39" t="b">
        <v>0</v>
      </c>
      <c r="T39" s="39" t="s">
        <v>4303</v>
      </c>
      <c r="W39" s="39" t="b">
        <v>1</v>
      </c>
      <c r="X39" s="39">
        <v>0.0</v>
      </c>
      <c r="Y39" s="39" t="s">
        <v>4289</v>
      </c>
      <c r="Z39" s="39">
        <v>0.0</v>
      </c>
      <c r="AA39" s="39">
        <v>1.0</v>
      </c>
      <c r="AB39" s="39" t="s">
        <v>284</v>
      </c>
      <c r="AC39" s="39">
        <v>15.0</v>
      </c>
      <c r="AD39" s="39">
        <v>0.0</v>
      </c>
      <c r="AE39" s="39" t="s">
        <v>4174</v>
      </c>
      <c r="AH39" s="39" t="s">
        <v>4290</v>
      </c>
      <c r="AJ39" s="39">
        <v>0.0</v>
      </c>
      <c r="AK39" s="39" t="b">
        <v>1</v>
      </c>
      <c r="AL39" s="39" t="s">
        <v>4304</v>
      </c>
      <c r="AM39" s="39"/>
      <c r="AN39" s="39"/>
      <c r="AO39" s="39"/>
      <c r="AP39" s="39"/>
      <c r="AQ39" s="39"/>
      <c r="AR39" s="39"/>
      <c r="AS39" s="39"/>
      <c r="AT39" s="39"/>
      <c r="AU39" s="39"/>
      <c r="AV39" s="39"/>
    </row>
    <row r="40" ht="18.75" customHeight="1">
      <c r="A40" s="102" t="s">
        <v>3303</v>
      </c>
      <c r="B40" s="102" t="s">
        <v>4305</v>
      </c>
      <c r="C40" s="39" t="s">
        <v>4306</v>
      </c>
      <c r="D40" s="145">
        <v>0.0</v>
      </c>
      <c r="F40" s="39">
        <v>1.0</v>
      </c>
      <c r="J40" s="145">
        <v>1.0</v>
      </c>
      <c r="K40" s="39">
        <v>1.0</v>
      </c>
      <c r="N40" s="39">
        <v>0.0</v>
      </c>
      <c r="O40" s="39" t="s">
        <v>4307</v>
      </c>
      <c r="P40" s="39" t="s">
        <v>4165</v>
      </c>
      <c r="Q40" s="39">
        <v>0.0</v>
      </c>
      <c r="R40" s="39" t="b">
        <v>0</v>
      </c>
      <c r="S40" s="39" t="b">
        <v>0</v>
      </c>
      <c r="T40" s="39" t="s">
        <v>4308</v>
      </c>
      <c r="W40" s="39" t="b">
        <v>1</v>
      </c>
      <c r="X40" s="39">
        <v>0.0</v>
      </c>
      <c r="Y40" s="39" t="s">
        <v>4289</v>
      </c>
      <c r="Z40" s="39">
        <v>0.0</v>
      </c>
      <c r="AA40" s="39">
        <v>1.0</v>
      </c>
      <c r="AB40" s="39" t="s">
        <v>370</v>
      </c>
      <c r="AC40" s="39">
        <v>15.0</v>
      </c>
      <c r="AD40" s="39">
        <v>0.0</v>
      </c>
      <c r="AE40" s="39" t="s">
        <v>4174</v>
      </c>
      <c r="AH40" s="39" t="s">
        <v>4290</v>
      </c>
      <c r="AJ40" s="39">
        <v>0.0</v>
      </c>
      <c r="AK40" s="39" t="b">
        <v>1</v>
      </c>
      <c r="AL40" s="39" t="s">
        <v>4309</v>
      </c>
      <c r="AM40" s="39"/>
      <c r="AN40" s="39"/>
      <c r="AO40" s="39"/>
      <c r="AP40" s="39"/>
      <c r="AQ40" s="39"/>
      <c r="AR40" s="39"/>
      <c r="AS40" s="39"/>
      <c r="AT40" s="39"/>
      <c r="AU40" s="39"/>
      <c r="AV40" s="39"/>
    </row>
    <row r="41" ht="18.75" customHeight="1">
      <c r="A41" s="102" t="s">
        <v>3306</v>
      </c>
      <c r="B41" s="102" t="s">
        <v>4310</v>
      </c>
      <c r="C41" s="39" t="s">
        <v>4311</v>
      </c>
      <c r="D41" s="145">
        <v>0.0</v>
      </c>
      <c r="F41" s="39">
        <v>1.0</v>
      </c>
      <c r="J41" s="145">
        <v>1.0</v>
      </c>
      <c r="K41" s="39">
        <v>1.0</v>
      </c>
      <c r="N41" s="39">
        <v>0.0</v>
      </c>
      <c r="O41" s="39" t="s">
        <v>4312</v>
      </c>
      <c r="P41" s="39" t="s">
        <v>4165</v>
      </c>
      <c r="Q41" s="39">
        <v>0.0</v>
      </c>
      <c r="R41" s="39" t="b">
        <v>0</v>
      </c>
      <c r="S41" s="39" t="b">
        <v>0</v>
      </c>
      <c r="T41" s="39" t="s">
        <v>4249</v>
      </c>
      <c r="W41" s="39" t="b">
        <v>1</v>
      </c>
      <c r="X41" s="39">
        <v>0.0</v>
      </c>
      <c r="Y41" s="39" t="s">
        <v>4289</v>
      </c>
      <c r="Z41" s="39">
        <v>0.0</v>
      </c>
      <c r="AA41" s="39">
        <v>1.0</v>
      </c>
      <c r="AB41" s="39" t="s">
        <v>29</v>
      </c>
      <c r="AC41" s="39">
        <v>0.0</v>
      </c>
      <c r="AD41" s="39">
        <v>0.0</v>
      </c>
      <c r="AE41" s="39" t="s">
        <v>4174</v>
      </c>
      <c r="AH41" s="39" t="s">
        <v>4290</v>
      </c>
      <c r="AJ41" s="39">
        <v>0.0</v>
      </c>
      <c r="AK41" s="39" t="b">
        <v>1</v>
      </c>
      <c r="AL41" s="39" t="s">
        <v>4313</v>
      </c>
      <c r="AM41" s="39"/>
      <c r="AN41" s="39"/>
      <c r="AO41" s="39"/>
      <c r="AP41" s="39"/>
      <c r="AQ41" s="39"/>
      <c r="AR41" s="39"/>
      <c r="AS41" s="39"/>
      <c r="AT41" s="39"/>
      <c r="AU41" s="39"/>
      <c r="AV41" s="39"/>
    </row>
    <row r="42" ht="18.75" customHeight="1">
      <c r="A42" s="102" t="s">
        <v>4314</v>
      </c>
      <c r="B42" s="102" t="s">
        <v>4315</v>
      </c>
      <c r="C42" s="39" t="s">
        <v>4316</v>
      </c>
      <c r="D42" s="145">
        <v>0.0</v>
      </c>
      <c r="F42" s="39">
        <v>0.0</v>
      </c>
      <c r="J42" s="145">
        <v>1.0</v>
      </c>
      <c r="K42" s="39"/>
      <c r="N42" s="39"/>
      <c r="O42" s="39" t="s">
        <v>58</v>
      </c>
      <c r="P42" s="39" t="s">
        <v>4165</v>
      </c>
      <c r="Q42" s="39">
        <v>0.0</v>
      </c>
      <c r="R42" s="39" t="b">
        <v>0</v>
      </c>
      <c r="S42" s="39" t="b">
        <v>0</v>
      </c>
      <c r="T42" s="39"/>
      <c r="W42" s="39" t="b">
        <v>1</v>
      </c>
      <c r="X42" s="39"/>
      <c r="Y42" s="39"/>
      <c r="Z42" s="39"/>
      <c r="AA42" s="39"/>
      <c r="AB42" s="39"/>
      <c r="AC42" s="39"/>
      <c r="AD42" s="39"/>
      <c r="AE42" s="39"/>
      <c r="AH42" s="39" t="s">
        <v>2568</v>
      </c>
      <c r="AJ42" s="39"/>
      <c r="AK42" s="39" t="b">
        <v>0</v>
      </c>
      <c r="AL42" s="39"/>
      <c r="AM42" s="39" t="s">
        <v>4317</v>
      </c>
      <c r="AN42" s="39" t="s">
        <v>4318</v>
      </c>
      <c r="AO42" s="39">
        <v>200.0</v>
      </c>
      <c r="AP42" s="39">
        <v>500.0</v>
      </c>
      <c r="AQ42" s="39">
        <v>1.0</v>
      </c>
      <c r="AR42" s="39">
        <v>1.0</v>
      </c>
    </row>
    <row r="43" ht="18.75" customHeight="1">
      <c r="A43" s="102" t="s">
        <v>4319</v>
      </c>
      <c r="B43" s="102" t="s">
        <v>4320</v>
      </c>
      <c r="C43" s="39" t="s">
        <v>4321</v>
      </c>
      <c r="D43" s="145">
        <v>0.0</v>
      </c>
      <c r="F43" s="39">
        <v>0.0</v>
      </c>
      <c r="J43" s="145">
        <v>1.0</v>
      </c>
      <c r="K43" s="39"/>
      <c r="N43" s="39"/>
      <c r="O43" s="39" t="s">
        <v>4322</v>
      </c>
      <c r="P43" s="39" t="s">
        <v>4165</v>
      </c>
      <c r="Q43" s="39">
        <v>0.0</v>
      </c>
      <c r="R43" s="39" t="b">
        <v>0</v>
      </c>
      <c r="S43" s="39" t="b">
        <v>0</v>
      </c>
      <c r="T43" s="39"/>
      <c r="W43" s="39" t="b">
        <v>1</v>
      </c>
      <c r="X43" s="39"/>
      <c r="Y43" s="39"/>
      <c r="Z43" s="39"/>
      <c r="AA43" s="39"/>
      <c r="AB43" s="39"/>
      <c r="AC43" s="39"/>
      <c r="AD43" s="39"/>
      <c r="AE43" s="39"/>
      <c r="AH43" s="39" t="s">
        <v>2568</v>
      </c>
      <c r="AJ43" s="39"/>
      <c r="AK43" s="39" t="b">
        <v>0</v>
      </c>
      <c r="AL43" s="39"/>
      <c r="AM43" s="39" t="s">
        <v>4317</v>
      </c>
      <c r="AN43" s="39" t="s">
        <v>4318</v>
      </c>
      <c r="AO43" s="39">
        <v>200.0</v>
      </c>
      <c r="AP43" s="39">
        <v>1000.0</v>
      </c>
      <c r="AQ43" s="39">
        <v>1.0</v>
      </c>
      <c r="AR43" s="39">
        <v>1.0</v>
      </c>
    </row>
    <row r="44" ht="18.75" customHeight="1">
      <c r="A44" s="102" t="s">
        <v>4323</v>
      </c>
      <c r="B44" s="102" t="s">
        <v>4324</v>
      </c>
      <c r="C44" s="39" t="s">
        <v>4325</v>
      </c>
      <c r="D44" s="145">
        <v>0.0</v>
      </c>
      <c r="F44" s="39">
        <v>0.0</v>
      </c>
      <c r="J44" s="145">
        <v>1.0</v>
      </c>
      <c r="K44" s="39"/>
      <c r="N44" s="39"/>
      <c r="O44" s="39" t="s">
        <v>4326</v>
      </c>
      <c r="P44" s="39" t="s">
        <v>4165</v>
      </c>
      <c r="Q44" s="39">
        <v>0.0</v>
      </c>
      <c r="R44" s="39" t="b">
        <v>0</v>
      </c>
      <c r="S44" s="39" t="b">
        <v>0</v>
      </c>
      <c r="T44" s="39"/>
      <c r="W44" s="39" t="b">
        <v>1</v>
      </c>
      <c r="X44" s="39"/>
      <c r="Y44" s="39"/>
      <c r="Z44" s="39"/>
      <c r="AA44" s="39"/>
      <c r="AB44" s="39"/>
      <c r="AC44" s="39"/>
      <c r="AD44" s="39"/>
      <c r="AE44" s="39"/>
      <c r="AH44" s="39" t="s">
        <v>2568</v>
      </c>
      <c r="AJ44" s="39"/>
      <c r="AK44" s="39" t="b">
        <v>0</v>
      </c>
      <c r="AL44" s="39"/>
      <c r="AM44" s="39" t="s">
        <v>4317</v>
      </c>
      <c r="AN44" s="39" t="s">
        <v>4318</v>
      </c>
      <c r="AO44" s="39">
        <v>50.0</v>
      </c>
      <c r="AP44" s="39">
        <v>200.0</v>
      </c>
      <c r="AQ44" s="39">
        <v>1.0</v>
      </c>
      <c r="AR44" s="39">
        <v>0.0</v>
      </c>
      <c r="AT44" s="39" t="s">
        <v>65</v>
      </c>
    </row>
    <row r="45" ht="18.75" customHeight="1">
      <c r="A45" s="102" t="s">
        <v>988</v>
      </c>
      <c r="B45" s="102" t="s">
        <v>4327</v>
      </c>
      <c r="C45" s="39" t="s">
        <v>4328</v>
      </c>
      <c r="D45" s="145">
        <v>0.0</v>
      </c>
      <c r="F45" s="39">
        <v>0.0</v>
      </c>
      <c r="J45" s="145">
        <v>1.0</v>
      </c>
      <c r="K45" s="39"/>
      <c r="N45" s="39"/>
      <c r="O45" s="39"/>
      <c r="P45" s="39" t="s">
        <v>4165</v>
      </c>
      <c r="Q45" s="39">
        <v>0.0</v>
      </c>
      <c r="R45" s="39" t="b">
        <v>0</v>
      </c>
      <c r="S45" s="39" t="b">
        <v>0</v>
      </c>
      <c r="T45" s="39"/>
      <c r="W45" s="39" t="b">
        <v>1</v>
      </c>
      <c r="X45" s="39"/>
      <c r="Y45" s="39"/>
      <c r="Z45" s="39"/>
      <c r="AA45" s="39"/>
      <c r="AB45" s="39" t="s">
        <v>1782</v>
      </c>
      <c r="AC45" s="39">
        <v>80.0</v>
      </c>
      <c r="AD45" s="39"/>
      <c r="AE45" s="39"/>
      <c r="AH45" s="39" t="s">
        <v>2568</v>
      </c>
      <c r="AJ45" s="39"/>
      <c r="AK45" s="39" t="b">
        <v>0</v>
      </c>
      <c r="AL45" s="39"/>
      <c r="AM45" s="39" t="s">
        <v>988</v>
      </c>
      <c r="AN45" s="39" t="s">
        <v>4318</v>
      </c>
      <c r="AU45" s="39">
        <v>1.0</v>
      </c>
      <c r="AV45" s="39"/>
    </row>
    <row r="46" ht="18.75" customHeight="1">
      <c r="A46" s="102" t="s">
        <v>4329</v>
      </c>
      <c r="B46" s="102" t="s">
        <v>4330</v>
      </c>
      <c r="C46" s="39" t="s">
        <v>4331</v>
      </c>
      <c r="D46" s="145">
        <v>0.0</v>
      </c>
      <c r="F46" s="39">
        <v>0.0</v>
      </c>
      <c r="J46" s="145">
        <v>1.0</v>
      </c>
      <c r="K46" s="39"/>
      <c r="N46" s="39"/>
      <c r="O46" s="39"/>
      <c r="P46" s="39" t="s">
        <v>4165</v>
      </c>
      <c r="Q46" s="39">
        <v>0.0</v>
      </c>
      <c r="R46" s="39" t="b">
        <v>0</v>
      </c>
      <c r="S46" s="39" t="b">
        <v>0</v>
      </c>
      <c r="T46" s="39"/>
      <c r="W46" s="39" t="b">
        <v>1</v>
      </c>
      <c r="X46" s="39"/>
      <c r="Y46" s="39"/>
      <c r="Z46" s="39"/>
      <c r="AA46" s="39"/>
      <c r="AB46" s="39"/>
      <c r="AC46" s="39"/>
      <c r="AD46" s="39"/>
      <c r="AE46" s="39"/>
      <c r="AH46" s="39" t="s">
        <v>2568</v>
      </c>
      <c r="AJ46" s="39"/>
      <c r="AK46" s="39" t="b">
        <v>0</v>
      </c>
      <c r="AL46" s="39"/>
      <c r="AM46" s="39" t="s">
        <v>4329</v>
      </c>
      <c r="AN46" s="39" t="s">
        <v>4318</v>
      </c>
      <c r="AO46" s="39">
        <v>0.0</v>
      </c>
      <c r="AP46" s="39">
        <v>100.0</v>
      </c>
      <c r="AQ46" s="39">
        <v>1.0</v>
      </c>
      <c r="AS46" s="39">
        <v>20.0</v>
      </c>
    </row>
    <row r="47" ht="18.75" customHeight="1">
      <c r="A47" s="102" t="s">
        <v>1018</v>
      </c>
      <c r="B47" s="102" t="s">
        <v>4332</v>
      </c>
      <c r="C47" s="39" t="s">
        <v>4333</v>
      </c>
      <c r="D47" s="145">
        <v>0.008</v>
      </c>
      <c r="F47" s="39">
        <v>2.0</v>
      </c>
      <c r="J47" s="145">
        <v>0.7</v>
      </c>
      <c r="K47" s="39">
        <v>3.0</v>
      </c>
      <c r="N47" s="39">
        <v>3.0</v>
      </c>
      <c r="O47" s="39" t="s">
        <v>4334</v>
      </c>
      <c r="P47" s="39" t="s">
        <v>4165</v>
      </c>
      <c r="Q47" s="39">
        <v>0.0</v>
      </c>
      <c r="R47" s="39" t="b">
        <v>0</v>
      </c>
      <c r="S47" s="39" t="b">
        <v>0</v>
      </c>
      <c r="T47" s="39"/>
      <c r="U47" s="39" t="s">
        <v>4166</v>
      </c>
      <c r="V47" s="39">
        <v>4.0</v>
      </c>
      <c r="W47" s="39" t="b">
        <v>1</v>
      </c>
      <c r="X47" s="39">
        <v>8.0</v>
      </c>
      <c r="Y47" s="39"/>
      <c r="Z47" s="39">
        <v>0.0</v>
      </c>
      <c r="AA47" s="39">
        <v>1.0</v>
      </c>
      <c r="AB47" s="39"/>
      <c r="AC47" s="39"/>
      <c r="AD47" s="39">
        <v>0.0</v>
      </c>
      <c r="AE47" s="39"/>
      <c r="AH47" s="39" t="s">
        <v>4168</v>
      </c>
      <c r="AI47" s="39" t="s">
        <v>4169</v>
      </c>
      <c r="AJ47" s="39">
        <v>1.0</v>
      </c>
      <c r="AK47" s="39" t="b">
        <v>0</v>
      </c>
      <c r="AL47" s="39"/>
      <c r="AM47" s="39"/>
      <c r="AN47" s="39"/>
      <c r="AO47" s="39"/>
      <c r="AP47" s="39"/>
      <c r="AQ47" s="39"/>
      <c r="AS47" s="39"/>
      <c r="AV47" s="39" t="s">
        <v>4335</v>
      </c>
    </row>
    <row r="48" ht="18.75" customHeight="1">
      <c r="A48" s="102" t="s">
        <v>4336</v>
      </c>
      <c r="B48" s="102" t="s">
        <v>4337</v>
      </c>
      <c r="C48" s="39" t="s">
        <v>4338</v>
      </c>
      <c r="D48" s="145">
        <v>0.004</v>
      </c>
      <c r="F48" s="39">
        <v>0.0</v>
      </c>
      <c r="J48" s="145">
        <v>0.7</v>
      </c>
      <c r="K48" s="39">
        <v>3.0</v>
      </c>
      <c r="N48" s="39">
        <v>3.0</v>
      </c>
      <c r="O48" s="39" t="s">
        <v>4339</v>
      </c>
      <c r="P48" s="39" t="s">
        <v>4165</v>
      </c>
      <c r="Q48" s="39">
        <v>0.0</v>
      </c>
      <c r="R48" s="39" t="b">
        <v>0</v>
      </c>
      <c r="S48" s="39" t="b">
        <v>0</v>
      </c>
      <c r="T48" s="39"/>
      <c r="U48" s="39" t="s">
        <v>4166</v>
      </c>
      <c r="V48" s="39">
        <v>10.0</v>
      </c>
      <c r="W48" s="39" t="b">
        <v>1</v>
      </c>
      <c r="X48" s="39">
        <v>8.0</v>
      </c>
      <c r="Y48" s="39"/>
      <c r="Z48" s="39">
        <v>0.0</v>
      </c>
      <c r="AA48" s="39">
        <v>1.0</v>
      </c>
      <c r="AB48" s="39" t="s">
        <v>1782</v>
      </c>
      <c r="AC48" s="39">
        <v>80.0</v>
      </c>
      <c r="AD48" s="39">
        <v>0.0</v>
      </c>
      <c r="AE48" s="39"/>
      <c r="AH48" s="39" t="s">
        <v>4168</v>
      </c>
      <c r="AI48" s="39" t="s">
        <v>4202</v>
      </c>
      <c r="AJ48" s="39">
        <v>1.0</v>
      </c>
      <c r="AK48" s="39" t="b">
        <v>0</v>
      </c>
      <c r="AL48" s="39"/>
      <c r="AM48" s="39"/>
      <c r="AN48" s="39"/>
      <c r="AO48" s="39"/>
      <c r="AP48" s="39"/>
      <c r="AQ48" s="39"/>
      <c r="AS48" s="39"/>
      <c r="AV48" s="39" t="s">
        <v>4340</v>
      </c>
    </row>
    <row r="49" ht="18.75" customHeight="1">
      <c r="A49" s="102" t="s">
        <v>944</v>
      </c>
      <c r="B49" s="102" t="s">
        <v>4341</v>
      </c>
      <c r="C49" s="39" t="s">
        <v>4342</v>
      </c>
      <c r="D49" s="145">
        <v>0.003</v>
      </c>
      <c r="F49" s="39">
        <v>1.0</v>
      </c>
      <c r="J49" s="145">
        <v>0.7</v>
      </c>
      <c r="K49" s="39">
        <v>3.0</v>
      </c>
      <c r="N49" s="39">
        <v>3.0</v>
      </c>
      <c r="O49" s="39" t="s">
        <v>4343</v>
      </c>
      <c r="P49" s="39" t="s">
        <v>4165</v>
      </c>
      <c r="Q49" s="39">
        <v>0.0</v>
      </c>
      <c r="R49" s="39" t="b">
        <v>0</v>
      </c>
      <c r="S49" s="39" t="b">
        <v>0</v>
      </c>
      <c r="T49" s="39"/>
      <c r="U49" s="39" t="s">
        <v>4166</v>
      </c>
      <c r="V49" s="39">
        <v>4.0</v>
      </c>
      <c r="W49" s="39" t="b">
        <v>1</v>
      </c>
      <c r="X49" s="39">
        <v>8.0</v>
      </c>
      <c r="Y49" s="39"/>
      <c r="Z49" s="39">
        <v>0.0</v>
      </c>
      <c r="AA49" s="39">
        <v>1.0</v>
      </c>
      <c r="AB49" s="39" t="s">
        <v>4344</v>
      </c>
      <c r="AC49" s="39">
        <v>140.0</v>
      </c>
      <c r="AD49" s="39">
        <v>0.0</v>
      </c>
      <c r="AE49" s="39"/>
      <c r="AH49" s="39" t="s">
        <v>4168</v>
      </c>
      <c r="AI49" s="39" t="s">
        <v>4184</v>
      </c>
      <c r="AJ49" s="39">
        <v>1.0</v>
      </c>
      <c r="AK49" s="39" t="b">
        <v>0</v>
      </c>
      <c r="AL49" s="39"/>
      <c r="AM49" s="39"/>
      <c r="AN49" s="39"/>
      <c r="AO49" s="39"/>
      <c r="AP49" s="39"/>
      <c r="AQ49" s="39"/>
      <c r="AS49" s="39"/>
      <c r="AV49" s="39" t="s">
        <v>4345</v>
      </c>
    </row>
    <row r="50" ht="18.75" customHeight="1">
      <c r="A50" s="102" t="s">
        <v>3203</v>
      </c>
      <c r="B50" s="102" t="s">
        <v>4346</v>
      </c>
      <c r="C50" s="39" t="s">
        <v>4347</v>
      </c>
      <c r="D50" s="145">
        <v>0.003</v>
      </c>
      <c r="F50" s="39">
        <v>1.0</v>
      </c>
      <c r="J50" s="145">
        <v>0.7</v>
      </c>
      <c r="K50" s="39">
        <v>5.0</v>
      </c>
      <c r="N50" s="39">
        <v>3.0</v>
      </c>
      <c r="O50" s="39" t="s">
        <v>61</v>
      </c>
      <c r="P50" s="39" t="s">
        <v>4165</v>
      </c>
      <c r="Q50" s="39">
        <v>0.0</v>
      </c>
      <c r="R50" s="39" t="b">
        <v>0</v>
      </c>
      <c r="S50" s="39" t="b">
        <v>0</v>
      </c>
      <c r="T50" s="39"/>
      <c r="U50" s="39" t="s">
        <v>4166</v>
      </c>
      <c r="V50" s="39">
        <v>4.0</v>
      </c>
      <c r="W50" s="39" t="b">
        <v>1</v>
      </c>
      <c r="X50" s="39">
        <v>8.0</v>
      </c>
      <c r="Y50" s="39"/>
      <c r="Z50" s="39">
        <v>0.0</v>
      </c>
      <c r="AA50" s="39">
        <v>1.0</v>
      </c>
      <c r="AB50" s="39"/>
      <c r="AC50" s="39"/>
      <c r="AD50" s="39">
        <v>0.0</v>
      </c>
      <c r="AE50" s="39"/>
      <c r="AH50" s="39" t="s">
        <v>4168</v>
      </c>
      <c r="AI50" s="39" t="s">
        <v>4175</v>
      </c>
      <c r="AJ50" s="39">
        <v>1.0</v>
      </c>
      <c r="AK50" s="39" t="b">
        <v>0</v>
      </c>
      <c r="AL50" s="39"/>
      <c r="AM50" s="39"/>
      <c r="AN50" s="39"/>
      <c r="AO50" s="39"/>
      <c r="AP50" s="39"/>
      <c r="AQ50" s="39"/>
      <c r="AS50" s="39"/>
      <c r="AV50" s="39" t="s">
        <v>4348</v>
      </c>
    </row>
    <row r="51" ht="18.75" customHeight="1">
      <c r="A51" s="102" t="s">
        <v>509</v>
      </c>
      <c r="B51" s="102" t="s">
        <v>4349</v>
      </c>
      <c r="C51" s="39" t="s">
        <v>4350</v>
      </c>
      <c r="D51" s="145">
        <v>0.05</v>
      </c>
      <c r="F51" s="39">
        <v>1.0</v>
      </c>
      <c r="J51" s="145">
        <v>0.7</v>
      </c>
      <c r="K51" s="39">
        <v>4.0</v>
      </c>
      <c r="N51" s="39">
        <v>3.0</v>
      </c>
      <c r="O51" s="39" t="s">
        <v>61</v>
      </c>
      <c r="P51" s="39" t="s">
        <v>4165</v>
      </c>
      <c r="Q51" s="39">
        <v>0.0</v>
      </c>
      <c r="R51" s="39" t="b">
        <v>0</v>
      </c>
      <c r="S51" s="39" t="b">
        <v>0</v>
      </c>
      <c r="T51" s="39"/>
      <c r="U51" s="39" t="s">
        <v>4166</v>
      </c>
      <c r="V51" s="39">
        <v>2.0</v>
      </c>
      <c r="W51" s="39" t="b">
        <v>1</v>
      </c>
      <c r="X51" s="39">
        <v>8.0</v>
      </c>
      <c r="Y51" s="39"/>
      <c r="Z51" s="39">
        <v>0.0</v>
      </c>
      <c r="AA51" s="39">
        <v>1.0</v>
      </c>
      <c r="AB51" s="39" t="s">
        <v>1782</v>
      </c>
      <c r="AC51" s="39">
        <v>200.0</v>
      </c>
      <c r="AD51" s="39">
        <v>0.0</v>
      </c>
      <c r="AE51" s="39"/>
      <c r="AH51" s="39" t="s">
        <v>4190</v>
      </c>
      <c r="AJ51" s="39">
        <v>1.0</v>
      </c>
      <c r="AK51" s="39" t="b">
        <v>0</v>
      </c>
      <c r="AL51" s="39"/>
      <c r="AM51" s="39"/>
      <c r="AN51" s="39"/>
      <c r="AO51" s="39"/>
      <c r="AP51" s="39"/>
      <c r="AQ51" s="39"/>
      <c r="AS51" s="39"/>
      <c r="AV51" s="39" t="s">
        <v>4351</v>
      </c>
    </row>
    <row r="52" ht="18.75" customHeight="1">
      <c r="A52" s="64"/>
      <c r="B52" s="64"/>
      <c r="D52" s="144"/>
      <c r="J52" s="144"/>
    </row>
    <row r="53" ht="18.75" customHeight="1">
      <c r="A53" s="64"/>
      <c r="B53" s="64"/>
      <c r="D53" s="144"/>
      <c r="J53" s="144"/>
    </row>
    <row r="54" ht="18.75" customHeight="1">
      <c r="A54" s="64"/>
      <c r="B54" s="64"/>
      <c r="D54" s="144"/>
      <c r="J54" s="144"/>
    </row>
    <row r="55" ht="18.75" customHeight="1">
      <c r="A55" s="64"/>
      <c r="B55" s="64"/>
      <c r="D55" s="144"/>
      <c r="J55" s="144"/>
    </row>
    <row r="56" ht="18.75" customHeight="1">
      <c r="A56" s="64"/>
      <c r="B56" s="64"/>
      <c r="D56" s="144"/>
      <c r="J56" s="144"/>
    </row>
    <row r="57" ht="18.75" customHeight="1">
      <c r="A57" s="64"/>
      <c r="B57" s="64"/>
      <c r="D57" s="144"/>
      <c r="J57" s="144"/>
    </row>
    <row r="58" ht="18.75" customHeight="1">
      <c r="A58" s="64"/>
      <c r="B58" s="64"/>
      <c r="D58" s="144"/>
      <c r="J58" s="144"/>
    </row>
    <row r="59" ht="18.75" customHeight="1">
      <c r="A59" s="64"/>
      <c r="B59" s="64"/>
      <c r="D59" s="144"/>
      <c r="J59" s="144"/>
    </row>
    <row r="60" ht="18.75" customHeight="1">
      <c r="A60" s="64"/>
      <c r="B60" s="64"/>
      <c r="D60" s="144"/>
      <c r="J60" s="144"/>
    </row>
    <row r="61" ht="18.75" customHeight="1">
      <c r="A61" s="64"/>
      <c r="B61" s="64"/>
      <c r="D61" s="144"/>
      <c r="J61" s="144"/>
    </row>
    <row r="62" ht="18.75" customHeight="1">
      <c r="A62" s="64"/>
      <c r="B62" s="64"/>
      <c r="D62" s="144"/>
      <c r="J62" s="144"/>
    </row>
    <row r="63" ht="18.75" customHeight="1">
      <c r="A63" s="64"/>
      <c r="B63" s="64"/>
      <c r="D63" s="144"/>
      <c r="J63" s="144"/>
    </row>
    <row r="64" ht="18.75" customHeight="1">
      <c r="A64" s="64"/>
      <c r="B64" s="64"/>
      <c r="D64" s="144"/>
      <c r="J64" s="144"/>
    </row>
    <row r="65" ht="18.75" customHeight="1">
      <c r="A65" s="64"/>
      <c r="B65" s="64"/>
      <c r="D65" s="144"/>
      <c r="J65" s="144"/>
    </row>
    <row r="66" ht="18.75" customHeight="1">
      <c r="A66" s="64"/>
      <c r="B66" s="64"/>
      <c r="D66" s="144"/>
      <c r="J66" s="144"/>
    </row>
    <row r="67" ht="18.75" customHeight="1">
      <c r="A67" s="64"/>
      <c r="B67" s="64"/>
      <c r="D67" s="144"/>
      <c r="J67" s="144"/>
    </row>
    <row r="68" ht="18.75" customHeight="1">
      <c r="A68" s="64"/>
      <c r="B68" s="64"/>
      <c r="D68" s="144"/>
      <c r="J68" s="144"/>
    </row>
    <row r="69" ht="18.75" customHeight="1">
      <c r="A69" s="64"/>
      <c r="B69" s="64"/>
      <c r="D69" s="144"/>
      <c r="J69" s="144"/>
    </row>
    <row r="70" ht="18.75" customHeight="1">
      <c r="A70" s="64"/>
      <c r="B70" s="64"/>
      <c r="D70" s="144"/>
      <c r="J70" s="144"/>
    </row>
    <row r="71" ht="18.75" customHeight="1">
      <c r="A71" s="64"/>
      <c r="B71" s="64"/>
      <c r="D71" s="144"/>
      <c r="J71" s="144"/>
    </row>
    <row r="72" ht="18.75" customHeight="1">
      <c r="A72" s="64"/>
      <c r="B72" s="64"/>
      <c r="D72" s="144"/>
      <c r="J72" s="144"/>
    </row>
    <row r="73" ht="18.75" customHeight="1">
      <c r="A73" s="64"/>
      <c r="B73" s="64"/>
      <c r="D73" s="144"/>
      <c r="J73" s="144"/>
    </row>
    <row r="74" ht="18.75" customHeight="1">
      <c r="A74" s="64"/>
      <c r="B74" s="64"/>
      <c r="D74" s="144"/>
      <c r="J74" s="144"/>
    </row>
    <row r="75" ht="18.75" customHeight="1">
      <c r="A75" s="64"/>
      <c r="B75" s="64"/>
      <c r="D75" s="144"/>
      <c r="J75" s="144"/>
    </row>
    <row r="76" ht="18.75" customHeight="1">
      <c r="A76" s="64"/>
      <c r="B76" s="64"/>
      <c r="D76" s="144"/>
      <c r="J76" s="144"/>
    </row>
    <row r="77" ht="18.75" customHeight="1">
      <c r="A77" s="64"/>
      <c r="B77" s="64"/>
      <c r="D77" s="144"/>
      <c r="J77" s="144"/>
    </row>
    <row r="78" ht="18.75" customHeight="1">
      <c r="A78" s="64"/>
      <c r="B78" s="64"/>
      <c r="D78" s="144"/>
      <c r="J78" s="144"/>
    </row>
    <row r="79" ht="18.75" customHeight="1">
      <c r="A79" s="64"/>
      <c r="B79" s="64"/>
      <c r="D79" s="144"/>
      <c r="J79" s="144"/>
    </row>
    <row r="80" ht="18.75" customHeight="1">
      <c r="A80" s="64"/>
      <c r="B80" s="64"/>
      <c r="D80" s="144"/>
      <c r="J80" s="144"/>
    </row>
    <row r="81" ht="18.75" customHeight="1">
      <c r="A81" s="64"/>
      <c r="B81" s="64"/>
      <c r="D81" s="144"/>
      <c r="J81" s="144"/>
    </row>
    <row r="82" ht="18.75" customHeight="1">
      <c r="A82" s="64"/>
      <c r="B82" s="64"/>
      <c r="D82" s="144"/>
      <c r="J82" s="144"/>
    </row>
    <row r="83" ht="18.75" customHeight="1">
      <c r="A83" s="64"/>
      <c r="B83" s="64"/>
      <c r="D83" s="144"/>
      <c r="J83" s="144"/>
    </row>
    <row r="84" ht="18.75" customHeight="1">
      <c r="A84" s="64"/>
      <c r="B84" s="64"/>
      <c r="D84" s="144"/>
      <c r="J84" s="144"/>
    </row>
    <row r="85" ht="18.75" customHeight="1">
      <c r="A85" s="64"/>
      <c r="B85" s="64"/>
      <c r="D85" s="144"/>
      <c r="J85" s="144"/>
    </row>
    <row r="86" ht="18.75" customHeight="1">
      <c r="A86" s="64"/>
      <c r="B86" s="64"/>
      <c r="D86" s="144"/>
      <c r="J86" s="144"/>
    </row>
    <row r="87" ht="18.75" customHeight="1">
      <c r="A87" s="64"/>
      <c r="B87" s="64"/>
      <c r="D87" s="144"/>
      <c r="J87" s="144"/>
    </row>
    <row r="88" ht="18.75" customHeight="1">
      <c r="A88" s="64"/>
      <c r="B88" s="64"/>
      <c r="D88" s="144"/>
      <c r="J88" s="144"/>
    </row>
    <row r="89" ht="18.75" customHeight="1">
      <c r="A89" s="64"/>
      <c r="B89" s="64"/>
      <c r="D89" s="144"/>
      <c r="J89" s="144"/>
    </row>
    <row r="90" ht="18.75" customHeight="1">
      <c r="A90" s="64"/>
      <c r="B90" s="64"/>
      <c r="D90" s="144"/>
      <c r="J90" s="144"/>
    </row>
    <row r="91" ht="18.75" customHeight="1">
      <c r="A91" s="64"/>
      <c r="B91" s="64"/>
      <c r="D91" s="144"/>
      <c r="J91" s="144"/>
    </row>
    <row r="92" ht="18.75" customHeight="1">
      <c r="A92" s="64"/>
      <c r="B92" s="64"/>
      <c r="D92" s="144"/>
      <c r="J92" s="144"/>
    </row>
    <row r="93" ht="18.75" customHeight="1">
      <c r="A93" s="64"/>
      <c r="B93" s="64"/>
      <c r="D93" s="144"/>
      <c r="J93" s="144"/>
    </row>
    <row r="94" ht="18.75" customHeight="1">
      <c r="A94" s="64"/>
      <c r="B94" s="64"/>
      <c r="D94" s="144"/>
      <c r="J94" s="144"/>
    </row>
    <row r="95" ht="18.75" customHeight="1">
      <c r="A95" s="64"/>
      <c r="B95" s="64"/>
      <c r="D95" s="144"/>
      <c r="J95" s="144"/>
    </row>
    <row r="96" ht="18.75" customHeight="1">
      <c r="A96" s="64"/>
      <c r="B96" s="64"/>
      <c r="D96" s="144"/>
      <c r="J96" s="144"/>
    </row>
    <row r="97" ht="18.75" customHeight="1">
      <c r="A97" s="64"/>
      <c r="B97" s="64"/>
      <c r="D97" s="144"/>
      <c r="J97" s="144"/>
    </row>
    <row r="98" ht="18.75" customHeight="1">
      <c r="A98" s="64"/>
      <c r="B98" s="64"/>
      <c r="D98" s="144"/>
      <c r="J98" s="144"/>
    </row>
    <row r="99" ht="18.75" customHeight="1">
      <c r="A99" s="64"/>
      <c r="B99" s="64"/>
      <c r="D99" s="144"/>
      <c r="J99" s="144"/>
    </row>
    <row r="100" ht="18.75" customHeight="1">
      <c r="A100" s="64"/>
      <c r="B100" s="64"/>
      <c r="D100" s="144"/>
      <c r="J100" s="144"/>
    </row>
    <row r="101" ht="18.75" customHeight="1">
      <c r="A101" s="64"/>
      <c r="B101" s="64"/>
      <c r="D101" s="144"/>
      <c r="J101" s="144"/>
    </row>
    <row r="102" ht="18.75" customHeight="1">
      <c r="A102" s="64"/>
      <c r="B102" s="64"/>
      <c r="D102" s="144"/>
      <c r="J102" s="144"/>
    </row>
    <row r="103" ht="18.75" customHeight="1">
      <c r="A103" s="64"/>
      <c r="B103" s="64"/>
      <c r="D103" s="144"/>
      <c r="J103" s="144"/>
    </row>
    <row r="104" ht="18.75" customHeight="1">
      <c r="A104" s="64"/>
      <c r="B104" s="64"/>
      <c r="D104" s="144"/>
      <c r="J104" s="144"/>
    </row>
    <row r="105" ht="18.75" customHeight="1">
      <c r="A105" s="64"/>
      <c r="B105" s="64"/>
      <c r="D105" s="144"/>
      <c r="J105" s="144"/>
    </row>
    <row r="106" ht="18.75" customHeight="1">
      <c r="A106" s="64"/>
      <c r="B106" s="64"/>
      <c r="D106" s="144"/>
      <c r="J106" s="144"/>
    </row>
    <row r="107" ht="18.75" customHeight="1">
      <c r="A107" s="64"/>
      <c r="B107" s="64"/>
      <c r="D107" s="144"/>
      <c r="J107" s="144"/>
    </row>
    <row r="108" ht="18.75" customHeight="1">
      <c r="A108" s="64"/>
      <c r="B108" s="64"/>
      <c r="D108" s="144"/>
      <c r="J108" s="144"/>
    </row>
    <row r="109" ht="18.75" customHeight="1">
      <c r="A109" s="64"/>
      <c r="B109" s="64"/>
      <c r="D109" s="144"/>
      <c r="J109" s="144"/>
    </row>
    <row r="110" ht="18.75" customHeight="1">
      <c r="A110" s="64"/>
      <c r="B110" s="64"/>
      <c r="D110" s="144"/>
      <c r="J110" s="144"/>
    </row>
    <row r="111" ht="18.75" customHeight="1">
      <c r="A111" s="64"/>
      <c r="B111" s="64"/>
      <c r="D111" s="144"/>
      <c r="J111" s="144"/>
    </row>
    <row r="112" ht="18.75" customHeight="1">
      <c r="A112" s="64"/>
      <c r="B112" s="64"/>
      <c r="D112" s="144"/>
      <c r="J112" s="144"/>
    </row>
    <row r="113" ht="18.75" customHeight="1">
      <c r="A113" s="64"/>
      <c r="B113" s="64"/>
      <c r="D113" s="144"/>
      <c r="J113" s="144"/>
    </row>
    <row r="114" ht="18.75" customHeight="1">
      <c r="A114" s="64"/>
      <c r="B114" s="64"/>
      <c r="D114" s="144"/>
      <c r="J114" s="144"/>
    </row>
    <row r="115" ht="18.75" customHeight="1">
      <c r="A115" s="64"/>
      <c r="B115" s="64"/>
      <c r="D115" s="144"/>
      <c r="J115" s="144"/>
    </row>
    <row r="116" ht="18.75" customHeight="1">
      <c r="A116" s="64"/>
      <c r="B116" s="64"/>
      <c r="D116" s="144"/>
      <c r="J116" s="144"/>
    </row>
    <row r="117" ht="18.75" customHeight="1">
      <c r="A117" s="64"/>
      <c r="B117" s="64"/>
      <c r="D117" s="144"/>
      <c r="J117" s="144"/>
    </row>
    <row r="118" ht="18.75" customHeight="1">
      <c r="A118" s="64"/>
      <c r="B118" s="64"/>
      <c r="D118" s="144"/>
      <c r="J118" s="144"/>
    </row>
    <row r="119" ht="18.75" customHeight="1">
      <c r="A119" s="64"/>
      <c r="B119" s="64"/>
      <c r="D119" s="144"/>
      <c r="J119" s="144"/>
    </row>
    <row r="120" ht="18.75" customHeight="1">
      <c r="A120" s="64"/>
      <c r="B120" s="64"/>
      <c r="D120" s="144"/>
      <c r="J120" s="144"/>
    </row>
    <row r="121" ht="18.75" customHeight="1">
      <c r="A121" s="64"/>
      <c r="B121" s="64"/>
      <c r="D121" s="144"/>
      <c r="J121" s="144"/>
    </row>
    <row r="122" ht="18.75" customHeight="1">
      <c r="A122" s="64"/>
      <c r="B122" s="64"/>
      <c r="D122" s="144"/>
      <c r="J122" s="144"/>
    </row>
    <row r="123" ht="18.75" customHeight="1">
      <c r="A123" s="64"/>
      <c r="B123" s="64"/>
      <c r="D123" s="144"/>
      <c r="J123" s="144"/>
    </row>
    <row r="124" ht="18.75" customHeight="1">
      <c r="A124" s="64"/>
      <c r="B124" s="64"/>
      <c r="D124" s="144"/>
      <c r="J124" s="144"/>
    </row>
    <row r="125" ht="18.75" customHeight="1">
      <c r="A125" s="64"/>
      <c r="B125" s="64"/>
      <c r="D125" s="144"/>
      <c r="J125" s="144"/>
    </row>
    <row r="126" ht="18.75" customHeight="1">
      <c r="A126" s="64"/>
      <c r="B126" s="64"/>
      <c r="D126" s="144"/>
      <c r="J126" s="144"/>
    </row>
    <row r="127" ht="18.75" customHeight="1">
      <c r="A127" s="64"/>
      <c r="B127" s="64"/>
      <c r="D127" s="144"/>
      <c r="J127" s="144"/>
    </row>
    <row r="128" ht="18.75" customHeight="1">
      <c r="A128" s="64"/>
      <c r="B128" s="64"/>
      <c r="D128" s="144"/>
      <c r="J128" s="144"/>
    </row>
    <row r="129" ht="18.75" customHeight="1">
      <c r="A129" s="64"/>
      <c r="B129" s="64"/>
      <c r="D129" s="144"/>
      <c r="J129" s="144"/>
    </row>
    <row r="130" ht="18.75" customHeight="1">
      <c r="A130" s="64"/>
      <c r="B130" s="64"/>
      <c r="D130" s="144"/>
      <c r="J130" s="144"/>
    </row>
    <row r="131" ht="18.75" customHeight="1">
      <c r="A131" s="64"/>
      <c r="B131" s="64"/>
      <c r="D131" s="144"/>
      <c r="J131" s="144"/>
    </row>
    <row r="132" ht="18.75" customHeight="1">
      <c r="A132" s="64"/>
      <c r="B132" s="64"/>
      <c r="D132" s="144"/>
      <c r="J132" s="144"/>
    </row>
    <row r="133" ht="18.75" customHeight="1">
      <c r="A133" s="64"/>
      <c r="B133" s="64"/>
      <c r="D133" s="144"/>
      <c r="J133" s="144"/>
    </row>
    <row r="134" ht="18.75" customHeight="1">
      <c r="A134" s="64"/>
      <c r="B134" s="64"/>
      <c r="D134" s="144"/>
      <c r="J134" s="144"/>
    </row>
    <row r="135" ht="18.75" customHeight="1">
      <c r="A135" s="64"/>
      <c r="B135" s="64"/>
      <c r="D135" s="144"/>
      <c r="J135" s="144"/>
    </row>
    <row r="136" ht="18.75" customHeight="1">
      <c r="A136" s="64"/>
      <c r="B136" s="64"/>
      <c r="D136" s="144"/>
      <c r="J136" s="144"/>
    </row>
    <row r="137" ht="18.75" customHeight="1">
      <c r="A137" s="64"/>
      <c r="B137" s="64"/>
      <c r="D137" s="144"/>
      <c r="J137" s="144"/>
    </row>
    <row r="138" ht="18.75" customHeight="1">
      <c r="A138" s="64"/>
      <c r="B138" s="64"/>
      <c r="D138" s="144"/>
      <c r="J138" s="144"/>
    </row>
    <row r="139" ht="18.75" customHeight="1">
      <c r="A139" s="64"/>
      <c r="B139" s="64"/>
      <c r="D139" s="144"/>
      <c r="J139" s="144"/>
    </row>
    <row r="140" ht="18.75" customHeight="1">
      <c r="A140" s="64"/>
      <c r="B140" s="64"/>
      <c r="D140" s="144"/>
      <c r="J140" s="144"/>
    </row>
    <row r="141" ht="18.75" customHeight="1">
      <c r="A141" s="64"/>
      <c r="B141" s="64"/>
      <c r="D141" s="144"/>
      <c r="J141" s="144"/>
    </row>
    <row r="142" ht="18.75" customHeight="1">
      <c r="A142" s="64"/>
      <c r="B142" s="64"/>
      <c r="D142" s="144"/>
      <c r="J142" s="144"/>
    </row>
    <row r="143" ht="18.75" customHeight="1">
      <c r="A143" s="64"/>
      <c r="B143" s="64"/>
      <c r="D143" s="144"/>
      <c r="J143" s="144"/>
    </row>
    <row r="144" ht="18.75" customHeight="1">
      <c r="A144" s="64"/>
      <c r="B144" s="64"/>
      <c r="D144" s="144"/>
      <c r="J144" s="144"/>
    </row>
    <row r="145" ht="18.75" customHeight="1">
      <c r="A145" s="64"/>
      <c r="B145" s="64"/>
      <c r="D145" s="144"/>
      <c r="J145" s="144"/>
    </row>
    <row r="146" ht="18.75" customHeight="1">
      <c r="A146" s="64"/>
      <c r="B146" s="64"/>
      <c r="D146" s="144"/>
      <c r="J146" s="144"/>
    </row>
    <row r="147" ht="18.75" customHeight="1">
      <c r="A147" s="64"/>
      <c r="B147" s="64"/>
      <c r="D147" s="144"/>
      <c r="J147" s="144"/>
    </row>
    <row r="148" ht="18.75" customHeight="1">
      <c r="A148" s="64"/>
      <c r="B148" s="64"/>
      <c r="D148" s="144"/>
      <c r="J148" s="144"/>
    </row>
    <row r="149" ht="18.75" customHeight="1">
      <c r="A149" s="64"/>
      <c r="B149" s="64"/>
      <c r="D149" s="144"/>
      <c r="J149" s="144"/>
    </row>
    <row r="150" ht="18.75" customHeight="1">
      <c r="A150" s="64"/>
      <c r="B150" s="64"/>
      <c r="D150" s="144"/>
      <c r="J150" s="144"/>
    </row>
    <row r="151" ht="18.75" customHeight="1">
      <c r="A151" s="64"/>
      <c r="B151" s="64"/>
      <c r="D151" s="144"/>
      <c r="J151" s="144"/>
    </row>
    <row r="152" ht="18.75" customHeight="1">
      <c r="A152" s="64"/>
      <c r="B152" s="64"/>
      <c r="D152" s="144"/>
      <c r="J152" s="144"/>
    </row>
    <row r="153" ht="18.75" customHeight="1">
      <c r="A153" s="64"/>
      <c r="B153" s="64"/>
      <c r="D153" s="144"/>
      <c r="J153" s="144"/>
    </row>
    <row r="154" ht="18.75" customHeight="1">
      <c r="A154" s="64"/>
      <c r="B154" s="64"/>
      <c r="D154" s="144"/>
      <c r="J154" s="144"/>
    </row>
    <row r="155" ht="18.75" customHeight="1">
      <c r="A155" s="64"/>
      <c r="B155" s="64"/>
      <c r="D155" s="144"/>
      <c r="J155" s="144"/>
    </row>
    <row r="156" ht="18.75" customHeight="1">
      <c r="A156" s="64"/>
      <c r="B156" s="64"/>
      <c r="D156" s="144"/>
      <c r="J156" s="144"/>
    </row>
    <row r="157" ht="18.75" customHeight="1">
      <c r="A157" s="64"/>
      <c r="B157" s="64"/>
      <c r="D157" s="144"/>
      <c r="J157" s="144"/>
    </row>
    <row r="158" ht="18.75" customHeight="1">
      <c r="A158" s="64"/>
      <c r="B158" s="64"/>
      <c r="D158" s="144"/>
      <c r="J158" s="144"/>
    </row>
    <row r="159" ht="18.75" customHeight="1">
      <c r="A159" s="64"/>
      <c r="B159" s="64"/>
      <c r="D159" s="144"/>
      <c r="J159" s="144"/>
    </row>
    <row r="160" ht="18.75" customHeight="1">
      <c r="A160" s="64"/>
      <c r="B160" s="64"/>
      <c r="D160" s="144"/>
      <c r="J160" s="144"/>
    </row>
    <row r="161" ht="18.75" customHeight="1">
      <c r="A161" s="64"/>
      <c r="B161" s="64"/>
      <c r="D161" s="144"/>
      <c r="J161" s="144"/>
    </row>
    <row r="162" ht="18.75" customHeight="1">
      <c r="A162" s="64"/>
      <c r="B162" s="64"/>
      <c r="D162" s="144"/>
      <c r="J162" s="144"/>
    </row>
    <row r="163" ht="18.75" customHeight="1">
      <c r="A163" s="64"/>
      <c r="B163" s="64"/>
      <c r="D163" s="144"/>
      <c r="J163" s="144"/>
    </row>
    <row r="164" ht="18.75" customHeight="1">
      <c r="A164" s="64"/>
      <c r="B164" s="64"/>
      <c r="D164" s="144"/>
      <c r="J164" s="144"/>
    </row>
    <row r="165" ht="18.75" customHeight="1">
      <c r="A165" s="64"/>
      <c r="B165" s="64"/>
      <c r="D165" s="144"/>
      <c r="J165" s="144"/>
    </row>
    <row r="166" ht="18.75" customHeight="1">
      <c r="A166" s="64"/>
      <c r="B166" s="64"/>
      <c r="D166" s="144"/>
      <c r="J166" s="144"/>
    </row>
    <row r="167" ht="18.75" customHeight="1">
      <c r="A167" s="64"/>
      <c r="B167" s="64"/>
      <c r="D167" s="144"/>
      <c r="J167" s="144"/>
    </row>
    <row r="168" ht="18.75" customHeight="1">
      <c r="A168" s="64"/>
      <c r="B168" s="64"/>
      <c r="D168" s="144"/>
      <c r="J168" s="144"/>
    </row>
    <row r="169" ht="18.75" customHeight="1">
      <c r="A169" s="64"/>
      <c r="B169" s="64"/>
      <c r="D169" s="144"/>
      <c r="J169" s="144"/>
    </row>
    <row r="170" ht="18.75" customHeight="1">
      <c r="A170" s="64"/>
      <c r="B170" s="64"/>
      <c r="D170" s="144"/>
      <c r="J170" s="144"/>
    </row>
    <row r="171" ht="18.75" customHeight="1">
      <c r="A171" s="64"/>
      <c r="B171" s="64"/>
      <c r="D171" s="144"/>
      <c r="J171" s="144"/>
    </row>
    <row r="172" ht="18.75" customHeight="1">
      <c r="A172" s="64"/>
      <c r="B172" s="64"/>
      <c r="D172" s="144"/>
      <c r="J172" s="144"/>
    </row>
    <row r="173" ht="18.75" customHeight="1">
      <c r="A173" s="64"/>
      <c r="B173" s="64"/>
      <c r="D173" s="144"/>
      <c r="J173" s="144"/>
    </row>
    <row r="174" ht="18.75" customHeight="1">
      <c r="A174" s="64"/>
      <c r="B174" s="64"/>
      <c r="D174" s="144"/>
      <c r="J174" s="144"/>
    </row>
    <row r="175" ht="18.75" customHeight="1">
      <c r="A175" s="64"/>
      <c r="B175" s="64"/>
      <c r="D175" s="144"/>
      <c r="J175" s="144"/>
    </row>
    <row r="176" ht="18.75" customHeight="1">
      <c r="A176" s="64"/>
      <c r="B176" s="64"/>
      <c r="D176" s="144"/>
      <c r="J176" s="144"/>
    </row>
    <row r="177" ht="18.75" customHeight="1">
      <c r="A177" s="64"/>
      <c r="B177" s="64"/>
      <c r="D177" s="144"/>
      <c r="J177" s="144"/>
    </row>
    <row r="178" ht="18.75" customHeight="1">
      <c r="A178" s="64"/>
      <c r="B178" s="64"/>
      <c r="D178" s="144"/>
      <c r="J178" s="144"/>
    </row>
    <row r="179" ht="18.75" customHeight="1">
      <c r="A179" s="64"/>
      <c r="B179" s="64"/>
      <c r="D179" s="144"/>
      <c r="J179" s="144"/>
    </row>
    <row r="180" ht="18.75" customHeight="1">
      <c r="A180" s="64"/>
      <c r="B180" s="64"/>
      <c r="D180" s="144"/>
      <c r="J180" s="144"/>
    </row>
    <row r="181" ht="18.75" customHeight="1">
      <c r="A181" s="64"/>
      <c r="B181" s="64"/>
      <c r="D181" s="144"/>
      <c r="J181" s="144"/>
    </row>
    <row r="182" ht="18.75" customHeight="1">
      <c r="A182" s="64"/>
      <c r="B182" s="64"/>
      <c r="D182" s="144"/>
      <c r="J182" s="144"/>
    </row>
    <row r="183" ht="18.75" customHeight="1">
      <c r="A183" s="64"/>
      <c r="B183" s="64"/>
      <c r="D183" s="144"/>
      <c r="J183" s="144"/>
    </row>
    <row r="184" ht="18.75" customHeight="1">
      <c r="A184" s="64"/>
      <c r="B184" s="64"/>
      <c r="D184" s="144"/>
      <c r="J184" s="144"/>
    </row>
    <row r="185" ht="18.75" customHeight="1">
      <c r="A185" s="64"/>
      <c r="B185" s="64"/>
      <c r="D185" s="144"/>
      <c r="J185" s="144"/>
    </row>
    <row r="186" ht="18.75" customHeight="1">
      <c r="A186" s="64"/>
      <c r="B186" s="64"/>
      <c r="D186" s="144"/>
      <c r="J186" s="144"/>
    </row>
    <row r="187" ht="18.75" customHeight="1">
      <c r="A187" s="64"/>
      <c r="B187" s="64"/>
      <c r="D187" s="144"/>
      <c r="J187" s="144"/>
    </row>
    <row r="188" ht="18.75" customHeight="1">
      <c r="A188" s="64"/>
      <c r="B188" s="64"/>
      <c r="D188" s="144"/>
      <c r="J188" s="144"/>
    </row>
    <row r="189" ht="18.75" customHeight="1">
      <c r="A189" s="64"/>
      <c r="B189" s="64"/>
      <c r="D189" s="144"/>
      <c r="J189" s="144"/>
    </row>
    <row r="190" ht="18.75" customHeight="1">
      <c r="A190" s="64"/>
      <c r="B190" s="64"/>
      <c r="D190" s="144"/>
      <c r="J190" s="144"/>
    </row>
    <row r="191" ht="18.75" customHeight="1">
      <c r="A191" s="64"/>
      <c r="B191" s="64"/>
      <c r="D191" s="144"/>
      <c r="J191" s="144"/>
    </row>
    <row r="192" ht="18.75" customHeight="1">
      <c r="A192" s="64"/>
      <c r="B192" s="64"/>
      <c r="D192" s="144"/>
      <c r="J192" s="144"/>
    </row>
    <row r="193" ht="18.75" customHeight="1">
      <c r="A193" s="64"/>
      <c r="B193" s="64"/>
      <c r="D193" s="144"/>
      <c r="J193" s="144"/>
    </row>
    <row r="194" ht="18.75" customHeight="1">
      <c r="A194" s="64"/>
      <c r="B194" s="64"/>
      <c r="D194" s="144"/>
      <c r="J194" s="144"/>
    </row>
    <row r="195" ht="18.75" customHeight="1">
      <c r="A195" s="64"/>
      <c r="B195" s="64"/>
      <c r="D195" s="144"/>
      <c r="J195" s="144"/>
    </row>
    <row r="196" ht="18.75" customHeight="1">
      <c r="A196" s="64"/>
      <c r="B196" s="64"/>
      <c r="D196" s="144"/>
      <c r="J196" s="144"/>
    </row>
    <row r="197" ht="18.75" customHeight="1">
      <c r="A197" s="64"/>
      <c r="B197" s="64"/>
      <c r="D197" s="144"/>
      <c r="J197" s="144"/>
    </row>
    <row r="198" ht="18.75" customHeight="1">
      <c r="A198" s="64"/>
      <c r="B198" s="64"/>
      <c r="D198" s="144"/>
      <c r="J198" s="144"/>
    </row>
    <row r="199" ht="18.75" customHeight="1">
      <c r="A199" s="64"/>
      <c r="B199" s="64"/>
      <c r="D199" s="144"/>
      <c r="J199" s="144"/>
    </row>
    <row r="200" ht="18.75" customHeight="1">
      <c r="A200" s="64"/>
      <c r="B200" s="64"/>
      <c r="D200" s="144"/>
      <c r="J200" s="144"/>
    </row>
    <row r="201" ht="18.75" customHeight="1">
      <c r="A201" s="64"/>
      <c r="B201" s="64"/>
      <c r="D201" s="144"/>
      <c r="J201" s="144"/>
    </row>
    <row r="202" ht="18.75" customHeight="1">
      <c r="A202" s="64"/>
      <c r="B202" s="64"/>
      <c r="D202" s="144"/>
      <c r="J202" s="144"/>
    </row>
    <row r="203" ht="18.75" customHeight="1">
      <c r="A203" s="64"/>
      <c r="B203" s="64"/>
      <c r="D203" s="144"/>
      <c r="J203" s="144"/>
    </row>
    <row r="204" ht="18.75" customHeight="1">
      <c r="A204" s="64"/>
      <c r="B204" s="64"/>
      <c r="D204" s="144"/>
      <c r="J204" s="144"/>
    </row>
    <row r="205" ht="18.75" customHeight="1">
      <c r="A205" s="64"/>
      <c r="B205" s="64"/>
      <c r="D205" s="144"/>
      <c r="J205" s="144"/>
    </row>
    <row r="206" ht="18.75" customHeight="1">
      <c r="A206" s="64"/>
      <c r="B206" s="64"/>
      <c r="D206" s="144"/>
      <c r="J206" s="144"/>
    </row>
    <row r="207" ht="18.75" customHeight="1">
      <c r="A207" s="64"/>
      <c r="B207" s="64"/>
      <c r="D207" s="144"/>
      <c r="J207" s="144"/>
    </row>
    <row r="208" ht="18.75" customHeight="1">
      <c r="A208" s="64"/>
      <c r="B208" s="64"/>
      <c r="D208" s="144"/>
      <c r="J208" s="144"/>
    </row>
    <row r="209" ht="18.75" customHeight="1">
      <c r="A209" s="64"/>
      <c r="B209" s="64"/>
      <c r="D209" s="144"/>
      <c r="J209" s="144"/>
    </row>
    <row r="210" ht="18.75" customHeight="1">
      <c r="A210" s="64"/>
      <c r="B210" s="64"/>
      <c r="D210" s="144"/>
      <c r="J210" s="144"/>
    </row>
    <row r="211" ht="18.75" customHeight="1">
      <c r="A211" s="64"/>
      <c r="B211" s="64"/>
      <c r="D211" s="144"/>
      <c r="J211" s="144"/>
    </row>
    <row r="212" ht="18.75" customHeight="1">
      <c r="A212" s="64"/>
      <c r="B212" s="64"/>
      <c r="D212" s="144"/>
      <c r="J212" s="144"/>
    </row>
    <row r="213" ht="18.75" customHeight="1">
      <c r="A213" s="64"/>
      <c r="B213" s="64"/>
      <c r="D213" s="144"/>
      <c r="J213" s="144"/>
    </row>
    <row r="214" ht="18.75" customHeight="1">
      <c r="A214" s="64"/>
      <c r="B214" s="64"/>
      <c r="D214" s="144"/>
      <c r="J214" s="144"/>
    </row>
    <row r="215" ht="18.75" customHeight="1">
      <c r="A215" s="64"/>
      <c r="B215" s="64"/>
      <c r="D215" s="144"/>
      <c r="J215" s="144"/>
    </row>
    <row r="216" ht="18.75" customHeight="1">
      <c r="A216" s="64"/>
      <c r="B216" s="64"/>
      <c r="D216" s="144"/>
      <c r="J216" s="144"/>
    </row>
    <row r="217" ht="18.75" customHeight="1">
      <c r="A217" s="64"/>
      <c r="B217" s="64"/>
      <c r="D217" s="144"/>
      <c r="J217" s="144"/>
    </row>
    <row r="218" ht="18.75" customHeight="1">
      <c r="A218" s="64"/>
      <c r="B218" s="64"/>
      <c r="D218" s="144"/>
      <c r="J218" s="144"/>
    </row>
    <row r="219" ht="18.75" customHeight="1">
      <c r="A219" s="64"/>
      <c r="B219" s="64"/>
      <c r="D219" s="144"/>
      <c r="J219" s="144"/>
    </row>
    <row r="220" ht="18.75" customHeight="1">
      <c r="A220" s="64"/>
      <c r="B220" s="64"/>
      <c r="D220" s="144"/>
      <c r="J220" s="144"/>
    </row>
    <row r="221" ht="18.75" customHeight="1">
      <c r="A221" s="64"/>
      <c r="B221" s="64"/>
      <c r="D221" s="144"/>
      <c r="J221" s="144"/>
    </row>
    <row r="222" ht="18.75" customHeight="1">
      <c r="A222" s="64"/>
      <c r="B222" s="64"/>
      <c r="D222" s="144"/>
      <c r="J222" s="144"/>
    </row>
    <row r="223" ht="18.75" customHeight="1">
      <c r="A223" s="64"/>
      <c r="B223" s="64"/>
      <c r="D223" s="144"/>
      <c r="J223" s="144"/>
    </row>
    <row r="224" ht="18.75" customHeight="1">
      <c r="A224" s="64"/>
      <c r="B224" s="64"/>
      <c r="D224" s="144"/>
      <c r="J224" s="144"/>
    </row>
    <row r="225" ht="18.75" customHeight="1">
      <c r="A225" s="64"/>
      <c r="B225" s="64"/>
      <c r="D225" s="144"/>
      <c r="J225" s="144"/>
    </row>
    <row r="226" ht="18.75" customHeight="1">
      <c r="A226" s="64"/>
      <c r="B226" s="64"/>
      <c r="D226" s="144"/>
      <c r="J226" s="144"/>
    </row>
    <row r="227" ht="18.75" customHeight="1">
      <c r="A227" s="64"/>
      <c r="B227" s="64"/>
      <c r="D227" s="144"/>
      <c r="J227" s="144"/>
    </row>
    <row r="228" ht="18.75" customHeight="1">
      <c r="A228" s="64"/>
      <c r="B228" s="64"/>
      <c r="D228" s="144"/>
      <c r="J228" s="144"/>
    </row>
    <row r="229" ht="18.75" customHeight="1">
      <c r="A229" s="64"/>
      <c r="B229" s="64"/>
      <c r="D229" s="144"/>
      <c r="J229" s="144"/>
    </row>
    <row r="230" ht="18.75" customHeight="1">
      <c r="A230" s="64"/>
      <c r="B230" s="64"/>
      <c r="D230" s="144"/>
      <c r="J230" s="144"/>
    </row>
    <row r="231" ht="18.75" customHeight="1">
      <c r="A231" s="64"/>
      <c r="B231" s="64"/>
      <c r="D231" s="144"/>
      <c r="J231" s="144"/>
    </row>
    <row r="232" ht="18.75" customHeight="1">
      <c r="A232" s="64"/>
      <c r="B232" s="64"/>
      <c r="D232" s="144"/>
      <c r="J232" s="144"/>
    </row>
    <row r="233" ht="18.75" customHeight="1">
      <c r="A233" s="64"/>
      <c r="B233" s="64"/>
      <c r="D233" s="144"/>
      <c r="J233" s="144"/>
    </row>
    <row r="234" ht="18.75" customHeight="1">
      <c r="A234" s="64"/>
      <c r="B234" s="64"/>
      <c r="D234" s="144"/>
      <c r="J234" s="144"/>
    </row>
    <row r="235" ht="18.75" customHeight="1">
      <c r="A235" s="64"/>
      <c r="B235" s="64"/>
      <c r="D235" s="144"/>
      <c r="J235" s="144"/>
    </row>
    <row r="236" ht="18.75" customHeight="1">
      <c r="A236" s="64"/>
      <c r="B236" s="64"/>
      <c r="D236" s="144"/>
      <c r="J236" s="144"/>
    </row>
    <row r="237" ht="18.75" customHeight="1">
      <c r="A237" s="64"/>
      <c r="B237" s="64"/>
      <c r="D237" s="144"/>
      <c r="J237" s="144"/>
    </row>
    <row r="238" ht="18.75" customHeight="1">
      <c r="A238" s="64"/>
      <c r="B238" s="64"/>
      <c r="D238" s="144"/>
      <c r="J238" s="144"/>
    </row>
    <row r="239" ht="18.75" customHeight="1">
      <c r="A239" s="64"/>
      <c r="B239" s="64"/>
      <c r="D239" s="144"/>
      <c r="J239" s="144"/>
    </row>
    <row r="240" ht="18.75" customHeight="1">
      <c r="A240" s="64"/>
      <c r="B240" s="64"/>
      <c r="D240" s="144"/>
      <c r="J240" s="144"/>
    </row>
    <row r="241" ht="18.75" customHeight="1">
      <c r="A241" s="64"/>
      <c r="B241" s="64"/>
      <c r="D241" s="144"/>
      <c r="J241" s="144"/>
    </row>
    <row r="242" ht="18.75" customHeight="1">
      <c r="A242" s="64"/>
      <c r="B242" s="64"/>
      <c r="D242" s="144"/>
      <c r="J242" s="144"/>
    </row>
    <row r="243" ht="18.75" customHeight="1">
      <c r="A243" s="64"/>
      <c r="B243" s="64"/>
      <c r="D243" s="144"/>
      <c r="J243" s="144"/>
    </row>
    <row r="244" ht="18.75" customHeight="1">
      <c r="A244" s="64"/>
      <c r="B244" s="64"/>
      <c r="D244" s="144"/>
      <c r="J244" s="144"/>
    </row>
    <row r="245" ht="18.75" customHeight="1">
      <c r="A245" s="64"/>
      <c r="B245" s="64"/>
      <c r="D245" s="144"/>
      <c r="J245" s="144"/>
    </row>
    <row r="246" ht="18.75" customHeight="1">
      <c r="A246" s="64"/>
      <c r="B246" s="64"/>
      <c r="D246" s="144"/>
      <c r="J246" s="144"/>
    </row>
    <row r="247" ht="18.75" customHeight="1">
      <c r="A247" s="64"/>
      <c r="B247" s="64"/>
      <c r="D247" s="144"/>
      <c r="J247" s="144"/>
    </row>
    <row r="248" ht="18.75" customHeight="1">
      <c r="A248" s="64"/>
      <c r="B248" s="64"/>
      <c r="D248" s="144"/>
      <c r="J248" s="144"/>
    </row>
    <row r="249" ht="18.75" customHeight="1">
      <c r="A249" s="64"/>
      <c r="B249" s="64"/>
      <c r="D249" s="144"/>
      <c r="J249" s="144"/>
    </row>
    <row r="250" ht="18.75" customHeight="1">
      <c r="A250" s="64"/>
      <c r="B250" s="64"/>
      <c r="D250" s="144"/>
      <c r="J250" s="144"/>
    </row>
    <row r="251" ht="18.75" customHeight="1">
      <c r="A251" s="64"/>
      <c r="B251" s="64"/>
      <c r="D251" s="144"/>
      <c r="J251" s="144"/>
    </row>
    <row r="252" ht="18.75" customHeight="1">
      <c r="A252" s="64"/>
      <c r="B252" s="64"/>
      <c r="D252" s="144"/>
      <c r="J252" s="144"/>
    </row>
    <row r="253" ht="18.75" customHeight="1">
      <c r="A253" s="64"/>
      <c r="B253" s="64"/>
      <c r="D253" s="144"/>
      <c r="J253" s="144"/>
    </row>
    <row r="254" ht="18.75" customHeight="1">
      <c r="A254" s="64"/>
      <c r="B254" s="64"/>
      <c r="D254" s="144"/>
      <c r="J254" s="144"/>
    </row>
    <row r="255" ht="18.75" customHeight="1">
      <c r="A255" s="64"/>
      <c r="B255" s="64"/>
      <c r="D255" s="144"/>
      <c r="J255" s="144"/>
    </row>
    <row r="256" ht="18.75" customHeight="1">
      <c r="A256" s="64"/>
      <c r="B256" s="64"/>
      <c r="D256" s="144"/>
      <c r="J256" s="144"/>
    </row>
    <row r="257" ht="18.75" customHeight="1">
      <c r="A257" s="64"/>
      <c r="B257" s="64"/>
      <c r="D257" s="144"/>
      <c r="J257" s="144"/>
    </row>
    <row r="258" ht="18.75" customHeight="1">
      <c r="A258" s="64"/>
      <c r="B258" s="64"/>
      <c r="D258" s="144"/>
      <c r="J258" s="144"/>
    </row>
    <row r="259" ht="18.75" customHeight="1">
      <c r="A259" s="64"/>
      <c r="B259" s="64"/>
      <c r="D259" s="144"/>
      <c r="J259" s="144"/>
    </row>
    <row r="260" ht="18.75" customHeight="1">
      <c r="A260" s="64"/>
      <c r="B260" s="64"/>
      <c r="D260" s="144"/>
      <c r="J260" s="144"/>
    </row>
    <row r="261" ht="18.75" customHeight="1">
      <c r="A261" s="64"/>
      <c r="B261" s="64"/>
      <c r="D261" s="144"/>
      <c r="J261" s="144"/>
    </row>
    <row r="262" ht="18.75" customHeight="1">
      <c r="A262" s="64"/>
      <c r="B262" s="64"/>
      <c r="D262" s="144"/>
      <c r="J262" s="144"/>
    </row>
    <row r="263" ht="18.75" customHeight="1">
      <c r="A263" s="64"/>
      <c r="B263" s="64"/>
      <c r="D263" s="144"/>
      <c r="J263" s="144"/>
    </row>
    <row r="264" ht="18.75" customHeight="1">
      <c r="A264" s="64"/>
      <c r="B264" s="64"/>
      <c r="D264" s="144"/>
      <c r="J264" s="144"/>
    </row>
    <row r="265" ht="18.75" customHeight="1">
      <c r="A265" s="64"/>
      <c r="B265" s="64"/>
      <c r="D265" s="144"/>
      <c r="J265" s="144"/>
    </row>
    <row r="266" ht="18.75" customHeight="1">
      <c r="A266" s="64"/>
      <c r="B266" s="64"/>
      <c r="D266" s="144"/>
      <c r="J266" s="144"/>
    </row>
    <row r="267" ht="18.75" customHeight="1">
      <c r="A267" s="64"/>
      <c r="B267" s="64"/>
      <c r="D267" s="144"/>
      <c r="J267" s="144"/>
    </row>
    <row r="268" ht="18.75" customHeight="1">
      <c r="A268" s="64"/>
      <c r="B268" s="64"/>
      <c r="D268" s="144"/>
      <c r="J268" s="144"/>
    </row>
    <row r="269" ht="18.75" customHeight="1">
      <c r="A269" s="64"/>
      <c r="B269" s="64"/>
      <c r="D269" s="144"/>
      <c r="J269" s="144"/>
    </row>
    <row r="270" ht="18.75" customHeight="1">
      <c r="A270" s="64"/>
      <c r="B270" s="64"/>
      <c r="D270" s="144"/>
      <c r="J270" s="144"/>
    </row>
    <row r="271" ht="18.75" customHeight="1">
      <c r="A271" s="64"/>
      <c r="B271" s="64"/>
      <c r="D271" s="144"/>
      <c r="J271" s="144"/>
    </row>
    <row r="272" ht="18.75" customHeight="1">
      <c r="A272" s="64"/>
      <c r="B272" s="64"/>
      <c r="D272" s="144"/>
      <c r="J272" s="144"/>
    </row>
    <row r="273" ht="18.75" customHeight="1">
      <c r="A273" s="64"/>
      <c r="B273" s="64"/>
      <c r="D273" s="144"/>
      <c r="J273" s="144"/>
    </row>
    <row r="274" ht="18.75" customHeight="1">
      <c r="A274" s="64"/>
      <c r="B274" s="64"/>
      <c r="D274" s="144"/>
      <c r="J274" s="144"/>
    </row>
    <row r="275" ht="18.75" customHeight="1">
      <c r="A275" s="64"/>
      <c r="B275" s="64"/>
      <c r="D275" s="144"/>
      <c r="J275" s="144"/>
    </row>
    <row r="276" ht="18.75" customHeight="1">
      <c r="A276" s="64"/>
      <c r="B276" s="64"/>
      <c r="D276" s="144"/>
      <c r="J276" s="144"/>
    </row>
    <row r="277" ht="18.75" customHeight="1">
      <c r="A277" s="64"/>
      <c r="B277" s="64"/>
      <c r="D277" s="144"/>
      <c r="J277" s="144"/>
    </row>
    <row r="278" ht="18.75" customHeight="1">
      <c r="A278" s="64"/>
      <c r="B278" s="64"/>
      <c r="D278" s="144"/>
      <c r="J278" s="144"/>
    </row>
    <row r="279" ht="18.75" customHeight="1">
      <c r="A279" s="64"/>
      <c r="B279" s="64"/>
      <c r="D279" s="144"/>
      <c r="J279" s="144"/>
    </row>
    <row r="280" ht="18.75" customHeight="1">
      <c r="A280" s="64"/>
      <c r="B280" s="64"/>
      <c r="D280" s="144"/>
      <c r="J280" s="144"/>
    </row>
    <row r="281" ht="18.75" customHeight="1">
      <c r="A281" s="64"/>
      <c r="B281" s="64"/>
      <c r="D281" s="144"/>
      <c r="J281" s="144"/>
    </row>
    <row r="282" ht="18.75" customHeight="1">
      <c r="A282" s="64"/>
      <c r="B282" s="64"/>
      <c r="D282" s="144"/>
      <c r="J282" s="144"/>
    </row>
    <row r="283" ht="18.75" customHeight="1">
      <c r="A283" s="64"/>
      <c r="B283" s="64"/>
      <c r="D283" s="144"/>
      <c r="J283" s="144"/>
    </row>
    <row r="284" ht="18.75" customHeight="1">
      <c r="A284" s="64"/>
      <c r="B284" s="64"/>
      <c r="D284" s="144"/>
      <c r="J284" s="144"/>
    </row>
    <row r="285" ht="18.75" customHeight="1">
      <c r="A285" s="64"/>
      <c r="B285" s="64"/>
      <c r="D285" s="144"/>
      <c r="J285" s="144"/>
    </row>
    <row r="286" ht="18.75" customHeight="1">
      <c r="A286" s="64"/>
      <c r="B286" s="64"/>
      <c r="D286" s="144"/>
      <c r="J286" s="144"/>
    </row>
    <row r="287" ht="18.75" customHeight="1">
      <c r="A287" s="64"/>
      <c r="B287" s="64"/>
      <c r="D287" s="144"/>
      <c r="J287" s="144"/>
    </row>
    <row r="288" ht="18.75" customHeight="1">
      <c r="A288" s="64"/>
      <c r="B288" s="64"/>
      <c r="D288" s="144"/>
      <c r="J288" s="144"/>
    </row>
    <row r="289" ht="18.75" customHeight="1">
      <c r="A289" s="64"/>
      <c r="B289" s="64"/>
      <c r="D289" s="144"/>
      <c r="J289" s="144"/>
    </row>
    <row r="290" ht="18.75" customHeight="1">
      <c r="A290" s="64"/>
      <c r="B290" s="64"/>
      <c r="D290" s="144"/>
      <c r="J290" s="144"/>
    </row>
    <row r="291" ht="18.75" customHeight="1">
      <c r="A291" s="64"/>
      <c r="B291" s="64"/>
      <c r="D291" s="144"/>
      <c r="J291" s="144"/>
    </row>
    <row r="292" ht="18.75" customHeight="1">
      <c r="A292" s="64"/>
      <c r="B292" s="64"/>
      <c r="D292" s="144"/>
      <c r="J292" s="144"/>
    </row>
    <row r="293" ht="18.75" customHeight="1">
      <c r="A293" s="64"/>
      <c r="B293" s="64"/>
      <c r="D293" s="144"/>
      <c r="J293" s="144"/>
    </row>
    <row r="294" ht="18.75" customHeight="1">
      <c r="A294" s="64"/>
      <c r="B294" s="64"/>
      <c r="D294" s="144"/>
      <c r="J294" s="144"/>
    </row>
    <row r="295" ht="18.75" customHeight="1">
      <c r="A295" s="64"/>
      <c r="B295" s="64"/>
      <c r="D295" s="144"/>
      <c r="J295" s="144"/>
    </row>
    <row r="296" ht="18.75" customHeight="1">
      <c r="A296" s="64"/>
      <c r="B296" s="64"/>
      <c r="D296" s="144"/>
      <c r="J296" s="144"/>
    </row>
    <row r="297" ht="18.75" customHeight="1">
      <c r="A297" s="64"/>
      <c r="B297" s="64"/>
      <c r="D297" s="144"/>
      <c r="J297" s="144"/>
    </row>
    <row r="298" ht="18.75" customHeight="1">
      <c r="A298" s="64"/>
      <c r="B298" s="64"/>
      <c r="D298" s="144"/>
      <c r="J298" s="144"/>
    </row>
    <row r="299" ht="18.75" customHeight="1">
      <c r="A299" s="64"/>
      <c r="B299" s="64"/>
      <c r="D299" s="144"/>
      <c r="J299" s="144"/>
    </row>
    <row r="300" ht="18.75" customHeight="1">
      <c r="A300" s="64"/>
      <c r="B300" s="64"/>
      <c r="D300" s="144"/>
      <c r="J300" s="144"/>
    </row>
    <row r="301" ht="18.75" customHeight="1">
      <c r="A301" s="64"/>
      <c r="B301" s="64"/>
      <c r="D301" s="144"/>
      <c r="J301" s="144"/>
    </row>
    <row r="302" ht="18.75" customHeight="1">
      <c r="A302" s="64"/>
      <c r="B302" s="64"/>
      <c r="D302" s="144"/>
      <c r="J302" s="144"/>
    </row>
    <row r="303" ht="18.75" customHeight="1">
      <c r="A303" s="64"/>
      <c r="B303" s="64"/>
      <c r="D303" s="144"/>
      <c r="J303" s="144"/>
    </row>
    <row r="304" ht="18.75" customHeight="1">
      <c r="A304" s="64"/>
      <c r="B304" s="64"/>
      <c r="D304" s="144"/>
      <c r="J304" s="144"/>
    </row>
    <row r="305" ht="18.75" customHeight="1">
      <c r="A305" s="64"/>
      <c r="B305" s="64"/>
      <c r="D305" s="144"/>
      <c r="J305" s="144"/>
    </row>
    <row r="306" ht="18.75" customHeight="1">
      <c r="A306" s="64"/>
      <c r="B306" s="64"/>
      <c r="D306" s="144"/>
      <c r="J306" s="144"/>
    </row>
    <row r="307" ht="18.75" customHeight="1">
      <c r="A307" s="64"/>
      <c r="B307" s="64"/>
      <c r="D307" s="144"/>
      <c r="J307" s="144"/>
    </row>
    <row r="308" ht="18.75" customHeight="1">
      <c r="A308" s="64"/>
      <c r="B308" s="64"/>
      <c r="D308" s="144"/>
      <c r="J308" s="144"/>
    </row>
    <row r="309" ht="18.75" customHeight="1">
      <c r="A309" s="64"/>
      <c r="B309" s="64"/>
      <c r="D309" s="144"/>
      <c r="J309" s="144"/>
    </row>
    <row r="310" ht="18.75" customHeight="1">
      <c r="A310" s="64"/>
      <c r="B310" s="64"/>
      <c r="D310" s="144"/>
      <c r="J310" s="144"/>
    </row>
    <row r="311" ht="18.75" customHeight="1">
      <c r="A311" s="64"/>
      <c r="B311" s="64"/>
      <c r="D311" s="144"/>
      <c r="J311" s="144"/>
    </row>
    <row r="312" ht="18.75" customHeight="1">
      <c r="A312" s="64"/>
      <c r="B312" s="64"/>
      <c r="D312" s="144"/>
      <c r="J312" s="144"/>
    </row>
    <row r="313" ht="18.75" customHeight="1">
      <c r="A313" s="64"/>
      <c r="B313" s="64"/>
      <c r="D313" s="144"/>
      <c r="J313" s="144"/>
    </row>
    <row r="314" ht="18.75" customHeight="1">
      <c r="A314" s="64"/>
      <c r="B314" s="64"/>
      <c r="D314" s="144"/>
      <c r="J314" s="144"/>
    </row>
    <row r="315" ht="18.75" customHeight="1">
      <c r="A315" s="64"/>
      <c r="B315" s="64"/>
      <c r="D315" s="144"/>
      <c r="J315" s="144"/>
    </row>
    <row r="316" ht="18.75" customHeight="1">
      <c r="A316" s="64"/>
      <c r="B316" s="64"/>
      <c r="D316" s="144"/>
      <c r="J316" s="144"/>
    </row>
    <row r="317" ht="18.75" customHeight="1">
      <c r="A317" s="64"/>
      <c r="B317" s="64"/>
      <c r="D317" s="144"/>
      <c r="J317" s="144"/>
    </row>
    <row r="318" ht="18.75" customHeight="1">
      <c r="A318" s="64"/>
      <c r="B318" s="64"/>
      <c r="D318" s="144"/>
      <c r="J318" s="144"/>
    </row>
    <row r="319" ht="18.75" customHeight="1">
      <c r="A319" s="64"/>
      <c r="B319" s="64"/>
      <c r="D319" s="144"/>
      <c r="J319" s="144"/>
    </row>
    <row r="320" ht="18.75" customHeight="1">
      <c r="A320" s="64"/>
      <c r="B320" s="64"/>
      <c r="D320" s="144"/>
      <c r="J320" s="144"/>
    </row>
    <row r="321" ht="18.75" customHeight="1">
      <c r="A321" s="64"/>
      <c r="B321" s="64"/>
      <c r="D321" s="144"/>
      <c r="J321" s="144"/>
    </row>
    <row r="322" ht="18.75" customHeight="1">
      <c r="A322" s="64"/>
      <c r="B322" s="64"/>
      <c r="D322" s="144"/>
      <c r="J322" s="144"/>
    </row>
    <row r="323" ht="18.75" customHeight="1">
      <c r="A323" s="64"/>
      <c r="B323" s="64"/>
      <c r="D323" s="144"/>
      <c r="J323" s="144"/>
    </row>
    <row r="324" ht="18.75" customHeight="1">
      <c r="A324" s="64"/>
      <c r="B324" s="64"/>
      <c r="D324" s="144"/>
      <c r="J324" s="144"/>
    </row>
    <row r="325" ht="18.75" customHeight="1">
      <c r="A325" s="64"/>
      <c r="B325" s="64"/>
      <c r="D325" s="144"/>
      <c r="J325" s="144"/>
    </row>
    <row r="326" ht="18.75" customHeight="1">
      <c r="A326" s="64"/>
      <c r="B326" s="64"/>
      <c r="D326" s="144"/>
      <c r="J326" s="144"/>
    </row>
    <row r="327" ht="18.75" customHeight="1">
      <c r="A327" s="64"/>
      <c r="B327" s="64"/>
      <c r="D327" s="144"/>
      <c r="J327" s="144"/>
    </row>
    <row r="328" ht="18.75" customHeight="1">
      <c r="A328" s="64"/>
      <c r="B328" s="64"/>
      <c r="D328" s="144"/>
      <c r="J328" s="144"/>
    </row>
    <row r="329" ht="18.75" customHeight="1">
      <c r="A329" s="64"/>
      <c r="B329" s="64"/>
      <c r="D329" s="144"/>
      <c r="J329" s="144"/>
    </row>
    <row r="330" ht="18.75" customHeight="1">
      <c r="A330" s="64"/>
      <c r="B330" s="64"/>
      <c r="D330" s="144"/>
      <c r="J330" s="144"/>
    </row>
    <row r="331" ht="18.75" customHeight="1">
      <c r="A331" s="64"/>
      <c r="B331" s="64"/>
      <c r="D331" s="144"/>
      <c r="J331" s="144"/>
    </row>
    <row r="332" ht="18.75" customHeight="1">
      <c r="A332" s="64"/>
      <c r="B332" s="64"/>
      <c r="D332" s="144"/>
      <c r="J332" s="144"/>
    </row>
    <row r="333" ht="18.75" customHeight="1">
      <c r="A333" s="64"/>
      <c r="B333" s="64"/>
      <c r="D333" s="144"/>
      <c r="J333" s="144"/>
    </row>
    <row r="334" ht="18.75" customHeight="1">
      <c r="A334" s="64"/>
      <c r="B334" s="64"/>
      <c r="D334" s="144"/>
      <c r="J334" s="144"/>
    </row>
    <row r="335" ht="18.75" customHeight="1">
      <c r="A335" s="64"/>
      <c r="B335" s="64"/>
      <c r="D335" s="144"/>
      <c r="J335" s="144"/>
    </row>
    <row r="336" ht="18.75" customHeight="1">
      <c r="A336" s="64"/>
      <c r="B336" s="64"/>
      <c r="D336" s="144"/>
      <c r="J336" s="144"/>
    </row>
    <row r="337" ht="18.75" customHeight="1">
      <c r="A337" s="64"/>
      <c r="B337" s="64"/>
      <c r="D337" s="144"/>
      <c r="J337" s="144"/>
    </row>
    <row r="338" ht="18.75" customHeight="1">
      <c r="A338" s="64"/>
      <c r="B338" s="64"/>
      <c r="D338" s="144"/>
      <c r="J338" s="144"/>
    </row>
    <row r="339" ht="18.75" customHeight="1">
      <c r="A339" s="64"/>
      <c r="B339" s="64"/>
      <c r="D339" s="144"/>
      <c r="J339" s="144"/>
    </row>
    <row r="340" ht="18.75" customHeight="1">
      <c r="A340" s="64"/>
      <c r="B340" s="64"/>
      <c r="D340" s="144"/>
      <c r="J340" s="144"/>
    </row>
    <row r="341" ht="18.75" customHeight="1">
      <c r="A341" s="64"/>
      <c r="B341" s="64"/>
      <c r="D341" s="144"/>
      <c r="J341" s="144"/>
    </row>
    <row r="342" ht="18.75" customHeight="1">
      <c r="A342" s="64"/>
      <c r="B342" s="64"/>
      <c r="D342" s="144"/>
      <c r="J342" s="144"/>
    </row>
    <row r="343" ht="18.75" customHeight="1">
      <c r="A343" s="64"/>
      <c r="B343" s="64"/>
      <c r="D343" s="144"/>
      <c r="J343" s="144"/>
    </row>
    <row r="344" ht="18.75" customHeight="1">
      <c r="A344" s="64"/>
      <c r="B344" s="64"/>
      <c r="D344" s="144"/>
      <c r="J344" s="144"/>
    </row>
    <row r="345" ht="18.75" customHeight="1">
      <c r="A345" s="64"/>
      <c r="B345" s="64"/>
      <c r="D345" s="144"/>
      <c r="J345" s="144"/>
    </row>
    <row r="346" ht="18.75" customHeight="1">
      <c r="A346" s="64"/>
      <c r="B346" s="64"/>
      <c r="D346" s="144"/>
      <c r="J346" s="144"/>
    </row>
    <row r="347" ht="18.75" customHeight="1">
      <c r="A347" s="64"/>
      <c r="B347" s="64"/>
      <c r="D347" s="144"/>
      <c r="J347" s="144"/>
    </row>
    <row r="348" ht="18.75" customHeight="1">
      <c r="A348" s="64"/>
      <c r="B348" s="64"/>
      <c r="D348" s="144"/>
      <c r="J348" s="144"/>
    </row>
    <row r="349" ht="18.75" customHeight="1">
      <c r="A349" s="64"/>
      <c r="B349" s="64"/>
      <c r="D349" s="144"/>
      <c r="J349" s="144"/>
    </row>
    <row r="350" ht="18.75" customHeight="1">
      <c r="A350" s="64"/>
      <c r="B350" s="64"/>
      <c r="D350" s="144"/>
      <c r="J350" s="144"/>
    </row>
    <row r="351" ht="18.75" customHeight="1">
      <c r="A351" s="64"/>
      <c r="B351" s="64"/>
      <c r="D351" s="144"/>
      <c r="J351" s="144"/>
    </row>
    <row r="352" ht="18.75" customHeight="1">
      <c r="A352" s="64"/>
      <c r="B352" s="64"/>
      <c r="D352" s="144"/>
      <c r="J352" s="144"/>
    </row>
    <row r="353" ht="18.75" customHeight="1">
      <c r="A353" s="64"/>
      <c r="B353" s="64"/>
      <c r="D353" s="144"/>
      <c r="J353" s="144"/>
    </row>
    <row r="354" ht="18.75" customHeight="1">
      <c r="A354" s="64"/>
      <c r="B354" s="64"/>
      <c r="D354" s="144"/>
      <c r="J354" s="144"/>
    </row>
    <row r="355" ht="18.75" customHeight="1">
      <c r="A355" s="64"/>
      <c r="B355" s="64"/>
      <c r="D355" s="144"/>
      <c r="J355" s="144"/>
    </row>
    <row r="356" ht="18.75" customHeight="1">
      <c r="A356" s="64"/>
      <c r="B356" s="64"/>
      <c r="D356" s="144"/>
      <c r="J356" s="144"/>
    </row>
    <row r="357" ht="18.75" customHeight="1">
      <c r="A357" s="64"/>
      <c r="B357" s="64"/>
      <c r="D357" s="144"/>
      <c r="J357" s="144"/>
    </row>
    <row r="358" ht="18.75" customHeight="1">
      <c r="A358" s="64"/>
      <c r="B358" s="64"/>
      <c r="D358" s="144"/>
      <c r="J358" s="144"/>
    </row>
    <row r="359" ht="18.75" customHeight="1">
      <c r="A359" s="64"/>
      <c r="B359" s="64"/>
      <c r="D359" s="144"/>
      <c r="J359" s="144"/>
    </row>
    <row r="360" ht="18.75" customHeight="1">
      <c r="A360" s="64"/>
      <c r="B360" s="64"/>
      <c r="D360" s="144"/>
      <c r="J360" s="144"/>
    </row>
    <row r="361" ht="18.75" customHeight="1">
      <c r="A361" s="64"/>
      <c r="B361" s="64"/>
      <c r="D361" s="144"/>
      <c r="J361" s="144"/>
    </row>
    <row r="362" ht="18.75" customHeight="1">
      <c r="A362" s="64"/>
      <c r="B362" s="64"/>
      <c r="D362" s="144"/>
      <c r="J362" s="144"/>
    </row>
    <row r="363" ht="18.75" customHeight="1">
      <c r="A363" s="64"/>
      <c r="B363" s="64"/>
      <c r="D363" s="144"/>
      <c r="J363" s="144"/>
    </row>
    <row r="364" ht="18.75" customHeight="1">
      <c r="A364" s="64"/>
      <c r="B364" s="64"/>
      <c r="D364" s="144"/>
      <c r="J364" s="144"/>
    </row>
    <row r="365" ht="18.75" customHeight="1">
      <c r="A365" s="64"/>
      <c r="B365" s="64"/>
      <c r="D365" s="144"/>
      <c r="J365" s="144"/>
    </row>
    <row r="366" ht="18.75" customHeight="1">
      <c r="A366" s="64"/>
      <c r="B366" s="64"/>
      <c r="D366" s="144"/>
      <c r="J366" s="144"/>
    </row>
    <row r="367" ht="18.75" customHeight="1">
      <c r="A367" s="64"/>
      <c r="B367" s="64"/>
      <c r="D367" s="144"/>
      <c r="J367" s="144"/>
    </row>
    <row r="368" ht="18.75" customHeight="1">
      <c r="A368" s="64"/>
      <c r="B368" s="64"/>
      <c r="D368" s="144"/>
      <c r="J368" s="144"/>
    </row>
    <row r="369" ht="18.75" customHeight="1">
      <c r="A369" s="64"/>
      <c r="B369" s="64"/>
      <c r="D369" s="144"/>
      <c r="J369" s="144"/>
    </row>
    <row r="370" ht="18.75" customHeight="1">
      <c r="A370" s="64"/>
      <c r="B370" s="64"/>
      <c r="D370" s="144"/>
      <c r="J370" s="144"/>
    </row>
    <row r="371" ht="18.75" customHeight="1">
      <c r="A371" s="64"/>
      <c r="B371" s="64"/>
      <c r="D371" s="144"/>
      <c r="J371" s="144"/>
    </row>
    <row r="372" ht="18.75" customHeight="1">
      <c r="A372" s="64"/>
      <c r="B372" s="64"/>
      <c r="D372" s="144"/>
      <c r="J372" s="144"/>
    </row>
    <row r="373" ht="18.75" customHeight="1">
      <c r="A373" s="64"/>
      <c r="B373" s="64"/>
      <c r="D373" s="144"/>
      <c r="J373" s="144"/>
    </row>
    <row r="374" ht="18.75" customHeight="1">
      <c r="A374" s="64"/>
      <c r="B374" s="64"/>
      <c r="D374" s="144"/>
      <c r="J374" s="144"/>
    </row>
    <row r="375" ht="18.75" customHeight="1">
      <c r="A375" s="64"/>
      <c r="B375" s="64"/>
      <c r="D375" s="144"/>
      <c r="J375" s="144"/>
    </row>
    <row r="376" ht="18.75" customHeight="1">
      <c r="A376" s="64"/>
      <c r="B376" s="64"/>
      <c r="D376" s="144"/>
      <c r="J376" s="144"/>
    </row>
    <row r="377" ht="18.75" customHeight="1">
      <c r="A377" s="64"/>
      <c r="B377" s="64"/>
      <c r="D377" s="144"/>
      <c r="J377" s="144"/>
    </row>
    <row r="378" ht="18.75" customHeight="1">
      <c r="A378" s="64"/>
      <c r="B378" s="64"/>
      <c r="D378" s="144"/>
      <c r="J378" s="144"/>
    </row>
    <row r="379" ht="18.75" customHeight="1">
      <c r="A379" s="64"/>
      <c r="B379" s="64"/>
      <c r="D379" s="144"/>
      <c r="J379" s="144"/>
    </row>
    <row r="380" ht="18.75" customHeight="1">
      <c r="A380" s="64"/>
      <c r="B380" s="64"/>
      <c r="D380" s="144"/>
      <c r="J380" s="144"/>
    </row>
    <row r="381" ht="18.75" customHeight="1">
      <c r="A381" s="64"/>
      <c r="B381" s="64"/>
      <c r="D381" s="144"/>
      <c r="J381" s="144"/>
    </row>
    <row r="382" ht="18.75" customHeight="1">
      <c r="A382" s="64"/>
      <c r="B382" s="64"/>
      <c r="D382" s="144"/>
      <c r="J382" s="144"/>
    </row>
    <row r="383" ht="18.75" customHeight="1">
      <c r="A383" s="64"/>
      <c r="B383" s="64"/>
      <c r="D383" s="144"/>
      <c r="J383" s="144"/>
    </row>
    <row r="384" ht="18.75" customHeight="1">
      <c r="A384" s="64"/>
      <c r="B384" s="64"/>
      <c r="D384" s="144"/>
      <c r="J384" s="144"/>
    </row>
    <row r="385" ht="18.75" customHeight="1">
      <c r="A385" s="64"/>
      <c r="B385" s="64"/>
      <c r="D385" s="144"/>
      <c r="J385" s="144"/>
    </row>
    <row r="386" ht="18.75" customHeight="1">
      <c r="A386" s="64"/>
      <c r="B386" s="64"/>
      <c r="D386" s="144"/>
      <c r="J386" s="144"/>
    </row>
    <row r="387" ht="18.75" customHeight="1">
      <c r="A387" s="64"/>
      <c r="B387" s="64"/>
      <c r="D387" s="144"/>
      <c r="J387" s="144"/>
    </row>
    <row r="388" ht="18.75" customHeight="1">
      <c r="A388" s="64"/>
      <c r="B388" s="64"/>
      <c r="D388" s="144"/>
      <c r="J388" s="144"/>
    </row>
    <row r="389" ht="18.75" customHeight="1">
      <c r="A389" s="64"/>
      <c r="B389" s="64"/>
      <c r="D389" s="144"/>
      <c r="J389" s="144"/>
    </row>
    <row r="390" ht="18.75" customHeight="1">
      <c r="A390" s="64"/>
      <c r="B390" s="64"/>
      <c r="D390" s="144"/>
      <c r="J390" s="144"/>
    </row>
    <row r="391" ht="18.75" customHeight="1">
      <c r="A391" s="64"/>
      <c r="B391" s="64"/>
      <c r="D391" s="144"/>
      <c r="J391" s="144"/>
    </row>
    <row r="392" ht="18.75" customHeight="1">
      <c r="A392" s="64"/>
      <c r="B392" s="64"/>
      <c r="D392" s="144"/>
      <c r="J392" s="144"/>
    </row>
    <row r="393" ht="18.75" customHeight="1">
      <c r="A393" s="64"/>
      <c r="B393" s="64"/>
      <c r="D393" s="144"/>
      <c r="J393" s="144"/>
    </row>
    <row r="394" ht="18.75" customHeight="1">
      <c r="A394" s="64"/>
      <c r="B394" s="64"/>
      <c r="D394" s="144"/>
      <c r="J394" s="144"/>
    </row>
    <row r="395" ht="18.75" customHeight="1">
      <c r="A395" s="64"/>
      <c r="B395" s="64"/>
      <c r="D395" s="144"/>
      <c r="J395" s="144"/>
    </row>
    <row r="396" ht="18.75" customHeight="1">
      <c r="A396" s="64"/>
      <c r="B396" s="64"/>
      <c r="D396" s="144"/>
      <c r="J396" s="144"/>
    </row>
    <row r="397" ht="18.75" customHeight="1">
      <c r="A397" s="64"/>
      <c r="B397" s="64"/>
      <c r="D397" s="144"/>
      <c r="J397" s="144"/>
    </row>
    <row r="398" ht="18.75" customHeight="1">
      <c r="A398" s="64"/>
      <c r="B398" s="64"/>
      <c r="D398" s="144"/>
      <c r="J398" s="144"/>
    </row>
    <row r="399" ht="18.75" customHeight="1">
      <c r="A399" s="64"/>
      <c r="B399" s="64"/>
      <c r="D399" s="144"/>
      <c r="J399" s="144"/>
    </row>
    <row r="400" ht="18.75" customHeight="1">
      <c r="A400" s="64"/>
      <c r="B400" s="64"/>
      <c r="D400" s="144"/>
      <c r="J400" s="144"/>
    </row>
    <row r="401" ht="18.75" customHeight="1">
      <c r="A401" s="64"/>
      <c r="B401" s="64"/>
      <c r="D401" s="144"/>
      <c r="J401" s="144"/>
    </row>
    <row r="402" ht="18.75" customHeight="1">
      <c r="A402" s="64"/>
      <c r="B402" s="64"/>
      <c r="D402" s="144"/>
      <c r="J402" s="144"/>
    </row>
    <row r="403" ht="18.75" customHeight="1">
      <c r="A403" s="64"/>
      <c r="B403" s="64"/>
      <c r="D403" s="144"/>
      <c r="J403" s="144"/>
    </row>
    <row r="404" ht="18.75" customHeight="1">
      <c r="A404" s="64"/>
      <c r="B404" s="64"/>
      <c r="D404" s="144"/>
      <c r="J404" s="144"/>
    </row>
    <row r="405" ht="18.75" customHeight="1">
      <c r="A405" s="64"/>
      <c r="B405" s="64"/>
      <c r="D405" s="144"/>
      <c r="J405" s="144"/>
    </row>
    <row r="406" ht="18.75" customHeight="1">
      <c r="A406" s="64"/>
      <c r="B406" s="64"/>
      <c r="D406" s="144"/>
      <c r="J406" s="144"/>
    </row>
    <row r="407" ht="18.75" customHeight="1">
      <c r="A407" s="64"/>
      <c r="B407" s="64"/>
      <c r="D407" s="144"/>
      <c r="J407" s="144"/>
    </row>
    <row r="408" ht="18.75" customHeight="1">
      <c r="A408" s="64"/>
      <c r="B408" s="64"/>
      <c r="D408" s="144"/>
      <c r="J408" s="144"/>
    </row>
    <row r="409" ht="18.75" customHeight="1">
      <c r="A409" s="64"/>
      <c r="B409" s="64"/>
      <c r="D409" s="144"/>
      <c r="J409" s="144"/>
    </row>
    <row r="410" ht="18.75" customHeight="1">
      <c r="A410" s="64"/>
      <c r="B410" s="64"/>
      <c r="D410" s="144"/>
      <c r="J410" s="144"/>
    </row>
    <row r="411" ht="18.75" customHeight="1">
      <c r="A411" s="64"/>
      <c r="B411" s="64"/>
      <c r="D411" s="144"/>
      <c r="J411" s="144"/>
    </row>
    <row r="412" ht="18.75" customHeight="1">
      <c r="A412" s="64"/>
      <c r="B412" s="64"/>
      <c r="D412" s="144"/>
      <c r="J412" s="144"/>
    </row>
    <row r="413" ht="18.75" customHeight="1">
      <c r="A413" s="64"/>
      <c r="B413" s="64"/>
      <c r="D413" s="144"/>
      <c r="J413" s="144"/>
    </row>
    <row r="414" ht="18.75" customHeight="1">
      <c r="A414" s="64"/>
      <c r="B414" s="64"/>
      <c r="D414" s="144"/>
      <c r="J414" s="144"/>
    </row>
    <row r="415" ht="18.75" customHeight="1">
      <c r="A415" s="64"/>
      <c r="B415" s="64"/>
      <c r="D415" s="144"/>
      <c r="J415" s="144"/>
    </row>
    <row r="416" ht="18.75" customHeight="1">
      <c r="A416" s="64"/>
      <c r="B416" s="64"/>
      <c r="D416" s="144"/>
      <c r="J416" s="144"/>
    </row>
    <row r="417" ht="18.75" customHeight="1">
      <c r="A417" s="64"/>
      <c r="B417" s="64"/>
      <c r="D417" s="144"/>
      <c r="J417" s="144"/>
    </row>
    <row r="418" ht="18.75" customHeight="1">
      <c r="A418" s="64"/>
      <c r="B418" s="64"/>
      <c r="D418" s="144"/>
      <c r="J418" s="144"/>
    </row>
    <row r="419" ht="18.75" customHeight="1">
      <c r="A419" s="64"/>
      <c r="B419" s="64"/>
      <c r="D419" s="144"/>
      <c r="J419" s="144"/>
    </row>
    <row r="420" ht="18.75" customHeight="1">
      <c r="A420" s="64"/>
      <c r="B420" s="64"/>
      <c r="D420" s="144"/>
      <c r="J420" s="144"/>
    </row>
    <row r="421" ht="18.75" customHeight="1">
      <c r="A421" s="64"/>
      <c r="B421" s="64"/>
      <c r="D421" s="144"/>
      <c r="J421" s="144"/>
    </row>
    <row r="422" ht="18.75" customHeight="1">
      <c r="A422" s="64"/>
      <c r="B422" s="64"/>
      <c r="D422" s="144"/>
      <c r="J422" s="144"/>
    </row>
    <row r="423" ht="18.75" customHeight="1">
      <c r="A423" s="64"/>
      <c r="B423" s="64"/>
      <c r="D423" s="144"/>
      <c r="J423" s="144"/>
    </row>
    <row r="424" ht="18.75" customHeight="1">
      <c r="A424" s="64"/>
      <c r="B424" s="64"/>
      <c r="D424" s="144"/>
      <c r="J424" s="144"/>
    </row>
    <row r="425" ht="18.75" customHeight="1">
      <c r="A425" s="64"/>
      <c r="B425" s="64"/>
      <c r="D425" s="144"/>
      <c r="J425" s="144"/>
    </row>
    <row r="426" ht="18.75" customHeight="1">
      <c r="A426" s="64"/>
      <c r="B426" s="64"/>
      <c r="D426" s="144"/>
      <c r="J426" s="144"/>
    </row>
    <row r="427" ht="18.75" customHeight="1">
      <c r="A427" s="64"/>
      <c r="B427" s="64"/>
      <c r="D427" s="144"/>
      <c r="J427" s="144"/>
    </row>
    <row r="428" ht="18.75" customHeight="1">
      <c r="A428" s="64"/>
      <c r="B428" s="64"/>
      <c r="D428" s="144"/>
      <c r="J428" s="144"/>
    </row>
    <row r="429" ht="18.75" customHeight="1">
      <c r="A429" s="64"/>
      <c r="B429" s="64"/>
      <c r="D429" s="144"/>
      <c r="J429" s="144"/>
    </row>
    <row r="430" ht="18.75" customHeight="1">
      <c r="A430" s="64"/>
      <c r="B430" s="64"/>
      <c r="D430" s="144"/>
      <c r="J430" s="144"/>
    </row>
    <row r="431" ht="18.75" customHeight="1">
      <c r="A431" s="64"/>
      <c r="B431" s="64"/>
      <c r="D431" s="144"/>
      <c r="J431" s="144"/>
    </row>
    <row r="432" ht="18.75" customHeight="1">
      <c r="A432" s="64"/>
      <c r="B432" s="64"/>
      <c r="D432" s="144"/>
      <c r="J432" s="144"/>
    </row>
    <row r="433" ht="18.75" customHeight="1">
      <c r="A433" s="64"/>
      <c r="B433" s="64"/>
      <c r="D433" s="144"/>
      <c r="J433" s="144"/>
    </row>
    <row r="434" ht="18.75" customHeight="1">
      <c r="A434" s="64"/>
      <c r="B434" s="64"/>
      <c r="D434" s="144"/>
      <c r="J434" s="144"/>
    </row>
    <row r="435" ht="18.75" customHeight="1">
      <c r="A435" s="64"/>
      <c r="B435" s="64"/>
      <c r="D435" s="144"/>
      <c r="J435" s="144"/>
    </row>
    <row r="436" ht="18.75" customHeight="1">
      <c r="A436" s="64"/>
      <c r="B436" s="64"/>
      <c r="D436" s="144"/>
      <c r="J436" s="144"/>
    </row>
    <row r="437" ht="18.75" customHeight="1">
      <c r="A437" s="64"/>
      <c r="B437" s="64"/>
      <c r="D437" s="144"/>
      <c r="J437" s="144"/>
    </row>
    <row r="438" ht="18.75" customHeight="1">
      <c r="A438" s="64"/>
      <c r="B438" s="64"/>
      <c r="D438" s="144"/>
      <c r="J438" s="144"/>
    </row>
    <row r="439" ht="18.75" customHeight="1">
      <c r="A439" s="64"/>
      <c r="B439" s="64"/>
      <c r="D439" s="144"/>
      <c r="J439" s="144"/>
    </row>
    <row r="440" ht="18.75" customHeight="1">
      <c r="A440" s="64"/>
      <c r="B440" s="64"/>
      <c r="D440" s="144"/>
      <c r="J440" s="144"/>
    </row>
    <row r="441" ht="18.75" customHeight="1">
      <c r="A441" s="64"/>
      <c r="B441" s="64"/>
      <c r="D441" s="144"/>
      <c r="J441" s="144"/>
    </row>
    <row r="442" ht="18.75" customHeight="1">
      <c r="A442" s="64"/>
      <c r="B442" s="64"/>
      <c r="D442" s="144"/>
      <c r="J442" s="144"/>
    </row>
    <row r="443" ht="18.75" customHeight="1">
      <c r="A443" s="64"/>
      <c r="B443" s="64"/>
      <c r="D443" s="144"/>
      <c r="J443" s="144"/>
    </row>
    <row r="444" ht="18.75" customHeight="1">
      <c r="A444" s="64"/>
      <c r="B444" s="64"/>
      <c r="D444" s="144"/>
      <c r="J444" s="144"/>
    </row>
    <row r="445" ht="18.75" customHeight="1">
      <c r="A445" s="64"/>
      <c r="B445" s="64"/>
      <c r="D445" s="144"/>
      <c r="J445" s="144"/>
    </row>
    <row r="446" ht="18.75" customHeight="1">
      <c r="A446" s="64"/>
      <c r="B446" s="64"/>
      <c r="D446" s="144"/>
      <c r="J446" s="144"/>
    </row>
    <row r="447" ht="18.75" customHeight="1">
      <c r="A447" s="64"/>
      <c r="B447" s="64"/>
      <c r="D447" s="144"/>
      <c r="J447" s="144"/>
    </row>
    <row r="448" ht="18.75" customHeight="1">
      <c r="A448" s="64"/>
      <c r="B448" s="64"/>
      <c r="D448" s="144"/>
      <c r="J448" s="144"/>
    </row>
    <row r="449" ht="18.75" customHeight="1">
      <c r="A449" s="64"/>
      <c r="B449" s="64"/>
      <c r="D449" s="144"/>
      <c r="J449" s="144"/>
    </row>
    <row r="450" ht="18.75" customHeight="1">
      <c r="A450" s="64"/>
      <c r="B450" s="64"/>
      <c r="D450" s="144"/>
      <c r="J450" s="144"/>
    </row>
    <row r="451" ht="18.75" customHeight="1">
      <c r="A451" s="64"/>
      <c r="B451" s="64"/>
      <c r="D451" s="144"/>
      <c r="J451" s="144"/>
    </row>
    <row r="452" ht="18.75" customHeight="1">
      <c r="A452" s="64"/>
      <c r="B452" s="64"/>
      <c r="D452" s="144"/>
      <c r="J452" s="144"/>
    </row>
    <row r="453" ht="18.75" customHeight="1">
      <c r="A453" s="64"/>
      <c r="B453" s="64"/>
      <c r="D453" s="144"/>
      <c r="J453" s="144"/>
    </row>
    <row r="454" ht="18.75" customHeight="1">
      <c r="A454" s="64"/>
      <c r="B454" s="64"/>
      <c r="D454" s="144"/>
      <c r="J454" s="144"/>
    </row>
    <row r="455" ht="18.75" customHeight="1">
      <c r="A455" s="64"/>
      <c r="B455" s="64"/>
      <c r="D455" s="144"/>
      <c r="J455" s="144"/>
    </row>
    <row r="456" ht="18.75" customHeight="1">
      <c r="A456" s="64"/>
      <c r="B456" s="64"/>
      <c r="D456" s="144"/>
      <c r="J456" s="144"/>
    </row>
    <row r="457" ht="18.75" customHeight="1">
      <c r="A457" s="64"/>
      <c r="B457" s="64"/>
      <c r="D457" s="144"/>
      <c r="J457" s="144"/>
    </row>
    <row r="458" ht="18.75" customHeight="1">
      <c r="A458" s="64"/>
      <c r="B458" s="64"/>
      <c r="D458" s="144"/>
      <c r="J458" s="144"/>
    </row>
    <row r="459" ht="18.75" customHeight="1">
      <c r="A459" s="64"/>
      <c r="B459" s="64"/>
      <c r="D459" s="144"/>
      <c r="J459" s="144"/>
    </row>
    <row r="460" ht="18.75" customHeight="1">
      <c r="A460" s="64"/>
      <c r="B460" s="64"/>
      <c r="D460" s="144"/>
      <c r="J460" s="144"/>
    </row>
    <row r="461" ht="18.75" customHeight="1">
      <c r="A461" s="64"/>
      <c r="B461" s="64"/>
      <c r="D461" s="144"/>
      <c r="J461" s="144"/>
    </row>
    <row r="462" ht="18.75" customHeight="1">
      <c r="A462" s="64"/>
      <c r="B462" s="64"/>
      <c r="D462" s="144"/>
      <c r="J462" s="144"/>
    </row>
    <row r="463" ht="18.75" customHeight="1">
      <c r="A463" s="64"/>
      <c r="B463" s="64"/>
      <c r="D463" s="144"/>
      <c r="J463" s="144"/>
    </row>
    <row r="464" ht="18.75" customHeight="1">
      <c r="A464" s="64"/>
      <c r="B464" s="64"/>
      <c r="D464" s="144"/>
      <c r="J464" s="144"/>
    </row>
    <row r="465" ht="18.75" customHeight="1">
      <c r="A465" s="64"/>
      <c r="B465" s="64"/>
      <c r="D465" s="144"/>
      <c r="J465" s="144"/>
    </row>
    <row r="466" ht="18.75" customHeight="1">
      <c r="A466" s="64"/>
      <c r="B466" s="64"/>
      <c r="D466" s="144"/>
      <c r="J466" s="144"/>
    </row>
    <row r="467" ht="18.75" customHeight="1">
      <c r="A467" s="64"/>
      <c r="B467" s="64"/>
      <c r="D467" s="144"/>
      <c r="J467" s="144"/>
    </row>
    <row r="468" ht="18.75" customHeight="1">
      <c r="A468" s="64"/>
      <c r="B468" s="64"/>
      <c r="D468" s="144"/>
      <c r="J468" s="144"/>
    </row>
    <row r="469" ht="18.75" customHeight="1">
      <c r="A469" s="64"/>
      <c r="B469" s="64"/>
      <c r="D469" s="144"/>
      <c r="J469" s="144"/>
    </row>
    <row r="470" ht="18.75" customHeight="1">
      <c r="A470" s="64"/>
      <c r="B470" s="64"/>
      <c r="D470" s="144"/>
      <c r="J470" s="144"/>
    </row>
    <row r="471" ht="18.75" customHeight="1">
      <c r="A471" s="64"/>
      <c r="B471" s="64"/>
      <c r="D471" s="144"/>
      <c r="J471" s="144"/>
    </row>
    <row r="472" ht="18.75" customHeight="1">
      <c r="A472" s="64"/>
      <c r="B472" s="64"/>
      <c r="D472" s="144"/>
      <c r="J472" s="144"/>
    </row>
    <row r="473" ht="18.75" customHeight="1">
      <c r="A473" s="64"/>
      <c r="B473" s="64"/>
      <c r="D473" s="144"/>
      <c r="J473" s="144"/>
    </row>
    <row r="474" ht="18.75" customHeight="1">
      <c r="A474" s="64"/>
      <c r="B474" s="64"/>
      <c r="D474" s="144"/>
      <c r="J474" s="144"/>
    </row>
    <row r="475" ht="18.75" customHeight="1">
      <c r="A475" s="64"/>
      <c r="B475" s="64"/>
      <c r="D475" s="144"/>
      <c r="J475" s="144"/>
    </row>
    <row r="476" ht="18.75" customHeight="1">
      <c r="A476" s="64"/>
      <c r="B476" s="64"/>
      <c r="D476" s="144"/>
      <c r="J476" s="144"/>
    </row>
    <row r="477" ht="18.75" customHeight="1">
      <c r="A477" s="64"/>
      <c r="B477" s="64"/>
      <c r="D477" s="144"/>
      <c r="J477" s="144"/>
    </row>
    <row r="478" ht="18.75" customHeight="1">
      <c r="A478" s="64"/>
      <c r="B478" s="64"/>
      <c r="D478" s="144"/>
      <c r="J478" s="144"/>
    </row>
    <row r="479" ht="18.75" customHeight="1">
      <c r="A479" s="64"/>
      <c r="B479" s="64"/>
      <c r="D479" s="144"/>
      <c r="J479" s="144"/>
    </row>
    <row r="480" ht="18.75" customHeight="1">
      <c r="A480" s="64"/>
      <c r="B480" s="64"/>
      <c r="D480" s="144"/>
      <c r="J480" s="144"/>
    </row>
    <row r="481" ht="18.75" customHeight="1">
      <c r="A481" s="64"/>
      <c r="B481" s="64"/>
      <c r="D481" s="144"/>
      <c r="J481" s="144"/>
    </row>
    <row r="482" ht="18.75" customHeight="1">
      <c r="A482" s="64"/>
      <c r="B482" s="64"/>
      <c r="D482" s="144"/>
      <c r="J482" s="144"/>
    </row>
    <row r="483" ht="18.75" customHeight="1">
      <c r="A483" s="64"/>
      <c r="B483" s="64"/>
      <c r="D483" s="144"/>
      <c r="J483" s="144"/>
    </row>
    <row r="484" ht="18.75" customHeight="1">
      <c r="A484" s="64"/>
      <c r="B484" s="64"/>
      <c r="D484" s="144"/>
      <c r="J484" s="144"/>
    </row>
    <row r="485" ht="18.75" customHeight="1">
      <c r="A485" s="64"/>
      <c r="B485" s="64"/>
      <c r="D485" s="144"/>
      <c r="J485" s="144"/>
    </row>
    <row r="486" ht="18.75" customHeight="1">
      <c r="A486" s="64"/>
      <c r="B486" s="64"/>
      <c r="D486" s="144"/>
      <c r="J486" s="144"/>
    </row>
    <row r="487" ht="18.75" customHeight="1">
      <c r="A487" s="64"/>
      <c r="B487" s="64"/>
      <c r="D487" s="144"/>
      <c r="J487" s="144"/>
    </row>
    <row r="488" ht="18.75" customHeight="1">
      <c r="A488" s="64"/>
      <c r="B488" s="64"/>
      <c r="D488" s="144"/>
      <c r="J488" s="144"/>
    </row>
    <row r="489" ht="18.75" customHeight="1">
      <c r="A489" s="64"/>
      <c r="B489" s="64"/>
      <c r="D489" s="144"/>
      <c r="J489" s="144"/>
    </row>
    <row r="490" ht="18.75" customHeight="1">
      <c r="A490" s="64"/>
      <c r="B490" s="64"/>
      <c r="D490" s="144"/>
      <c r="J490" s="144"/>
    </row>
    <row r="491" ht="18.75" customHeight="1">
      <c r="A491" s="64"/>
      <c r="B491" s="64"/>
      <c r="D491" s="144"/>
      <c r="J491" s="144"/>
    </row>
    <row r="492" ht="18.75" customHeight="1">
      <c r="A492" s="64"/>
      <c r="B492" s="64"/>
      <c r="D492" s="144"/>
      <c r="J492" s="144"/>
    </row>
    <row r="493" ht="18.75" customHeight="1">
      <c r="A493" s="64"/>
      <c r="B493" s="64"/>
      <c r="D493" s="144"/>
      <c r="J493" s="144"/>
    </row>
    <row r="494" ht="18.75" customHeight="1">
      <c r="A494" s="64"/>
      <c r="B494" s="64"/>
      <c r="D494" s="144"/>
      <c r="J494" s="144"/>
    </row>
    <row r="495" ht="18.75" customHeight="1">
      <c r="A495" s="64"/>
      <c r="B495" s="64"/>
      <c r="D495" s="144"/>
      <c r="J495" s="144"/>
    </row>
    <row r="496" ht="18.75" customHeight="1">
      <c r="A496" s="64"/>
      <c r="B496" s="64"/>
      <c r="D496" s="144"/>
      <c r="J496" s="144"/>
    </row>
    <row r="497" ht="18.75" customHeight="1">
      <c r="A497" s="64"/>
      <c r="B497" s="64"/>
      <c r="D497" s="144"/>
      <c r="J497" s="144"/>
    </row>
    <row r="498" ht="18.75" customHeight="1">
      <c r="A498" s="64"/>
      <c r="B498" s="64"/>
      <c r="D498" s="144"/>
      <c r="J498" s="144"/>
    </row>
    <row r="499" ht="18.75" customHeight="1">
      <c r="A499" s="64"/>
      <c r="B499" s="64"/>
      <c r="D499" s="144"/>
      <c r="J499" s="144"/>
    </row>
    <row r="500" ht="18.75" customHeight="1">
      <c r="A500" s="64"/>
      <c r="B500" s="64"/>
      <c r="D500" s="144"/>
      <c r="J500" s="144"/>
    </row>
    <row r="501" ht="18.75" customHeight="1">
      <c r="A501" s="64"/>
      <c r="B501" s="64"/>
      <c r="D501" s="144"/>
      <c r="J501" s="144"/>
    </row>
    <row r="502" ht="18.75" customHeight="1">
      <c r="A502" s="64"/>
      <c r="B502" s="64"/>
      <c r="D502" s="144"/>
      <c r="J502" s="144"/>
    </row>
    <row r="503" ht="18.75" customHeight="1">
      <c r="A503" s="64"/>
      <c r="B503" s="64"/>
      <c r="D503" s="144"/>
      <c r="J503" s="144"/>
    </row>
    <row r="504" ht="18.75" customHeight="1">
      <c r="A504" s="64"/>
      <c r="B504" s="64"/>
      <c r="D504" s="144"/>
      <c r="J504" s="144"/>
    </row>
    <row r="505" ht="18.75" customHeight="1">
      <c r="A505" s="64"/>
      <c r="B505" s="64"/>
      <c r="D505" s="144"/>
      <c r="J505" s="144"/>
    </row>
    <row r="506" ht="18.75" customHeight="1">
      <c r="A506" s="64"/>
      <c r="B506" s="64"/>
      <c r="D506" s="144"/>
      <c r="J506" s="144"/>
    </row>
    <row r="507" ht="18.75" customHeight="1">
      <c r="A507" s="64"/>
      <c r="B507" s="64"/>
      <c r="D507" s="144"/>
      <c r="J507" s="144"/>
    </row>
    <row r="508" ht="18.75" customHeight="1">
      <c r="A508" s="64"/>
      <c r="B508" s="64"/>
      <c r="D508" s="144"/>
      <c r="J508" s="144"/>
    </row>
    <row r="509" ht="18.75" customHeight="1">
      <c r="A509" s="64"/>
      <c r="B509" s="64"/>
      <c r="D509" s="144"/>
      <c r="J509" s="144"/>
    </row>
    <row r="510" ht="18.75" customHeight="1">
      <c r="A510" s="64"/>
      <c r="B510" s="64"/>
      <c r="D510" s="144"/>
      <c r="J510" s="144"/>
    </row>
    <row r="511" ht="18.75" customHeight="1">
      <c r="A511" s="64"/>
      <c r="B511" s="64"/>
      <c r="D511" s="144"/>
      <c r="J511" s="144"/>
    </row>
    <row r="512" ht="18.75" customHeight="1">
      <c r="A512" s="64"/>
      <c r="B512" s="64"/>
      <c r="D512" s="144"/>
      <c r="J512" s="144"/>
    </row>
    <row r="513" ht="18.75" customHeight="1">
      <c r="A513" s="64"/>
      <c r="B513" s="64"/>
      <c r="D513" s="144"/>
      <c r="J513" s="144"/>
    </row>
    <row r="514" ht="18.75" customHeight="1">
      <c r="A514" s="64"/>
      <c r="B514" s="64"/>
      <c r="D514" s="144"/>
      <c r="J514" s="144"/>
    </row>
    <row r="515" ht="18.75" customHeight="1">
      <c r="A515" s="64"/>
      <c r="B515" s="64"/>
      <c r="D515" s="144"/>
      <c r="J515" s="144"/>
    </row>
    <row r="516" ht="18.75" customHeight="1">
      <c r="A516" s="64"/>
      <c r="B516" s="64"/>
      <c r="D516" s="144"/>
      <c r="J516" s="144"/>
    </row>
    <row r="517" ht="18.75" customHeight="1">
      <c r="A517" s="64"/>
      <c r="B517" s="64"/>
      <c r="D517" s="144"/>
      <c r="J517" s="144"/>
    </row>
    <row r="518" ht="18.75" customHeight="1">
      <c r="A518" s="64"/>
      <c r="B518" s="64"/>
      <c r="D518" s="144"/>
      <c r="J518" s="144"/>
    </row>
    <row r="519" ht="18.75" customHeight="1">
      <c r="A519" s="64"/>
      <c r="B519" s="64"/>
      <c r="D519" s="144"/>
      <c r="J519" s="144"/>
    </row>
    <row r="520" ht="18.75" customHeight="1">
      <c r="A520" s="64"/>
      <c r="B520" s="64"/>
      <c r="D520" s="144"/>
      <c r="J520" s="144"/>
    </row>
    <row r="521" ht="18.75" customHeight="1">
      <c r="A521" s="64"/>
      <c r="B521" s="64"/>
      <c r="D521" s="144"/>
      <c r="J521" s="144"/>
    </row>
    <row r="522" ht="18.75" customHeight="1">
      <c r="A522" s="64"/>
      <c r="B522" s="64"/>
      <c r="D522" s="144"/>
      <c r="J522" s="144"/>
    </row>
    <row r="523" ht="18.75" customHeight="1">
      <c r="A523" s="64"/>
      <c r="B523" s="64"/>
      <c r="D523" s="144"/>
      <c r="J523" s="144"/>
    </row>
    <row r="524" ht="18.75" customHeight="1">
      <c r="A524" s="64"/>
      <c r="B524" s="64"/>
      <c r="D524" s="144"/>
      <c r="J524" s="144"/>
    </row>
    <row r="525" ht="18.75" customHeight="1">
      <c r="A525" s="64"/>
      <c r="B525" s="64"/>
      <c r="D525" s="144"/>
      <c r="J525" s="144"/>
    </row>
    <row r="526" ht="18.75" customHeight="1">
      <c r="A526" s="64"/>
      <c r="B526" s="64"/>
      <c r="D526" s="144"/>
      <c r="J526" s="144"/>
    </row>
    <row r="527" ht="18.75" customHeight="1">
      <c r="A527" s="64"/>
      <c r="B527" s="64"/>
      <c r="D527" s="144"/>
      <c r="J527" s="144"/>
    </row>
    <row r="528" ht="18.75" customHeight="1">
      <c r="A528" s="64"/>
      <c r="B528" s="64"/>
      <c r="D528" s="144"/>
      <c r="J528" s="144"/>
    </row>
    <row r="529" ht="18.75" customHeight="1">
      <c r="A529" s="64"/>
      <c r="B529" s="64"/>
      <c r="D529" s="144"/>
      <c r="J529" s="144"/>
    </row>
    <row r="530" ht="18.75" customHeight="1">
      <c r="A530" s="64"/>
      <c r="B530" s="64"/>
      <c r="D530" s="144"/>
      <c r="J530" s="144"/>
    </row>
    <row r="531" ht="18.75" customHeight="1">
      <c r="A531" s="64"/>
      <c r="B531" s="64"/>
      <c r="D531" s="144"/>
      <c r="J531" s="144"/>
    </row>
    <row r="532" ht="18.75" customHeight="1">
      <c r="A532" s="64"/>
      <c r="B532" s="64"/>
      <c r="D532" s="144"/>
      <c r="J532" s="144"/>
    </row>
    <row r="533" ht="18.75" customHeight="1">
      <c r="A533" s="64"/>
      <c r="B533" s="64"/>
      <c r="D533" s="144"/>
      <c r="J533" s="144"/>
    </row>
    <row r="534" ht="18.75" customHeight="1">
      <c r="A534" s="64"/>
      <c r="B534" s="64"/>
      <c r="D534" s="144"/>
      <c r="J534" s="144"/>
    </row>
    <row r="535" ht="18.75" customHeight="1">
      <c r="A535" s="64"/>
      <c r="B535" s="64"/>
      <c r="D535" s="144"/>
      <c r="J535" s="144"/>
    </row>
    <row r="536" ht="18.75" customHeight="1">
      <c r="A536" s="64"/>
      <c r="B536" s="64"/>
      <c r="D536" s="144"/>
      <c r="J536" s="144"/>
    </row>
    <row r="537" ht="18.75" customHeight="1">
      <c r="A537" s="64"/>
      <c r="B537" s="64"/>
      <c r="D537" s="144"/>
      <c r="J537" s="144"/>
    </row>
    <row r="538" ht="18.75" customHeight="1">
      <c r="A538" s="64"/>
      <c r="B538" s="64"/>
      <c r="D538" s="144"/>
      <c r="J538" s="144"/>
    </row>
    <row r="539" ht="18.75" customHeight="1">
      <c r="A539" s="64"/>
      <c r="B539" s="64"/>
      <c r="D539" s="144"/>
      <c r="J539" s="144"/>
    </row>
    <row r="540" ht="18.75" customHeight="1">
      <c r="A540" s="64"/>
      <c r="B540" s="64"/>
      <c r="D540" s="144"/>
      <c r="J540" s="144"/>
    </row>
    <row r="541" ht="18.75" customHeight="1">
      <c r="A541" s="64"/>
      <c r="B541" s="64"/>
      <c r="D541" s="144"/>
      <c r="J541" s="144"/>
    </row>
    <row r="542" ht="18.75" customHeight="1">
      <c r="A542" s="64"/>
      <c r="B542" s="64"/>
      <c r="D542" s="144"/>
      <c r="J542" s="144"/>
    </row>
    <row r="543" ht="18.75" customHeight="1">
      <c r="A543" s="64"/>
      <c r="B543" s="64"/>
      <c r="D543" s="144"/>
      <c r="J543" s="144"/>
    </row>
    <row r="544" ht="18.75" customHeight="1">
      <c r="A544" s="64"/>
      <c r="B544" s="64"/>
      <c r="D544" s="144"/>
      <c r="J544" s="144"/>
    </row>
    <row r="545" ht="18.75" customHeight="1">
      <c r="A545" s="64"/>
      <c r="B545" s="64"/>
      <c r="D545" s="144"/>
      <c r="J545" s="144"/>
    </row>
    <row r="546" ht="18.75" customHeight="1">
      <c r="A546" s="64"/>
      <c r="B546" s="64"/>
      <c r="D546" s="144"/>
      <c r="J546" s="144"/>
    </row>
    <row r="547" ht="18.75" customHeight="1">
      <c r="A547" s="64"/>
      <c r="B547" s="64"/>
      <c r="D547" s="144"/>
      <c r="J547" s="144"/>
    </row>
    <row r="548" ht="18.75" customHeight="1">
      <c r="A548" s="64"/>
      <c r="B548" s="64"/>
      <c r="D548" s="144"/>
      <c r="J548" s="144"/>
    </row>
    <row r="549" ht="18.75" customHeight="1">
      <c r="A549" s="64"/>
      <c r="B549" s="64"/>
      <c r="D549" s="144"/>
      <c r="J549" s="144"/>
    </row>
    <row r="550" ht="18.75" customHeight="1">
      <c r="A550" s="64"/>
      <c r="B550" s="64"/>
      <c r="D550" s="144"/>
      <c r="J550" s="144"/>
    </row>
    <row r="551" ht="18.75" customHeight="1">
      <c r="A551" s="64"/>
      <c r="B551" s="64"/>
      <c r="D551" s="144"/>
      <c r="J551" s="144"/>
    </row>
    <row r="552" ht="18.75" customHeight="1">
      <c r="A552" s="64"/>
      <c r="B552" s="64"/>
      <c r="D552" s="144"/>
      <c r="J552" s="144"/>
    </row>
    <row r="553" ht="18.75" customHeight="1">
      <c r="A553" s="64"/>
      <c r="B553" s="64"/>
      <c r="D553" s="144"/>
      <c r="J553" s="144"/>
    </row>
    <row r="554" ht="18.75" customHeight="1">
      <c r="A554" s="64"/>
      <c r="B554" s="64"/>
      <c r="D554" s="144"/>
      <c r="J554" s="144"/>
    </row>
    <row r="555" ht="18.75" customHeight="1">
      <c r="A555" s="64"/>
      <c r="B555" s="64"/>
      <c r="D555" s="144"/>
      <c r="J555" s="144"/>
    </row>
    <row r="556" ht="18.75" customHeight="1">
      <c r="A556" s="64"/>
      <c r="B556" s="64"/>
      <c r="D556" s="144"/>
      <c r="J556" s="144"/>
    </row>
    <row r="557" ht="18.75" customHeight="1">
      <c r="A557" s="64"/>
      <c r="B557" s="64"/>
      <c r="D557" s="144"/>
      <c r="J557" s="144"/>
    </row>
    <row r="558" ht="18.75" customHeight="1">
      <c r="A558" s="64"/>
      <c r="B558" s="64"/>
      <c r="D558" s="144"/>
      <c r="J558" s="144"/>
    </row>
    <row r="559" ht="18.75" customHeight="1">
      <c r="A559" s="64"/>
      <c r="B559" s="64"/>
      <c r="D559" s="144"/>
      <c r="J559" s="144"/>
    </row>
    <row r="560" ht="18.75" customHeight="1">
      <c r="A560" s="64"/>
      <c r="B560" s="64"/>
      <c r="D560" s="144"/>
      <c r="J560" s="144"/>
    </row>
    <row r="561" ht="18.75" customHeight="1">
      <c r="A561" s="64"/>
      <c r="B561" s="64"/>
      <c r="D561" s="144"/>
      <c r="J561" s="144"/>
    </row>
    <row r="562" ht="18.75" customHeight="1">
      <c r="A562" s="64"/>
      <c r="B562" s="64"/>
      <c r="D562" s="144"/>
      <c r="J562" s="144"/>
    </row>
    <row r="563" ht="18.75" customHeight="1">
      <c r="A563" s="64"/>
      <c r="B563" s="64"/>
      <c r="D563" s="144"/>
      <c r="J563" s="144"/>
    </row>
    <row r="564" ht="18.75" customHeight="1">
      <c r="A564" s="64"/>
      <c r="B564" s="64"/>
      <c r="D564" s="144"/>
      <c r="J564" s="144"/>
    </row>
    <row r="565" ht="18.75" customHeight="1">
      <c r="A565" s="64"/>
      <c r="B565" s="64"/>
      <c r="D565" s="144"/>
      <c r="J565" s="144"/>
    </row>
    <row r="566" ht="18.75" customHeight="1">
      <c r="A566" s="64"/>
      <c r="B566" s="64"/>
      <c r="D566" s="144"/>
      <c r="J566" s="144"/>
    </row>
    <row r="567" ht="18.75" customHeight="1">
      <c r="A567" s="64"/>
      <c r="B567" s="64"/>
      <c r="D567" s="144"/>
      <c r="J567" s="144"/>
    </row>
    <row r="568" ht="18.75" customHeight="1">
      <c r="A568" s="64"/>
      <c r="B568" s="64"/>
      <c r="D568" s="144"/>
      <c r="J568" s="144"/>
    </row>
    <row r="569" ht="18.75" customHeight="1">
      <c r="A569" s="64"/>
      <c r="B569" s="64"/>
      <c r="D569" s="144"/>
      <c r="J569" s="144"/>
    </row>
    <row r="570" ht="18.75" customHeight="1">
      <c r="A570" s="64"/>
      <c r="B570" s="64"/>
      <c r="D570" s="144"/>
      <c r="J570" s="144"/>
    </row>
    <row r="571" ht="18.75" customHeight="1">
      <c r="A571" s="64"/>
      <c r="B571" s="64"/>
      <c r="D571" s="144"/>
      <c r="J571" s="144"/>
    </row>
    <row r="572" ht="18.75" customHeight="1">
      <c r="A572" s="64"/>
      <c r="B572" s="64"/>
      <c r="D572" s="144"/>
      <c r="J572" s="144"/>
    </row>
    <row r="573" ht="18.75" customHeight="1">
      <c r="A573" s="64"/>
      <c r="B573" s="64"/>
      <c r="D573" s="144"/>
      <c r="J573" s="144"/>
    </row>
    <row r="574" ht="18.75" customHeight="1">
      <c r="A574" s="64"/>
      <c r="B574" s="64"/>
      <c r="D574" s="144"/>
      <c r="J574" s="144"/>
    </row>
    <row r="575" ht="18.75" customHeight="1">
      <c r="A575" s="64"/>
      <c r="B575" s="64"/>
      <c r="D575" s="144"/>
      <c r="J575" s="144"/>
    </row>
    <row r="576" ht="18.75" customHeight="1">
      <c r="A576" s="64"/>
      <c r="B576" s="64"/>
      <c r="D576" s="144"/>
      <c r="J576" s="144"/>
    </row>
    <row r="577" ht="18.75" customHeight="1">
      <c r="A577" s="64"/>
      <c r="B577" s="64"/>
      <c r="D577" s="144"/>
      <c r="J577" s="144"/>
    </row>
    <row r="578" ht="18.75" customHeight="1">
      <c r="A578" s="64"/>
      <c r="B578" s="64"/>
      <c r="D578" s="144"/>
      <c r="J578" s="144"/>
    </row>
    <row r="579" ht="18.75" customHeight="1">
      <c r="A579" s="64"/>
      <c r="B579" s="64"/>
      <c r="D579" s="144"/>
      <c r="J579" s="144"/>
    </row>
    <row r="580" ht="18.75" customHeight="1">
      <c r="A580" s="64"/>
      <c r="B580" s="64"/>
      <c r="D580" s="144"/>
      <c r="J580" s="144"/>
    </row>
    <row r="581" ht="18.75" customHeight="1">
      <c r="A581" s="64"/>
      <c r="B581" s="64"/>
      <c r="D581" s="144"/>
      <c r="J581" s="144"/>
    </row>
    <row r="582" ht="18.75" customHeight="1">
      <c r="A582" s="64"/>
      <c r="B582" s="64"/>
      <c r="D582" s="144"/>
      <c r="J582" s="144"/>
    </row>
    <row r="583" ht="18.75" customHeight="1">
      <c r="A583" s="64"/>
      <c r="B583" s="64"/>
      <c r="D583" s="144"/>
      <c r="J583" s="144"/>
    </row>
    <row r="584" ht="18.75" customHeight="1">
      <c r="A584" s="64"/>
      <c r="B584" s="64"/>
      <c r="D584" s="144"/>
      <c r="J584" s="144"/>
    </row>
    <row r="585" ht="18.75" customHeight="1">
      <c r="A585" s="64"/>
      <c r="B585" s="64"/>
      <c r="D585" s="144"/>
      <c r="J585" s="144"/>
    </row>
    <row r="586" ht="18.75" customHeight="1">
      <c r="A586" s="64"/>
      <c r="B586" s="64"/>
      <c r="D586" s="144"/>
      <c r="J586" s="144"/>
    </row>
    <row r="587" ht="18.75" customHeight="1">
      <c r="A587" s="64"/>
      <c r="B587" s="64"/>
      <c r="D587" s="144"/>
      <c r="J587" s="144"/>
    </row>
    <row r="588" ht="18.75" customHeight="1">
      <c r="A588" s="64"/>
      <c r="B588" s="64"/>
      <c r="D588" s="144"/>
      <c r="J588" s="144"/>
    </row>
    <row r="589" ht="18.75" customHeight="1">
      <c r="A589" s="64"/>
      <c r="B589" s="64"/>
      <c r="D589" s="144"/>
      <c r="J589" s="144"/>
    </row>
    <row r="590" ht="18.75" customHeight="1">
      <c r="A590" s="64"/>
      <c r="B590" s="64"/>
      <c r="D590" s="144"/>
      <c r="J590" s="144"/>
    </row>
    <row r="591" ht="18.75" customHeight="1">
      <c r="A591" s="64"/>
      <c r="B591" s="64"/>
      <c r="D591" s="144"/>
      <c r="J591" s="144"/>
    </row>
    <row r="592" ht="18.75" customHeight="1">
      <c r="A592" s="64"/>
      <c r="B592" s="64"/>
      <c r="D592" s="144"/>
      <c r="J592" s="144"/>
    </row>
    <row r="593" ht="18.75" customHeight="1">
      <c r="A593" s="64"/>
      <c r="B593" s="64"/>
      <c r="D593" s="144"/>
      <c r="J593" s="144"/>
    </row>
    <row r="594" ht="18.75" customHeight="1">
      <c r="A594" s="64"/>
      <c r="B594" s="64"/>
      <c r="D594" s="144"/>
      <c r="J594" s="144"/>
    </row>
    <row r="595" ht="18.75" customHeight="1">
      <c r="A595" s="64"/>
      <c r="B595" s="64"/>
      <c r="D595" s="144"/>
      <c r="J595" s="144"/>
    </row>
    <row r="596" ht="18.75" customHeight="1">
      <c r="A596" s="64"/>
      <c r="B596" s="64"/>
      <c r="D596" s="144"/>
      <c r="J596" s="144"/>
    </row>
    <row r="597" ht="18.75" customHeight="1">
      <c r="A597" s="64"/>
      <c r="B597" s="64"/>
      <c r="D597" s="144"/>
      <c r="J597" s="144"/>
    </row>
    <row r="598" ht="18.75" customHeight="1">
      <c r="A598" s="64"/>
      <c r="B598" s="64"/>
      <c r="D598" s="144"/>
      <c r="J598" s="144"/>
    </row>
    <row r="599" ht="18.75" customHeight="1">
      <c r="A599" s="64"/>
      <c r="B599" s="64"/>
      <c r="D599" s="144"/>
      <c r="J599" s="144"/>
    </row>
    <row r="600" ht="18.75" customHeight="1">
      <c r="A600" s="64"/>
      <c r="B600" s="64"/>
      <c r="D600" s="144"/>
      <c r="J600" s="144"/>
    </row>
    <row r="601" ht="18.75" customHeight="1">
      <c r="A601" s="64"/>
      <c r="B601" s="64"/>
      <c r="D601" s="144"/>
      <c r="J601" s="144"/>
    </row>
    <row r="602" ht="18.75" customHeight="1">
      <c r="A602" s="64"/>
      <c r="B602" s="64"/>
      <c r="D602" s="144"/>
      <c r="J602" s="144"/>
    </row>
    <row r="603" ht="18.75" customHeight="1">
      <c r="A603" s="64"/>
      <c r="B603" s="64"/>
      <c r="D603" s="144"/>
      <c r="J603" s="144"/>
    </row>
    <row r="604" ht="18.75" customHeight="1">
      <c r="A604" s="64"/>
      <c r="B604" s="64"/>
      <c r="D604" s="144"/>
      <c r="J604" s="144"/>
    </row>
    <row r="605" ht="18.75" customHeight="1">
      <c r="A605" s="64"/>
      <c r="B605" s="64"/>
      <c r="D605" s="144"/>
      <c r="J605" s="144"/>
    </row>
    <row r="606" ht="18.75" customHeight="1">
      <c r="A606" s="64"/>
      <c r="B606" s="64"/>
      <c r="D606" s="144"/>
      <c r="J606" s="144"/>
    </row>
    <row r="607" ht="18.75" customHeight="1">
      <c r="A607" s="64"/>
      <c r="B607" s="64"/>
      <c r="D607" s="144"/>
      <c r="J607" s="144"/>
    </row>
    <row r="608" ht="18.75" customHeight="1">
      <c r="A608" s="64"/>
      <c r="B608" s="64"/>
      <c r="D608" s="144"/>
      <c r="J608" s="144"/>
    </row>
    <row r="609" ht="18.75" customHeight="1">
      <c r="A609" s="64"/>
      <c r="B609" s="64"/>
      <c r="D609" s="144"/>
      <c r="J609" s="144"/>
    </row>
    <row r="610" ht="18.75" customHeight="1">
      <c r="A610" s="64"/>
      <c r="B610" s="64"/>
      <c r="D610" s="144"/>
      <c r="J610" s="144"/>
    </row>
    <row r="611" ht="18.75" customHeight="1">
      <c r="A611" s="64"/>
      <c r="B611" s="64"/>
      <c r="D611" s="144"/>
      <c r="J611" s="144"/>
    </row>
    <row r="612" ht="18.75" customHeight="1">
      <c r="A612" s="64"/>
      <c r="B612" s="64"/>
      <c r="D612" s="144"/>
      <c r="J612" s="144"/>
    </row>
    <row r="613" ht="18.75" customHeight="1">
      <c r="A613" s="64"/>
      <c r="B613" s="64"/>
      <c r="D613" s="144"/>
      <c r="J613" s="144"/>
    </row>
    <row r="614" ht="18.75" customHeight="1">
      <c r="A614" s="64"/>
      <c r="B614" s="64"/>
      <c r="D614" s="144"/>
      <c r="J614" s="144"/>
    </row>
    <row r="615" ht="18.75" customHeight="1">
      <c r="A615" s="64"/>
      <c r="B615" s="64"/>
      <c r="D615" s="144"/>
      <c r="J615" s="144"/>
    </row>
    <row r="616" ht="18.75" customHeight="1">
      <c r="A616" s="64"/>
      <c r="B616" s="64"/>
      <c r="D616" s="144"/>
      <c r="J616" s="144"/>
    </row>
    <row r="617" ht="18.75" customHeight="1">
      <c r="A617" s="64"/>
      <c r="B617" s="64"/>
      <c r="D617" s="144"/>
      <c r="J617" s="144"/>
    </row>
    <row r="618" ht="18.75" customHeight="1">
      <c r="A618" s="64"/>
      <c r="B618" s="64"/>
      <c r="D618" s="144"/>
      <c r="J618" s="144"/>
    </row>
    <row r="619" ht="18.75" customHeight="1">
      <c r="A619" s="64"/>
      <c r="B619" s="64"/>
      <c r="D619" s="144"/>
      <c r="J619" s="144"/>
    </row>
    <row r="620" ht="18.75" customHeight="1">
      <c r="A620" s="64"/>
      <c r="B620" s="64"/>
      <c r="D620" s="144"/>
      <c r="J620" s="144"/>
    </row>
    <row r="621" ht="18.75" customHeight="1">
      <c r="A621" s="64"/>
      <c r="B621" s="64"/>
      <c r="D621" s="144"/>
      <c r="J621" s="144"/>
    </row>
    <row r="622" ht="18.75" customHeight="1">
      <c r="A622" s="64"/>
      <c r="B622" s="64"/>
      <c r="D622" s="144"/>
      <c r="J622" s="144"/>
    </row>
    <row r="623" ht="18.75" customHeight="1">
      <c r="A623" s="64"/>
      <c r="B623" s="64"/>
      <c r="D623" s="144"/>
      <c r="J623" s="144"/>
    </row>
    <row r="624" ht="18.75" customHeight="1">
      <c r="A624" s="64"/>
      <c r="B624" s="64"/>
      <c r="D624" s="144"/>
      <c r="J624" s="144"/>
    </row>
    <row r="625" ht="18.75" customHeight="1">
      <c r="A625" s="64"/>
      <c r="B625" s="64"/>
      <c r="D625" s="144"/>
      <c r="J625" s="144"/>
    </row>
    <row r="626" ht="18.75" customHeight="1">
      <c r="A626" s="64"/>
      <c r="B626" s="64"/>
      <c r="D626" s="144"/>
      <c r="J626" s="144"/>
    </row>
    <row r="627" ht="18.75" customHeight="1">
      <c r="A627" s="64"/>
      <c r="B627" s="64"/>
      <c r="D627" s="144"/>
      <c r="J627" s="144"/>
    </row>
    <row r="628" ht="18.75" customHeight="1">
      <c r="A628" s="64"/>
      <c r="B628" s="64"/>
      <c r="D628" s="144"/>
      <c r="J628" s="144"/>
    </row>
    <row r="629" ht="18.75" customHeight="1">
      <c r="A629" s="64"/>
      <c r="B629" s="64"/>
      <c r="D629" s="144"/>
      <c r="J629" s="144"/>
    </row>
    <row r="630" ht="18.75" customHeight="1">
      <c r="A630" s="64"/>
      <c r="B630" s="64"/>
      <c r="D630" s="144"/>
      <c r="J630" s="144"/>
    </row>
    <row r="631" ht="18.75" customHeight="1">
      <c r="A631" s="64"/>
      <c r="B631" s="64"/>
      <c r="D631" s="144"/>
      <c r="J631" s="144"/>
    </row>
    <row r="632" ht="18.75" customHeight="1">
      <c r="A632" s="64"/>
      <c r="B632" s="64"/>
      <c r="D632" s="144"/>
      <c r="J632" s="144"/>
    </row>
    <row r="633" ht="18.75" customHeight="1">
      <c r="A633" s="64"/>
      <c r="B633" s="64"/>
      <c r="D633" s="144"/>
      <c r="J633" s="144"/>
    </row>
    <row r="634" ht="18.75" customHeight="1">
      <c r="A634" s="64"/>
      <c r="B634" s="64"/>
      <c r="D634" s="144"/>
      <c r="J634" s="144"/>
    </row>
    <row r="635" ht="18.75" customHeight="1">
      <c r="A635" s="64"/>
      <c r="B635" s="64"/>
      <c r="D635" s="144"/>
      <c r="J635" s="144"/>
    </row>
    <row r="636" ht="18.75" customHeight="1">
      <c r="A636" s="64"/>
      <c r="B636" s="64"/>
      <c r="D636" s="144"/>
      <c r="J636" s="144"/>
    </row>
    <row r="637" ht="18.75" customHeight="1">
      <c r="A637" s="64"/>
      <c r="B637" s="64"/>
      <c r="D637" s="144"/>
      <c r="J637" s="144"/>
    </row>
    <row r="638" ht="18.75" customHeight="1">
      <c r="A638" s="64"/>
      <c r="B638" s="64"/>
      <c r="D638" s="144"/>
      <c r="J638" s="144"/>
    </row>
    <row r="639" ht="18.75" customHeight="1">
      <c r="A639" s="64"/>
      <c r="B639" s="64"/>
      <c r="D639" s="144"/>
      <c r="J639" s="144"/>
    </row>
    <row r="640" ht="18.75" customHeight="1">
      <c r="A640" s="64"/>
      <c r="B640" s="64"/>
      <c r="D640" s="144"/>
      <c r="J640" s="144"/>
    </row>
    <row r="641" ht="18.75" customHeight="1">
      <c r="A641" s="64"/>
      <c r="B641" s="64"/>
      <c r="D641" s="144"/>
      <c r="J641" s="144"/>
    </row>
    <row r="642" ht="18.75" customHeight="1">
      <c r="A642" s="64"/>
      <c r="B642" s="64"/>
      <c r="D642" s="144"/>
      <c r="J642" s="144"/>
    </row>
    <row r="643" ht="18.75" customHeight="1">
      <c r="A643" s="64"/>
      <c r="B643" s="64"/>
      <c r="D643" s="144"/>
      <c r="J643" s="144"/>
    </row>
    <row r="644" ht="18.75" customHeight="1">
      <c r="A644" s="64"/>
      <c r="B644" s="64"/>
      <c r="D644" s="144"/>
      <c r="J644" s="144"/>
    </row>
    <row r="645" ht="18.75" customHeight="1">
      <c r="A645" s="64"/>
      <c r="B645" s="64"/>
      <c r="D645" s="144"/>
      <c r="J645" s="144"/>
    </row>
    <row r="646" ht="18.75" customHeight="1">
      <c r="A646" s="64"/>
      <c r="B646" s="64"/>
      <c r="D646" s="144"/>
      <c r="J646" s="144"/>
    </row>
    <row r="647" ht="18.75" customHeight="1">
      <c r="A647" s="64"/>
      <c r="B647" s="64"/>
      <c r="D647" s="144"/>
      <c r="J647" s="144"/>
    </row>
    <row r="648" ht="18.75" customHeight="1">
      <c r="A648" s="64"/>
      <c r="B648" s="64"/>
      <c r="D648" s="144"/>
      <c r="J648" s="144"/>
    </row>
    <row r="649" ht="18.75" customHeight="1">
      <c r="A649" s="64"/>
      <c r="B649" s="64"/>
      <c r="D649" s="144"/>
      <c r="J649" s="144"/>
    </row>
    <row r="650" ht="18.75" customHeight="1">
      <c r="A650" s="64"/>
      <c r="B650" s="64"/>
      <c r="D650" s="144"/>
      <c r="J650" s="144"/>
    </row>
    <row r="651" ht="18.75" customHeight="1">
      <c r="A651" s="64"/>
      <c r="B651" s="64"/>
      <c r="D651" s="144"/>
      <c r="J651" s="144"/>
    </row>
    <row r="652" ht="18.75" customHeight="1">
      <c r="A652" s="64"/>
      <c r="B652" s="64"/>
      <c r="D652" s="144"/>
      <c r="J652" s="144"/>
    </row>
    <row r="653" ht="18.75" customHeight="1">
      <c r="A653" s="64"/>
      <c r="B653" s="64"/>
      <c r="D653" s="144"/>
      <c r="J653" s="144"/>
    </row>
    <row r="654" ht="18.75" customHeight="1">
      <c r="A654" s="64"/>
      <c r="B654" s="64"/>
      <c r="D654" s="144"/>
      <c r="J654" s="144"/>
    </row>
    <row r="655" ht="18.75" customHeight="1">
      <c r="A655" s="64"/>
      <c r="B655" s="64"/>
      <c r="D655" s="144"/>
      <c r="J655" s="144"/>
    </row>
    <row r="656" ht="18.75" customHeight="1">
      <c r="A656" s="64"/>
      <c r="B656" s="64"/>
      <c r="D656" s="144"/>
      <c r="J656" s="144"/>
    </row>
    <row r="657" ht="18.75" customHeight="1">
      <c r="A657" s="64"/>
      <c r="B657" s="64"/>
      <c r="D657" s="144"/>
      <c r="J657" s="144"/>
    </row>
    <row r="658" ht="18.75" customHeight="1">
      <c r="A658" s="64"/>
      <c r="B658" s="64"/>
      <c r="D658" s="144"/>
      <c r="J658" s="144"/>
    </row>
    <row r="659" ht="18.75" customHeight="1">
      <c r="A659" s="64"/>
      <c r="B659" s="64"/>
      <c r="D659" s="144"/>
      <c r="J659" s="144"/>
    </row>
    <row r="660" ht="18.75" customHeight="1">
      <c r="A660" s="64"/>
      <c r="B660" s="64"/>
      <c r="D660" s="144"/>
      <c r="J660" s="144"/>
    </row>
    <row r="661" ht="18.75" customHeight="1">
      <c r="A661" s="64"/>
      <c r="B661" s="64"/>
      <c r="D661" s="144"/>
      <c r="J661" s="144"/>
    </row>
    <row r="662" ht="18.75" customHeight="1">
      <c r="A662" s="64"/>
      <c r="B662" s="64"/>
      <c r="D662" s="144"/>
      <c r="J662" s="144"/>
    </row>
    <row r="663" ht="18.75" customHeight="1">
      <c r="A663" s="64"/>
      <c r="B663" s="64"/>
      <c r="D663" s="144"/>
      <c r="J663" s="144"/>
    </row>
    <row r="664" ht="18.75" customHeight="1">
      <c r="A664" s="64"/>
      <c r="B664" s="64"/>
      <c r="D664" s="144"/>
      <c r="J664" s="144"/>
    </row>
    <row r="665" ht="18.75" customHeight="1">
      <c r="A665" s="64"/>
      <c r="B665" s="64"/>
      <c r="D665" s="144"/>
      <c r="J665" s="144"/>
    </row>
    <row r="666" ht="18.75" customHeight="1">
      <c r="A666" s="64"/>
      <c r="B666" s="64"/>
      <c r="D666" s="144"/>
      <c r="J666" s="144"/>
    </row>
    <row r="667" ht="18.75" customHeight="1">
      <c r="A667" s="64"/>
      <c r="B667" s="64"/>
      <c r="D667" s="144"/>
      <c r="J667" s="144"/>
    </row>
    <row r="668" ht="18.75" customHeight="1">
      <c r="A668" s="64"/>
      <c r="B668" s="64"/>
      <c r="D668" s="144"/>
      <c r="J668" s="144"/>
    </row>
    <row r="669" ht="18.75" customHeight="1">
      <c r="A669" s="64"/>
      <c r="B669" s="64"/>
      <c r="D669" s="144"/>
      <c r="J669" s="144"/>
    </row>
    <row r="670" ht="18.75" customHeight="1">
      <c r="A670" s="64"/>
      <c r="B670" s="64"/>
      <c r="D670" s="144"/>
      <c r="J670" s="144"/>
    </row>
    <row r="671" ht="18.75" customHeight="1">
      <c r="A671" s="64"/>
      <c r="B671" s="64"/>
      <c r="D671" s="144"/>
      <c r="J671" s="144"/>
    </row>
    <row r="672" ht="18.75" customHeight="1">
      <c r="A672" s="64"/>
      <c r="B672" s="64"/>
      <c r="D672" s="144"/>
      <c r="J672" s="144"/>
    </row>
    <row r="673" ht="18.75" customHeight="1">
      <c r="A673" s="64"/>
      <c r="B673" s="64"/>
      <c r="D673" s="144"/>
      <c r="J673" s="144"/>
    </row>
    <row r="674" ht="18.75" customHeight="1">
      <c r="A674" s="64"/>
      <c r="B674" s="64"/>
      <c r="D674" s="144"/>
      <c r="J674" s="144"/>
    </row>
    <row r="675" ht="18.75" customHeight="1">
      <c r="A675" s="64"/>
      <c r="B675" s="64"/>
      <c r="D675" s="144"/>
      <c r="J675" s="144"/>
    </row>
    <row r="676" ht="18.75" customHeight="1">
      <c r="A676" s="64"/>
      <c r="B676" s="64"/>
      <c r="D676" s="144"/>
      <c r="J676" s="144"/>
    </row>
    <row r="677" ht="18.75" customHeight="1">
      <c r="A677" s="64"/>
      <c r="B677" s="64"/>
      <c r="D677" s="144"/>
      <c r="J677" s="144"/>
    </row>
    <row r="678" ht="18.75" customHeight="1">
      <c r="A678" s="64"/>
      <c r="B678" s="64"/>
      <c r="D678" s="144"/>
      <c r="J678" s="144"/>
    </row>
    <row r="679" ht="18.75" customHeight="1">
      <c r="A679" s="64"/>
      <c r="B679" s="64"/>
      <c r="D679" s="144"/>
      <c r="J679" s="144"/>
    </row>
    <row r="680" ht="18.75" customHeight="1">
      <c r="A680" s="64"/>
      <c r="B680" s="64"/>
      <c r="D680" s="144"/>
      <c r="J680" s="144"/>
    </row>
    <row r="681" ht="18.75" customHeight="1">
      <c r="A681" s="64"/>
      <c r="B681" s="64"/>
      <c r="D681" s="144"/>
      <c r="J681" s="144"/>
    </row>
    <row r="682" ht="18.75" customHeight="1">
      <c r="A682" s="64"/>
      <c r="B682" s="64"/>
      <c r="D682" s="144"/>
      <c r="J682" s="144"/>
    </row>
    <row r="683" ht="18.75" customHeight="1">
      <c r="A683" s="64"/>
      <c r="B683" s="64"/>
      <c r="D683" s="144"/>
      <c r="J683" s="144"/>
    </row>
    <row r="684" ht="18.75" customHeight="1">
      <c r="A684" s="64"/>
      <c r="B684" s="64"/>
      <c r="D684" s="144"/>
      <c r="J684" s="144"/>
    </row>
    <row r="685" ht="18.75" customHeight="1">
      <c r="A685" s="64"/>
      <c r="B685" s="64"/>
      <c r="D685" s="144"/>
      <c r="J685" s="144"/>
    </row>
    <row r="686" ht="18.75" customHeight="1">
      <c r="A686" s="64"/>
      <c r="B686" s="64"/>
      <c r="D686" s="144"/>
      <c r="J686" s="144"/>
    </row>
    <row r="687" ht="18.75" customHeight="1">
      <c r="A687" s="64"/>
      <c r="B687" s="64"/>
      <c r="D687" s="144"/>
      <c r="J687" s="144"/>
    </row>
    <row r="688" ht="18.75" customHeight="1">
      <c r="A688" s="64"/>
      <c r="B688" s="64"/>
      <c r="D688" s="144"/>
      <c r="J688" s="144"/>
    </row>
    <row r="689" ht="18.75" customHeight="1">
      <c r="A689" s="64"/>
      <c r="B689" s="64"/>
      <c r="D689" s="144"/>
      <c r="J689" s="144"/>
    </row>
    <row r="690" ht="18.75" customHeight="1">
      <c r="A690" s="64"/>
      <c r="B690" s="64"/>
      <c r="D690" s="144"/>
      <c r="J690" s="144"/>
    </row>
    <row r="691" ht="18.75" customHeight="1">
      <c r="A691" s="64"/>
      <c r="B691" s="64"/>
      <c r="D691" s="144"/>
      <c r="J691" s="144"/>
    </row>
    <row r="692" ht="18.75" customHeight="1">
      <c r="A692" s="64"/>
      <c r="B692" s="64"/>
      <c r="D692" s="144"/>
      <c r="J692" s="144"/>
    </row>
    <row r="693" ht="18.75" customHeight="1">
      <c r="A693" s="64"/>
      <c r="B693" s="64"/>
      <c r="D693" s="144"/>
      <c r="J693" s="144"/>
    </row>
    <row r="694" ht="18.75" customHeight="1">
      <c r="A694" s="64"/>
      <c r="B694" s="64"/>
      <c r="D694" s="144"/>
      <c r="J694" s="144"/>
    </row>
    <row r="695" ht="18.75" customHeight="1">
      <c r="A695" s="64"/>
      <c r="B695" s="64"/>
      <c r="D695" s="144"/>
      <c r="J695" s="144"/>
    </row>
    <row r="696" ht="18.75" customHeight="1">
      <c r="A696" s="64"/>
      <c r="B696" s="64"/>
      <c r="D696" s="144"/>
      <c r="J696" s="144"/>
    </row>
    <row r="697" ht="18.75" customHeight="1">
      <c r="A697" s="64"/>
      <c r="B697" s="64"/>
      <c r="D697" s="144"/>
      <c r="J697" s="144"/>
    </row>
    <row r="698" ht="18.75" customHeight="1">
      <c r="A698" s="64"/>
      <c r="B698" s="64"/>
      <c r="D698" s="144"/>
      <c r="J698" s="144"/>
    </row>
    <row r="699" ht="18.75" customHeight="1">
      <c r="A699" s="64"/>
      <c r="B699" s="64"/>
      <c r="D699" s="144"/>
      <c r="J699" s="144"/>
    </row>
    <row r="700" ht="18.75" customHeight="1">
      <c r="A700" s="64"/>
      <c r="B700" s="64"/>
      <c r="D700" s="144"/>
      <c r="J700" s="144"/>
    </row>
    <row r="701" ht="18.75" customHeight="1">
      <c r="A701" s="64"/>
      <c r="B701" s="64"/>
      <c r="D701" s="144"/>
      <c r="J701" s="144"/>
    </row>
    <row r="702" ht="18.75" customHeight="1">
      <c r="A702" s="64"/>
      <c r="B702" s="64"/>
      <c r="D702" s="144"/>
      <c r="J702" s="144"/>
    </row>
    <row r="703" ht="18.75" customHeight="1">
      <c r="A703" s="64"/>
      <c r="B703" s="64"/>
      <c r="D703" s="144"/>
      <c r="J703" s="144"/>
    </row>
    <row r="704" ht="18.75" customHeight="1">
      <c r="A704" s="64"/>
      <c r="B704" s="64"/>
      <c r="D704" s="144"/>
      <c r="J704" s="144"/>
    </row>
    <row r="705" ht="18.75" customHeight="1">
      <c r="A705" s="64"/>
      <c r="B705" s="64"/>
      <c r="D705" s="144"/>
      <c r="J705" s="144"/>
    </row>
    <row r="706" ht="18.75" customHeight="1">
      <c r="A706" s="64"/>
      <c r="B706" s="64"/>
      <c r="D706" s="144"/>
      <c r="J706" s="144"/>
    </row>
    <row r="707" ht="18.75" customHeight="1">
      <c r="A707" s="64"/>
      <c r="B707" s="64"/>
      <c r="D707" s="144"/>
      <c r="J707" s="144"/>
    </row>
    <row r="708" ht="18.75" customHeight="1">
      <c r="A708" s="64"/>
      <c r="B708" s="64"/>
      <c r="D708" s="144"/>
      <c r="J708" s="144"/>
    </row>
    <row r="709" ht="18.75" customHeight="1">
      <c r="A709" s="64"/>
      <c r="B709" s="64"/>
      <c r="D709" s="144"/>
      <c r="J709" s="144"/>
    </row>
    <row r="710" ht="18.75" customHeight="1">
      <c r="A710" s="64"/>
      <c r="B710" s="64"/>
      <c r="D710" s="144"/>
      <c r="J710" s="144"/>
    </row>
    <row r="711" ht="18.75" customHeight="1">
      <c r="A711" s="64"/>
      <c r="B711" s="64"/>
      <c r="D711" s="144"/>
      <c r="J711" s="144"/>
    </row>
    <row r="712" ht="18.75" customHeight="1">
      <c r="A712" s="64"/>
      <c r="B712" s="64"/>
      <c r="D712" s="144"/>
      <c r="J712" s="144"/>
    </row>
    <row r="713" ht="18.75" customHeight="1">
      <c r="A713" s="64"/>
      <c r="B713" s="64"/>
      <c r="D713" s="144"/>
      <c r="J713" s="144"/>
    </row>
    <row r="714" ht="18.75" customHeight="1">
      <c r="A714" s="64"/>
      <c r="B714" s="64"/>
      <c r="D714" s="144"/>
      <c r="J714" s="144"/>
    </row>
    <row r="715" ht="18.75" customHeight="1">
      <c r="A715" s="64"/>
      <c r="B715" s="64"/>
      <c r="D715" s="144"/>
      <c r="J715" s="144"/>
    </row>
    <row r="716" ht="18.75" customHeight="1">
      <c r="A716" s="64"/>
      <c r="B716" s="64"/>
      <c r="D716" s="144"/>
      <c r="J716" s="144"/>
    </row>
    <row r="717" ht="18.75" customHeight="1">
      <c r="A717" s="64"/>
      <c r="B717" s="64"/>
      <c r="D717" s="144"/>
      <c r="J717" s="144"/>
    </row>
    <row r="718" ht="18.75" customHeight="1">
      <c r="A718" s="64"/>
      <c r="B718" s="64"/>
      <c r="D718" s="144"/>
      <c r="J718" s="144"/>
    </row>
    <row r="719" ht="18.75" customHeight="1">
      <c r="A719" s="64"/>
      <c r="B719" s="64"/>
      <c r="D719" s="144"/>
      <c r="J719" s="144"/>
    </row>
    <row r="720" ht="18.75" customHeight="1">
      <c r="A720" s="64"/>
      <c r="B720" s="64"/>
      <c r="D720" s="144"/>
      <c r="J720" s="144"/>
    </row>
    <row r="721" ht="18.75" customHeight="1">
      <c r="A721" s="64"/>
      <c r="B721" s="64"/>
      <c r="D721" s="144"/>
      <c r="J721" s="144"/>
    </row>
    <row r="722" ht="18.75" customHeight="1">
      <c r="A722" s="64"/>
      <c r="B722" s="64"/>
      <c r="D722" s="144"/>
      <c r="J722" s="144"/>
    </row>
    <row r="723" ht="18.75" customHeight="1">
      <c r="A723" s="64"/>
      <c r="B723" s="64"/>
      <c r="D723" s="144"/>
      <c r="J723" s="144"/>
    </row>
    <row r="724" ht="18.75" customHeight="1">
      <c r="A724" s="64"/>
      <c r="B724" s="64"/>
      <c r="D724" s="144"/>
      <c r="J724" s="144"/>
    </row>
    <row r="725" ht="18.75" customHeight="1">
      <c r="A725" s="64"/>
      <c r="B725" s="64"/>
      <c r="D725" s="144"/>
      <c r="J725" s="144"/>
    </row>
    <row r="726" ht="18.75" customHeight="1">
      <c r="A726" s="64"/>
      <c r="B726" s="64"/>
      <c r="D726" s="144"/>
      <c r="J726" s="144"/>
    </row>
    <row r="727" ht="18.75" customHeight="1">
      <c r="A727" s="64"/>
      <c r="B727" s="64"/>
      <c r="D727" s="144"/>
      <c r="J727" s="144"/>
    </row>
    <row r="728" ht="18.75" customHeight="1">
      <c r="A728" s="64"/>
      <c r="B728" s="64"/>
      <c r="D728" s="144"/>
      <c r="J728" s="144"/>
    </row>
    <row r="729" ht="18.75" customHeight="1">
      <c r="A729" s="64"/>
      <c r="B729" s="64"/>
      <c r="D729" s="144"/>
      <c r="J729" s="144"/>
    </row>
    <row r="730" ht="18.75" customHeight="1">
      <c r="A730" s="64"/>
      <c r="B730" s="64"/>
      <c r="D730" s="144"/>
      <c r="J730" s="144"/>
    </row>
    <row r="731" ht="18.75" customHeight="1">
      <c r="A731" s="64"/>
      <c r="B731" s="64"/>
      <c r="D731" s="144"/>
      <c r="J731" s="144"/>
    </row>
    <row r="732" ht="18.75" customHeight="1">
      <c r="A732" s="64"/>
      <c r="B732" s="64"/>
      <c r="D732" s="144"/>
      <c r="J732" s="144"/>
    </row>
    <row r="733" ht="18.75" customHeight="1">
      <c r="A733" s="64"/>
      <c r="B733" s="64"/>
      <c r="D733" s="144"/>
      <c r="J733" s="144"/>
    </row>
    <row r="734" ht="18.75" customHeight="1">
      <c r="A734" s="64"/>
      <c r="B734" s="64"/>
      <c r="D734" s="144"/>
      <c r="J734" s="144"/>
    </row>
    <row r="735" ht="18.75" customHeight="1">
      <c r="A735" s="64"/>
      <c r="B735" s="64"/>
      <c r="D735" s="144"/>
      <c r="J735" s="144"/>
    </row>
    <row r="736" ht="18.75" customHeight="1">
      <c r="A736" s="64"/>
      <c r="B736" s="64"/>
      <c r="D736" s="144"/>
      <c r="J736" s="144"/>
    </row>
    <row r="737" ht="18.75" customHeight="1">
      <c r="A737" s="64"/>
      <c r="B737" s="64"/>
      <c r="D737" s="144"/>
      <c r="J737" s="144"/>
    </row>
    <row r="738" ht="18.75" customHeight="1">
      <c r="A738" s="64"/>
      <c r="B738" s="64"/>
      <c r="D738" s="144"/>
      <c r="J738" s="144"/>
    </row>
    <row r="739" ht="18.75" customHeight="1">
      <c r="A739" s="64"/>
      <c r="B739" s="64"/>
      <c r="D739" s="144"/>
      <c r="J739" s="144"/>
    </row>
    <row r="740" ht="18.75" customHeight="1">
      <c r="A740" s="64"/>
      <c r="B740" s="64"/>
      <c r="D740" s="144"/>
      <c r="J740" s="144"/>
    </row>
    <row r="741" ht="18.75" customHeight="1">
      <c r="A741" s="64"/>
      <c r="B741" s="64"/>
      <c r="D741" s="144"/>
      <c r="J741" s="144"/>
    </row>
    <row r="742" ht="18.75" customHeight="1">
      <c r="A742" s="64"/>
      <c r="B742" s="64"/>
      <c r="D742" s="144"/>
      <c r="J742" s="144"/>
    </row>
    <row r="743" ht="18.75" customHeight="1">
      <c r="A743" s="64"/>
      <c r="B743" s="64"/>
      <c r="D743" s="144"/>
      <c r="J743" s="144"/>
    </row>
    <row r="744" ht="18.75" customHeight="1">
      <c r="A744" s="64"/>
      <c r="B744" s="64"/>
      <c r="D744" s="144"/>
      <c r="J744" s="144"/>
    </row>
    <row r="745" ht="18.75" customHeight="1">
      <c r="A745" s="64"/>
      <c r="B745" s="64"/>
      <c r="D745" s="144"/>
      <c r="J745" s="144"/>
    </row>
    <row r="746" ht="18.75" customHeight="1">
      <c r="A746" s="64"/>
      <c r="B746" s="64"/>
      <c r="D746" s="144"/>
      <c r="J746" s="144"/>
    </row>
    <row r="747" ht="18.75" customHeight="1">
      <c r="A747" s="64"/>
      <c r="B747" s="64"/>
      <c r="D747" s="144"/>
      <c r="J747" s="144"/>
    </row>
    <row r="748" ht="18.75" customHeight="1">
      <c r="A748" s="64"/>
      <c r="B748" s="64"/>
      <c r="D748" s="144"/>
      <c r="J748" s="144"/>
    </row>
    <row r="749" ht="18.75" customHeight="1">
      <c r="A749" s="64"/>
      <c r="B749" s="64"/>
      <c r="D749" s="144"/>
      <c r="J749" s="144"/>
    </row>
    <row r="750" ht="18.75" customHeight="1">
      <c r="A750" s="64"/>
      <c r="B750" s="64"/>
      <c r="D750" s="144"/>
      <c r="J750" s="144"/>
    </row>
    <row r="751" ht="18.75" customHeight="1">
      <c r="A751" s="64"/>
      <c r="B751" s="64"/>
      <c r="D751" s="144"/>
      <c r="J751" s="144"/>
    </row>
    <row r="752" ht="18.75" customHeight="1">
      <c r="A752" s="64"/>
      <c r="B752" s="64"/>
      <c r="D752" s="144"/>
      <c r="J752" s="144"/>
    </row>
    <row r="753" ht="18.75" customHeight="1">
      <c r="A753" s="64"/>
      <c r="B753" s="64"/>
      <c r="D753" s="144"/>
      <c r="J753" s="144"/>
    </row>
    <row r="754" ht="18.75" customHeight="1">
      <c r="A754" s="64"/>
      <c r="B754" s="64"/>
      <c r="D754" s="144"/>
      <c r="J754" s="144"/>
    </row>
    <row r="755" ht="18.75" customHeight="1">
      <c r="A755" s="64"/>
      <c r="B755" s="64"/>
      <c r="D755" s="144"/>
      <c r="J755" s="144"/>
    </row>
    <row r="756" ht="18.75" customHeight="1">
      <c r="A756" s="64"/>
      <c r="B756" s="64"/>
      <c r="D756" s="144"/>
      <c r="J756" s="144"/>
    </row>
    <row r="757" ht="18.75" customHeight="1">
      <c r="A757" s="64"/>
      <c r="B757" s="64"/>
      <c r="D757" s="144"/>
      <c r="J757" s="144"/>
    </row>
    <row r="758" ht="18.75" customHeight="1">
      <c r="A758" s="64"/>
      <c r="B758" s="64"/>
      <c r="D758" s="144"/>
      <c r="J758" s="144"/>
    </row>
    <row r="759" ht="18.75" customHeight="1">
      <c r="A759" s="64"/>
      <c r="B759" s="64"/>
      <c r="D759" s="144"/>
      <c r="J759" s="144"/>
    </row>
    <row r="760" ht="18.75" customHeight="1">
      <c r="A760" s="64"/>
      <c r="B760" s="64"/>
      <c r="D760" s="144"/>
      <c r="J760" s="144"/>
    </row>
    <row r="761" ht="18.75" customHeight="1">
      <c r="A761" s="64"/>
      <c r="B761" s="64"/>
      <c r="D761" s="144"/>
      <c r="J761" s="144"/>
    </row>
    <row r="762" ht="18.75" customHeight="1">
      <c r="A762" s="64"/>
      <c r="B762" s="64"/>
      <c r="D762" s="144"/>
      <c r="J762" s="144"/>
    </row>
    <row r="763" ht="18.75" customHeight="1">
      <c r="A763" s="64"/>
      <c r="B763" s="64"/>
      <c r="D763" s="144"/>
      <c r="J763" s="144"/>
    </row>
    <row r="764" ht="18.75" customHeight="1">
      <c r="A764" s="64"/>
      <c r="B764" s="64"/>
      <c r="D764" s="144"/>
      <c r="J764" s="144"/>
    </row>
    <row r="765" ht="18.75" customHeight="1">
      <c r="A765" s="64"/>
      <c r="B765" s="64"/>
      <c r="D765" s="144"/>
      <c r="J765" s="144"/>
    </row>
    <row r="766" ht="18.75" customHeight="1">
      <c r="A766" s="64"/>
      <c r="B766" s="64"/>
      <c r="D766" s="144"/>
      <c r="J766" s="144"/>
    </row>
    <row r="767" ht="18.75" customHeight="1">
      <c r="A767" s="64"/>
      <c r="B767" s="64"/>
      <c r="D767" s="144"/>
      <c r="J767" s="144"/>
    </row>
    <row r="768" ht="18.75" customHeight="1">
      <c r="A768" s="64"/>
      <c r="B768" s="64"/>
      <c r="D768" s="144"/>
      <c r="J768" s="144"/>
    </row>
    <row r="769" ht="18.75" customHeight="1">
      <c r="A769" s="64"/>
      <c r="B769" s="64"/>
      <c r="D769" s="144"/>
      <c r="J769" s="144"/>
    </row>
    <row r="770" ht="18.75" customHeight="1">
      <c r="A770" s="64"/>
      <c r="B770" s="64"/>
      <c r="D770" s="144"/>
      <c r="J770" s="144"/>
    </row>
    <row r="771" ht="18.75" customHeight="1">
      <c r="A771" s="64"/>
      <c r="B771" s="64"/>
      <c r="D771" s="144"/>
      <c r="J771" s="144"/>
    </row>
    <row r="772" ht="18.75" customHeight="1">
      <c r="A772" s="64"/>
      <c r="B772" s="64"/>
      <c r="D772" s="144"/>
      <c r="J772" s="144"/>
    </row>
    <row r="773" ht="18.75" customHeight="1">
      <c r="A773" s="64"/>
      <c r="B773" s="64"/>
      <c r="D773" s="144"/>
      <c r="J773" s="144"/>
    </row>
    <row r="774" ht="18.75" customHeight="1">
      <c r="A774" s="64"/>
      <c r="B774" s="64"/>
      <c r="D774" s="144"/>
      <c r="J774" s="144"/>
    </row>
    <row r="775" ht="18.75" customHeight="1">
      <c r="A775" s="64"/>
      <c r="B775" s="64"/>
      <c r="D775" s="144"/>
      <c r="J775" s="144"/>
    </row>
    <row r="776" ht="18.75" customHeight="1">
      <c r="A776" s="64"/>
      <c r="B776" s="64"/>
      <c r="D776" s="144"/>
      <c r="J776" s="144"/>
    </row>
    <row r="777" ht="18.75" customHeight="1">
      <c r="A777" s="64"/>
      <c r="B777" s="64"/>
      <c r="D777" s="144"/>
      <c r="J777" s="144"/>
    </row>
    <row r="778" ht="18.75" customHeight="1">
      <c r="A778" s="64"/>
      <c r="B778" s="64"/>
      <c r="D778" s="144"/>
      <c r="J778" s="144"/>
    </row>
    <row r="779" ht="18.75" customHeight="1">
      <c r="A779" s="64"/>
      <c r="B779" s="64"/>
      <c r="D779" s="144"/>
      <c r="J779" s="144"/>
    </row>
    <row r="780" ht="18.75" customHeight="1">
      <c r="A780" s="64"/>
      <c r="B780" s="64"/>
      <c r="D780" s="144"/>
      <c r="J780" s="144"/>
    </row>
    <row r="781" ht="18.75" customHeight="1">
      <c r="A781" s="64"/>
      <c r="B781" s="64"/>
      <c r="D781" s="144"/>
      <c r="J781" s="144"/>
    </row>
    <row r="782" ht="18.75" customHeight="1">
      <c r="A782" s="64"/>
      <c r="B782" s="64"/>
      <c r="D782" s="144"/>
      <c r="J782" s="144"/>
    </row>
    <row r="783" ht="18.75" customHeight="1">
      <c r="A783" s="64"/>
      <c r="B783" s="64"/>
      <c r="D783" s="144"/>
      <c r="J783" s="144"/>
    </row>
    <row r="784" ht="18.75" customHeight="1">
      <c r="A784" s="64"/>
      <c r="B784" s="64"/>
      <c r="D784" s="144"/>
      <c r="J784" s="144"/>
    </row>
    <row r="785" ht="18.75" customHeight="1">
      <c r="A785" s="64"/>
      <c r="B785" s="64"/>
      <c r="D785" s="144"/>
      <c r="J785" s="144"/>
    </row>
    <row r="786" ht="18.75" customHeight="1">
      <c r="A786" s="64"/>
      <c r="B786" s="64"/>
      <c r="D786" s="144"/>
      <c r="J786" s="144"/>
    </row>
    <row r="787" ht="18.75" customHeight="1">
      <c r="A787" s="64"/>
      <c r="B787" s="64"/>
      <c r="D787" s="144"/>
      <c r="J787" s="144"/>
    </row>
    <row r="788" ht="18.75" customHeight="1">
      <c r="A788" s="64"/>
      <c r="B788" s="64"/>
      <c r="D788" s="144"/>
      <c r="J788" s="144"/>
    </row>
    <row r="789" ht="18.75" customHeight="1">
      <c r="A789" s="64"/>
      <c r="B789" s="64"/>
      <c r="D789" s="144"/>
      <c r="J789" s="144"/>
    </row>
    <row r="790" ht="18.75" customHeight="1">
      <c r="A790" s="64"/>
      <c r="B790" s="64"/>
      <c r="D790" s="144"/>
      <c r="J790" s="144"/>
    </row>
    <row r="791" ht="18.75" customHeight="1">
      <c r="A791" s="64"/>
      <c r="B791" s="64"/>
      <c r="D791" s="144"/>
      <c r="J791" s="144"/>
    </row>
    <row r="792" ht="18.75" customHeight="1">
      <c r="A792" s="64"/>
      <c r="B792" s="64"/>
      <c r="D792" s="144"/>
      <c r="J792" s="144"/>
    </row>
    <row r="793" ht="18.75" customHeight="1">
      <c r="A793" s="64"/>
      <c r="B793" s="64"/>
      <c r="D793" s="144"/>
      <c r="J793" s="144"/>
    </row>
    <row r="794" ht="18.75" customHeight="1">
      <c r="A794" s="64"/>
      <c r="B794" s="64"/>
      <c r="D794" s="144"/>
      <c r="J794" s="144"/>
    </row>
    <row r="795" ht="18.75" customHeight="1">
      <c r="A795" s="64"/>
      <c r="B795" s="64"/>
      <c r="D795" s="144"/>
      <c r="J795" s="144"/>
    </row>
    <row r="796" ht="18.75" customHeight="1">
      <c r="A796" s="64"/>
      <c r="B796" s="64"/>
      <c r="D796" s="144"/>
      <c r="J796" s="144"/>
    </row>
    <row r="797" ht="18.75" customHeight="1">
      <c r="A797" s="64"/>
      <c r="B797" s="64"/>
      <c r="D797" s="144"/>
      <c r="J797" s="144"/>
    </row>
    <row r="798" ht="18.75" customHeight="1">
      <c r="A798" s="64"/>
      <c r="B798" s="64"/>
      <c r="D798" s="144"/>
      <c r="J798" s="144"/>
    </row>
    <row r="799" ht="18.75" customHeight="1">
      <c r="A799" s="64"/>
      <c r="B799" s="64"/>
      <c r="D799" s="144"/>
      <c r="J799" s="144"/>
    </row>
    <row r="800" ht="18.75" customHeight="1">
      <c r="A800" s="64"/>
      <c r="B800" s="64"/>
      <c r="D800" s="144"/>
      <c r="J800" s="144"/>
    </row>
    <row r="801" ht="18.75" customHeight="1">
      <c r="A801" s="64"/>
      <c r="B801" s="64"/>
      <c r="D801" s="144"/>
      <c r="J801" s="144"/>
    </row>
    <row r="802" ht="18.75" customHeight="1">
      <c r="A802" s="64"/>
      <c r="B802" s="64"/>
      <c r="D802" s="144"/>
      <c r="J802" s="144"/>
    </row>
    <row r="803" ht="18.75" customHeight="1">
      <c r="A803" s="64"/>
      <c r="B803" s="64"/>
      <c r="D803" s="144"/>
      <c r="J803" s="144"/>
    </row>
    <row r="804" ht="18.75" customHeight="1">
      <c r="A804" s="64"/>
      <c r="B804" s="64"/>
      <c r="D804" s="144"/>
      <c r="J804" s="144"/>
    </row>
    <row r="805" ht="18.75" customHeight="1">
      <c r="A805" s="64"/>
      <c r="B805" s="64"/>
      <c r="D805" s="144"/>
      <c r="J805" s="144"/>
    </row>
    <row r="806" ht="18.75" customHeight="1">
      <c r="A806" s="64"/>
      <c r="B806" s="64"/>
      <c r="D806" s="144"/>
      <c r="J806" s="144"/>
    </row>
    <row r="807" ht="18.75" customHeight="1">
      <c r="A807" s="64"/>
      <c r="B807" s="64"/>
      <c r="D807" s="144"/>
      <c r="J807" s="144"/>
    </row>
    <row r="808" ht="18.75" customHeight="1">
      <c r="A808" s="64"/>
      <c r="B808" s="64"/>
      <c r="D808" s="144"/>
      <c r="J808" s="144"/>
    </row>
    <row r="809" ht="18.75" customHeight="1">
      <c r="A809" s="64"/>
      <c r="B809" s="64"/>
      <c r="D809" s="144"/>
      <c r="J809" s="144"/>
    </row>
    <row r="810" ht="18.75" customHeight="1">
      <c r="A810" s="64"/>
      <c r="B810" s="64"/>
      <c r="D810" s="144"/>
      <c r="J810" s="144"/>
    </row>
    <row r="811" ht="18.75" customHeight="1">
      <c r="A811" s="64"/>
      <c r="B811" s="64"/>
      <c r="D811" s="144"/>
      <c r="J811" s="144"/>
    </row>
    <row r="812" ht="18.75" customHeight="1">
      <c r="A812" s="64"/>
      <c r="B812" s="64"/>
      <c r="D812" s="144"/>
      <c r="J812" s="144"/>
    </row>
    <row r="813" ht="18.75" customHeight="1">
      <c r="A813" s="64"/>
      <c r="B813" s="64"/>
      <c r="D813" s="144"/>
      <c r="J813" s="144"/>
    </row>
    <row r="814" ht="18.75" customHeight="1">
      <c r="A814" s="64"/>
      <c r="B814" s="64"/>
      <c r="D814" s="144"/>
      <c r="J814" s="144"/>
    </row>
    <row r="815" ht="18.75" customHeight="1">
      <c r="A815" s="64"/>
      <c r="B815" s="64"/>
      <c r="D815" s="144"/>
      <c r="J815" s="144"/>
    </row>
    <row r="816" ht="18.75" customHeight="1">
      <c r="A816" s="64"/>
      <c r="B816" s="64"/>
      <c r="D816" s="144"/>
      <c r="J816" s="144"/>
    </row>
    <row r="817" ht="18.75" customHeight="1">
      <c r="A817" s="64"/>
      <c r="B817" s="64"/>
      <c r="D817" s="144"/>
      <c r="J817" s="144"/>
    </row>
    <row r="818" ht="18.75" customHeight="1">
      <c r="A818" s="64"/>
      <c r="B818" s="64"/>
      <c r="D818" s="144"/>
      <c r="J818" s="144"/>
    </row>
    <row r="819" ht="18.75" customHeight="1">
      <c r="A819" s="64"/>
      <c r="B819" s="64"/>
      <c r="D819" s="144"/>
      <c r="J819" s="144"/>
    </row>
    <row r="820" ht="18.75" customHeight="1">
      <c r="A820" s="64"/>
      <c r="B820" s="64"/>
      <c r="D820" s="144"/>
      <c r="J820" s="144"/>
    </row>
    <row r="821" ht="18.75" customHeight="1">
      <c r="A821" s="64"/>
      <c r="B821" s="64"/>
      <c r="D821" s="144"/>
      <c r="J821" s="144"/>
    </row>
    <row r="822" ht="18.75" customHeight="1">
      <c r="A822" s="64"/>
      <c r="B822" s="64"/>
      <c r="D822" s="144"/>
      <c r="J822" s="144"/>
    </row>
    <row r="823" ht="18.75" customHeight="1">
      <c r="A823" s="64"/>
      <c r="B823" s="64"/>
      <c r="D823" s="144"/>
      <c r="J823" s="144"/>
    </row>
    <row r="824" ht="18.75" customHeight="1">
      <c r="A824" s="64"/>
      <c r="B824" s="64"/>
      <c r="D824" s="144"/>
      <c r="J824" s="144"/>
    </row>
    <row r="825" ht="18.75" customHeight="1">
      <c r="A825" s="64"/>
      <c r="B825" s="64"/>
      <c r="D825" s="144"/>
      <c r="J825" s="144"/>
    </row>
    <row r="826" ht="18.75" customHeight="1">
      <c r="A826" s="64"/>
      <c r="B826" s="64"/>
      <c r="D826" s="144"/>
      <c r="J826" s="144"/>
    </row>
    <row r="827" ht="18.75" customHeight="1">
      <c r="A827" s="64"/>
      <c r="B827" s="64"/>
      <c r="D827" s="144"/>
      <c r="J827" s="144"/>
    </row>
    <row r="828" ht="18.75" customHeight="1">
      <c r="A828" s="64"/>
      <c r="B828" s="64"/>
      <c r="D828" s="144"/>
      <c r="J828" s="144"/>
    </row>
    <row r="829" ht="18.75" customHeight="1">
      <c r="A829" s="64"/>
      <c r="B829" s="64"/>
      <c r="D829" s="144"/>
      <c r="J829" s="144"/>
    </row>
    <row r="830" ht="18.75" customHeight="1">
      <c r="A830" s="64"/>
      <c r="B830" s="64"/>
      <c r="D830" s="144"/>
      <c r="J830" s="144"/>
    </row>
    <row r="831" ht="18.75" customHeight="1">
      <c r="A831" s="64"/>
      <c r="B831" s="64"/>
      <c r="D831" s="144"/>
      <c r="J831" s="144"/>
    </row>
    <row r="832" ht="18.75" customHeight="1">
      <c r="A832" s="64"/>
      <c r="B832" s="64"/>
      <c r="D832" s="144"/>
      <c r="J832" s="144"/>
    </row>
    <row r="833" ht="18.75" customHeight="1">
      <c r="A833" s="64"/>
      <c r="B833" s="64"/>
      <c r="D833" s="144"/>
      <c r="J833" s="144"/>
    </row>
    <row r="834" ht="18.75" customHeight="1">
      <c r="A834" s="64"/>
      <c r="B834" s="64"/>
      <c r="D834" s="144"/>
      <c r="J834" s="144"/>
    </row>
    <row r="835" ht="18.75" customHeight="1">
      <c r="A835" s="64"/>
      <c r="B835" s="64"/>
      <c r="D835" s="144"/>
      <c r="J835" s="144"/>
    </row>
    <row r="836" ht="18.75" customHeight="1">
      <c r="A836" s="64"/>
      <c r="B836" s="64"/>
      <c r="D836" s="144"/>
      <c r="J836" s="144"/>
    </row>
    <row r="837" ht="18.75" customHeight="1">
      <c r="A837" s="64"/>
      <c r="B837" s="64"/>
      <c r="D837" s="144"/>
      <c r="J837" s="144"/>
    </row>
    <row r="838" ht="18.75" customHeight="1">
      <c r="A838" s="64"/>
      <c r="B838" s="64"/>
      <c r="D838" s="144"/>
      <c r="J838" s="144"/>
    </row>
    <row r="839" ht="18.75" customHeight="1">
      <c r="A839" s="64"/>
      <c r="B839" s="64"/>
      <c r="D839" s="144"/>
      <c r="J839" s="144"/>
    </row>
    <row r="840" ht="18.75" customHeight="1">
      <c r="A840" s="64"/>
      <c r="B840" s="64"/>
      <c r="D840" s="144"/>
      <c r="J840" s="144"/>
    </row>
    <row r="841" ht="18.75" customHeight="1">
      <c r="A841" s="64"/>
      <c r="B841" s="64"/>
      <c r="D841" s="144"/>
      <c r="J841" s="144"/>
    </row>
    <row r="842" ht="18.75" customHeight="1">
      <c r="A842" s="64"/>
      <c r="B842" s="64"/>
      <c r="D842" s="144"/>
      <c r="J842" s="144"/>
    </row>
    <row r="843" ht="18.75" customHeight="1">
      <c r="A843" s="64"/>
      <c r="B843" s="64"/>
      <c r="D843" s="144"/>
      <c r="J843" s="144"/>
    </row>
    <row r="844" ht="18.75" customHeight="1">
      <c r="A844" s="64"/>
      <c r="B844" s="64"/>
      <c r="D844" s="144"/>
      <c r="J844" s="144"/>
    </row>
    <row r="845" ht="18.75" customHeight="1">
      <c r="A845" s="64"/>
      <c r="B845" s="64"/>
      <c r="D845" s="144"/>
      <c r="J845" s="144"/>
    </row>
    <row r="846" ht="18.75" customHeight="1">
      <c r="A846" s="64"/>
      <c r="B846" s="64"/>
      <c r="D846" s="144"/>
      <c r="J846" s="144"/>
    </row>
    <row r="847" ht="18.75" customHeight="1">
      <c r="A847" s="64"/>
      <c r="B847" s="64"/>
      <c r="D847" s="144"/>
      <c r="J847" s="144"/>
    </row>
    <row r="848" ht="18.75" customHeight="1">
      <c r="A848" s="64"/>
      <c r="B848" s="64"/>
      <c r="D848" s="144"/>
      <c r="J848" s="144"/>
    </row>
    <row r="849" ht="18.75" customHeight="1">
      <c r="A849" s="64"/>
      <c r="B849" s="64"/>
      <c r="D849" s="144"/>
      <c r="J849" s="144"/>
    </row>
    <row r="850" ht="18.75" customHeight="1">
      <c r="A850" s="64"/>
      <c r="B850" s="64"/>
      <c r="D850" s="144"/>
      <c r="J850" s="144"/>
    </row>
    <row r="851" ht="18.75" customHeight="1">
      <c r="A851" s="64"/>
      <c r="B851" s="64"/>
      <c r="D851" s="144"/>
      <c r="J851" s="144"/>
    </row>
    <row r="852" ht="18.75" customHeight="1">
      <c r="A852" s="64"/>
      <c r="B852" s="64"/>
      <c r="D852" s="144"/>
      <c r="J852" s="144"/>
    </row>
    <row r="853" ht="18.75" customHeight="1">
      <c r="A853" s="64"/>
      <c r="B853" s="64"/>
      <c r="D853" s="144"/>
      <c r="J853" s="144"/>
    </row>
    <row r="854" ht="18.75" customHeight="1">
      <c r="A854" s="64"/>
      <c r="B854" s="64"/>
      <c r="D854" s="144"/>
      <c r="J854" s="144"/>
    </row>
    <row r="855" ht="18.75" customHeight="1">
      <c r="A855" s="64"/>
      <c r="B855" s="64"/>
      <c r="D855" s="144"/>
      <c r="J855" s="144"/>
    </row>
    <row r="856" ht="18.75" customHeight="1">
      <c r="A856" s="64"/>
      <c r="B856" s="64"/>
      <c r="D856" s="144"/>
      <c r="J856" s="144"/>
    </row>
    <row r="857" ht="18.75" customHeight="1">
      <c r="A857" s="64"/>
      <c r="B857" s="64"/>
      <c r="D857" s="144"/>
      <c r="J857" s="144"/>
    </row>
    <row r="858" ht="18.75" customHeight="1">
      <c r="A858" s="64"/>
      <c r="B858" s="64"/>
      <c r="D858" s="144"/>
      <c r="J858" s="144"/>
    </row>
    <row r="859" ht="18.75" customHeight="1">
      <c r="A859" s="64"/>
      <c r="B859" s="64"/>
      <c r="D859" s="144"/>
      <c r="J859" s="144"/>
    </row>
    <row r="860" ht="18.75" customHeight="1">
      <c r="A860" s="64"/>
      <c r="B860" s="64"/>
      <c r="D860" s="144"/>
      <c r="J860" s="144"/>
    </row>
    <row r="861" ht="18.75" customHeight="1">
      <c r="A861" s="64"/>
      <c r="B861" s="64"/>
      <c r="D861" s="144"/>
      <c r="J861" s="144"/>
    </row>
    <row r="862" ht="18.75" customHeight="1">
      <c r="A862" s="64"/>
      <c r="B862" s="64"/>
      <c r="D862" s="144"/>
      <c r="J862" s="144"/>
    </row>
    <row r="863" ht="18.75" customHeight="1">
      <c r="A863" s="64"/>
      <c r="B863" s="64"/>
      <c r="D863" s="144"/>
      <c r="J863" s="144"/>
    </row>
    <row r="864" ht="18.75" customHeight="1">
      <c r="A864" s="64"/>
      <c r="B864" s="64"/>
      <c r="D864" s="144"/>
      <c r="J864" s="144"/>
    </row>
    <row r="865" ht="18.75" customHeight="1">
      <c r="A865" s="64"/>
      <c r="B865" s="64"/>
      <c r="D865" s="144"/>
      <c r="J865" s="144"/>
    </row>
    <row r="866" ht="18.75" customHeight="1">
      <c r="A866" s="64"/>
      <c r="B866" s="64"/>
      <c r="D866" s="144"/>
      <c r="J866" s="144"/>
    </row>
    <row r="867" ht="18.75" customHeight="1">
      <c r="A867" s="64"/>
      <c r="B867" s="64"/>
      <c r="D867" s="144"/>
      <c r="J867" s="144"/>
    </row>
    <row r="868" ht="18.75" customHeight="1">
      <c r="A868" s="64"/>
      <c r="B868" s="64"/>
      <c r="D868" s="144"/>
      <c r="J868" s="144"/>
    </row>
    <row r="869" ht="18.75" customHeight="1">
      <c r="A869" s="64"/>
      <c r="B869" s="64"/>
      <c r="D869" s="144"/>
      <c r="J869" s="144"/>
    </row>
    <row r="870" ht="18.75" customHeight="1">
      <c r="A870" s="64"/>
      <c r="B870" s="64"/>
      <c r="D870" s="144"/>
      <c r="J870" s="144"/>
    </row>
    <row r="871" ht="18.75" customHeight="1">
      <c r="A871" s="64"/>
      <c r="B871" s="64"/>
      <c r="D871" s="144"/>
      <c r="J871" s="144"/>
    </row>
    <row r="872" ht="18.75" customHeight="1">
      <c r="A872" s="64"/>
      <c r="B872" s="64"/>
      <c r="D872" s="144"/>
      <c r="J872" s="144"/>
    </row>
    <row r="873" ht="18.75" customHeight="1">
      <c r="A873" s="64"/>
      <c r="B873" s="64"/>
      <c r="D873" s="144"/>
      <c r="J873" s="144"/>
    </row>
    <row r="874" ht="18.75" customHeight="1">
      <c r="A874" s="64"/>
      <c r="B874" s="64"/>
      <c r="D874" s="144"/>
      <c r="J874" s="144"/>
    </row>
    <row r="875" ht="18.75" customHeight="1">
      <c r="A875" s="64"/>
      <c r="B875" s="64"/>
      <c r="D875" s="144"/>
      <c r="J875" s="144"/>
    </row>
    <row r="876" ht="18.75" customHeight="1">
      <c r="A876" s="64"/>
      <c r="B876" s="64"/>
      <c r="D876" s="144"/>
      <c r="J876" s="144"/>
    </row>
    <row r="877" ht="18.75" customHeight="1">
      <c r="A877" s="64"/>
      <c r="B877" s="64"/>
      <c r="D877" s="144"/>
      <c r="J877" s="144"/>
    </row>
    <row r="878" ht="18.75" customHeight="1">
      <c r="A878" s="64"/>
      <c r="B878" s="64"/>
      <c r="D878" s="144"/>
      <c r="J878" s="144"/>
    </row>
    <row r="879" ht="18.75" customHeight="1">
      <c r="A879" s="64"/>
      <c r="B879" s="64"/>
      <c r="D879" s="144"/>
      <c r="J879" s="144"/>
    </row>
    <row r="880" ht="18.75" customHeight="1">
      <c r="A880" s="64"/>
      <c r="B880" s="64"/>
      <c r="D880" s="144"/>
      <c r="J880" s="144"/>
    </row>
    <row r="881" ht="18.75" customHeight="1">
      <c r="A881" s="64"/>
      <c r="B881" s="64"/>
      <c r="D881" s="144"/>
      <c r="J881" s="144"/>
    </row>
    <row r="882" ht="18.75" customHeight="1">
      <c r="A882" s="64"/>
      <c r="B882" s="64"/>
      <c r="D882" s="144"/>
      <c r="J882" s="144"/>
    </row>
    <row r="883" ht="18.75" customHeight="1">
      <c r="A883" s="64"/>
      <c r="B883" s="64"/>
      <c r="D883" s="144"/>
      <c r="J883" s="144"/>
    </row>
    <row r="884" ht="18.75" customHeight="1">
      <c r="A884" s="64"/>
      <c r="B884" s="64"/>
      <c r="D884" s="144"/>
      <c r="J884" s="144"/>
    </row>
    <row r="885" ht="18.75" customHeight="1">
      <c r="A885" s="64"/>
      <c r="B885" s="64"/>
      <c r="D885" s="144"/>
      <c r="J885" s="144"/>
    </row>
    <row r="886" ht="18.75" customHeight="1">
      <c r="A886" s="64"/>
      <c r="B886" s="64"/>
      <c r="D886" s="144"/>
      <c r="J886" s="144"/>
    </row>
    <row r="887" ht="18.75" customHeight="1">
      <c r="A887" s="64"/>
      <c r="B887" s="64"/>
      <c r="D887" s="144"/>
      <c r="J887" s="144"/>
    </row>
    <row r="888" ht="18.75" customHeight="1">
      <c r="A888" s="64"/>
      <c r="B888" s="64"/>
      <c r="D888" s="144"/>
      <c r="J888" s="144"/>
    </row>
    <row r="889" ht="18.75" customHeight="1">
      <c r="A889" s="64"/>
      <c r="B889" s="64"/>
      <c r="D889" s="144"/>
      <c r="J889" s="144"/>
    </row>
    <row r="890" ht="18.75" customHeight="1">
      <c r="A890" s="64"/>
      <c r="B890" s="64"/>
      <c r="D890" s="144"/>
      <c r="J890" s="144"/>
    </row>
    <row r="891" ht="18.75" customHeight="1">
      <c r="A891" s="64"/>
      <c r="B891" s="64"/>
      <c r="D891" s="144"/>
      <c r="J891" s="144"/>
    </row>
    <row r="892" ht="18.75" customHeight="1">
      <c r="A892" s="64"/>
      <c r="B892" s="64"/>
      <c r="D892" s="144"/>
      <c r="J892" s="144"/>
    </row>
    <row r="893" ht="18.75" customHeight="1">
      <c r="A893" s="64"/>
      <c r="B893" s="64"/>
      <c r="D893" s="144"/>
      <c r="J893" s="144"/>
    </row>
    <row r="894" ht="18.75" customHeight="1">
      <c r="A894" s="64"/>
      <c r="B894" s="64"/>
      <c r="D894" s="144"/>
      <c r="J894" s="144"/>
    </row>
    <row r="895" ht="18.75" customHeight="1">
      <c r="A895" s="64"/>
      <c r="B895" s="64"/>
      <c r="D895" s="144"/>
      <c r="J895" s="144"/>
    </row>
    <row r="896" ht="18.75" customHeight="1">
      <c r="A896" s="64"/>
      <c r="B896" s="64"/>
      <c r="D896" s="144"/>
      <c r="J896" s="144"/>
    </row>
    <row r="897" ht="18.75" customHeight="1">
      <c r="A897" s="64"/>
      <c r="B897" s="64"/>
      <c r="D897" s="144"/>
      <c r="J897" s="144"/>
    </row>
    <row r="898" ht="18.75" customHeight="1">
      <c r="A898" s="64"/>
      <c r="B898" s="64"/>
      <c r="D898" s="144"/>
      <c r="J898" s="144"/>
    </row>
    <row r="899" ht="18.75" customHeight="1">
      <c r="A899" s="64"/>
      <c r="B899" s="64"/>
      <c r="D899" s="144"/>
      <c r="J899" s="144"/>
    </row>
    <row r="900" ht="18.75" customHeight="1">
      <c r="A900" s="64"/>
      <c r="B900" s="64"/>
      <c r="D900" s="144"/>
      <c r="J900" s="144"/>
    </row>
    <row r="901" ht="18.75" customHeight="1">
      <c r="A901" s="64"/>
      <c r="B901" s="64"/>
      <c r="D901" s="144"/>
      <c r="J901" s="144"/>
    </row>
    <row r="902" ht="18.75" customHeight="1">
      <c r="A902" s="64"/>
      <c r="B902" s="64"/>
      <c r="D902" s="144"/>
      <c r="J902" s="144"/>
    </row>
    <row r="903" ht="18.75" customHeight="1">
      <c r="A903" s="64"/>
      <c r="B903" s="64"/>
      <c r="D903" s="144"/>
      <c r="J903" s="144"/>
    </row>
    <row r="904" ht="18.75" customHeight="1">
      <c r="A904" s="64"/>
      <c r="B904" s="64"/>
      <c r="D904" s="144"/>
      <c r="J904" s="144"/>
    </row>
    <row r="905" ht="18.75" customHeight="1">
      <c r="A905" s="64"/>
      <c r="B905" s="64"/>
      <c r="D905" s="144"/>
      <c r="J905" s="144"/>
    </row>
    <row r="906" ht="18.75" customHeight="1">
      <c r="A906" s="64"/>
      <c r="B906" s="64"/>
      <c r="D906" s="144"/>
      <c r="J906" s="144"/>
    </row>
    <row r="907" ht="18.75" customHeight="1">
      <c r="A907" s="64"/>
      <c r="B907" s="64"/>
      <c r="D907" s="144"/>
      <c r="J907" s="144"/>
    </row>
    <row r="908" ht="18.75" customHeight="1">
      <c r="A908" s="64"/>
      <c r="B908" s="64"/>
      <c r="D908" s="144"/>
      <c r="J908" s="144"/>
    </row>
    <row r="909" ht="18.75" customHeight="1">
      <c r="A909" s="64"/>
      <c r="B909" s="64"/>
      <c r="D909" s="144"/>
      <c r="J909" s="144"/>
    </row>
    <row r="910" ht="18.75" customHeight="1">
      <c r="A910" s="64"/>
      <c r="B910" s="64"/>
      <c r="D910" s="144"/>
      <c r="J910" s="144"/>
    </row>
    <row r="911" ht="18.75" customHeight="1">
      <c r="A911" s="64"/>
      <c r="B911" s="64"/>
      <c r="D911" s="144"/>
      <c r="J911" s="144"/>
    </row>
    <row r="912" ht="18.75" customHeight="1">
      <c r="A912" s="64"/>
      <c r="B912" s="64"/>
      <c r="D912" s="144"/>
      <c r="J912" s="144"/>
    </row>
    <row r="913" ht="18.75" customHeight="1">
      <c r="A913" s="64"/>
      <c r="B913" s="64"/>
      <c r="D913" s="144"/>
      <c r="J913" s="144"/>
    </row>
    <row r="914" ht="18.75" customHeight="1">
      <c r="A914" s="64"/>
      <c r="B914" s="64"/>
      <c r="D914" s="144"/>
      <c r="J914" s="144"/>
    </row>
    <row r="915" ht="18.75" customHeight="1">
      <c r="A915" s="64"/>
      <c r="B915" s="64"/>
      <c r="D915" s="144"/>
      <c r="J915" s="144"/>
    </row>
    <row r="916" ht="18.75" customHeight="1">
      <c r="A916" s="64"/>
      <c r="B916" s="64"/>
      <c r="D916" s="144"/>
      <c r="J916" s="144"/>
    </row>
    <row r="917" ht="18.75" customHeight="1">
      <c r="A917" s="64"/>
      <c r="B917" s="64"/>
      <c r="D917" s="144"/>
      <c r="J917" s="144"/>
    </row>
    <row r="918" ht="18.75" customHeight="1">
      <c r="A918" s="64"/>
      <c r="B918" s="64"/>
      <c r="D918" s="144"/>
      <c r="J918" s="144"/>
    </row>
    <row r="919" ht="18.75" customHeight="1">
      <c r="A919" s="64"/>
      <c r="B919" s="64"/>
      <c r="D919" s="144"/>
      <c r="J919" s="144"/>
    </row>
    <row r="920" ht="18.75" customHeight="1">
      <c r="A920" s="64"/>
      <c r="B920" s="64"/>
      <c r="D920" s="144"/>
      <c r="J920" s="144"/>
    </row>
    <row r="921" ht="18.75" customHeight="1">
      <c r="A921" s="64"/>
      <c r="B921" s="64"/>
      <c r="D921" s="144"/>
      <c r="J921" s="144"/>
    </row>
    <row r="922" ht="18.75" customHeight="1">
      <c r="A922" s="64"/>
      <c r="B922" s="64"/>
      <c r="D922" s="144"/>
      <c r="J922" s="144"/>
    </row>
    <row r="923" ht="18.75" customHeight="1">
      <c r="A923" s="64"/>
      <c r="B923" s="64"/>
      <c r="D923" s="144"/>
      <c r="J923" s="144"/>
    </row>
    <row r="924" ht="18.75" customHeight="1">
      <c r="A924" s="64"/>
      <c r="B924" s="64"/>
      <c r="D924" s="144"/>
      <c r="J924" s="144"/>
    </row>
    <row r="925" ht="18.75" customHeight="1">
      <c r="A925" s="64"/>
      <c r="B925" s="64"/>
      <c r="D925" s="144"/>
      <c r="J925" s="144"/>
    </row>
    <row r="926" ht="18.75" customHeight="1">
      <c r="A926" s="64"/>
      <c r="B926" s="64"/>
      <c r="D926" s="144"/>
      <c r="J926" s="144"/>
    </row>
    <row r="927" ht="18.75" customHeight="1">
      <c r="A927" s="64"/>
      <c r="B927" s="64"/>
      <c r="D927" s="144"/>
      <c r="J927" s="144"/>
    </row>
    <row r="928" ht="18.75" customHeight="1">
      <c r="A928" s="64"/>
      <c r="B928" s="64"/>
      <c r="D928" s="144"/>
      <c r="J928" s="144"/>
    </row>
    <row r="929" ht="18.75" customHeight="1">
      <c r="A929" s="64"/>
      <c r="B929" s="64"/>
      <c r="D929" s="144"/>
      <c r="J929" s="144"/>
    </row>
    <row r="930" ht="18.75" customHeight="1">
      <c r="A930" s="64"/>
      <c r="B930" s="64"/>
      <c r="D930" s="144"/>
      <c r="J930" s="144"/>
    </row>
    <row r="931" ht="18.75" customHeight="1">
      <c r="A931" s="64"/>
      <c r="B931" s="64"/>
      <c r="D931" s="144"/>
      <c r="J931" s="144"/>
    </row>
    <row r="932" ht="18.75" customHeight="1">
      <c r="A932" s="64"/>
      <c r="B932" s="64"/>
      <c r="D932" s="144"/>
      <c r="J932" s="144"/>
    </row>
    <row r="933" ht="18.75" customHeight="1">
      <c r="A933" s="64"/>
      <c r="B933" s="64"/>
      <c r="D933" s="144"/>
      <c r="J933" s="144"/>
    </row>
    <row r="934" ht="18.75" customHeight="1">
      <c r="A934" s="64"/>
      <c r="B934" s="64"/>
      <c r="D934" s="144"/>
      <c r="J934" s="144"/>
    </row>
    <row r="935" ht="18.75" customHeight="1">
      <c r="A935" s="64"/>
      <c r="B935" s="64"/>
      <c r="D935" s="144"/>
      <c r="J935" s="144"/>
    </row>
    <row r="936" ht="18.75" customHeight="1">
      <c r="A936" s="64"/>
      <c r="B936" s="64"/>
      <c r="D936" s="144"/>
      <c r="J936" s="144"/>
    </row>
    <row r="937" ht="18.75" customHeight="1">
      <c r="A937" s="64"/>
      <c r="B937" s="64"/>
      <c r="D937" s="144"/>
      <c r="J937" s="144"/>
    </row>
    <row r="938" ht="18.75" customHeight="1">
      <c r="A938" s="64"/>
      <c r="B938" s="64"/>
      <c r="D938" s="144"/>
      <c r="J938" s="144"/>
    </row>
    <row r="939" ht="18.75" customHeight="1">
      <c r="A939" s="64"/>
      <c r="B939" s="64"/>
      <c r="D939" s="144"/>
      <c r="J939" s="144"/>
    </row>
    <row r="940" ht="18.75" customHeight="1">
      <c r="A940" s="64"/>
      <c r="B940" s="64"/>
      <c r="D940" s="144"/>
      <c r="J940" s="144"/>
    </row>
    <row r="941" ht="18.75" customHeight="1">
      <c r="A941" s="64"/>
      <c r="B941" s="64"/>
      <c r="D941" s="144"/>
      <c r="J941" s="144"/>
    </row>
    <row r="942" ht="18.75" customHeight="1">
      <c r="A942" s="64"/>
      <c r="B942" s="64"/>
      <c r="D942" s="144"/>
      <c r="J942" s="144"/>
    </row>
    <row r="943" ht="18.75" customHeight="1">
      <c r="A943" s="64"/>
      <c r="B943" s="64"/>
      <c r="D943" s="144"/>
      <c r="J943" s="144"/>
    </row>
    <row r="944" ht="18.75" customHeight="1">
      <c r="A944" s="64"/>
      <c r="B944" s="64"/>
      <c r="D944" s="144"/>
      <c r="J944" s="144"/>
    </row>
    <row r="945" ht="18.75" customHeight="1">
      <c r="A945" s="64"/>
      <c r="B945" s="64"/>
      <c r="D945" s="144"/>
      <c r="J945" s="144"/>
    </row>
    <row r="946" ht="18.75" customHeight="1">
      <c r="A946" s="64"/>
      <c r="B946" s="64"/>
      <c r="D946" s="144"/>
      <c r="J946" s="144"/>
    </row>
    <row r="947" ht="18.75" customHeight="1">
      <c r="A947" s="64"/>
      <c r="B947" s="64"/>
      <c r="D947" s="144"/>
      <c r="J947" s="144"/>
    </row>
    <row r="948" ht="18.75" customHeight="1">
      <c r="A948" s="64"/>
      <c r="B948" s="64"/>
      <c r="D948" s="144"/>
      <c r="J948" s="144"/>
    </row>
    <row r="949" ht="18.75" customHeight="1">
      <c r="A949" s="64"/>
      <c r="B949" s="64"/>
      <c r="D949" s="144"/>
      <c r="J949" s="144"/>
    </row>
    <row r="950" ht="18.75" customHeight="1">
      <c r="A950" s="64"/>
      <c r="B950" s="64"/>
      <c r="D950" s="144"/>
      <c r="J950" s="144"/>
    </row>
    <row r="951" ht="18.75" customHeight="1">
      <c r="A951" s="64"/>
      <c r="B951" s="64"/>
      <c r="D951" s="144"/>
      <c r="J951" s="144"/>
    </row>
    <row r="952" ht="18.75" customHeight="1">
      <c r="A952" s="64"/>
      <c r="B952" s="64"/>
      <c r="D952" s="144"/>
      <c r="J952" s="144"/>
    </row>
    <row r="953" ht="18.75" customHeight="1">
      <c r="A953" s="64"/>
      <c r="B953" s="64"/>
      <c r="D953" s="144"/>
      <c r="J953" s="144"/>
    </row>
    <row r="954" ht="18.75" customHeight="1">
      <c r="A954" s="64"/>
      <c r="B954" s="64"/>
      <c r="D954" s="144"/>
      <c r="J954" s="144"/>
    </row>
    <row r="955" ht="18.75" customHeight="1">
      <c r="A955" s="64"/>
      <c r="B955" s="64"/>
      <c r="D955" s="144"/>
      <c r="J955" s="144"/>
    </row>
    <row r="956" ht="18.75" customHeight="1">
      <c r="A956" s="64"/>
      <c r="B956" s="64"/>
      <c r="D956" s="144"/>
      <c r="J956" s="144"/>
    </row>
    <row r="957" ht="18.75" customHeight="1">
      <c r="A957" s="64"/>
      <c r="B957" s="64"/>
      <c r="D957" s="144"/>
      <c r="J957" s="144"/>
    </row>
    <row r="958" ht="18.75" customHeight="1">
      <c r="A958" s="64"/>
      <c r="B958" s="64"/>
      <c r="D958" s="144"/>
      <c r="J958" s="144"/>
    </row>
    <row r="959" ht="18.75" customHeight="1">
      <c r="A959" s="64"/>
      <c r="B959" s="64"/>
      <c r="D959" s="144"/>
      <c r="J959" s="144"/>
    </row>
    <row r="960" ht="18.75" customHeight="1">
      <c r="A960" s="64"/>
      <c r="B960" s="64"/>
      <c r="D960" s="144"/>
      <c r="J960" s="144"/>
    </row>
    <row r="961" ht="18.75" customHeight="1">
      <c r="A961" s="64"/>
      <c r="B961" s="64"/>
      <c r="D961" s="144"/>
      <c r="J961" s="144"/>
    </row>
    <row r="962" ht="18.75" customHeight="1">
      <c r="A962" s="64"/>
      <c r="B962" s="64"/>
      <c r="D962" s="144"/>
      <c r="J962" s="144"/>
    </row>
    <row r="963" ht="18.75" customHeight="1">
      <c r="A963" s="64"/>
      <c r="B963" s="64"/>
      <c r="D963" s="144"/>
      <c r="J963" s="144"/>
    </row>
    <row r="964" ht="18.75" customHeight="1">
      <c r="A964" s="64"/>
      <c r="B964" s="64"/>
      <c r="D964" s="144"/>
      <c r="J964" s="144"/>
    </row>
    <row r="965" ht="18.75" customHeight="1">
      <c r="A965" s="64"/>
      <c r="B965" s="64"/>
      <c r="D965" s="144"/>
      <c r="J965" s="144"/>
    </row>
    <row r="966" ht="18.75" customHeight="1">
      <c r="A966" s="64"/>
      <c r="B966" s="64"/>
      <c r="D966" s="144"/>
      <c r="J966" s="144"/>
    </row>
    <row r="967" ht="18.75" customHeight="1">
      <c r="A967" s="64"/>
      <c r="B967" s="64"/>
      <c r="D967" s="144"/>
      <c r="J967" s="144"/>
    </row>
    <row r="968" ht="18.75" customHeight="1">
      <c r="A968" s="64"/>
      <c r="B968" s="64"/>
      <c r="D968" s="144"/>
      <c r="J968" s="144"/>
    </row>
    <row r="969" ht="18.75" customHeight="1">
      <c r="A969" s="64"/>
      <c r="B969" s="64"/>
      <c r="D969" s="144"/>
      <c r="J969" s="144"/>
    </row>
    <row r="970" ht="18.75" customHeight="1">
      <c r="A970" s="64"/>
      <c r="B970" s="64"/>
      <c r="D970" s="144"/>
      <c r="J970" s="144"/>
    </row>
    <row r="971" ht="18.75" customHeight="1">
      <c r="A971" s="64"/>
      <c r="B971" s="64"/>
      <c r="D971" s="144"/>
      <c r="J971" s="144"/>
    </row>
    <row r="972" ht="18.75" customHeight="1">
      <c r="A972" s="64"/>
      <c r="B972" s="64"/>
      <c r="D972" s="144"/>
      <c r="J972" s="144"/>
    </row>
    <row r="973" ht="18.75" customHeight="1">
      <c r="A973" s="64"/>
      <c r="B973" s="64"/>
      <c r="D973" s="144"/>
      <c r="J973" s="144"/>
    </row>
    <row r="974" ht="18.75" customHeight="1">
      <c r="A974" s="64"/>
      <c r="B974" s="64"/>
      <c r="D974" s="144"/>
      <c r="J974" s="144"/>
    </row>
    <row r="975" ht="18.75" customHeight="1">
      <c r="A975" s="64"/>
      <c r="B975" s="64"/>
      <c r="D975" s="144"/>
      <c r="J975" s="144"/>
    </row>
    <row r="976" ht="18.75" customHeight="1">
      <c r="A976" s="64"/>
      <c r="B976" s="64"/>
      <c r="D976" s="144"/>
      <c r="J976" s="144"/>
    </row>
    <row r="977" ht="18.75" customHeight="1">
      <c r="A977" s="64"/>
      <c r="B977" s="64"/>
      <c r="D977" s="144"/>
      <c r="J977" s="144"/>
    </row>
    <row r="978" ht="18.75" customHeight="1">
      <c r="A978" s="64"/>
      <c r="B978" s="64"/>
      <c r="D978" s="144"/>
      <c r="J978" s="144"/>
    </row>
    <row r="979" ht="18.75" customHeight="1">
      <c r="A979" s="64"/>
      <c r="B979" s="64"/>
      <c r="D979" s="144"/>
      <c r="J979" s="144"/>
    </row>
    <row r="980" ht="18.75" customHeight="1">
      <c r="A980" s="64"/>
      <c r="B980" s="64"/>
      <c r="D980" s="144"/>
      <c r="J980" s="144"/>
    </row>
    <row r="981" ht="18.75" customHeight="1">
      <c r="A981" s="64"/>
      <c r="B981" s="64"/>
      <c r="D981" s="144"/>
      <c r="J981" s="144"/>
    </row>
    <row r="982" ht="18.75" customHeight="1">
      <c r="A982" s="64"/>
      <c r="B982" s="64"/>
      <c r="D982" s="144"/>
      <c r="J982" s="144"/>
    </row>
    <row r="983" ht="18.75" customHeight="1">
      <c r="A983" s="64"/>
      <c r="B983" s="64"/>
      <c r="D983" s="144"/>
      <c r="J983" s="144"/>
    </row>
    <row r="984" ht="18.75" customHeight="1">
      <c r="A984" s="64"/>
      <c r="B984" s="64"/>
      <c r="D984" s="144"/>
      <c r="J984" s="144"/>
    </row>
    <row r="985" ht="18.75" customHeight="1">
      <c r="A985" s="64"/>
      <c r="B985" s="64"/>
      <c r="D985" s="144"/>
      <c r="J985" s="144"/>
    </row>
    <row r="986" ht="18.75" customHeight="1">
      <c r="A986" s="64"/>
      <c r="B986" s="64"/>
      <c r="D986" s="144"/>
      <c r="J986" s="144"/>
    </row>
    <row r="987" ht="18.75" customHeight="1">
      <c r="A987" s="64"/>
      <c r="B987" s="64"/>
      <c r="D987" s="144"/>
      <c r="J987" s="144"/>
    </row>
    <row r="988" ht="18.75" customHeight="1">
      <c r="A988" s="64"/>
      <c r="B988" s="64"/>
      <c r="D988" s="144"/>
      <c r="J988" s="144"/>
    </row>
    <row r="989" ht="18.75" customHeight="1">
      <c r="A989" s="64"/>
      <c r="B989" s="64"/>
      <c r="D989" s="144"/>
      <c r="J989" s="144"/>
    </row>
    <row r="990" ht="18.75" customHeight="1">
      <c r="A990" s="64"/>
      <c r="B990" s="64"/>
      <c r="D990" s="144"/>
      <c r="J990" s="144"/>
    </row>
    <row r="991" ht="18.75" customHeight="1">
      <c r="A991" s="64"/>
      <c r="B991" s="64"/>
      <c r="D991" s="144"/>
      <c r="J991" s="144"/>
    </row>
    <row r="992" ht="18.75" customHeight="1">
      <c r="A992" s="64"/>
      <c r="B992" s="64"/>
      <c r="D992" s="144"/>
      <c r="J992" s="144"/>
    </row>
    <row r="993" ht="18.75" customHeight="1">
      <c r="A993" s="64"/>
      <c r="B993" s="64"/>
      <c r="D993" s="144"/>
      <c r="J993" s="144"/>
    </row>
    <row r="994" ht="18.75" customHeight="1">
      <c r="A994" s="64"/>
      <c r="B994" s="64"/>
      <c r="D994" s="144"/>
      <c r="J994" s="144"/>
    </row>
    <row r="995" ht="18.75" customHeight="1">
      <c r="A995" s="64"/>
      <c r="B995" s="64"/>
      <c r="D995" s="144"/>
      <c r="J995" s="144"/>
    </row>
    <row r="996" ht="18.75" customHeight="1">
      <c r="A996" s="64"/>
      <c r="B996" s="64"/>
      <c r="D996" s="144"/>
      <c r="J996" s="144"/>
    </row>
    <row r="997" ht="18.75" customHeight="1">
      <c r="A997" s="64"/>
      <c r="B997" s="64"/>
      <c r="D997" s="144"/>
      <c r="J997" s="144"/>
    </row>
    <row r="998" ht="18.75" customHeight="1">
      <c r="A998" s="64"/>
      <c r="B998" s="64"/>
      <c r="D998" s="144"/>
      <c r="J998" s="144"/>
    </row>
    <row r="999" ht="18.75" customHeight="1">
      <c r="A999" s="64"/>
      <c r="B999" s="64"/>
      <c r="D999" s="144"/>
      <c r="J999" s="144"/>
    </row>
    <row r="1000" ht="18.75" customHeight="1">
      <c r="A1000" s="64"/>
      <c r="B1000" s="64"/>
      <c r="D1000" s="144"/>
      <c r="J1000" s="144"/>
    </row>
  </sheetData>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26" width="7.63"/>
  </cols>
  <sheetData>
    <row r="1" ht="18.75" customHeight="1">
      <c r="A1" s="37" t="s">
        <v>4352</v>
      </c>
      <c r="B1" s="37" t="s">
        <v>4353</v>
      </c>
      <c r="C1" s="37" t="s">
        <v>3650</v>
      </c>
      <c r="D1" s="64" t="s">
        <v>2620</v>
      </c>
      <c r="E1" s="37" t="s">
        <v>4354</v>
      </c>
      <c r="F1" s="37" t="s">
        <v>4355</v>
      </c>
      <c r="G1" s="37" t="s">
        <v>4356</v>
      </c>
      <c r="H1" s="37" t="s">
        <v>4357</v>
      </c>
      <c r="I1" s="37" t="s">
        <v>4358</v>
      </c>
      <c r="J1" s="37" t="s">
        <v>4359</v>
      </c>
      <c r="K1" s="37" t="s">
        <v>4360</v>
      </c>
      <c r="L1" s="37" t="s">
        <v>4361</v>
      </c>
      <c r="M1" s="37" t="s">
        <v>4362</v>
      </c>
      <c r="N1" s="37" t="s">
        <v>4363</v>
      </c>
    </row>
    <row r="2" ht="18.75" customHeight="1">
      <c r="A2" s="37" t="s">
        <v>4364</v>
      </c>
      <c r="C2" s="37" t="s">
        <v>4365</v>
      </c>
      <c r="D2" s="64" t="s">
        <v>4366</v>
      </c>
    </row>
    <row r="3" ht="18.75" customHeight="1">
      <c r="A3" s="37" t="s">
        <v>4367</v>
      </c>
      <c r="C3" s="37" t="s">
        <v>4365</v>
      </c>
      <c r="D3" s="64" t="s">
        <v>4368</v>
      </c>
    </row>
    <row r="4" ht="18.75" customHeight="1">
      <c r="A4" s="37" t="s">
        <v>4369</v>
      </c>
      <c r="C4" s="37" t="s">
        <v>4370</v>
      </c>
      <c r="D4" s="64" t="s">
        <v>4371</v>
      </c>
      <c r="E4" s="37" t="s">
        <v>2596</v>
      </c>
    </row>
    <row r="5" ht="18.75" customHeight="1">
      <c r="A5" s="37" t="s">
        <v>4372</v>
      </c>
      <c r="C5" s="37" t="s">
        <v>4370</v>
      </c>
      <c r="D5" s="64" t="s">
        <v>4373</v>
      </c>
      <c r="E5" s="37" t="s">
        <v>2429</v>
      </c>
    </row>
    <row r="6" ht="18.75" customHeight="1">
      <c r="A6" s="37" t="s">
        <v>4374</v>
      </c>
      <c r="C6" s="37" t="s">
        <v>4370</v>
      </c>
      <c r="D6" s="64" t="s">
        <v>4375</v>
      </c>
      <c r="E6" s="37" t="s">
        <v>1179</v>
      </c>
    </row>
    <row r="7" ht="18.75" customHeight="1">
      <c r="A7" s="37" t="s">
        <v>4376</v>
      </c>
      <c r="C7" s="37" t="s">
        <v>4370</v>
      </c>
      <c r="D7" s="64" t="s">
        <v>4377</v>
      </c>
      <c r="E7" s="37" t="s">
        <v>2593</v>
      </c>
    </row>
    <row r="8" ht="18.75" customHeight="1">
      <c r="A8" s="37" t="s">
        <v>4378</v>
      </c>
      <c r="C8" s="37" t="s">
        <v>4370</v>
      </c>
      <c r="D8" s="64" t="s">
        <v>4379</v>
      </c>
      <c r="E8" s="37" t="s">
        <v>2603</v>
      </c>
    </row>
    <row r="9" ht="18.75" customHeight="1">
      <c r="A9" s="37" t="s">
        <v>4380</v>
      </c>
      <c r="C9" s="37" t="s">
        <v>4380</v>
      </c>
      <c r="D9" s="64" t="s">
        <v>4381</v>
      </c>
    </row>
    <row r="10" ht="18.75" customHeight="1">
      <c r="A10" s="37" t="s">
        <v>3205</v>
      </c>
      <c r="C10" s="37" t="s">
        <v>4380</v>
      </c>
      <c r="D10" s="64" t="s">
        <v>4382</v>
      </c>
    </row>
    <row r="11" ht="18.75" customHeight="1">
      <c r="A11" s="37" t="s">
        <v>4383</v>
      </c>
      <c r="C11" s="37" t="s">
        <v>4380</v>
      </c>
      <c r="D11" s="64" t="s">
        <v>4384</v>
      </c>
    </row>
    <row r="12" ht="18.75" customHeight="1">
      <c r="A12" s="37" t="s">
        <v>4385</v>
      </c>
      <c r="C12" s="37" t="s">
        <v>4386</v>
      </c>
      <c r="D12" s="64" t="s">
        <v>4387</v>
      </c>
    </row>
    <row r="13" ht="18.75" customHeight="1">
      <c r="A13" s="37" t="s">
        <v>4388</v>
      </c>
      <c r="C13" s="37" t="s">
        <v>4389</v>
      </c>
      <c r="D13" s="64" t="s">
        <v>4390</v>
      </c>
    </row>
    <row r="14" ht="18.75" customHeight="1">
      <c r="A14" s="37" t="s">
        <v>2593</v>
      </c>
      <c r="D14" s="64"/>
    </row>
    <row r="15" ht="18.75" customHeight="1">
      <c r="A15" s="37" t="s">
        <v>2920</v>
      </c>
      <c r="C15" s="37" t="s">
        <v>4391</v>
      </c>
      <c r="D15" s="64" t="s">
        <v>4392</v>
      </c>
    </row>
    <row r="16" ht="18.75" customHeight="1">
      <c r="A16" s="37" t="s">
        <v>2921</v>
      </c>
      <c r="C16" s="37" t="s">
        <v>4391</v>
      </c>
      <c r="D16" s="64" t="s">
        <v>4393</v>
      </c>
    </row>
    <row r="17" ht="18.75" customHeight="1">
      <c r="A17" s="37" t="s">
        <v>4394</v>
      </c>
      <c r="C17" s="37" t="s">
        <v>4395</v>
      </c>
      <c r="D17" s="64" t="s">
        <v>4396</v>
      </c>
    </row>
    <row r="18" ht="18.75" customHeight="1">
      <c r="A18" s="37" t="s">
        <v>4397</v>
      </c>
      <c r="C18" s="37" t="s">
        <v>4398</v>
      </c>
      <c r="D18" s="64" t="s">
        <v>4399</v>
      </c>
    </row>
    <row r="19" ht="18.75" customHeight="1">
      <c r="A19" s="37" t="s">
        <v>4400</v>
      </c>
      <c r="C19" s="37" t="s">
        <v>4401</v>
      </c>
      <c r="D19" s="64" t="s">
        <v>4402</v>
      </c>
    </row>
    <row r="20" ht="18.75" customHeight="1">
      <c r="A20" s="37" t="s">
        <v>4403</v>
      </c>
      <c r="C20" s="37" t="s">
        <v>4401</v>
      </c>
      <c r="D20" s="64" t="s">
        <v>4404</v>
      </c>
    </row>
    <row r="21" ht="18.75" customHeight="1">
      <c r="A21" s="37" t="s">
        <v>4405</v>
      </c>
      <c r="C21" s="37" t="s">
        <v>2630</v>
      </c>
      <c r="D21" s="64" t="s">
        <v>4406</v>
      </c>
    </row>
    <row r="22" ht="18.75" customHeight="1">
      <c r="A22" s="37" t="s">
        <v>849</v>
      </c>
      <c r="C22" s="37" t="s">
        <v>4407</v>
      </c>
      <c r="D22" s="64" t="s">
        <v>4408</v>
      </c>
    </row>
    <row r="23" ht="18.75" customHeight="1">
      <c r="A23" s="37" t="s">
        <v>1845</v>
      </c>
      <c r="D23" s="64" t="s">
        <v>4409</v>
      </c>
    </row>
    <row r="24" ht="18.75" customHeight="1">
      <c r="A24" s="37" t="s">
        <v>3206</v>
      </c>
      <c r="D24" s="64" t="s">
        <v>4410</v>
      </c>
    </row>
    <row r="25" ht="18.75" customHeight="1">
      <c r="D25" s="64"/>
    </row>
    <row r="26" ht="18.75" customHeight="1">
      <c r="A26" s="37" t="s">
        <v>4397</v>
      </c>
      <c r="D26" s="64"/>
    </row>
    <row r="27" ht="18.75" customHeight="1">
      <c r="D27" s="64"/>
    </row>
    <row r="28" ht="18.75" customHeight="1">
      <c r="A28" s="37" t="s">
        <v>4411</v>
      </c>
      <c r="D28" s="64"/>
    </row>
    <row r="29" ht="18.75" customHeight="1">
      <c r="A29" s="146" t="s">
        <v>2623</v>
      </c>
      <c r="B29" s="146">
        <v>12.0</v>
      </c>
      <c r="C29" s="37" t="s">
        <v>4412</v>
      </c>
      <c r="D29" s="64" t="s">
        <v>4413</v>
      </c>
      <c r="E29" s="37" t="s">
        <v>2599</v>
      </c>
    </row>
    <row r="30" ht="18.75" customHeight="1">
      <c r="A30" s="146" t="s">
        <v>2624</v>
      </c>
      <c r="B30" s="146">
        <v>13.0</v>
      </c>
      <c r="C30" s="37" t="s">
        <v>4412</v>
      </c>
      <c r="D30" s="64" t="s">
        <v>4414</v>
      </c>
      <c r="E30" s="37" t="s">
        <v>2599</v>
      </c>
    </row>
    <row r="31" ht="18.75" customHeight="1">
      <c r="A31" s="146" t="s">
        <v>2625</v>
      </c>
      <c r="B31" s="146">
        <v>14.0</v>
      </c>
      <c r="C31" s="37" t="s">
        <v>4412</v>
      </c>
      <c r="D31" s="64" t="s">
        <v>4415</v>
      </c>
      <c r="E31" s="37" t="s">
        <v>2599</v>
      </c>
    </row>
    <row r="32" ht="18.75" customHeight="1">
      <c r="A32" s="146" t="s">
        <v>2626</v>
      </c>
      <c r="B32" s="146">
        <v>15.0</v>
      </c>
      <c r="C32" s="37" t="s">
        <v>4412</v>
      </c>
      <c r="D32" s="64" t="s">
        <v>4416</v>
      </c>
      <c r="E32" s="37" t="s">
        <v>2601</v>
      </c>
    </row>
    <row r="33" ht="18.75" customHeight="1">
      <c r="A33" s="147" t="s">
        <v>3192</v>
      </c>
      <c r="B33" s="147">
        <v>10.0</v>
      </c>
      <c r="C33" s="37" t="s">
        <v>3192</v>
      </c>
      <c r="D33" s="64" t="s">
        <v>4417</v>
      </c>
      <c r="E33" s="37" t="s">
        <v>2600</v>
      </c>
    </row>
    <row r="34" ht="18.75" customHeight="1">
      <c r="A34" s="147" t="s">
        <v>3193</v>
      </c>
      <c r="B34" s="147">
        <v>9.0</v>
      </c>
      <c r="C34" s="37" t="s">
        <v>3192</v>
      </c>
      <c r="D34" s="64" t="s">
        <v>4418</v>
      </c>
      <c r="E34" s="37" t="s">
        <v>2600</v>
      </c>
    </row>
    <row r="35" ht="18.75" customHeight="1">
      <c r="A35" s="147" t="s">
        <v>3194</v>
      </c>
      <c r="B35" s="147">
        <v>8.0</v>
      </c>
      <c r="C35" s="37" t="s">
        <v>3192</v>
      </c>
      <c r="D35" s="64" t="s">
        <v>4419</v>
      </c>
      <c r="E35" s="37" t="s">
        <v>2600</v>
      </c>
    </row>
    <row r="36" ht="18.75" customHeight="1">
      <c r="A36" s="148" t="s">
        <v>3195</v>
      </c>
      <c r="B36" s="148">
        <v>11.0</v>
      </c>
      <c r="C36" s="37" t="s">
        <v>3195</v>
      </c>
      <c r="D36" s="64" t="s">
        <v>4420</v>
      </c>
      <c r="E36" s="37" t="s">
        <v>2602</v>
      </c>
    </row>
    <row r="37" ht="18.75" customHeight="1">
      <c r="A37" s="148" t="s">
        <v>3196</v>
      </c>
      <c r="B37" s="148">
        <v>4.0</v>
      </c>
      <c r="C37" s="37" t="s">
        <v>4421</v>
      </c>
      <c r="D37" s="64" t="s">
        <v>4422</v>
      </c>
      <c r="E37" s="37" t="s">
        <v>2602</v>
      </c>
    </row>
    <row r="38" ht="18.75" customHeight="1">
      <c r="A38" s="148" t="s">
        <v>3197</v>
      </c>
      <c r="B38" s="148">
        <v>3.0</v>
      </c>
      <c r="C38" s="37" t="s">
        <v>4421</v>
      </c>
      <c r="D38" s="64" t="s">
        <v>4423</v>
      </c>
      <c r="E38" s="37" t="s">
        <v>2602</v>
      </c>
    </row>
    <row r="39" ht="18.75" customHeight="1">
      <c r="A39" s="148" t="s">
        <v>3198</v>
      </c>
      <c r="B39" s="148">
        <v>2.0</v>
      </c>
      <c r="C39" s="37" t="s">
        <v>4421</v>
      </c>
      <c r="D39" s="64" t="s">
        <v>4424</v>
      </c>
      <c r="E39" s="37" t="s">
        <v>2602</v>
      </c>
    </row>
    <row r="40" ht="18.75" customHeight="1">
      <c r="A40" s="148" t="s">
        <v>3199</v>
      </c>
      <c r="B40" s="148">
        <v>1.0</v>
      </c>
      <c r="C40" s="37" t="s">
        <v>4421</v>
      </c>
      <c r="D40" s="64" t="s">
        <v>4425</v>
      </c>
      <c r="E40" s="37" t="s">
        <v>2602</v>
      </c>
    </row>
    <row r="41" ht="18.75" customHeight="1">
      <c r="A41" s="74" t="s">
        <v>3200</v>
      </c>
      <c r="B41" s="74">
        <v>6.0</v>
      </c>
      <c r="C41" s="37" t="s">
        <v>4426</v>
      </c>
      <c r="D41" s="64" t="s">
        <v>4427</v>
      </c>
      <c r="E41" s="37" t="s">
        <v>2602</v>
      </c>
    </row>
    <row r="42" ht="18.75" customHeight="1">
      <c r="A42" s="74" t="s">
        <v>3201</v>
      </c>
      <c r="B42" s="74">
        <v>7.0</v>
      </c>
      <c r="C42" s="37" t="s">
        <v>4426</v>
      </c>
      <c r="D42" s="64" t="s">
        <v>4428</v>
      </c>
      <c r="E42" s="37" t="s">
        <v>2602</v>
      </c>
    </row>
    <row r="43" ht="18.75" customHeight="1">
      <c r="A43" s="74" t="s">
        <v>3202</v>
      </c>
      <c r="B43" s="74">
        <v>5.0</v>
      </c>
      <c r="C43" s="37" t="s">
        <v>3202</v>
      </c>
      <c r="D43" s="64" t="s">
        <v>4429</v>
      </c>
      <c r="E43" s="37" t="s">
        <v>2602</v>
      </c>
    </row>
    <row r="44" ht="18.75" customHeight="1">
      <c r="A44" s="149" t="s">
        <v>2628</v>
      </c>
      <c r="B44" s="149">
        <v>17.0</v>
      </c>
      <c r="C44" s="37" t="s">
        <v>4430</v>
      </c>
      <c r="D44" s="64" t="s">
        <v>4431</v>
      </c>
    </row>
    <row r="45" ht="18.75" customHeight="1">
      <c r="A45" s="149" t="s">
        <v>2627</v>
      </c>
      <c r="B45" s="149">
        <v>16.0</v>
      </c>
      <c r="C45" s="37" t="s">
        <v>4430</v>
      </c>
      <c r="D45" s="64" t="s">
        <v>4432</v>
      </c>
    </row>
    <row r="46" ht="18.75" customHeight="1">
      <c r="A46" s="37" t="s">
        <v>4433</v>
      </c>
      <c r="D46" s="64"/>
    </row>
    <row r="47" ht="18.75" customHeight="1">
      <c r="A47" s="74" t="s">
        <v>4434</v>
      </c>
      <c r="B47" s="74"/>
      <c r="D47" s="64"/>
    </row>
    <row r="48" ht="18.75" customHeight="1">
      <c r="A48" s="74" t="s">
        <v>4435</v>
      </c>
      <c r="B48" s="74"/>
      <c r="D48" s="64"/>
    </row>
    <row r="49" ht="18.75" customHeight="1">
      <c r="A49" s="74" t="s">
        <v>4436</v>
      </c>
      <c r="B49" s="74"/>
      <c r="D49" s="64"/>
    </row>
    <row r="50" ht="18.75" customHeight="1">
      <c r="A50" s="37" t="s">
        <v>4437</v>
      </c>
      <c r="C50" s="37" t="s">
        <v>4438</v>
      </c>
      <c r="D50" s="64" t="s">
        <v>4439</v>
      </c>
      <c r="F50" s="37" t="s">
        <v>4440</v>
      </c>
      <c r="G50" s="37" t="s">
        <v>2920</v>
      </c>
      <c r="H50" s="37">
        <v>1.0</v>
      </c>
      <c r="I50" s="37">
        <v>0.0</v>
      </c>
      <c r="J50" s="37">
        <v>1.0</v>
      </c>
      <c r="K50" s="37">
        <v>1.0</v>
      </c>
      <c r="L50" s="37" t="b">
        <v>0</v>
      </c>
      <c r="M50" s="37">
        <v>1.0</v>
      </c>
    </row>
    <row r="51" ht="18.75" customHeight="1">
      <c r="A51" s="37" t="s">
        <v>4441</v>
      </c>
      <c r="C51" s="37" t="s">
        <v>4438</v>
      </c>
      <c r="D51" s="102" t="s">
        <v>4442</v>
      </c>
      <c r="F51" s="37" t="s">
        <v>4443</v>
      </c>
      <c r="G51" s="37" t="s">
        <v>2921</v>
      </c>
      <c r="H51" s="37">
        <v>1.0</v>
      </c>
      <c r="I51" s="39">
        <v>3.0</v>
      </c>
      <c r="J51" s="39">
        <v>2.0</v>
      </c>
      <c r="K51" s="39">
        <v>3.0</v>
      </c>
      <c r="L51" s="37" t="b">
        <v>1</v>
      </c>
      <c r="M51" s="37">
        <v>2.0</v>
      </c>
    </row>
    <row r="52" ht="18.75" customHeight="1">
      <c r="A52" s="37" t="s">
        <v>4444</v>
      </c>
      <c r="C52" s="37" t="s">
        <v>4438</v>
      </c>
      <c r="D52" s="64" t="s">
        <v>4445</v>
      </c>
      <c r="F52" s="37" t="s">
        <v>4446</v>
      </c>
      <c r="G52" s="37" t="s">
        <v>4447</v>
      </c>
      <c r="H52" s="37">
        <v>3.0</v>
      </c>
      <c r="I52" s="37">
        <v>5.0</v>
      </c>
      <c r="J52" s="37">
        <v>3.0</v>
      </c>
      <c r="K52" s="37">
        <v>5.0</v>
      </c>
      <c r="L52" s="37" t="b">
        <v>1</v>
      </c>
      <c r="M52" s="37">
        <v>3.0</v>
      </c>
    </row>
    <row r="53" ht="18.75" customHeight="1">
      <c r="A53" s="37">
        <v>1.0</v>
      </c>
      <c r="C53" s="37" t="s">
        <v>4448</v>
      </c>
      <c r="D53" s="64" t="s">
        <v>4449</v>
      </c>
      <c r="N53" s="37">
        <v>1.0</v>
      </c>
    </row>
    <row r="54" ht="18.75" customHeight="1">
      <c r="A54" s="37">
        <v>2.0</v>
      </c>
      <c r="C54" s="37" t="s">
        <v>4448</v>
      </c>
      <c r="D54" s="64" t="s">
        <v>4450</v>
      </c>
      <c r="N54" s="37">
        <v>1.15</v>
      </c>
    </row>
    <row r="55" ht="18.75" customHeight="1">
      <c r="A55" s="37">
        <v>3.0</v>
      </c>
      <c r="C55" s="37" t="s">
        <v>4448</v>
      </c>
      <c r="D55" s="64" t="s">
        <v>4451</v>
      </c>
      <c r="N55" s="37">
        <v>1.3</v>
      </c>
    </row>
    <row r="56" ht="18.75" customHeight="1">
      <c r="A56" s="37">
        <v>4.0</v>
      </c>
      <c r="C56" s="37" t="s">
        <v>4448</v>
      </c>
      <c r="D56" s="64" t="s">
        <v>4452</v>
      </c>
      <c r="N56" s="37">
        <v>1.5</v>
      </c>
    </row>
    <row r="57" ht="18.75" customHeight="1">
      <c r="A57" s="39" t="s">
        <v>4453</v>
      </c>
      <c r="B57" s="39" t="s">
        <v>29</v>
      </c>
      <c r="C57" s="39" t="s">
        <v>4370</v>
      </c>
      <c r="D57" s="102" t="s">
        <v>4454</v>
      </c>
      <c r="E57" s="39" t="s">
        <v>2596</v>
      </c>
    </row>
    <row r="58" ht="18.75" customHeight="1">
      <c r="A58" s="39" t="s">
        <v>4455</v>
      </c>
      <c r="B58" s="39" t="s">
        <v>29</v>
      </c>
      <c r="C58" s="39" t="s">
        <v>4370</v>
      </c>
      <c r="D58" s="102" t="s">
        <v>4456</v>
      </c>
      <c r="E58" s="39" t="s">
        <v>2596</v>
      </c>
    </row>
    <row r="59" ht="18.75" customHeight="1">
      <c r="A59" s="39" t="s">
        <v>4457</v>
      </c>
      <c r="B59" s="39" t="s">
        <v>29</v>
      </c>
      <c r="C59" s="39" t="s">
        <v>4370</v>
      </c>
      <c r="D59" s="102" t="s">
        <v>4458</v>
      </c>
      <c r="E59" s="39" t="s">
        <v>2596</v>
      </c>
    </row>
    <row r="60" ht="18.75" customHeight="1">
      <c r="A60" s="39" t="s">
        <v>4459</v>
      </c>
      <c r="C60" s="39" t="s">
        <v>4370</v>
      </c>
      <c r="D60" s="102" t="s">
        <v>4460</v>
      </c>
      <c r="E60" s="39" t="s">
        <v>2596</v>
      </c>
    </row>
    <row r="61" ht="18.75" customHeight="1">
      <c r="D61" s="64"/>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23.1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0" width="4.63"/>
    <col customWidth="1" min="21" max="24" width="12.0"/>
    <col customWidth="1" min="25" max="25" width="4.63"/>
    <col customWidth="1" min="26" max="26" width="10.5"/>
    <col customWidth="1" min="27" max="31" width="15.75"/>
    <col customWidth="1" min="32" max="32" width="8.38"/>
    <col customWidth="1" min="33" max="33" width="15.75"/>
    <col customWidth="1" min="34" max="34" width="4.63"/>
    <col customWidth="1" min="35" max="35" width="8.38"/>
  </cols>
  <sheetData>
    <row r="1" ht="18.75" customHeight="1">
      <c r="A1" s="37" t="s">
        <v>4461</v>
      </c>
      <c r="B1" s="150" t="s">
        <v>4462</v>
      </c>
      <c r="C1" s="37" t="s">
        <v>4463</v>
      </c>
      <c r="D1" s="37" t="s">
        <v>4464</v>
      </c>
      <c r="E1" s="37" t="s">
        <v>4465</v>
      </c>
      <c r="F1" s="37" t="s">
        <v>3317</v>
      </c>
      <c r="G1" s="151" t="s">
        <v>4466</v>
      </c>
      <c r="H1" s="151" t="s">
        <v>4467</v>
      </c>
      <c r="I1" s="151" t="s">
        <v>4468</v>
      </c>
      <c r="J1" s="152" t="s">
        <v>4403</v>
      </c>
      <c r="K1" s="152" t="s">
        <v>4400</v>
      </c>
      <c r="L1" s="151" t="s">
        <v>4469</v>
      </c>
      <c r="M1" s="151" t="s">
        <v>4470</v>
      </c>
      <c r="N1" s="151" t="s">
        <v>2599</v>
      </c>
      <c r="O1" s="151" t="s">
        <v>2600</v>
      </c>
      <c r="P1" s="151" t="s">
        <v>2601</v>
      </c>
      <c r="Q1" s="151" t="s">
        <v>2602</v>
      </c>
      <c r="R1" s="151" t="s">
        <v>2429</v>
      </c>
      <c r="S1" s="151" t="s">
        <v>1845</v>
      </c>
      <c r="T1" s="151" t="s">
        <v>849</v>
      </c>
      <c r="U1" s="151" t="s">
        <v>4471</v>
      </c>
      <c r="V1" s="151" t="s">
        <v>4472</v>
      </c>
      <c r="W1" s="152" t="s">
        <v>2921</v>
      </c>
      <c r="X1" s="151" t="s">
        <v>4473</v>
      </c>
      <c r="Y1" s="151" t="s">
        <v>2604</v>
      </c>
      <c r="Z1" s="151" t="s">
        <v>4474</v>
      </c>
      <c r="AA1" s="151" t="s">
        <v>2920</v>
      </c>
      <c r="AB1" s="151" t="s">
        <v>4394</v>
      </c>
      <c r="AC1" s="151" t="s">
        <v>4397</v>
      </c>
      <c r="AD1" s="151" t="s">
        <v>4405</v>
      </c>
      <c r="AE1" s="151" t="s">
        <v>3206</v>
      </c>
      <c r="AF1" s="151" t="s">
        <v>4475</v>
      </c>
      <c r="AG1" s="151" t="s">
        <v>4476</v>
      </c>
      <c r="AH1" s="151" t="s">
        <v>4477</v>
      </c>
      <c r="AI1" s="151" t="s">
        <v>4478</v>
      </c>
    </row>
    <row r="2" ht="18.75" customHeight="1">
      <c r="A2" s="37" t="s">
        <v>4479</v>
      </c>
      <c r="B2" s="153" t="s">
        <v>4480</v>
      </c>
      <c r="C2" s="37" t="s">
        <v>4481</v>
      </c>
      <c r="D2" s="39" t="s">
        <v>4482</v>
      </c>
      <c r="E2" s="39" t="s">
        <v>4483</v>
      </c>
      <c r="F2" s="39" t="s">
        <v>4484</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c r="AA2" s="37">
        <v>0.0</v>
      </c>
      <c r="AB2" s="37" t="s">
        <v>29</v>
      </c>
      <c r="AC2" s="37">
        <v>0.0</v>
      </c>
      <c r="AD2" s="37">
        <v>0.0</v>
      </c>
      <c r="AE2" s="37">
        <v>0.0</v>
      </c>
      <c r="AF2" s="37" t="s">
        <v>4485</v>
      </c>
      <c r="AG2" s="37" t="s">
        <v>29</v>
      </c>
      <c r="AH2" s="37" t="s">
        <v>29</v>
      </c>
      <c r="AI2" s="37" t="s">
        <v>29</v>
      </c>
    </row>
    <row r="3" ht="18.75" customHeight="1">
      <c r="A3" s="37" t="s">
        <v>4486</v>
      </c>
      <c r="B3" s="153" t="s">
        <v>4480</v>
      </c>
      <c r="C3" s="37" t="s">
        <v>4481</v>
      </c>
      <c r="D3" s="39" t="s">
        <v>4487</v>
      </c>
      <c r="E3" s="39" t="s">
        <v>4488</v>
      </c>
      <c r="F3" s="39" t="s">
        <v>4484</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c r="AA3" s="37">
        <v>0.0</v>
      </c>
      <c r="AB3" s="37" t="s">
        <v>29</v>
      </c>
      <c r="AC3" s="37">
        <v>0.0</v>
      </c>
      <c r="AD3" s="37">
        <v>0.0</v>
      </c>
      <c r="AE3" s="37">
        <v>0.0</v>
      </c>
      <c r="AF3" s="37" t="s">
        <v>4485</v>
      </c>
      <c r="AG3" s="37" t="s">
        <v>29</v>
      </c>
      <c r="AH3" s="37" t="s">
        <v>29</v>
      </c>
      <c r="AI3" s="37" t="s">
        <v>29</v>
      </c>
    </row>
    <row r="4" ht="18.75" customHeight="1">
      <c r="A4" s="37" t="s">
        <v>4489</v>
      </c>
      <c r="B4" s="153" t="s">
        <v>4480</v>
      </c>
      <c r="C4" s="37" t="s">
        <v>4481</v>
      </c>
      <c r="D4" s="39" t="s">
        <v>4490</v>
      </c>
      <c r="E4" s="39" t="s">
        <v>4491</v>
      </c>
      <c r="F4" s="39" t="s">
        <v>4484</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c r="AA4" s="37">
        <v>0.0</v>
      </c>
      <c r="AB4" s="37" t="s">
        <v>29</v>
      </c>
      <c r="AC4" s="37">
        <v>0.0</v>
      </c>
      <c r="AD4" s="37">
        <v>0.0</v>
      </c>
      <c r="AE4" s="37">
        <v>0.0</v>
      </c>
      <c r="AF4" s="37" t="s">
        <v>4485</v>
      </c>
      <c r="AG4" s="37" t="s">
        <v>29</v>
      </c>
      <c r="AH4" s="37" t="s">
        <v>29</v>
      </c>
      <c r="AI4" s="37" t="s">
        <v>29</v>
      </c>
    </row>
    <row r="5" ht="18.75" customHeight="1">
      <c r="A5" s="37" t="s">
        <v>4492</v>
      </c>
      <c r="B5" s="153" t="s">
        <v>4480</v>
      </c>
      <c r="C5" s="37" t="s">
        <v>4481</v>
      </c>
      <c r="D5" s="39" t="s">
        <v>4493</v>
      </c>
      <c r="E5" s="39" t="s">
        <v>4494</v>
      </c>
      <c r="F5" s="39" t="s">
        <v>4484</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c r="AA5" s="37">
        <v>0.0</v>
      </c>
      <c r="AB5" s="37" t="s">
        <v>29</v>
      </c>
      <c r="AC5" s="37">
        <v>0.0</v>
      </c>
      <c r="AD5" s="37">
        <v>0.0</v>
      </c>
      <c r="AE5" s="37">
        <v>0.0</v>
      </c>
      <c r="AF5" s="37" t="s">
        <v>4485</v>
      </c>
      <c r="AG5" s="37" t="s">
        <v>29</v>
      </c>
      <c r="AH5" s="37" t="s">
        <v>29</v>
      </c>
      <c r="AI5" s="37" t="s">
        <v>29</v>
      </c>
    </row>
    <row r="6" ht="18.75" customHeight="1">
      <c r="A6" s="37" t="s">
        <v>4495</v>
      </c>
      <c r="B6" s="153" t="s">
        <v>4480</v>
      </c>
      <c r="C6" s="37" t="s">
        <v>4481</v>
      </c>
      <c r="D6" s="39" t="s">
        <v>4496</v>
      </c>
      <c r="E6" s="39" t="s">
        <v>2602</v>
      </c>
      <c r="F6" s="39" t="s">
        <v>4484</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c r="AA6" s="37">
        <v>0.0</v>
      </c>
      <c r="AB6" s="37" t="s">
        <v>29</v>
      </c>
      <c r="AC6" s="37">
        <v>0.0</v>
      </c>
      <c r="AD6" s="37">
        <v>0.0</v>
      </c>
      <c r="AE6" s="37">
        <v>0.0</v>
      </c>
      <c r="AF6" s="37" t="s">
        <v>4485</v>
      </c>
      <c r="AG6" s="37" t="s">
        <v>29</v>
      </c>
      <c r="AH6" s="37" t="s">
        <v>29</v>
      </c>
      <c r="AI6" s="37" t="s">
        <v>29</v>
      </c>
    </row>
    <row r="7" ht="18.75" customHeight="1">
      <c r="A7" s="37" t="s">
        <v>4497</v>
      </c>
      <c r="B7" s="153" t="s">
        <v>4480</v>
      </c>
      <c r="C7" s="37" t="s">
        <v>4481</v>
      </c>
      <c r="D7" s="39" t="s">
        <v>4498</v>
      </c>
      <c r="E7" s="39" t="s">
        <v>2599</v>
      </c>
      <c r="F7" s="39" t="s">
        <v>4484</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c r="AA7" s="37">
        <v>0.0</v>
      </c>
      <c r="AB7" s="37" t="s">
        <v>29</v>
      </c>
      <c r="AC7" s="37">
        <v>0.0</v>
      </c>
      <c r="AD7" s="37">
        <v>0.0</v>
      </c>
      <c r="AE7" s="37">
        <v>0.0</v>
      </c>
      <c r="AF7" s="37" t="s">
        <v>4485</v>
      </c>
      <c r="AG7" s="37" t="s">
        <v>29</v>
      </c>
      <c r="AH7" s="37" t="s">
        <v>29</v>
      </c>
      <c r="AI7" s="37" t="s">
        <v>29</v>
      </c>
    </row>
    <row r="8" ht="18.75" customHeight="1">
      <c r="A8" s="37" t="s">
        <v>4499</v>
      </c>
      <c r="B8" s="153" t="s">
        <v>4480</v>
      </c>
      <c r="C8" s="37" t="s">
        <v>4481</v>
      </c>
      <c r="D8" s="39" t="s">
        <v>4500</v>
      </c>
      <c r="E8" s="39" t="s">
        <v>4501</v>
      </c>
      <c r="F8" s="39" t="s">
        <v>4484</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c r="AA8" s="37">
        <v>0.0</v>
      </c>
      <c r="AB8" s="37" t="s">
        <v>29</v>
      </c>
      <c r="AC8" s="37">
        <v>0.0</v>
      </c>
      <c r="AD8" s="37">
        <v>0.0</v>
      </c>
      <c r="AE8" s="37">
        <v>0.0</v>
      </c>
      <c r="AF8" s="37" t="s">
        <v>4485</v>
      </c>
      <c r="AG8" s="37" t="s">
        <v>29</v>
      </c>
      <c r="AH8" s="37" t="s">
        <v>29</v>
      </c>
      <c r="AI8" s="37" t="s">
        <v>29</v>
      </c>
    </row>
    <row r="9" ht="18.75" customHeight="1">
      <c r="A9" s="37" t="s">
        <v>4502</v>
      </c>
      <c r="B9" s="153" t="s">
        <v>4480</v>
      </c>
      <c r="C9" s="37" t="s">
        <v>4481</v>
      </c>
      <c r="D9" s="39" t="s">
        <v>4503</v>
      </c>
      <c r="E9" s="39" t="s">
        <v>4504</v>
      </c>
      <c r="F9" s="39" t="s">
        <v>4484</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c r="AA9" s="37">
        <v>0.0</v>
      </c>
      <c r="AB9" s="37" t="s">
        <v>29</v>
      </c>
      <c r="AC9" s="37">
        <v>0.0</v>
      </c>
      <c r="AD9" s="37">
        <v>0.0</v>
      </c>
      <c r="AE9" s="37">
        <v>0.0</v>
      </c>
      <c r="AF9" s="37" t="s">
        <v>4485</v>
      </c>
      <c r="AG9" s="37" t="s">
        <v>29</v>
      </c>
      <c r="AH9" s="37" t="s">
        <v>29</v>
      </c>
      <c r="AI9" s="37" t="s">
        <v>29</v>
      </c>
    </row>
    <row r="10" ht="18.75" customHeight="1">
      <c r="A10" s="37" t="s">
        <v>4505</v>
      </c>
      <c r="B10" s="153" t="s">
        <v>4480</v>
      </c>
      <c r="C10" s="37" t="s">
        <v>4481</v>
      </c>
      <c r="D10" s="39" t="s">
        <v>4506</v>
      </c>
      <c r="E10" s="39" t="s">
        <v>2601</v>
      </c>
      <c r="F10" s="39" t="s">
        <v>4484</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c r="AA10" s="37">
        <v>0.0</v>
      </c>
      <c r="AB10" s="37" t="s">
        <v>29</v>
      </c>
      <c r="AC10" s="37">
        <v>0.0</v>
      </c>
      <c r="AD10" s="37">
        <v>0.0</v>
      </c>
      <c r="AE10" s="37">
        <v>0.0</v>
      </c>
      <c r="AF10" s="37" t="s">
        <v>4485</v>
      </c>
      <c r="AG10" s="37" t="s">
        <v>29</v>
      </c>
      <c r="AH10" s="37" t="s">
        <v>29</v>
      </c>
      <c r="AI10" s="37" t="s">
        <v>29</v>
      </c>
    </row>
    <row r="11" ht="18.75" customHeight="1">
      <c r="A11" s="37" t="s">
        <v>4507</v>
      </c>
      <c r="B11" s="153" t="s">
        <v>4480</v>
      </c>
      <c r="C11" s="37" t="s">
        <v>4481</v>
      </c>
      <c r="D11" s="39" t="s">
        <v>4508</v>
      </c>
      <c r="E11" s="39" t="s">
        <v>4509</v>
      </c>
      <c r="F11" s="39" t="s">
        <v>4484</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c r="AA11" s="37">
        <v>0.0</v>
      </c>
      <c r="AB11" s="37" t="s">
        <v>29</v>
      </c>
      <c r="AC11" s="37">
        <v>0.0</v>
      </c>
      <c r="AD11" s="37">
        <v>0.0</v>
      </c>
      <c r="AE11" s="37">
        <v>0.0</v>
      </c>
      <c r="AF11" s="37" t="s">
        <v>4485</v>
      </c>
      <c r="AG11" s="37" t="s">
        <v>29</v>
      </c>
      <c r="AH11" s="37" t="s">
        <v>29</v>
      </c>
      <c r="AI11" s="37" t="s">
        <v>29</v>
      </c>
    </row>
    <row r="12" ht="18.75" customHeight="1">
      <c r="A12" s="37" t="s">
        <v>4510</v>
      </c>
      <c r="B12" s="153" t="s">
        <v>4480</v>
      </c>
      <c r="C12" s="37" t="s">
        <v>4481</v>
      </c>
      <c r="D12" s="39" t="s">
        <v>4511</v>
      </c>
      <c r="E12" s="39" t="s">
        <v>4512</v>
      </c>
      <c r="F12" s="39" t="s">
        <v>4484</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c r="AA12" s="37">
        <v>0.0</v>
      </c>
      <c r="AB12" s="37" t="s">
        <v>29</v>
      </c>
      <c r="AC12" s="37">
        <v>0.0</v>
      </c>
      <c r="AD12" s="37">
        <v>0.0</v>
      </c>
      <c r="AE12" s="37">
        <v>0.0</v>
      </c>
      <c r="AF12" s="37" t="s">
        <v>4485</v>
      </c>
      <c r="AG12" s="37" t="s">
        <v>29</v>
      </c>
      <c r="AH12" s="37" t="s">
        <v>29</v>
      </c>
      <c r="AI12" s="37" t="s">
        <v>29</v>
      </c>
    </row>
    <row r="13" ht="18.75" customHeight="1">
      <c r="A13" s="37" t="s">
        <v>4513</v>
      </c>
      <c r="B13" s="153" t="s">
        <v>4480</v>
      </c>
      <c r="C13" s="37" t="s">
        <v>4481</v>
      </c>
      <c r="D13" s="39" t="s">
        <v>4514</v>
      </c>
      <c r="E13" s="39" t="s">
        <v>4515</v>
      </c>
      <c r="F13" s="39" t="s">
        <v>4484</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c r="AA13" s="37">
        <v>0.0</v>
      </c>
      <c r="AB13" s="37" t="s">
        <v>29</v>
      </c>
      <c r="AC13" s="37">
        <v>0.0</v>
      </c>
      <c r="AD13" s="37">
        <v>0.0</v>
      </c>
      <c r="AE13" s="37">
        <v>0.0</v>
      </c>
      <c r="AF13" s="37" t="s">
        <v>4485</v>
      </c>
      <c r="AG13" s="37" t="s">
        <v>29</v>
      </c>
      <c r="AH13" s="37" t="s">
        <v>29</v>
      </c>
      <c r="AI13" s="37" t="s">
        <v>29</v>
      </c>
    </row>
    <row r="14" ht="18.75" customHeight="1">
      <c r="A14" s="37" t="s">
        <v>4516</v>
      </c>
      <c r="B14" s="153" t="s">
        <v>4480</v>
      </c>
      <c r="C14" s="37" t="s">
        <v>4481</v>
      </c>
      <c r="D14" s="39" t="s">
        <v>4517</v>
      </c>
      <c r="E14" s="39" t="s">
        <v>4518</v>
      </c>
      <c r="F14" s="39" t="s">
        <v>4484</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c r="AA14" s="37">
        <v>0.0</v>
      </c>
      <c r="AB14" s="37" t="s">
        <v>29</v>
      </c>
      <c r="AC14" s="37">
        <v>0.0</v>
      </c>
      <c r="AD14" s="37">
        <v>0.0</v>
      </c>
      <c r="AE14" s="37">
        <v>0.0</v>
      </c>
      <c r="AF14" s="37" t="s">
        <v>4485</v>
      </c>
      <c r="AG14" s="37" t="s">
        <v>29</v>
      </c>
      <c r="AH14" s="37" t="s">
        <v>29</v>
      </c>
      <c r="AI14" s="37" t="s">
        <v>29</v>
      </c>
    </row>
    <row r="15" ht="18.75" customHeight="1">
      <c r="A15" s="37" t="s">
        <v>4519</v>
      </c>
      <c r="B15" s="153" t="s">
        <v>4480</v>
      </c>
      <c r="C15" s="37" t="s">
        <v>4481</v>
      </c>
      <c r="D15" s="39" t="s">
        <v>4520</v>
      </c>
      <c r="E15" s="39" t="s">
        <v>4521</v>
      </c>
      <c r="F15" s="39" t="s">
        <v>4484</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c r="AA15" s="37">
        <v>0.0</v>
      </c>
      <c r="AB15" s="37" t="s">
        <v>29</v>
      </c>
      <c r="AC15" s="37">
        <v>0.0</v>
      </c>
      <c r="AD15" s="37">
        <v>0.0</v>
      </c>
      <c r="AE15" s="37">
        <v>0.0</v>
      </c>
      <c r="AF15" s="37" t="s">
        <v>4485</v>
      </c>
      <c r="AG15" s="37" t="s">
        <v>29</v>
      </c>
      <c r="AH15" s="37" t="s">
        <v>29</v>
      </c>
      <c r="AI15" s="37" t="s">
        <v>29</v>
      </c>
    </row>
    <row r="16" ht="18.75" customHeight="1">
      <c r="A16" s="37" t="s">
        <v>4522</v>
      </c>
      <c r="B16" s="153" t="s">
        <v>4523</v>
      </c>
      <c r="C16" s="37" t="s">
        <v>4524</v>
      </c>
      <c r="D16" s="39" t="s">
        <v>29</v>
      </c>
      <c r="E16" s="39" t="s">
        <v>4525</v>
      </c>
      <c r="F16" s="39" t="s">
        <v>4526</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c r="AA16" s="37">
        <v>0.0</v>
      </c>
      <c r="AB16" s="37" t="s">
        <v>29</v>
      </c>
      <c r="AC16" s="37">
        <v>0.0</v>
      </c>
      <c r="AD16" s="37">
        <v>0.0</v>
      </c>
      <c r="AE16" s="37">
        <v>0.0</v>
      </c>
      <c r="AF16" s="37" t="s">
        <v>4485</v>
      </c>
      <c r="AG16" s="37" t="s">
        <v>29</v>
      </c>
      <c r="AH16" s="37" t="s">
        <v>29</v>
      </c>
      <c r="AI16" s="37" t="s">
        <v>29</v>
      </c>
    </row>
    <row r="17" ht="18.75" customHeight="1">
      <c r="A17" s="37" t="s">
        <v>4527</v>
      </c>
      <c r="B17" s="153" t="s">
        <v>4523</v>
      </c>
      <c r="C17" s="37" t="s">
        <v>4524</v>
      </c>
      <c r="D17" s="39" t="s">
        <v>29</v>
      </c>
      <c r="E17" s="39" t="s">
        <v>4525</v>
      </c>
      <c r="F17" s="39" t="s">
        <v>4526</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c r="AA17" s="37">
        <v>0.0</v>
      </c>
      <c r="AB17" s="37" t="s">
        <v>29</v>
      </c>
      <c r="AC17" s="37">
        <v>0.0</v>
      </c>
      <c r="AD17" s="37">
        <v>0.0</v>
      </c>
      <c r="AE17" s="37">
        <v>0.0</v>
      </c>
      <c r="AF17" s="37" t="s">
        <v>4485</v>
      </c>
      <c r="AG17" s="37" t="s">
        <v>29</v>
      </c>
      <c r="AH17" s="37" t="s">
        <v>29</v>
      </c>
      <c r="AI17" s="37" t="s">
        <v>29</v>
      </c>
    </row>
    <row r="18" ht="18.75" customHeight="1">
      <c r="A18" s="37" t="s">
        <v>4528</v>
      </c>
      <c r="B18" s="153" t="s">
        <v>4523</v>
      </c>
      <c r="C18" s="37" t="s">
        <v>4524</v>
      </c>
      <c r="D18" s="39" t="s">
        <v>29</v>
      </c>
      <c r="E18" s="39" t="s">
        <v>4525</v>
      </c>
      <c r="F18" s="39" t="s">
        <v>4526</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c r="AA18" s="37">
        <v>0.0</v>
      </c>
      <c r="AB18" s="37" t="s">
        <v>29</v>
      </c>
      <c r="AC18" s="37">
        <v>0.0</v>
      </c>
      <c r="AD18" s="37">
        <v>0.0</v>
      </c>
      <c r="AE18" s="37">
        <v>0.0</v>
      </c>
      <c r="AF18" s="37" t="s">
        <v>4485</v>
      </c>
      <c r="AG18" s="37" t="s">
        <v>29</v>
      </c>
      <c r="AH18" s="37" t="s">
        <v>29</v>
      </c>
      <c r="AI18" s="37" t="s">
        <v>29</v>
      </c>
    </row>
    <row r="19" ht="18.75" customHeight="1">
      <c r="A19" s="37" t="s">
        <v>4529</v>
      </c>
      <c r="B19" s="153" t="s">
        <v>4530</v>
      </c>
      <c r="C19" s="37" t="s">
        <v>4531</v>
      </c>
      <c r="D19" s="37" t="s">
        <v>4532</v>
      </c>
      <c r="E19" s="37" t="s">
        <v>4533</v>
      </c>
      <c r="F19" s="37" t="s">
        <v>4534</v>
      </c>
    </row>
    <row r="20" ht="18.75" customHeight="1">
      <c r="A20" s="37" t="s">
        <v>4535</v>
      </c>
      <c r="B20" s="153" t="s">
        <v>4530</v>
      </c>
      <c r="C20" s="37" t="s">
        <v>4531</v>
      </c>
      <c r="D20" s="37" t="s">
        <v>4536</v>
      </c>
      <c r="E20" s="37" t="s">
        <v>4533</v>
      </c>
      <c r="F20" s="37" t="s">
        <v>4534</v>
      </c>
    </row>
    <row r="21" ht="18.75" customHeight="1">
      <c r="A21" s="37" t="s">
        <v>4537</v>
      </c>
      <c r="B21" s="153" t="s">
        <v>4530</v>
      </c>
      <c r="C21" s="37" t="s">
        <v>4531</v>
      </c>
      <c r="D21" s="37" t="s">
        <v>4538</v>
      </c>
      <c r="E21" s="37" t="s">
        <v>4533</v>
      </c>
      <c r="F21" s="37" t="s">
        <v>4534</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min="14" max="14" width="3.88" outlineLevel="1"/>
    <col customWidth="1" min="15" max="16" width="4.0" outlineLevel="1"/>
    <col customWidth="1" min="17" max="18" width="3.88" outlineLevel="1"/>
    <col customWidth="1" min="19" max="20" width="4.63" outlineLevel="1"/>
    <col customWidth="1" min="21" max="21" width="4.75" outlineLevel="1"/>
    <col customWidth="1" min="22" max="22" width="3.88" outlineLevel="1"/>
    <col customWidth="1" min="23" max="24" width="4.75" outlineLevel="1"/>
    <col customWidth="1" min="25" max="25" width="3.13" outlineLevel="1"/>
    <col customWidth="1" min="26" max="26" width="7.63"/>
    <col customWidth="1" min="27" max="27" width="4.5"/>
    <col customWidth="1" hidden="1" min="28" max="41" width="4.5" outlineLevel="1"/>
    <col collapsed="1"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s>
  <sheetData>
    <row r="1" ht="37.5" customHeight="1">
      <c r="A1" s="64" t="s">
        <v>4539</v>
      </c>
      <c r="B1" s="64" t="s">
        <v>4540</v>
      </c>
      <c r="C1" s="64" t="s">
        <v>2620</v>
      </c>
      <c r="D1" s="102" t="s">
        <v>4541</v>
      </c>
      <c r="E1" s="64" t="s">
        <v>4542</v>
      </c>
      <c r="F1" s="64" t="s">
        <v>4543</v>
      </c>
      <c r="G1" s="64" t="s">
        <v>4544</v>
      </c>
      <c r="H1" s="154" t="s">
        <v>4369</v>
      </c>
      <c r="I1" s="154" t="s">
        <v>4372</v>
      </c>
      <c r="J1" s="154" t="s">
        <v>4374</v>
      </c>
      <c r="K1" s="154" t="s">
        <v>4376</v>
      </c>
      <c r="L1" s="154" t="s">
        <v>4378</v>
      </c>
      <c r="M1" s="155" t="s">
        <v>3192</v>
      </c>
      <c r="N1" s="155" t="s">
        <v>3193</v>
      </c>
      <c r="O1" s="155" t="s">
        <v>3194</v>
      </c>
      <c r="P1" s="156" t="s">
        <v>3195</v>
      </c>
      <c r="Q1" s="156" t="s">
        <v>3196</v>
      </c>
      <c r="R1" s="156" t="s">
        <v>3197</v>
      </c>
      <c r="S1" s="156" t="s">
        <v>3198</v>
      </c>
      <c r="T1" s="156" t="s">
        <v>3199</v>
      </c>
      <c r="U1" s="74" t="s">
        <v>3200</v>
      </c>
      <c r="V1" s="74" t="s">
        <v>3201</v>
      </c>
      <c r="W1" s="74" t="s">
        <v>3202</v>
      </c>
      <c r="X1" s="149" t="s">
        <v>2628</v>
      </c>
      <c r="Y1" s="149" t="s">
        <v>2627</v>
      </c>
      <c r="Z1" s="64"/>
      <c r="AA1" s="49" t="s">
        <v>2593</v>
      </c>
      <c r="AB1" s="49" t="s">
        <v>1921</v>
      </c>
      <c r="AC1" s="49" t="s">
        <v>2594</v>
      </c>
      <c r="AD1" s="49" t="s">
        <v>2595</v>
      </c>
      <c r="AE1" s="49" t="s">
        <v>2596</v>
      </c>
      <c r="AF1" s="51" t="s">
        <v>1139</v>
      </c>
      <c r="AG1" s="51" t="s">
        <v>2598</v>
      </c>
      <c r="AH1" s="157" t="s">
        <v>2599</v>
      </c>
      <c r="AI1" s="157" t="s">
        <v>2600</v>
      </c>
      <c r="AJ1" s="157" t="s">
        <v>2601</v>
      </c>
      <c r="AK1" s="157" t="s">
        <v>2602</v>
      </c>
      <c r="AL1" s="53" t="s">
        <v>2603</v>
      </c>
      <c r="AM1" s="53" t="s">
        <v>2604</v>
      </c>
      <c r="AN1" s="53" t="s">
        <v>2429</v>
      </c>
      <c r="AO1" s="53" t="s">
        <v>1179</v>
      </c>
      <c r="AP1" s="64" t="s">
        <v>4411</v>
      </c>
      <c r="AQ1" s="64" t="s">
        <v>3205</v>
      </c>
      <c r="AR1" s="64" t="s">
        <v>4397</v>
      </c>
      <c r="AS1" s="64" t="s">
        <v>4400</v>
      </c>
      <c r="AT1" s="64" t="s">
        <v>4403</v>
      </c>
      <c r="AU1" s="64" t="s">
        <v>4405</v>
      </c>
      <c r="AV1" s="64" t="s">
        <v>1845</v>
      </c>
      <c r="AW1" s="64" t="s">
        <v>3206</v>
      </c>
      <c r="AX1" s="64" t="s">
        <v>849</v>
      </c>
      <c r="AY1" s="64" t="s">
        <v>3188</v>
      </c>
      <c r="AZ1" s="64" t="s">
        <v>3650</v>
      </c>
      <c r="BA1" s="64" t="s">
        <v>4545</v>
      </c>
      <c r="BB1" s="64" t="s">
        <v>4546</v>
      </c>
      <c r="BC1" s="64" t="s">
        <v>4547</v>
      </c>
      <c r="BD1" s="64" t="s">
        <v>4548</v>
      </c>
      <c r="BE1" s="64" t="s">
        <v>4549</v>
      </c>
      <c r="BF1" s="64" t="s">
        <v>4550</v>
      </c>
      <c r="BG1" s="64" t="s">
        <v>4551</v>
      </c>
      <c r="BH1" s="64" t="s">
        <v>4552</v>
      </c>
      <c r="BI1" s="102" t="s">
        <v>4553</v>
      </c>
      <c r="BJ1" s="102" t="s">
        <v>4554</v>
      </c>
      <c r="BK1" s="102" t="s">
        <v>4555</v>
      </c>
      <c r="BL1" s="102" t="s">
        <v>4556</v>
      </c>
      <c r="BM1" s="102" t="s">
        <v>4557</v>
      </c>
      <c r="BN1" s="158" t="s">
        <v>4558</v>
      </c>
      <c r="BO1" s="158" t="s">
        <v>4559</v>
      </c>
      <c r="BP1" s="158" t="s">
        <v>4560</v>
      </c>
      <c r="BQ1" s="158" t="s">
        <v>4561</v>
      </c>
      <c r="BR1" s="159" t="s">
        <v>4562</v>
      </c>
      <c r="BS1" s="160" t="s">
        <v>4563</v>
      </c>
      <c r="BT1" s="160" t="s">
        <v>4564</v>
      </c>
      <c r="BU1" s="160" t="s">
        <v>4565</v>
      </c>
      <c r="BV1" s="160" t="s">
        <v>4566</v>
      </c>
      <c r="BW1" s="160" t="s">
        <v>4567</v>
      </c>
      <c r="BX1" s="161" t="s">
        <v>4568</v>
      </c>
      <c r="BY1" s="160" t="s">
        <v>4569</v>
      </c>
      <c r="BZ1" s="160" t="s">
        <v>4570</v>
      </c>
      <c r="CA1" s="160" t="s">
        <v>4571</v>
      </c>
      <c r="CB1" s="160" t="s">
        <v>4572</v>
      </c>
      <c r="CC1" s="160" t="s">
        <v>4573</v>
      </c>
      <c r="CD1" s="161" t="s">
        <v>4574</v>
      </c>
      <c r="CE1" s="161" t="s">
        <v>4575</v>
      </c>
    </row>
    <row r="2" ht="13.5" customHeight="1">
      <c r="A2" s="37" t="s">
        <v>4576</v>
      </c>
      <c r="B2" s="37" t="s">
        <v>4577</v>
      </c>
      <c r="C2" s="64" t="s">
        <v>4578</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62"/>
      <c r="AI2" s="162"/>
      <c r="AJ2" s="162"/>
      <c r="AK2" s="162"/>
      <c r="AZ2" s="37" t="s">
        <v>4579</v>
      </c>
      <c r="BA2" s="37" t="s">
        <v>4580</v>
      </c>
      <c r="BB2" s="37">
        <v>1.0</v>
      </c>
      <c r="BC2" s="41">
        <v>0.0</v>
      </c>
      <c r="BD2" s="37">
        <v>2.0</v>
      </c>
      <c r="BE2" s="37" t="s">
        <v>4576</v>
      </c>
      <c r="BF2" s="37">
        <v>60.0</v>
      </c>
      <c r="BG2" s="37">
        <v>20.0</v>
      </c>
      <c r="BH2" s="37">
        <v>1.0</v>
      </c>
      <c r="BI2" s="39" t="s">
        <v>4581</v>
      </c>
      <c r="BJ2" s="39"/>
      <c r="BK2" s="39"/>
      <c r="BL2" s="39"/>
      <c r="BM2" s="39"/>
      <c r="BN2" s="158"/>
      <c r="BO2" s="158"/>
      <c r="BP2" s="158"/>
      <c r="BQ2" s="158"/>
      <c r="BR2" s="158"/>
      <c r="BS2" s="158" t="s">
        <v>4582</v>
      </c>
      <c r="BT2" s="158">
        <v>100.0</v>
      </c>
      <c r="BU2" s="158"/>
      <c r="BV2" s="158"/>
      <c r="BW2" s="158"/>
      <c r="BX2" s="158"/>
      <c r="BY2" s="158"/>
      <c r="BZ2" s="158"/>
      <c r="CA2" s="158"/>
      <c r="CB2" s="158"/>
      <c r="CC2" s="158"/>
      <c r="CD2" s="158"/>
      <c r="CE2" s="158"/>
    </row>
    <row r="3" ht="13.5" customHeight="1">
      <c r="A3" s="37" t="s">
        <v>4583</v>
      </c>
      <c r="B3" s="37" t="s">
        <v>4584</v>
      </c>
      <c r="C3" s="64" t="s">
        <v>4585</v>
      </c>
      <c r="D3" s="37" t="s">
        <v>4576</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62"/>
      <c r="AI3" s="162"/>
      <c r="AJ3" s="162"/>
      <c r="AK3" s="162"/>
      <c r="AZ3" s="37" t="s">
        <v>4579</v>
      </c>
      <c r="BA3" s="37" t="s">
        <v>4586</v>
      </c>
      <c r="BB3" s="37">
        <v>2.0</v>
      </c>
      <c r="BC3" s="37">
        <v>125.0</v>
      </c>
      <c r="BD3" s="37">
        <v>4.0</v>
      </c>
      <c r="BE3" s="37" t="s">
        <v>4583</v>
      </c>
      <c r="BF3" s="37">
        <v>57.0</v>
      </c>
      <c r="BG3" s="37">
        <v>50.0</v>
      </c>
      <c r="BH3" s="37">
        <v>2.0</v>
      </c>
      <c r="BI3" s="39" t="s">
        <v>4581</v>
      </c>
      <c r="BJ3" s="41" t="s">
        <v>4576</v>
      </c>
      <c r="BK3" s="39"/>
      <c r="BL3" s="39"/>
      <c r="BM3" s="64">
        <v>4.0</v>
      </c>
      <c r="BN3" s="158"/>
      <c r="BO3" s="158"/>
      <c r="BP3" s="158"/>
      <c r="BQ3" s="158"/>
      <c r="BR3" s="163" t="s">
        <v>4587</v>
      </c>
      <c r="BS3" s="158" t="s">
        <v>4582</v>
      </c>
      <c r="BT3" s="158">
        <v>50.0</v>
      </c>
      <c r="BU3" s="158"/>
      <c r="BV3" s="158"/>
      <c r="BW3" s="158"/>
      <c r="BX3" s="158"/>
      <c r="BY3" s="158"/>
      <c r="BZ3" s="158"/>
      <c r="CA3" s="158"/>
      <c r="CB3" s="158"/>
      <c r="CC3" s="158"/>
      <c r="CD3" s="158"/>
      <c r="CE3" s="158"/>
    </row>
    <row r="4" ht="13.5" customHeight="1">
      <c r="A4" s="37" t="s">
        <v>4588</v>
      </c>
      <c r="B4" s="37" t="s">
        <v>4589</v>
      </c>
      <c r="C4" s="64" t="s">
        <v>4590</v>
      </c>
      <c r="D4" s="37" t="s">
        <v>4583</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62"/>
      <c r="AI4" s="162"/>
      <c r="AJ4" s="162"/>
      <c r="AK4" s="162"/>
      <c r="AZ4" s="37" t="s">
        <v>4579</v>
      </c>
      <c r="BA4" s="37" t="s">
        <v>4591</v>
      </c>
      <c r="BB4" s="37">
        <v>3.0</v>
      </c>
      <c r="BC4" s="37">
        <v>260.0</v>
      </c>
      <c r="BD4" s="37">
        <v>7.0</v>
      </c>
      <c r="BE4" s="37" t="s">
        <v>4588</v>
      </c>
      <c r="BF4" s="37">
        <v>66.0</v>
      </c>
      <c r="BG4" s="37">
        <v>100.0</v>
      </c>
      <c r="BH4" s="37">
        <v>3.0</v>
      </c>
      <c r="BI4" s="39" t="s">
        <v>4581</v>
      </c>
      <c r="BJ4" s="41" t="s">
        <v>4583</v>
      </c>
      <c r="BK4" s="39"/>
      <c r="BL4" s="39"/>
      <c r="BM4" s="64">
        <v>8.0</v>
      </c>
      <c r="BN4" s="158"/>
      <c r="BO4" s="158"/>
      <c r="BP4" s="158"/>
      <c r="BQ4" s="158"/>
      <c r="BR4" s="163" t="s">
        <v>4592</v>
      </c>
      <c r="BS4" s="158" t="s">
        <v>4582</v>
      </c>
      <c r="BT4" s="158">
        <v>40.0</v>
      </c>
      <c r="BU4" s="158"/>
      <c r="BV4" s="158"/>
      <c r="BW4" s="158"/>
      <c r="BX4" s="158"/>
      <c r="BY4" s="158"/>
      <c r="BZ4" s="158"/>
      <c r="CA4" s="158"/>
      <c r="CB4" s="158"/>
      <c r="CC4" s="158"/>
      <c r="CD4" s="158"/>
      <c r="CE4" s="158"/>
    </row>
    <row r="5" ht="13.5" customHeight="1">
      <c r="A5" s="37" t="s">
        <v>4593</v>
      </c>
      <c r="B5" s="37" t="s">
        <v>4594</v>
      </c>
      <c r="C5" s="64" t="s">
        <v>4595</v>
      </c>
      <c r="D5" s="37" t="s">
        <v>4588</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62"/>
      <c r="AI5" s="162"/>
      <c r="AJ5" s="162"/>
      <c r="AK5" s="162"/>
      <c r="AZ5" s="37" t="s">
        <v>4579</v>
      </c>
      <c r="BA5" s="37" t="s">
        <v>4596</v>
      </c>
      <c r="BB5" s="37">
        <v>4.0</v>
      </c>
      <c r="BC5" s="37">
        <v>420.0</v>
      </c>
      <c r="BD5" s="37">
        <v>10.0</v>
      </c>
      <c r="BE5" s="37" t="s">
        <v>4593</v>
      </c>
      <c r="BF5" s="37">
        <v>78.0</v>
      </c>
      <c r="BG5" s="37">
        <v>150.0</v>
      </c>
      <c r="BH5" s="37">
        <v>7.0</v>
      </c>
      <c r="BI5" s="39" t="s">
        <v>4581</v>
      </c>
      <c r="BJ5" s="41" t="s">
        <v>4588</v>
      </c>
      <c r="BK5" s="39"/>
      <c r="BL5" s="39"/>
      <c r="BM5" s="64">
        <v>16.0</v>
      </c>
      <c r="BN5" s="158"/>
      <c r="BO5" s="158"/>
      <c r="BP5" s="158"/>
      <c r="BQ5" s="158"/>
      <c r="BR5" s="163" t="s">
        <v>4597</v>
      </c>
      <c r="BS5" s="158" t="s">
        <v>4582</v>
      </c>
      <c r="BT5" s="158">
        <v>30.0</v>
      </c>
      <c r="BU5" s="158"/>
      <c r="BV5" s="158"/>
      <c r="BW5" s="158"/>
      <c r="BX5" s="158"/>
      <c r="BY5" s="158"/>
      <c r="BZ5" s="158"/>
      <c r="CA5" s="158"/>
      <c r="CB5" s="158"/>
      <c r="CC5" s="158"/>
      <c r="CD5" s="158"/>
      <c r="CE5" s="158"/>
    </row>
    <row r="6" ht="18.75" customHeight="1">
      <c r="A6" s="37" t="s">
        <v>4598</v>
      </c>
      <c r="B6" s="37" t="s">
        <v>4577</v>
      </c>
      <c r="C6" s="64" t="s">
        <v>4599</v>
      </c>
      <c r="D6" s="39"/>
      <c r="E6" s="64">
        <v>2.0</v>
      </c>
      <c r="F6" s="102">
        <v>0.0</v>
      </c>
      <c r="G6" s="64" t="s">
        <v>3055</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62"/>
      <c r="AI6" s="162"/>
      <c r="AJ6" s="162"/>
      <c r="AK6" s="162"/>
      <c r="BI6" s="39" t="s">
        <v>4581</v>
      </c>
      <c r="BJ6" s="39"/>
      <c r="BK6" s="39"/>
      <c r="BL6" s="39"/>
      <c r="BM6" s="39"/>
      <c r="BN6" s="158" t="s">
        <v>4600</v>
      </c>
      <c r="BO6" s="158" t="s">
        <v>4601</v>
      </c>
      <c r="BP6" s="158">
        <v>0.0</v>
      </c>
      <c r="BQ6" s="158"/>
      <c r="BR6" s="163" t="s">
        <v>4576</v>
      </c>
      <c r="BS6" s="158" t="s">
        <v>4602</v>
      </c>
      <c r="BT6" s="158">
        <v>85.0</v>
      </c>
      <c r="BU6" s="158"/>
      <c r="BV6" s="158"/>
      <c r="BW6" s="158"/>
      <c r="BX6" s="158"/>
      <c r="BY6" s="158"/>
      <c r="BZ6" s="158"/>
      <c r="CA6" s="158"/>
      <c r="CB6" s="158"/>
      <c r="CC6" s="158"/>
      <c r="CD6" s="158"/>
      <c r="CE6" s="158"/>
    </row>
    <row r="7" ht="18.75" customHeight="1">
      <c r="A7" s="37" t="s">
        <v>4603</v>
      </c>
      <c r="B7" s="37" t="s">
        <v>4577</v>
      </c>
      <c r="C7" s="64" t="s">
        <v>4604</v>
      </c>
      <c r="D7" s="39"/>
      <c r="E7" s="64">
        <v>4.0</v>
      </c>
      <c r="F7" s="64"/>
      <c r="G7" s="64" t="s">
        <v>3055</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62"/>
      <c r="AI7" s="162"/>
      <c r="AJ7" s="162"/>
      <c r="AK7" s="162"/>
      <c r="AU7" s="37">
        <v>25.0</v>
      </c>
      <c r="AY7" s="37">
        <v>35.0</v>
      </c>
      <c r="BI7" s="39" t="s">
        <v>4581</v>
      </c>
      <c r="BJ7" s="39"/>
      <c r="BK7" s="39"/>
      <c r="BL7" s="39"/>
      <c r="BM7" s="39"/>
      <c r="BN7" s="158"/>
      <c r="BO7" s="158"/>
      <c r="BP7" s="158"/>
      <c r="BQ7" s="158"/>
      <c r="BR7" s="163" t="s">
        <v>4605</v>
      </c>
      <c r="BS7" s="158" t="s">
        <v>4606</v>
      </c>
      <c r="BT7" s="158">
        <v>50.0</v>
      </c>
      <c r="BU7" s="158"/>
      <c r="BV7" s="158"/>
      <c r="BW7" s="158"/>
      <c r="BX7" s="158"/>
      <c r="BY7" s="158"/>
      <c r="BZ7" s="158"/>
      <c r="CA7" s="158"/>
      <c r="CB7" s="158"/>
      <c r="CC7" s="158"/>
      <c r="CD7" s="158"/>
      <c r="CE7" s="158"/>
    </row>
    <row r="8" ht="18.75" customHeight="1">
      <c r="A8" s="37" t="s">
        <v>4607</v>
      </c>
      <c r="B8" s="37" t="s">
        <v>4577</v>
      </c>
      <c r="C8" s="64" t="s">
        <v>4608</v>
      </c>
      <c r="D8" s="39"/>
      <c r="E8" s="64">
        <v>2.0</v>
      </c>
      <c r="F8" s="102">
        <v>0.0</v>
      </c>
      <c r="G8" s="64" t="s">
        <v>3055</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62"/>
      <c r="AI8" s="162"/>
      <c r="AJ8" s="162"/>
      <c r="AK8" s="162"/>
      <c r="BI8" s="39" t="s">
        <v>4581</v>
      </c>
      <c r="BJ8" s="39"/>
      <c r="BK8" s="39"/>
      <c r="BL8" s="39"/>
      <c r="BM8" s="39"/>
      <c r="BN8" s="158"/>
      <c r="BO8" s="158"/>
      <c r="BP8" s="158"/>
      <c r="BQ8" s="158"/>
      <c r="BR8" s="163" t="s">
        <v>4598</v>
      </c>
      <c r="BS8" s="158" t="s">
        <v>4602</v>
      </c>
      <c r="BT8" s="158">
        <v>65.0</v>
      </c>
      <c r="BU8" s="158"/>
      <c r="BV8" s="158"/>
      <c r="BW8" s="158"/>
      <c r="BX8" s="158"/>
      <c r="BY8" s="158"/>
      <c r="BZ8" s="158"/>
      <c r="CA8" s="158"/>
      <c r="CB8" s="158"/>
      <c r="CC8" s="158"/>
      <c r="CD8" s="158"/>
      <c r="CE8" s="158"/>
    </row>
    <row r="9" ht="18.75" customHeight="1">
      <c r="A9" s="37" t="s">
        <v>4609</v>
      </c>
      <c r="B9" s="37" t="s">
        <v>4577</v>
      </c>
      <c r="C9" s="64" t="s">
        <v>4610</v>
      </c>
      <c r="D9" s="39"/>
      <c r="E9" s="64">
        <v>2.0</v>
      </c>
      <c r="F9" s="64"/>
      <c r="G9" s="64" t="s">
        <v>3055</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62"/>
      <c r="AI9" s="162"/>
      <c r="AJ9" s="162"/>
      <c r="AK9" s="162">
        <v>25.0</v>
      </c>
      <c r="AP9" s="37">
        <v>25.0</v>
      </c>
      <c r="BI9" s="39" t="s">
        <v>4581</v>
      </c>
      <c r="BJ9" s="39"/>
      <c r="BK9" s="39"/>
      <c r="BL9" s="39"/>
      <c r="BM9" s="39"/>
      <c r="BN9" s="158"/>
      <c r="BO9" s="158"/>
      <c r="BP9" s="158"/>
      <c r="BQ9" s="158"/>
      <c r="BR9" s="163" t="s">
        <v>4576</v>
      </c>
      <c r="BS9" s="158" t="s">
        <v>4611</v>
      </c>
      <c r="BT9" s="158">
        <v>70.0</v>
      </c>
      <c r="BU9" s="158"/>
      <c r="BV9" s="158"/>
      <c r="BW9" s="158"/>
      <c r="BX9" s="158"/>
      <c r="BY9" s="158"/>
      <c r="BZ9" s="158"/>
      <c r="CA9" s="158"/>
      <c r="CB9" s="158"/>
      <c r="CC9" s="158"/>
      <c r="CD9" s="158"/>
      <c r="CE9" s="158"/>
    </row>
    <row r="10" ht="18.75" customHeight="1">
      <c r="A10" s="37" t="s">
        <v>4612</v>
      </c>
      <c r="B10" s="37" t="s">
        <v>4577</v>
      </c>
      <c r="C10" s="64" t="s">
        <v>4613</v>
      </c>
      <c r="D10" s="39"/>
      <c r="E10" s="64">
        <v>6.0</v>
      </c>
      <c r="F10" s="64"/>
      <c r="G10" s="64" t="s">
        <v>4614</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62"/>
      <c r="AI10" s="162"/>
      <c r="AJ10" s="162"/>
      <c r="AK10" s="162"/>
      <c r="BI10" s="39" t="s">
        <v>4581</v>
      </c>
      <c r="BJ10" s="39"/>
      <c r="BK10" s="39"/>
      <c r="BL10" s="39"/>
      <c r="BM10" s="39"/>
      <c r="BN10" s="158"/>
      <c r="BO10" s="158"/>
      <c r="BP10" s="158"/>
      <c r="BQ10" s="158"/>
      <c r="BR10" s="163" t="s">
        <v>4576</v>
      </c>
      <c r="BS10" s="158" t="s">
        <v>4602</v>
      </c>
      <c r="BT10" s="158">
        <v>75.0</v>
      </c>
      <c r="BU10" s="158"/>
      <c r="BV10" s="158"/>
      <c r="BW10" s="158"/>
      <c r="BX10" s="158"/>
      <c r="BY10" s="158"/>
      <c r="BZ10" s="158"/>
      <c r="CA10" s="158"/>
      <c r="CB10" s="158"/>
      <c r="CC10" s="158"/>
      <c r="CD10" s="158"/>
      <c r="CE10" s="158"/>
    </row>
    <row r="11" ht="18.75" customHeight="1">
      <c r="A11" s="37" t="s">
        <v>4615</v>
      </c>
      <c r="B11" s="37" t="s">
        <v>4577</v>
      </c>
      <c r="C11" s="64"/>
      <c r="D11" s="39"/>
      <c r="E11" s="64">
        <v>6.0</v>
      </c>
      <c r="F11" s="64"/>
      <c r="G11" s="64" t="s">
        <v>4614</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62"/>
      <c r="AI11" s="162"/>
      <c r="AJ11" s="162"/>
      <c r="AK11" s="162"/>
      <c r="BI11" s="39" t="s">
        <v>4581</v>
      </c>
      <c r="BJ11" s="39"/>
      <c r="BK11" s="39"/>
      <c r="BL11" s="39"/>
      <c r="BM11" s="39"/>
      <c r="BN11" s="158"/>
      <c r="BO11" s="158"/>
      <c r="BP11" s="158"/>
      <c r="BQ11" s="158"/>
      <c r="BR11" s="163" t="s">
        <v>4616</v>
      </c>
      <c r="BS11" s="158" t="s">
        <v>4602</v>
      </c>
      <c r="BT11" s="158">
        <v>55.0</v>
      </c>
      <c r="BU11" s="158"/>
      <c r="BV11" s="158"/>
      <c r="BW11" s="158"/>
      <c r="BX11" s="158"/>
      <c r="BY11" s="158"/>
      <c r="BZ11" s="158"/>
      <c r="CA11" s="158"/>
      <c r="CB11" s="158"/>
      <c r="CC11" s="158"/>
      <c r="CD11" s="158"/>
      <c r="CE11" s="158"/>
    </row>
    <row r="12" ht="18.75" customHeight="1">
      <c r="A12" s="37" t="s">
        <v>4617</v>
      </c>
      <c r="B12" s="37" t="s">
        <v>4577</v>
      </c>
      <c r="C12" s="64" t="s">
        <v>4618</v>
      </c>
      <c r="D12" s="39"/>
      <c r="E12" s="64">
        <v>2.0</v>
      </c>
      <c r="F12" s="64"/>
      <c r="G12" s="64" t="s">
        <v>4614</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62"/>
      <c r="AI12" s="162"/>
      <c r="AJ12" s="162"/>
      <c r="AK12" s="162"/>
      <c r="BI12" s="39" t="s">
        <v>4581</v>
      </c>
      <c r="BJ12" s="39"/>
      <c r="BK12" s="39"/>
      <c r="BL12" s="39"/>
      <c r="BM12" s="39"/>
      <c r="BN12" s="158"/>
      <c r="BO12" s="158"/>
      <c r="BP12" s="158"/>
      <c r="BQ12" s="158"/>
      <c r="BR12" s="163" t="s">
        <v>4576</v>
      </c>
      <c r="BS12" s="158" t="s">
        <v>4602</v>
      </c>
      <c r="BT12" s="158">
        <v>80.0</v>
      </c>
      <c r="BU12" s="158"/>
      <c r="BV12" s="158"/>
      <c r="BW12" s="158"/>
      <c r="BX12" s="158"/>
      <c r="BY12" s="158"/>
      <c r="BZ12" s="158"/>
      <c r="CA12" s="158"/>
      <c r="CB12" s="158"/>
      <c r="CC12" s="158"/>
      <c r="CD12" s="158"/>
      <c r="CE12" s="158"/>
    </row>
    <row r="13" ht="18.75" customHeight="1">
      <c r="A13" s="37" t="s">
        <v>4619</v>
      </c>
      <c r="B13" s="37" t="s">
        <v>4577</v>
      </c>
      <c r="C13" s="64" t="s">
        <v>4620</v>
      </c>
      <c r="D13" s="39"/>
      <c r="E13" s="64">
        <v>2.0</v>
      </c>
      <c r="F13" s="64"/>
      <c r="G13" s="64" t="s">
        <v>3055</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62"/>
      <c r="AI13" s="162"/>
      <c r="AJ13" s="162"/>
      <c r="AK13" s="162"/>
      <c r="BI13" s="39" t="s">
        <v>4581</v>
      </c>
      <c r="BJ13" s="39"/>
      <c r="BK13" s="39"/>
      <c r="BL13" s="39"/>
      <c r="BM13" s="39"/>
      <c r="BN13" s="158"/>
      <c r="BO13" s="158"/>
      <c r="BP13" s="158"/>
      <c r="BQ13" s="158"/>
      <c r="BR13" s="163" t="s">
        <v>4621</v>
      </c>
      <c r="BS13" s="158" t="s">
        <v>4602</v>
      </c>
      <c r="BT13" s="158">
        <v>45.0</v>
      </c>
      <c r="BU13" s="158"/>
      <c r="BV13" s="158"/>
      <c r="BW13" s="158"/>
      <c r="BX13" s="158"/>
      <c r="BY13" s="158"/>
      <c r="BZ13" s="158"/>
      <c r="CA13" s="158"/>
      <c r="CB13" s="158"/>
      <c r="CC13" s="158"/>
      <c r="CD13" s="158"/>
      <c r="CE13" s="158"/>
    </row>
    <row r="14" ht="18.75" customHeight="1">
      <c r="A14" s="37" t="s">
        <v>4622</v>
      </c>
      <c r="B14" s="37" t="s">
        <v>4577</v>
      </c>
      <c r="C14" s="64" t="s">
        <v>4623</v>
      </c>
      <c r="D14" s="39"/>
      <c r="E14" s="64">
        <v>3.0</v>
      </c>
      <c r="F14" s="64"/>
      <c r="G14" s="64" t="s">
        <v>3055</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62"/>
      <c r="AI14" s="162"/>
      <c r="AJ14" s="162"/>
      <c r="AK14" s="162"/>
      <c r="AS14" s="37">
        <v>10.0</v>
      </c>
      <c r="AT14" s="37">
        <v>10.0</v>
      </c>
      <c r="BI14" s="39" t="s">
        <v>4581</v>
      </c>
      <c r="BJ14" s="39"/>
      <c r="BK14" s="39"/>
      <c r="BL14" s="39"/>
      <c r="BM14" s="39"/>
      <c r="BN14" s="158"/>
      <c r="BO14" s="158"/>
      <c r="BP14" s="158"/>
      <c r="BQ14" s="158"/>
      <c r="BR14" s="163" t="s">
        <v>4576</v>
      </c>
      <c r="BS14" s="158" t="s">
        <v>4624</v>
      </c>
      <c r="BT14" s="158">
        <v>65.0</v>
      </c>
      <c r="BU14" s="158"/>
      <c r="BV14" s="158"/>
      <c r="BW14" s="158"/>
      <c r="BX14" s="158"/>
      <c r="BY14" s="158"/>
      <c r="BZ14" s="158"/>
      <c r="CA14" s="158"/>
      <c r="CB14" s="158"/>
      <c r="CC14" s="158"/>
      <c r="CD14" s="158"/>
      <c r="CE14" s="158"/>
    </row>
    <row r="15" ht="18.75" customHeight="1">
      <c r="A15" s="37" t="s">
        <v>4625</v>
      </c>
      <c r="B15" s="37" t="s">
        <v>4577</v>
      </c>
      <c r="C15" s="64" t="s">
        <v>4626</v>
      </c>
      <c r="D15" s="39"/>
      <c r="E15" s="64">
        <v>4.0</v>
      </c>
      <c r="F15" s="64"/>
      <c r="G15" s="64" t="s">
        <v>3055</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62"/>
      <c r="AI15" s="162"/>
      <c r="AJ15" s="162"/>
      <c r="AK15" s="162"/>
      <c r="AN15" s="37">
        <v>15.0</v>
      </c>
      <c r="BI15" s="39" t="s">
        <v>4581</v>
      </c>
      <c r="BJ15" s="39"/>
      <c r="BK15" s="39"/>
      <c r="BL15" s="39"/>
      <c r="BM15" s="39"/>
      <c r="BN15" s="158"/>
      <c r="BO15" s="158"/>
      <c r="BP15" s="158"/>
      <c r="BQ15" s="158"/>
      <c r="BR15" s="163" t="s">
        <v>4622</v>
      </c>
      <c r="BS15" s="158" t="s">
        <v>2429</v>
      </c>
      <c r="BT15" s="158">
        <v>50.0</v>
      </c>
      <c r="BU15" s="158"/>
      <c r="BV15" s="158"/>
      <c r="BW15" s="158"/>
      <c r="BX15" s="158"/>
      <c r="BY15" s="158"/>
      <c r="BZ15" s="158"/>
      <c r="CA15" s="158"/>
      <c r="CB15" s="158"/>
      <c r="CC15" s="158"/>
      <c r="CD15" s="158"/>
      <c r="CE15" s="158"/>
    </row>
    <row r="16" ht="18.75" customHeight="1">
      <c r="A16" s="37" t="s">
        <v>4627</v>
      </c>
      <c r="B16" s="37" t="s">
        <v>4577</v>
      </c>
      <c r="C16" s="64" t="s">
        <v>4628</v>
      </c>
      <c r="D16" s="39"/>
      <c r="E16" s="64">
        <v>3.0</v>
      </c>
      <c r="F16" s="64"/>
      <c r="G16" s="64" t="s">
        <v>3055</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62"/>
      <c r="AI16" s="162"/>
      <c r="AJ16" s="162"/>
      <c r="AK16" s="162">
        <v>10.0</v>
      </c>
      <c r="AN16" s="37">
        <v>5.0</v>
      </c>
      <c r="BI16" s="39" t="s">
        <v>4581</v>
      </c>
      <c r="BJ16" s="39"/>
      <c r="BK16" s="39"/>
      <c r="BL16" s="39"/>
      <c r="BM16" s="39"/>
      <c r="BN16" s="158"/>
      <c r="BO16" s="158"/>
      <c r="BP16" s="158"/>
      <c r="BQ16" s="158"/>
      <c r="BR16" s="163" t="s">
        <v>4629</v>
      </c>
      <c r="BS16" s="158" t="s">
        <v>2429</v>
      </c>
      <c r="BT16" s="158">
        <v>45.0</v>
      </c>
      <c r="BU16" s="158"/>
      <c r="BV16" s="158"/>
      <c r="BW16" s="158"/>
      <c r="BX16" s="158"/>
      <c r="BY16" s="158"/>
      <c r="BZ16" s="158"/>
      <c r="CA16" s="158"/>
      <c r="CB16" s="158"/>
      <c r="CC16" s="158"/>
      <c r="CD16" s="158"/>
      <c r="CE16" s="158"/>
    </row>
    <row r="17" ht="18.75" customHeight="1">
      <c r="A17" s="37" t="s">
        <v>4630</v>
      </c>
      <c r="B17" s="37" t="s">
        <v>4577</v>
      </c>
      <c r="C17" s="64" t="s">
        <v>4631</v>
      </c>
      <c r="D17" s="39"/>
      <c r="E17" s="64">
        <v>8.0</v>
      </c>
      <c r="F17" s="64"/>
      <c r="G17" s="64" t="s">
        <v>4614</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62"/>
      <c r="AI17" s="162"/>
      <c r="AJ17" s="162"/>
      <c r="AK17" s="162"/>
      <c r="AS17" s="37">
        <v>15.0</v>
      </c>
      <c r="AU17" s="37">
        <v>30.0</v>
      </c>
      <c r="BI17" s="39" t="s">
        <v>4581</v>
      </c>
      <c r="BJ17" s="41"/>
      <c r="BK17" s="39"/>
      <c r="BL17" s="39"/>
      <c r="BM17" s="39"/>
      <c r="BN17" s="158"/>
      <c r="BO17" s="158"/>
      <c r="BP17" s="158"/>
      <c r="BQ17" s="158"/>
      <c r="BR17" s="163" t="s">
        <v>4632</v>
      </c>
      <c r="BS17" s="158" t="s">
        <v>2429</v>
      </c>
      <c r="BT17" s="158">
        <v>40.0</v>
      </c>
      <c r="BU17" s="158"/>
      <c r="BV17" s="158"/>
      <c r="BW17" s="158"/>
      <c r="BX17" s="158"/>
      <c r="BY17" s="158"/>
      <c r="BZ17" s="158"/>
      <c r="CA17" s="158"/>
      <c r="CB17" s="158"/>
      <c r="CC17" s="158"/>
      <c r="CD17" s="158"/>
      <c r="CE17" s="158"/>
    </row>
    <row r="18" ht="18.75" customHeight="1">
      <c r="A18" s="37" t="s">
        <v>4633</v>
      </c>
      <c r="B18" s="37" t="s">
        <v>4577</v>
      </c>
      <c r="C18" s="64" t="s">
        <v>4634</v>
      </c>
      <c r="D18" s="39"/>
      <c r="E18" s="64">
        <v>2.0</v>
      </c>
      <c r="F18" s="102">
        <v>1.0</v>
      </c>
      <c r="G18" s="64" t="s">
        <v>3055</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62"/>
      <c r="AI18" s="162"/>
      <c r="AJ18" s="162"/>
      <c r="AK18" s="162"/>
      <c r="AS18" s="37">
        <v>10.0</v>
      </c>
      <c r="AT18" s="37">
        <v>5.0</v>
      </c>
      <c r="AV18" s="37">
        <v>5.0</v>
      </c>
      <c r="AX18" s="37">
        <v>3.0</v>
      </c>
      <c r="BI18" s="39" t="s">
        <v>4581</v>
      </c>
      <c r="BJ18" s="39"/>
      <c r="BK18" s="39"/>
      <c r="BL18" s="39"/>
      <c r="BM18" s="39"/>
      <c r="BN18" s="158"/>
      <c r="BO18" s="158"/>
      <c r="BP18" s="158"/>
      <c r="BQ18" s="158"/>
      <c r="BR18" s="163" t="s">
        <v>4635</v>
      </c>
      <c r="BS18" s="158" t="s">
        <v>1179</v>
      </c>
      <c r="BT18" s="158">
        <v>50.0</v>
      </c>
      <c r="BU18" s="158"/>
      <c r="BV18" s="158"/>
      <c r="BW18" s="158"/>
      <c r="BX18" s="158"/>
      <c r="BY18" s="158"/>
      <c r="BZ18" s="158"/>
      <c r="CA18" s="158"/>
      <c r="CB18" s="158"/>
      <c r="CC18" s="158"/>
      <c r="CD18" s="158"/>
      <c r="CE18" s="158"/>
    </row>
    <row r="19" ht="17.25" customHeight="1">
      <c r="A19" s="37" t="s">
        <v>4635</v>
      </c>
      <c r="B19" s="37" t="s">
        <v>4577</v>
      </c>
      <c r="C19" s="64" t="s">
        <v>4636</v>
      </c>
      <c r="D19" s="39"/>
      <c r="E19" s="64">
        <v>4.0</v>
      </c>
      <c r="F19" s="64"/>
      <c r="G19" s="64" t="s">
        <v>4614</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62"/>
      <c r="AI19" s="162"/>
      <c r="AJ19" s="162"/>
      <c r="AK19" s="162"/>
      <c r="AO19" s="37">
        <v>15.0</v>
      </c>
      <c r="AS19" s="37">
        <v>10.0</v>
      </c>
      <c r="AT19" s="37">
        <v>10.0</v>
      </c>
      <c r="AV19" s="37">
        <v>15.0</v>
      </c>
      <c r="AX19" s="37">
        <v>5.0</v>
      </c>
      <c r="BI19" s="39" t="s">
        <v>4581</v>
      </c>
      <c r="BJ19" s="39"/>
      <c r="BK19" s="39"/>
      <c r="BL19" s="39"/>
      <c r="BM19" s="39"/>
      <c r="BN19" s="158"/>
      <c r="BO19" s="158"/>
      <c r="BP19" s="158"/>
      <c r="BQ19" s="158"/>
      <c r="BR19" s="163" t="s">
        <v>4637</v>
      </c>
      <c r="BS19" s="158" t="s">
        <v>1179</v>
      </c>
      <c r="BT19" s="158">
        <v>65.0</v>
      </c>
      <c r="BU19" s="158"/>
      <c r="BV19" s="158"/>
      <c r="BW19" s="158"/>
      <c r="BX19" s="158"/>
      <c r="BY19" s="158"/>
      <c r="BZ19" s="158"/>
      <c r="CA19" s="158"/>
      <c r="CB19" s="158"/>
      <c r="CC19" s="158"/>
      <c r="CD19" s="158"/>
      <c r="CE19" s="158"/>
    </row>
    <row r="20" ht="18.75" customHeight="1">
      <c r="A20" s="37" t="s">
        <v>4638</v>
      </c>
      <c r="B20" s="37" t="s">
        <v>4577</v>
      </c>
      <c r="C20" s="64" t="s">
        <v>4639</v>
      </c>
      <c r="D20" s="39"/>
      <c r="E20" s="64">
        <v>8.0</v>
      </c>
      <c r="F20" s="102">
        <v>1.0</v>
      </c>
      <c r="G20" s="64" t="s">
        <v>4614</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62"/>
      <c r="AI20" s="162"/>
      <c r="AJ20" s="162"/>
      <c r="AK20" s="162"/>
      <c r="AO20" s="37">
        <v>25.0</v>
      </c>
      <c r="AS20" s="37">
        <v>10.0</v>
      </c>
      <c r="AV20" s="37">
        <v>5.0</v>
      </c>
      <c r="AX20" s="37">
        <v>15.0</v>
      </c>
      <c r="BI20" s="39" t="s">
        <v>4581</v>
      </c>
      <c r="BJ20" s="39"/>
      <c r="BK20" s="39"/>
      <c r="BL20" s="39"/>
      <c r="BM20" s="39"/>
      <c r="BN20" s="158"/>
      <c r="BO20" s="158"/>
      <c r="BP20" s="158"/>
      <c r="BQ20" s="158"/>
      <c r="BR20" s="163" t="s">
        <v>4640</v>
      </c>
      <c r="BS20" s="158" t="s">
        <v>1179</v>
      </c>
      <c r="BT20" s="158">
        <v>45.0</v>
      </c>
      <c r="BU20" s="158"/>
      <c r="BV20" s="158"/>
      <c r="BW20" s="158"/>
      <c r="BX20" s="158"/>
      <c r="BY20" s="158"/>
      <c r="BZ20" s="158"/>
      <c r="CA20" s="158"/>
      <c r="CB20" s="158"/>
      <c r="CC20" s="158"/>
      <c r="CD20" s="158"/>
      <c r="CE20" s="158"/>
    </row>
    <row r="21" ht="18.75" customHeight="1">
      <c r="A21" s="37" t="s">
        <v>4641</v>
      </c>
      <c r="B21" s="37" t="s">
        <v>4577</v>
      </c>
      <c r="C21" s="64" t="s">
        <v>4642</v>
      </c>
      <c r="D21" s="39"/>
      <c r="E21" s="64">
        <v>16.0</v>
      </c>
      <c r="F21" s="64"/>
      <c r="G21" s="64" t="s">
        <v>3055</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62"/>
      <c r="AI21" s="162"/>
      <c r="AJ21" s="162"/>
      <c r="AK21" s="162"/>
      <c r="AO21" s="37">
        <v>50.0</v>
      </c>
      <c r="AS21" s="37">
        <v>10.0</v>
      </c>
      <c r="AT21" s="37">
        <v>10.0</v>
      </c>
      <c r="AU21" s="37">
        <v>20.0</v>
      </c>
      <c r="AV21" s="37">
        <v>10.0</v>
      </c>
      <c r="AX21" s="37">
        <v>10.0</v>
      </c>
      <c r="BI21" s="39" t="s">
        <v>4581</v>
      </c>
      <c r="BJ21" s="39"/>
      <c r="BK21" s="39"/>
      <c r="BL21" s="39"/>
      <c r="BM21" s="39"/>
      <c r="BN21" s="158"/>
      <c r="BO21" s="158"/>
      <c r="BP21" s="158"/>
      <c r="BQ21" s="158"/>
      <c r="BR21" s="163" t="s">
        <v>4643</v>
      </c>
      <c r="BS21" s="158" t="s">
        <v>1179</v>
      </c>
      <c r="BT21" s="158">
        <v>30.0</v>
      </c>
      <c r="BU21" s="158"/>
      <c r="BV21" s="158"/>
      <c r="BW21" s="158"/>
      <c r="BX21" s="158"/>
      <c r="BY21" s="158"/>
      <c r="BZ21" s="158"/>
      <c r="CA21" s="158"/>
      <c r="CB21" s="158"/>
      <c r="CC21" s="158"/>
      <c r="CD21" s="158"/>
      <c r="CE21" s="158"/>
    </row>
    <row r="22" ht="18.75" customHeight="1">
      <c r="A22" s="37" t="s">
        <v>4644</v>
      </c>
      <c r="B22" s="37" t="s">
        <v>54</v>
      </c>
      <c r="C22" s="64" t="s">
        <v>4645</v>
      </c>
      <c r="D22" s="41"/>
      <c r="E22" s="64">
        <v>2.0</v>
      </c>
      <c r="F22" s="64"/>
      <c r="G22" s="64" t="s">
        <v>4614</v>
      </c>
      <c r="L22" s="37">
        <v>1.0</v>
      </c>
      <c r="M22" s="39">
        <v>30.0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9">
        <v>0.0</v>
      </c>
      <c r="Q22" s="41">
        <v>0.0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62">
        <v>100.0</v>
      </c>
      <c r="AI22" s="162"/>
      <c r="AJ22" s="162"/>
      <c r="AK22" s="162"/>
      <c r="BI22" s="41" t="s">
        <v>4646</v>
      </c>
      <c r="BJ22" s="41"/>
      <c r="BK22" s="41"/>
      <c r="BL22" s="41"/>
      <c r="BM22" s="41"/>
      <c r="BN22" s="158"/>
      <c r="BO22" s="158"/>
      <c r="BP22" s="158"/>
      <c r="BQ22" s="158"/>
      <c r="BR22" s="86" t="s">
        <v>4576</v>
      </c>
      <c r="BS22" s="158" t="s">
        <v>4412</v>
      </c>
      <c r="BT22" s="158">
        <v>100.0</v>
      </c>
      <c r="BU22" s="158"/>
      <c r="BV22" s="158"/>
      <c r="BW22" s="158"/>
      <c r="BX22" s="158"/>
      <c r="BY22" s="158"/>
      <c r="BZ22" s="158"/>
      <c r="CA22" s="158"/>
      <c r="CB22" s="158"/>
      <c r="CC22" s="158"/>
      <c r="CD22" s="158"/>
      <c r="CE22" s="158"/>
    </row>
    <row r="23" ht="18.75" customHeight="1">
      <c r="A23" s="37" t="s">
        <v>4647</v>
      </c>
      <c r="B23" s="37" t="s">
        <v>56</v>
      </c>
      <c r="C23" s="64" t="s">
        <v>4648</v>
      </c>
      <c r="D23" s="41"/>
      <c r="E23" s="64">
        <v>2.0</v>
      </c>
      <c r="F23" s="64"/>
      <c r="G23" s="64" t="s">
        <v>4614</v>
      </c>
      <c r="L23" s="37">
        <v>1.0</v>
      </c>
      <c r="M23" s="39">
        <v>20.0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9">
        <v>0.0</v>
      </c>
      <c r="Q23" s="41">
        <v>0.0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62"/>
      <c r="AI23" s="162">
        <v>100.0</v>
      </c>
      <c r="AJ23" s="162"/>
      <c r="AK23" s="162"/>
      <c r="BI23" s="41" t="s">
        <v>4646</v>
      </c>
      <c r="BJ23" s="41"/>
      <c r="BK23" s="41"/>
      <c r="BL23" s="41"/>
      <c r="BM23" s="41"/>
      <c r="BN23" s="158"/>
      <c r="BO23" s="158"/>
      <c r="BP23" s="158"/>
      <c r="BQ23" s="158"/>
      <c r="BR23" s="163"/>
      <c r="BS23" s="158" t="s">
        <v>4611</v>
      </c>
      <c r="BT23" s="158">
        <v>95.0</v>
      </c>
      <c r="BU23" s="158"/>
      <c r="BV23" s="158"/>
      <c r="BW23" s="158"/>
      <c r="BX23" s="158"/>
      <c r="BY23" s="158"/>
      <c r="BZ23" s="158"/>
      <c r="CA23" s="158"/>
      <c r="CB23" s="158"/>
      <c r="CC23" s="158"/>
      <c r="CD23" s="158"/>
      <c r="CE23" s="158"/>
    </row>
    <row r="24" ht="18.75" customHeight="1">
      <c r="A24" s="37" t="s">
        <v>4649</v>
      </c>
      <c r="B24" s="37" t="s">
        <v>3230</v>
      </c>
      <c r="C24" s="64" t="s">
        <v>4650</v>
      </c>
      <c r="D24" s="41"/>
      <c r="E24" s="64">
        <v>2.0</v>
      </c>
      <c r="F24" s="64"/>
      <c r="G24" s="64" t="s">
        <v>4614</v>
      </c>
      <c r="L24" s="37">
        <v>1.0</v>
      </c>
      <c r="M24" s="39">
        <v>30.0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9">
        <v>0.0</v>
      </c>
      <c r="Q24" s="41">
        <v>0.0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62"/>
      <c r="AI24" s="162"/>
      <c r="AJ24" s="162"/>
      <c r="AK24" s="162">
        <v>100.0</v>
      </c>
      <c r="BI24" s="41" t="s">
        <v>4646</v>
      </c>
      <c r="BJ24" s="41"/>
      <c r="BK24" s="41"/>
      <c r="BL24" s="41"/>
      <c r="BM24" s="41"/>
      <c r="BN24" s="158"/>
      <c r="BO24" s="158"/>
      <c r="BP24" s="158"/>
      <c r="BQ24" s="158"/>
      <c r="BR24" s="163"/>
      <c r="BS24" s="158" t="s">
        <v>4611</v>
      </c>
      <c r="BT24" s="158">
        <v>90.0</v>
      </c>
      <c r="BU24" s="158"/>
      <c r="BV24" s="158"/>
      <c r="BW24" s="158"/>
      <c r="BX24" s="158"/>
      <c r="BY24" s="158"/>
      <c r="BZ24" s="158"/>
      <c r="CA24" s="158"/>
      <c r="CB24" s="158"/>
      <c r="CC24" s="158"/>
      <c r="CD24" s="158"/>
      <c r="CE24" s="158"/>
    </row>
    <row r="25" ht="18.75" customHeight="1">
      <c r="A25" s="37" t="s">
        <v>4651</v>
      </c>
      <c r="B25" s="37" t="s">
        <v>3233</v>
      </c>
      <c r="C25" s="64" t="s">
        <v>4652</v>
      </c>
      <c r="D25" s="41"/>
      <c r="E25" s="64">
        <v>2.0</v>
      </c>
      <c r="F25" s="64"/>
      <c r="G25" s="64" t="s">
        <v>4614</v>
      </c>
      <c r="H25" s="37">
        <v>1.0</v>
      </c>
      <c r="L25" s="37">
        <v>1.0</v>
      </c>
      <c r="M25" s="39">
        <v>40.0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9">
        <v>20.0</v>
      </c>
      <c r="Q25" s="41">
        <v>0.0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62"/>
      <c r="AI25" s="162"/>
      <c r="AJ25" s="162"/>
      <c r="AK25" s="162">
        <v>100.0</v>
      </c>
      <c r="BI25" s="41" t="s">
        <v>4646</v>
      </c>
      <c r="BJ25" s="41"/>
      <c r="BK25" s="41"/>
      <c r="BL25" s="41"/>
      <c r="BM25" s="41"/>
      <c r="BN25" s="158"/>
      <c r="BO25" s="158"/>
      <c r="BP25" s="158"/>
      <c r="BQ25" s="158"/>
      <c r="BR25" s="163"/>
      <c r="BS25" s="158" t="s">
        <v>4611</v>
      </c>
      <c r="BT25" s="158">
        <v>75.0</v>
      </c>
      <c r="BU25" s="158"/>
      <c r="BV25" s="158"/>
      <c r="BW25" s="158"/>
      <c r="BX25" s="158"/>
      <c r="BY25" s="158"/>
      <c r="BZ25" s="158"/>
      <c r="CA25" s="158"/>
      <c r="CB25" s="158"/>
      <c r="CC25" s="158"/>
      <c r="CD25" s="158"/>
      <c r="CE25" s="158"/>
    </row>
    <row r="26" ht="18.75" customHeight="1">
      <c r="A26" s="37" t="s">
        <v>4653</v>
      </c>
      <c r="B26" s="37" t="s">
        <v>4654</v>
      </c>
      <c r="C26" s="102" t="s">
        <v>4655</v>
      </c>
      <c r="D26" s="39" t="s">
        <v>4656</v>
      </c>
      <c r="E26" s="64">
        <v>2.0</v>
      </c>
      <c r="F26" s="64"/>
      <c r="G26" s="64" t="s">
        <v>4614</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62"/>
      <c r="AI26" s="162"/>
      <c r="AJ26" s="162">
        <v>100.0</v>
      </c>
      <c r="AK26" s="162"/>
      <c r="AR26" s="37">
        <v>10.0</v>
      </c>
      <c r="BI26" s="39" t="s">
        <v>4581</v>
      </c>
      <c r="BJ26" s="39" t="s">
        <v>4583</v>
      </c>
      <c r="BK26" s="39" t="s">
        <v>2626</v>
      </c>
      <c r="BL26" s="39">
        <v>2.0</v>
      </c>
      <c r="BM26" s="39">
        <f>E31</f>
        <v>1</v>
      </c>
      <c r="BN26" s="158"/>
      <c r="BO26" s="158"/>
      <c r="BP26" s="158"/>
      <c r="BQ26" s="158"/>
      <c r="BR26" s="163" t="s">
        <v>4657</v>
      </c>
      <c r="BS26" s="158" t="s">
        <v>4658</v>
      </c>
      <c r="BT26" s="158">
        <v>45.0</v>
      </c>
      <c r="BU26" s="158"/>
      <c r="BV26" s="158"/>
      <c r="BW26" s="158"/>
      <c r="BX26" s="158"/>
      <c r="BY26" s="158"/>
      <c r="BZ26" s="158"/>
      <c r="CA26" s="158"/>
      <c r="CB26" s="158"/>
      <c r="CC26" s="158"/>
      <c r="CD26" s="158"/>
      <c r="CE26" s="158"/>
    </row>
    <row r="27" ht="18.75" customHeight="1">
      <c r="A27" s="37" t="s">
        <v>4605</v>
      </c>
      <c r="B27" s="37" t="s">
        <v>4577</v>
      </c>
      <c r="C27" s="64" t="s">
        <v>4659</v>
      </c>
      <c r="D27" s="39"/>
      <c r="E27" s="64">
        <v>2.0</v>
      </c>
      <c r="F27" s="64"/>
      <c r="G27" s="64" t="s">
        <v>4614</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62"/>
      <c r="AI27" s="162"/>
      <c r="AJ27" s="162"/>
      <c r="AK27" s="162"/>
      <c r="AP27" s="37">
        <v>15.0</v>
      </c>
      <c r="AT27" s="37">
        <v>10.0</v>
      </c>
      <c r="BI27" s="39" t="s">
        <v>4581</v>
      </c>
      <c r="BJ27" s="39"/>
      <c r="BK27" s="39"/>
      <c r="BL27" s="39"/>
      <c r="BM27" s="39"/>
      <c r="BN27" s="158"/>
      <c r="BO27" s="158"/>
      <c r="BP27" s="158"/>
      <c r="BQ27" s="158"/>
      <c r="BR27" s="163" t="s">
        <v>4576</v>
      </c>
      <c r="BS27" s="158" t="s">
        <v>4660</v>
      </c>
      <c r="BT27" s="158">
        <v>75.0</v>
      </c>
      <c r="BU27" s="158"/>
      <c r="BV27" s="158"/>
      <c r="BW27" s="158"/>
      <c r="BX27" s="158"/>
      <c r="BY27" s="158"/>
      <c r="BZ27" s="158"/>
      <c r="CA27" s="158"/>
      <c r="CB27" s="158"/>
      <c r="CC27" s="158"/>
      <c r="CD27" s="158"/>
      <c r="CE27" s="158"/>
    </row>
    <row r="28" ht="18.75" customHeight="1">
      <c r="A28" s="37" t="s">
        <v>4661</v>
      </c>
      <c r="B28" s="37" t="s">
        <v>4577</v>
      </c>
      <c r="C28" s="64" t="s">
        <v>4662</v>
      </c>
      <c r="D28" s="39"/>
      <c r="E28" s="64">
        <v>2.0</v>
      </c>
      <c r="F28" s="64"/>
      <c r="G28" s="64" t="s">
        <v>4614</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62"/>
      <c r="AI28" s="162"/>
      <c r="AJ28" s="162"/>
      <c r="AK28" s="162"/>
      <c r="AP28" s="37">
        <v>25.0</v>
      </c>
      <c r="BI28" s="39" t="s">
        <v>4581</v>
      </c>
      <c r="BJ28" s="39"/>
      <c r="BK28" s="39"/>
      <c r="BL28" s="39"/>
      <c r="BM28" s="39"/>
      <c r="BN28" s="158"/>
      <c r="BO28" s="158"/>
      <c r="BP28" s="158"/>
      <c r="BQ28" s="158"/>
      <c r="BR28" s="163" t="s">
        <v>4576</v>
      </c>
      <c r="BS28" s="158" t="s">
        <v>4658</v>
      </c>
      <c r="BT28" s="158">
        <v>80.0</v>
      </c>
      <c r="BU28" s="158"/>
      <c r="BV28" s="158"/>
      <c r="BW28" s="158"/>
      <c r="BX28" s="158"/>
      <c r="BY28" s="158"/>
      <c r="BZ28" s="158"/>
      <c r="CA28" s="158"/>
      <c r="CB28" s="158"/>
      <c r="CC28" s="158"/>
      <c r="CD28" s="158"/>
      <c r="CE28" s="158"/>
    </row>
    <row r="29" ht="18.75" customHeight="1">
      <c r="A29" s="37" t="s">
        <v>4663</v>
      </c>
      <c r="B29" s="37" t="s">
        <v>4577</v>
      </c>
      <c r="C29" s="64" t="s">
        <v>4664</v>
      </c>
      <c r="D29" s="39"/>
      <c r="E29" s="64">
        <v>2.0</v>
      </c>
      <c r="F29" s="64"/>
      <c r="G29" s="64" t="s">
        <v>4614</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62"/>
      <c r="AI29" s="162"/>
      <c r="AJ29" s="162"/>
      <c r="AK29" s="162"/>
      <c r="AR29" s="37">
        <v>3.0</v>
      </c>
      <c r="AS29" s="37">
        <v>10.0</v>
      </c>
      <c r="AT29" s="37">
        <v>10.0</v>
      </c>
      <c r="AX29" s="37">
        <v>3.0</v>
      </c>
      <c r="BI29" s="39" t="s">
        <v>4581</v>
      </c>
      <c r="BJ29" s="39"/>
      <c r="BK29" s="39"/>
      <c r="BL29" s="39"/>
      <c r="BM29" s="39"/>
      <c r="BN29" s="158"/>
      <c r="BO29" s="158"/>
      <c r="BP29" s="158"/>
      <c r="BQ29" s="158"/>
      <c r="BR29" s="163" t="s">
        <v>4583</v>
      </c>
      <c r="BS29" s="158" t="s">
        <v>4665</v>
      </c>
      <c r="BT29" s="158">
        <v>50.0</v>
      </c>
      <c r="BU29" s="158"/>
      <c r="BV29" s="158"/>
      <c r="BW29" s="158"/>
      <c r="BX29" s="158"/>
      <c r="BY29" s="158"/>
      <c r="BZ29" s="158"/>
      <c r="CA29" s="158"/>
      <c r="CB29" s="158"/>
      <c r="CC29" s="158"/>
      <c r="CD29" s="158"/>
      <c r="CE29" s="158"/>
    </row>
    <row r="30" ht="18.75" customHeight="1">
      <c r="A30" s="37" t="s">
        <v>4666</v>
      </c>
      <c r="B30" s="37" t="s">
        <v>4667</v>
      </c>
      <c r="C30" s="64" t="s">
        <v>4668</v>
      </c>
      <c r="D30" s="39"/>
      <c r="E30" s="64">
        <v>2.0</v>
      </c>
      <c r="F30" s="64"/>
      <c r="G30" s="64" t="s">
        <v>4614</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62"/>
      <c r="AI30" s="162"/>
      <c r="AJ30" s="162"/>
      <c r="AK30" s="162"/>
      <c r="AR30" s="37">
        <v>3.0</v>
      </c>
      <c r="AS30" s="37">
        <v>5.0</v>
      </c>
      <c r="AT30" s="37">
        <v>15.0</v>
      </c>
      <c r="AX30" s="37">
        <v>5.0</v>
      </c>
      <c r="BI30" s="39" t="s">
        <v>4581</v>
      </c>
      <c r="BJ30" s="39"/>
      <c r="BK30" s="39"/>
      <c r="BL30" s="39"/>
      <c r="BM30" s="39"/>
      <c r="BN30" s="158"/>
      <c r="BO30" s="158"/>
      <c r="BP30" s="158"/>
      <c r="BQ30" s="158"/>
      <c r="BR30" s="163"/>
      <c r="BS30" s="158" t="s">
        <v>4665</v>
      </c>
      <c r="BT30" s="158">
        <v>45.0</v>
      </c>
      <c r="BU30" s="158"/>
      <c r="BV30" s="158"/>
      <c r="BW30" s="158"/>
      <c r="BX30" s="158"/>
      <c r="BY30" s="158"/>
      <c r="BZ30" s="158"/>
      <c r="CA30" s="158"/>
      <c r="CB30" s="158"/>
      <c r="CC30" s="158"/>
      <c r="CD30" s="158"/>
      <c r="CE30" s="158"/>
    </row>
    <row r="31" ht="18.75" customHeight="1">
      <c r="A31" s="39" t="s">
        <v>4656</v>
      </c>
      <c r="B31" s="39" t="s">
        <v>4654</v>
      </c>
      <c r="C31" s="102" t="s">
        <v>4669</v>
      </c>
      <c r="E31" s="102">
        <v>1.0</v>
      </c>
      <c r="F31" s="64"/>
      <c r="G31" s="102" t="s">
        <v>4614</v>
      </c>
      <c r="L31" s="39">
        <v>1.0</v>
      </c>
      <c r="M31" s="39">
        <v>40.0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9">
        <v>0.0</v>
      </c>
      <c r="Q31" s="39">
        <v>0.0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62"/>
      <c r="AI31" s="162"/>
      <c r="AJ31" s="162"/>
      <c r="AK31" s="162"/>
      <c r="BI31" s="39" t="s">
        <v>4581</v>
      </c>
      <c r="BJ31" s="39" t="s">
        <v>4576</v>
      </c>
      <c r="BK31" s="39" t="s">
        <v>2626</v>
      </c>
      <c r="BL31" s="39">
        <v>1.0</v>
      </c>
      <c r="BN31" s="158"/>
      <c r="BO31" s="158"/>
      <c r="BP31" s="158"/>
      <c r="BQ31" s="158"/>
      <c r="BR31" s="163" t="s">
        <v>4670</v>
      </c>
      <c r="BS31" s="158" t="s">
        <v>4658</v>
      </c>
      <c r="BT31" s="158">
        <v>70.0</v>
      </c>
      <c r="BU31" s="158"/>
      <c r="BV31" s="158"/>
      <c r="BW31" s="158"/>
      <c r="BX31" s="158"/>
      <c r="BY31" s="158"/>
      <c r="BZ31" s="158"/>
      <c r="CA31" s="158"/>
      <c r="CB31" s="158"/>
      <c r="CC31" s="158"/>
      <c r="CD31" s="158"/>
      <c r="CE31" s="158"/>
    </row>
    <row r="32" ht="18.75" customHeight="1">
      <c r="A32" s="39" t="s">
        <v>4671</v>
      </c>
      <c r="B32" s="39" t="s">
        <v>4577</v>
      </c>
      <c r="C32" s="102" t="s">
        <v>4672</v>
      </c>
      <c r="E32" s="102">
        <v>3.0</v>
      </c>
      <c r="F32" s="64"/>
      <c r="G32" s="102" t="s">
        <v>3055</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62"/>
      <c r="AI32" s="162"/>
      <c r="AJ32" s="162"/>
      <c r="AK32" s="162"/>
      <c r="BI32" s="39" t="s">
        <v>4581</v>
      </c>
      <c r="BN32" s="158"/>
      <c r="BO32" s="158"/>
      <c r="BP32" s="158"/>
      <c r="BQ32" s="158"/>
      <c r="BR32" s="163" t="s">
        <v>4576</v>
      </c>
      <c r="BS32" s="158" t="s">
        <v>4673</v>
      </c>
      <c r="BT32" s="158">
        <v>70.0</v>
      </c>
      <c r="BU32" s="158"/>
      <c r="BV32" s="158"/>
      <c r="BW32" s="158"/>
      <c r="BX32" s="158"/>
      <c r="BY32" s="158"/>
      <c r="BZ32" s="158"/>
      <c r="CA32" s="158"/>
      <c r="CB32" s="158"/>
      <c r="CC32" s="158"/>
      <c r="CD32" s="158"/>
      <c r="CE32" s="158"/>
    </row>
    <row r="33" ht="18.75" customHeight="1">
      <c r="A33" s="39" t="s">
        <v>4674</v>
      </c>
      <c r="B33" s="39" t="s">
        <v>4577</v>
      </c>
      <c r="C33" s="102" t="s">
        <v>4675</v>
      </c>
      <c r="E33" s="102">
        <v>6.0</v>
      </c>
      <c r="F33" s="64"/>
      <c r="G33" s="102" t="s">
        <v>3055</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62"/>
      <c r="AI33" s="162"/>
      <c r="AJ33" s="162"/>
      <c r="AK33" s="162"/>
      <c r="BI33" s="39" t="s">
        <v>4581</v>
      </c>
      <c r="BN33" s="158"/>
      <c r="BO33" s="158"/>
      <c r="BP33" s="158"/>
      <c r="BQ33" s="158"/>
      <c r="BR33" s="163" t="s">
        <v>4676</v>
      </c>
      <c r="BS33" s="158" t="s">
        <v>4673</v>
      </c>
      <c r="BT33" s="158">
        <v>35.0</v>
      </c>
      <c r="BU33" s="158"/>
      <c r="BV33" s="158"/>
      <c r="BW33" s="158"/>
      <c r="BX33" s="158"/>
      <c r="BY33" s="158"/>
      <c r="BZ33" s="158"/>
      <c r="CA33" s="158"/>
      <c r="CB33" s="158"/>
      <c r="CC33" s="158"/>
      <c r="CD33" s="158"/>
      <c r="CE33" s="158"/>
    </row>
    <row r="34">
      <c r="A34" s="39" t="s">
        <v>4677</v>
      </c>
      <c r="B34" s="39" t="s">
        <v>4577</v>
      </c>
      <c r="C34" s="102" t="s">
        <v>4678</v>
      </c>
      <c r="E34" s="102">
        <v>4.0</v>
      </c>
      <c r="F34" s="102">
        <v>1.0</v>
      </c>
      <c r="G34" s="102" t="s">
        <v>3055</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62"/>
      <c r="AI34" s="162"/>
      <c r="AJ34" s="162"/>
      <c r="AK34" s="162"/>
      <c r="BI34" s="39" t="s">
        <v>4581</v>
      </c>
      <c r="BN34" s="158" t="s">
        <v>2627</v>
      </c>
      <c r="BO34" s="158" t="s">
        <v>4679</v>
      </c>
      <c r="BP34" s="158">
        <v>0.0</v>
      </c>
      <c r="BQ34" s="158"/>
      <c r="BR34" s="163" t="s">
        <v>4680</v>
      </c>
      <c r="BS34" s="158" t="s">
        <v>2627</v>
      </c>
      <c r="BT34" s="158">
        <v>30.0</v>
      </c>
      <c r="BU34" s="158"/>
      <c r="BV34" s="158"/>
      <c r="BW34" s="158"/>
      <c r="BX34" s="158"/>
      <c r="BY34" s="158"/>
      <c r="BZ34" s="158"/>
      <c r="CA34" s="158"/>
      <c r="CB34" s="158"/>
      <c r="CC34" s="158"/>
      <c r="CD34" s="158"/>
      <c r="CE34" s="158"/>
    </row>
    <row r="35" ht="54.0" customHeight="1">
      <c r="A35" s="39" t="s">
        <v>4681</v>
      </c>
      <c r="B35" s="39" t="s">
        <v>4577</v>
      </c>
      <c r="C35" s="102" t="s">
        <v>4682</v>
      </c>
      <c r="E35" s="102">
        <v>3.0</v>
      </c>
      <c r="F35" s="102">
        <v>0.0</v>
      </c>
      <c r="G35" s="102" t="s">
        <v>3055</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62"/>
      <c r="AI35" s="162"/>
      <c r="AJ35" s="162"/>
      <c r="AK35" s="162"/>
      <c r="BI35" s="39" t="s">
        <v>4581</v>
      </c>
      <c r="BN35" s="158" t="s">
        <v>4600</v>
      </c>
      <c r="BO35" s="158" t="s">
        <v>4679</v>
      </c>
      <c r="BP35" s="158">
        <v>0.0</v>
      </c>
      <c r="BQ35" s="158"/>
      <c r="BR35" s="163" t="s">
        <v>4683</v>
      </c>
      <c r="BS35" s="158" t="s">
        <v>4684</v>
      </c>
      <c r="BT35" s="158">
        <v>30.0</v>
      </c>
      <c r="BU35" s="158"/>
      <c r="BV35" s="158"/>
      <c r="BW35" s="158"/>
      <c r="BX35" s="158"/>
      <c r="BY35" s="158"/>
      <c r="BZ35" s="158"/>
      <c r="CA35" s="158"/>
      <c r="CB35" s="158"/>
      <c r="CC35" s="158"/>
      <c r="CD35" s="158"/>
      <c r="CE35" s="158"/>
    </row>
    <row r="36" ht="54.0" customHeight="1">
      <c r="A36" s="39" t="s">
        <v>4637</v>
      </c>
      <c r="B36" s="39" t="s">
        <v>4577</v>
      </c>
      <c r="C36" s="102" t="s">
        <v>4685</v>
      </c>
      <c r="E36" s="102">
        <v>2.0</v>
      </c>
      <c r="F36" s="102">
        <v>0.0</v>
      </c>
      <c r="G36" s="102" t="s">
        <v>3055</v>
      </c>
      <c r="H36" s="39">
        <v>0.0</v>
      </c>
      <c r="I36" s="39">
        <v>0.0</v>
      </c>
      <c r="J36" s="39">
        <v>1.0</v>
      </c>
      <c r="K36" s="39">
        <v>0.0</v>
      </c>
      <c r="L36" s="39">
        <v>0.0</v>
      </c>
      <c r="M36" s="39">
        <v>20.0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41">
        <v>15.0</v>
      </c>
      <c r="Q36" s="39">
        <v>0.0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62"/>
      <c r="AI36" s="162"/>
      <c r="AJ36" s="162"/>
      <c r="AK36" s="162"/>
      <c r="BI36" s="39" t="s">
        <v>4581</v>
      </c>
      <c r="BQ36" s="158">
        <v>2.0</v>
      </c>
      <c r="BR36" s="163" t="s">
        <v>4576</v>
      </c>
      <c r="BS36" s="158" t="s">
        <v>1845</v>
      </c>
      <c r="BT36" s="158">
        <v>90.0</v>
      </c>
      <c r="BU36" s="158"/>
      <c r="BV36" s="158"/>
      <c r="BW36" s="158"/>
      <c r="BX36" s="158"/>
      <c r="BY36" s="158"/>
      <c r="BZ36" s="158"/>
      <c r="CA36" s="158"/>
      <c r="CB36" s="158"/>
      <c r="CC36" s="158"/>
      <c r="CD36" s="158"/>
      <c r="CE36" s="158"/>
    </row>
    <row r="37" ht="54.0" customHeight="1">
      <c r="A37" s="39" t="s">
        <v>4686</v>
      </c>
      <c r="B37" s="39" t="s">
        <v>29</v>
      </c>
      <c r="C37" s="102" t="s">
        <v>4687</v>
      </c>
      <c r="E37" s="102">
        <v>2.0</v>
      </c>
      <c r="F37" s="102">
        <v>0.0</v>
      </c>
      <c r="G37" s="102">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62"/>
      <c r="AI37" s="162"/>
      <c r="AJ37" s="162"/>
      <c r="AK37" s="162"/>
      <c r="BI37" s="39" t="s">
        <v>4581</v>
      </c>
      <c r="BN37" s="39" t="s">
        <v>2628</v>
      </c>
      <c r="BO37" s="39" t="s">
        <v>4679</v>
      </c>
      <c r="BP37" s="39">
        <v>0.0</v>
      </c>
      <c r="BQ37" s="158"/>
      <c r="BR37" s="163" t="s">
        <v>4688</v>
      </c>
      <c r="BS37" s="158" t="s">
        <v>1845</v>
      </c>
      <c r="BT37" s="158">
        <v>40.0</v>
      </c>
      <c r="BU37" s="158"/>
      <c r="BV37" s="158"/>
      <c r="BW37" s="158"/>
      <c r="BX37" s="158"/>
      <c r="BY37" s="158"/>
      <c r="BZ37" s="158"/>
      <c r="CA37" s="158"/>
      <c r="CB37" s="158"/>
      <c r="CC37" s="158"/>
      <c r="CD37" s="158"/>
      <c r="CE37" s="158"/>
    </row>
    <row r="38" ht="18.75" customHeight="1">
      <c r="A38" s="39" t="s">
        <v>4689</v>
      </c>
      <c r="B38" s="39" t="s">
        <v>4577</v>
      </c>
      <c r="C38" s="102" t="s">
        <v>4690</v>
      </c>
      <c r="E38" s="102">
        <v>3.0</v>
      </c>
      <c r="F38" s="102">
        <v>1.0</v>
      </c>
      <c r="G38" s="102" t="s">
        <v>3055</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62"/>
      <c r="AI38" s="162"/>
      <c r="AJ38" s="162"/>
      <c r="AK38" s="162"/>
      <c r="AZ38" s="39" t="s">
        <v>4691</v>
      </c>
      <c r="BI38" s="39" t="s">
        <v>4581</v>
      </c>
      <c r="BR38" s="39" t="s">
        <v>4625</v>
      </c>
      <c r="BS38" s="126" t="s">
        <v>4692</v>
      </c>
      <c r="BT38" s="126">
        <v>35.0</v>
      </c>
      <c r="BU38" s="126" t="s">
        <v>4693</v>
      </c>
      <c r="BV38" s="126">
        <v>10.0</v>
      </c>
      <c r="BW38" s="126">
        <v>0.0</v>
      </c>
      <c r="BX38" s="126"/>
      <c r="BY38" s="126" t="s">
        <v>29</v>
      </c>
      <c r="BZ38" s="126" t="s">
        <v>29</v>
      </c>
      <c r="CA38" s="126" t="s">
        <v>29</v>
      </c>
      <c r="CB38" s="126" t="s">
        <v>4694</v>
      </c>
      <c r="CC38" s="126">
        <v>25.0</v>
      </c>
      <c r="CD38" s="126">
        <v>0.0</v>
      </c>
      <c r="CE38" s="126"/>
    </row>
    <row r="39" ht="18.75" customHeight="1">
      <c r="A39" s="39" t="s">
        <v>4695</v>
      </c>
      <c r="B39" s="39" t="s">
        <v>4577</v>
      </c>
      <c r="C39" s="102" t="s">
        <v>4696</v>
      </c>
      <c r="E39" s="102">
        <v>3.0</v>
      </c>
      <c r="F39" s="102">
        <v>1.0</v>
      </c>
      <c r="G39" s="102" t="s">
        <v>3055</v>
      </c>
      <c r="I39" s="39">
        <v>1.0</v>
      </c>
      <c r="J39" s="39" t="s">
        <v>29</v>
      </c>
      <c r="M39" s="39">
        <v>50.0</v>
      </c>
      <c r="P39" s="39">
        <v>50.0</v>
      </c>
      <c r="Q39" s="39">
        <v>25.0</v>
      </c>
      <c r="AH39" s="162"/>
      <c r="AI39" s="162"/>
      <c r="AJ39" s="162"/>
      <c r="AK39" s="162"/>
      <c r="AZ39" s="39" t="s">
        <v>4691</v>
      </c>
      <c r="BI39" s="39" t="s">
        <v>4581</v>
      </c>
      <c r="BR39" s="39" t="s">
        <v>4689</v>
      </c>
      <c r="BS39" s="126" t="s">
        <v>4692</v>
      </c>
      <c r="BT39" s="126">
        <v>28.0</v>
      </c>
      <c r="BU39" s="126" t="s">
        <v>4697</v>
      </c>
      <c r="BV39" s="126">
        <v>10.0</v>
      </c>
      <c r="BW39" s="126">
        <v>1.0</v>
      </c>
      <c r="BX39" s="126" t="s">
        <v>4698</v>
      </c>
      <c r="BY39" s="126" t="s">
        <v>29</v>
      </c>
      <c r="BZ39" s="126" t="s">
        <v>29</v>
      </c>
      <c r="CA39" s="126" t="s">
        <v>29</v>
      </c>
      <c r="CB39" s="126" t="s">
        <v>4699</v>
      </c>
      <c r="CC39" s="126">
        <v>25.0</v>
      </c>
      <c r="CD39" s="126">
        <v>1.0</v>
      </c>
      <c r="CE39" s="126">
        <v>10.0</v>
      </c>
    </row>
    <row r="40" ht="18.75" customHeight="1">
      <c r="A40" s="39" t="s">
        <v>4700</v>
      </c>
      <c r="B40" s="39" t="s">
        <v>4577</v>
      </c>
      <c r="C40" s="102" t="s">
        <v>4701</v>
      </c>
      <c r="D40" s="39" t="s">
        <v>4695</v>
      </c>
      <c r="E40" s="102">
        <v>5.0</v>
      </c>
      <c r="F40" s="102">
        <v>1.0</v>
      </c>
      <c r="G40" s="102" t="s">
        <v>3055</v>
      </c>
      <c r="I40" s="39">
        <v>2.0</v>
      </c>
      <c r="J40" s="39" t="s">
        <v>29</v>
      </c>
      <c r="M40" s="39">
        <v>100.0</v>
      </c>
      <c r="P40" s="39">
        <v>100.0</v>
      </c>
      <c r="Q40" s="39">
        <v>50.0</v>
      </c>
      <c r="AH40" s="162"/>
      <c r="AI40" s="162"/>
      <c r="AJ40" s="162"/>
      <c r="AK40" s="162"/>
      <c r="AZ40" s="39" t="s">
        <v>4691</v>
      </c>
      <c r="BI40" s="39" t="s">
        <v>4581</v>
      </c>
      <c r="BM40" s="39">
        <v>0.0</v>
      </c>
      <c r="BR40" s="39" t="s">
        <v>4695</v>
      </c>
      <c r="BS40" s="126" t="s">
        <v>4692</v>
      </c>
      <c r="BT40" s="126">
        <v>26.0</v>
      </c>
      <c r="BU40" s="126" t="s">
        <v>4697</v>
      </c>
      <c r="BV40" s="126">
        <v>20.0</v>
      </c>
      <c r="BW40" s="126">
        <v>2.0</v>
      </c>
      <c r="BX40" s="126" t="s">
        <v>4702</v>
      </c>
      <c r="BY40" s="126" t="s">
        <v>29</v>
      </c>
      <c r="BZ40" s="126" t="s">
        <v>29</v>
      </c>
      <c r="CA40" s="126" t="s">
        <v>29</v>
      </c>
      <c r="CB40" s="126" t="s">
        <v>4699</v>
      </c>
      <c r="CC40" s="126">
        <v>25.0</v>
      </c>
      <c r="CD40" s="126">
        <v>3.0</v>
      </c>
      <c r="CE40" s="126">
        <v>20.0</v>
      </c>
    </row>
    <row r="41" ht="18.75" customHeight="1">
      <c r="A41" s="39" t="s">
        <v>4703</v>
      </c>
      <c r="B41" s="39" t="s">
        <v>4577</v>
      </c>
      <c r="C41" s="102" t="s">
        <v>4704</v>
      </c>
      <c r="D41" s="39" t="s">
        <v>4700</v>
      </c>
      <c r="E41" s="102">
        <v>7.0</v>
      </c>
      <c r="F41" s="102">
        <v>1.0</v>
      </c>
      <c r="G41" s="102" t="s">
        <v>3055</v>
      </c>
      <c r="I41" s="39">
        <v>3.0</v>
      </c>
      <c r="J41" s="39" t="s">
        <v>29</v>
      </c>
      <c r="M41" s="39">
        <v>150.0</v>
      </c>
      <c r="P41" s="39">
        <v>150.0</v>
      </c>
      <c r="Q41" s="39">
        <v>75.0</v>
      </c>
      <c r="AH41" s="162"/>
      <c r="AI41" s="162"/>
      <c r="AJ41" s="162"/>
      <c r="AK41" s="162"/>
      <c r="AZ41" s="39" t="s">
        <v>4691</v>
      </c>
      <c r="BI41" s="39" t="s">
        <v>4581</v>
      </c>
      <c r="BM41" s="39">
        <v>0.0</v>
      </c>
      <c r="BR41" s="39" t="s">
        <v>4700</v>
      </c>
      <c r="BS41" s="126" t="s">
        <v>4692</v>
      </c>
      <c r="BT41" s="126">
        <v>24.0</v>
      </c>
      <c r="BU41" s="126" t="s">
        <v>4697</v>
      </c>
      <c r="BV41" s="126">
        <v>25.0</v>
      </c>
      <c r="BW41" s="126">
        <v>3.0</v>
      </c>
      <c r="BX41" s="126" t="s">
        <v>4705</v>
      </c>
      <c r="BY41" s="126" t="s">
        <v>29</v>
      </c>
      <c r="BZ41" s="126" t="s">
        <v>29</v>
      </c>
      <c r="CA41" s="126" t="s">
        <v>29</v>
      </c>
      <c r="CB41" s="126" t="s">
        <v>4699</v>
      </c>
      <c r="CC41" s="126">
        <v>25.0</v>
      </c>
      <c r="CD41" s="126">
        <v>5.0</v>
      </c>
      <c r="CE41" s="126">
        <v>25.0</v>
      </c>
    </row>
    <row r="42" ht="18.75" customHeight="1">
      <c r="A42" s="39" t="s">
        <v>4706</v>
      </c>
      <c r="B42" s="39" t="s">
        <v>4577</v>
      </c>
      <c r="C42" s="102" t="s">
        <v>4707</v>
      </c>
      <c r="E42" s="102">
        <v>3.0</v>
      </c>
      <c r="F42" s="102">
        <v>1.0</v>
      </c>
      <c r="G42" s="102" t="s">
        <v>3055</v>
      </c>
      <c r="I42" s="39">
        <v>1.0</v>
      </c>
      <c r="J42" s="39" t="s">
        <v>29</v>
      </c>
      <c r="M42" s="39">
        <v>50.0</v>
      </c>
      <c r="P42" s="39">
        <v>50.0</v>
      </c>
      <c r="Q42" s="39">
        <v>25.0</v>
      </c>
      <c r="AH42" s="162"/>
      <c r="AI42" s="162"/>
      <c r="AJ42" s="162"/>
      <c r="AK42" s="162"/>
      <c r="AZ42" s="39" t="s">
        <v>4691</v>
      </c>
      <c r="BI42" s="39" t="s">
        <v>4581</v>
      </c>
      <c r="BR42" s="39" t="s">
        <v>4689</v>
      </c>
      <c r="BS42" s="126" t="s">
        <v>4692</v>
      </c>
      <c r="BT42" s="126">
        <v>28.0</v>
      </c>
      <c r="BU42" s="126" t="s">
        <v>4708</v>
      </c>
      <c r="BV42" s="126">
        <v>10.0</v>
      </c>
      <c r="BW42" s="126">
        <v>1.0</v>
      </c>
      <c r="BX42" s="126" t="s">
        <v>4698</v>
      </c>
      <c r="BY42" s="126" t="s">
        <v>29</v>
      </c>
      <c r="BZ42" s="126" t="s">
        <v>29</v>
      </c>
      <c r="CA42" s="126" t="s">
        <v>29</v>
      </c>
      <c r="CB42" s="126" t="s">
        <v>4709</v>
      </c>
      <c r="CC42" s="126">
        <v>25.0</v>
      </c>
      <c r="CD42" s="126">
        <v>1.0</v>
      </c>
      <c r="CE42" s="126">
        <v>10.0</v>
      </c>
    </row>
    <row r="43" ht="18.75" customHeight="1">
      <c r="A43" s="39" t="s">
        <v>4710</v>
      </c>
      <c r="B43" s="39" t="s">
        <v>4577</v>
      </c>
      <c r="C43" s="102" t="s">
        <v>4711</v>
      </c>
      <c r="D43" s="39" t="s">
        <v>4706</v>
      </c>
      <c r="E43" s="102">
        <v>5.0</v>
      </c>
      <c r="F43" s="102">
        <v>1.0</v>
      </c>
      <c r="G43" s="102" t="s">
        <v>3055</v>
      </c>
      <c r="I43" s="39">
        <v>2.0</v>
      </c>
      <c r="J43" s="39" t="s">
        <v>29</v>
      </c>
      <c r="M43" s="39">
        <v>100.0</v>
      </c>
      <c r="P43" s="39">
        <v>100.0</v>
      </c>
      <c r="Q43" s="39">
        <v>50.0</v>
      </c>
      <c r="AH43" s="162"/>
      <c r="AI43" s="162"/>
      <c r="AJ43" s="162"/>
      <c r="AK43" s="162"/>
      <c r="AZ43" s="39" t="s">
        <v>4691</v>
      </c>
      <c r="BI43" s="39" t="s">
        <v>4581</v>
      </c>
      <c r="BM43" s="39">
        <v>0.0</v>
      </c>
      <c r="BR43" s="39" t="s">
        <v>4706</v>
      </c>
      <c r="BS43" s="126" t="s">
        <v>4692</v>
      </c>
      <c r="BT43" s="126">
        <v>26.0</v>
      </c>
      <c r="BU43" s="126" t="s">
        <v>4708</v>
      </c>
      <c r="BV43" s="126">
        <v>20.0</v>
      </c>
      <c r="BW43" s="126">
        <v>2.0</v>
      </c>
      <c r="BX43" s="126" t="s">
        <v>4702</v>
      </c>
      <c r="BY43" s="126" t="s">
        <v>29</v>
      </c>
      <c r="BZ43" s="126" t="s">
        <v>29</v>
      </c>
      <c r="CA43" s="126" t="s">
        <v>29</v>
      </c>
      <c r="CB43" s="126" t="s">
        <v>4709</v>
      </c>
      <c r="CC43" s="126">
        <v>25.0</v>
      </c>
      <c r="CD43" s="126">
        <v>3.0</v>
      </c>
      <c r="CE43" s="126">
        <v>20.0</v>
      </c>
    </row>
    <row r="44" ht="18.75" customHeight="1">
      <c r="A44" s="39" t="s">
        <v>4712</v>
      </c>
      <c r="B44" s="39" t="s">
        <v>4577</v>
      </c>
      <c r="C44" s="102" t="s">
        <v>4713</v>
      </c>
      <c r="D44" s="39" t="s">
        <v>4710</v>
      </c>
      <c r="E44" s="102">
        <v>7.0</v>
      </c>
      <c r="F44" s="102">
        <v>1.0</v>
      </c>
      <c r="G44" s="102" t="s">
        <v>3055</v>
      </c>
      <c r="I44" s="39">
        <v>3.0</v>
      </c>
      <c r="J44" s="39" t="s">
        <v>29</v>
      </c>
      <c r="M44" s="39">
        <v>150.0</v>
      </c>
      <c r="P44" s="39">
        <v>150.0</v>
      </c>
      <c r="Q44" s="39">
        <v>75.0</v>
      </c>
      <c r="AH44" s="162"/>
      <c r="AI44" s="162"/>
      <c r="AJ44" s="162"/>
      <c r="AK44" s="162"/>
      <c r="AZ44" s="39" t="s">
        <v>4691</v>
      </c>
      <c r="BI44" s="39" t="s">
        <v>4581</v>
      </c>
      <c r="BM44" s="39">
        <v>0.0</v>
      </c>
      <c r="BR44" s="39" t="s">
        <v>4710</v>
      </c>
      <c r="BS44" s="126" t="s">
        <v>4692</v>
      </c>
      <c r="BT44" s="126">
        <v>24.0</v>
      </c>
      <c r="BU44" s="126" t="s">
        <v>4708</v>
      </c>
      <c r="BV44" s="126">
        <v>25.0</v>
      </c>
      <c r="BW44" s="126">
        <v>3.0</v>
      </c>
      <c r="BX44" s="126" t="s">
        <v>4705</v>
      </c>
      <c r="BY44" s="126" t="s">
        <v>29</v>
      </c>
      <c r="BZ44" s="126" t="s">
        <v>29</v>
      </c>
      <c r="CA44" s="126" t="s">
        <v>29</v>
      </c>
      <c r="CB44" s="126" t="s">
        <v>4709</v>
      </c>
      <c r="CC44" s="126">
        <v>25.0</v>
      </c>
      <c r="CD44" s="126">
        <v>5.0</v>
      </c>
      <c r="CE44" s="126">
        <v>25.0</v>
      </c>
    </row>
    <row r="45" ht="18.75" customHeight="1">
      <c r="A45" s="39" t="s">
        <v>4714</v>
      </c>
      <c r="B45" s="39" t="s">
        <v>4577</v>
      </c>
      <c r="C45" s="102" t="s">
        <v>4715</v>
      </c>
      <c r="E45" s="102">
        <v>3.0</v>
      </c>
      <c r="F45" s="102">
        <v>1.0</v>
      </c>
      <c r="G45" s="102" t="s">
        <v>3055</v>
      </c>
      <c r="I45" s="39">
        <v>1.0</v>
      </c>
      <c r="J45" s="39" t="s">
        <v>29</v>
      </c>
      <c r="M45" s="39">
        <v>50.0</v>
      </c>
      <c r="P45" s="39">
        <v>50.0</v>
      </c>
      <c r="Q45" s="39">
        <v>25.0</v>
      </c>
      <c r="AH45" s="162"/>
      <c r="AI45" s="162"/>
      <c r="AJ45" s="162"/>
      <c r="AK45" s="162"/>
      <c r="AZ45" s="39" t="s">
        <v>4691</v>
      </c>
      <c r="BI45" s="39" t="s">
        <v>4581</v>
      </c>
      <c r="BR45" s="39" t="s">
        <v>4689</v>
      </c>
      <c r="BS45" s="126" t="s">
        <v>4692</v>
      </c>
      <c r="BT45" s="126">
        <v>28.0</v>
      </c>
      <c r="BU45" s="126" t="s">
        <v>4716</v>
      </c>
      <c r="BV45" s="126">
        <v>10.0</v>
      </c>
      <c r="BW45" s="126">
        <v>1.0</v>
      </c>
      <c r="BX45" s="126" t="s">
        <v>4698</v>
      </c>
      <c r="BY45" s="126" t="s">
        <v>29</v>
      </c>
      <c r="BZ45" s="126" t="s">
        <v>29</v>
      </c>
      <c r="CA45" s="126" t="s">
        <v>29</v>
      </c>
      <c r="CB45" s="126" t="s">
        <v>4717</v>
      </c>
      <c r="CC45" s="126">
        <v>25.0</v>
      </c>
      <c r="CD45" s="126">
        <v>1.0</v>
      </c>
      <c r="CE45" s="126">
        <v>10.0</v>
      </c>
    </row>
    <row r="46" ht="18.75" customHeight="1">
      <c r="A46" s="39" t="s">
        <v>4718</v>
      </c>
      <c r="B46" s="39" t="s">
        <v>4577</v>
      </c>
      <c r="C46" s="102" t="s">
        <v>4719</v>
      </c>
      <c r="D46" s="39" t="s">
        <v>4714</v>
      </c>
      <c r="E46" s="102">
        <v>5.0</v>
      </c>
      <c r="F46" s="102">
        <v>1.0</v>
      </c>
      <c r="G46" s="102" t="s">
        <v>3055</v>
      </c>
      <c r="I46" s="39">
        <v>2.0</v>
      </c>
      <c r="J46" s="39" t="s">
        <v>29</v>
      </c>
      <c r="M46" s="39">
        <v>100.0</v>
      </c>
      <c r="P46" s="39">
        <v>100.0</v>
      </c>
      <c r="Q46" s="39">
        <v>50.0</v>
      </c>
      <c r="AH46" s="162"/>
      <c r="AI46" s="162"/>
      <c r="AJ46" s="162"/>
      <c r="AK46" s="162"/>
      <c r="AZ46" s="39" t="s">
        <v>4691</v>
      </c>
      <c r="BI46" s="39" t="s">
        <v>4581</v>
      </c>
      <c r="BM46" s="39">
        <v>0.0</v>
      </c>
      <c r="BR46" s="39" t="s">
        <v>4714</v>
      </c>
      <c r="BS46" s="126" t="s">
        <v>4692</v>
      </c>
      <c r="BT46" s="126">
        <v>26.0</v>
      </c>
      <c r="BU46" s="126" t="s">
        <v>4716</v>
      </c>
      <c r="BV46" s="126">
        <v>20.0</v>
      </c>
      <c r="BW46" s="126">
        <v>2.0</v>
      </c>
      <c r="BX46" s="126" t="s">
        <v>4702</v>
      </c>
      <c r="BY46" s="126" t="s">
        <v>29</v>
      </c>
      <c r="BZ46" s="126" t="s">
        <v>29</v>
      </c>
      <c r="CA46" s="126" t="s">
        <v>29</v>
      </c>
      <c r="CB46" s="126" t="s">
        <v>4717</v>
      </c>
      <c r="CC46" s="126">
        <v>25.0</v>
      </c>
      <c r="CD46" s="126">
        <v>3.0</v>
      </c>
      <c r="CE46" s="126">
        <v>20.0</v>
      </c>
    </row>
    <row r="47" ht="18.75" customHeight="1">
      <c r="A47" s="39" t="s">
        <v>4720</v>
      </c>
      <c r="B47" s="39" t="s">
        <v>4577</v>
      </c>
      <c r="C47" s="102" t="s">
        <v>4721</v>
      </c>
      <c r="D47" s="39" t="s">
        <v>4718</v>
      </c>
      <c r="E47" s="102">
        <v>7.0</v>
      </c>
      <c r="F47" s="102">
        <v>1.0</v>
      </c>
      <c r="G47" s="102" t="s">
        <v>3055</v>
      </c>
      <c r="I47" s="39">
        <v>3.0</v>
      </c>
      <c r="J47" s="39" t="s">
        <v>29</v>
      </c>
      <c r="M47" s="39">
        <v>150.0</v>
      </c>
      <c r="P47" s="39">
        <v>150.0</v>
      </c>
      <c r="Q47" s="39">
        <v>75.0</v>
      </c>
      <c r="AH47" s="162"/>
      <c r="AI47" s="162"/>
      <c r="AJ47" s="162"/>
      <c r="AK47" s="162"/>
      <c r="AZ47" s="39" t="s">
        <v>4691</v>
      </c>
      <c r="BI47" s="39" t="s">
        <v>4581</v>
      </c>
      <c r="BM47" s="39">
        <v>0.0</v>
      </c>
      <c r="BR47" s="39" t="s">
        <v>4718</v>
      </c>
      <c r="BS47" s="126" t="s">
        <v>4692</v>
      </c>
      <c r="BT47" s="126">
        <v>24.0</v>
      </c>
      <c r="BU47" s="126" t="s">
        <v>4716</v>
      </c>
      <c r="BV47" s="126">
        <v>25.0</v>
      </c>
      <c r="BW47" s="126">
        <v>3.0</v>
      </c>
      <c r="BX47" s="126" t="s">
        <v>4705</v>
      </c>
      <c r="BY47" s="126" t="s">
        <v>29</v>
      </c>
      <c r="BZ47" s="126" t="s">
        <v>29</v>
      </c>
      <c r="CA47" s="126" t="s">
        <v>29</v>
      </c>
      <c r="CB47" s="126" t="s">
        <v>4717</v>
      </c>
      <c r="CC47" s="126">
        <v>25.0</v>
      </c>
      <c r="CD47" s="126">
        <v>5.0</v>
      </c>
      <c r="CE47" s="126">
        <v>25.0</v>
      </c>
    </row>
    <row r="48" ht="18.75" customHeight="1">
      <c r="A48" s="39" t="s">
        <v>4722</v>
      </c>
      <c r="B48" s="39" t="s">
        <v>4577</v>
      </c>
      <c r="C48" s="102" t="s">
        <v>4723</v>
      </c>
      <c r="E48" s="102">
        <v>3.0</v>
      </c>
      <c r="F48" s="102">
        <v>1.0</v>
      </c>
      <c r="G48" s="102" t="s">
        <v>3055</v>
      </c>
      <c r="I48" s="39">
        <v>1.0</v>
      </c>
      <c r="J48" s="39" t="s">
        <v>29</v>
      </c>
      <c r="M48" s="39">
        <v>50.0</v>
      </c>
      <c r="P48" s="39">
        <v>50.0</v>
      </c>
      <c r="Q48" s="39">
        <v>25.0</v>
      </c>
      <c r="AH48" s="162"/>
      <c r="AI48" s="162"/>
      <c r="AJ48" s="162"/>
      <c r="AK48" s="162"/>
      <c r="AZ48" s="39" t="s">
        <v>4691</v>
      </c>
      <c r="BI48" s="39" t="s">
        <v>4581</v>
      </c>
      <c r="BR48" s="39" t="s">
        <v>4689</v>
      </c>
      <c r="BS48" s="126" t="s">
        <v>4692</v>
      </c>
      <c r="BT48" s="126">
        <v>28.0</v>
      </c>
      <c r="BU48" s="126" t="s">
        <v>4724</v>
      </c>
      <c r="BV48" s="126">
        <v>10.0</v>
      </c>
      <c r="BW48" s="126">
        <v>1.0</v>
      </c>
      <c r="BX48" s="126" t="s">
        <v>4698</v>
      </c>
      <c r="BY48" s="126" t="s">
        <v>29</v>
      </c>
      <c r="BZ48" s="126" t="s">
        <v>29</v>
      </c>
      <c r="CA48" s="126" t="s">
        <v>29</v>
      </c>
      <c r="CB48" s="126" t="s">
        <v>4725</v>
      </c>
      <c r="CC48" s="126">
        <v>25.0</v>
      </c>
      <c r="CD48" s="126">
        <v>1.0</v>
      </c>
      <c r="CE48" s="126">
        <v>10.0</v>
      </c>
    </row>
    <row r="49" ht="18.75" customHeight="1">
      <c r="A49" s="39" t="s">
        <v>4726</v>
      </c>
      <c r="B49" s="39" t="s">
        <v>4577</v>
      </c>
      <c r="C49" s="102" t="s">
        <v>4727</v>
      </c>
      <c r="D49" s="39" t="s">
        <v>4722</v>
      </c>
      <c r="E49" s="102">
        <v>5.0</v>
      </c>
      <c r="F49" s="102">
        <v>1.0</v>
      </c>
      <c r="G49" s="102" t="s">
        <v>3055</v>
      </c>
      <c r="I49" s="39">
        <v>2.0</v>
      </c>
      <c r="J49" s="39" t="s">
        <v>29</v>
      </c>
      <c r="M49" s="39">
        <v>100.0</v>
      </c>
      <c r="P49" s="39">
        <v>100.0</v>
      </c>
      <c r="Q49" s="39">
        <v>50.0</v>
      </c>
      <c r="AH49" s="162"/>
      <c r="AI49" s="162"/>
      <c r="AJ49" s="162"/>
      <c r="AK49" s="162"/>
      <c r="AZ49" s="39" t="s">
        <v>4691</v>
      </c>
      <c r="BI49" s="39" t="s">
        <v>4581</v>
      </c>
      <c r="BM49" s="39">
        <v>0.0</v>
      </c>
      <c r="BR49" s="39" t="s">
        <v>4722</v>
      </c>
      <c r="BS49" s="126" t="s">
        <v>4692</v>
      </c>
      <c r="BT49" s="126">
        <v>26.0</v>
      </c>
      <c r="BU49" s="126" t="s">
        <v>4724</v>
      </c>
      <c r="BV49" s="126">
        <v>20.0</v>
      </c>
      <c r="BW49" s="126">
        <v>2.0</v>
      </c>
      <c r="BX49" s="126" t="s">
        <v>4702</v>
      </c>
      <c r="BY49" s="126" t="s">
        <v>29</v>
      </c>
      <c r="BZ49" s="126" t="s">
        <v>29</v>
      </c>
      <c r="CA49" s="126" t="s">
        <v>29</v>
      </c>
      <c r="CB49" s="126" t="s">
        <v>4725</v>
      </c>
      <c r="CC49" s="126">
        <v>25.0</v>
      </c>
      <c r="CD49" s="126">
        <v>3.0</v>
      </c>
      <c r="CE49" s="126">
        <v>20.0</v>
      </c>
    </row>
    <row r="50" ht="18.75" customHeight="1">
      <c r="A50" s="39" t="s">
        <v>4728</v>
      </c>
      <c r="B50" s="39" t="s">
        <v>4577</v>
      </c>
      <c r="C50" s="102" t="s">
        <v>4729</v>
      </c>
      <c r="D50" s="39" t="s">
        <v>4726</v>
      </c>
      <c r="E50" s="102">
        <v>7.0</v>
      </c>
      <c r="F50" s="102">
        <v>1.0</v>
      </c>
      <c r="G50" s="102" t="s">
        <v>3055</v>
      </c>
      <c r="I50" s="39">
        <v>3.0</v>
      </c>
      <c r="J50" s="39" t="s">
        <v>29</v>
      </c>
      <c r="M50" s="39">
        <v>150.0</v>
      </c>
      <c r="P50" s="39">
        <v>150.0</v>
      </c>
      <c r="Q50" s="39">
        <v>75.0</v>
      </c>
      <c r="AH50" s="162"/>
      <c r="AI50" s="162"/>
      <c r="AJ50" s="162"/>
      <c r="AK50" s="162"/>
      <c r="AZ50" s="39" t="s">
        <v>4691</v>
      </c>
      <c r="BI50" s="39" t="s">
        <v>4581</v>
      </c>
      <c r="BM50" s="39">
        <v>0.0</v>
      </c>
      <c r="BR50" s="39" t="s">
        <v>4726</v>
      </c>
      <c r="BS50" s="126" t="s">
        <v>4692</v>
      </c>
      <c r="BT50" s="126">
        <v>24.0</v>
      </c>
      <c r="BU50" s="126" t="s">
        <v>4724</v>
      </c>
      <c r="BV50" s="126">
        <v>25.0</v>
      </c>
      <c r="BW50" s="126">
        <v>3.0</v>
      </c>
      <c r="BX50" s="126" t="s">
        <v>4705</v>
      </c>
      <c r="BY50" s="126" t="s">
        <v>29</v>
      </c>
      <c r="BZ50" s="126" t="s">
        <v>29</v>
      </c>
      <c r="CA50" s="126" t="s">
        <v>29</v>
      </c>
      <c r="CB50" s="126" t="s">
        <v>4725</v>
      </c>
      <c r="CC50" s="126">
        <v>25.0</v>
      </c>
      <c r="CD50" s="126">
        <v>5.0</v>
      </c>
      <c r="CE50" s="126">
        <v>25.0</v>
      </c>
    </row>
    <row r="51" ht="18.75" customHeight="1">
      <c r="A51" s="39" t="s">
        <v>4730</v>
      </c>
      <c r="B51" s="39" t="s">
        <v>4577</v>
      </c>
      <c r="C51" s="102" t="s">
        <v>4731</v>
      </c>
      <c r="E51" s="102">
        <v>3.0</v>
      </c>
      <c r="F51" s="102">
        <v>1.0</v>
      </c>
      <c r="G51" s="102" t="s">
        <v>3055</v>
      </c>
      <c r="I51" s="39">
        <v>1.0</v>
      </c>
      <c r="J51" s="39" t="s">
        <v>29</v>
      </c>
      <c r="M51" s="39">
        <v>50.0</v>
      </c>
      <c r="P51" s="39">
        <v>50.0</v>
      </c>
      <c r="Q51" s="39">
        <v>25.0</v>
      </c>
      <c r="AH51" s="162"/>
      <c r="AI51" s="162"/>
      <c r="AJ51" s="162"/>
      <c r="AK51" s="162"/>
      <c r="AZ51" s="39" t="s">
        <v>4691</v>
      </c>
      <c r="BI51" s="39" t="s">
        <v>4581</v>
      </c>
      <c r="BR51" s="39" t="s">
        <v>4732</v>
      </c>
      <c r="BS51" s="126" t="s">
        <v>4692</v>
      </c>
      <c r="BT51" s="126">
        <v>28.0</v>
      </c>
      <c r="BU51" s="126" t="s">
        <v>3655</v>
      </c>
      <c r="BV51" s="126">
        <v>10.0</v>
      </c>
      <c r="BW51" s="126">
        <v>1.0</v>
      </c>
      <c r="BX51" s="126"/>
      <c r="BY51" s="126" t="s">
        <v>29</v>
      </c>
      <c r="BZ51" s="126" t="s">
        <v>29</v>
      </c>
      <c r="CA51" s="126" t="s">
        <v>29</v>
      </c>
      <c r="CB51" s="126" t="s">
        <v>4733</v>
      </c>
      <c r="CC51" s="126">
        <v>25.0</v>
      </c>
      <c r="CD51" s="126">
        <v>0.0</v>
      </c>
      <c r="CE51" s="126"/>
    </row>
    <row r="52" ht="18.75" customHeight="1">
      <c r="A52" s="39" t="s">
        <v>4734</v>
      </c>
      <c r="B52" s="39" t="s">
        <v>4577</v>
      </c>
      <c r="C52" s="102" t="s">
        <v>4735</v>
      </c>
      <c r="D52" s="39" t="s">
        <v>4730</v>
      </c>
      <c r="E52" s="102">
        <v>5.0</v>
      </c>
      <c r="F52" s="102">
        <v>1.0</v>
      </c>
      <c r="G52" s="102" t="s">
        <v>3055</v>
      </c>
      <c r="I52" s="39">
        <v>2.0</v>
      </c>
      <c r="J52" s="39" t="s">
        <v>29</v>
      </c>
      <c r="M52" s="39">
        <v>100.0</v>
      </c>
      <c r="P52" s="39">
        <v>100.0</v>
      </c>
      <c r="Q52" s="39">
        <v>50.0</v>
      </c>
      <c r="AH52" s="162"/>
      <c r="AI52" s="162"/>
      <c r="AJ52" s="162"/>
      <c r="AK52" s="162"/>
      <c r="AZ52" s="39" t="s">
        <v>4691</v>
      </c>
      <c r="BI52" s="39" t="s">
        <v>4581</v>
      </c>
      <c r="BM52" s="39">
        <v>0.0</v>
      </c>
      <c r="BR52" s="39" t="s">
        <v>4730</v>
      </c>
      <c r="BS52" s="126" t="s">
        <v>4692</v>
      </c>
      <c r="BT52" s="126">
        <v>26.0</v>
      </c>
      <c r="BU52" s="126" t="s">
        <v>3655</v>
      </c>
      <c r="BV52" s="126">
        <v>20.0</v>
      </c>
      <c r="BW52" s="126">
        <v>2.0</v>
      </c>
      <c r="BX52" s="126"/>
      <c r="BY52" s="126" t="s">
        <v>29</v>
      </c>
      <c r="BZ52" s="126" t="s">
        <v>29</v>
      </c>
      <c r="CA52" s="126" t="s">
        <v>29</v>
      </c>
      <c r="CB52" s="126" t="s">
        <v>4733</v>
      </c>
      <c r="CC52" s="126">
        <v>25.0</v>
      </c>
      <c r="CD52" s="126">
        <v>0.0</v>
      </c>
      <c r="CE52" s="126"/>
    </row>
    <row r="53" ht="18.75" customHeight="1">
      <c r="A53" s="39" t="s">
        <v>4736</v>
      </c>
      <c r="B53" s="39" t="s">
        <v>4577</v>
      </c>
      <c r="C53" s="102" t="s">
        <v>4737</v>
      </c>
      <c r="D53" s="39" t="s">
        <v>4734</v>
      </c>
      <c r="E53" s="102">
        <v>7.0</v>
      </c>
      <c r="F53" s="102">
        <v>1.0</v>
      </c>
      <c r="G53" s="102" t="s">
        <v>3055</v>
      </c>
      <c r="I53" s="39">
        <v>3.0</v>
      </c>
      <c r="J53" s="39" t="s">
        <v>29</v>
      </c>
      <c r="M53" s="39">
        <v>150.0</v>
      </c>
      <c r="P53" s="39">
        <v>150.0</v>
      </c>
      <c r="Q53" s="39">
        <v>75.0</v>
      </c>
      <c r="AH53" s="162"/>
      <c r="AI53" s="162"/>
      <c r="AJ53" s="162"/>
      <c r="AK53" s="162"/>
      <c r="AZ53" s="39" t="s">
        <v>4691</v>
      </c>
      <c r="BI53" s="39" t="s">
        <v>4581</v>
      </c>
      <c r="BM53" s="39">
        <v>0.0</v>
      </c>
      <c r="BR53" s="39" t="s">
        <v>4734</v>
      </c>
      <c r="BS53" s="126" t="s">
        <v>4692</v>
      </c>
      <c r="BT53" s="126">
        <v>24.0</v>
      </c>
      <c r="BU53" s="126" t="s">
        <v>3655</v>
      </c>
      <c r="BV53" s="126">
        <v>25.0</v>
      </c>
      <c r="BW53" s="126">
        <v>3.0</v>
      </c>
      <c r="BX53" s="126"/>
      <c r="BY53" s="126" t="s">
        <v>29</v>
      </c>
      <c r="BZ53" s="126" t="s">
        <v>29</v>
      </c>
      <c r="CA53" s="126" t="s">
        <v>29</v>
      </c>
      <c r="CB53" s="126" t="s">
        <v>4733</v>
      </c>
      <c r="CC53" s="126">
        <v>25.0</v>
      </c>
      <c r="CD53" s="126">
        <v>0.0</v>
      </c>
      <c r="CE53" s="126"/>
    </row>
    <row r="54" ht="18.75" customHeight="1">
      <c r="A54" s="39" t="s">
        <v>4738</v>
      </c>
      <c r="B54" s="39" t="s">
        <v>4577</v>
      </c>
      <c r="C54" s="102" t="s">
        <v>4739</v>
      </c>
      <c r="E54" s="102">
        <v>3.0</v>
      </c>
      <c r="F54" s="102">
        <v>1.0</v>
      </c>
      <c r="G54" s="102" t="s">
        <v>3055</v>
      </c>
      <c r="I54" s="39" t="s">
        <v>29</v>
      </c>
      <c r="J54" s="39">
        <v>1.0</v>
      </c>
      <c r="M54" s="39">
        <v>50.0</v>
      </c>
      <c r="P54" s="39">
        <v>50.0</v>
      </c>
      <c r="Q54" s="39">
        <v>25.0</v>
      </c>
      <c r="AH54" s="162"/>
      <c r="AI54" s="162"/>
      <c r="AJ54" s="162"/>
      <c r="AK54" s="162"/>
      <c r="AZ54" s="39" t="s">
        <v>4691</v>
      </c>
      <c r="BI54" s="39" t="s">
        <v>4581</v>
      </c>
      <c r="BR54" s="39" t="s">
        <v>4635</v>
      </c>
      <c r="BS54" s="126" t="s">
        <v>4740</v>
      </c>
      <c r="BT54" s="126">
        <v>28.0</v>
      </c>
      <c r="BU54" s="126" t="s">
        <v>1295</v>
      </c>
      <c r="BV54" s="126">
        <v>10.0</v>
      </c>
      <c r="BW54" s="126">
        <v>1.0</v>
      </c>
      <c r="BX54" s="126"/>
      <c r="BY54" s="126" t="s">
        <v>1295</v>
      </c>
      <c r="BZ54" s="126">
        <v>1.1</v>
      </c>
      <c r="CA54" s="126">
        <v>4.0</v>
      </c>
      <c r="CB54" s="126" t="s">
        <v>4741</v>
      </c>
      <c r="CC54" s="126">
        <v>25.0</v>
      </c>
      <c r="CD54" s="126">
        <v>0.0</v>
      </c>
      <c r="CE54" s="126"/>
    </row>
    <row r="55" ht="18.75" customHeight="1">
      <c r="A55" s="39" t="s">
        <v>4742</v>
      </c>
      <c r="B55" s="39" t="s">
        <v>4577</v>
      </c>
      <c r="C55" s="102" t="s">
        <v>4743</v>
      </c>
      <c r="D55" s="39" t="s">
        <v>4738</v>
      </c>
      <c r="E55" s="102">
        <v>5.0</v>
      </c>
      <c r="F55" s="102">
        <v>1.0</v>
      </c>
      <c r="G55" s="102" t="s">
        <v>3055</v>
      </c>
      <c r="I55" s="39" t="s">
        <v>29</v>
      </c>
      <c r="J55" s="39">
        <v>2.0</v>
      </c>
      <c r="M55" s="39">
        <v>100.0</v>
      </c>
      <c r="P55" s="39">
        <v>100.0</v>
      </c>
      <c r="Q55" s="39">
        <v>50.0</v>
      </c>
      <c r="AH55" s="162"/>
      <c r="AI55" s="162"/>
      <c r="AJ55" s="162"/>
      <c r="AK55" s="162"/>
      <c r="AZ55" s="39" t="s">
        <v>4691</v>
      </c>
      <c r="BI55" s="39" t="s">
        <v>4581</v>
      </c>
      <c r="BM55" s="39">
        <v>0.0</v>
      </c>
      <c r="BR55" s="39" t="s">
        <v>4738</v>
      </c>
      <c r="BS55" s="126" t="s">
        <v>4740</v>
      </c>
      <c r="BT55" s="126">
        <v>26.0</v>
      </c>
      <c r="BU55" s="126" t="s">
        <v>1295</v>
      </c>
      <c r="BV55" s="126">
        <v>20.0</v>
      </c>
      <c r="BW55" s="126">
        <v>2.0</v>
      </c>
      <c r="BX55" s="126"/>
      <c r="BY55" s="126" t="s">
        <v>1295</v>
      </c>
      <c r="BZ55" s="126">
        <v>1.25</v>
      </c>
      <c r="CA55" s="126">
        <v>5.0</v>
      </c>
      <c r="CB55" s="126" t="s">
        <v>4741</v>
      </c>
      <c r="CC55" s="126">
        <v>25.0</v>
      </c>
      <c r="CD55" s="126">
        <v>0.0</v>
      </c>
      <c r="CE55" s="126"/>
    </row>
    <row r="56" ht="18.75" customHeight="1">
      <c r="A56" s="39" t="s">
        <v>4744</v>
      </c>
      <c r="B56" s="39" t="s">
        <v>4577</v>
      </c>
      <c r="C56" s="102" t="s">
        <v>4745</v>
      </c>
      <c r="D56" s="39" t="s">
        <v>4742</v>
      </c>
      <c r="E56" s="102">
        <v>7.0</v>
      </c>
      <c r="F56" s="102">
        <v>1.0</v>
      </c>
      <c r="G56" s="102" t="s">
        <v>3055</v>
      </c>
      <c r="I56" s="39" t="s">
        <v>29</v>
      </c>
      <c r="J56" s="39">
        <v>3.0</v>
      </c>
      <c r="M56" s="39">
        <v>150.0</v>
      </c>
      <c r="P56" s="39">
        <v>150.0</v>
      </c>
      <c r="Q56" s="39">
        <v>75.0</v>
      </c>
      <c r="AH56" s="162"/>
      <c r="AI56" s="162"/>
      <c r="AJ56" s="162"/>
      <c r="AK56" s="162"/>
      <c r="AZ56" s="39" t="s">
        <v>4691</v>
      </c>
      <c r="BI56" s="39" t="s">
        <v>4581</v>
      </c>
      <c r="BM56" s="39">
        <v>0.0</v>
      </c>
      <c r="BR56" s="39" t="s">
        <v>4742</v>
      </c>
      <c r="BS56" s="126" t="s">
        <v>4740</v>
      </c>
      <c r="BT56" s="126">
        <v>24.0</v>
      </c>
      <c r="BU56" s="126" t="s">
        <v>1295</v>
      </c>
      <c r="BV56" s="126">
        <v>25.0</v>
      </c>
      <c r="BW56" s="126">
        <v>3.0</v>
      </c>
      <c r="BX56" s="126"/>
      <c r="BY56" s="126" t="s">
        <v>1295</v>
      </c>
      <c r="BZ56" s="126">
        <v>1.5</v>
      </c>
      <c r="CA56" s="126">
        <v>6.0</v>
      </c>
      <c r="CB56" s="126" t="s">
        <v>4741</v>
      </c>
      <c r="CC56" s="126">
        <v>25.0</v>
      </c>
      <c r="CD56" s="126">
        <v>0.0</v>
      </c>
      <c r="CE56" s="126"/>
    </row>
    <row r="57" ht="18.75" customHeight="1">
      <c r="A57" s="39" t="s">
        <v>4746</v>
      </c>
      <c r="B57" s="39" t="s">
        <v>4577</v>
      </c>
      <c r="C57" s="102" t="s">
        <v>4747</v>
      </c>
      <c r="E57" s="102">
        <v>3.0</v>
      </c>
      <c r="F57" s="102">
        <v>1.0</v>
      </c>
      <c r="G57" s="102" t="s">
        <v>3055</v>
      </c>
      <c r="I57" s="39" t="s">
        <v>29</v>
      </c>
      <c r="J57" s="39">
        <v>1.0</v>
      </c>
      <c r="M57" s="39">
        <v>50.0</v>
      </c>
      <c r="P57" s="39">
        <v>50.0</v>
      </c>
      <c r="Q57" s="39">
        <v>25.0</v>
      </c>
      <c r="AH57" s="162"/>
      <c r="AI57" s="162"/>
      <c r="AJ57" s="162"/>
      <c r="AK57" s="162"/>
      <c r="AZ57" s="39" t="s">
        <v>4691</v>
      </c>
      <c r="BI57" s="39" t="s">
        <v>4581</v>
      </c>
      <c r="BR57" s="39" t="s">
        <v>4635</v>
      </c>
      <c r="BS57" s="126" t="s">
        <v>4740</v>
      </c>
      <c r="BT57" s="126">
        <v>28.0</v>
      </c>
      <c r="BU57" s="126" t="s">
        <v>1280</v>
      </c>
      <c r="BV57" s="126">
        <v>10.0</v>
      </c>
      <c r="BW57" s="126">
        <v>1.0</v>
      </c>
      <c r="BX57" s="126"/>
      <c r="BY57" s="126" t="s">
        <v>1280</v>
      </c>
      <c r="BZ57" s="126">
        <v>1.1</v>
      </c>
      <c r="CA57" s="126">
        <v>4.0</v>
      </c>
      <c r="CB57" s="126" t="s">
        <v>4748</v>
      </c>
      <c r="CC57" s="126">
        <v>25.0</v>
      </c>
      <c r="CD57" s="126">
        <v>0.0</v>
      </c>
      <c r="CE57" s="126"/>
    </row>
    <row r="58" ht="18.75" customHeight="1">
      <c r="A58" s="39" t="s">
        <v>4749</v>
      </c>
      <c r="B58" s="39" t="s">
        <v>4577</v>
      </c>
      <c r="C58" s="102" t="s">
        <v>4750</v>
      </c>
      <c r="D58" s="39" t="s">
        <v>4746</v>
      </c>
      <c r="E58" s="102">
        <v>5.0</v>
      </c>
      <c r="F58" s="102">
        <v>1.0</v>
      </c>
      <c r="G58" s="102" t="s">
        <v>3055</v>
      </c>
      <c r="I58" s="39" t="s">
        <v>29</v>
      </c>
      <c r="J58" s="39">
        <v>2.0</v>
      </c>
      <c r="M58" s="39">
        <v>100.0</v>
      </c>
      <c r="P58" s="39">
        <v>100.0</v>
      </c>
      <c r="Q58" s="39">
        <v>50.0</v>
      </c>
      <c r="AH58" s="162"/>
      <c r="AI58" s="162"/>
      <c r="AJ58" s="162"/>
      <c r="AK58" s="162"/>
      <c r="AZ58" s="39" t="s">
        <v>4691</v>
      </c>
      <c r="BI58" s="39" t="s">
        <v>4581</v>
      </c>
      <c r="BM58" s="39">
        <v>0.0</v>
      </c>
      <c r="BR58" s="39" t="s">
        <v>4746</v>
      </c>
      <c r="BS58" s="126" t="s">
        <v>4740</v>
      </c>
      <c r="BT58" s="126">
        <v>26.0</v>
      </c>
      <c r="BU58" s="126" t="s">
        <v>1280</v>
      </c>
      <c r="BV58" s="126">
        <v>20.0</v>
      </c>
      <c r="BW58" s="126">
        <v>2.0</v>
      </c>
      <c r="BX58" s="126"/>
      <c r="BY58" s="126" t="s">
        <v>1280</v>
      </c>
      <c r="BZ58" s="126">
        <v>1.25</v>
      </c>
      <c r="CA58" s="126">
        <v>5.0</v>
      </c>
      <c r="CB58" s="126" t="s">
        <v>4748</v>
      </c>
      <c r="CC58" s="126">
        <v>25.0</v>
      </c>
      <c r="CD58" s="126">
        <v>0.0</v>
      </c>
      <c r="CE58" s="126"/>
    </row>
    <row r="59" ht="18.75" customHeight="1">
      <c r="A59" s="39" t="s">
        <v>4751</v>
      </c>
      <c r="B59" s="39" t="s">
        <v>4577</v>
      </c>
      <c r="C59" s="102" t="s">
        <v>4752</v>
      </c>
      <c r="D59" s="39" t="s">
        <v>4749</v>
      </c>
      <c r="E59" s="102">
        <v>7.0</v>
      </c>
      <c r="F59" s="102">
        <v>1.0</v>
      </c>
      <c r="G59" s="102" t="s">
        <v>3055</v>
      </c>
      <c r="I59" s="39" t="s">
        <v>29</v>
      </c>
      <c r="J59" s="39">
        <v>3.0</v>
      </c>
      <c r="M59" s="39">
        <v>150.0</v>
      </c>
      <c r="P59" s="39">
        <v>150.0</v>
      </c>
      <c r="Q59" s="39">
        <v>75.0</v>
      </c>
      <c r="AH59" s="162"/>
      <c r="AI59" s="162"/>
      <c r="AJ59" s="162"/>
      <c r="AK59" s="162"/>
      <c r="AZ59" s="39" t="s">
        <v>4691</v>
      </c>
      <c r="BI59" s="39" t="s">
        <v>4581</v>
      </c>
      <c r="BM59" s="39">
        <v>0.0</v>
      </c>
      <c r="BR59" s="39" t="s">
        <v>4749</v>
      </c>
      <c r="BS59" s="126" t="s">
        <v>4740</v>
      </c>
      <c r="BT59" s="126">
        <v>24.0</v>
      </c>
      <c r="BU59" s="126" t="s">
        <v>1280</v>
      </c>
      <c r="BV59" s="126">
        <v>25.0</v>
      </c>
      <c r="BW59" s="126">
        <v>3.0</v>
      </c>
      <c r="BX59" s="126"/>
      <c r="BY59" s="126" t="s">
        <v>1280</v>
      </c>
      <c r="BZ59" s="126">
        <v>1.5</v>
      </c>
      <c r="CA59" s="126">
        <v>6.0</v>
      </c>
      <c r="CB59" s="126" t="s">
        <v>4748</v>
      </c>
      <c r="CC59" s="126">
        <v>25.0</v>
      </c>
      <c r="CD59" s="126">
        <v>0.0</v>
      </c>
      <c r="CE59" s="126"/>
    </row>
    <row r="60" ht="18.75" customHeight="1">
      <c r="C60" s="64"/>
      <c r="E60" s="64"/>
      <c r="F60" s="64"/>
      <c r="G60" s="64"/>
      <c r="AH60" s="162"/>
      <c r="AI60" s="162"/>
      <c r="AJ60" s="162"/>
      <c r="AK60" s="162"/>
      <c r="BS60" s="131"/>
      <c r="BT60" s="131"/>
      <c r="BU60" s="131"/>
      <c r="BV60" s="131"/>
      <c r="BW60" s="131"/>
      <c r="BX60" s="131"/>
      <c r="BY60" s="131"/>
      <c r="BZ60" s="131"/>
      <c r="CA60" s="131"/>
      <c r="CB60" s="131"/>
      <c r="CC60" s="131"/>
      <c r="CD60" s="131"/>
      <c r="CE60" s="131"/>
    </row>
    <row r="61" ht="18.75" customHeight="1">
      <c r="C61" s="64"/>
      <c r="E61" s="64"/>
      <c r="F61" s="64"/>
      <c r="G61" s="64"/>
      <c r="AH61" s="162"/>
      <c r="AI61" s="162"/>
      <c r="AJ61" s="162"/>
      <c r="AK61" s="162"/>
      <c r="BS61" s="131"/>
      <c r="BT61" s="131"/>
      <c r="BU61" s="131"/>
      <c r="BV61" s="131"/>
      <c r="BW61" s="131"/>
      <c r="BX61" s="131"/>
      <c r="BY61" s="131"/>
      <c r="BZ61" s="131"/>
      <c r="CA61" s="131"/>
      <c r="CB61" s="131"/>
      <c r="CC61" s="131"/>
      <c r="CD61" s="131"/>
      <c r="CE61" s="131"/>
    </row>
    <row r="62" ht="18.75" customHeight="1">
      <c r="C62" s="64"/>
      <c r="E62" s="64"/>
      <c r="F62" s="64"/>
      <c r="G62" s="64"/>
      <c r="AH62" s="162"/>
      <c r="AI62" s="162"/>
      <c r="AJ62" s="162"/>
      <c r="AK62" s="162"/>
      <c r="BS62" s="131"/>
      <c r="BT62" s="131"/>
      <c r="BU62" s="131"/>
      <c r="BV62" s="131"/>
      <c r="BW62" s="131"/>
      <c r="BX62" s="131"/>
      <c r="BY62" s="131"/>
      <c r="BZ62" s="131"/>
      <c r="CA62" s="131"/>
      <c r="CB62" s="131"/>
      <c r="CC62" s="131"/>
      <c r="CD62" s="131"/>
      <c r="CE62" s="131"/>
    </row>
    <row r="63" ht="18.75" customHeight="1">
      <c r="C63" s="64"/>
      <c r="E63" s="64"/>
      <c r="F63" s="64"/>
      <c r="G63" s="64"/>
      <c r="AH63" s="162"/>
      <c r="AI63" s="162"/>
      <c r="AJ63" s="162"/>
      <c r="AK63" s="162"/>
      <c r="BS63" s="131"/>
      <c r="BT63" s="131"/>
      <c r="BU63" s="131"/>
      <c r="BV63" s="131"/>
      <c r="BW63" s="131"/>
      <c r="BX63" s="131"/>
      <c r="BY63" s="131"/>
      <c r="BZ63" s="131"/>
      <c r="CA63" s="131"/>
      <c r="CB63" s="131"/>
      <c r="CC63" s="131"/>
      <c r="CD63" s="131"/>
      <c r="CE63" s="131"/>
    </row>
    <row r="64" ht="18.75" customHeight="1">
      <c r="C64" s="64"/>
      <c r="E64" s="64"/>
      <c r="F64" s="64"/>
      <c r="G64" s="64"/>
      <c r="AH64" s="162"/>
      <c r="AI64" s="162"/>
      <c r="AJ64" s="162"/>
      <c r="AK64" s="162"/>
      <c r="BS64" s="131"/>
      <c r="BT64" s="131"/>
      <c r="BU64" s="131"/>
      <c r="BV64" s="131"/>
      <c r="BW64" s="131"/>
      <c r="BX64" s="131"/>
      <c r="BY64" s="131"/>
      <c r="BZ64" s="131"/>
      <c r="CA64" s="131"/>
      <c r="CB64" s="131"/>
      <c r="CC64" s="131"/>
      <c r="CD64" s="131"/>
      <c r="CE64" s="131"/>
    </row>
    <row r="65" ht="18.75" customHeight="1">
      <c r="C65" s="64"/>
      <c r="E65" s="64"/>
      <c r="F65" s="64"/>
      <c r="G65" s="64"/>
      <c r="AH65" s="162"/>
      <c r="AI65" s="162"/>
      <c r="AJ65" s="162"/>
      <c r="AK65" s="162"/>
      <c r="BS65" s="131"/>
      <c r="BT65" s="131"/>
      <c r="BU65" s="131"/>
      <c r="BV65" s="131"/>
      <c r="BW65" s="131"/>
      <c r="BX65" s="131"/>
      <c r="BY65" s="131"/>
      <c r="BZ65" s="131"/>
      <c r="CA65" s="131"/>
      <c r="CB65" s="131"/>
      <c r="CC65" s="131"/>
      <c r="CD65" s="131"/>
      <c r="CE65" s="131"/>
    </row>
    <row r="66" ht="18.75" customHeight="1">
      <c r="C66" s="64"/>
      <c r="E66" s="64"/>
      <c r="F66" s="64"/>
      <c r="G66" s="64"/>
      <c r="AH66" s="162"/>
      <c r="AI66" s="162"/>
      <c r="AJ66" s="162"/>
      <c r="AK66" s="162"/>
      <c r="BS66" s="131"/>
      <c r="BT66" s="131"/>
      <c r="BU66" s="131"/>
      <c r="BV66" s="131"/>
      <c r="BW66" s="131"/>
      <c r="BX66" s="131"/>
      <c r="BY66" s="131"/>
      <c r="BZ66" s="131"/>
      <c r="CA66" s="131"/>
      <c r="CB66" s="131"/>
      <c r="CC66" s="131"/>
      <c r="CD66" s="131"/>
      <c r="CE66" s="131"/>
    </row>
    <row r="67" ht="18.75" customHeight="1">
      <c r="C67" s="64"/>
      <c r="E67" s="64"/>
      <c r="F67" s="64"/>
      <c r="G67" s="64"/>
      <c r="AH67" s="162"/>
      <c r="AI67" s="162"/>
      <c r="AJ67" s="162"/>
      <c r="AK67" s="162"/>
      <c r="BS67" s="131"/>
      <c r="BT67" s="131"/>
      <c r="BU67" s="131"/>
      <c r="BV67" s="131"/>
      <c r="BW67" s="131"/>
      <c r="BX67" s="131"/>
      <c r="BY67" s="131"/>
      <c r="BZ67" s="131"/>
      <c r="CA67" s="131"/>
      <c r="CB67" s="131"/>
      <c r="CC67" s="131"/>
      <c r="CD67" s="131"/>
      <c r="CE67" s="131"/>
    </row>
    <row r="68" ht="18.75" customHeight="1">
      <c r="C68" s="64"/>
      <c r="E68" s="64"/>
      <c r="F68" s="64"/>
      <c r="G68" s="64"/>
      <c r="AH68" s="162"/>
      <c r="AI68" s="162"/>
      <c r="AJ68" s="162"/>
      <c r="AK68" s="162"/>
      <c r="BS68" s="131"/>
      <c r="BT68" s="131"/>
      <c r="BU68" s="131"/>
      <c r="BV68" s="131"/>
      <c r="BW68" s="131"/>
      <c r="BX68" s="131"/>
      <c r="BY68" s="131"/>
      <c r="BZ68" s="131"/>
      <c r="CA68" s="131"/>
      <c r="CB68" s="131"/>
      <c r="CC68" s="131"/>
      <c r="CD68" s="131"/>
      <c r="CE68" s="131"/>
    </row>
    <row r="69" ht="18.75" customHeight="1">
      <c r="C69" s="64"/>
      <c r="E69" s="64"/>
      <c r="F69" s="64"/>
      <c r="G69" s="64"/>
      <c r="AH69" s="162"/>
      <c r="AI69" s="162"/>
      <c r="AJ69" s="162"/>
      <c r="AK69" s="162"/>
      <c r="BS69" s="131"/>
      <c r="BT69" s="131"/>
      <c r="BU69" s="131"/>
      <c r="BV69" s="131"/>
      <c r="BW69" s="131"/>
      <c r="BX69" s="131"/>
      <c r="BY69" s="131"/>
      <c r="BZ69" s="131"/>
      <c r="CA69" s="131"/>
      <c r="CB69" s="131"/>
      <c r="CC69" s="131"/>
      <c r="CD69" s="131"/>
      <c r="CE69" s="131"/>
    </row>
    <row r="70" ht="18.75" customHeight="1">
      <c r="C70" s="64"/>
      <c r="E70" s="64"/>
      <c r="F70" s="64"/>
      <c r="G70" s="64"/>
      <c r="AH70" s="162"/>
      <c r="AI70" s="162"/>
      <c r="AJ70" s="162"/>
      <c r="AK70" s="162"/>
      <c r="BS70" s="131"/>
      <c r="BT70" s="131"/>
      <c r="BU70" s="131"/>
      <c r="BV70" s="131"/>
      <c r="BW70" s="131"/>
      <c r="BX70" s="131"/>
      <c r="BY70" s="131"/>
      <c r="BZ70" s="131"/>
      <c r="CA70" s="131"/>
      <c r="CB70" s="131"/>
      <c r="CC70" s="131"/>
      <c r="CD70" s="131"/>
      <c r="CE70" s="131"/>
    </row>
    <row r="71" ht="18.75" customHeight="1">
      <c r="C71" s="64"/>
      <c r="E71" s="64"/>
      <c r="F71" s="64"/>
      <c r="G71" s="64"/>
      <c r="AH71" s="162"/>
      <c r="AI71" s="162"/>
      <c r="AJ71" s="162"/>
      <c r="AK71" s="162"/>
      <c r="BS71" s="131"/>
      <c r="BT71" s="131"/>
      <c r="BU71" s="131"/>
      <c r="BV71" s="131"/>
      <c r="BW71" s="131"/>
      <c r="BX71" s="131"/>
      <c r="BY71" s="131"/>
      <c r="BZ71" s="131"/>
      <c r="CA71" s="131"/>
      <c r="CB71" s="131"/>
      <c r="CC71" s="131"/>
      <c r="CD71" s="131"/>
      <c r="CE71" s="131"/>
    </row>
    <row r="72" ht="18.75" customHeight="1">
      <c r="C72" s="64"/>
      <c r="E72" s="64"/>
      <c r="F72" s="64"/>
      <c r="G72" s="64"/>
      <c r="AH72" s="162"/>
      <c r="AI72" s="162"/>
      <c r="AJ72" s="162"/>
      <c r="AK72" s="162"/>
      <c r="BS72" s="131"/>
      <c r="BT72" s="131"/>
      <c r="BU72" s="131"/>
      <c r="BV72" s="131"/>
      <c r="BW72" s="131"/>
      <c r="BX72" s="131"/>
      <c r="BY72" s="131"/>
      <c r="BZ72" s="131"/>
      <c r="CA72" s="131"/>
      <c r="CB72" s="131"/>
      <c r="CC72" s="131"/>
      <c r="CD72" s="131"/>
      <c r="CE72" s="131"/>
    </row>
    <row r="73" ht="18.75" customHeight="1">
      <c r="C73" s="64"/>
      <c r="E73" s="64"/>
      <c r="F73" s="64"/>
      <c r="G73" s="64"/>
      <c r="AH73" s="162"/>
      <c r="AI73" s="162"/>
      <c r="AJ73" s="162"/>
      <c r="AK73" s="162"/>
      <c r="BS73" s="131"/>
      <c r="BT73" s="131"/>
      <c r="BU73" s="131"/>
      <c r="BV73" s="131"/>
      <c r="BW73" s="131"/>
      <c r="BX73" s="131"/>
      <c r="BY73" s="131"/>
      <c r="BZ73" s="131"/>
      <c r="CA73" s="131"/>
      <c r="CB73" s="131"/>
      <c r="CC73" s="131"/>
      <c r="CD73" s="131"/>
      <c r="CE73" s="131"/>
    </row>
    <row r="74" ht="18.75" customHeight="1">
      <c r="C74" s="64"/>
      <c r="E74" s="64"/>
      <c r="F74" s="64"/>
      <c r="G74" s="64"/>
      <c r="AH74" s="162"/>
      <c r="AI74" s="162"/>
      <c r="AJ74" s="162"/>
      <c r="AK74" s="162"/>
      <c r="BS74" s="131"/>
      <c r="BT74" s="131"/>
      <c r="BU74" s="131"/>
      <c r="BV74" s="131"/>
      <c r="BW74" s="131"/>
      <c r="BX74" s="131"/>
      <c r="BY74" s="131"/>
      <c r="BZ74" s="131"/>
      <c r="CA74" s="131"/>
      <c r="CB74" s="131"/>
      <c r="CC74" s="131"/>
      <c r="CD74" s="131"/>
      <c r="CE74" s="131"/>
    </row>
    <row r="75" ht="18.75" customHeight="1">
      <c r="C75" s="64"/>
      <c r="E75" s="64"/>
      <c r="F75" s="64"/>
      <c r="G75" s="64"/>
      <c r="AH75" s="162"/>
      <c r="AI75" s="162"/>
      <c r="AJ75" s="162"/>
      <c r="AK75" s="162"/>
      <c r="BS75" s="131"/>
      <c r="BT75" s="131"/>
      <c r="BU75" s="131"/>
      <c r="BV75" s="131"/>
      <c r="BW75" s="131"/>
      <c r="BX75" s="131"/>
      <c r="BY75" s="131"/>
      <c r="BZ75" s="131"/>
      <c r="CA75" s="131"/>
      <c r="CB75" s="131"/>
      <c r="CC75" s="131"/>
      <c r="CD75" s="131"/>
      <c r="CE75" s="131"/>
    </row>
    <row r="76" ht="18.75" customHeight="1">
      <c r="C76" s="64"/>
      <c r="E76" s="64"/>
      <c r="F76" s="64"/>
      <c r="G76" s="64"/>
      <c r="AH76" s="162"/>
      <c r="AI76" s="162"/>
      <c r="AJ76" s="162"/>
      <c r="AK76" s="162"/>
      <c r="BS76" s="131"/>
      <c r="BT76" s="131"/>
      <c r="BU76" s="131"/>
      <c r="BV76" s="131"/>
      <c r="BW76" s="131"/>
      <c r="BX76" s="131"/>
      <c r="BY76" s="131"/>
      <c r="BZ76" s="131"/>
      <c r="CA76" s="131"/>
      <c r="CB76" s="131"/>
      <c r="CC76" s="131"/>
      <c r="CD76" s="131"/>
      <c r="CE76" s="131"/>
    </row>
    <row r="77" ht="18.75" customHeight="1">
      <c r="C77" s="64"/>
      <c r="E77" s="64"/>
      <c r="F77" s="64"/>
      <c r="G77" s="64"/>
      <c r="AH77" s="162"/>
      <c r="AI77" s="162"/>
      <c r="AJ77" s="162"/>
      <c r="AK77" s="162"/>
      <c r="BS77" s="131"/>
      <c r="BT77" s="131"/>
      <c r="BU77" s="131"/>
      <c r="BV77" s="131"/>
      <c r="BW77" s="131"/>
      <c r="BX77" s="131"/>
      <c r="BY77" s="131"/>
      <c r="BZ77" s="131"/>
      <c r="CA77" s="131"/>
      <c r="CB77" s="131"/>
      <c r="CC77" s="131"/>
      <c r="CD77" s="131"/>
      <c r="CE77" s="131"/>
    </row>
    <row r="78" ht="18.75" customHeight="1">
      <c r="C78" s="64"/>
      <c r="E78" s="64"/>
      <c r="F78" s="64"/>
      <c r="G78" s="64"/>
      <c r="AH78" s="162"/>
      <c r="AI78" s="162"/>
      <c r="AJ78" s="162"/>
      <c r="AK78" s="162"/>
      <c r="BS78" s="131"/>
      <c r="BT78" s="131"/>
      <c r="BU78" s="131"/>
      <c r="BV78" s="131"/>
      <c r="BW78" s="131"/>
      <c r="BX78" s="131"/>
      <c r="BY78" s="131"/>
      <c r="BZ78" s="131"/>
      <c r="CA78" s="131"/>
      <c r="CB78" s="131"/>
      <c r="CC78" s="131"/>
      <c r="CD78" s="131"/>
      <c r="CE78" s="131"/>
    </row>
    <row r="79" ht="18.75" customHeight="1">
      <c r="C79" s="64"/>
      <c r="E79" s="64"/>
      <c r="F79" s="64"/>
      <c r="G79" s="64"/>
      <c r="AH79" s="162"/>
      <c r="AI79" s="162"/>
      <c r="AJ79" s="162"/>
      <c r="AK79" s="162"/>
      <c r="BS79" s="131"/>
      <c r="BT79" s="131"/>
      <c r="BU79" s="131"/>
      <c r="BV79" s="131"/>
      <c r="BW79" s="131"/>
      <c r="BX79" s="131"/>
      <c r="BY79" s="131"/>
      <c r="BZ79" s="131"/>
      <c r="CA79" s="131"/>
      <c r="CB79" s="131"/>
      <c r="CC79" s="131"/>
      <c r="CD79" s="131"/>
      <c r="CE79" s="131"/>
    </row>
    <row r="80" ht="18.75" customHeight="1">
      <c r="C80" s="64"/>
      <c r="E80" s="64"/>
      <c r="F80" s="64"/>
      <c r="G80" s="64"/>
      <c r="AH80" s="162"/>
      <c r="AI80" s="162"/>
      <c r="AJ80" s="162"/>
      <c r="AK80" s="162"/>
      <c r="BS80" s="131"/>
      <c r="BT80" s="131"/>
      <c r="BU80" s="131"/>
      <c r="BV80" s="131"/>
      <c r="BW80" s="131"/>
      <c r="BX80" s="131"/>
      <c r="BY80" s="131"/>
      <c r="BZ80" s="131"/>
      <c r="CA80" s="131"/>
      <c r="CB80" s="131"/>
      <c r="CC80" s="131"/>
      <c r="CD80" s="131"/>
      <c r="CE80" s="131"/>
    </row>
    <row r="81" ht="18.75" customHeight="1">
      <c r="C81" s="64"/>
      <c r="E81" s="64"/>
      <c r="F81" s="64"/>
      <c r="G81" s="64"/>
      <c r="AH81" s="162"/>
      <c r="AI81" s="162"/>
      <c r="AJ81" s="162"/>
      <c r="AK81" s="162"/>
      <c r="BS81" s="131"/>
      <c r="BT81" s="131"/>
      <c r="BU81" s="131"/>
      <c r="BV81" s="131"/>
      <c r="BW81" s="131"/>
      <c r="BX81" s="131"/>
      <c r="BY81" s="131"/>
      <c r="BZ81" s="131"/>
      <c r="CA81" s="131"/>
      <c r="CB81" s="131"/>
      <c r="CC81" s="131"/>
      <c r="CD81" s="131"/>
      <c r="CE81" s="131"/>
    </row>
    <row r="82" ht="18.75" customHeight="1">
      <c r="C82" s="64"/>
      <c r="E82" s="64"/>
      <c r="F82" s="64"/>
      <c r="G82" s="64"/>
      <c r="AH82" s="162"/>
      <c r="AI82" s="162"/>
      <c r="AJ82" s="162"/>
      <c r="AK82" s="162"/>
      <c r="BS82" s="131"/>
      <c r="BT82" s="131"/>
      <c r="BU82" s="131"/>
      <c r="BV82" s="131"/>
      <c r="BW82" s="131"/>
      <c r="BX82" s="131"/>
      <c r="BY82" s="131"/>
      <c r="BZ82" s="131"/>
      <c r="CA82" s="131"/>
      <c r="CB82" s="131"/>
      <c r="CC82" s="131"/>
      <c r="CD82" s="131"/>
      <c r="CE82" s="131"/>
    </row>
    <row r="83" ht="18.75" customHeight="1">
      <c r="C83" s="64"/>
      <c r="E83" s="64"/>
      <c r="F83" s="64"/>
      <c r="G83" s="64"/>
      <c r="AH83" s="162"/>
      <c r="AI83" s="162"/>
      <c r="AJ83" s="162"/>
      <c r="AK83" s="162"/>
      <c r="BS83" s="131"/>
      <c r="BT83" s="131"/>
      <c r="BU83" s="131"/>
      <c r="BV83" s="131"/>
      <c r="BW83" s="131"/>
      <c r="BX83" s="131"/>
      <c r="BY83" s="131"/>
      <c r="BZ83" s="131"/>
      <c r="CA83" s="131"/>
      <c r="CB83" s="131"/>
      <c r="CC83" s="131"/>
      <c r="CD83" s="131"/>
      <c r="CE83" s="131"/>
    </row>
    <row r="84" ht="18.75" customHeight="1">
      <c r="C84" s="64"/>
      <c r="E84" s="64"/>
      <c r="F84" s="64"/>
      <c r="G84" s="64"/>
      <c r="AH84" s="162"/>
      <c r="AI84" s="162"/>
      <c r="AJ84" s="162"/>
      <c r="AK84" s="162"/>
      <c r="BS84" s="131"/>
      <c r="BT84" s="131"/>
      <c r="BU84" s="131"/>
      <c r="BV84" s="131"/>
      <c r="BW84" s="131"/>
      <c r="BX84" s="131"/>
      <c r="BY84" s="131"/>
      <c r="BZ84" s="131"/>
      <c r="CA84" s="131"/>
      <c r="CB84" s="131"/>
      <c r="CC84" s="131"/>
      <c r="CD84" s="131"/>
      <c r="CE84" s="131"/>
    </row>
    <row r="85" ht="18.75" customHeight="1">
      <c r="C85" s="64"/>
      <c r="E85" s="64"/>
      <c r="F85" s="64"/>
      <c r="G85" s="64"/>
      <c r="AH85" s="162"/>
      <c r="AI85" s="162"/>
      <c r="AJ85" s="162"/>
      <c r="AK85" s="162"/>
      <c r="BS85" s="131"/>
      <c r="BT85" s="131"/>
      <c r="BU85" s="131"/>
      <c r="BV85" s="131"/>
      <c r="BW85" s="131"/>
      <c r="BX85" s="131"/>
      <c r="BY85" s="131"/>
      <c r="BZ85" s="131"/>
      <c r="CA85" s="131"/>
      <c r="CB85" s="131"/>
      <c r="CC85" s="131"/>
      <c r="CD85" s="131"/>
      <c r="CE85" s="131"/>
    </row>
    <row r="86" ht="18.75" customHeight="1">
      <c r="C86" s="64"/>
      <c r="E86" s="64"/>
      <c r="F86" s="64"/>
      <c r="G86" s="64"/>
      <c r="AH86" s="162"/>
      <c r="AI86" s="162"/>
      <c r="AJ86" s="162"/>
      <c r="AK86" s="162"/>
      <c r="BS86" s="131"/>
      <c r="BT86" s="131"/>
      <c r="BU86" s="131"/>
      <c r="BV86" s="131"/>
      <c r="BW86" s="131"/>
      <c r="BX86" s="131"/>
      <c r="BY86" s="131"/>
      <c r="BZ86" s="131"/>
      <c r="CA86" s="131"/>
      <c r="CB86" s="131"/>
      <c r="CC86" s="131"/>
      <c r="CD86" s="131"/>
      <c r="CE86" s="131"/>
    </row>
    <row r="87" ht="18.75" customHeight="1">
      <c r="C87" s="64"/>
      <c r="E87" s="64"/>
      <c r="F87" s="64"/>
      <c r="G87" s="64"/>
      <c r="AH87" s="162"/>
      <c r="AI87" s="162"/>
      <c r="AJ87" s="162"/>
      <c r="AK87" s="162"/>
      <c r="BS87" s="131"/>
      <c r="BT87" s="131"/>
      <c r="BU87" s="131"/>
      <c r="BV87" s="131"/>
      <c r="BW87" s="131"/>
      <c r="BX87" s="131"/>
      <c r="BY87" s="131"/>
      <c r="BZ87" s="131"/>
      <c r="CA87" s="131"/>
      <c r="CB87" s="131"/>
      <c r="CC87" s="131"/>
      <c r="CD87" s="131"/>
      <c r="CE87" s="131"/>
    </row>
    <row r="88" ht="18.75" customHeight="1">
      <c r="C88" s="64"/>
      <c r="E88" s="64"/>
      <c r="F88" s="64"/>
      <c r="G88" s="64"/>
      <c r="AH88" s="162"/>
      <c r="AI88" s="162"/>
      <c r="AJ88" s="162"/>
      <c r="AK88" s="162"/>
      <c r="BS88" s="131"/>
      <c r="BT88" s="131"/>
      <c r="BU88" s="131"/>
      <c r="BV88" s="131"/>
      <c r="BW88" s="131"/>
      <c r="BX88" s="131"/>
      <c r="BY88" s="131"/>
      <c r="BZ88" s="131"/>
      <c r="CA88" s="131"/>
      <c r="CB88" s="131"/>
      <c r="CC88" s="131"/>
      <c r="CD88" s="131"/>
      <c r="CE88" s="131"/>
    </row>
    <row r="89" ht="18.75" customHeight="1">
      <c r="C89" s="64"/>
      <c r="E89" s="64"/>
      <c r="F89" s="64"/>
      <c r="G89" s="64"/>
      <c r="AH89" s="162"/>
      <c r="AI89" s="162"/>
      <c r="AJ89" s="162"/>
      <c r="AK89" s="162"/>
      <c r="BS89" s="131"/>
      <c r="BT89" s="131"/>
      <c r="BU89" s="131"/>
      <c r="BV89" s="131"/>
      <c r="BW89" s="131"/>
      <c r="BX89" s="131"/>
      <c r="BY89" s="131"/>
      <c r="BZ89" s="131"/>
      <c r="CA89" s="131"/>
      <c r="CB89" s="131"/>
      <c r="CC89" s="131"/>
      <c r="CD89" s="131"/>
      <c r="CE89" s="131"/>
    </row>
    <row r="90" ht="18.75" customHeight="1">
      <c r="C90" s="64"/>
      <c r="E90" s="64"/>
      <c r="F90" s="64"/>
      <c r="G90" s="64"/>
      <c r="AH90" s="162"/>
      <c r="AI90" s="162"/>
      <c r="AJ90" s="162"/>
      <c r="AK90" s="162"/>
      <c r="BS90" s="131"/>
      <c r="BT90" s="131"/>
      <c r="BU90" s="131"/>
      <c r="BV90" s="131"/>
      <c r="BW90" s="131"/>
      <c r="BX90" s="131"/>
      <c r="BY90" s="131"/>
      <c r="BZ90" s="131"/>
      <c r="CA90" s="131"/>
      <c r="CB90" s="131"/>
      <c r="CC90" s="131"/>
      <c r="CD90" s="131"/>
      <c r="CE90" s="131"/>
    </row>
    <row r="91" ht="18.75" customHeight="1">
      <c r="C91" s="64"/>
      <c r="E91" s="64"/>
      <c r="F91" s="64"/>
      <c r="G91" s="64"/>
      <c r="AH91" s="162"/>
      <c r="AI91" s="162"/>
      <c r="AJ91" s="162"/>
      <c r="AK91" s="162"/>
      <c r="BS91" s="131"/>
      <c r="BT91" s="131"/>
      <c r="BU91" s="131"/>
      <c r="BV91" s="131"/>
      <c r="BW91" s="131"/>
      <c r="BX91" s="131"/>
      <c r="BY91" s="131"/>
      <c r="BZ91" s="131"/>
      <c r="CA91" s="131"/>
      <c r="CB91" s="131"/>
      <c r="CC91" s="131"/>
      <c r="CD91" s="131"/>
      <c r="CE91" s="131"/>
    </row>
    <row r="92" ht="18.75" customHeight="1">
      <c r="C92" s="64"/>
      <c r="E92" s="64"/>
      <c r="F92" s="64"/>
      <c r="G92" s="64"/>
      <c r="AH92" s="162"/>
      <c r="AI92" s="162"/>
      <c r="AJ92" s="162"/>
      <c r="AK92" s="162"/>
      <c r="BS92" s="131"/>
      <c r="BT92" s="131"/>
      <c r="BU92" s="131"/>
      <c r="BV92" s="131"/>
      <c r="BW92" s="131"/>
      <c r="BX92" s="131"/>
      <c r="BY92" s="131"/>
      <c r="BZ92" s="131"/>
      <c r="CA92" s="131"/>
      <c r="CB92" s="131"/>
      <c r="CC92" s="131"/>
      <c r="CD92" s="131"/>
      <c r="CE92" s="131"/>
    </row>
    <row r="93" ht="18.75" customHeight="1">
      <c r="C93" s="64"/>
      <c r="E93" s="64"/>
      <c r="F93" s="64"/>
      <c r="G93" s="64"/>
      <c r="AH93" s="162"/>
      <c r="AI93" s="162"/>
      <c r="AJ93" s="162"/>
      <c r="AK93" s="162"/>
      <c r="BS93" s="131"/>
      <c r="BT93" s="131"/>
      <c r="BU93" s="131"/>
      <c r="BV93" s="131"/>
      <c r="BW93" s="131"/>
      <c r="BX93" s="131"/>
      <c r="BY93" s="131"/>
      <c r="BZ93" s="131"/>
      <c r="CA93" s="131"/>
      <c r="CB93" s="131"/>
      <c r="CC93" s="131"/>
      <c r="CD93" s="131"/>
      <c r="CE93" s="131"/>
    </row>
    <row r="94" ht="18.75" customHeight="1">
      <c r="C94" s="64"/>
      <c r="E94" s="64"/>
      <c r="F94" s="64"/>
      <c r="G94" s="64"/>
      <c r="AH94" s="162"/>
      <c r="AI94" s="162"/>
      <c r="AJ94" s="162"/>
      <c r="AK94" s="162"/>
      <c r="BS94" s="131"/>
      <c r="BT94" s="131"/>
      <c r="BU94" s="131"/>
      <c r="BV94" s="131"/>
      <c r="BW94" s="131"/>
      <c r="BX94" s="131"/>
      <c r="BY94" s="131"/>
      <c r="BZ94" s="131"/>
      <c r="CA94" s="131"/>
      <c r="CB94" s="131"/>
      <c r="CC94" s="131"/>
      <c r="CD94" s="131"/>
      <c r="CE94" s="131"/>
    </row>
    <row r="95" ht="18.75" customHeight="1">
      <c r="C95" s="64"/>
      <c r="E95" s="64"/>
      <c r="F95" s="64"/>
      <c r="G95" s="64"/>
      <c r="AH95" s="162"/>
      <c r="AI95" s="162"/>
      <c r="AJ95" s="162"/>
      <c r="AK95" s="162"/>
      <c r="BS95" s="131"/>
      <c r="BT95" s="131"/>
      <c r="BU95" s="131"/>
      <c r="BV95" s="131"/>
      <c r="BW95" s="131"/>
      <c r="BX95" s="131"/>
      <c r="BY95" s="131"/>
      <c r="BZ95" s="131"/>
      <c r="CA95" s="131"/>
      <c r="CB95" s="131"/>
      <c r="CC95" s="131"/>
      <c r="CD95" s="131"/>
      <c r="CE95" s="131"/>
    </row>
    <row r="96" ht="18.75" customHeight="1">
      <c r="C96" s="64"/>
      <c r="E96" s="64"/>
      <c r="F96" s="64"/>
      <c r="G96" s="64"/>
      <c r="AH96" s="162"/>
      <c r="AI96" s="162"/>
      <c r="AJ96" s="162"/>
      <c r="AK96" s="162"/>
      <c r="BS96" s="131"/>
      <c r="BT96" s="131"/>
      <c r="BU96" s="131"/>
      <c r="BV96" s="131"/>
      <c r="BW96" s="131"/>
      <c r="BX96" s="131"/>
      <c r="BY96" s="131"/>
      <c r="BZ96" s="131"/>
      <c r="CA96" s="131"/>
      <c r="CB96" s="131"/>
      <c r="CC96" s="131"/>
      <c r="CD96" s="131"/>
      <c r="CE96" s="131"/>
    </row>
    <row r="97" ht="18.75" customHeight="1">
      <c r="C97" s="64"/>
      <c r="E97" s="64"/>
      <c r="F97" s="64"/>
      <c r="G97" s="64"/>
      <c r="AH97" s="162"/>
      <c r="AI97" s="162"/>
      <c r="AJ97" s="162"/>
      <c r="AK97" s="162"/>
      <c r="BS97" s="131"/>
      <c r="BT97" s="131"/>
      <c r="BU97" s="131"/>
      <c r="BV97" s="131"/>
      <c r="BW97" s="131"/>
      <c r="BX97" s="131"/>
      <c r="BY97" s="131"/>
      <c r="BZ97" s="131"/>
      <c r="CA97" s="131"/>
      <c r="CB97" s="131"/>
      <c r="CC97" s="131"/>
      <c r="CD97" s="131"/>
      <c r="CE97" s="131"/>
    </row>
    <row r="98" ht="18.75" customHeight="1">
      <c r="C98" s="64"/>
      <c r="E98" s="64"/>
      <c r="F98" s="64"/>
      <c r="G98" s="64"/>
      <c r="AH98" s="162"/>
      <c r="AI98" s="162"/>
      <c r="AJ98" s="162"/>
      <c r="AK98" s="162"/>
      <c r="BS98" s="131"/>
      <c r="BT98" s="131"/>
      <c r="BU98" s="131"/>
      <c r="BV98" s="131"/>
      <c r="BW98" s="131"/>
      <c r="BX98" s="131"/>
      <c r="BY98" s="131"/>
      <c r="BZ98" s="131"/>
      <c r="CA98" s="131"/>
      <c r="CB98" s="131"/>
      <c r="CC98" s="131"/>
      <c r="CD98" s="131"/>
      <c r="CE98" s="131"/>
    </row>
    <row r="99" ht="18.75" customHeight="1">
      <c r="C99" s="64"/>
      <c r="E99" s="64"/>
      <c r="F99" s="64"/>
      <c r="G99" s="64"/>
      <c r="AH99" s="162"/>
      <c r="AI99" s="162"/>
      <c r="AJ99" s="162"/>
      <c r="AK99" s="162"/>
      <c r="BS99" s="131"/>
      <c r="BT99" s="131"/>
      <c r="BU99" s="131"/>
      <c r="BV99" s="131"/>
      <c r="BW99" s="131"/>
      <c r="BX99" s="131"/>
      <c r="BY99" s="131"/>
      <c r="BZ99" s="131"/>
      <c r="CA99" s="131"/>
      <c r="CB99" s="131"/>
      <c r="CC99" s="131"/>
      <c r="CD99" s="131"/>
      <c r="CE99" s="131"/>
    </row>
    <row r="100" ht="18.75" customHeight="1">
      <c r="C100" s="64"/>
      <c r="E100" s="64"/>
      <c r="F100" s="64"/>
      <c r="G100" s="64"/>
      <c r="AH100" s="162"/>
      <c r="AI100" s="162"/>
      <c r="AJ100" s="162"/>
      <c r="AK100" s="162"/>
      <c r="BS100" s="131"/>
      <c r="BT100" s="131"/>
      <c r="BU100" s="131"/>
      <c r="BV100" s="131"/>
      <c r="BW100" s="131"/>
      <c r="BX100" s="131"/>
      <c r="BY100" s="131"/>
      <c r="BZ100" s="131"/>
      <c r="CA100" s="131"/>
      <c r="CB100" s="131"/>
      <c r="CC100" s="131"/>
      <c r="CD100" s="131"/>
      <c r="CE100" s="131"/>
    </row>
    <row r="101" ht="18.75" customHeight="1">
      <c r="C101" s="64"/>
      <c r="E101" s="64"/>
      <c r="F101" s="64"/>
      <c r="G101" s="64"/>
      <c r="AH101" s="162"/>
      <c r="AI101" s="162"/>
      <c r="AJ101" s="162"/>
      <c r="AK101" s="162"/>
      <c r="BS101" s="131"/>
      <c r="BT101" s="131"/>
      <c r="BU101" s="131"/>
      <c r="BV101" s="131"/>
      <c r="BW101" s="131"/>
      <c r="BX101" s="131"/>
      <c r="BY101" s="131"/>
      <c r="BZ101" s="131"/>
      <c r="CA101" s="131"/>
      <c r="CB101" s="131"/>
      <c r="CC101" s="131"/>
      <c r="CD101" s="131"/>
      <c r="CE101" s="131"/>
    </row>
    <row r="102" ht="18.75" customHeight="1">
      <c r="C102" s="64"/>
      <c r="E102" s="64"/>
      <c r="F102" s="64"/>
      <c r="G102" s="64"/>
      <c r="AH102" s="162"/>
      <c r="AI102" s="162"/>
      <c r="AJ102" s="162"/>
      <c r="AK102" s="162"/>
      <c r="BS102" s="131"/>
      <c r="BT102" s="131"/>
      <c r="BU102" s="131"/>
      <c r="BV102" s="131"/>
      <c r="BW102" s="131"/>
      <c r="BX102" s="131"/>
      <c r="BY102" s="131"/>
      <c r="BZ102" s="131"/>
      <c r="CA102" s="131"/>
      <c r="CB102" s="131"/>
      <c r="CC102" s="131"/>
      <c r="CD102" s="131"/>
      <c r="CE102" s="131"/>
    </row>
    <row r="103" ht="18.75" customHeight="1">
      <c r="C103" s="64"/>
      <c r="E103" s="64"/>
      <c r="F103" s="64"/>
      <c r="G103" s="64"/>
      <c r="AH103" s="162"/>
      <c r="AI103" s="162"/>
      <c r="AJ103" s="162"/>
      <c r="AK103" s="162"/>
      <c r="BS103" s="131"/>
      <c r="BT103" s="131"/>
      <c r="BU103" s="131"/>
      <c r="BV103" s="131"/>
      <c r="BW103" s="131"/>
      <c r="BX103" s="131"/>
      <c r="BY103" s="131"/>
      <c r="BZ103" s="131"/>
      <c r="CA103" s="131"/>
      <c r="CB103" s="131"/>
      <c r="CC103" s="131"/>
      <c r="CD103" s="131"/>
      <c r="CE103" s="131"/>
    </row>
    <row r="104" ht="18.75" customHeight="1">
      <c r="C104" s="64"/>
      <c r="E104" s="64"/>
      <c r="F104" s="64"/>
      <c r="G104" s="64"/>
      <c r="AH104" s="162"/>
      <c r="AI104" s="162"/>
      <c r="AJ104" s="162"/>
      <c r="AK104" s="162"/>
      <c r="BS104" s="131"/>
      <c r="BT104" s="131"/>
      <c r="BU104" s="131"/>
      <c r="BV104" s="131"/>
      <c r="BW104" s="131"/>
      <c r="BX104" s="131"/>
      <c r="BY104" s="131"/>
      <c r="BZ104" s="131"/>
      <c r="CA104" s="131"/>
      <c r="CB104" s="131"/>
      <c r="CC104" s="131"/>
      <c r="CD104" s="131"/>
      <c r="CE104" s="131"/>
    </row>
    <row r="105" ht="18.75" customHeight="1">
      <c r="C105" s="64"/>
      <c r="E105" s="64"/>
      <c r="F105" s="64"/>
      <c r="G105" s="64"/>
      <c r="AH105" s="162"/>
      <c r="AI105" s="162"/>
      <c r="AJ105" s="162"/>
      <c r="AK105" s="162"/>
      <c r="BS105" s="131"/>
      <c r="BT105" s="131"/>
      <c r="BU105" s="131"/>
      <c r="BV105" s="131"/>
      <c r="BW105" s="131"/>
      <c r="BX105" s="131"/>
      <c r="BY105" s="131"/>
      <c r="BZ105" s="131"/>
      <c r="CA105" s="131"/>
      <c r="CB105" s="131"/>
      <c r="CC105" s="131"/>
      <c r="CD105" s="131"/>
      <c r="CE105" s="131"/>
    </row>
    <row r="106" ht="18.75" customHeight="1">
      <c r="C106" s="64"/>
      <c r="E106" s="64"/>
      <c r="F106" s="64"/>
      <c r="G106" s="64"/>
      <c r="AH106" s="162"/>
      <c r="AI106" s="162"/>
      <c r="AJ106" s="162"/>
      <c r="AK106" s="162"/>
      <c r="BS106" s="131"/>
      <c r="BT106" s="131"/>
      <c r="BU106" s="131"/>
      <c r="BV106" s="131"/>
      <c r="BW106" s="131"/>
      <c r="BX106" s="131"/>
      <c r="BY106" s="131"/>
      <c r="BZ106" s="131"/>
      <c r="CA106" s="131"/>
      <c r="CB106" s="131"/>
      <c r="CC106" s="131"/>
      <c r="CD106" s="131"/>
      <c r="CE106" s="131"/>
    </row>
    <row r="107" ht="18.75" customHeight="1">
      <c r="C107" s="64"/>
      <c r="E107" s="64"/>
      <c r="F107" s="64"/>
      <c r="G107" s="64"/>
      <c r="AH107" s="162"/>
      <c r="AI107" s="162"/>
      <c r="AJ107" s="162"/>
      <c r="AK107" s="162"/>
      <c r="BS107" s="131"/>
      <c r="BT107" s="131"/>
      <c r="BU107" s="131"/>
      <c r="BV107" s="131"/>
      <c r="BW107" s="131"/>
      <c r="BX107" s="131"/>
      <c r="BY107" s="131"/>
      <c r="BZ107" s="131"/>
      <c r="CA107" s="131"/>
      <c r="CB107" s="131"/>
      <c r="CC107" s="131"/>
      <c r="CD107" s="131"/>
      <c r="CE107" s="131"/>
    </row>
    <row r="108" ht="18.75" customHeight="1">
      <c r="C108" s="64"/>
      <c r="E108" s="64"/>
      <c r="F108" s="64"/>
      <c r="G108" s="64"/>
      <c r="AH108" s="162"/>
      <c r="AI108" s="162"/>
      <c r="AJ108" s="162"/>
      <c r="AK108" s="162"/>
      <c r="BS108" s="131"/>
      <c r="BT108" s="131"/>
      <c r="BU108" s="131"/>
      <c r="BV108" s="131"/>
      <c r="BW108" s="131"/>
      <c r="BX108" s="131"/>
      <c r="BY108" s="131"/>
      <c r="BZ108" s="131"/>
      <c r="CA108" s="131"/>
      <c r="CB108" s="131"/>
      <c r="CC108" s="131"/>
      <c r="CD108" s="131"/>
      <c r="CE108" s="131"/>
    </row>
    <row r="109" ht="18.75" customHeight="1">
      <c r="C109" s="64"/>
      <c r="E109" s="64"/>
      <c r="F109" s="64"/>
      <c r="G109" s="64"/>
      <c r="AH109" s="162"/>
      <c r="AI109" s="162"/>
      <c r="AJ109" s="162"/>
      <c r="AK109" s="162"/>
      <c r="BS109" s="131"/>
      <c r="BT109" s="131"/>
      <c r="BU109" s="131"/>
      <c r="BV109" s="131"/>
      <c r="BW109" s="131"/>
      <c r="BX109" s="131"/>
      <c r="BY109" s="131"/>
      <c r="BZ109" s="131"/>
      <c r="CA109" s="131"/>
      <c r="CB109" s="131"/>
      <c r="CC109" s="131"/>
      <c r="CD109" s="131"/>
      <c r="CE109" s="131"/>
    </row>
    <row r="110" ht="18.75" customHeight="1">
      <c r="C110" s="64"/>
      <c r="E110" s="64"/>
      <c r="F110" s="64"/>
      <c r="G110" s="64"/>
      <c r="AH110" s="162"/>
      <c r="AI110" s="162"/>
      <c r="AJ110" s="162"/>
      <c r="AK110" s="162"/>
      <c r="BS110" s="131"/>
      <c r="BT110" s="131"/>
      <c r="BU110" s="131"/>
      <c r="BV110" s="131"/>
      <c r="BW110" s="131"/>
      <c r="BX110" s="131"/>
      <c r="BY110" s="131"/>
      <c r="BZ110" s="131"/>
      <c r="CA110" s="131"/>
      <c r="CB110" s="131"/>
      <c r="CC110" s="131"/>
      <c r="CD110" s="131"/>
      <c r="CE110" s="131"/>
    </row>
    <row r="111" ht="18.75" customHeight="1">
      <c r="C111" s="64"/>
      <c r="E111" s="64"/>
      <c r="F111" s="64"/>
      <c r="G111" s="64"/>
      <c r="AH111" s="162"/>
      <c r="AI111" s="162"/>
      <c r="AJ111" s="162"/>
      <c r="AK111" s="162"/>
      <c r="BS111" s="131"/>
      <c r="BT111" s="131"/>
      <c r="BU111" s="131"/>
      <c r="BV111" s="131"/>
      <c r="BW111" s="131"/>
      <c r="BX111" s="131"/>
      <c r="BY111" s="131"/>
      <c r="BZ111" s="131"/>
      <c r="CA111" s="131"/>
      <c r="CB111" s="131"/>
      <c r="CC111" s="131"/>
      <c r="CD111" s="131"/>
      <c r="CE111" s="131"/>
    </row>
    <row r="112" ht="18.75" customHeight="1">
      <c r="C112" s="64"/>
      <c r="E112" s="64"/>
      <c r="F112" s="64"/>
      <c r="G112" s="64"/>
      <c r="AH112" s="162"/>
      <c r="AI112" s="162"/>
      <c r="AJ112" s="162"/>
      <c r="AK112" s="162"/>
      <c r="BS112" s="131"/>
      <c r="BT112" s="131"/>
      <c r="BU112" s="131"/>
      <c r="BV112" s="131"/>
      <c r="BW112" s="131"/>
      <c r="BX112" s="131"/>
      <c r="BY112" s="131"/>
      <c r="BZ112" s="131"/>
      <c r="CA112" s="131"/>
      <c r="CB112" s="131"/>
      <c r="CC112" s="131"/>
      <c r="CD112" s="131"/>
      <c r="CE112" s="131"/>
    </row>
    <row r="113" ht="18.75" customHeight="1">
      <c r="C113" s="64"/>
      <c r="E113" s="64"/>
      <c r="F113" s="64"/>
      <c r="G113" s="64"/>
      <c r="AH113" s="162"/>
      <c r="AI113" s="162"/>
      <c r="AJ113" s="162"/>
      <c r="AK113" s="162"/>
      <c r="BS113" s="131"/>
      <c r="BT113" s="131"/>
      <c r="BU113" s="131"/>
      <c r="BV113" s="131"/>
      <c r="BW113" s="131"/>
      <c r="BX113" s="131"/>
      <c r="BY113" s="131"/>
      <c r="BZ113" s="131"/>
      <c r="CA113" s="131"/>
      <c r="CB113" s="131"/>
      <c r="CC113" s="131"/>
      <c r="CD113" s="131"/>
      <c r="CE113" s="131"/>
    </row>
    <row r="114" ht="18.75" customHeight="1">
      <c r="C114" s="64"/>
      <c r="E114" s="64"/>
      <c r="F114" s="64"/>
      <c r="G114" s="64"/>
      <c r="AH114" s="162"/>
      <c r="AI114" s="162"/>
      <c r="AJ114" s="162"/>
      <c r="AK114" s="162"/>
      <c r="BS114" s="131"/>
      <c r="BT114" s="131"/>
      <c r="BU114" s="131"/>
      <c r="BV114" s="131"/>
      <c r="BW114" s="131"/>
      <c r="BX114" s="131"/>
      <c r="BY114" s="131"/>
      <c r="BZ114" s="131"/>
      <c r="CA114" s="131"/>
      <c r="CB114" s="131"/>
      <c r="CC114" s="131"/>
      <c r="CD114" s="131"/>
      <c r="CE114" s="131"/>
    </row>
    <row r="115" ht="18.75" customHeight="1">
      <c r="C115" s="64"/>
      <c r="E115" s="64"/>
      <c r="F115" s="64"/>
      <c r="G115" s="64"/>
      <c r="AH115" s="162"/>
      <c r="AI115" s="162"/>
      <c r="AJ115" s="162"/>
      <c r="AK115" s="162"/>
      <c r="BS115" s="131"/>
      <c r="BT115" s="131"/>
      <c r="BU115" s="131"/>
      <c r="BV115" s="131"/>
      <c r="BW115" s="131"/>
      <c r="BX115" s="131"/>
      <c r="BY115" s="131"/>
      <c r="BZ115" s="131"/>
      <c r="CA115" s="131"/>
      <c r="CB115" s="131"/>
      <c r="CC115" s="131"/>
      <c r="CD115" s="131"/>
      <c r="CE115" s="131"/>
    </row>
    <row r="116" ht="18.75" customHeight="1">
      <c r="C116" s="64"/>
      <c r="E116" s="64"/>
      <c r="F116" s="64"/>
      <c r="G116" s="64"/>
      <c r="AH116" s="162"/>
      <c r="AI116" s="162"/>
      <c r="AJ116" s="162"/>
      <c r="AK116" s="162"/>
      <c r="BS116" s="131"/>
      <c r="BT116" s="131"/>
      <c r="BU116" s="131"/>
      <c r="BV116" s="131"/>
      <c r="BW116" s="131"/>
      <c r="BX116" s="131"/>
      <c r="BY116" s="131"/>
      <c r="BZ116" s="131"/>
      <c r="CA116" s="131"/>
      <c r="CB116" s="131"/>
      <c r="CC116" s="131"/>
      <c r="CD116" s="131"/>
      <c r="CE116" s="131"/>
    </row>
    <row r="117" ht="18.75" customHeight="1">
      <c r="C117" s="64"/>
      <c r="E117" s="64"/>
      <c r="F117" s="64"/>
      <c r="G117" s="64"/>
      <c r="AH117" s="162"/>
      <c r="AI117" s="162"/>
      <c r="AJ117" s="162"/>
      <c r="AK117" s="162"/>
      <c r="BS117" s="131"/>
      <c r="BT117" s="131"/>
      <c r="BU117" s="131"/>
      <c r="BV117" s="131"/>
      <c r="BW117" s="131"/>
      <c r="BX117" s="131"/>
      <c r="BY117" s="131"/>
      <c r="BZ117" s="131"/>
      <c r="CA117" s="131"/>
      <c r="CB117" s="131"/>
      <c r="CC117" s="131"/>
      <c r="CD117" s="131"/>
      <c r="CE117" s="131"/>
    </row>
    <row r="118" ht="18.75" customHeight="1">
      <c r="C118" s="64"/>
      <c r="E118" s="64"/>
      <c r="F118" s="64"/>
      <c r="G118" s="64"/>
      <c r="AH118" s="162"/>
      <c r="AI118" s="162"/>
      <c r="AJ118" s="162"/>
      <c r="AK118" s="162"/>
      <c r="BS118" s="131"/>
      <c r="BT118" s="131"/>
      <c r="BU118" s="131"/>
      <c r="BV118" s="131"/>
      <c r="BW118" s="131"/>
      <c r="BX118" s="131"/>
      <c r="BY118" s="131"/>
      <c r="BZ118" s="131"/>
      <c r="CA118" s="131"/>
      <c r="CB118" s="131"/>
      <c r="CC118" s="131"/>
      <c r="CD118" s="131"/>
      <c r="CE118" s="131"/>
    </row>
    <row r="119" ht="18.75" customHeight="1">
      <c r="C119" s="64"/>
      <c r="E119" s="64"/>
      <c r="F119" s="64"/>
      <c r="G119" s="64"/>
      <c r="AH119" s="162"/>
      <c r="AI119" s="162"/>
      <c r="AJ119" s="162"/>
      <c r="AK119" s="162"/>
      <c r="BS119" s="131"/>
      <c r="BT119" s="131"/>
      <c r="BU119" s="131"/>
      <c r="BV119" s="131"/>
      <c r="BW119" s="131"/>
      <c r="BX119" s="131"/>
      <c r="BY119" s="131"/>
      <c r="BZ119" s="131"/>
      <c r="CA119" s="131"/>
      <c r="CB119" s="131"/>
      <c r="CC119" s="131"/>
      <c r="CD119" s="131"/>
      <c r="CE119" s="131"/>
    </row>
    <row r="120" ht="18.75" customHeight="1">
      <c r="C120" s="64"/>
      <c r="E120" s="64"/>
      <c r="F120" s="64"/>
      <c r="G120" s="64"/>
      <c r="AH120" s="162"/>
      <c r="AI120" s="162"/>
      <c r="AJ120" s="162"/>
      <c r="AK120" s="162"/>
      <c r="BS120" s="131"/>
      <c r="BT120" s="131"/>
      <c r="BU120" s="131"/>
      <c r="BV120" s="131"/>
      <c r="BW120" s="131"/>
      <c r="BX120" s="131"/>
      <c r="BY120" s="131"/>
      <c r="BZ120" s="131"/>
      <c r="CA120" s="131"/>
      <c r="CB120" s="131"/>
      <c r="CC120" s="131"/>
      <c r="CD120" s="131"/>
      <c r="CE120" s="131"/>
    </row>
    <row r="121" ht="18.75" customHeight="1">
      <c r="C121" s="64"/>
      <c r="E121" s="64"/>
      <c r="F121" s="64"/>
      <c r="G121" s="64"/>
      <c r="AH121" s="162"/>
      <c r="AI121" s="162"/>
      <c r="AJ121" s="162"/>
      <c r="AK121" s="162"/>
      <c r="BS121" s="131"/>
      <c r="BT121" s="131"/>
      <c r="BU121" s="131"/>
      <c r="BV121" s="131"/>
      <c r="BW121" s="131"/>
      <c r="BX121" s="131"/>
      <c r="BY121" s="131"/>
      <c r="BZ121" s="131"/>
      <c r="CA121" s="131"/>
      <c r="CB121" s="131"/>
      <c r="CC121" s="131"/>
      <c r="CD121" s="131"/>
      <c r="CE121" s="131"/>
    </row>
    <row r="122" ht="18.75" customHeight="1">
      <c r="C122" s="64"/>
      <c r="E122" s="64"/>
      <c r="F122" s="64"/>
      <c r="G122" s="64"/>
      <c r="AH122" s="162"/>
      <c r="AI122" s="162"/>
      <c r="AJ122" s="162"/>
      <c r="AK122" s="162"/>
      <c r="BS122" s="131"/>
      <c r="BT122" s="131"/>
      <c r="BU122" s="131"/>
      <c r="BV122" s="131"/>
      <c r="BW122" s="131"/>
      <c r="BX122" s="131"/>
      <c r="BY122" s="131"/>
      <c r="BZ122" s="131"/>
      <c r="CA122" s="131"/>
      <c r="CB122" s="131"/>
      <c r="CC122" s="131"/>
      <c r="CD122" s="131"/>
      <c r="CE122" s="131"/>
    </row>
    <row r="123" ht="18.75" customHeight="1">
      <c r="C123" s="64"/>
      <c r="E123" s="64"/>
      <c r="F123" s="64"/>
      <c r="G123" s="64"/>
      <c r="AH123" s="162"/>
      <c r="AI123" s="162"/>
      <c r="AJ123" s="162"/>
      <c r="AK123" s="162"/>
      <c r="BS123" s="131"/>
      <c r="BT123" s="131"/>
      <c r="BU123" s="131"/>
      <c r="BV123" s="131"/>
      <c r="BW123" s="131"/>
      <c r="BX123" s="131"/>
      <c r="BY123" s="131"/>
      <c r="BZ123" s="131"/>
      <c r="CA123" s="131"/>
      <c r="CB123" s="131"/>
      <c r="CC123" s="131"/>
      <c r="CD123" s="131"/>
      <c r="CE123" s="131"/>
    </row>
    <row r="124" ht="18.75" customHeight="1">
      <c r="C124" s="64"/>
      <c r="E124" s="64"/>
      <c r="F124" s="64"/>
      <c r="G124" s="64"/>
      <c r="AH124" s="162"/>
      <c r="AI124" s="162"/>
      <c r="AJ124" s="162"/>
      <c r="AK124" s="162"/>
      <c r="BS124" s="131"/>
      <c r="BT124" s="131"/>
      <c r="BU124" s="131"/>
      <c r="BV124" s="131"/>
      <c r="BW124" s="131"/>
      <c r="BX124" s="131"/>
      <c r="BY124" s="131"/>
      <c r="BZ124" s="131"/>
      <c r="CA124" s="131"/>
      <c r="CB124" s="131"/>
      <c r="CC124" s="131"/>
      <c r="CD124" s="131"/>
      <c r="CE124" s="131"/>
    </row>
    <row r="125" ht="18.75" customHeight="1">
      <c r="C125" s="64"/>
      <c r="E125" s="64"/>
      <c r="F125" s="64"/>
      <c r="G125" s="64"/>
      <c r="AH125" s="162"/>
      <c r="AI125" s="162"/>
      <c r="AJ125" s="162"/>
      <c r="AK125" s="162"/>
      <c r="BS125" s="131"/>
      <c r="BT125" s="131"/>
      <c r="BU125" s="131"/>
      <c r="BV125" s="131"/>
      <c r="BW125" s="131"/>
      <c r="BX125" s="131"/>
      <c r="BY125" s="131"/>
      <c r="BZ125" s="131"/>
      <c r="CA125" s="131"/>
      <c r="CB125" s="131"/>
      <c r="CC125" s="131"/>
      <c r="CD125" s="131"/>
      <c r="CE125" s="131"/>
    </row>
    <row r="126" ht="18.75" customHeight="1">
      <c r="C126" s="64"/>
      <c r="E126" s="64"/>
      <c r="F126" s="64"/>
      <c r="G126" s="64"/>
      <c r="AH126" s="162"/>
      <c r="AI126" s="162"/>
      <c r="AJ126" s="162"/>
      <c r="AK126" s="162"/>
      <c r="BS126" s="131"/>
      <c r="BT126" s="131"/>
      <c r="BU126" s="131"/>
      <c r="BV126" s="131"/>
      <c r="BW126" s="131"/>
      <c r="BX126" s="131"/>
      <c r="BY126" s="131"/>
      <c r="BZ126" s="131"/>
      <c r="CA126" s="131"/>
      <c r="CB126" s="131"/>
      <c r="CC126" s="131"/>
      <c r="CD126" s="131"/>
      <c r="CE126" s="131"/>
    </row>
    <row r="127" ht="18.75" customHeight="1">
      <c r="C127" s="64"/>
      <c r="E127" s="64"/>
      <c r="F127" s="64"/>
      <c r="G127" s="64"/>
      <c r="AH127" s="162"/>
      <c r="AI127" s="162"/>
      <c r="AJ127" s="162"/>
      <c r="AK127" s="162"/>
      <c r="BS127" s="131"/>
      <c r="BT127" s="131"/>
      <c r="BU127" s="131"/>
      <c r="BV127" s="131"/>
      <c r="BW127" s="131"/>
      <c r="BX127" s="131"/>
      <c r="BY127" s="131"/>
      <c r="BZ127" s="131"/>
      <c r="CA127" s="131"/>
      <c r="CB127" s="131"/>
      <c r="CC127" s="131"/>
      <c r="CD127" s="131"/>
      <c r="CE127" s="131"/>
    </row>
    <row r="128" ht="18.75" customHeight="1">
      <c r="C128" s="64"/>
      <c r="E128" s="64"/>
      <c r="F128" s="64"/>
      <c r="G128" s="64"/>
      <c r="AH128" s="162"/>
      <c r="AI128" s="162"/>
      <c r="AJ128" s="162"/>
      <c r="AK128" s="162"/>
      <c r="BS128" s="131"/>
      <c r="BT128" s="131"/>
      <c r="BU128" s="131"/>
      <c r="BV128" s="131"/>
      <c r="BW128" s="131"/>
      <c r="BX128" s="131"/>
      <c r="BY128" s="131"/>
      <c r="BZ128" s="131"/>
      <c r="CA128" s="131"/>
      <c r="CB128" s="131"/>
      <c r="CC128" s="131"/>
      <c r="CD128" s="131"/>
      <c r="CE128" s="131"/>
    </row>
    <row r="129" ht="18.75" customHeight="1">
      <c r="C129" s="64"/>
      <c r="E129" s="64"/>
      <c r="F129" s="64"/>
      <c r="G129" s="64"/>
      <c r="AH129" s="162"/>
      <c r="AI129" s="162"/>
      <c r="AJ129" s="162"/>
      <c r="AK129" s="162"/>
      <c r="BS129" s="131"/>
      <c r="BT129" s="131"/>
      <c r="BU129" s="131"/>
      <c r="BV129" s="131"/>
      <c r="BW129" s="131"/>
      <c r="BX129" s="131"/>
      <c r="BY129" s="131"/>
      <c r="BZ129" s="131"/>
      <c r="CA129" s="131"/>
      <c r="CB129" s="131"/>
      <c r="CC129" s="131"/>
      <c r="CD129" s="131"/>
      <c r="CE129" s="131"/>
    </row>
    <row r="130" ht="18.75" customHeight="1">
      <c r="C130" s="64"/>
      <c r="E130" s="64"/>
      <c r="F130" s="64"/>
      <c r="G130" s="64"/>
      <c r="AH130" s="162"/>
      <c r="AI130" s="162"/>
      <c r="AJ130" s="162"/>
      <c r="AK130" s="162"/>
      <c r="BS130" s="131"/>
      <c r="BT130" s="131"/>
      <c r="BU130" s="131"/>
      <c r="BV130" s="131"/>
      <c r="BW130" s="131"/>
      <c r="BX130" s="131"/>
      <c r="BY130" s="131"/>
      <c r="BZ130" s="131"/>
      <c r="CA130" s="131"/>
      <c r="CB130" s="131"/>
      <c r="CC130" s="131"/>
      <c r="CD130" s="131"/>
      <c r="CE130" s="131"/>
    </row>
    <row r="131" ht="18.75" customHeight="1">
      <c r="C131" s="64"/>
      <c r="E131" s="64"/>
      <c r="F131" s="64"/>
      <c r="G131" s="64"/>
      <c r="AH131" s="162"/>
      <c r="AI131" s="162"/>
      <c r="AJ131" s="162"/>
      <c r="AK131" s="162"/>
      <c r="BS131" s="131"/>
      <c r="BT131" s="131"/>
      <c r="BU131" s="131"/>
      <c r="BV131" s="131"/>
      <c r="BW131" s="131"/>
      <c r="BX131" s="131"/>
      <c r="BY131" s="131"/>
      <c r="BZ131" s="131"/>
      <c r="CA131" s="131"/>
      <c r="CB131" s="131"/>
      <c r="CC131" s="131"/>
      <c r="CD131" s="131"/>
      <c r="CE131" s="131"/>
    </row>
    <row r="132" ht="18.75" customHeight="1">
      <c r="C132" s="64"/>
      <c r="E132" s="64"/>
      <c r="F132" s="64"/>
      <c r="G132" s="64"/>
      <c r="AH132" s="162"/>
      <c r="AI132" s="162"/>
      <c r="AJ132" s="162"/>
      <c r="AK132" s="162"/>
      <c r="BS132" s="131"/>
      <c r="BT132" s="131"/>
      <c r="BU132" s="131"/>
      <c r="BV132" s="131"/>
      <c r="BW132" s="131"/>
      <c r="BX132" s="131"/>
      <c r="BY132" s="131"/>
      <c r="BZ132" s="131"/>
      <c r="CA132" s="131"/>
      <c r="CB132" s="131"/>
      <c r="CC132" s="131"/>
      <c r="CD132" s="131"/>
      <c r="CE132" s="131"/>
    </row>
    <row r="133" ht="18.75" customHeight="1">
      <c r="C133" s="64"/>
      <c r="E133" s="64"/>
      <c r="F133" s="64"/>
      <c r="G133" s="64"/>
      <c r="AH133" s="162"/>
      <c r="AI133" s="162"/>
      <c r="AJ133" s="162"/>
      <c r="AK133" s="162"/>
      <c r="BS133" s="131"/>
      <c r="BT133" s="131"/>
      <c r="BU133" s="131"/>
      <c r="BV133" s="131"/>
      <c r="BW133" s="131"/>
      <c r="BX133" s="131"/>
      <c r="BY133" s="131"/>
      <c r="BZ133" s="131"/>
      <c r="CA133" s="131"/>
      <c r="CB133" s="131"/>
      <c r="CC133" s="131"/>
      <c r="CD133" s="131"/>
      <c r="CE133" s="131"/>
    </row>
    <row r="134" ht="18.75" customHeight="1">
      <c r="C134" s="64"/>
      <c r="E134" s="64"/>
      <c r="F134" s="64"/>
      <c r="G134" s="64"/>
      <c r="AH134" s="162"/>
      <c r="AI134" s="162"/>
      <c r="AJ134" s="162"/>
      <c r="AK134" s="162"/>
      <c r="BS134" s="131"/>
      <c r="BT134" s="131"/>
      <c r="BU134" s="131"/>
      <c r="BV134" s="131"/>
      <c r="BW134" s="131"/>
      <c r="BX134" s="131"/>
      <c r="BY134" s="131"/>
      <c r="BZ134" s="131"/>
      <c r="CA134" s="131"/>
      <c r="CB134" s="131"/>
      <c r="CC134" s="131"/>
      <c r="CD134" s="131"/>
      <c r="CE134" s="131"/>
    </row>
    <row r="135" ht="18.75" customHeight="1">
      <c r="C135" s="64"/>
      <c r="E135" s="64"/>
      <c r="F135" s="64"/>
      <c r="G135" s="64"/>
      <c r="AH135" s="162"/>
      <c r="AI135" s="162"/>
      <c r="AJ135" s="162"/>
      <c r="AK135" s="162"/>
      <c r="BS135" s="131"/>
      <c r="BT135" s="131"/>
      <c r="BU135" s="131"/>
      <c r="BV135" s="131"/>
      <c r="BW135" s="131"/>
      <c r="BX135" s="131"/>
      <c r="BY135" s="131"/>
      <c r="BZ135" s="131"/>
      <c r="CA135" s="131"/>
      <c r="CB135" s="131"/>
      <c r="CC135" s="131"/>
      <c r="CD135" s="131"/>
      <c r="CE135" s="131"/>
    </row>
    <row r="136" ht="18.75" customHeight="1">
      <c r="C136" s="64"/>
      <c r="E136" s="64"/>
      <c r="F136" s="64"/>
      <c r="G136" s="64"/>
      <c r="AH136" s="162"/>
      <c r="AI136" s="162"/>
      <c r="AJ136" s="162"/>
      <c r="AK136" s="162"/>
      <c r="BS136" s="131"/>
      <c r="BT136" s="131"/>
      <c r="BU136" s="131"/>
      <c r="BV136" s="131"/>
      <c r="BW136" s="131"/>
      <c r="BX136" s="131"/>
      <c r="BY136" s="131"/>
      <c r="BZ136" s="131"/>
      <c r="CA136" s="131"/>
      <c r="CB136" s="131"/>
      <c r="CC136" s="131"/>
      <c r="CD136" s="131"/>
      <c r="CE136" s="131"/>
    </row>
    <row r="137" ht="18.75" customHeight="1">
      <c r="C137" s="64"/>
      <c r="E137" s="64"/>
      <c r="F137" s="64"/>
      <c r="G137" s="64"/>
      <c r="AH137" s="162"/>
      <c r="AI137" s="162"/>
      <c r="AJ137" s="162"/>
      <c r="AK137" s="162"/>
      <c r="BS137" s="131"/>
      <c r="BT137" s="131"/>
      <c r="BU137" s="131"/>
      <c r="BV137" s="131"/>
      <c r="BW137" s="131"/>
      <c r="BX137" s="131"/>
      <c r="BY137" s="131"/>
      <c r="BZ137" s="131"/>
      <c r="CA137" s="131"/>
      <c r="CB137" s="131"/>
      <c r="CC137" s="131"/>
      <c r="CD137" s="131"/>
      <c r="CE137" s="131"/>
    </row>
    <row r="138" ht="18.75" customHeight="1">
      <c r="C138" s="64"/>
      <c r="E138" s="64"/>
      <c r="F138" s="64"/>
      <c r="G138" s="64"/>
      <c r="AH138" s="162"/>
      <c r="AI138" s="162"/>
      <c r="AJ138" s="162"/>
      <c r="AK138" s="162"/>
      <c r="BS138" s="131"/>
      <c r="BT138" s="131"/>
      <c r="BU138" s="131"/>
      <c r="BV138" s="131"/>
      <c r="BW138" s="131"/>
      <c r="BX138" s="131"/>
      <c r="BY138" s="131"/>
      <c r="BZ138" s="131"/>
      <c r="CA138" s="131"/>
      <c r="CB138" s="131"/>
      <c r="CC138" s="131"/>
      <c r="CD138" s="131"/>
      <c r="CE138" s="131"/>
    </row>
    <row r="139" ht="18.75" customHeight="1">
      <c r="C139" s="64"/>
      <c r="E139" s="64"/>
      <c r="F139" s="64"/>
      <c r="G139" s="64"/>
      <c r="AH139" s="162"/>
      <c r="AI139" s="162"/>
      <c r="AJ139" s="162"/>
      <c r="AK139" s="162"/>
      <c r="BS139" s="131"/>
      <c r="BT139" s="131"/>
      <c r="BU139" s="131"/>
      <c r="BV139" s="131"/>
      <c r="BW139" s="131"/>
      <c r="BX139" s="131"/>
      <c r="BY139" s="131"/>
      <c r="BZ139" s="131"/>
      <c r="CA139" s="131"/>
      <c r="CB139" s="131"/>
      <c r="CC139" s="131"/>
      <c r="CD139" s="131"/>
      <c r="CE139" s="131"/>
    </row>
    <row r="140" ht="18.75" customHeight="1">
      <c r="C140" s="64"/>
      <c r="E140" s="64"/>
      <c r="F140" s="64"/>
      <c r="G140" s="64"/>
      <c r="AH140" s="162"/>
      <c r="AI140" s="162"/>
      <c r="AJ140" s="162"/>
      <c r="AK140" s="162"/>
      <c r="BS140" s="131"/>
      <c r="BT140" s="131"/>
      <c r="BU140" s="131"/>
      <c r="BV140" s="131"/>
      <c r="BW140" s="131"/>
      <c r="BX140" s="131"/>
      <c r="BY140" s="131"/>
      <c r="BZ140" s="131"/>
      <c r="CA140" s="131"/>
      <c r="CB140" s="131"/>
      <c r="CC140" s="131"/>
      <c r="CD140" s="131"/>
      <c r="CE140" s="131"/>
    </row>
    <row r="141" ht="18.75" customHeight="1">
      <c r="C141" s="64"/>
      <c r="E141" s="64"/>
      <c r="F141" s="64"/>
      <c r="G141" s="64"/>
      <c r="AH141" s="162"/>
      <c r="AI141" s="162"/>
      <c r="AJ141" s="162"/>
      <c r="AK141" s="162"/>
      <c r="BS141" s="131"/>
      <c r="BT141" s="131"/>
      <c r="BU141" s="131"/>
      <c r="BV141" s="131"/>
      <c r="BW141" s="131"/>
      <c r="BX141" s="131"/>
      <c r="BY141" s="131"/>
      <c r="BZ141" s="131"/>
      <c r="CA141" s="131"/>
      <c r="CB141" s="131"/>
      <c r="CC141" s="131"/>
      <c r="CD141" s="131"/>
      <c r="CE141" s="131"/>
    </row>
    <row r="142" ht="18.75" customHeight="1">
      <c r="C142" s="64"/>
      <c r="E142" s="64"/>
      <c r="F142" s="64"/>
      <c r="G142" s="64"/>
      <c r="AH142" s="162"/>
      <c r="AI142" s="162"/>
      <c r="AJ142" s="162"/>
      <c r="AK142" s="162"/>
      <c r="BS142" s="131"/>
      <c r="BT142" s="131"/>
      <c r="BU142" s="131"/>
      <c r="BV142" s="131"/>
      <c r="BW142" s="131"/>
      <c r="BX142" s="131"/>
      <c r="BY142" s="131"/>
      <c r="BZ142" s="131"/>
      <c r="CA142" s="131"/>
      <c r="CB142" s="131"/>
      <c r="CC142" s="131"/>
      <c r="CD142" s="131"/>
      <c r="CE142" s="131"/>
    </row>
    <row r="143" ht="18.75" customHeight="1">
      <c r="C143" s="64"/>
      <c r="E143" s="64"/>
      <c r="F143" s="64"/>
      <c r="G143" s="64"/>
      <c r="AH143" s="162"/>
      <c r="AI143" s="162"/>
      <c r="AJ143" s="162"/>
      <c r="AK143" s="162"/>
      <c r="BS143" s="131"/>
      <c r="BT143" s="131"/>
      <c r="BU143" s="131"/>
      <c r="BV143" s="131"/>
      <c r="BW143" s="131"/>
      <c r="BX143" s="131"/>
      <c r="BY143" s="131"/>
      <c r="BZ143" s="131"/>
      <c r="CA143" s="131"/>
      <c r="CB143" s="131"/>
      <c r="CC143" s="131"/>
      <c r="CD143" s="131"/>
      <c r="CE143" s="131"/>
    </row>
    <row r="144" ht="18.75" customHeight="1">
      <c r="C144" s="64"/>
      <c r="E144" s="64"/>
      <c r="F144" s="64"/>
      <c r="G144" s="64"/>
      <c r="AH144" s="162"/>
      <c r="AI144" s="162"/>
      <c r="AJ144" s="162"/>
      <c r="AK144" s="162"/>
      <c r="BS144" s="131"/>
      <c r="BT144" s="131"/>
      <c r="BU144" s="131"/>
      <c r="BV144" s="131"/>
      <c r="BW144" s="131"/>
      <c r="BX144" s="131"/>
      <c r="BY144" s="131"/>
      <c r="BZ144" s="131"/>
      <c r="CA144" s="131"/>
      <c r="CB144" s="131"/>
      <c r="CC144" s="131"/>
      <c r="CD144" s="131"/>
      <c r="CE144" s="131"/>
    </row>
    <row r="145" ht="18.75" customHeight="1">
      <c r="C145" s="64"/>
      <c r="E145" s="64"/>
      <c r="F145" s="64"/>
      <c r="G145" s="64"/>
      <c r="AH145" s="162"/>
      <c r="AI145" s="162"/>
      <c r="AJ145" s="162"/>
      <c r="AK145" s="162"/>
      <c r="BS145" s="131"/>
      <c r="BT145" s="131"/>
      <c r="BU145" s="131"/>
      <c r="BV145" s="131"/>
      <c r="BW145" s="131"/>
      <c r="BX145" s="131"/>
      <c r="BY145" s="131"/>
      <c r="BZ145" s="131"/>
      <c r="CA145" s="131"/>
      <c r="CB145" s="131"/>
      <c r="CC145" s="131"/>
      <c r="CD145" s="131"/>
      <c r="CE145" s="131"/>
    </row>
    <row r="146" ht="18.75" customHeight="1">
      <c r="C146" s="64"/>
      <c r="E146" s="64"/>
      <c r="F146" s="64"/>
      <c r="G146" s="64"/>
      <c r="AH146" s="162"/>
      <c r="AI146" s="162"/>
      <c r="AJ146" s="162"/>
      <c r="AK146" s="162"/>
      <c r="BS146" s="131"/>
      <c r="BT146" s="131"/>
      <c r="BU146" s="131"/>
      <c r="BV146" s="131"/>
      <c r="BW146" s="131"/>
      <c r="BX146" s="131"/>
      <c r="BY146" s="131"/>
      <c r="BZ146" s="131"/>
      <c r="CA146" s="131"/>
      <c r="CB146" s="131"/>
      <c r="CC146" s="131"/>
      <c r="CD146" s="131"/>
      <c r="CE146" s="131"/>
    </row>
    <row r="147" ht="18.75" customHeight="1">
      <c r="C147" s="64"/>
      <c r="E147" s="64"/>
      <c r="F147" s="64"/>
      <c r="G147" s="64"/>
      <c r="AH147" s="162"/>
      <c r="AI147" s="162"/>
      <c r="AJ147" s="162"/>
      <c r="AK147" s="162"/>
      <c r="BS147" s="131"/>
      <c r="BT147" s="131"/>
      <c r="BU147" s="131"/>
      <c r="BV147" s="131"/>
      <c r="BW147" s="131"/>
      <c r="BX147" s="131"/>
      <c r="BY147" s="131"/>
      <c r="BZ147" s="131"/>
      <c r="CA147" s="131"/>
      <c r="CB147" s="131"/>
      <c r="CC147" s="131"/>
      <c r="CD147" s="131"/>
      <c r="CE147" s="131"/>
    </row>
    <row r="148" ht="18.75" customHeight="1">
      <c r="C148" s="64"/>
      <c r="E148" s="64"/>
      <c r="F148" s="64"/>
      <c r="G148" s="64"/>
      <c r="AH148" s="162"/>
      <c r="AI148" s="162"/>
      <c r="AJ148" s="162"/>
      <c r="AK148" s="162"/>
      <c r="BS148" s="131"/>
      <c r="BT148" s="131"/>
      <c r="BU148" s="131"/>
      <c r="BV148" s="131"/>
      <c r="BW148" s="131"/>
      <c r="BX148" s="131"/>
      <c r="BY148" s="131"/>
      <c r="BZ148" s="131"/>
      <c r="CA148" s="131"/>
      <c r="CB148" s="131"/>
      <c r="CC148" s="131"/>
      <c r="CD148" s="131"/>
      <c r="CE148" s="131"/>
    </row>
    <row r="149" ht="18.75" customHeight="1">
      <c r="C149" s="64"/>
      <c r="E149" s="64"/>
      <c r="F149" s="64"/>
      <c r="G149" s="64"/>
      <c r="AH149" s="162"/>
      <c r="AI149" s="162"/>
      <c r="AJ149" s="162"/>
      <c r="AK149" s="162"/>
      <c r="BS149" s="131"/>
      <c r="BT149" s="131"/>
      <c r="BU149" s="131"/>
      <c r="BV149" s="131"/>
      <c r="BW149" s="131"/>
      <c r="BX149" s="131"/>
      <c r="BY149" s="131"/>
      <c r="BZ149" s="131"/>
      <c r="CA149" s="131"/>
      <c r="CB149" s="131"/>
      <c r="CC149" s="131"/>
      <c r="CD149" s="131"/>
      <c r="CE149" s="131"/>
    </row>
    <row r="150" ht="18.75" customHeight="1">
      <c r="C150" s="64"/>
      <c r="E150" s="64"/>
      <c r="F150" s="64"/>
      <c r="G150" s="64"/>
      <c r="AH150" s="162"/>
      <c r="AI150" s="162"/>
      <c r="AJ150" s="162"/>
      <c r="AK150" s="162"/>
      <c r="BS150" s="131"/>
      <c r="BT150" s="131"/>
      <c r="BU150" s="131"/>
      <c r="BV150" s="131"/>
      <c r="BW150" s="131"/>
      <c r="BX150" s="131"/>
      <c r="BY150" s="131"/>
      <c r="BZ150" s="131"/>
      <c r="CA150" s="131"/>
      <c r="CB150" s="131"/>
      <c r="CC150" s="131"/>
      <c r="CD150" s="131"/>
      <c r="CE150" s="131"/>
    </row>
    <row r="151" ht="18.75" customHeight="1">
      <c r="C151" s="64"/>
      <c r="E151" s="64"/>
      <c r="F151" s="64"/>
      <c r="G151" s="64"/>
      <c r="AH151" s="162"/>
      <c r="AI151" s="162"/>
      <c r="AJ151" s="162"/>
      <c r="AK151" s="162"/>
      <c r="BS151" s="131"/>
      <c r="BT151" s="131"/>
      <c r="BU151" s="131"/>
      <c r="BV151" s="131"/>
      <c r="BW151" s="131"/>
      <c r="BX151" s="131"/>
      <c r="BY151" s="131"/>
      <c r="BZ151" s="131"/>
      <c r="CA151" s="131"/>
      <c r="CB151" s="131"/>
      <c r="CC151" s="131"/>
      <c r="CD151" s="131"/>
      <c r="CE151" s="131"/>
    </row>
    <row r="152" ht="18.75" customHeight="1">
      <c r="C152" s="64"/>
      <c r="E152" s="64"/>
      <c r="F152" s="64"/>
      <c r="G152" s="64"/>
      <c r="AH152" s="162"/>
      <c r="AI152" s="162"/>
      <c r="AJ152" s="162"/>
      <c r="AK152" s="162"/>
      <c r="BS152" s="131"/>
      <c r="BT152" s="131"/>
      <c r="BU152" s="131"/>
      <c r="BV152" s="131"/>
      <c r="BW152" s="131"/>
      <c r="BX152" s="131"/>
      <c r="BY152" s="131"/>
      <c r="BZ152" s="131"/>
      <c r="CA152" s="131"/>
      <c r="CB152" s="131"/>
      <c r="CC152" s="131"/>
      <c r="CD152" s="131"/>
      <c r="CE152" s="131"/>
    </row>
    <row r="153" ht="18.75" customHeight="1">
      <c r="C153" s="64"/>
      <c r="E153" s="64"/>
      <c r="F153" s="64"/>
      <c r="G153" s="64"/>
      <c r="AH153" s="162"/>
      <c r="AI153" s="162"/>
      <c r="AJ153" s="162"/>
      <c r="AK153" s="162"/>
      <c r="BS153" s="131"/>
      <c r="BT153" s="131"/>
      <c r="BU153" s="131"/>
      <c r="BV153" s="131"/>
      <c r="BW153" s="131"/>
      <c r="BX153" s="131"/>
      <c r="BY153" s="131"/>
      <c r="BZ153" s="131"/>
      <c r="CA153" s="131"/>
      <c r="CB153" s="131"/>
      <c r="CC153" s="131"/>
      <c r="CD153" s="131"/>
      <c r="CE153" s="131"/>
    </row>
    <row r="154" ht="18.75" customHeight="1">
      <c r="C154" s="64"/>
      <c r="E154" s="64"/>
      <c r="F154" s="64"/>
      <c r="G154" s="64"/>
      <c r="AH154" s="162"/>
      <c r="AI154" s="162"/>
      <c r="AJ154" s="162"/>
      <c r="AK154" s="162"/>
      <c r="BS154" s="131"/>
      <c r="BT154" s="131"/>
      <c r="BU154" s="131"/>
      <c r="BV154" s="131"/>
      <c r="BW154" s="131"/>
      <c r="BX154" s="131"/>
      <c r="BY154" s="131"/>
      <c r="BZ154" s="131"/>
      <c r="CA154" s="131"/>
      <c r="CB154" s="131"/>
      <c r="CC154" s="131"/>
      <c r="CD154" s="131"/>
      <c r="CE154" s="131"/>
    </row>
    <row r="155" ht="18.75" customHeight="1">
      <c r="C155" s="64"/>
      <c r="E155" s="64"/>
      <c r="F155" s="64"/>
      <c r="G155" s="64"/>
      <c r="AH155" s="162"/>
      <c r="AI155" s="162"/>
      <c r="AJ155" s="162"/>
      <c r="AK155" s="162"/>
      <c r="BS155" s="131"/>
      <c r="BT155" s="131"/>
      <c r="BU155" s="131"/>
      <c r="BV155" s="131"/>
      <c r="BW155" s="131"/>
      <c r="BX155" s="131"/>
      <c r="BY155" s="131"/>
      <c r="BZ155" s="131"/>
      <c r="CA155" s="131"/>
      <c r="CB155" s="131"/>
      <c r="CC155" s="131"/>
      <c r="CD155" s="131"/>
      <c r="CE155" s="131"/>
    </row>
    <row r="156" ht="18.75" customHeight="1">
      <c r="C156" s="64"/>
      <c r="E156" s="64"/>
      <c r="F156" s="64"/>
      <c r="G156" s="64"/>
      <c r="AH156" s="162"/>
      <c r="AI156" s="162"/>
      <c r="AJ156" s="162"/>
      <c r="AK156" s="162"/>
      <c r="BS156" s="131"/>
      <c r="BT156" s="131"/>
      <c r="BU156" s="131"/>
      <c r="BV156" s="131"/>
      <c r="BW156" s="131"/>
      <c r="BX156" s="131"/>
      <c r="BY156" s="131"/>
      <c r="BZ156" s="131"/>
      <c r="CA156" s="131"/>
      <c r="CB156" s="131"/>
      <c r="CC156" s="131"/>
      <c r="CD156" s="131"/>
      <c r="CE156" s="131"/>
    </row>
    <row r="157" ht="18.75" customHeight="1">
      <c r="C157" s="64"/>
      <c r="E157" s="64"/>
      <c r="F157" s="64"/>
      <c r="G157" s="64"/>
      <c r="AH157" s="162"/>
      <c r="AI157" s="162"/>
      <c r="AJ157" s="162"/>
      <c r="AK157" s="162"/>
      <c r="BS157" s="131"/>
      <c r="BT157" s="131"/>
      <c r="BU157" s="131"/>
      <c r="BV157" s="131"/>
      <c r="BW157" s="131"/>
      <c r="BX157" s="131"/>
      <c r="BY157" s="131"/>
      <c r="BZ157" s="131"/>
      <c r="CA157" s="131"/>
      <c r="CB157" s="131"/>
      <c r="CC157" s="131"/>
      <c r="CD157" s="131"/>
      <c r="CE157" s="131"/>
    </row>
    <row r="158" ht="18.75" customHeight="1">
      <c r="C158" s="64"/>
      <c r="E158" s="64"/>
      <c r="F158" s="64"/>
      <c r="G158" s="64"/>
      <c r="AH158" s="162"/>
      <c r="AI158" s="162"/>
      <c r="AJ158" s="162"/>
      <c r="AK158" s="162"/>
      <c r="BS158" s="131"/>
      <c r="BT158" s="131"/>
      <c r="BU158" s="131"/>
      <c r="BV158" s="131"/>
      <c r="BW158" s="131"/>
      <c r="BX158" s="131"/>
      <c r="BY158" s="131"/>
      <c r="BZ158" s="131"/>
      <c r="CA158" s="131"/>
      <c r="CB158" s="131"/>
      <c r="CC158" s="131"/>
      <c r="CD158" s="131"/>
      <c r="CE158" s="131"/>
    </row>
    <row r="159" ht="18.75" customHeight="1">
      <c r="C159" s="64"/>
      <c r="E159" s="64"/>
      <c r="F159" s="64"/>
      <c r="G159" s="64"/>
      <c r="AH159" s="162"/>
      <c r="AI159" s="162"/>
      <c r="AJ159" s="162"/>
      <c r="AK159" s="162"/>
      <c r="BS159" s="131"/>
      <c r="BT159" s="131"/>
      <c r="BU159" s="131"/>
      <c r="BV159" s="131"/>
      <c r="BW159" s="131"/>
      <c r="BX159" s="131"/>
      <c r="BY159" s="131"/>
      <c r="BZ159" s="131"/>
      <c r="CA159" s="131"/>
      <c r="CB159" s="131"/>
      <c r="CC159" s="131"/>
      <c r="CD159" s="131"/>
      <c r="CE159" s="131"/>
    </row>
    <row r="160" ht="18.75" customHeight="1">
      <c r="C160" s="64"/>
      <c r="E160" s="64"/>
      <c r="F160" s="64"/>
      <c r="G160" s="64"/>
      <c r="AH160" s="162"/>
      <c r="AI160" s="162"/>
      <c r="AJ160" s="162"/>
      <c r="AK160" s="162"/>
      <c r="BS160" s="131"/>
      <c r="BT160" s="131"/>
      <c r="BU160" s="131"/>
      <c r="BV160" s="131"/>
      <c r="BW160" s="131"/>
      <c r="BX160" s="131"/>
      <c r="BY160" s="131"/>
      <c r="BZ160" s="131"/>
      <c r="CA160" s="131"/>
      <c r="CB160" s="131"/>
      <c r="CC160" s="131"/>
      <c r="CD160" s="131"/>
      <c r="CE160" s="131"/>
    </row>
    <row r="161" ht="18.75" customHeight="1">
      <c r="C161" s="64"/>
      <c r="E161" s="64"/>
      <c r="F161" s="64"/>
      <c r="G161" s="64"/>
      <c r="AH161" s="162"/>
      <c r="AI161" s="162"/>
      <c r="AJ161" s="162"/>
      <c r="AK161" s="162"/>
      <c r="BS161" s="131"/>
      <c r="BT161" s="131"/>
      <c r="BU161" s="131"/>
      <c r="BV161" s="131"/>
      <c r="BW161" s="131"/>
      <c r="BX161" s="131"/>
      <c r="BY161" s="131"/>
      <c r="BZ161" s="131"/>
      <c r="CA161" s="131"/>
      <c r="CB161" s="131"/>
      <c r="CC161" s="131"/>
      <c r="CD161" s="131"/>
      <c r="CE161" s="131"/>
    </row>
    <row r="162" ht="18.75" customHeight="1">
      <c r="C162" s="64"/>
      <c r="E162" s="64"/>
      <c r="F162" s="64"/>
      <c r="G162" s="64"/>
      <c r="AH162" s="162"/>
      <c r="AI162" s="162"/>
      <c r="AJ162" s="162"/>
      <c r="AK162" s="162"/>
      <c r="BS162" s="131"/>
      <c r="BT162" s="131"/>
      <c r="BU162" s="131"/>
      <c r="BV162" s="131"/>
      <c r="BW162" s="131"/>
      <c r="BX162" s="131"/>
      <c r="BY162" s="131"/>
      <c r="BZ162" s="131"/>
      <c r="CA162" s="131"/>
      <c r="CB162" s="131"/>
      <c r="CC162" s="131"/>
      <c r="CD162" s="131"/>
      <c r="CE162" s="131"/>
    </row>
    <row r="163" ht="18.75" customHeight="1">
      <c r="C163" s="64"/>
      <c r="E163" s="64"/>
      <c r="F163" s="64"/>
      <c r="G163" s="64"/>
      <c r="AH163" s="162"/>
      <c r="AI163" s="162"/>
      <c r="AJ163" s="162"/>
      <c r="AK163" s="162"/>
      <c r="BS163" s="131"/>
      <c r="BT163" s="131"/>
      <c r="BU163" s="131"/>
      <c r="BV163" s="131"/>
      <c r="BW163" s="131"/>
      <c r="BX163" s="131"/>
      <c r="BY163" s="131"/>
      <c r="BZ163" s="131"/>
      <c r="CA163" s="131"/>
      <c r="CB163" s="131"/>
      <c r="CC163" s="131"/>
      <c r="CD163" s="131"/>
      <c r="CE163" s="131"/>
    </row>
    <row r="164" ht="18.75" customHeight="1">
      <c r="C164" s="64"/>
      <c r="E164" s="64"/>
      <c r="F164" s="64"/>
      <c r="G164" s="64"/>
      <c r="AH164" s="162"/>
      <c r="AI164" s="162"/>
      <c r="AJ164" s="162"/>
      <c r="AK164" s="162"/>
      <c r="BS164" s="131"/>
      <c r="BT164" s="131"/>
      <c r="BU164" s="131"/>
      <c r="BV164" s="131"/>
      <c r="BW164" s="131"/>
      <c r="BX164" s="131"/>
      <c r="BY164" s="131"/>
      <c r="BZ164" s="131"/>
      <c r="CA164" s="131"/>
      <c r="CB164" s="131"/>
      <c r="CC164" s="131"/>
      <c r="CD164" s="131"/>
      <c r="CE164" s="131"/>
    </row>
    <row r="165" ht="18.75" customHeight="1">
      <c r="C165" s="64"/>
      <c r="E165" s="64"/>
      <c r="F165" s="64"/>
      <c r="G165" s="64"/>
      <c r="AH165" s="162"/>
      <c r="AI165" s="162"/>
      <c r="AJ165" s="162"/>
      <c r="AK165" s="162"/>
      <c r="BS165" s="131"/>
      <c r="BT165" s="131"/>
      <c r="BU165" s="131"/>
      <c r="BV165" s="131"/>
      <c r="BW165" s="131"/>
      <c r="BX165" s="131"/>
      <c r="BY165" s="131"/>
      <c r="BZ165" s="131"/>
      <c r="CA165" s="131"/>
      <c r="CB165" s="131"/>
      <c r="CC165" s="131"/>
      <c r="CD165" s="131"/>
      <c r="CE165" s="131"/>
    </row>
    <row r="166" ht="18.75" customHeight="1">
      <c r="C166" s="64"/>
      <c r="E166" s="64"/>
      <c r="F166" s="64"/>
      <c r="G166" s="64"/>
      <c r="AH166" s="162"/>
      <c r="AI166" s="162"/>
      <c r="AJ166" s="162"/>
      <c r="AK166" s="162"/>
      <c r="BS166" s="131"/>
      <c r="BT166" s="131"/>
      <c r="BU166" s="131"/>
      <c r="BV166" s="131"/>
      <c r="BW166" s="131"/>
      <c r="BX166" s="131"/>
      <c r="BY166" s="131"/>
      <c r="BZ166" s="131"/>
      <c r="CA166" s="131"/>
      <c r="CB166" s="131"/>
      <c r="CC166" s="131"/>
      <c r="CD166" s="131"/>
      <c r="CE166" s="131"/>
    </row>
    <row r="167" ht="18.75" customHeight="1">
      <c r="C167" s="64"/>
      <c r="E167" s="64"/>
      <c r="F167" s="64"/>
      <c r="G167" s="64"/>
      <c r="AH167" s="162"/>
      <c r="AI167" s="162"/>
      <c r="AJ167" s="162"/>
      <c r="AK167" s="162"/>
      <c r="BS167" s="131"/>
      <c r="BT167" s="131"/>
      <c r="BU167" s="131"/>
      <c r="BV167" s="131"/>
      <c r="BW167" s="131"/>
      <c r="BX167" s="131"/>
      <c r="BY167" s="131"/>
      <c r="BZ167" s="131"/>
      <c r="CA167" s="131"/>
      <c r="CB167" s="131"/>
      <c r="CC167" s="131"/>
      <c r="CD167" s="131"/>
      <c r="CE167" s="131"/>
    </row>
    <row r="168" ht="18.75" customHeight="1">
      <c r="C168" s="64"/>
      <c r="E168" s="64"/>
      <c r="F168" s="64"/>
      <c r="G168" s="64"/>
      <c r="AH168" s="162"/>
      <c r="AI168" s="162"/>
      <c r="AJ168" s="162"/>
      <c r="AK168" s="162"/>
      <c r="BS168" s="131"/>
      <c r="BT168" s="131"/>
      <c r="BU168" s="131"/>
      <c r="BV168" s="131"/>
      <c r="BW168" s="131"/>
      <c r="BX168" s="131"/>
      <c r="BY168" s="131"/>
      <c r="BZ168" s="131"/>
      <c r="CA168" s="131"/>
      <c r="CB168" s="131"/>
      <c r="CC168" s="131"/>
      <c r="CD168" s="131"/>
      <c r="CE168" s="131"/>
    </row>
    <row r="169" ht="18.75" customHeight="1">
      <c r="C169" s="64"/>
      <c r="E169" s="64"/>
      <c r="F169" s="64"/>
      <c r="G169" s="64"/>
      <c r="AH169" s="162"/>
      <c r="AI169" s="162"/>
      <c r="AJ169" s="162"/>
      <c r="AK169" s="162"/>
      <c r="BS169" s="131"/>
      <c r="BT169" s="131"/>
      <c r="BU169" s="131"/>
      <c r="BV169" s="131"/>
      <c r="BW169" s="131"/>
      <c r="BX169" s="131"/>
      <c r="BY169" s="131"/>
      <c r="BZ169" s="131"/>
      <c r="CA169" s="131"/>
      <c r="CB169" s="131"/>
      <c r="CC169" s="131"/>
      <c r="CD169" s="131"/>
      <c r="CE169" s="131"/>
    </row>
    <row r="170" ht="18.75" customHeight="1">
      <c r="C170" s="64"/>
      <c r="E170" s="64"/>
      <c r="F170" s="64"/>
      <c r="G170" s="64"/>
      <c r="AH170" s="162"/>
      <c r="AI170" s="162"/>
      <c r="AJ170" s="162"/>
      <c r="AK170" s="162"/>
      <c r="BS170" s="131"/>
      <c r="BT170" s="131"/>
      <c r="BU170" s="131"/>
      <c r="BV170" s="131"/>
      <c r="BW170" s="131"/>
      <c r="BX170" s="131"/>
      <c r="BY170" s="131"/>
      <c r="BZ170" s="131"/>
      <c r="CA170" s="131"/>
      <c r="CB170" s="131"/>
      <c r="CC170" s="131"/>
      <c r="CD170" s="131"/>
      <c r="CE170" s="131"/>
    </row>
    <row r="171" ht="18.75" customHeight="1">
      <c r="C171" s="64"/>
      <c r="E171" s="64"/>
      <c r="F171" s="64"/>
      <c r="G171" s="64"/>
      <c r="AH171" s="162"/>
      <c r="AI171" s="162"/>
      <c r="AJ171" s="162"/>
      <c r="AK171" s="162"/>
      <c r="BS171" s="131"/>
      <c r="BT171" s="131"/>
      <c r="BU171" s="131"/>
      <c r="BV171" s="131"/>
      <c r="BW171" s="131"/>
      <c r="BX171" s="131"/>
      <c r="BY171" s="131"/>
      <c r="BZ171" s="131"/>
      <c r="CA171" s="131"/>
      <c r="CB171" s="131"/>
      <c r="CC171" s="131"/>
      <c r="CD171" s="131"/>
      <c r="CE171" s="131"/>
    </row>
    <row r="172" ht="18.75" customHeight="1">
      <c r="C172" s="64"/>
      <c r="E172" s="64"/>
      <c r="F172" s="64"/>
      <c r="G172" s="64"/>
      <c r="AH172" s="162"/>
      <c r="AI172" s="162"/>
      <c r="AJ172" s="162"/>
      <c r="AK172" s="162"/>
      <c r="BS172" s="131"/>
      <c r="BT172" s="131"/>
      <c r="BU172" s="131"/>
      <c r="BV172" s="131"/>
      <c r="BW172" s="131"/>
      <c r="BX172" s="131"/>
      <c r="BY172" s="131"/>
      <c r="BZ172" s="131"/>
      <c r="CA172" s="131"/>
      <c r="CB172" s="131"/>
      <c r="CC172" s="131"/>
      <c r="CD172" s="131"/>
      <c r="CE172" s="131"/>
    </row>
    <row r="173" ht="18.75" customHeight="1">
      <c r="C173" s="64"/>
      <c r="E173" s="64"/>
      <c r="F173" s="64"/>
      <c r="G173" s="64"/>
      <c r="AH173" s="162"/>
      <c r="AI173" s="162"/>
      <c r="AJ173" s="162"/>
      <c r="AK173" s="162"/>
      <c r="BS173" s="131"/>
      <c r="BT173" s="131"/>
      <c r="BU173" s="131"/>
      <c r="BV173" s="131"/>
      <c r="BW173" s="131"/>
      <c r="BX173" s="131"/>
      <c r="BY173" s="131"/>
      <c r="BZ173" s="131"/>
      <c r="CA173" s="131"/>
      <c r="CB173" s="131"/>
      <c r="CC173" s="131"/>
      <c r="CD173" s="131"/>
      <c r="CE173" s="131"/>
    </row>
    <row r="174" ht="18.75" customHeight="1">
      <c r="C174" s="64"/>
      <c r="E174" s="64"/>
      <c r="F174" s="64"/>
      <c r="G174" s="64"/>
      <c r="AH174" s="162"/>
      <c r="AI174" s="162"/>
      <c r="AJ174" s="162"/>
      <c r="AK174" s="162"/>
      <c r="BS174" s="131"/>
      <c r="BT174" s="131"/>
      <c r="BU174" s="131"/>
      <c r="BV174" s="131"/>
      <c r="BW174" s="131"/>
      <c r="BX174" s="131"/>
      <c r="BY174" s="131"/>
      <c r="BZ174" s="131"/>
      <c r="CA174" s="131"/>
      <c r="CB174" s="131"/>
      <c r="CC174" s="131"/>
      <c r="CD174" s="131"/>
      <c r="CE174" s="131"/>
    </row>
    <row r="175" ht="18.75" customHeight="1">
      <c r="C175" s="64"/>
      <c r="E175" s="64"/>
      <c r="F175" s="64"/>
      <c r="G175" s="64"/>
      <c r="AH175" s="162"/>
      <c r="AI175" s="162"/>
      <c r="AJ175" s="162"/>
      <c r="AK175" s="162"/>
      <c r="BS175" s="131"/>
      <c r="BT175" s="131"/>
      <c r="BU175" s="131"/>
      <c r="BV175" s="131"/>
      <c r="BW175" s="131"/>
      <c r="BX175" s="131"/>
      <c r="BY175" s="131"/>
      <c r="BZ175" s="131"/>
      <c r="CA175" s="131"/>
      <c r="CB175" s="131"/>
      <c r="CC175" s="131"/>
      <c r="CD175" s="131"/>
      <c r="CE175" s="131"/>
    </row>
    <row r="176" ht="18.75" customHeight="1">
      <c r="C176" s="64"/>
      <c r="E176" s="64"/>
      <c r="F176" s="64"/>
      <c r="G176" s="64"/>
      <c r="AH176" s="162"/>
      <c r="AI176" s="162"/>
      <c r="AJ176" s="162"/>
      <c r="AK176" s="162"/>
      <c r="BS176" s="131"/>
      <c r="BT176" s="131"/>
      <c r="BU176" s="131"/>
      <c r="BV176" s="131"/>
      <c r="BW176" s="131"/>
      <c r="BX176" s="131"/>
      <c r="BY176" s="131"/>
      <c r="BZ176" s="131"/>
      <c r="CA176" s="131"/>
      <c r="CB176" s="131"/>
      <c r="CC176" s="131"/>
      <c r="CD176" s="131"/>
      <c r="CE176" s="131"/>
    </row>
    <row r="177" ht="18.75" customHeight="1">
      <c r="C177" s="64"/>
      <c r="E177" s="64"/>
      <c r="F177" s="64"/>
      <c r="G177" s="64"/>
      <c r="AH177" s="162"/>
      <c r="AI177" s="162"/>
      <c r="AJ177" s="162"/>
      <c r="AK177" s="162"/>
      <c r="BS177" s="131"/>
      <c r="BT177" s="131"/>
      <c r="BU177" s="131"/>
      <c r="BV177" s="131"/>
      <c r="BW177" s="131"/>
      <c r="BX177" s="131"/>
      <c r="BY177" s="131"/>
      <c r="BZ177" s="131"/>
      <c r="CA177" s="131"/>
      <c r="CB177" s="131"/>
      <c r="CC177" s="131"/>
      <c r="CD177" s="131"/>
      <c r="CE177" s="131"/>
    </row>
    <row r="178" ht="18.75" customHeight="1">
      <c r="C178" s="64"/>
      <c r="E178" s="64"/>
      <c r="F178" s="64"/>
      <c r="G178" s="64"/>
      <c r="AH178" s="162"/>
      <c r="AI178" s="162"/>
      <c r="AJ178" s="162"/>
      <c r="AK178" s="162"/>
      <c r="BS178" s="131"/>
      <c r="BT178" s="131"/>
      <c r="BU178" s="131"/>
      <c r="BV178" s="131"/>
      <c r="BW178" s="131"/>
      <c r="BX178" s="131"/>
      <c r="BY178" s="131"/>
      <c r="BZ178" s="131"/>
      <c r="CA178" s="131"/>
      <c r="CB178" s="131"/>
      <c r="CC178" s="131"/>
      <c r="CD178" s="131"/>
      <c r="CE178" s="131"/>
    </row>
    <row r="179" ht="18.75" customHeight="1">
      <c r="C179" s="64"/>
      <c r="E179" s="64"/>
      <c r="F179" s="64"/>
      <c r="G179" s="64"/>
      <c r="AH179" s="162"/>
      <c r="AI179" s="162"/>
      <c r="AJ179" s="162"/>
      <c r="AK179" s="162"/>
      <c r="BS179" s="131"/>
      <c r="BT179" s="131"/>
      <c r="BU179" s="131"/>
      <c r="BV179" s="131"/>
      <c r="BW179" s="131"/>
      <c r="BX179" s="131"/>
      <c r="BY179" s="131"/>
      <c r="BZ179" s="131"/>
      <c r="CA179" s="131"/>
      <c r="CB179" s="131"/>
      <c r="CC179" s="131"/>
      <c r="CD179" s="131"/>
      <c r="CE179" s="131"/>
    </row>
    <row r="180" ht="18.75" customHeight="1">
      <c r="C180" s="64"/>
      <c r="E180" s="64"/>
      <c r="F180" s="64"/>
      <c r="G180" s="64"/>
      <c r="AH180" s="162"/>
      <c r="AI180" s="162"/>
      <c r="AJ180" s="162"/>
      <c r="AK180" s="162"/>
      <c r="BS180" s="131"/>
      <c r="BT180" s="131"/>
      <c r="BU180" s="131"/>
      <c r="BV180" s="131"/>
      <c r="BW180" s="131"/>
      <c r="BX180" s="131"/>
      <c r="BY180" s="131"/>
      <c r="BZ180" s="131"/>
      <c r="CA180" s="131"/>
      <c r="CB180" s="131"/>
      <c r="CC180" s="131"/>
      <c r="CD180" s="131"/>
      <c r="CE180" s="131"/>
    </row>
    <row r="181" ht="18.75" customHeight="1">
      <c r="C181" s="64"/>
      <c r="E181" s="64"/>
      <c r="F181" s="64"/>
      <c r="G181" s="64"/>
      <c r="AH181" s="162"/>
      <c r="AI181" s="162"/>
      <c r="AJ181" s="162"/>
      <c r="AK181" s="162"/>
      <c r="BS181" s="131"/>
      <c r="BT181" s="131"/>
      <c r="BU181" s="131"/>
      <c r="BV181" s="131"/>
      <c r="BW181" s="131"/>
      <c r="BX181" s="131"/>
      <c r="BY181" s="131"/>
      <c r="BZ181" s="131"/>
      <c r="CA181" s="131"/>
      <c r="CB181" s="131"/>
      <c r="CC181" s="131"/>
      <c r="CD181" s="131"/>
      <c r="CE181" s="131"/>
    </row>
    <row r="182" ht="18.75" customHeight="1">
      <c r="C182" s="64"/>
      <c r="E182" s="64"/>
      <c r="F182" s="64"/>
      <c r="G182" s="64"/>
      <c r="AH182" s="162"/>
      <c r="AI182" s="162"/>
      <c r="AJ182" s="162"/>
      <c r="AK182" s="162"/>
      <c r="BS182" s="131"/>
      <c r="BT182" s="131"/>
      <c r="BU182" s="131"/>
      <c r="BV182" s="131"/>
      <c r="BW182" s="131"/>
      <c r="BX182" s="131"/>
      <c r="BY182" s="131"/>
      <c r="BZ182" s="131"/>
      <c r="CA182" s="131"/>
      <c r="CB182" s="131"/>
      <c r="CC182" s="131"/>
      <c r="CD182" s="131"/>
      <c r="CE182" s="131"/>
    </row>
    <row r="183" ht="18.75" customHeight="1">
      <c r="C183" s="64"/>
      <c r="E183" s="64"/>
      <c r="F183" s="64"/>
      <c r="G183" s="64"/>
      <c r="AH183" s="162"/>
      <c r="AI183" s="162"/>
      <c r="AJ183" s="162"/>
      <c r="AK183" s="162"/>
      <c r="BS183" s="131"/>
      <c r="BT183" s="131"/>
      <c r="BU183" s="131"/>
      <c r="BV183" s="131"/>
      <c r="BW183" s="131"/>
      <c r="BX183" s="131"/>
      <c r="BY183" s="131"/>
      <c r="BZ183" s="131"/>
      <c r="CA183" s="131"/>
      <c r="CB183" s="131"/>
      <c r="CC183" s="131"/>
      <c r="CD183" s="131"/>
      <c r="CE183" s="131"/>
    </row>
    <row r="184" ht="18.75" customHeight="1">
      <c r="C184" s="64"/>
      <c r="E184" s="64"/>
      <c r="F184" s="64"/>
      <c r="G184" s="64"/>
      <c r="AH184" s="162"/>
      <c r="AI184" s="162"/>
      <c r="AJ184" s="162"/>
      <c r="AK184" s="162"/>
      <c r="BS184" s="131"/>
      <c r="BT184" s="131"/>
      <c r="BU184" s="131"/>
      <c r="BV184" s="131"/>
      <c r="BW184" s="131"/>
      <c r="BX184" s="131"/>
      <c r="BY184" s="131"/>
      <c r="BZ184" s="131"/>
      <c r="CA184" s="131"/>
      <c r="CB184" s="131"/>
      <c r="CC184" s="131"/>
      <c r="CD184" s="131"/>
      <c r="CE184" s="131"/>
    </row>
    <row r="185" ht="18.75" customHeight="1">
      <c r="C185" s="64"/>
      <c r="E185" s="64"/>
      <c r="F185" s="64"/>
      <c r="G185" s="64"/>
      <c r="AH185" s="162"/>
      <c r="AI185" s="162"/>
      <c r="AJ185" s="162"/>
      <c r="AK185" s="162"/>
      <c r="BS185" s="131"/>
      <c r="BT185" s="131"/>
      <c r="BU185" s="131"/>
      <c r="BV185" s="131"/>
      <c r="BW185" s="131"/>
      <c r="BX185" s="131"/>
      <c r="BY185" s="131"/>
      <c r="BZ185" s="131"/>
      <c r="CA185" s="131"/>
      <c r="CB185" s="131"/>
      <c r="CC185" s="131"/>
      <c r="CD185" s="131"/>
      <c r="CE185" s="131"/>
    </row>
    <row r="186" ht="18.75" customHeight="1">
      <c r="C186" s="64"/>
      <c r="E186" s="64"/>
      <c r="F186" s="64"/>
      <c r="G186" s="64"/>
      <c r="AH186" s="162"/>
      <c r="AI186" s="162"/>
      <c r="AJ186" s="162"/>
      <c r="AK186" s="162"/>
      <c r="BS186" s="131"/>
      <c r="BT186" s="131"/>
      <c r="BU186" s="131"/>
      <c r="BV186" s="131"/>
      <c r="BW186" s="131"/>
      <c r="BX186" s="131"/>
      <c r="BY186" s="131"/>
      <c r="BZ186" s="131"/>
      <c r="CA186" s="131"/>
      <c r="CB186" s="131"/>
      <c r="CC186" s="131"/>
      <c r="CD186" s="131"/>
      <c r="CE186" s="131"/>
    </row>
    <row r="187" ht="18.75" customHeight="1">
      <c r="C187" s="64"/>
      <c r="E187" s="64"/>
      <c r="F187" s="64"/>
      <c r="G187" s="64"/>
      <c r="AH187" s="162"/>
      <c r="AI187" s="162"/>
      <c r="AJ187" s="162"/>
      <c r="AK187" s="162"/>
      <c r="BS187" s="131"/>
      <c r="BT187" s="131"/>
      <c r="BU187" s="131"/>
      <c r="BV187" s="131"/>
      <c r="BW187" s="131"/>
      <c r="BX187" s="131"/>
      <c r="BY187" s="131"/>
      <c r="BZ187" s="131"/>
      <c r="CA187" s="131"/>
      <c r="CB187" s="131"/>
      <c r="CC187" s="131"/>
      <c r="CD187" s="131"/>
      <c r="CE187" s="131"/>
    </row>
    <row r="188" ht="18.75" customHeight="1">
      <c r="C188" s="64"/>
      <c r="E188" s="64"/>
      <c r="F188" s="64"/>
      <c r="G188" s="64"/>
      <c r="AH188" s="162"/>
      <c r="AI188" s="162"/>
      <c r="AJ188" s="162"/>
      <c r="AK188" s="162"/>
      <c r="BS188" s="131"/>
      <c r="BT188" s="131"/>
      <c r="BU188" s="131"/>
      <c r="BV188" s="131"/>
      <c r="BW188" s="131"/>
      <c r="BX188" s="131"/>
      <c r="BY188" s="131"/>
      <c r="BZ188" s="131"/>
      <c r="CA188" s="131"/>
      <c r="CB188" s="131"/>
      <c r="CC188" s="131"/>
      <c r="CD188" s="131"/>
      <c r="CE188" s="131"/>
    </row>
    <row r="189" ht="18.75" customHeight="1">
      <c r="C189" s="64"/>
      <c r="E189" s="64"/>
      <c r="F189" s="64"/>
      <c r="G189" s="64"/>
      <c r="AH189" s="162"/>
      <c r="AI189" s="162"/>
      <c r="AJ189" s="162"/>
      <c r="AK189" s="162"/>
      <c r="BS189" s="131"/>
      <c r="BT189" s="131"/>
      <c r="BU189" s="131"/>
      <c r="BV189" s="131"/>
      <c r="BW189" s="131"/>
      <c r="BX189" s="131"/>
      <c r="BY189" s="131"/>
      <c r="BZ189" s="131"/>
      <c r="CA189" s="131"/>
      <c r="CB189" s="131"/>
      <c r="CC189" s="131"/>
      <c r="CD189" s="131"/>
      <c r="CE189" s="131"/>
    </row>
    <row r="190" ht="18.75" customHeight="1">
      <c r="C190" s="64"/>
      <c r="E190" s="64"/>
      <c r="F190" s="64"/>
      <c r="G190" s="64"/>
      <c r="AH190" s="162"/>
      <c r="AI190" s="162"/>
      <c r="AJ190" s="162"/>
      <c r="AK190" s="162"/>
      <c r="BS190" s="131"/>
      <c r="BT190" s="131"/>
      <c r="BU190" s="131"/>
      <c r="BV190" s="131"/>
      <c r="BW190" s="131"/>
      <c r="BX190" s="131"/>
      <c r="BY190" s="131"/>
      <c r="BZ190" s="131"/>
      <c r="CA190" s="131"/>
      <c r="CB190" s="131"/>
      <c r="CC190" s="131"/>
      <c r="CD190" s="131"/>
      <c r="CE190" s="131"/>
    </row>
    <row r="191" ht="18.75" customHeight="1">
      <c r="C191" s="64"/>
      <c r="E191" s="64"/>
      <c r="F191" s="64"/>
      <c r="G191" s="64"/>
      <c r="AH191" s="162"/>
      <c r="AI191" s="162"/>
      <c r="AJ191" s="162"/>
      <c r="AK191" s="162"/>
      <c r="BS191" s="131"/>
      <c r="BT191" s="131"/>
      <c r="BU191" s="131"/>
      <c r="BV191" s="131"/>
      <c r="BW191" s="131"/>
      <c r="BX191" s="131"/>
      <c r="BY191" s="131"/>
      <c r="BZ191" s="131"/>
      <c r="CA191" s="131"/>
      <c r="CB191" s="131"/>
      <c r="CC191" s="131"/>
      <c r="CD191" s="131"/>
      <c r="CE191" s="131"/>
    </row>
    <row r="192" ht="18.75" customHeight="1">
      <c r="C192" s="64"/>
      <c r="E192" s="64"/>
      <c r="F192" s="64"/>
      <c r="G192" s="64"/>
      <c r="AH192" s="162"/>
      <c r="AI192" s="162"/>
      <c r="AJ192" s="162"/>
      <c r="AK192" s="162"/>
      <c r="BS192" s="131"/>
      <c r="BT192" s="131"/>
      <c r="BU192" s="131"/>
      <c r="BV192" s="131"/>
      <c r="BW192" s="131"/>
      <c r="BX192" s="131"/>
      <c r="BY192" s="131"/>
      <c r="BZ192" s="131"/>
      <c r="CA192" s="131"/>
      <c r="CB192" s="131"/>
      <c r="CC192" s="131"/>
      <c r="CD192" s="131"/>
      <c r="CE192" s="131"/>
    </row>
    <row r="193" ht="18.75" customHeight="1">
      <c r="C193" s="64"/>
      <c r="E193" s="64"/>
      <c r="F193" s="64"/>
      <c r="G193" s="64"/>
      <c r="AH193" s="162"/>
      <c r="AI193" s="162"/>
      <c r="AJ193" s="162"/>
      <c r="AK193" s="162"/>
      <c r="BS193" s="131"/>
      <c r="BT193" s="131"/>
      <c r="BU193" s="131"/>
      <c r="BV193" s="131"/>
      <c r="BW193" s="131"/>
      <c r="BX193" s="131"/>
      <c r="BY193" s="131"/>
      <c r="BZ193" s="131"/>
      <c r="CA193" s="131"/>
      <c r="CB193" s="131"/>
      <c r="CC193" s="131"/>
      <c r="CD193" s="131"/>
      <c r="CE193" s="131"/>
    </row>
    <row r="194" ht="18.75" customHeight="1">
      <c r="C194" s="64"/>
      <c r="E194" s="64"/>
      <c r="F194" s="64"/>
      <c r="G194" s="64"/>
      <c r="AH194" s="162"/>
      <c r="AI194" s="162"/>
      <c r="AJ194" s="162"/>
      <c r="AK194" s="162"/>
      <c r="BS194" s="131"/>
      <c r="BT194" s="131"/>
      <c r="BU194" s="131"/>
      <c r="BV194" s="131"/>
      <c r="BW194" s="131"/>
      <c r="BX194" s="131"/>
      <c r="BY194" s="131"/>
      <c r="BZ194" s="131"/>
      <c r="CA194" s="131"/>
      <c r="CB194" s="131"/>
      <c r="CC194" s="131"/>
      <c r="CD194" s="131"/>
      <c r="CE194" s="131"/>
    </row>
    <row r="195" ht="18.75" customHeight="1">
      <c r="C195" s="64"/>
      <c r="E195" s="64"/>
      <c r="F195" s="64"/>
      <c r="G195" s="64"/>
      <c r="AH195" s="162"/>
      <c r="AI195" s="162"/>
      <c r="AJ195" s="162"/>
      <c r="AK195" s="162"/>
      <c r="BS195" s="131"/>
      <c r="BT195" s="131"/>
      <c r="BU195" s="131"/>
      <c r="BV195" s="131"/>
      <c r="BW195" s="131"/>
      <c r="BX195" s="131"/>
      <c r="BY195" s="131"/>
      <c r="BZ195" s="131"/>
      <c r="CA195" s="131"/>
      <c r="CB195" s="131"/>
      <c r="CC195" s="131"/>
      <c r="CD195" s="131"/>
      <c r="CE195" s="131"/>
    </row>
    <row r="196" ht="18.75" customHeight="1">
      <c r="C196" s="64"/>
      <c r="E196" s="64"/>
      <c r="F196" s="64"/>
      <c r="G196" s="64"/>
      <c r="AH196" s="162"/>
      <c r="AI196" s="162"/>
      <c r="AJ196" s="162"/>
      <c r="AK196" s="162"/>
      <c r="BS196" s="131"/>
      <c r="BT196" s="131"/>
      <c r="BU196" s="131"/>
      <c r="BV196" s="131"/>
      <c r="BW196" s="131"/>
      <c r="BX196" s="131"/>
      <c r="BY196" s="131"/>
      <c r="BZ196" s="131"/>
      <c r="CA196" s="131"/>
      <c r="CB196" s="131"/>
      <c r="CC196" s="131"/>
      <c r="CD196" s="131"/>
      <c r="CE196" s="131"/>
    </row>
    <row r="197" ht="18.75" customHeight="1">
      <c r="C197" s="64"/>
      <c r="E197" s="64"/>
      <c r="F197" s="64"/>
      <c r="G197" s="64"/>
      <c r="AH197" s="162"/>
      <c r="AI197" s="162"/>
      <c r="AJ197" s="162"/>
      <c r="AK197" s="162"/>
      <c r="BS197" s="131"/>
      <c r="BT197" s="131"/>
      <c r="BU197" s="131"/>
      <c r="BV197" s="131"/>
      <c r="BW197" s="131"/>
      <c r="BX197" s="131"/>
      <c r="BY197" s="131"/>
      <c r="BZ197" s="131"/>
      <c r="CA197" s="131"/>
      <c r="CB197" s="131"/>
      <c r="CC197" s="131"/>
      <c r="CD197" s="131"/>
      <c r="CE197" s="131"/>
    </row>
    <row r="198" ht="18.75" customHeight="1">
      <c r="C198" s="64"/>
      <c r="E198" s="64"/>
      <c r="F198" s="64"/>
      <c r="G198" s="64"/>
      <c r="AH198" s="162"/>
      <c r="AI198" s="162"/>
      <c r="AJ198" s="162"/>
      <c r="AK198" s="162"/>
      <c r="BS198" s="131"/>
      <c r="BT198" s="131"/>
      <c r="BU198" s="131"/>
      <c r="BV198" s="131"/>
      <c r="BW198" s="131"/>
      <c r="BX198" s="131"/>
      <c r="BY198" s="131"/>
      <c r="BZ198" s="131"/>
      <c r="CA198" s="131"/>
      <c r="CB198" s="131"/>
      <c r="CC198" s="131"/>
      <c r="CD198" s="131"/>
      <c r="CE198" s="131"/>
    </row>
    <row r="199" ht="18.75" customHeight="1">
      <c r="C199" s="64"/>
      <c r="E199" s="64"/>
      <c r="F199" s="64"/>
      <c r="G199" s="64"/>
      <c r="AH199" s="162"/>
      <c r="AI199" s="162"/>
      <c r="AJ199" s="162"/>
      <c r="AK199" s="162"/>
      <c r="BS199" s="131"/>
      <c r="BT199" s="131"/>
      <c r="BU199" s="131"/>
      <c r="BV199" s="131"/>
      <c r="BW199" s="131"/>
      <c r="BX199" s="131"/>
      <c r="BY199" s="131"/>
      <c r="BZ199" s="131"/>
      <c r="CA199" s="131"/>
      <c r="CB199" s="131"/>
      <c r="CC199" s="131"/>
      <c r="CD199" s="131"/>
      <c r="CE199" s="131"/>
    </row>
    <row r="200" ht="18.75" customHeight="1">
      <c r="C200" s="64"/>
      <c r="E200" s="64"/>
      <c r="F200" s="64"/>
      <c r="G200" s="64"/>
      <c r="AH200" s="162"/>
      <c r="AI200" s="162"/>
      <c r="AJ200" s="162"/>
      <c r="AK200" s="162"/>
      <c r="BS200" s="131"/>
      <c r="BT200" s="131"/>
      <c r="BU200" s="131"/>
      <c r="BV200" s="131"/>
      <c r="BW200" s="131"/>
      <c r="BX200" s="131"/>
      <c r="BY200" s="131"/>
      <c r="BZ200" s="131"/>
      <c r="CA200" s="131"/>
      <c r="CB200" s="131"/>
      <c r="CC200" s="131"/>
      <c r="CD200" s="131"/>
      <c r="CE200" s="131"/>
    </row>
    <row r="201" ht="18.75" customHeight="1">
      <c r="C201" s="64"/>
      <c r="E201" s="64"/>
      <c r="F201" s="64"/>
      <c r="G201" s="64"/>
      <c r="AH201" s="162"/>
      <c r="AI201" s="162"/>
      <c r="AJ201" s="162"/>
      <c r="AK201" s="162"/>
      <c r="BS201" s="131"/>
      <c r="BT201" s="131"/>
      <c r="BU201" s="131"/>
      <c r="BV201" s="131"/>
      <c r="BW201" s="131"/>
      <c r="BX201" s="131"/>
      <c r="BY201" s="131"/>
      <c r="BZ201" s="131"/>
      <c r="CA201" s="131"/>
      <c r="CB201" s="131"/>
      <c r="CC201" s="131"/>
      <c r="CD201" s="131"/>
      <c r="CE201" s="131"/>
    </row>
    <row r="202" ht="18.75" customHeight="1">
      <c r="C202" s="64"/>
      <c r="E202" s="64"/>
      <c r="F202" s="64"/>
      <c r="G202" s="64"/>
      <c r="AH202" s="162"/>
      <c r="AI202" s="162"/>
      <c r="AJ202" s="162"/>
      <c r="AK202" s="162"/>
      <c r="BS202" s="131"/>
      <c r="BT202" s="131"/>
      <c r="BU202" s="131"/>
      <c r="BV202" s="131"/>
      <c r="BW202" s="131"/>
      <c r="BX202" s="131"/>
      <c r="BY202" s="131"/>
      <c r="BZ202" s="131"/>
      <c r="CA202" s="131"/>
      <c r="CB202" s="131"/>
      <c r="CC202" s="131"/>
      <c r="CD202" s="131"/>
      <c r="CE202" s="131"/>
    </row>
    <row r="203" ht="18.75" customHeight="1">
      <c r="C203" s="64"/>
      <c r="E203" s="64"/>
      <c r="F203" s="64"/>
      <c r="G203" s="64"/>
      <c r="AH203" s="162"/>
      <c r="AI203" s="162"/>
      <c r="AJ203" s="162"/>
      <c r="AK203" s="162"/>
      <c r="BS203" s="131"/>
      <c r="BT203" s="131"/>
      <c r="BU203" s="131"/>
      <c r="BV203" s="131"/>
      <c r="BW203" s="131"/>
      <c r="BX203" s="131"/>
      <c r="BY203" s="131"/>
      <c r="BZ203" s="131"/>
      <c r="CA203" s="131"/>
      <c r="CB203" s="131"/>
      <c r="CC203" s="131"/>
      <c r="CD203" s="131"/>
      <c r="CE203" s="131"/>
    </row>
    <row r="204" ht="18.75" customHeight="1">
      <c r="C204" s="64"/>
      <c r="E204" s="64"/>
      <c r="F204" s="64"/>
      <c r="G204" s="64"/>
      <c r="AH204" s="162"/>
      <c r="AI204" s="162"/>
      <c r="AJ204" s="162"/>
      <c r="AK204" s="162"/>
      <c r="BS204" s="131"/>
      <c r="BT204" s="131"/>
      <c r="BU204" s="131"/>
      <c r="BV204" s="131"/>
      <c r="BW204" s="131"/>
      <c r="BX204" s="131"/>
      <c r="BY204" s="131"/>
      <c r="BZ204" s="131"/>
      <c r="CA204" s="131"/>
      <c r="CB204" s="131"/>
      <c r="CC204" s="131"/>
      <c r="CD204" s="131"/>
      <c r="CE204" s="131"/>
    </row>
    <row r="205" ht="18.75" customHeight="1">
      <c r="C205" s="64"/>
      <c r="E205" s="64"/>
      <c r="F205" s="64"/>
      <c r="G205" s="64"/>
      <c r="AH205" s="162"/>
      <c r="AI205" s="162"/>
      <c r="AJ205" s="162"/>
      <c r="AK205" s="162"/>
      <c r="BS205" s="131"/>
      <c r="BT205" s="131"/>
      <c r="BU205" s="131"/>
      <c r="BV205" s="131"/>
      <c r="BW205" s="131"/>
      <c r="BX205" s="131"/>
      <c r="BY205" s="131"/>
      <c r="BZ205" s="131"/>
      <c r="CA205" s="131"/>
      <c r="CB205" s="131"/>
      <c r="CC205" s="131"/>
      <c r="CD205" s="131"/>
      <c r="CE205" s="131"/>
    </row>
    <row r="206" ht="18.75" customHeight="1">
      <c r="C206" s="64"/>
      <c r="E206" s="64"/>
      <c r="F206" s="64"/>
      <c r="G206" s="64"/>
      <c r="AH206" s="162"/>
      <c r="AI206" s="162"/>
      <c r="AJ206" s="162"/>
      <c r="AK206" s="162"/>
      <c r="BS206" s="131"/>
      <c r="BT206" s="131"/>
      <c r="BU206" s="131"/>
      <c r="BV206" s="131"/>
      <c r="BW206" s="131"/>
      <c r="BX206" s="131"/>
      <c r="BY206" s="131"/>
      <c r="BZ206" s="131"/>
      <c r="CA206" s="131"/>
      <c r="CB206" s="131"/>
      <c r="CC206" s="131"/>
      <c r="CD206" s="131"/>
      <c r="CE206" s="131"/>
    </row>
    <row r="207" ht="18.75" customHeight="1">
      <c r="C207" s="64"/>
      <c r="E207" s="64"/>
      <c r="F207" s="64"/>
      <c r="G207" s="64"/>
      <c r="AH207" s="162"/>
      <c r="AI207" s="162"/>
      <c r="AJ207" s="162"/>
      <c r="AK207" s="162"/>
      <c r="BS207" s="131"/>
      <c r="BT207" s="131"/>
      <c r="BU207" s="131"/>
      <c r="BV207" s="131"/>
      <c r="BW207" s="131"/>
      <c r="BX207" s="131"/>
      <c r="BY207" s="131"/>
      <c r="BZ207" s="131"/>
      <c r="CA207" s="131"/>
      <c r="CB207" s="131"/>
      <c r="CC207" s="131"/>
      <c r="CD207" s="131"/>
      <c r="CE207" s="131"/>
    </row>
    <row r="208" ht="18.75" customHeight="1">
      <c r="C208" s="64"/>
      <c r="E208" s="64"/>
      <c r="F208" s="64"/>
      <c r="G208" s="64"/>
      <c r="AH208" s="162"/>
      <c r="AI208" s="162"/>
      <c r="AJ208" s="162"/>
      <c r="AK208" s="162"/>
      <c r="BS208" s="131"/>
      <c r="BT208" s="131"/>
      <c r="BU208" s="131"/>
      <c r="BV208" s="131"/>
      <c r="BW208" s="131"/>
      <c r="BX208" s="131"/>
      <c r="BY208" s="131"/>
      <c r="BZ208" s="131"/>
      <c r="CA208" s="131"/>
      <c r="CB208" s="131"/>
      <c r="CC208" s="131"/>
      <c r="CD208" s="131"/>
      <c r="CE208" s="131"/>
    </row>
    <row r="209" ht="18.75" customHeight="1">
      <c r="C209" s="64"/>
      <c r="E209" s="64"/>
      <c r="F209" s="64"/>
      <c r="G209" s="64"/>
      <c r="AH209" s="162"/>
      <c r="AI209" s="162"/>
      <c r="AJ209" s="162"/>
      <c r="AK209" s="162"/>
      <c r="BS209" s="131"/>
      <c r="BT209" s="131"/>
      <c r="BU209" s="131"/>
      <c r="BV209" s="131"/>
      <c r="BW209" s="131"/>
      <c r="BX209" s="131"/>
      <c r="BY209" s="131"/>
      <c r="BZ209" s="131"/>
      <c r="CA209" s="131"/>
      <c r="CB209" s="131"/>
      <c r="CC209" s="131"/>
      <c r="CD209" s="131"/>
      <c r="CE209" s="131"/>
    </row>
    <row r="210" ht="18.75" customHeight="1">
      <c r="C210" s="64"/>
      <c r="E210" s="64"/>
      <c r="F210" s="64"/>
      <c r="G210" s="64"/>
      <c r="AH210" s="162"/>
      <c r="AI210" s="162"/>
      <c r="AJ210" s="162"/>
      <c r="AK210" s="162"/>
      <c r="BS210" s="131"/>
      <c r="BT210" s="131"/>
      <c r="BU210" s="131"/>
      <c r="BV210" s="131"/>
      <c r="BW210" s="131"/>
      <c r="BX210" s="131"/>
      <c r="BY210" s="131"/>
      <c r="BZ210" s="131"/>
      <c r="CA210" s="131"/>
      <c r="CB210" s="131"/>
      <c r="CC210" s="131"/>
      <c r="CD210" s="131"/>
      <c r="CE210" s="131"/>
    </row>
    <row r="211" ht="18.75" customHeight="1">
      <c r="C211" s="64"/>
      <c r="E211" s="64"/>
      <c r="F211" s="64"/>
      <c r="G211" s="64"/>
      <c r="AH211" s="162"/>
      <c r="AI211" s="162"/>
      <c r="AJ211" s="162"/>
      <c r="AK211" s="162"/>
      <c r="BS211" s="131"/>
      <c r="BT211" s="131"/>
      <c r="BU211" s="131"/>
      <c r="BV211" s="131"/>
      <c r="BW211" s="131"/>
      <c r="BX211" s="131"/>
      <c r="BY211" s="131"/>
      <c r="BZ211" s="131"/>
      <c r="CA211" s="131"/>
      <c r="CB211" s="131"/>
      <c r="CC211" s="131"/>
      <c r="CD211" s="131"/>
      <c r="CE211" s="131"/>
    </row>
    <row r="212" ht="18.75" customHeight="1">
      <c r="C212" s="64"/>
      <c r="E212" s="64"/>
      <c r="F212" s="64"/>
      <c r="G212" s="64"/>
      <c r="AH212" s="162"/>
      <c r="AI212" s="162"/>
      <c r="AJ212" s="162"/>
      <c r="AK212" s="162"/>
      <c r="BS212" s="131"/>
      <c r="BT212" s="131"/>
      <c r="BU212" s="131"/>
      <c r="BV212" s="131"/>
      <c r="BW212" s="131"/>
      <c r="BX212" s="131"/>
      <c r="BY212" s="131"/>
      <c r="BZ212" s="131"/>
      <c r="CA212" s="131"/>
      <c r="CB212" s="131"/>
      <c r="CC212" s="131"/>
      <c r="CD212" s="131"/>
      <c r="CE212" s="131"/>
    </row>
    <row r="213" ht="18.75" customHeight="1">
      <c r="C213" s="64"/>
      <c r="E213" s="64"/>
      <c r="F213" s="64"/>
      <c r="G213" s="64"/>
      <c r="AH213" s="162"/>
      <c r="AI213" s="162"/>
      <c r="AJ213" s="162"/>
      <c r="AK213" s="162"/>
      <c r="BS213" s="131"/>
      <c r="BT213" s="131"/>
      <c r="BU213" s="131"/>
      <c r="BV213" s="131"/>
      <c r="BW213" s="131"/>
      <c r="BX213" s="131"/>
      <c r="BY213" s="131"/>
      <c r="BZ213" s="131"/>
      <c r="CA213" s="131"/>
      <c r="CB213" s="131"/>
      <c r="CC213" s="131"/>
      <c r="CD213" s="131"/>
      <c r="CE213" s="131"/>
    </row>
    <row r="214" ht="18.75" customHeight="1">
      <c r="C214" s="64"/>
      <c r="E214" s="64"/>
      <c r="F214" s="64"/>
      <c r="G214" s="64"/>
      <c r="AH214" s="162"/>
      <c r="AI214" s="162"/>
      <c r="AJ214" s="162"/>
      <c r="AK214" s="162"/>
      <c r="BS214" s="131"/>
      <c r="BT214" s="131"/>
      <c r="BU214" s="131"/>
      <c r="BV214" s="131"/>
      <c r="BW214" s="131"/>
      <c r="BX214" s="131"/>
      <c r="BY214" s="131"/>
      <c r="BZ214" s="131"/>
      <c r="CA214" s="131"/>
      <c r="CB214" s="131"/>
      <c r="CC214" s="131"/>
      <c r="CD214" s="131"/>
      <c r="CE214" s="131"/>
    </row>
    <row r="215" ht="18.75" customHeight="1">
      <c r="C215" s="64"/>
      <c r="E215" s="64"/>
      <c r="F215" s="64"/>
      <c r="G215" s="64"/>
      <c r="AH215" s="162"/>
      <c r="AI215" s="162"/>
      <c r="AJ215" s="162"/>
      <c r="AK215" s="162"/>
      <c r="BS215" s="131"/>
      <c r="BT215" s="131"/>
      <c r="BU215" s="131"/>
      <c r="BV215" s="131"/>
      <c r="BW215" s="131"/>
      <c r="BX215" s="131"/>
      <c r="BY215" s="131"/>
      <c r="BZ215" s="131"/>
      <c r="CA215" s="131"/>
      <c r="CB215" s="131"/>
      <c r="CC215" s="131"/>
      <c r="CD215" s="131"/>
      <c r="CE215" s="131"/>
    </row>
    <row r="216" ht="18.75" customHeight="1">
      <c r="C216" s="64"/>
      <c r="E216" s="64"/>
      <c r="F216" s="64"/>
      <c r="G216" s="64"/>
      <c r="AH216" s="162"/>
      <c r="AI216" s="162"/>
      <c r="AJ216" s="162"/>
      <c r="AK216" s="162"/>
      <c r="BS216" s="131"/>
      <c r="BT216" s="131"/>
      <c r="BU216" s="131"/>
      <c r="BV216" s="131"/>
      <c r="BW216" s="131"/>
      <c r="BX216" s="131"/>
      <c r="BY216" s="131"/>
      <c r="BZ216" s="131"/>
      <c r="CA216" s="131"/>
      <c r="CB216" s="131"/>
      <c r="CC216" s="131"/>
      <c r="CD216" s="131"/>
      <c r="CE216" s="131"/>
    </row>
    <row r="217" ht="18.75" customHeight="1">
      <c r="C217" s="64"/>
      <c r="E217" s="64"/>
      <c r="F217" s="64"/>
      <c r="G217" s="64"/>
      <c r="AH217" s="162"/>
      <c r="AI217" s="162"/>
      <c r="AJ217" s="162"/>
      <c r="AK217" s="162"/>
      <c r="BS217" s="131"/>
      <c r="BT217" s="131"/>
      <c r="BU217" s="131"/>
      <c r="BV217" s="131"/>
      <c r="BW217" s="131"/>
      <c r="BX217" s="131"/>
      <c r="BY217" s="131"/>
      <c r="BZ217" s="131"/>
      <c r="CA217" s="131"/>
      <c r="CB217" s="131"/>
      <c r="CC217" s="131"/>
      <c r="CD217" s="131"/>
      <c r="CE217" s="131"/>
    </row>
    <row r="218" ht="18.75" customHeight="1">
      <c r="C218" s="64"/>
      <c r="E218" s="64"/>
      <c r="F218" s="64"/>
      <c r="G218" s="64"/>
      <c r="AH218" s="162"/>
      <c r="AI218" s="162"/>
      <c r="AJ218" s="162"/>
      <c r="AK218" s="162"/>
      <c r="BS218" s="131"/>
      <c r="BT218" s="131"/>
      <c r="BU218" s="131"/>
      <c r="BV218" s="131"/>
      <c r="BW218" s="131"/>
      <c r="BX218" s="131"/>
      <c r="BY218" s="131"/>
      <c r="BZ218" s="131"/>
      <c r="CA218" s="131"/>
      <c r="CB218" s="131"/>
      <c r="CC218" s="131"/>
      <c r="CD218" s="131"/>
      <c r="CE218" s="131"/>
    </row>
    <row r="219" ht="18.75" customHeight="1">
      <c r="C219" s="64"/>
      <c r="E219" s="64"/>
      <c r="F219" s="64"/>
      <c r="G219" s="64"/>
      <c r="AH219" s="162"/>
      <c r="AI219" s="162"/>
      <c r="AJ219" s="162"/>
      <c r="AK219" s="162"/>
      <c r="BS219" s="131"/>
      <c r="BT219" s="131"/>
      <c r="BU219" s="131"/>
      <c r="BV219" s="131"/>
      <c r="BW219" s="131"/>
      <c r="BX219" s="131"/>
      <c r="BY219" s="131"/>
      <c r="BZ219" s="131"/>
      <c r="CA219" s="131"/>
      <c r="CB219" s="131"/>
      <c r="CC219" s="131"/>
      <c r="CD219" s="131"/>
      <c r="CE219" s="131"/>
    </row>
    <row r="220" ht="18.75" customHeight="1">
      <c r="C220" s="64"/>
      <c r="E220" s="64"/>
      <c r="F220" s="64"/>
      <c r="G220" s="64"/>
      <c r="AH220" s="162"/>
      <c r="AI220" s="162"/>
      <c r="AJ220" s="162"/>
      <c r="AK220" s="162"/>
      <c r="BS220" s="131"/>
      <c r="BT220" s="131"/>
      <c r="BU220" s="131"/>
      <c r="BV220" s="131"/>
      <c r="BW220" s="131"/>
      <c r="BX220" s="131"/>
      <c r="BY220" s="131"/>
      <c r="BZ220" s="131"/>
      <c r="CA220" s="131"/>
      <c r="CB220" s="131"/>
      <c r="CC220" s="131"/>
      <c r="CD220" s="131"/>
      <c r="CE220" s="131"/>
    </row>
    <row r="221" ht="18.75" customHeight="1">
      <c r="C221" s="64"/>
      <c r="E221" s="64"/>
      <c r="F221" s="64"/>
      <c r="G221" s="64"/>
      <c r="AH221" s="162"/>
      <c r="AI221" s="162"/>
      <c r="AJ221" s="162"/>
      <c r="AK221" s="162"/>
      <c r="BS221" s="131"/>
      <c r="BT221" s="131"/>
      <c r="BU221" s="131"/>
      <c r="BV221" s="131"/>
      <c r="BW221" s="131"/>
      <c r="BX221" s="131"/>
      <c r="BY221" s="131"/>
      <c r="BZ221" s="131"/>
      <c r="CA221" s="131"/>
      <c r="CB221" s="131"/>
      <c r="CC221" s="131"/>
      <c r="CD221" s="131"/>
      <c r="CE221" s="131"/>
    </row>
    <row r="222" ht="18.75" customHeight="1">
      <c r="C222" s="64"/>
      <c r="E222" s="64"/>
      <c r="F222" s="64"/>
      <c r="G222" s="64"/>
      <c r="AH222" s="162"/>
      <c r="AI222" s="162"/>
      <c r="AJ222" s="162"/>
      <c r="AK222" s="162"/>
      <c r="BS222" s="131"/>
      <c r="BT222" s="131"/>
      <c r="BU222" s="131"/>
      <c r="BV222" s="131"/>
      <c r="BW222" s="131"/>
      <c r="BX222" s="131"/>
      <c r="BY222" s="131"/>
      <c r="BZ222" s="131"/>
      <c r="CA222" s="131"/>
      <c r="CB222" s="131"/>
      <c r="CC222" s="131"/>
      <c r="CD222" s="131"/>
      <c r="CE222" s="131"/>
    </row>
    <row r="223" ht="18.75" customHeight="1">
      <c r="C223" s="64"/>
      <c r="E223" s="64"/>
      <c r="F223" s="64"/>
      <c r="G223" s="64"/>
      <c r="AH223" s="162"/>
      <c r="AI223" s="162"/>
      <c r="AJ223" s="162"/>
      <c r="AK223" s="162"/>
      <c r="BS223" s="131"/>
      <c r="BT223" s="131"/>
      <c r="BU223" s="131"/>
      <c r="BV223" s="131"/>
      <c r="BW223" s="131"/>
      <c r="BX223" s="131"/>
      <c r="BY223" s="131"/>
      <c r="BZ223" s="131"/>
      <c r="CA223" s="131"/>
      <c r="CB223" s="131"/>
      <c r="CC223" s="131"/>
      <c r="CD223" s="131"/>
      <c r="CE223" s="131"/>
    </row>
    <row r="224" ht="18.75" customHeight="1">
      <c r="C224" s="64"/>
      <c r="E224" s="64"/>
      <c r="F224" s="64"/>
      <c r="G224" s="64"/>
      <c r="AH224" s="162"/>
      <c r="AI224" s="162"/>
      <c r="AJ224" s="162"/>
      <c r="AK224" s="162"/>
      <c r="BS224" s="131"/>
      <c r="BT224" s="131"/>
      <c r="BU224" s="131"/>
      <c r="BV224" s="131"/>
      <c r="BW224" s="131"/>
      <c r="BX224" s="131"/>
      <c r="BY224" s="131"/>
      <c r="BZ224" s="131"/>
      <c r="CA224" s="131"/>
      <c r="CB224" s="131"/>
      <c r="CC224" s="131"/>
      <c r="CD224" s="131"/>
      <c r="CE224" s="131"/>
    </row>
    <row r="225" ht="18.75" customHeight="1">
      <c r="C225" s="64"/>
      <c r="E225" s="64"/>
      <c r="F225" s="64"/>
      <c r="G225" s="64"/>
      <c r="AH225" s="162"/>
      <c r="AI225" s="162"/>
      <c r="AJ225" s="162"/>
      <c r="AK225" s="162"/>
      <c r="BS225" s="131"/>
      <c r="BT225" s="131"/>
      <c r="BU225" s="131"/>
      <c r="BV225" s="131"/>
      <c r="BW225" s="131"/>
      <c r="BX225" s="131"/>
      <c r="BY225" s="131"/>
      <c r="BZ225" s="131"/>
      <c r="CA225" s="131"/>
      <c r="CB225" s="131"/>
      <c r="CC225" s="131"/>
      <c r="CD225" s="131"/>
      <c r="CE225" s="131"/>
    </row>
    <row r="226" ht="18.75" customHeight="1">
      <c r="C226" s="64"/>
      <c r="E226" s="64"/>
      <c r="F226" s="64"/>
      <c r="G226" s="64"/>
      <c r="AH226" s="162"/>
      <c r="AI226" s="162"/>
      <c r="AJ226" s="162"/>
      <c r="AK226" s="162"/>
      <c r="BS226" s="131"/>
      <c r="BT226" s="131"/>
      <c r="BU226" s="131"/>
      <c r="BV226" s="131"/>
      <c r="BW226" s="131"/>
      <c r="BX226" s="131"/>
      <c r="BY226" s="131"/>
      <c r="BZ226" s="131"/>
      <c r="CA226" s="131"/>
      <c r="CB226" s="131"/>
      <c r="CC226" s="131"/>
      <c r="CD226" s="131"/>
      <c r="CE226" s="131"/>
    </row>
    <row r="227" ht="18.75" customHeight="1">
      <c r="C227" s="64"/>
      <c r="E227" s="64"/>
      <c r="F227" s="64"/>
      <c r="G227" s="64"/>
      <c r="AH227" s="162"/>
      <c r="AI227" s="162"/>
      <c r="AJ227" s="162"/>
      <c r="AK227" s="162"/>
      <c r="BS227" s="131"/>
      <c r="BT227" s="131"/>
      <c r="BU227" s="131"/>
      <c r="BV227" s="131"/>
      <c r="BW227" s="131"/>
      <c r="BX227" s="131"/>
      <c r="BY227" s="131"/>
      <c r="BZ227" s="131"/>
      <c r="CA227" s="131"/>
      <c r="CB227" s="131"/>
      <c r="CC227" s="131"/>
      <c r="CD227" s="131"/>
      <c r="CE227" s="131"/>
    </row>
    <row r="228" ht="18.75" customHeight="1">
      <c r="C228" s="64"/>
      <c r="E228" s="64"/>
      <c r="F228" s="64"/>
      <c r="G228" s="64"/>
      <c r="AH228" s="162"/>
      <c r="AI228" s="162"/>
      <c r="AJ228" s="162"/>
      <c r="AK228" s="162"/>
      <c r="BS228" s="131"/>
      <c r="BT228" s="131"/>
      <c r="BU228" s="131"/>
      <c r="BV228" s="131"/>
      <c r="BW228" s="131"/>
      <c r="BX228" s="131"/>
      <c r="BY228" s="131"/>
      <c r="BZ228" s="131"/>
      <c r="CA228" s="131"/>
      <c r="CB228" s="131"/>
      <c r="CC228" s="131"/>
      <c r="CD228" s="131"/>
      <c r="CE228" s="131"/>
    </row>
    <row r="229" ht="18.75" customHeight="1">
      <c r="C229" s="64"/>
      <c r="E229" s="64"/>
      <c r="F229" s="64"/>
      <c r="G229" s="64"/>
      <c r="AH229" s="162"/>
      <c r="AI229" s="162"/>
      <c r="AJ229" s="162"/>
      <c r="AK229" s="162"/>
      <c r="BS229" s="131"/>
      <c r="BT229" s="131"/>
      <c r="BU229" s="131"/>
      <c r="BV229" s="131"/>
      <c r="BW229" s="131"/>
      <c r="BX229" s="131"/>
      <c r="BY229" s="131"/>
      <c r="BZ229" s="131"/>
      <c r="CA229" s="131"/>
      <c r="CB229" s="131"/>
      <c r="CC229" s="131"/>
      <c r="CD229" s="131"/>
      <c r="CE229" s="131"/>
    </row>
    <row r="230" ht="18.75" customHeight="1">
      <c r="C230" s="64"/>
      <c r="E230" s="64"/>
      <c r="F230" s="64"/>
      <c r="G230" s="64"/>
      <c r="AH230" s="162"/>
      <c r="AI230" s="162"/>
      <c r="AJ230" s="162"/>
      <c r="AK230" s="162"/>
      <c r="BS230" s="131"/>
      <c r="BT230" s="131"/>
      <c r="BU230" s="131"/>
      <c r="BV230" s="131"/>
      <c r="BW230" s="131"/>
      <c r="BX230" s="131"/>
      <c r="BY230" s="131"/>
      <c r="BZ230" s="131"/>
      <c r="CA230" s="131"/>
      <c r="CB230" s="131"/>
      <c r="CC230" s="131"/>
      <c r="CD230" s="131"/>
      <c r="CE230" s="131"/>
    </row>
    <row r="231" ht="18.75" customHeight="1">
      <c r="C231" s="64"/>
      <c r="E231" s="64"/>
      <c r="F231" s="64"/>
      <c r="G231" s="64"/>
      <c r="AH231" s="162"/>
      <c r="AI231" s="162"/>
      <c r="AJ231" s="162"/>
      <c r="AK231" s="162"/>
      <c r="BS231" s="131"/>
      <c r="BT231" s="131"/>
      <c r="BU231" s="131"/>
      <c r="BV231" s="131"/>
      <c r="BW231" s="131"/>
      <c r="BX231" s="131"/>
      <c r="BY231" s="131"/>
      <c r="BZ231" s="131"/>
      <c r="CA231" s="131"/>
      <c r="CB231" s="131"/>
      <c r="CC231" s="131"/>
      <c r="CD231" s="131"/>
      <c r="CE231" s="131"/>
    </row>
    <row r="232" ht="18.75" customHeight="1">
      <c r="C232" s="64"/>
      <c r="E232" s="64"/>
      <c r="F232" s="64"/>
      <c r="G232" s="64"/>
      <c r="AH232" s="162"/>
      <c r="AI232" s="162"/>
      <c r="AJ232" s="162"/>
      <c r="AK232" s="162"/>
      <c r="BS232" s="131"/>
      <c r="BT232" s="131"/>
      <c r="BU232" s="131"/>
      <c r="BV232" s="131"/>
      <c r="BW232" s="131"/>
      <c r="BX232" s="131"/>
      <c r="BY232" s="131"/>
      <c r="BZ232" s="131"/>
      <c r="CA232" s="131"/>
      <c r="CB232" s="131"/>
      <c r="CC232" s="131"/>
      <c r="CD232" s="131"/>
      <c r="CE232" s="131"/>
    </row>
    <row r="233" ht="18.75" customHeight="1">
      <c r="C233" s="64"/>
      <c r="E233" s="64"/>
      <c r="F233" s="64"/>
      <c r="G233" s="64"/>
      <c r="AH233" s="162"/>
      <c r="AI233" s="162"/>
      <c r="AJ233" s="162"/>
      <c r="AK233" s="162"/>
      <c r="BS233" s="131"/>
      <c r="BT233" s="131"/>
      <c r="BU233" s="131"/>
      <c r="BV233" s="131"/>
      <c r="BW233" s="131"/>
      <c r="BX233" s="131"/>
      <c r="BY233" s="131"/>
      <c r="BZ233" s="131"/>
      <c r="CA233" s="131"/>
      <c r="CB233" s="131"/>
      <c r="CC233" s="131"/>
      <c r="CD233" s="131"/>
      <c r="CE233" s="131"/>
    </row>
    <row r="234" ht="18.75" customHeight="1">
      <c r="C234" s="64"/>
      <c r="E234" s="64"/>
      <c r="F234" s="64"/>
      <c r="G234" s="64"/>
      <c r="AH234" s="162"/>
      <c r="AI234" s="162"/>
      <c r="AJ234" s="162"/>
      <c r="AK234" s="162"/>
      <c r="BS234" s="131"/>
      <c r="BT234" s="131"/>
      <c r="BU234" s="131"/>
      <c r="BV234" s="131"/>
      <c r="BW234" s="131"/>
      <c r="BX234" s="131"/>
      <c r="BY234" s="131"/>
      <c r="BZ234" s="131"/>
      <c r="CA234" s="131"/>
      <c r="CB234" s="131"/>
      <c r="CC234" s="131"/>
      <c r="CD234" s="131"/>
      <c r="CE234" s="131"/>
    </row>
    <row r="235" ht="18.75" customHeight="1">
      <c r="C235" s="64"/>
      <c r="E235" s="64"/>
      <c r="F235" s="64"/>
      <c r="G235" s="64"/>
      <c r="AH235" s="162"/>
      <c r="AI235" s="162"/>
      <c r="AJ235" s="162"/>
      <c r="AK235" s="162"/>
      <c r="BS235" s="131"/>
      <c r="BT235" s="131"/>
      <c r="BU235" s="131"/>
      <c r="BV235" s="131"/>
      <c r="BW235" s="131"/>
      <c r="BX235" s="131"/>
      <c r="BY235" s="131"/>
      <c r="BZ235" s="131"/>
      <c r="CA235" s="131"/>
      <c r="CB235" s="131"/>
      <c r="CC235" s="131"/>
      <c r="CD235" s="131"/>
      <c r="CE235" s="131"/>
    </row>
    <row r="236" ht="18.75" customHeight="1">
      <c r="C236" s="64"/>
      <c r="E236" s="64"/>
      <c r="F236" s="64"/>
      <c r="G236" s="64"/>
      <c r="AH236" s="162"/>
      <c r="AI236" s="162"/>
      <c r="AJ236" s="162"/>
      <c r="AK236" s="162"/>
      <c r="BS236" s="131"/>
      <c r="BT236" s="131"/>
      <c r="BU236" s="131"/>
      <c r="BV236" s="131"/>
      <c r="BW236" s="131"/>
      <c r="BX236" s="131"/>
      <c r="BY236" s="131"/>
      <c r="BZ236" s="131"/>
      <c r="CA236" s="131"/>
      <c r="CB236" s="131"/>
      <c r="CC236" s="131"/>
      <c r="CD236" s="131"/>
      <c r="CE236" s="131"/>
    </row>
    <row r="237" ht="18.75" customHeight="1">
      <c r="C237" s="64"/>
      <c r="E237" s="64"/>
      <c r="F237" s="64"/>
      <c r="G237" s="64"/>
      <c r="AH237" s="162"/>
      <c r="AI237" s="162"/>
      <c r="AJ237" s="162"/>
      <c r="AK237" s="162"/>
      <c r="BS237" s="131"/>
      <c r="BT237" s="131"/>
      <c r="BU237" s="131"/>
      <c r="BV237" s="131"/>
      <c r="BW237" s="131"/>
      <c r="BX237" s="131"/>
      <c r="BY237" s="131"/>
      <c r="BZ237" s="131"/>
      <c r="CA237" s="131"/>
      <c r="CB237" s="131"/>
      <c r="CC237" s="131"/>
      <c r="CD237" s="131"/>
      <c r="CE237" s="131"/>
    </row>
    <row r="238" ht="18.75" customHeight="1">
      <c r="C238" s="64"/>
      <c r="E238" s="64"/>
      <c r="F238" s="64"/>
      <c r="G238" s="64"/>
      <c r="AH238" s="162"/>
      <c r="AI238" s="162"/>
      <c r="AJ238" s="162"/>
      <c r="AK238" s="162"/>
      <c r="BS238" s="131"/>
      <c r="BT238" s="131"/>
      <c r="BU238" s="131"/>
      <c r="BV238" s="131"/>
      <c r="BW238" s="131"/>
      <c r="BX238" s="131"/>
      <c r="BY238" s="131"/>
      <c r="BZ238" s="131"/>
      <c r="CA238" s="131"/>
      <c r="CB238" s="131"/>
      <c r="CC238" s="131"/>
      <c r="CD238" s="131"/>
      <c r="CE238" s="131"/>
    </row>
    <row r="239" ht="18.75" customHeight="1">
      <c r="C239" s="64"/>
      <c r="E239" s="64"/>
      <c r="F239" s="64"/>
      <c r="G239" s="64"/>
      <c r="AH239" s="162"/>
      <c r="AI239" s="162"/>
      <c r="AJ239" s="162"/>
      <c r="AK239" s="162"/>
      <c r="BS239" s="131"/>
      <c r="BT239" s="131"/>
      <c r="BU239" s="131"/>
      <c r="BV239" s="131"/>
      <c r="BW239" s="131"/>
      <c r="BX239" s="131"/>
      <c r="BY239" s="131"/>
      <c r="BZ239" s="131"/>
      <c r="CA239" s="131"/>
      <c r="CB239" s="131"/>
      <c r="CC239" s="131"/>
      <c r="CD239" s="131"/>
      <c r="CE239" s="131"/>
    </row>
    <row r="240" ht="18.75" customHeight="1">
      <c r="C240" s="64"/>
      <c r="E240" s="64"/>
      <c r="F240" s="64"/>
      <c r="G240" s="64"/>
      <c r="AH240" s="162"/>
      <c r="AI240" s="162"/>
      <c r="AJ240" s="162"/>
      <c r="AK240" s="162"/>
      <c r="BS240" s="131"/>
      <c r="BT240" s="131"/>
      <c r="BU240" s="131"/>
      <c r="BV240" s="131"/>
      <c r="BW240" s="131"/>
      <c r="BX240" s="131"/>
      <c r="BY240" s="131"/>
      <c r="BZ240" s="131"/>
      <c r="CA240" s="131"/>
      <c r="CB240" s="131"/>
      <c r="CC240" s="131"/>
      <c r="CD240" s="131"/>
      <c r="CE240" s="131"/>
    </row>
    <row r="241" ht="18.75" customHeight="1">
      <c r="C241" s="64"/>
      <c r="E241" s="64"/>
      <c r="F241" s="64"/>
      <c r="G241" s="64"/>
      <c r="AH241" s="162"/>
      <c r="AI241" s="162"/>
      <c r="AJ241" s="162"/>
      <c r="AK241" s="162"/>
      <c r="BS241" s="131"/>
      <c r="BT241" s="131"/>
      <c r="BU241" s="131"/>
      <c r="BV241" s="131"/>
      <c r="BW241" s="131"/>
      <c r="BX241" s="131"/>
      <c r="BY241" s="131"/>
      <c r="BZ241" s="131"/>
      <c r="CA241" s="131"/>
      <c r="CB241" s="131"/>
      <c r="CC241" s="131"/>
      <c r="CD241" s="131"/>
      <c r="CE241" s="131"/>
    </row>
    <row r="242" ht="18.75" customHeight="1">
      <c r="C242" s="64"/>
      <c r="E242" s="64"/>
      <c r="F242" s="64"/>
      <c r="G242" s="64"/>
      <c r="AH242" s="162"/>
      <c r="AI242" s="162"/>
      <c r="AJ242" s="162"/>
      <c r="AK242" s="162"/>
      <c r="BS242" s="131"/>
      <c r="BT242" s="131"/>
      <c r="BU242" s="131"/>
      <c r="BV242" s="131"/>
      <c r="BW242" s="131"/>
      <c r="BX242" s="131"/>
      <c r="BY242" s="131"/>
      <c r="BZ242" s="131"/>
      <c r="CA242" s="131"/>
      <c r="CB242" s="131"/>
      <c r="CC242" s="131"/>
      <c r="CD242" s="131"/>
      <c r="CE242" s="131"/>
    </row>
    <row r="243" ht="18.75" customHeight="1">
      <c r="C243" s="64"/>
      <c r="E243" s="64"/>
      <c r="F243" s="64"/>
      <c r="G243" s="64"/>
      <c r="AH243" s="162"/>
      <c r="AI243" s="162"/>
      <c r="AJ243" s="162"/>
      <c r="AK243" s="162"/>
      <c r="BS243" s="131"/>
      <c r="BT243" s="131"/>
      <c r="BU243" s="131"/>
      <c r="BV243" s="131"/>
      <c r="BW243" s="131"/>
      <c r="BX243" s="131"/>
      <c r="BY243" s="131"/>
      <c r="BZ243" s="131"/>
      <c r="CA243" s="131"/>
      <c r="CB243" s="131"/>
      <c r="CC243" s="131"/>
      <c r="CD243" s="131"/>
      <c r="CE243" s="131"/>
    </row>
    <row r="244" ht="18.75" customHeight="1">
      <c r="C244" s="64"/>
      <c r="E244" s="64"/>
      <c r="F244" s="64"/>
      <c r="G244" s="64"/>
      <c r="AH244" s="162"/>
      <c r="AI244" s="162"/>
      <c r="AJ244" s="162"/>
      <c r="AK244" s="162"/>
      <c r="BS244" s="131"/>
      <c r="BT244" s="131"/>
      <c r="BU244" s="131"/>
      <c r="BV244" s="131"/>
      <c r="BW244" s="131"/>
      <c r="BX244" s="131"/>
      <c r="BY244" s="131"/>
      <c r="BZ244" s="131"/>
      <c r="CA244" s="131"/>
      <c r="CB244" s="131"/>
      <c r="CC244" s="131"/>
      <c r="CD244" s="131"/>
      <c r="CE244" s="131"/>
    </row>
    <row r="245" ht="18.75" customHeight="1">
      <c r="C245" s="64"/>
      <c r="E245" s="64"/>
      <c r="F245" s="64"/>
      <c r="G245" s="64"/>
      <c r="AH245" s="162"/>
      <c r="AI245" s="162"/>
      <c r="AJ245" s="162"/>
      <c r="AK245" s="162"/>
      <c r="BS245" s="131"/>
      <c r="BT245" s="131"/>
      <c r="BU245" s="131"/>
      <c r="BV245" s="131"/>
      <c r="BW245" s="131"/>
      <c r="BX245" s="131"/>
      <c r="BY245" s="131"/>
      <c r="BZ245" s="131"/>
      <c r="CA245" s="131"/>
      <c r="CB245" s="131"/>
      <c r="CC245" s="131"/>
      <c r="CD245" s="131"/>
      <c r="CE245" s="131"/>
    </row>
    <row r="246" ht="18.75" customHeight="1">
      <c r="C246" s="64"/>
      <c r="E246" s="64"/>
      <c r="F246" s="64"/>
      <c r="G246" s="64"/>
      <c r="AH246" s="162"/>
      <c r="AI246" s="162"/>
      <c r="AJ246" s="162"/>
      <c r="AK246" s="162"/>
      <c r="BS246" s="131"/>
      <c r="BT246" s="131"/>
      <c r="BU246" s="131"/>
      <c r="BV246" s="131"/>
      <c r="BW246" s="131"/>
      <c r="BX246" s="131"/>
      <c r="BY246" s="131"/>
      <c r="BZ246" s="131"/>
      <c r="CA246" s="131"/>
      <c r="CB246" s="131"/>
      <c r="CC246" s="131"/>
      <c r="CD246" s="131"/>
      <c r="CE246" s="131"/>
    </row>
    <row r="247" ht="18.75" customHeight="1">
      <c r="C247" s="64"/>
      <c r="E247" s="64"/>
      <c r="F247" s="64"/>
      <c r="G247" s="64"/>
      <c r="AH247" s="162"/>
      <c r="AI247" s="162"/>
      <c r="AJ247" s="162"/>
      <c r="AK247" s="162"/>
      <c r="BS247" s="131"/>
      <c r="BT247" s="131"/>
      <c r="BU247" s="131"/>
      <c r="BV247" s="131"/>
      <c r="BW247" s="131"/>
      <c r="BX247" s="131"/>
      <c r="BY247" s="131"/>
      <c r="BZ247" s="131"/>
      <c r="CA247" s="131"/>
      <c r="CB247" s="131"/>
      <c r="CC247" s="131"/>
      <c r="CD247" s="131"/>
      <c r="CE247" s="131"/>
    </row>
    <row r="248" ht="18.75" customHeight="1">
      <c r="C248" s="64"/>
      <c r="E248" s="64"/>
      <c r="F248" s="64"/>
      <c r="G248" s="64"/>
      <c r="AH248" s="162"/>
      <c r="AI248" s="162"/>
      <c r="AJ248" s="162"/>
      <c r="AK248" s="162"/>
      <c r="BS248" s="131"/>
      <c r="BT248" s="131"/>
      <c r="BU248" s="131"/>
      <c r="BV248" s="131"/>
      <c r="BW248" s="131"/>
      <c r="BX248" s="131"/>
      <c r="BY248" s="131"/>
      <c r="BZ248" s="131"/>
      <c r="CA248" s="131"/>
      <c r="CB248" s="131"/>
      <c r="CC248" s="131"/>
      <c r="CD248" s="131"/>
      <c r="CE248" s="131"/>
    </row>
    <row r="249" ht="18.75" customHeight="1">
      <c r="C249" s="64"/>
      <c r="E249" s="64"/>
      <c r="F249" s="64"/>
      <c r="G249" s="64"/>
      <c r="AH249" s="162"/>
      <c r="AI249" s="162"/>
      <c r="AJ249" s="162"/>
      <c r="AK249" s="162"/>
      <c r="BS249" s="131"/>
      <c r="BT249" s="131"/>
      <c r="BU249" s="131"/>
      <c r="BV249" s="131"/>
      <c r="BW249" s="131"/>
      <c r="BX249" s="131"/>
      <c r="BY249" s="131"/>
      <c r="BZ249" s="131"/>
      <c r="CA249" s="131"/>
      <c r="CB249" s="131"/>
      <c r="CC249" s="131"/>
      <c r="CD249" s="131"/>
      <c r="CE249" s="131"/>
    </row>
    <row r="250" ht="18.75" customHeight="1">
      <c r="C250" s="64"/>
      <c r="E250" s="64"/>
      <c r="F250" s="64"/>
      <c r="G250" s="64"/>
      <c r="AH250" s="162"/>
      <c r="AI250" s="162"/>
      <c r="AJ250" s="162"/>
      <c r="AK250" s="162"/>
      <c r="BS250" s="131"/>
      <c r="BT250" s="131"/>
      <c r="BU250" s="131"/>
      <c r="BV250" s="131"/>
      <c r="BW250" s="131"/>
      <c r="BX250" s="131"/>
      <c r="BY250" s="131"/>
      <c r="BZ250" s="131"/>
      <c r="CA250" s="131"/>
      <c r="CB250" s="131"/>
      <c r="CC250" s="131"/>
      <c r="CD250" s="131"/>
      <c r="CE250" s="131"/>
    </row>
    <row r="251" ht="18.75" customHeight="1">
      <c r="C251" s="64"/>
      <c r="E251" s="64"/>
      <c r="F251" s="64"/>
      <c r="G251" s="64"/>
      <c r="AH251" s="162"/>
      <c r="AI251" s="162"/>
      <c r="AJ251" s="162"/>
      <c r="AK251" s="162"/>
      <c r="BS251" s="131"/>
      <c r="BT251" s="131"/>
      <c r="BU251" s="131"/>
      <c r="BV251" s="131"/>
      <c r="BW251" s="131"/>
      <c r="BX251" s="131"/>
      <c r="BY251" s="131"/>
      <c r="BZ251" s="131"/>
      <c r="CA251" s="131"/>
      <c r="CB251" s="131"/>
      <c r="CC251" s="131"/>
      <c r="CD251" s="131"/>
      <c r="CE251" s="131"/>
    </row>
    <row r="252" ht="18.75" customHeight="1">
      <c r="C252" s="64"/>
      <c r="E252" s="64"/>
      <c r="F252" s="64"/>
      <c r="G252" s="64"/>
      <c r="AH252" s="162"/>
      <c r="AI252" s="162"/>
      <c r="AJ252" s="162"/>
      <c r="AK252" s="162"/>
      <c r="BS252" s="131"/>
      <c r="BT252" s="131"/>
      <c r="BU252" s="131"/>
      <c r="BV252" s="131"/>
      <c r="BW252" s="131"/>
      <c r="BX252" s="131"/>
      <c r="BY252" s="131"/>
      <c r="BZ252" s="131"/>
      <c r="CA252" s="131"/>
      <c r="CB252" s="131"/>
      <c r="CC252" s="131"/>
      <c r="CD252" s="131"/>
      <c r="CE252" s="131"/>
    </row>
    <row r="253" ht="18.75" customHeight="1">
      <c r="C253" s="64"/>
      <c r="E253" s="64"/>
      <c r="F253" s="64"/>
      <c r="G253" s="64"/>
      <c r="AH253" s="162"/>
      <c r="AI253" s="162"/>
      <c r="AJ253" s="162"/>
      <c r="AK253" s="162"/>
      <c r="BS253" s="131"/>
      <c r="BT253" s="131"/>
      <c r="BU253" s="131"/>
      <c r="BV253" s="131"/>
      <c r="BW253" s="131"/>
      <c r="BX253" s="131"/>
      <c r="BY253" s="131"/>
      <c r="BZ253" s="131"/>
      <c r="CA253" s="131"/>
      <c r="CB253" s="131"/>
      <c r="CC253" s="131"/>
      <c r="CD253" s="131"/>
      <c r="CE253" s="131"/>
    </row>
    <row r="254" ht="18.75" customHeight="1">
      <c r="C254" s="64"/>
      <c r="E254" s="64"/>
      <c r="F254" s="64"/>
      <c r="G254" s="64"/>
      <c r="AH254" s="162"/>
      <c r="AI254" s="162"/>
      <c r="AJ254" s="162"/>
      <c r="AK254" s="162"/>
      <c r="BS254" s="131"/>
      <c r="BT254" s="131"/>
      <c r="BU254" s="131"/>
      <c r="BV254" s="131"/>
      <c r="BW254" s="131"/>
      <c r="BX254" s="131"/>
      <c r="BY254" s="131"/>
      <c r="BZ254" s="131"/>
      <c r="CA254" s="131"/>
      <c r="CB254" s="131"/>
      <c r="CC254" s="131"/>
      <c r="CD254" s="131"/>
      <c r="CE254" s="131"/>
    </row>
    <row r="255" ht="18.75" customHeight="1">
      <c r="C255" s="64"/>
      <c r="E255" s="64"/>
      <c r="F255" s="64"/>
      <c r="G255" s="64"/>
      <c r="AH255" s="162"/>
      <c r="AI255" s="162"/>
      <c r="AJ255" s="162"/>
      <c r="AK255" s="162"/>
      <c r="BS255" s="131"/>
      <c r="BT255" s="131"/>
      <c r="BU255" s="131"/>
      <c r="BV255" s="131"/>
      <c r="BW255" s="131"/>
      <c r="BX255" s="131"/>
      <c r="BY255" s="131"/>
      <c r="BZ255" s="131"/>
      <c r="CA255" s="131"/>
      <c r="CB255" s="131"/>
      <c r="CC255" s="131"/>
      <c r="CD255" s="131"/>
      <c r="CE255" s="131"/>
    </row>
    <row r="256" ht="18.75" customHeight="1">
      <c r="C256" s="64"/>
      <c r="E256" s="64"/>
      <c r="F256" s="64"/>
      <c r="G256" s="64"/>
      <c r="AH256" s="162"/>
      <c r="AI256" s="162"/>
      <c r="AJ256" s="162"/>
      <c r="AK256" s="162"/>
      <c r="BS256" s="131"/>
      <c r="BT256" s="131"/>
      <c r="BU256" s="131"/>
      <c r="BV256" s="131"/>
      <c r="BW256" s="131"/>
      <c r="BX256" s="131"/>
      <c r="BY256" s="131"/>
      <c r="BZ256" s="131"/>
      <c r="CA256" s="131"/>
      <c r="CB256" s="131"/>
      <c r="CC256" s="131"/>
      <c r="CD256" s="131"/>
      <c r="CE256" s="131"/>
    </row>
    <row r="257" ht="18.75" customHeight="1">
      <c r="C257" s="64"/>
      <c r="E257" s="64"/>
      <c r="F257" s="64"/>
      <c r="G257" s="64"/>
      <c r="AH257" s="162"/>
      <c r="AI257" s="162"/>
      <c r="AJ257" s="162"/>
      <c r="AK257" s="162"/>
      <c r="BS257" s="131"/>
      <c r="BT257" s="131"/>
      <c r="BU257" s="131"/>
      <c r="BV257" s="131"/>
      <c r="BW257" s="131"/>
      <c r="BX257" s="131"/>
      <c r="BY257" s="131"/>
      <c r="BZ257" s="131"/>
      <c r="CA257" s="131"/>
      <c r="CB257" s="131"/>
      <c r="CC257" s="131"/>
      <c r="CD257" s="131"/>
      <c r="CE257" s="131"/>
    </row>
    <row r="258" ht="18.75" customHeight="1">
      <c r="C258" s="64"/>
      <c r="E258" s="64"/>
      <c r="F258" s="64"/>
      <c r="G258" s="64"/>
      <c r="AH258" s="162"/>
      <c r="AI258" s="162"/>
      <c r="AJ258" s="162"/>
      <c r="AK258" s="162"/>
      <c r="BS258" s="131"/>
      <c r="BT258" s="131"/>
      <c r="BU258" s="131"/>
      <c r="BV258" s="131"/>
      <c r="BW258" s="131"/>
      <c r="BX258" s="131"/>
      <c r="BY258" s="131"/>
      <c r="BZ258" s="131"/>
      <c r="CA258" s="131"/>
      <c r="CB258" s="131"/>
      <c r="CC258" s="131"/>
      <c r="CD258" s="131"/>
      <c r="CE258" s="131"/>
    </row>
    <row r="259" ht="18.75" customHeight="1">
      <c r="C259" s="64"/>
      <c r="E259" s="64"/>
      <c r="F259" s="64"/>
      <c r="G259" s="64"/>
      <c r="AH259" s="162"/>
      <c r="AI259" s="162"/>
      <c r="AJ259" s="162"/>
      <c r="AK259" s="162"/>
      <c r="BS259" s="131"/>
      <c r="BT259" s="131"/>
      <c r="BU259" s="131"/>
      <c r="BV259" s="131"/>
      <c r="BW259" s="131"/>
      <c r="BX259" s="131"/>
      <c r="BY259" s="131"/>
      <c r="BZ259" s="131"/>
      <c r="CA259" s="131"/>
      <c r="CB259" s="131"/>
      <c r="CC259" s="131"/>
      <c r="CD259" s="131"/>
      <c r="CE259" s="131"/>
    </row>
    <row r="260" ht="18.75" customHeight="1">
      <c r="C260" s="64"/>
      <c r="E260" s="64"/>
      <c r="F260" s="64"/>
      <c r="G260" s="64"/>
      <c r="AH260" s="162"/>
      <c r="AI260" s="162"/>
      <c r="AJ260" s="162"/>
      <c r="AK260" s="162"/>
      <c r="BS260" s="131"/>
      <c r="BT260" s="131"/>
      <c r="BU260" s="131"/>
      <c r="BV260" s="131"/>
      <c r="BW260" s="131"/>
      <c r="BX260" s="131"/>
      <c r="BY260" s="131"/>
      <c r="BZ260" s="131"/>
      <c r="CA260" s="131"/>
      <c r="CB260" s="131"/>
      <c r="CC260" s="131"/>
      <c r="CD260" s="131"/>
      <c r="CE260" s="131"/>
    </row>
    <row r="261" ht="18.75" customHeight="1">
      <c r="C261" s="64"/>
      <c r="E261" s="64"/>
      <c r="F261" s="64"/>
      <c r="G261" s="64"/>
      <c r="AH261" s="162"/>
      <c r="AI261" s="162"/>
      <c r="AJ261" s="162"/>
      <c r="AK261" s="162"/>
      <c r="BS261" s="131"/>
      <c r="BT261" s="131"/>
      <c r="BU261" s="131"/>
      <c r="BV261" s="131"/>
      <c r="BW261" s="131"/>
      <c r="BX261" s="131"/>
      <c r="BY261" s="131"/>
      <c r="BZ261" s="131"/>
      <c r="CA261" s="131"/>
      <c r="CB261" s="131"/>
      <c r="CC261" s="131"/>
      <c r="CD261" s="131"/>
      <c r="CE261" s="131"/>
    </row>
    <row r="262" ht="18.75" customHeight="1">
      <c r="C262" s="64"/>
      <c r="E262" s="64"/>
      <c r="F262" s="64"/>
      <c r="G262" s="64"/>
      <c r="AH262" s="162"/>
      <c r="AI262" s="162"/>
      <c r="AJ262" s="162"/>
      <c r="AK262" s="162"/>
      <c r="BS262" s="131"/>
      <c r="BT262" s="131"/>
      <c r="BU262" s="131"/>
      <c r="BV262" s="131"/>
      <c r="BW262" s="131"/>
      <c r="BX262" s="131"/>
      <c r="BY262" s="131"/>
      <c r="BZ262" s="131"/>
      <c r="CA262" s="131"/>
      <c r="CB262" s="131"/>
      <c r="CC262" s="131"/>
      <c r="CD262" s="131"/>
      <c r="CE262" s="131"/>
    </row>
    <row r="263" ht="18.75" customHeight="1">
      <c r="C263" s="64"/>
      <c r="E263" s="64"/>
      <c r="F263" s="64"/>
      <c r="G263" s="64"/>
      <c r="AH263" s="162"/>
      <c r="AI263" s="162"/>
      <c r="AJ263" s="162"/>
      <c r="AK263" s="162"/>
      <c r="BS263" s="131"/>
      <c r="BT263" s="131"/>
      <c r="BU263" s="131"/>
      <c r="BV263" s="131"/>
      <c r="BW263" s="131"/>
      <c r="BX263" s="131"/>
      <c r="BY263" s="131"/>
      <c r="BZ263" s="131"/>
      <c r="CA263" s="131"/>
      <c r="CB263" s="131"/>
      <c r="CC263" s="131"/>
      <c r="CD263" s="131"/>
      <c r="CE263" s="131"/>
    </row>
    <row r="264" ht="18.75" customHeight="1">
      <c r="C264" s="64"/>
      <c r="E264" s="64"/>
      <c r="F264" s="64"/>
      <c r="G264" s="64"/>
      <c r="AH264" s="162"/>
      <c r="AI264" s="162"/>
      <c r="AJ264" s="162"/>
      <c r="AK264" s="162"/>
      <c r="BS264" s="131"/>
      <c r="BT264" s="131"/>
      <c r="BU264" s="131"/>
      <c r="BV264" s="131"/>
      <c r="BW264" s="131"/>
      <c r="BX264" s="131"/>
      <c r="BY264" s="131"/>
      <c r="BZ264" s="131"/>
      <c r="CA264" s="131"/>
      <c r="CB264" s="131"/>
      <c r="CC264" s="131"/>
      <c r="CD264" s="131"/>
      <c r="CE264" s="131"/>
    </row>
    <row r="265" ht="18.75" customHeight="1">
      <c r="C265" s="64"/>
      <c r="E265" s="64"/>
      <c r="F265" s="64"/>
      <c r="G265" s="64"/>
      <c r="AH265" s="162"/>
      <c r="AI265" s="162"/>
      <c r="AJ265" s="162"/>
      <c r="AK265" s="162"/>
      <c r="BS265" s="131"/>
      <c r="BT265" s="131"/>
      <c r="BU265" s="131"/>
      <c r="BV265" s="131"/>
      <c r="BW265" s="131"/>
      <c r="BX265" s="131"/>
      <c r="BY265" s="131"/>
      <c r="BZ265" s="131"/>
      <c r="CA265" s="131"/>
      <c r="CB265" s="131"/>
      <c r="CC265" s="131"/>
      <c r="CD265" s="131"/>
      <c r="CE265" s="131"/>
    </row>
    <row r="266" ht="18.75" customHeight="1">
      <c r="C266" s="64"/>
      <c r="E266" s="64"/>
      <c r="F266" s="64"/>
      <c r="G266" s="64"/>
      <c r="AH266" s="162"/>
      <c r="AI266" s="162"/>
      <c r="AJ266" s="162"/>
      <c r="AK266" s="162"/>
      <c r="BS266" s="131"/>
      <c r="BT266" s="131"/>
      <c r="BU266" s="131"/>
      <c r="BV266" s="131"/>
      <c r="BW266" s="131"/>
      <c r="BX266" s="131"/>
      <c r="BY266" s="131"/>
      <c r="BZ266" s="131"/>
      <c r="CA266" s="131"/>
      <c r="CB266" s="131"/>
      <c r="CC266" s="131"/>
      <c r="CD266" s="131"/>
      <c r="CE266" s="131"/>
    </row>
    <row r="267" ht="18.75" customHeight="1">
      <c r="C267" s="64"/>
      <c r="E267" s="64"/>
      <c r="F267" s="64"/>
      <c r="G267" s="64"/>
      <c r="AH267" s="162"/>
      <c r="AI267" s="162"/>
      <c r="AJ267" s="162"/>
      <c r="AK267" s="162"/>
      <c r="BS267" s="131"/>
      <c r="BT267" s="131"/>
      <c r="BU267" s="131"/>
      <c r="BV267" s="131"/>
      <c r="BW267" s="131"/>
      <c r="BX267" s="131"/>
      <c r="BY267" s="131"/>
      <c r="BZ267" s="131"/>
      <c r="CA267" s="131"/>
      <c r="CB267" s="131"/>
      <c r="CC267" s="131"/>
      <c r="CD267" s="131"/>
      <c r="CE267" s="131"/>
    </row>
    <row r="268" ht="18.75" customHeight="1">
      <c r="C268" s="64"/>
      <c r="E268" s="64"/>
      <c r="F268" s="64"/>
      <c r="G268" s="64"/>
      <c r="AH268" s="162"/>
      <c r="AI268" s="162"/>
      <c r="AJ268" s="162"/>
      <c r="AK268" s="162"/>
      <c r="BS268" s="131"/>
      <c r="BT268" s="131"/>
      <c r="BU268" s="131"/>
      <c r="BV268" s="131"/>
      <c r="BW268" s="131"/>
      <c r="BX268" s="131"/>
      <c r="BY268" s="131"/>
      <c r="BZ268" s="131"/>
      <c r="CA268" s="131"/>
      <c r="CB268" s="131"/>
      <c r="CC268" s="131"/>
      <c r="CD268" s="131"/>
      <c r="CE268" s="131"/>
    </row>
    <row r="269" ht="18.75" customHeight="1">
      <c r="C269" s="64"/>
      <c r="E269" s="64"/>
      <c r="F269" s="64"/>
      <c r="G269" s="64"/>
      <c r="AH269" s="162"/>
      <c r="AI269" s="162"/>
      <c r="AJ269" s="162"/>
      <c r="AK269" s="162"/>
      <c r="BS269" s="131"/>
      <c r="BT269" s="131"/>
      <c r="BU269" s="131"/>
      <c r="BV269" s="131"/>
      <c r="BW269" s="131"/>
      <c r="BX269" s="131"/>
      <c r="BY269" s="131"/>
      <c r="BZ269" s="131"/>
      <c r="CA269" s="131"/>
      <c r="CB269" s="131"/>
      <c r="CC269" s="131"/>
      <c r="CD269" s="131"/>
      <c r="CE269" s="131"/>
    </row>
    <row r="270" ht="18.75" customHeight="1">
      <c r="C270" s="64"/>
      <c r="E270" s="64"/>
      <c r="F270" s="64"/>
      <c r="G270" s="64"/>
      <c r="AH270" s="162"/>
      <c r="AI270" s="162"/>
      <c r="AJ270" s="162"/>
      <c r="AK270" s="162"/>
      <c r="BS270" s="131"/>
      <c r="BT270" s="131"/>
      <c r="BU270" s="131"/>
      <c r="BV270" s="131"/>
      <c r="BW270" s="131"/>
      <c r="BX270" s="131"/>
      <c r="BY270" s="131"/>
      <c r="BZ270" s="131"/>
      <c r="CA270" s="131"/>
      <c r="CB270" s="131"/>
      <c r="CC270" s="131"/>
      <c r="CD270" s="131"/>
      <c r="CE270" s="131"/>
    </row>
    <row r="271" ht="18.75" customHeight="1">
      <c r="C271" s="64"/>
      <c r="E271" s="64"/>
      <c r="F271" s="64"/>
      <c r="G271" s="64"/>
      <c r="AH271" s="162"/>
      <c r="AI271" s="162"/>
      <c r="AJ271" s="162"/>
      <c r="AK271" s="162"/>
      <c r="BS271" s="131"/>
      <c r="BT271" s="131"/>
      <c r="BU271" s="131"/>
      <c r="BV271" s="131"/>
      <c r="BW271" s="131"/>
      <c r="BX271" s="131"/>
      <c r="BY271" s="131"/>
      <c r="BZ271" s="131"/>
      <c r="CA271" s="131"/>
      <c r="CB271" s="131"/>
      <c r="CC271" s="131"/>
      <c r="CD271" s="131"/>
      <c r="CE271" s="131"/>
    </row>
    <row r="272" ht="18.75" customHeight="1">
      <c r="C272" s="64"/>
      <c r="E272" s="64"/>
      <c r="F272" s="64"/>
      <c r="G272" s="64"/>
      <c r="AH272" s="162"/>
      <c r="AI272" s="162"/>
      <c r="AJ272" s="162"/>
      <c r="AK272" s="162"/>
      <c r="BS272" s="131"/>
      <c r="BT272" s="131"/>
      <c r="BU272" s="131"/>
      <c r="BV272" s="131"/>
      <c r="BW272" s="131"/>
      <c r="BX272" s="131"/>
      <c r="BY272" s="131"/>
      <c r="BZ272" s="131"/>
      <c r="CA272" s="131"/>
      <c r="CB272" s="131"/>
      <c r="CC272" s="131"/>
      <c r="CD272" s="131"/>
      <c r="CE272" s="131"/>
    </row>
    <row r="273" ht="18.75" customHeight="1">
      <c r="C273" s="64"/>
      <c r="E273" s="64"/>
      <c r="F273" s="64"/>
      <c r="G273" s="64"/>
      <c r="AH273" s="162"/>
      <c r="AI273" s="162"/>
      <c r="AJ273" s="162"/>
      <c r="AK273" s="162"/>
      <c r="BS273" s="131"/>
      <c r="BT273" s="131"/>
      <c r="BU273" s="131"/>
      <c r="BV273" s="131"/>
      <c r="BW273" s="131"/>
      <c r="BX273" s="131"/>
      <c r="BY273" s="131"/>
      <c r="BZ273" s="131"/>
      <c r="CA273" s="131"/>
      <c r="CB273" s="131"/>
      <c r="CC273" s="131"/>
      <c r="CD273" s="131"/>
      <c r="CE273" s="131"/>
    </row>
    <row r="274" ht="18.75" customHeight="1">
      <c r="C274" s="64"/>
      <c r="E274" s="64"/>
      <c r="F274" s="64"/>
      <c r="G274" s="64"/>
      <c r="AH274" s="162"/>
      <c r="AI274" s="162"/>
      <c r="AJ274" s="162"/>
      <c r="AK274" s="162"/>
      <c r="BS274" s="131"/>
      <c r="BT274" s="131"/>
      <c r="BU274" s="131"/>
      <c r="BV274" s="131"/>
      <c r="BW274" s="131"/>
      <c r="BX274" s="131"/>
      <c r="BY274" s="131"/>
      <c r="BZ274" s="131"/>
      <c r="CA274" s="131"/>
      <c r="CB274" s="131"/>
      <c r="CC274" s="131"/>
      <c r="CD274" s="131"/>
      <c r="CE274" s="131"/>
    </row>
    <row r="275" ht="18.75" customHeight="1">
      <c r="C275" s="64"/>
      <c r="E275" s="64"/>
      <c r="F275" s="64"/>
      <c r="G275" s="64"/>
      <c r="AH275" s="162"/>
      <c r="AI275" s="162"/>
      <c r="AJ275" s="162"/>
      <c r="AK275" s="162"/>
      <c r="BS275" s="131"/>
      <c r="BT275" s="131"/>
      <c r="BU275" s="131"/>
      <c r="BV275" s="131"/>
      <c r="BW275" s="131"/>
      <c r="BX275" s="131"/>
      <c r="BY275" s="131"/>
      <c r="BZ275" s="131"/>
      <c r="CA275" s="131"/>
      <c r="CB275" s="131"/>
      <c r="CC275" s="131"/>
      <c r="CD275" s="131"/>
      <c r="CE275" s="131"/>
    </row>
    <row r="276" ht="18.75" customHeight="1">
      <c r="C276" s="64"/>
      <c r="E276" s="64"/>
      <c r="F276" s="64"/>
      <c r="G276" s="64"/>
      <c r="AH276" s="162"/>
      <c r="AI276" s="162"/>
      <c r="AJ276" s="162"/>
      <c r="AK276" s="162"/>
      <c r="BS276" s="131"/>
      <c r="BT276" s="131"/>
      <c r="BU276" s="131"/>
      <c r="BV276" s="131"/>
      <c r="BW276" s="131"/>
      <c r="BX276" s="131"/>
      <c r="BY276" s="131"/>
      <c r="BZ276" s="131"/>
      <c r="CA276" s="131"/>
      <c r="CB276" s="131"/>
      <c r="CC276" s="131"/>
      <c r="CD276" s="131"/>
      <c r="CE276" s="131"/>
    </row>
    <row r="277" ht="18.75" customHeight="1">
      <c r="C277" s="64"/>
      <c r="E277" s="64"/>
      <c r="F277" s="64"/>
      <c r="G277" s="64"/>
      <c r="AH277" s="162"/>
      <c r="AI277" s="162"/>
      <c r="AJ277" s="162"/>
      <c r="AK277" s="162"/>
      <c r="BS277" s="131"/>
      <c r="BT277" s="131"/>
      <c r="BU277" s="131"/>
      <c r="BV277" s="131"/>
      <c r="BW277" s="131"/>
      <c r="BX277" s="131"/>
      <c r="BY277" s="131"/>
      <c r="BZ277" s="131"/>
      <c r="CA277" s="131"/>
      <c r="CB277" s="131"/>
      <c r="CC277" s="131"/>
      <c r="CD277" s="131"/>
      <c r="CE277" s="131"/>
    </row>
    <row r="278" ht="18.75" customHeight="1">
      <c r="C278" s="64"/>
      <c r="E278" s="64"/>
      <c r="F278" s="64"/>
      <c r="G278" s="64"/>
      <c r="AH278" s="162"/>
      <c r="AI278" s="162"/>
      <c r="AJ278" s="162"/>
      <c r="AK278" s="162"/>
      <c r="BS278" s="131"/>
      <c r="BT278" s="131"/>
      <c r="BU278" s="131"/>
      <c r="BV278" s="131"/>
      <c r="BW278" s="131"/>
      <c r="BX278" s="131"/>
      <c r="BY278" s="131"/>
      <c r="BZ278" s="131"/>
      <c r="CA278" s="131"/>
      <c r="CB278" s="131"/>
      <c r="CC278" s="131"/>
      <c r="CD278" s="131"/>
      <c r="CE278" s="131"/>
    </row>
    <row r="279" ht="18.75" customHeight="1">
      <c r="C279" s="64"/>
      <c r="E279" s="64"/>
      <c r="F279" s="64"/>
      <c r="G279" s="64"/>
      <c r="AH279" s="162"/>
      <c r="AI279" s="162"/>
      <c r="AJ279" s="162"/>
      <c r="AK279" s="162"/>
      <c r="BS279" s="131"/>
      <c r="BT279" s="131"/>
      <c r="BU279" s="131"/>
      <c r="BV279" s="131"/>
      <c r="BW279" s="131"/>
      <c r="BX279" s="131"/>
      <c r="BY279" s="131"/>
      <c r="BZ279" s="131"/>
      <c r="CA279" s="131"/>
      <c r="CB279" s="131"/>
      <c r="CC279" s="131"/>
      <c r="CD279" s="131"/>
      <c r="CE279" s="131"/>
    </row>
    <row r="280" ht="18.75" customHeight="1">
      <c r="C280" s="64"/>
      <c r="E280" s="64"/>
      <c r="F280" s="64"/>
      <c r="G280" s="64"/>
      <c r="AH280" s="162"/>
      <c r="AI280" s="162"/>
      <c r="AJ280" s="162"/>
      <c r="AK280" s="162"/>
      <c r="BS280" s="131"/>
      <c r="BT280" s="131"/>
      <c r="BU280" s="131"/>
      <c r="BV280" s="131"/>
      <c r="BW280" s="131"/>
      <c r="BX280" s="131"/>
      <c r="BY280" s="131"/>
      <c r="BZ280" s="131"/>
      <c r="CA280" s="131"/>
      <c r="CB280" s="131"/>
      <c r="CC280" s="131"/>
      <c r="CD280" s="131"/>
      <c r="CE280" s="131"/>
    </row>
    <row r="281" ht="18.75" customHeight="1">
      <c r="C281" s="64"/>
      <c r="E281" s="64"/>
      <c r="F281" s="64"/>
      <c r="G281" s="64"/>
      <c r="AH281" s="162"/>
      <c r="AI281" s="162"/>
      <c r="AJ281" s="162"/>
      <c r="AK281" s="162"/>
      <c r="BS281" s="131"/>
      <c r="BT281" s="131"/>
      <c r="BU281" s="131"/>
      <c r="BV281" s="131"/>
      <c r="BW281" s="131"/>
      <c r="BX281" s="131"/>
      <c r="BY281" s="131"/>
      <c r="BZ281" s="131"/>
      <c r="CA281" s="131"/>
      <c r="CB281" s="131"/>
      <c r="CC281" s="131"/>
      <c r="CD281" s="131"/>
      <c r="CE281" s="131"/>
    </row>
    <row r="282" ht="18.75" customHeight="1">
      <c r="C282" s="64"/>
      <c r="E282" s="64"/>
      <c r="F282" s="64"/>
      <c r="G282" s="64"/>
      <c r="AH282" s="162"/>
      <c r="AI282" s="162"/>
      <c r="AJ282" s="162"/>
      <c r="AK282" s="162"/>
      <c r="BS282" s="131"/>
      <c r="BT282" s="131"/>
      <c r="BU282" s="131"/>
      <c r="BV282" s="131"/>
      <c r="BW282" s="131"/>
      <c r="BX282" s="131"/>
      <c r="BY282" s="131"/>
      <c r="BZ282" s="131"/>
      <c r="CA282" s="131"/>
      <c r="CB282" s="131"/>
      <c r="CC282" s="131"/>
      <c r="CD282" s="131"/>
      <c r="CE282" s="131"/>
    </row>
    <row r="283" ht="18.75" customHeight="1">
      <c r="C283" s="64"/>
      <c r="E283" s="64"/>
      <c r="F283" s="64"/>
      <c r="G283" s="64"/>
      <c r="AH283" s="162"/>
      <c r="AI283" s="162"/>
      <c r="AJ283" s="162"/>
      <c r="AK283" s="162"/>
      <c r="BS283" s="131"/>
      <c r="BT283" s="131"/>
      <c r="BU283" s="131"/>
      <c r="BV283" s="131"/>
      <c r="BW283" s="131"/>
      <c r="BX283" s="131"/>
      <c r="BY283" s="131"/>
      <c r="BZ283" s="131"/>
      <c r="CA283" s="131"/>
      <c r="CB283" s="131"/>
      <c r="CC283" s="131"/>
      <c r="CD283" s="131"/>
      <c r="CE283" s="131"/>
    </row>
    <row r="284" ht="18.75" customHeight="1">
      <c r="C284" s="64"/>
      <c r="E284" s="64"/>
      <c r="F284" s="64"/>
      <c r="G284" s="64"/>
      <c r="AH284" s="162"/>
      <c r="AI284" s="162"/>
      <c r="AJ284" s="162"/>
      <c r="AK284" s="162"/>
      <c r="BS284" s="131"/>
      <c r="BT284" s="131"/>
      <c r="BU284" s="131"/>
      <c r="BV284" s="131"/>
      <c r="BW284" s="131"/>
      <c r="BX284" s="131"/>
      <c r="BY284" s="131"/>
      <c r="BZ284" s="131"/>
      <c r="CA284" s="131"/>
      <c r="CB284" s="131"/>
      <c r="CC284" s="131"/>
      <c r="CD284" s="131"/>
      <c r="CE284" s="131"/>
    </row>
    <row r="285" ht="18.75" customHeight="1">
      <c r="C285" s="64"/>
      <c r="E285" s="64"/>
      <c r="F285" s="64"/>
      <c r="G285" s="64"/>
      <c r="AH285" s="162"/>
      <c r="AI285" s="162"/>
      <c r="AJ285" s="162"/>
      <c r="AK285" s="162"/>
      <c r="BS285" s="131"/>
      <c r="BT285" s="131"/>
      <c r="BU285" s="131"/>
      <c r="BV285" s="131"/>
      <c r="BW285" s="131"/>
      <c r="BX285" s="131"/>
      <c r="BY285" s="131"/>
      <c r="BZ285" s="131"/>
      <c r="CA285" s="131"/>
      <c r="CB285" s="131"/>
      <c r="CC285" s="131"/>
      <c r="CD285" s="131"/>
      <c r="CE285" s="131"/>
    </row>
    <row r="286" ht="18.75" customHeight="1">
      <c r="C286" s="64"/>
      <c r="E286" s="64"/>
      <c r="F286" s="64"/>
      <c r="G286" s="64"/>
      <c r="AH286" s="162"/>
      <c r="AI286" s="162"/>
      <c r="AJ286" s="162"/>
      <c r="AK286" s="162"/>
      <c r="BS286" s="131"/>
      <c r="BT286" s="131"/>
      <c r="BU286" s="131"/>
      <c r="BV286" s="131"/>
      <c r="BW286" s="131"/>
      <c r="BX286" s="131"/>
      <c r="BY286" s="131"/>
      <c r="BZ286" s="131"/>
      <c r="CA286" s="131"/>
      <c r="CB286" s="131"/>
      <c r="CC286" s="131"/>
      <c r="CD286" s="131"/>
      <c r="CE286" s="131"/>
    </row>
    <row r="287" ht="18.75" customHeight="1">
      <c r="C287" s="64"/>
      <c r="E287" s="64"/>
      <c r="F287" s="64"/>
      <c r="G287" s="64"/>
      <c r="AH287" s="162"/>
      <c r="AI287" s="162"/>
      <c r="AJ287" s="162"/>
      <c r="AK287" s="162"/>
      <c r="BS287" s="131"/>
      <c r="BT287" s="131"/>
      <c r="BU287" s="131"/>
      <c r="BV287" s="131"/>
      <c r="BW287" s="131"/>
      <c r="BX287" s="131"/>
      <c r="BY287" s="131"/>
      <c r="BZ287" s="131"/>
      <c r="CA287" s="131"/>
      <c r="CB287" s="131"/>
      <c r="CC287" s="131"/>
      <c r="CD287" s="131"/>
      <c r="CE287" s="131"/>
    </row>
    <row r="288" ht="18.75" customHeight="1">
      <c r="C288" s="64"/>
      <c r="E288" s="64"/>
      <c r="F288" s="64"/>
      <c r="G288" s="64"/>
      <c r="AH288" s="162"/>
      <c r="AI288" s="162"/>
      <c r="AJ288" s="162"/>
      <c r="AK288" s="162"/>
      <c r="BS288" s="131"/>
      <c r="BT288" s="131"/>
      <c r="BU288" s="131"/>
      <c r="BV288" s="131"/>
      <c r="BW288" s="131"/>
      <c r="BX288" s="131"/>
      <c r="BY288" s="131"/>
      <c r="BZ288" s="131"/>
      <c r="CA288" s="131"/>
      <c r="CB288" s="131"/>
      <c r="CC288" s="131"/>
      <c r="CD288" s="131"/>
      <c r="CE288" s="131"/>
    </row>
    <row r="289" ht="18.75" customHeight="1">
      <c r="C289" s="64"/>
      <c r="E289" s="64"/>
      <c r="F289" s="64"/>
      <c r="G289" s="64"/>
      <c r="AH289" s="162"/>
      <c r="AI289" s="162"/>
      <c r="AJ289" s="162"/>
      <c r="AK289" s="162"/>
      <c r="BS289" s="131"/>
      <c r="BT289" s="131"/>
      <c r="BU289" s="131"/>
      <c r="BV289" s="131"/>
      <c r="BW289" s="131"/>
      <c r="BX289" s="131"/>
      <c r="BY289" s="131"/>
      <c r="BZ289" s="131"/>
      <c r="CA289" s="131"/>
      <c r="CB289" s="131"/>
      <c r="CC289" s="131"/>
      <c r="CD289" s="131"/>
      <c r="CE289" s="131"/>
    </row>
    <row r="290" ht="18.75" customHeight="1">
      <c r="C290" s="64"/>
      <c r="E290" s="64"/>
      <c r="F290" s="64"/>
      <c r="G290" s="64"/>
      <c r="AH290" s="162"/>
      <c r="AI290" s="162"/>
      <c r="AJ290" s="162"/>
      <c r="AK290" s="162"/>
      <c r="BS290" s="131"/>
      <c r="BT290" s="131"/>
      <c r="BU290" s="131"/>
      <c r="BV290" s="131"/>
      <c r="BW290" s="131"/>
      <c r="BX290" s="131"/>
      <c r="BY290" s="131"/>
      <c r="BZ290" s="131"/>
      <c r="CA290" s="131"/>
      <c r="CB290" s="131"/>
      <c r="CC290" s="131"/>
      <c r="CD290" s="131"/>
      <c r="CE290" s="131"/>
    </row>
    <row r="291" ht="18.75" customHeight="1">
      <c r="C291" s="64"/>
      <c r="E291" s="64"/>
      <c r="F291" s="64"/>
      <c r="G291" s="64"/>
      <c r="AH291" s="162"/>
      <c r="AI291" s="162"/>
      <c r="AJ291" s="162"/>
      <c r="AK291" s="162"/>
      <c r="BS291" s="131"/>
      <c r="BT291" s="131"/>
      <c r="BU291" s="131"/>
      <c r="BV291" s="131"/>
      <c r="BW291" s="131"/>
      <c r="BX291" s="131"/>
      <c r="BY291" s="131"/>
      <c r="BZ291" s="131"/>
      <c r="CA291" s="131"/>
      <c r="CB291" s="131"/>
      <c r="CC291" s="131"/>
      <c r="CD291" s="131"/>
      <c r="CE291" s="131"/>
    </row>
    <row r="292" ht="18.75" customHeight="1">
      <c r="C292" s="64"/>
      <c r="E292" s="64"/>
      <c r="F292" s="64"/>
      <c r="G292" s="64"/>
      <c r="AH292" s="162"/>
      <c r="AI292" s="162"/>
      <c r="AJ292" s="162"/>
      <c r="AK292" s="162"/>
      <c r="BS292" s="131"/>
      <c r="BT292" s="131"/>
      <c r="BU292" s="131"/>
      <c r="BV292" s="131"/>
      <c r="BW292" s="131"/>
      <c r="BX292" s="131"/>
      <c r="BY292" s="131"/>
      <c r="BZ292" s="131"/>
      <c r="CA292" s="131"/>
      <c r="CB292" s="131"/>
      <c r="CC292" s="131"/>
      <c r="CD292" s="131"/>
      <c r="CE292" s="131"/>
    </row>
    <row r="293" ht="18.75" customHeight="1">
      <c r="C293" s="64"/>
      <c r="E293" s="64"/>
      <c r="F293" s="64"/>
      <c r="G293" s="64"/>
      <c r="AH293" s="162"/>
      <c r="AI293" s="162"/>
      <c r="AJ293" s="162"/>
      <c r="AK293" s="162"/>
      <c r="BS293" s="131"/>
      <c r="BT293" s="131"/>
      <c r="BU293" s="131"/>
      <c r="BV293" s="131"/>
      <c r="BW293" s="131"/>
      <c r="BX293" s="131"/>
      <c r="BY293" s="131"/>
      <c r="BZ293" s="131"/>
      <c r="CA293" s="131"/>
      <c r="CB293" s="131"/>
      <c r="CC293" s="131"/>
      <c r="CD293" s="131"/>
      <c r="CE293" s="131"/>
    </row>
    <row r="294" ht="18.75" customHeight="1">
      <c r="C294" s="64"/>
      <c r="E294" s="64"/>
      <c r="F294" s="64"/>
      <c r="G294" s="64"/>
      <c r="AH294" s="162"/>
      <c r="AI294" s="162"/>
      <c r="AJ294" s="162"/>
      <c r="AK294" s="162"/>
      <c r="BS294" s="131"/>
      <c r="BT294" s="131"/>
      <c r="BU294" s="131"/>
      <c r="BV294" s="131"/>
      <c r="BW294" s="131"/>
      <c r="BX294" s="131"/>
      <c r="BY294" s="131"/>
      <c r="BZ294" s="131"/>
      <c r="CA294" s="131"/>
      <c r="CB294" s="131"/>
      <c r="CC294" s="131"/>
      <c r="CD294" s="131"/>
      <c r="CE294" s="131"/>
    </row>
    <row r="295" ht="18.75" customHeight="1">
      <c r="C295" s="64"/>
      <c r="E295" s="64"/>
      <c r="F295" s="64"/>
      <c r="G295" s="64"/>
      <c r="AH295" s="162"/>
      <c r="AI295" s="162"/>
      <c r="AJ295" s="162"/>
      <c r="AK295" s="162"/>
      <c r="BS295" s="131"/>
      <c r="BT295" s="131"/>
      <c r="BU295" s="131"/>
      <c r="BV295" s="131"/>
      <c r="BW295" s="131"/>
      <c r="BX295" s="131"/>
      <c r="BY295" s="131"/>
      <c r="BZ295" s="131"/>
      <c r="CA295" s="131"/>
      <c r="CB295" s="131"/>
      <c r="CC295" s="131"/>
      <c r="CD295" s="131"/>
      <c r="CE295" s="131"/>
    </row>
    <row r="296" ht="18.75" customHeight="1">
      <c r="C296" s="64"/>
      <c r="E296" s="64"/>
      <c r="F296" s="64"/>
      <c r="G296" s="64"/>
      <c r="AH296" s="162"/>
      <c r="AI296" s="162"/>
      <c r="AJ296" s="162"/>
      <c r="AK296" s="162"/>
      <c r="BS296" s="131"/>
      <c r="BT296" s="131"/>
      <c r="BU296" s="131"/>
      <c r="BV296" s="131"/>
      <c r="BW296" s="131"/>
      <c r="BX296" s="131"/>
      <c r="BY296" s="131"/>
      <c r="BZ296" s="131"/>
      <c r="CA296" s="131"/>
      <c r="CB296" s="131"/>
      <c r="CC296" s="131"/>
      <c r="CD296" s="131"/>
      <c r="CE296" s="131"/>
    </row>
    <row r="297" ht="18.75" customHeight="1">
      <c r="C297" s="64"/>
      <c r="E297" s="64"/>
      <c r="F297" s="64"/>
      <c r="G297" s="64"/>
      <c r="AH297" s="162"/>
      <c r="AI297" s="162"/>
      <c r="AJ297" s="162"/>
      <c r="AK297" s="162"/>
      <c r="BS297" s="131"/>
      <c r="BT297" s="131"/>
      <c r="BU297" s="131"/>
      <c r="BV297" s="131"/>
      <c r="BW297" s="131"/>
      <c r="BX297" s="131"/>
      <c r="BY297" s="131"/>
      <c r="BZ297" s="131"/>
      <c r="CA297" s="131"/>
      <c r="CB297" s="131"/>
      <c r="CC297" s="131"/>
      <c r="CD297" s="131"/>
      <c r="CE297" s="131"/>
    </row>
    <row r="298" ht="18.75" customHeight="1">
      <c r="C298" s="64"/>
      <c r="E298" s="64"/>
      <c r="F298" s="64"/>
      <c r="G298" s="64"/>
      <c r="AH298" s="162"/>
      <c r="AI298" s="162"/>
      <c r="AJ298" s="162"/>
      <c r="AK298" s="162"/>
      <c r="BS298" s="131"/>
      <c r="BT298" s="131"/>
      <c r="BU298" s="131"/>
      <c r="BV298" s="131"/>
      <c r="BW298" s="131"/>
      <c r="BX298" s="131"/>
      <c r="BY298" s="131"/>
      <c r="BZ298" s="131"/>
      <c r="CA298" s="131"/>
      <c r="CB298" s="131"/>
      <c r="CC298" s="131"/>
      <c r="CD298" s="131"/>
      <c r="CE298" s="131"/>
    </row>
    <row r="299" ht="18.75" customHeight="1">
      <c r="C299" s="64"/>
      <c r="E299" s="64"/>
      <c r="F299" s="64"/>
      <c r="G299" s="64"/>
      <c r="AH299" s="162"/>
      <c r="AI299" s="162"/>
      <c r="AJ299" s="162"/>
      <c r="AK299" s="162"/>
      <c r="BS299" s="131"/>
      <c r="BT299" s="131"/>
      <c r="BU299" s="131"/>
      <c r="BV299" s="131"/>
      <c r="BW299" s="131"/>
      <c r="BX299" s="131"/>
      <c r="BY299" s="131"/>
      <c r="BZ299" s="131"/>
      <c r="CA299" s="131"/>
      <c r="CB299" s="131"/>
      <c r="CC299" s="131"/>
      <c r="CD299" s="131"/>
      <c r="CE299" s="131"/>
    </row>
    <row r="300" ht="18.75" customHeight="1">
      <c r="C300" s="64"/>
      <c r="E300" s="64"/>
      <c r="F300" s="64"/>
      <c r="G300" s="64"/>
      <c r="AH300" s="162"/>
      <c r="AI300" s="162"/>
      <c r="AJ300" s="162"/>
      <c r="AK300" s="162"/>
      <c r="BS300" s="131"/>
      <c r="BT300" s="131"/>
      <c r="BU300" s="131"/>
      <c r="BV300" s="131"/>
      <c r="BW300" s="131"/>
      <c r="BX300" s="131"/>
      <c r="BY300" s="131"/>
      <c r="BZ300" s="131"/>
      <c r="CA300" s="131"/>
      <c r="CB300" s="131"/>
      <c r="CC300" s="131"/>
      <c r="CD300" s="131"/>
      <c r="CE300" s="131"/>
    </row>
    <row r="301" ht="18.75" customHeight="1">
      <c r="C301" s="64"/>
      <c r="E301" s="64"/>
      <c r="F301" s="64"/>
      <c r="G301" s="64"/>
      <c r="AH301" s="162"/>
      <c r="AI301" s="162"/>
      <c r="AJ301" s="162"/>
      <c r="AK301" s="162"/>
      <c r="BS301" s="131"/>
      <c r="BT301" s="131"/>
      <c r="BU301" s="131"/>
      <c r="BV301" s="131"/>
      <c r="BW301" s="131"/>
      <c r="BX301" s="131"/>
      <c r="BY301" s="131"/>
      <c r="BZ301" s="131"/>
      <c r="CA301" s="131"/>
      <c r="CB301" s="131"/>
      <c r="CC301" s="131"/>
      <c r="CD301" s="131"/>
      <c r="CE301" s="131"/>
    </row>
    <row r="302" ht="18.75" customHeight="1">
      <c r="C302" s="64"/>
      <c r="E302" s="64"/>
      <c r="F302" s="64"/>
      <c r="G302" s="64"/>
      <c r="AH302" s="162"/>
      <c r="AI302" s="162"/>
      <c r="AJ302" s="162"/>
      <c r="AK302" s="162"/>
      <c r="BS302" s="131"/>
      <c r="BT302" s="131"/>
      <c r="BU302" s="131"/>
      <c r="BV302" s="131"/>
      <c r="BW302" s="131"/>
      <c r="BX302" s="131"/>
      <c r="BY302" s="131"/>
      <c r="BZ302" s="131"/>
      <c r="CA302" s="131"/>
      <c r="CB302" s="131"/>
      <c r="CC302" s="131"/>
      <c r="CD302" s="131"/>
      <c r="CE302" s="131"/>
    </row>
    <row r="303" ht="18.75" customHeight="1">
      <c r="C303" s="64"/>
      <c r="E303" s="64"/>
      <c r="F303" s="64"/>
      <c r="G303" s="64"/>
      <c r="AH303" s="162"/>
      <c r="AI303" s="162"/>
      <c r="AJ303" s="162"/>
      <c r="AK303" s="162"/>
      <c r="BS303" s="131"/>
      <c r="BT303" s="131"/>
      <c r="BU303" s="131"/>
      <c r="BV303" s="131"/>
      <c r="BW303" s="131"/>
      <c r="BX303" s="131"/>
      <c r="BY303" s="131"/>
      <c r="BZ303" s="131"/>
      <c r="CA303" s="131"/>
      <c r="CB303" s="131"/>
      <c r="CC303" s="131"/>
      <c r="CD303" s="131"/>
      <c r="CE303" s="131"/>
    </row>
    <row r="304" ht="18.75" customHeight="1">
      <c r="C304" s="64"/>
      <c r="E304" s="64"/>
      <c r="F304" s="64"/>
      <c r="G304" s="64"/>
      <c r="AH304" s="162"/>
      <c r="AI304" s="162"/>
      <c r="AJ304" s="162"/>
      <c r="AK304" s="162"/>
      <c r="BS304" s="131"/>
      <c r="BT304" s="131"/>
      <c r="BU304" s="131"/>
      <c r="BV304" s="131"/>
      <c r="BW304" s="131"/>
      <c r="BX304" s="131"/>
      <c r="BY304" s="131"/>
      <c r="BZ304" s="131"/>
      <c r="CA304" s="131"/>
      <c r="CB304" s="131"/>
      <c r="CC304" s="131"/>
      <c r="CD304" s="131"/>
      <c r="CE304" s="131"/>
    </row>
    <row r="305" ht="18.75" customHeight="1">
      <c r="C305" s="64"/>
      <c r="E305" s="64"/>
      <c r="F305" s="64"/>
      <c r="G305" s="64"/>
      <c r="AH305" s="162"/>
      <c r="AI305" s="162"/>
      <c r="AJ305" s="162"/>
      <c r="AK305" s="162"/>
      <c r="BS305" s="131"/>
      <c r="BT305" s="131"/>
      <c r="BU305" s="131"/>
      <c r="BV305" s="131"/>
      <c r="BW305" s="131"/>
      <c r="BX305" s="131"/>
      <c r="BY305" s="131"/>
      <c r="BZ305" s="131"/>
      <c r="CA305" s="131"/>
      <c r="CB305" s="131"/>
      <c r="CC305" s="131"/>
      <c r="CD305" s="131"/>
      <c r="CE305" s="131"/>
    </row>
    <row r="306" ht="18.75" customHeight="1">
      <c r="C306" s="64"/>
      <c r="E306" s="64"/>
      <c r="F306" s="64"/>
      <c r="G306" s="64"/>
      <c r="AH306" s="162"/>
      <c r="AI306" s="162"/>
      <c r="AJ306" s="162"/>
      <c r="AK306" s="162"/>
      <c r="BS306" s="131"/>
      <c r="BT306" s="131"/>
      <c r="BU306" s="131"/>
      <c r="BV306" s="131"/>
      <c r="BW306" s="131"/>
      <c r="BX306" s="131"/>
      <c r="BY306" s="131"/>
      <c r="BZ306" s="131"/>
      <c r="CA306" s="131"/>
      <c r="CB306" s="131"/>
      <c r="CC306" s="131"/>
      <c r="CD306" s="131"/>
      <c r="CE306" s="131"/>
    </row>
    <row r="307" ht="18.75" customHeight="1">
      <c r="C307" s="64"/>
      <c r="E307" s="64"/>
      <c r="F307" s="64"/>
      <c r="G307" s="64"/>
      <c r="AH307" s="162"/>
      <c r="AI307" s="162"/>
      <c r="AJ307" s="162"/>
      <c r="AK307" s="162"/>
      <c r="BS307" s="131"/>
      <c r="BT307" s="131"/>
      <c r="BU307" s="131"/>
      <c r="BV307" s="131"/>
      <c r="BW307" s="131"/>
      <c r="BX307" s="131"/>
      <c r="BY307" s="131"/>
      <c r="BZ307" s="131"/>
      <c r="CA307" s="131"/>
      <c r="CB307" s="131"/>
      <c r="CC307" s="131"/>
      <c r="CD307" s="131"/>
      <c r="CE307" s="131"/>
    </row>
    <row r="308" ht="18.75" customHeight="1">
      <c r="C308" s="64"/>
      <c r="E308" s="64"/>
      <c r="F308" s="64"/>
      <c r="G308" s="64"/>
      <c r="AH308" s="162"/>
      <c r="AI308" s="162"/>
      <c r="AJ308" s="162"/>
      <c r="AK308" s="162"/>
      <c r="BS308" s="131"/>
      <c r="BT308" s="131"/>
      <c r="BU308" s="131"/>
      <c r="BV308" s="131"/>
      <c r="BW308" s="131"/>
      <c r="BX308" s="131"/>
      <c r="BY308" s="131"/>
      <c r="BZ308" s="131"/>
      <c r="CA308" s="131"/>
      <c r="CB308" s="131"/>
      <c r="CC308" s="131"/>
      <c r="CD308" s="131"/>
      <c r="CE308" s="131"/>
    </row>
    <row r="309" ht="18.75" customHeight="1">
      <c r="C309" s="64"/>
      <c r="E309" s="64"/>
      <c r="F309" s="64"/>
      <c r="G309" s="64"/>
      <c r="AH309" s="162"/>
      <c r="AI309" s="162"/>
      <c r="AJ309" s="162"/>
      <c r="AK309" s="162"/>
      <c r="BS309" s="131"/>
      <c r="BT309" s="131"/>
      <c r="BU309" s="131"/>
      <c r="BV309" s="131"/>
      <c r="BW309" s="131"/>
      <c r="BX309" s="131"/>
      <c r="BY309" s="131"/>
      <c r="BZ309" s="131"/>
      <c r="CA309" s="131"/>
      <c r="CB309" s="131"/>
      <c r="CC309" s="131"/>
      <c r="CD309" s="131"/>
      <c r="CE309" s="131"/>
    </row>
    <row r="310" ht="18.75" customHeight="1">
      <c r="C310" s="64"/>
      <c r="E310" s="64"/>
      <c r="F310" s="64"/>
      <c r="G310" s="64"/>
      <c r="AH310" s="162"/>
      <c r="AI310" s="162"/>
      <c r="AJ310" s="162"/>
      <c r="AK310" s="162"/>
      <c r="BS310" s="131"/>
      <c r="BT310" s="131"/>
      <c r="BU310" s="131"/>
      <c r="BV310" s="131"/>
      <c r="BW310" s="131"/>
      <c r="BX310" s="131"/>
      <c r="BY310" s="131"/>
      <c r="BZ310" s="131"/>
      <c r="CA310" s="131"/>
      <c r="CB310" s="131"/>
      <c r="CC310" s="131"/>
      <c r="CD310" s="131"/>
      <c r="CE310" s="131"/>
    </row>
    <row r="311" ht="18.75" customHeight="1">
      <c r="C311" s="64"/>
      <c r="E311" s="64"/>
      <c r="F311" s="64"/>
      <c r="G311" s="64"/>
      <c r="AH311" s="162"/>
      <c r="AI311" s="162"/>
      <c r="AJ311" s="162"/>
      <c r="AK311" s="162"/>
      <c r="BS311" s="131"/>
      <c r="BT311" s="131"/>
      <c r="BU311" s="131"/>
      <c r="BV311" s="131"/>
      <c r="BW311" s="131"/>
      <c r="BX311" s="131"/>
      <c r="BY311" s="131"/>
      <c r="BZ311" s="131"/>
      <c r="CA311" s="131"/>
      <c r="CB311" s="131"/>
      <c r="CC311" s="131"/>
      <c r="CD311" s="131"/>
      <c r="CE311" s="131"/>
    </row>
    <row r="312" ht="18.75" customHeight="1">
      <c r="C312" s="64"/>
      <c r="E312" s="64"/>
      <c r="F312" s="64"/>
      <c r="G312" s="64"/>
      <c r="AH312" s="162"/>
      <c r="AI312" s="162"/>
      <c r="AJ312" s="162"/>
      <c r="AK312" s="162"/>
      <c r="BS312" s="131"/>
      <c r="BT312" s="131"/>
      <c r="BU312" s="131"/>
      <c r="BV312" s="131"/>
      <c r="BW312" s="131"/>
      <c r="BX312" s="131"/>
      <c r="BY312" s="131"/>
      <c r="BZ312" s="131"/>
      <c r="CA312" s="131"/>
      <c r="CB312" s="131"/>
      <c r="CC312" s="131"/>
      <c r="CD312" s="131"/>
      <c r="CE312" s="131"/>
    </row>
    <row r="313" ht="18.75" customHeight="1">
      <c r="C313" s="64"/>
      <c r="E313" s="64"/>
      <c r="F313" s="64"/>
      <c r="G313" s="64"/>
      <c r="AH313" s="162"/>
      <c r="AI313" s="162"/>
      <c r="AJ313" s="162"/>
      <c r="AK313" s="162"/>
      <c r="BS313" s="131"/>
      <c r="BT313" s="131"/>
      <c r="BU313" s="131"/>
      <c r="BV313" s="131"/>
      <c r="BW313" s="131"/>
      <c r="BX313" s="131"/>
      <c r="BY313" s="131"/>
      <c r="BZ313" s="131"/>
      <c r="CA313" s="131"/>
      <c r="CB313" s="131"/>
      <c r="CC313" s="131"/>
      <c r="CD313" s="131"/>
      <c r="CE313" s="131"/>
    </row>
    <row r="314" ht="18.75" customHeight="1">
      <c r="C314" s="64"/>
      <c r="E314" s="64"/>
      <c r="F314" s="64"/>
      <c r="G314" s="64"/>
      <c r="AH314" s="162"/>
      <c r="AI314" s="162"/>
      <c r="AJ314" s="162"/>
      <c r="AK314" s="162"/>
      <c r="BS314" s="131"/>
      <c r="BT314" s="131"/>
      <c r="BU314" s="131"/>
      <c r="BV314" s="131"/>
      <c r="BW314" s="131"/>
      <c r="BX314" s="131"/>
      <c r="BY314" s="131"/>
      <c r="BZ314" s="131"/>
      <c r="CA314" s="131"/>
      <c r="CB314" s="131"/>
      <c r="CC314" s="131"/>
      <c r="CD314" s="131"/>
      <c r="CE314" s="131"/>
    </row>
    <row r="315" ht="18.75" customHeight="1">
      <c r="C315" s="64"/>
      <c r="E315" s="64"/>
      <c r="F315" s="64"/>
      <c r="G315" s="64"/>
      <c r="AH315" s="162"/>
      <c r="AI315" s="162"/>
      <c r="AJ315" s="162"/>
      <c r="AK315" s="162"/>
      <c r="BS315" s="131"/>
      <c r="BT315" s="131"/>
      <c r="BU315" s="131"/>
      <c r="BV315" s="131"/>
      <c r="BW315" s="131"/>
      <c r="BX315" s="131"/>
      <c r="BY315" s="131"/>
      <c r="BZ315" s="131"/>
      <c r="CA315" s="131"/>
      <c r="CB315" s="131"/>
      <c r="CC315" s="131"/>
      <c r="CD315" s="131"/>
      <c r="CE315" s="131"/>
    </row>
    <row r="316" ht="18.75" customHeight="1">
      <c r="C316" s="64"/>
      <c r="E316" s="64"/>
      <c r="F316" s="64"/>
      <c r="G316" s="64"/>
      <c r="AH316" s="162"/>
      <c r="AI316" s="162"/>
      <c r="AJ316" s="162"/>
      <c r="AK316" s="162"/>
      <c r="BS316" s="131"/>
      <c r="BT316" s="131"/>
      <c r="BU316" s="131"/>
      <c r="BV316" s="131"/>
      <c r="BW316" s="131"/>
      <c r="BX316" s="131"/>
      <c r="BY316" s="131"/>
      <c r="BZ316" s="131"/>
      <c r="CA316" s="131"/>
      <c r="CB316" s="131"/>
      <c r="CC316" s="131"/>
      <c r="CD316" s="131"/>
      <c r="CE316" s="131"/>
    </row>
    <row r="317" ht="18.75" customHeight="1">
      <c r="C317" s="64"/>
      <c r="E317" s="64"/>
      <c r="F317" s="64"/>
      <c r="G317" s="64"/>
      <c r="AH317" s="162"/>
      <c r="AI317" s="162"/>
      <c r="AJ317" s="162"/>
      <c r="AK317" s="162"/>
      <c r="BS317" s="131"/>
      <c r="BT317" s="131"/>
      <c r="BU317" s="131"/>
      <c r="BV317" s="131"/>
      <c r="BW317" s="131"/>
      <c r="BX317" s="131"/>
      <c r="BY317" s="131"/>
      <c r="BZ317" s="131"/>
      <c r="CA317" s="131"/>
      <c r="CB317" s="131"/>
      <c r="CC317" s="131"/>
      <c r="CD317" s="131"/>
      <c r="CE317" s="131"/>
    </row>
    <row r="318" ht="18.75" customHeight="1">
      <c r="C318" s="64"/>
      <c r="E318" s="64"/>
      <c r="F318" s="64"/>
      <c r="G318" s="64"/>
      <c r="AH318" s="162"/>
      <c r="AI318" s="162"/>
      <c r="AJ318" s="162"/>
      <c r="AK318" s="162"/>
      <c r="BS318" s="131"/>
      <c r="BT318" s="131"/>
      <c r="BU318" s="131"/>
      <c r="BV318" s="131"/>
      <c r="BW318" s="131"/>
      <c r="BX318" s="131"/>
      <c r="BY318" s="131"/>
      <c r="BZ318" s="131"/>
      <c r="CA318" s="131"/>
      <c r="CB318" s="131"/>
      <c r="CC318" s="131"/>
      <c r="CD318" s="131"/>
      <c r="CE318" s="131"/>
    </row>
    <row r="319" ht="18.75" customHeight="1">
      <c r="C319" s="64"/>
      <c r="E319" s="64"/>
      <c r="F319" s="64"/>
      <c r="G319" s="64"/>
      <c r="AH319" s="162"/>
      <c r="AI319" s="162"/>
      <c r="AJ319" s="162"/>
      <c r="AK319" s="162"/>
      <c r="BS319" s="131"/>
      <c r="BT319" s="131"/>
      <c r="BU319" s="131"/>
      <c r="BV319" s="131"/>
      <c r="BW319" s="131"/>
      <c r="BX319" s="131"/>
      <c r="BY319" s="131"/>
      <c r="BZ319" s="131"/>
      <c r="CA319" s="131"/>
      <c r="CB319" s="131"/>
      <c r="CC319" s="131"/>
      <c r="CD319" s="131"/>
      <c r="CE319" s="131"/>
    </row>
    <row r="320" ht="18.75" customHeight="1">
      <c r="C320" s="64"/>
      <c r="E320" s="64"/>
      <c r="F320" s="64"/>
      <c r="G320" s="64"/>
      <c r="AH320" s="162"/>
      <c r="AI320" s="162"/>
      <c r="AJ320" s="162"/>
      <c r="AK320" s="162"/>
      <c r="BS320" s="131"/>
      <c r="BT320" s="131"/>
      <c r="BU320" s="131"/>
      <c r="BV320" s="131"/>
      <c r="BW320" s="131"/>
      <c r="BX320" s="131"/>
      <c r="BY320" s="131"/>
      <c r="BZ320" s="131"/>
      <c r="CA320" s="131"/>
      <c r="CB320" s="131"/>
      <c r="CC320" s="131"/>
      <c r="CD320" s="131"/>
      <c r="CE320" s="131"/>
    </row>
    <row r="321" ht="18.75" customHeight="1">
      <c r="C321" s="64"/>
      <c r="E321" s="64"/>
      <c r="F321" s="64"/>
      <c r="G321" s="64"/>
      <c r="AH321" s="162"/>
      <c r="AI321" s="162"/>
      <c r="AJ321" s="162"/>
      <c r="AK321" s="162"/>
      <c r="BS321" s="131"/>
      <c r="BT321" s="131"/>
      <c r="BU321" s="131"/>
      <c r="BV321" s="131"/>
      <c r="BW321" s="131"/>
      <c r="BX321" s="131"/>
      <c r="BY321" s="131"/>
      <c r="BZ321" s="131"/>
      <c r="CA321" s="131"/>
      <c r="CB321" s="131"/>
      <c r="CC321" s="131"/>
      <c r="CD321" s="131"/>
      <c r="CE321" s="131"/>
    </row>
    <row r="322" ht="18.75" customHeight="1">
      <c r="C322" s="64"/>
      <c r="E322" s="64"/>
      <c r="F322" s="64"/>
      <c r="G322" s="64"/>
      <c r="AH322" s="162"/>
      <c r="AI322" s="162"/>
      <c r="AJ322" s="162"/>
      <c r="AK322" s="162"/>
      <c r="BS322" s="131"/>
      <c r="BT322" s="131"/>
      <c r="BU322" s="131"/>
      <c r="BV322" s="131"/>
      <c r="BW322" s="131"/>
      <c r="BX322" s="131"/>
      <c r="BY322" s="131"/>
      <c r="BZ322" s="131"/>
      <c r="CA322" s="131"/>
      <c r="CB322" s="131"/>
      <c r="CC322" s="131"/>
      <c r="CD322" s="131"/>
      <c r="CE322" s="131"/>
    </row>
    <row r="323" ht="18.75" customHeight="1">
      <c r="C323" s="64"/>
      <c r="E323" s="64"/>
      <c r="F323" s="64"/>
      <c r="G323" s="64"/>
      <c r="AH323" s="162"/>
      <c r="AI323" s="162"/>
      <c r="AJ323" s="162"/>
      <c r="AK323" s="162"/>
      <c r="BS323" s="131"/>
      <c r="BT323" s="131"/>
      <c r="BU323" s="131"/>
      <c r="BV323" s="131"/>
      <c r="BW323" s="131"/>
      <c r="BX323" s="131"/>
      <c r="BY323" s="131"/>
      <c r="BZ323" s="131"/>
      <c r="CA323" s="131"/>
      <c r="CB323" s="131"/>
      <c r="CC323" s="131"/>
      <c r="CD323" s="131"/>
      <c r="CE323" s="131"/>
    </row>
    <row r="324" ht="18.75" customHeight="1">
      <c r="C324" s="64"/>
      <c r="E324" s="64"/>
      <c r="F324" s="64"/>
      <c r="G324" s="64"/>
      <c r="AH324" s="162"/>
      <c r="AI324" s="162"/>
      <c r="AJ324" s="162"/>
      <c r="AK324" s="162"/>
      <c r="BS324" s="131"/>
      <c r="BT324" s="131"/>
      <c r="BU324" s="131"/>
      <c r="BV324" s="131"/>
      <c r="BW324" s="131"/>
      <c r="BX324" s="131"/>
      <c r="BY324" s="131"/>
      <c r="BZ324" s="131"/>
      <c r="CA324" s="131"/>
      <c r="CB324" s="131"/>
      <c r="CC324" s="131"/>
      <c r="CD324" s="131"/>
      <c r="CE324" s="131"/>
    </row>
    <row r="325" ht="18.75" customHeight="1">
      <c r="C325" s="64"/>
      <c r="E325" s="64"/>
      <c r="F325" s="64"/>
      <c r="G325" s="64"/>
      <c r="AH325" s="162"/>
      <c r="AI325" s="162"/>
      <c r="AJ325" s="162"/>
      <c r="AK325" s="162"/>
      <c r="BS325" s="131"/>
      <c r="BT325" s="131"/>
      <c r="BU325" s="131"/>
      <c r="BV325" s="131"/>
      <c r="BW325" s="131"/>
      <c r="BX325" s="131"/>
      <c r="BY325" s="131"/>
      <c r="BZ325" s="131"/>
      <c r="CA325" s="131"/>
      <c r="CB325" s="131"/>
      <c r="CC325" s="131"/>
      <c r="CD325" s="131"/>
      <c r="CE325" s="131"/>
    </row>
    <row r="326" ht="18.75" customHeight="1">
      <c r="C326" s="64"/>
      <c r="E326" s="64"/>
      <c r="F326" s="64"/>
      <c r="G326" s="64"/>
      <c r="AH326" s="162"/>
      <c r="AI326" s="162"/>
      <c r="AJ326" s="162"/>
      <c r="AK326" s="162"/>
      <c r="BS326" s="131"/>
      <c r="BT326" s="131"/>
      <c r="BU326" s="131"/>
      <c r="BV326" s="131"/>
      <c r="BW326" s="131"/>
      <c r="BX326" s="131"/>
      <c r="BY326" s="131"/>
      <c r="BZ326" s="131"/>
      <c r="CA326" s="131"/>
      <c r="CB326" s="131"/>
      <c r="CC326" s="131"/>
      <c r="CD326" s="131"/>
      <c r="CE326" s="131"/>
    </row>
    <row r="327" ht="18.75" customHeight="1">
      <c r="C327" s="64"/>
      <c r="E327" s="64"/>
      <c r="F327" s="64"/>
      <c r="G327" s="64"/>
      <c r="AH327" s="162"/>
      <c r="AI327" s="162"/>
      <c r="AJ327" s="162"/>
      <c r="AK327" s="162"/>
      <c r="BS327" s="131"/>
      <c r="BT327" s="131"/>
      <c r="BU327" s="131"/>
      <c r="BV327" s="131"/>
      <c r="BW327" s="131"/>
      <c r="BX327" s="131"/>
      <c r="BY327" s="131"/>
      <c r="BZ327" s="131"/>
      <c r="CA327" s="131"/>
      <c r="CB327" s="131"/>
      <c r="CC327" s="131"/>
      <c r="CD327" s="131"/>
      <c r="CE327" s="131"/>
    </row>
    <row r="328" ht="18.75" customHeight="1">
      <c r="C328" s="64"/>
      <c r="E328" s="64"/>
      <c r="F328" s="64"/>
      <c r="G328" s="64"/>
      <c r="AH328" s="162"/>
      <c r="AI328" s="162"/>
      <c r="AJ328" s="162"/>
      <c r="AK328" s="162"/>
      <c r="BS328" s="131"/>
      <c r="BT328" s="131"/>
      <c r="BU328" s="131"/>
      <c r="BV328" s="131"/>
      <c r="BW328" s="131"/>
      <c r="BX328" s="131"/>
      <c r="BY328" s="131"/>
      <c r="BZ328" s="131"/>
      <c r="CA328" s="131"/>
      <c r="CB328" s="131"/>
      <c r="CC328" s="131"/>
      <c r="CD328" s="131"/>
      <c r="CE328" s="131"/>
    </row>
    <row r="329" ht="18.75" customHeight="1">
      <c r="C329" s="64"/>
      <c r="E329" s="64"/>
      <c r="F329" s="64"/>
      <c r="G329" s="64"/>
      <c r="AH329" s="162"/>
      <c r="AI329" s="162"/>
      <c r="AJ329" s="162"/>
      <c r="AK329" s="162"/>
      <c r="BS329" s="131"/>
      <c r="BT329" s="131"/>
      <c r="BU329" s="131"/>
      <c r="BV329" s="131"/>
      <c r="BW329" s="131"/>
      <c r="BX329" s="131"/>
      <c r="BY329" s="131"/>
      <c r="BZ329" s="131"/>
      <c r="CA329" s="131"/>
      <c r="CB329" s="131"/>
      <c r="CC329" s="131"/>
      <c r="CD329" s="131"/>
      <c r="CE329" s="131"/>
    </row>
    <row r="330" ht="18.75" customHeight="1">
      <c r="C330" s="64"/>
      <c r="E330" s="64"/>
      <c r="F330" s="64"/>
      <c r="G330" s="64"/>
      <c r="AH330" s="162"/>
      <c r="AI330" s="162"/>
      <c r="AJ330" s="162"/>
      <c r="AK330" s="162"/>
      <c r="BS330" s="131"/>
      <c r="BT330" s="131"/>
      <c r="BU330" s="131"/>
      <c r="BV330" s="131"/>
      <c r="BW330" s="131"/>
      <c r="BX330" s="131"/>
      <c r="BY330" s="131"/>
      <c r="BZ330" s="131"/>
      <c r="CA330" s="131"/>
      <c r="CB330" s="131"/>
      <c r="CC330" s="131"/>
      <c r="CD330" s="131"/>
      <c r="CE330" s="131"/>
    </row>
    <row r="331" ht="18.75" customHeight="1">
      <c r="C331" s="64"/>
      <c r="E331" s="64"/>
      <c r="F331" s="64"/>
      <c r="G331" s="64"/>
      <c r="AH331" s="162"/>
      <c r="AI331" s="162"/>
      <c r="AJ331" s="162"/>
      <c r="AK331" s="162"/>
      <c r="BS331" s="131"/>
      <c r="BT331" s="131"/>
      <c r="BU331" s="131"/>
      <c r="BV331" s="131"/>
      <c r="BW331" s="131"/>
      <c r="BX331" s="131"/>
      <c r="BY331" s="131"/>
      <c r="BZ331" s="131"/>
      <c r="CA331" s="131"/>
      <c r="CB331" s="131"/>
      <c r="CC331" s="131"/>
      <c r="CD331" s="131"/>
      <c r="CE331" s="131"/>
    </row>
    <row r="332" ht="18.75" customHeight="1">
      <c r="C332" s="64"/>
      <c r="E332" s="64"/>
      <c r="F332" s="64"/>
      <c r="G332" s="64"/>
      <c r="AH332" s="162"/>
      <c r="AI332" s="162"/>
      <c r="AJ332" s="162"/>
      <c r="AK332" s="162"/>
      <c r="BS332" s="131"/>
      <c r="BT332" s="131"/>
      <c r="BU332" s="131"/>
      <c r="BV332" s="131"/>
      <c r="BW332" s="131"/>
      <c r="BX332" s="131"/>
      <c r="BY332" s="131"/>
      <c r="BZ332" s="131"/>
      <c r="CA332" s="131"/>
      <c r="CB332" s="131"/>
      <c r="CC332" s="131"/>
      <c r="CD332" s="131"/>
      <c r="CE332" s="131"/>
    </row>
    <row r="333" ht="18.75" customHeight="1">
      <c r="C333" s="64"/>
      <c r="E333" s="64"/>
      <c r="F333" s="64"/>
      <c r="G333" s="64"/>
      <c r="AH333" s="162"/>
      <c r="AI333" s="162"/>
      <c r="AJ333" s="162"/>
      <c r="AK333" s="162"/>
      <c r="BS333" s="131"/>
      <c r="BT333" s="131"/>
      <c r="BU333" s="131"/>
      <c r="BV333" s="131"/>
      <c r="BW333" s="131"/>
      <c r="BX333" s="131"/>
      <c r="BY333" s="131"/>
      <c r="BZ333" s="131"/>
      <c r="CA333" s="131"/>
      <c r="CB333" s="131"/>
      <c r="CC333" s="131"/>
      <c r="CD333" s="131"/>
      <c r="CE333" s="131"/>
    </row>
    <row r="334" ht="18.75" customHeight="1">
      <c r="C334" s="64"/>
      <c r="E334" s="64"/>
      <c r="F334" s="64"/>
      <c r="G334" s="64"/>
      <c r="AH334" s="162"/>
      <c r="AI334" s="162"/>
      <c r="AJ334" s="162"/>
      <c r="AK334" s="162"/>
      <c r="BS334" s="131"/>
      <c r="BT334" s="131"/>
      <c r="BU334" s="131"/>
      <c r="BV334" s="131"/>
      <c r="BW334" s="131"/>
      <c r="BX334" s="131"/>
      <c r="BY334" s="131"/>
      <c r="BZ334" s="131"/>
      <c r="CA334" s="131"/>
      <c r="CB334" s="131"/>
      <c r="CC334" s="131"/>
      <c r="CD334" s="131"/>
      <c r="CE334" s="131"/>
    </row>
    <row r="335" ht="18.75" customHeight="1">
      <c r="C335" s="64"/>
      <c r="E335" s="64"/>
      <c r="F335" s="64"/>
      <c r="G335" s="64"/>
      <c r="AH335" s="162"/>
      <c r="AI335" s="162"/>
      <c r="AJ335" s="162"/>
      <c r="AK335" s="162"/>
      <c r="BS335" s="131"/>
      <c r="BT335" s="131"/>
      <c r="BU335" s="131"/>
      <c r="BV335" s="131"/>
      <c r="BW335" s="131"/>
      <c r="BX335" s="131"/>
      <c r="BY335" s="131"/>
      <c r="BZ335" s="131"/>
      <c r="CA335" s="131"/>
      <c r="CB335" s="131"/>
      <c r="CC335" s="131"/>
      <c r="CD335" s="131"/>
      <c r="CE335" s="131"/>
    </row>
    <row r="336" ht="18.75" customHeight="1">
      <c r="C336" s="64"/>
      <c r="E336" s="64"/>
      <c r="F336" s="64"/>
      <c r="G336" s="64"/>
      <c r="AH336" s="162"/>
      <c r="AI336" s="162"/>
      <c r="AJ336" s="162"/>
      <c r="AK336" s="162"/>
      <c r="BS336" s="131"/>
      <c r="BT336" s="131"/>
      <c r="BU336" s="131"/>
      <c r="BV336" s="131"/>
      <c r="BW336" s="131"/>
      <c r="BX336" s="131"/>
      <c r="BY336" s="131"/>
      <c r="BZ336" s="131"/>
      <c r="CA336" s="131"/>
      <c r="CB336" s="131"/>
      <c r="CC336" s="131"/>
      <c r="CD336" s="131"/>
      <c r="CE336" s="131"/>
    </row>
    <row r="337" ht="18.75" customHeight="1">
      <c r="C337" s="64"/>
      <c r="E337" s="64"/>
      <c r="F337" s="64"/>
      <c r="G337" s="64"/>
      <c r="AH337" s="162"/>
      <c r="AI337" s="162"/>
      <c r="AJ337" s="162"/>
      <c r="AK337" s="162"/>
      <c r="BS337" s="131"/>
      <c r="BT337" s="131"/>
      <c r="BU337" s="131"/>
      <c r="BV337" s="131"/>
      <c r="BW337" s="131"/>
      <c r="BX337" s="131"/>
      <c r="BY337" s="131"/>
      <c r="BZ337" s="131"/>
      <c r="CA337" s="131"/>
      <c r="CB337" s="131"/>
      <c r="CC337" s="131"/>
      <c r="CD337" s="131"/>
      <c r="CE337" s="131"/>
    </row>
    <row r="338" ht="18.75" customHeight="1">
      <c r="C338" s="64"/>
      <c r="E338" s="64"/>
      <c r="F338" s="64"/>
      <c r="G338" s="64"/>
      <c r="AH338" s="162"/>
      <c r="AI338" s="162"/>
      <c r="AJ338" s="162"/>
      <c r="AK338" s="162"/>
      <c r="BS338" s="131"/>
      <c r="BT338" s="131"/>
      <c r="BU338" s="131"/>
      <c r="BV338" s="131"/>
      <c r="BW338" s="131"/>
      <c r="BX338" s="131"/>
      <c r="BY338" s="131"/>
      <c r="BZ338" s="131"/>
      <c r="CA338" s="131"/>
      <c r="CB338" s="131"/>
      <c r="CC338" s="131"/>
      <c r="CD338" s="131"/>
      <c r="CE338" s="131"/>
    </row>
    <row r="339" ht="18.75" customHeight="1">
      <c r="C339" s="64"/>
      <c r="E339" s="64"/>
      <c r="F339" s="64"/>
      <c r="G339" s="64"/>
      <c r="AH339" s="162"/>
      <c r="AI339" s="162"/>
      <c r="AJ339" s="162"/>
      <c r="AK339" s="162"/>
      <c r="BS339" s="131"/>
      <c r="BT339" s="131"/>
      <c r="BU339" s="131"/>
      <c r="BV339" s="131"/>
      <c r="BW339" s="131"/>
      <c r="BX339" s="131"/>
      <c r="BY339" s="131"/>
      <c r="BZ339" s="131"/>
      <c r="CA339" s="131"/>
      <c r="CB339" s="131"/>
      <c r="CC339" s="131"/>
      <c r="CD339" s="131"/>
      <c r="CE339" s="131"/>
    </row>
    <row r="340" ht="18.75" customHeight="1">
      <c r="C340" s="64"/>
      <c r="E340" s="64"/>
      <c r="F340" s="64"/>
      <c r="G340" s="64"/>
      <c r="AH340" s="162"/>
      <c r="AI340" s="162"/>
      <c r="AJ340" s="162"/>
      <c r="AK340" s="162"/>
      <c r="BS340" s="131"/>
      <c r="BT340" s="131"/>
      <c r="BU340" s="131"/>
      <c r="BV340" s="131"/>
      <c r="BW340" s="131"/>
      <c r="BX340" s="131"/>
      <c r="BY340" s="131"/>
      <c r="BZ340" s="131"/>
      <c r="CA340" s="131"/>
      <c r="CB340" s="131"/>
      <c r="CC340" s="131"/>
      <c r="CD340" s="131"/>
      <c r="CE340" s="131"/>
    </row>
    <row r="341" ht="18.75" customHeight="1">
      <c r="C341" s="64"/>
      <c r="E341" s="64"/>
      <c r="F341" s="64"/>
      <c r="G341" s="64"/>
      <c r="AH341" s="162"/>
      <c r="AI341" s="162"/>
      <c r="AJ341" s="162"/>
      <c r="AK341" s="162"/>
      <c r="BS341" s="131"/>
      <c r="BT341" s="131"/>
      <c r="BU341" s="131"/>
      <c r="BV341" s="131"/>
      <c r="BW341" s="131"/>
      <c r="BX341" s="131"/>
      <c r="BY341" s="131"/>
      <c r="BZ341" s="131"/>
      <c r="CA341" s="131"/>
      <c r="CB341" s="131"/>
      <c r="CC341" s="131"/>
      <c r="CD341" s="131"/>
      <c r="CE341" s="131"/>
    </row>
    <row r="342" ht="18.75" customHeight="1">
      <c r="C342" s="64"/>
      <c r="E342" s="64"/>
      <c r="F342" s="64"/>
      <c r="G342" s="64"/>
      <c r="AH342" s="162"/>
      <c r="AI342" s="162"/>
      <c r="AJ342" s="162"/>
      <c r="AK342" s="162"/>
      <c r="BS342" s="131"/>
      <c r="BT342" s="131"/>
      <c r="BU342" s="131"/>
      <c r="BV342" s="131"/>
      <c r="BW342" s="131"/>
      <c r="BX342" s="131"/>
      <c r="BY342" s="131"/>
      <c r="BZ342" s="131"/>
      <c r="CA342" s="131"/>
      <c r="CB342" s="131"/>
      <c r="CC342" s="131"/>
      <c r="CD342" s="131"/>
      <c r="CE342" s="131"/>
    </row>
    <row r="343" ht="18.75" customHeight="1">
      <c r="C343" s="64"/>
      <c r="E343" s="64"/>
      <c r="F343" s="64"/>
      <c r="G343" s="64"/>
      <c r="AH343" s="162"/>
      <c r="AI343" s="162"/>
      <c r="AJ343" s="162"/>
      <c r="AK343" s="162"/>
      <c r="BS343" s="131"/>
      <c r="BT343" s="131"/>
      <c r="BU343" s="131"/>
      <c r="BV343" s="131"/>
      <c r="BW343" s="131"/>
      <c r="BX343" s="131"/>
      <c r="BY343" s="131"/>
      <c r="BZ343" s="131"/>
      <c r="CA343" s="131"/>
      <c r="CB343" s="131"/>
      <c r="CC343" s="131"/>
      <c r="CD343" s="131"/>
      <c r="CE343" s="131"/>
    </row>
    <row r="344" ht="18.75" customHeight="1">
      <c r="C344" s="64"/>
      <c r="E344" s="64"/>
      <c r="F344" s="64"/>
      <c r="G344" s="64"/>
      <c r="AH344" s="162"/>
      <c r="AI344" s="162"/>
      <c r="AJ344" s="162"/>
      <c r="AK344" s="162"/>
      <c r="BS344" s="131"/>
      <c r="BT344" s="131"/>
      <c r="BU344" s="131"/>
      <c r="BV344" s="131"/>
      <c r="BW344" s="131"/>
      <c r="BX344" s="131"/>
      <c r="BY344" s="131"/>
      <c r="BZ344" s="131"/>
      <c r="CA344" s="131"/>
      <c r="CB344" s="131"/>
      <c r="CC344" s="131"/>
      <c r="CD344" s="131"/>
      <c r="CE344" s="131"/>
    </row>
    <row r="345" ht="18.75" customHeight="1">
      <c r="C345" s="64"/>
      <c r="E345" s="64"/>
      <c r="F345" s="64"/>
      <c r="G345" s="64"/>
      <c r="AH345" s="162"/>
      <c r="AI345" s="162"/>
      <c r="AJ345" s="162"/>
      <c r="AK345" s="162"/>
      <c r="BS345" s="131"/>
      <c r="BT345" s="131"/>
      <c r="BU345" s="131"/>
      <c r="BV345" s="131"/>
      <c r="BW345" s="131"/>
      <c r="BX345" s="131"/>
      <c r="BY345" s="131"/>
      <c r="BZ345" s="131"/>
      <c r="CA345" s="131"/>
      <c r="CB345" s="131"/>
      <c r="CC345" s="131"/>
      <c r="CD345" s="131"/>
      <c r="CE345" s="131"/>
    </row>
    <row r="346" ht="18.75" customHeight="1">
      <c r="C346" s="64"/>
      <c r="E346" s="64"/>
      <c r="F346" s="64"/>
      <c r="G346" s="64"/>
      <c r="AH346" s="162"/>
      <c r="AI346" s="162"/>
      <c r="AJ346" s="162"/>
      <c r="AK346" s="162"/>
      <c r="BS346" s="131"/>
      <c r="BT346" s="131"/>
      <c r="BU346" s="131"/>
      <c r="BV346" s="131"/>
      <c r="BW346" s="131"/>
      <c r="BX346" s="131"/>
      <c r="BY346" s="131"/>
      <c r="BZ346" s="131"/>
      <c r="CA346" s="131"/>
      <c r="CB346" s="131"/>
      <c r="CC346" s="131"/>
      <c r="CD346" s="131"/>
      <c r="CE346" s="131"/>
    </row>
    <row r="347" ht="18.75" customHeight="1">
      <c r="C347" s="64"/>
      <c r="E347" s="64"/>
      <c r="F347" s="64"/>
      <c r="G347" s="64"/>
      <c r="AH347" s="162"/>
      <c r="AI347" s="162"/>
      <c r="AJ347" s="162"/>
      <c r="AK347" s="162"/>
      <c r="BS347" s="131"/>
      <c r="BT347" s="131"/>
      <c r="BU347" s="131"/>
      <c r="BV347" s="131"/>
      <c r="BW347" s="131"/>
      <c r="BX347" s="131"/>
      <c r="BY347" s="131"/>
      <c r="BZ347" s="131"/>
      <c r="CA347" s="131"/>
      <c r="CB347" s="131"/>
      <c r="CC347" s="131"/>
      <c r="CD347" s="131"/>
      <c r="CE347" s="131"/>
    </row>
    <row r="348" ht="18.75" customHeight="1">
      <c r="C348" s="64"/>
      <c r="E348" s="64"/>
      <c r="F348" s="64"/>
      <c r="G348" s="64"/>
      <c r="AH348" s="162"/>
      <c r="AI348" s="162"/>
      <c r="AJ348" s="162"/>
      <c r="AK348" s="162"/>
      <c r="BS348" s="131"/>
      <c r="BT348" s="131"/>
      <c r="BU348" s="131"/>
      <c r="BV348" s="131"/>
      <c r="BW348" s="131"/>
      <c r="BX348" s="131"/>
      <c r="BY348" s="131"/>
      <c r="BZ348" s="131"/>
      <c r="CA348" s="131"/>
      <c r="CB348" s="131"/>
      <c r="CC348" s="131"/>
      <c r="CD348" s="131"/>
      <c r="CE348" s="131"/>
    </row>
    <row r="349" ht="18.75" customHeight="1">
      <c r="C349" s="64"/>
      <c r="E349" s="64"/>
      <c r="F349" s="64"/>
      <c r="G349" s="64"/>
      <c r="AH349" s="162"/>
      <c r="AI349" s="162"/>
      <c r="AJ349" s="162"/>
      <c r="AK349" s="162"/>
      <c r="BS349" s="131"/>
      <c r="BT349" s="131"/>
      <c r="BU349" s="131"/>
      <c r="BV349" s="131"/>
      <c r="BW349" s="131"/>
      <c r="BX349" s="131"/>
      <c r="BY349" s="131"/>
      <c r="BZ349" s="131"/>
      <c r="CA349" s="131"/>
      <c r="CB349" s="131"/>
      <c r="CC349" s="131"/>
      <c r="CD349" s="131"/>
      <c r="CE349" s="131"/>
    </row>
    <row r="350" ht="18.75" customHeight="1">
      <c r="C350" s="64"/>
      <c r="E350" s="64"/>
      <c r="F350" s="64"/>
      <c r="G350" s="64"/>
      <c r="AH350" s="162"/>
      <c r="AI350" s="162"/>
      <c r="AJ350" s="162"/>
      <c r="AK350" s="162"/>
      <c r="BS350" s="131"/>
      <c r="BT350" s="131"/>
      <c r="BU350" s="131"/>
      <c r="BV350" s="131"/>
      <c r="BW350" s="131"/>
      <c r="BX350" s="131"/>
      <c r="BY350" s="131"/>
      <c r="BZ350" s="131"/>
      <c r="CA350" s="131"/>
      <c r="CB350" s="131"/>
      <c r="CC350" s="131"/>
      <c r="CD350" s="131"/>
      <c r="CE350" s="131"/>
    </row>
    <row r="351" ht="18.75" customHeight="1">
      <c r="C351" s="64"/>
      <c r="E351" s="64"/>
      <c r="F351" s="64"/>
      <c r="G351" s="64"/>
      <c r="AH351" s="162"/>
      <c r="AI351" s="162"/>
      <c r="AJ351" s="162"/>
      <c r="AK351" s="162"/>
      <c r="BS351" s="131"/>
      <c r="BT351" s="131"/>
      <c r="BU351" s="131"/>
      <c r="BV351" s="131"/>
      <c r="BW351" s="131"/>
      <c r="BX351" s="131"/>
      <c r="BY351" s="131"/>
      <c r="BZ351" s="131"/>
      <c r="CA351" s="131"/>
      <c r="CB351" s="131"/>
      <c r="CC351" s="131"/>
      <c r="CD351" s="131"/>
      <c r="CE351" s="131"/>
    </row>
    <row r="352" ht="18.75" customHeight="1">
      <c r="C352" s="64"/>
      <c r="E352" s="64"/>
      <c r="F352" s="64"/>
      <c r="G352" s="64"/>
      <c r="AH352" s="162"/>
      <c r="AI352" s="162"/>
      <c r="AJ352" s="162"/>
      <c r="AK352" s="162"/>
      <c r="BS352" s="131"/>
      <c r="BT352" s="131"/>
      <c r="BU352" s="131"/>
      <c r="BV352" s="131"/>
      <c r="BW352" s="131"/>
      <c r="BX352" s="131"/>
      <c r="BY352" s="131"/>
      <c r="BZ352" s="131"/>
      <c r="CA352" s="131"/>
      <c r="CB352" s="131"/>
      <c r="CC352" s="131"/>
      <c r="CD352" s="131"/>
      <c r="CE352" s="131"/>
    </row>
    <row r="353" ht="18.75" customHeight="1">
      <c r="C353" s="64"/>
      <c r="E353" s="64"/>
      <c r="F353" s="64"/>
      <c r="G353" s="64"/>
      <c r="AH353" s="162"/>
      <c r="AI353" s="162"/>
      <c r="AJ353" s="162"/>
      <c r="AK353" s="162"/>
      <c r="BS353" s="131"/>
      <c r="BT353" s="131"/>
      <c r="BU353" s="131"/>
      <c r="BV353" s="131"/>
      <c r="BW353" s="131"/>
      <c r="BX353" s="131"/>
      <c r="BY353" s="131"/>
      <c r="BZ353" s="131"/>
      <c r="CA353" s="131"/>
      <c r="CB353" s="131"/>
      <c r="CC353" s="131"/>
      <c r="CD353" s="131"/>
      <c r="CE353" s="131"/>
    </row>
    <row r="354" ht="18.75" customHeight="1">
      <c r="C354" s="64"/>
      <c r="E354" s="64"/>
      <c r="F354" s="64"/>
      <c r="G354" s="64"/>
      <c r="AH354" s="162"/>
      <c r="AI354" s="162"/>
      <c r="AJ354" s="162"/>
      <c r="AK354" s="162"/>
      <c r="BS354" s="131"/>
      <c r="BT354" s="131"/>
      <c r="BU354" s="131"/>
      <c r="BV354" s="131"/>
      <c r="BW354" s="131"/>
      <c r="BX354" s="131"/>
      <c r="BY354" s="131"/>
      <c r="BZ354" s="131"/>
      <c r="CA354" s="131"/>
      <c r="CB354" s="131"/>
      <c r="CC354" s="131"/>
      <c r="CD354" s="131"/>
      <c r="CE354" s="131"/>
    </row>
    <row r="355" ht="18.75" customHeight="1">
      <c r="C355" s="64"/>
      <c r="E355" s="64"/>
      <c r="F355" s="64"/>
      <c r="G355" s="64"/>
      <c r="AH355" s="162"/>
      <c r="AI355" s="162"/>
      <c r="AJ355" s="162"/>
      <c r="AK355" s="162"/>
      <c r="BS355" s="131"/>
      <c r="BT355" s="131"/>
      <c r="BU355" s="131"/>
      <c r="BV355" s="131"/>
      <c r="BW355" s="131"/>
      <c r="BX355" s="131"/>
      <c r="BY355" s="131"/>
      <c r="BZ355" s="131"/>
      <c r="CA355" s="131"/>
      <c r="CB355" s="131"/>
      <c r="CC355" s="131"/>
      <c r="CD355" s="131"/>
      <c r="CE355" s="131"/>
    </row>
    <row r="356" ht="18.75" customHeight="1">
      <c r="C356" s="64"/>
      <c r="E356" s="64"/>
      <c r="F356" s="64"/>
      <c r="G356" s="64"/>
      <c r="AH356" s="162"/>
      <c r="AI356" s="162"/>
      <c r="AJ356" s="162"/>
      <c r="AK356" s="162"/>
      <c r="BS356" s="131"/>
      <c r="BT356" s="131"/>
      <c r="BU356" s="131"/>
      <c r="BV356" s="131"/>
      <c r="BW356" s="131"/>
      <c r="BX356" s="131"/>
      <c r="BY356" s="131"/>
      <c r="BZ356" s="131"/>
      <c r="CA356" s="131"/>
      <c r="CB356" s="131"/>
      <c r="CC356" s="131"/>
      <c r="CD356" s="131"/>
      <c r="CE356" s="131"/>
    </row>
    <row r="357" ht="18.75" customHeight="1">
      <c r="C357" s="64"/>
      <c r="E357" s="64"/>
      <c r="F357" s="64"/>
      <c r="G357" s="64"/>
      <c r="AH357" s="162"/>
      <c r="AI357" s="162"/>
      <c r="AJ357" s="162"/>
      <c r="AK357" s="162"/>
      <c r="BS357" s="131"/>
      <c r="BT357" s="131"/>
      <c r="BU357" s="131"/>
      <c r="BV357" s="131"/>
      <c r="BW357" s="131"/>
      <c r="BX357" s="131"/>
      <c r="BY357" s="131"/>
      <c r="BZ357" s="131"/>
      <c r="CA357" s="131"/>
      <c r="CB357" s="131"/>
      <c r="CC357" s="131"/>
      <c r="CD357" s="131"/>
      <c r="CE357" s="131"/>
    </row>
    <row r="358" ht="18.75" customHeight="1">
      <c r="C358" s="64"/>
      <c r="E358" s="64"/>
      <c r="F358" s="64"/>
      <c r="G358" s="64"/>
      <c r="AH358" s="162"/>
      <c r="AI358" s="162"/>
      <c r="AJ358" s="162"/>
      <c r="AK358" s="162"/>
      <c r="BS358" s="131"/>
      <c r="BT358" s="131"/>
      <c r="BU358" s="131"/>
      <c r="BV358" s="131"/>
      <c r="BW358" s="131"/>
      <c r="BX358" s="131"/>
      <c r="BY358" s="131"/>
      <c r="BZ358" s="131"/>
      <c r="CA358" s="131"/>
      <c r="CB358" s="131"/>
      <c r="CC358" s="131"/>
      <c r="CD358" s="131"/>
      <c r="CE358" s="131"/>
    </row>
    <row r="359" ht="18.75" customHeight="1">
      <c r="C359" s="64"/>
      <c r="E359" s="64"/>
      <c r="F359" s="64"/>
      <c r="G359" s="64"/>
      <c r="AH359" s="162"/>
      <c r="AI359" s="162"/>
      <c r="AJ359" s="162"/>
      <c r="AK359" s="162"/>
      <c r="BS359" s="131"/>
      <c r="BT359" s="131"/>
      <c r="BU359" s="131"/>
      <c r="BV359" s="131"/>
      <c r="BW359" s="131"/>
      <c r="BX359" s="131"/>
      <c r="BY359" s="131"/>
      <c r="BZ359" s="131"/>
      <c r="CA359" s="131"/>
      <c r="CB359" s="131"/>
      <c r="CC359" s="131"/>
      <c r="CD359" s="131"/>
      <c r="CE359" s="131"/>
    </row>
    <row r="360" ht="18.75" customHeight="1">
      <c r="C360" s="64"/>
      <c r="E360" s="64"/>
      <c r="F360" s="64"/>
      <c r="G360" s="64"/>
      <c r="AH360" s="162"/>
      <c r="AI360" s="162"/>
      <c r="AJ360" s="162"/>
      <c r="AK360" s="162"/>
      <c r="BS360" s="131"/>
      <c r="BT360" s="131"/>
      <c r="BU360" s="131"/>
      <c r="BV360" s="131"/>
      <c r="BW360" s="131"/>
      <c r="BX360" s="131"/>
      <c r="BY360" s="131"/>
      <c r="BZ360" s="131"/>
      <c r="CA360" s="131"/>
      <c r="CB360" s="131"/>
      <c r="CC360" s="131"/>
      <c r="CD360" s="131"/>
      <c r="CE360" s="131"/>
    </row>
    <row r="361" ht="18.75" customHeight="1">
      <c r="C361" s="64"/>
      <c r="E361" s="64"/>
      <c r="F361" s="64"/>
      <c r="G361" s="64"/>
      <c r="AH361" s="162"/>
      <c r="AI361" s="162"/>
      <c r="AJ361" s="162"/>
      <c r="AK361" s="162"/>
      <c r="BS361" s="131"/>
      <c r="BT361" s="131"/>
      <c r="BU361" s="131"/>
      <c r="BV361" s="131"/>
      <c r="BW361" s="131"/>
      <c r="BX361" s="131"/>
      <c r="BY361" s="131"/>
      <c r="BZ361" s="131"/>
      <c r="CA361" s="131"/>
      <c r="CB361" s="131"/>
      <c r="CC361" s="131"/>
      <c r="CD361" s="131"/>
      <c r="CE361" s="131"/>
    </row>
    <row r="362" ht="18.75" customHeight="1">
      <c r="C362" s="64"/>
      <c r="E362" s="64"/>
      <c r="F362" s="64"/>
      <c r="G362" s="64"/>
      <c r="AH362" s="162"/>
      <c r="AI362" s="162"/>
      <c r="AJ362" s="162"/>
      <c r="AK362" s="162"/>
      <c r="BS362" s="131"/>
      <c r="BT362" s="131"/>
      <c r="BU362" s="131"/>
      <c r="BV362" s="131"/>
      <c r="BW362" s="131"/>
      <c r="BX362" s="131"/>
      <c r="BY362" s="131"/>
      <c r="BZ362" s="131"/>
      <c r="CA362" s="131"/>
      <c r="CB362" s="131"/>
      <c r="CC362" s="131"/>
      <c r="CD362" s="131"/>
      <c r="CE362" s="131"/>
    </row>
    <row r="363" ht="18.75" customHeight="1">
      <c r="C363" s="64"/>
      <c r="E363" s="64"/>
      <c r="F363" s="64"/>
      <c r="G363" s="64"/>
      <c r="AH363" s="162"/>
      <c r="AI363" s="162"/>
      <c r="AJ363" s="162"/>
      <c r="AK363" s="162"/>
      <c r="BS363" s="131"/>
      <c r="BT363" s="131"/>
      <c r="BU363" s="131"/>
      <c r="BV363" s="131"/>
      <c r="BW363" s="131"/>
      <c r="BX363" s="131"/>
      <c r="BY363" s="131"/>
      <c r="BZ363" s="131"/>
      <c r="CA363" s="131"/>
      <c r="CB363" s="131"/>
      <c r="CC363" s="131"/>
      <c r="CD363" s="131"/>
      <c r="CE363" s="131"/>
    </row>
    <row r="364" ht="18.75" customHeight="1">
      <c r="C364" s="64"/>
      <c r="E364" s="64"/>
      <c r="F364" s="64"/>
      <c r="G364" s="64"/>
      <c r="AH364" s="162"/>
      <c r="AI364" s="162"/>
      <c r="AJ364" s="162"/>
      <c r="AK364" s="162"/>
      <c r="BS364" s="131"/>
      <c r="BT364" s="131"/>
      <c r="BU364" s="131"/>
      <c r="BV364" s="131"/>
      <c r="BW364" s="131"/>
      <c r="BX364" s="131"/>
      <c r="BY364" s="131"/>
      <c r="BZ364" s="131"/>
      <c r="CA364" s="131"/>
      <c r="CB364" s="131"/>
      <c r="CC364" s="131"/>
      <c r="CD364" s="131"/>
      <c r="CE364" s="131"/>
    </row>
    <row r="365" ht="18.75" customHeight="1">
      <c r="C365" s="64"/>
      <c r="E365" s="64"/>
      <c r="F365" s="64"/>
      <c r="G365" s="64"/>
      <c r="AH365" s="162"/>
      <c r="AI365" s="162"/>
      <c r="AJ365" s="162"/>
      <c r="AK365" s="162"/>
      <c r="BS365" s="131"/>
      <c r="BT365" s="131"/>
      <c r="BU365" s="131"/>
      <c r="BV365" s="131"/>
      <c r="BW365" s="131"/>
      <c r="BX365" s="131"/>
      <c r="BY365" s="131"/>
      <c r="BZ365" s="131"/>
      <c r="CA365" s="131"/>
      <c r="CB365" s="131"/>
      <c r="CC365" s="131"/>
      <c r="CD365" s="131"/>
      <c r="CE365" s="131"/>
    </row>
    <row r="366" ht="18.75" customHeight="1">
      <c r="C366" s="64"/>
      <c r="E366" s="64"/>
      <c r="F366" s="64"/>
      <c r="G366" s="64"/>
      <c r="AH366" s="162"/>
      <c r="AI366" s="162"/>
      <c r="AJ366" s="162"/>
      <c r="AK366" s="162"/>
      <c r="BS366" s="131"/>
      <c r="BT366" s="131"/>
      <c r="BU366" s="131"/>
      <c r="BV366" s="131"/>
      <c r="BW366" s="131"/>
      <c r="BX366" s="131"/>
      <c r="BY366" s="131"/>
      <c r="BZ366" s="131"/>
      <c r="CA366" s="131"/>
      <c r="CB366" s="131"/>
      <c r="CC366" s="131"/>
      <c r="CD366" s="131"/>
      <c r="CE366" s="131"/>
    </row>
    <row r="367" ht="18.75" customHeight="1">
      <c r="C367" s="64"/>
      <c r="E367" s="64"/>
      <c r="F367" s="64"/>
      <c r="G367" s="64"/>
      <c r="AH367" s="162"/>
      <c r="AI367" s="162"/>
      <c r="AJ367" s="162"/>
      <c r="AK367" s="162"/>
      <c r="BS367" s="131"/>
      <c r="BT367" s="131"/>
      <c r="BU367" s="131"/>
      <c r="BV367" s="131"/>
      <c r="BW367" s="131"/>
      <c r="BX367" s="131"/>
      <c r="BY367" s="131"/>
      <c r="BZ367" s="131"/>
      <c r="CA367" s="131"/>
      <c r="CB367" s="131"/>
      <c r="CC367" s="131"/>
      <c r="CD367" s="131"/>
      <c r="CE367" s="131"/>
    </row>
    <row r="368" ht="18.75" customHeight="1">
      <c r="C368" s="64"/>
      <c r="E368" s="64"/>
      <c r="F368" s="64"/>
      <c r="G368" s="64"/>
      <c r="AH368" s="162"/>
      <c r="AI368" s="162"/>
      <c r="AJ368" s="162"/>
      <c r="AK368" s="162"/>
      <c r="BS368" s="131"/>
      <c r="BT368" s="131"/>
      <c r="BU368" s="131"/>
      <c r="BV368" s="131"/>
      <c r="BW368" s="131"/>
      <c r="BX368" s="131"/>
      <c r="BY368" s="131"/>
      <c r="BZ368" s="131"/>
      <c r="CA368" s="131"/>
      <c r="CB368" s="131"/>
      <c r="CC368" s="131"/>
      <c r="CD368" s="131"/>
      <c r="CE368" s="131"/>
    </row>
    <row r="369" ht="18.75" customHeight="1">
      <c r="C369" s="64"/>
      <c r="E369" s="64"/>
      <c r="F369" s="64"/>
      <c r="G369" s="64"/>
      <c r="AH369" s="162"/>
      <c r="AI369" s="162"/>
      <c r="AJ369" s="162"/>
      <c r="AK369" s="162"/>
      <c r="BS369" s="131"/>
      <c r="BT369" s="131"/>
      <c r="BU369" s="131"/>
      <c r="BV369" s="131"/>
      <c r="BW369" s="131"/>
      <c r="BX369" s="131"/>
      <c r="BY369" s="131"/>
      <c r="BZ369" s="131"/>
      <c r="CA369" s="131"/>
      <c r="CB369" s="131"/>
      <c r="CC369" s="131"/>
      <c r="CD369" s="131"/>
      <c r="CE369" s="131"/>
    </row>
    <row r="370" ht="18.75" customHeight="1">
      <c r="C370" s="64"/>
      <c r="E370" s="64"/>
      <c r="F370" s="64"/>
      <c r="G370" s="64"/>
      <c r="AH370" s="162"/>
      <c r="AI370" s="162"/>
      <c r="AJ370" s="162"/>
      <c r="AK370" s="162"/>
      <c r="BS370" s="131"/>
      <c r="BT370" s="131"/>
      <c r="BU370" s="131"/>
      <c r="BV370" s="131"/>
      <c r="BW370" s="131"/>
      <c r="BX370" s="131"/>
      <c r="BY370" s="131"/>
      <c r="BZ370" s="131"/>
      <c r="CA370" s="131"/>
      <c r="CB370" s="131"/>
      <c r="CC370" s="131"/>
      <c r="CD370" s="131"/>
      <c r="CE370" s="131"/>
    </row>
    <row r="371" ht="18.75" customHeight="1">
      <c r="C371" s="64"/>
      <c r="E371" s="64"/>
      <c r="F371" s="64"/>
      <c r="G371" s="64"/>
      <c r="AH371" s="162"/>
      <c r="AI371" s="162"/>
      <c r="AJ371" s="162"/>
      <c r="AK371" s="162"/>
      <c r="BS371" s="131"/>
      <c r="BT371" s="131"/>
      <c r="BU371" s="131"/>
      <c r="BV371" s="131"/>
      <c r="BW371" s="131"/>
      <c r="BX371" s="131"/>
      <c r="BY371" s="131"/>
      <c r="BZ371" s="131"/>
      <c r="CA371" s="131"/>
      <c r="CB371" s="131"/>
      <c r="CC371" s="131"/>
      <c r="CD371" s="131"/>
      <c r="CE371" s="131"/>
    </row>
    <row r="372" ht="18.75" customHeight="1">
      <c r="C372" s="64"/>
      <c r="E372" s="64"/>
      <c r="F372" s="64"/>
      <c r="G372" s="64"/>
      <c r="AH372" s="162"/>
      <c r="AI372" s="162"/>
      <c r="AJ372" s="162"/>
      <c r="AK372" s="162"/>
      <c r="BS372" s="131"/>
      <c r="BT372" s="131"/>
      <c r="BU372" s="131"/>
      <c r="BV372" s="131"/>
      <c r="BW372" s="131"/>
      <c r="BX372" s="131"/>
      <c r="BY372" s="131"/>
      <c r="BZ372" s="131"/>
      <c r="CA372" s="131"/>
      <c r="CB372" s="131"/>
      <c r="CC372" s="131"/>
      <c r="CD372" s="131"/>
      <c r="CE372" s="131"/>
    </row>
    <row r="373" ht="18.75" customHeight="1">
      <c r="C373" s="64"/>
      <c r="E373" s="64"/>
      <c r="F373" s="64"/>
      <c r="G373" s="64"/>
      <c r="AH373" s="162"/>
      <c r="AI373" s="162"/>
      <c r="AJ373" s="162"/>
      <c r="AK373" s="162"/>
      <c r="BS373" s="131"/>
      <c r="BT373" s="131"/>
      <c r="BU373" s="131"/>
      <c r="BV373" s="131"/>
      <c r="BW373" s="131"/>
      <c r="BX373" s="131"/>
      <c r="BY373" s="131"/>
      <c r="BZ373" s="131"/>
      <c r="CA373" s="131"/>
      <c r="CB373" s="131"/>
      <c r="CC373" s="131"/>
      <c r="CD373" s="131"/>
      <c r="CE373" s="131"/>
    </row>
    <row r="374" ht="18.75" customHeight="1">
      <c r="C374" s="64"/>
      <c r="E374" s="64"/>
      <c r="F374" s="64"/>
      <c r="G374" s="64"/>
      <c r="AH374" s="162"/>
      <c r="AI374" s="162"/>
      <c r="AJ374" s="162"/>
      <c r="AK374" s="162"/>
      <c r="BS374" s="131"/>
      <c r="BT374" s="131"/>
      <c r="BU374" s="131"/>
      <c r="BV374" s="131"/>
      <c r="BW374" s="131"/>
      <c r="BX374" s="131"/>
      <c r="BY374" s="131"/>
      <c r="BZ374" s="131"/>
      <c r="CA374" s="131"/>
      <c r="CB374" s="131"/>
      <c r="CC374" s="131"/>
      <c r="CD374" s="131"/>
      <c r="CE374" s="131"/>
    </row>
    <row r="375" ht="18.75" customHeight="1">
      <c r="C375" s="64"/>
      <c r="E375" s="64"/>
      <c r="F375" s="64"/>
      <c r="G375" s="64"/>
      <c r="AH375" s="162"/>
      <c r="AI375" s="162"/>
      <c r="AJ375" s="162"/>
      <c r="AK375" s="162"/>
      <c r="BS375" s="131"/>
      <c r="BT375" s="131"/>
      <c r="BU375" s="131"/>
      <c r="BV375" s="131"/>
      <c r="BW375" s="131"/>
      <c r="BX375" s="131"/>
      <c r="BY375" s="131"/>
      <c r="BZ375" s="131"/>
      <c r="CA375" s="131"/>
      <c r="CB375" s="131"/>
      <c r="CC375" s="131"/>
      <c r="CD375" s="131"/>
      <c r="CE375" s="131"/>
    </row>
    <row r="376" ht="18.75" customHeight="1">
      <c r="C376" s="64"/>
      <c r="E376" s="64"/>
      <c r="F376" s="64"/>
      <c r="G376" s="64"/>
      <c r="AH376" s="162"/>
      <c r="AI376" s="162"/>
      <c r="AJ376" s="162"/>
      <c r="AK376" s="162"/>
      <c r="BS376" s="131"/>
      <c r="BT376" s="131"/>
      <c r="BU376" s="131"/>
      <c r="BV376" s="131"/>
      <c r="BW376" s="131"/>
      <c r="BX376" s="131"/>
      <c r="BY376" s="131"/>
      <c r="BZ376" s="131"/>
      <c r="CA376" s="131"/>
      <c r="CB376" s="131"/>
      <c r="CC376" s="131"/>
      <c r="CD376" s="131"/>
      <c r="CE376" s="131"/>
    </row>
    <row r="377" ht="18.75" customHeight="1">
      <c r="C377" s="64"/>
      <c r="E377" s="64"/>
      <c r="F377" s="64"/>
      <c r="G377" s="64"/>
      <c r="AH377" s="162"/>
      <c r="AI377" s="162"/>
      <c r="AJ377" s="162"/>
      <c r="AK377" s="162"/>
      <c r="BS377" s="131"/>
      <c r="BT377" s="131"/>
      <c r="BU377" s="131"/>
      <c r="BV377" s="131"/>
      <c r="BW377" s="131"/>
      <c r="BX377" s="131"/>
      <c r="BY377" s="131"/>
      <c r="BZ377" s="131"/>
      <c r="CA377" s="131"/>
      <c r="CB377" s="131"/>
      <c r="CC377" s="131"/>
      <c r="CD377" s="131"/>
      <c r="CE377" s="131"/>
    </row>
    <row r="378" ht="18.75" customHeight="1">
      <c r="C378" s="64"/>
      <c r="E378" s="64"/>
      <c r="F378" s="64"/>
      <c r="G378" s="64"/>
      <c r="AH378" s="162"/>
      <c r="AI378" s="162"/>
      <c r="AJ378" s="162"/>
      <c r="AK378" s="162"/>
      <c r="BS378" s="131"/>
      <c r="BT378" s="131"/>
      <c r="BU378" s="131"/>
      <c r="BV378" s="131"/>
      <c r="BW378" s="131"/>
      <c r="BX378" s="131"/>
      <c r="BY378" s="131"/>
      <c r="BZ378" s="131"/>
      <c r="CA378" s="131"/>
      <c r="CB378" s="131"/>
      <c r="CC378" s="131"/>
      <c r="CD378" s="131"/>
      <c r="CE378" s="131"/>
    </row>
    <row r="379" ht="18.75" customHeight="1">
      <c r="C379" s="64"/>
      <c r="E379" s="64"/>
      <c r="F379" s="64"/>
      <c r="G379" s="64"/>
      <c r="AH379" s="162"/>
      <c r="AI379" s="162"/>
      <c r="AJ379" s="162"/>
      <c r="AK379" s="162"/>
      <c r="BS379" s="131"/>
      <c r="BT379" s="131"/>
      <c r="BU379" s="131"/>
      <c r="BV379" s="131"/>
      <c r="BW379" s="131"/>
      <c r="BX379" s="131"/>
      <c r="BY379" s="131"/>
      <c r="BZ379" s="131"/>
      <c r="CA379" s="131"/>
      <c r="CB379" s="131"/>
      <c r="CC379" s="131"/>
      <c r="CD379" s="131"/>
      <c r="CE379" s="131"/>
    </row>
    <row r="380" ht="18.75" customHeight="1">
      <c r="C380" s="64"/>
      <c r="E380" s="64"/>
      <c r="F380" s="64"/>
      <c r="G380" s="64"/>
      <c r="AH380" s="162"/>
      <c r="AI380" s="162"/>
      <c r="AJ380" s="162"/>
      <c r="AK380" s="162"/>
      <c r="BS380" s="131"/>
      <c r="BT380" s="131"/>
      <c r="BU380" s="131"/>
      <c r="BV380" s="131"/>
      <c r="BW380" s="131"/>
      <c r="BX380" s="131"/>
      <c r="BY380" s="131"/>
      <c r="BZ380" s="131"/>
      <c r="CA380" s="131"/>
      <c r="CB380" s="131"/>
      <c r="CC380" s="131"/>
      <c r="CD380" s="131"/>
      <c r="CE380" s="131"/>
    </row>
    <row r="381" ht="18.75" customHeight="1">
      <c r="C381" s="64"/>
      <c r="E381" s="64"/>
      <c r="F381" s="64"/>
      <c r="G381" s="64"/>
      <c r="AH381" s="162"/>
      <c r="AI381" s="162"/>
      <c r="AJ381" s="162"/>
      <c r="AK381" s="162"/>
      <c r="BS381" s="131"/>
      <c r="BT381" s="131"/>
      <c r="BU381" s="131"/>
      <c r="BV381" s="131"/>
      <c r="BW381" s="131"/>
      <c r="BX381" s="131"/>
      <c r="BY381" s="131"/>
      <c r="BZ381" s="131"/>
      <c r="CA381" s="131"/>
      <c r="CB381" s="131"/>
      <c r="CC381" s="131"/>
      <c r="CD381" s="131"/>
      <c r="CE381" s="131"/>
    </row>
    <row r="382" ht="18.75" customHeight="1">
      <c r="C382" s="64"/>
      <c r="E382" s="64"/>
      <c r="F382" s="64"/>
      <c r="G382" s="64"/>
      <c r="AH382" s="162"/>
      <c r="AI382" s="162"/>
      <c r="AJ382" s="162"/>
      <c r="AK382" s="162"/>
      <c r="BS382" s="131"/>
      <c r="BT382" s="131"/>
      <c r="BU382" s="131"/>
      <c r="BV382" s="131"/>
      <c r="BW382" s="131"/>
      <c r="BX382" s="131"/>
      <c r="BY382" s="131"/>
      <c r="BZ382" s="131"/>
      <c r="CA382" s="131"/>
      <c r="CB382" s="131"/>
      <c r="CC382" s="131"/>
      <c r="CD382" s="131"/>
      <c r="CE382" s="131"/>
    </row>
    <row r="383" ht="18.75" customHeight="1">
      <c r="C383" s="64"/>
      <c r="E383" s="64"/>
      <c r="F383" s="64"/>
      <c r="G383" s="64"/>
      <c r="AH383" s="162"/>
      <c r="AI383" s="162"/>
      <c r="AJ383" s="162"/>
      <c r="AK383" s="162"/>
      <c r="BS383" s="131"/>
      <c r="BT383" s="131"/>
      <c r="BU383" s="131"/>
      <c r="BV383" s="131"/>
      <c r="BW383" s="131"/>
      <c r="BX383" s="131"/>
      <c r="BY383" s="131"/>
      <c r="BZ383" s="131"/>
      <c r="CA383" s="131"/>
      <c r="CB383" s="131"/>
      <c r="CC383" s="131"/>
      <c r="CD383" s="131"/>
      <c r="CE383" s="131"/>
    </row>
    <row r="384" ht="18.75" customHeight="1">
      <c r="C384" s="64"/>
      <c r="E384" s="64"/>
      <c r="F384" s="64"/>
      <c r="G384" s="64"/>
      <c r="AH384" s="162"/>
      <c r="AI384" s="162"/>
      <c r="AJ384" s="162"/>
      <c r="AK384" s="162"/>
      <c r="BS384" s="131"/>
      <c r="BT384" s="131"/>
      <c r="BU384" s="131"/>
      <c r="BV384" s="131"/>
      <c r="BW384" s="131"/>
      <c r="BX384" s="131"/>
      <c r="BY384" s="131"/>
      <c r="BZ384" s="131"/>
      <c r="CA384" s="131"/>
      <c r="CB384" s="131"/>
      <c r="CC384" s="131"/>
      <c r="CD384" s="131"/>
      <c r="CE384" s="131"/>
    </row>
    <row r="385" ht="18.75" customHeight="1">
      <c r="C385" s="64"/>
      <c r="E385" s="64"/>
      <c r="F385" s="64"/>
      <c r="G385" s="64"/>
      <c r="AH385" s="162"/>
      <c r="AI385" s="162"/>
      <c r="AJ385" s="162"/>
      <c r="AK385" s="162"/>
      <c r="BS385" s="131"/>
      <c r="BT385" s="131"/>
      <c r="BU385" s="131"/>
      <c r="BV385" s="131"/>
      <c r="BW385" s="131"/>
      <c r="BX385" s="131"/>
      <c r="BY385" s="131"/>
      <c r="BZ385" s="131"/>
      <c r="CA385" s="131"/>
      <c r="CB385" s="131"/>
      <c r="CC385" s="131"/>
      <c r="CD385" s="131"/>
      <c r="CE385" s="131"/>
    </row>
    <row r="386" ht="18.75" customHeight="1">
      <c r="C386" s="64"/>
      <c r="E386" s="64"/>
      <c r="F386" s="64"/>
      <c r="G386" s="64"/>
      <c r="AH386" s="162"/>
      <c r="AI386" s="162"/>
      <c r="AJ386" s="162"/>
      <c r="AK386" s="162"/>
      <c r="BS386" s="131"/>
      <c r="BT386" s="131"/>
      <c r="BU386" s="131"/>
      <c r="BV386" s="131"/>
      <c r="BW386" s="131"/>
      <c r="BX386" s="131"/>
      <c r="BY386" s="131"/>
      <c r="BZ386" s="131"/>
      <c r="CA386" s="131"/>
      <c r="CB386" s="131"/>
      <c r="CC386" s="131"/>
      <c r="CD386" s="131"/>
      <c r="CE386" s="131"/>
    </row>
    <row r="387" ht="18.75" customHeight="1">
      <c r="C387" s="64"/>
      <c r="E387" s="64"/>
      <c r="F387" s="64"/>
      <c r="G387" s="64"/>
      <c r="AH387" s="162"/>
      <c r="AI387" s="162"/>
      <c r="AJ387" s="162"/>
      <c r="AK387" s="162"/>
      <c r="BS387" s="131"/>
      <c r="BT387" s="131"/>
      <c r="BU387" s="131"/>
      <c r="BV387" s="131"/>
      <c r="BW387" s="131"/>
      <c r="BX387" s="131"/>
      <c r="BY387" s="131"/>
      <c r="BZ387" s="131"/>
      <c r="CA387" s="131"/>
      <c r="CB387" s="131"/>
      <c r="CC387" s="131"/>
      <c r="CD387" s="131"/>
      <c r="CE387" s="131"/>
    </row>
    <row r="388" ht="18.75" customHeight="1">
      <c r="C388" s="64"/>
      <c r="E388" s="64"/>
      <c r="F388" s="64"/>
      <c r="G388" s="64"/>
      <c r="AH388" s="162"/>
      <c r="AI388" s="162"/>
      <c r="AJ388" s="162"/>
      <c r="AK388" s="162"/>
      <c r="BS388" s="131"/>
      <c r="BT388" s="131"/>
      <c r="BU388" s="131"/>
      <c r="BV388" s="131"/>
      <c r="BW388" s="131"/>
      <c r="BX388" s="131"/>
      <c r="BY388" s="131"/>
      <c r="BZ388" s="131"/>
      <c r="CA388" s="131"/>
      <c r="CB388" s="131"/>
      <c r="CC388" s="131"/>
      <c r="CD388" s="131"/>
      <c r="CE388" s="131"/>
    </row>
    <row r="389" ht="18.75" customHeight="1">
      <c r="C389" s="64"/>
      <c r="E389" s="64"/>
      <c r="F389" s="64"/>
      <c r="G389" s="64"/>
      <c r="AH389" s="162"/>
      <c r="AI389" s="162"/>
      <c r="AJ389" s="162"/>
      <c r="AK389" s="162"/>
      <c r="BS389" s="131"/>
      <c r="BT389" s="131"/>
      <c r="BU389" s="131"/>
      <c r="BV389" s="131"/>
      <c r="BW389" s="131"/>
      <c r="BX389" s="131"/>
      <c r="BY389" s="131"/>
      <c r="BZ389" s="131"/>
      <c r="CA389" s="131"/>
      <c r="CB389" s="131"/>
      <c r="CC389" s="131"/>
      <c r="CD389" s="131"/>
      <c r="CE389" s="131"/>
    </row>
    <row r="390" ht="18.75" customHeight="1">
      <c r="C390" s="64"/>
      <c r="E390" s="64"/>
      <c r="F390" s="64"/>
      <c r="G390" s="64"/>
      <c r="AH390" s="162"/>
      <c r="AI390" s="162"/>
      <c r="AJ390" s="162"/>
      <c r="AK390" s="162"/>
      <c r="BS390" s="131"/>
      <c r="BT390" s="131"/>
      <c r="BU390" s="131"/>
      <c r="BV390" s="131"/>
      <c r="BW390" s="131"/>
      <c r="BX390" s="131"/>
      <c r="BY390" s="131"/>
      <c r="BZ390" s="131"/>
      <c r="CA390" s="131"/>
      <c r="CB390" s="131"/>
      <c r="CC390" s="131"/>
      <c r="CD390" s="131"/>
      <c r="CE390" s="131"/>
    </row>
    <row r="391" ht="18.75" customHeight="1">
      <c r="C391" s="64"/>
      <c r="E391" s="64"/>
      <c r="F391" s="64"/>
      <c r="G391" s="64"/>
      <c r="AH391" s="162"/>
      <c r="AI391" s="162"/>
      <c r="AJ391" s="162"/>
      <c r="AK391" s="162"/>
      <c r="BS391" s="131"/>
      <c r="BT391" s="131"/>
      <c r="BU391" s="131"/>
      <c r="BV391" s="131"/>
      <c r="BW391" s="131"/>
      <c r="BX391" s="131"/>
      <c r="BY391" s="131"/>
      <c r="BZ391" s="131"/>
      <c r="CA391" s="131"/>
      <c r="CB391" s="131"/>
      <c r="CC391" s="131"/>
      <c r="CD391" s="131"/>
      <c r="CE391" s="131"/>
    </row>
    <row r="392" ht="18.75" customHeight="1">
      <c r="C392" s="64"/>
      <c r="E392" s="64"/>
      <c r="F392" s="64"/>
      <c r="G392" s="64"/>
      <c r="AH392" s="162"/>
      <c r="AI392" s="162"/>
      <c r="AJ392" s="162"/>
      <c r="AK392" s="162"/>
      <c r="BS392" s="131"/>
      <c r="BT392" s="131"/>
      <c r="BU392" s="131"/>
      <c r="BV392" s="131"/>
      <c r="BW392" s="131"/>
      <c r="BX392" s="131"/>
      <c r="BY392" s="131"/>
      <c r="BZ392" s="131"/>
      <c r="CA392" s="131"/>
      <c r="CB392" s="131"/>
      <c r="CC392" s="131"/>
      <c r="CD392" s="131"/>
      <c r="CE392" s="131"/>
    </row>
    <row r="393" ht="18.75" customHeight="1">
      <c r="C393" s="64"/>
      <c r="E393" s="64"/>
      <c r="F393" s="64"/>
      <c r="G393" s="64"/>
      <c r="AH393" s="162"/>
      <c r="AI393" s="162"/>
      <c r="AJ393" s="162"/>
      <c r="AK393" s="162"/>
      <c r="BS393" s="131"/>
      <c r="BT393" s="131"/>
      <c r="BU393" s="131"/>
      <c r="BV393" s="131"/>
      <c r="BW393" s="131"/>
      <c r="BX393" s="131"/>
      <c r="BY393" s="131"/>
      <c r="BZ393" s="131"/>
      <c r="CA393" s="131"/>
      <c r="CB393" s="131"/>
      <c r="CC393" s="131"/>
      <c r="CD393" s="131"/>
      <c r="CE393" s="131"/>
    </row>
    <row r="394" ht="18.75" customHeight="1">
      <c r="C394" s="64"/>
      <c r="E394" s="64"/>
      <c r="F394" s="64"/>
      <c r="G394" s="64"/>
      <c r="AH394" s="162"/>
      <c r="AI394" s="162"/>
      <c r="AJ394" s="162"/>
      <c r="AK394" s="162"/>
      <c r="BS394" s="131"/>
      <c r="BT394" s="131"/>
      <c r="BU394" s="131"/>
      <c r="BV394" s="131"/>
      <c r="BW394" s="131"/>
      <c r="BX394" s="131"/>
      <c r="BY394" s="131"/>
      <c r="BZ394" s="131"/>
      <c r="CA394" s="131"/>
      <c r="CB394" s="131"/>
      <c r="CC394" s="131"/>
      <c r="CD394" s="131"/>
      <c r="CE394" s="131"/>
    </row>
    <row r="395" ht="18.75" customHeight="1">
      <c r="C395" s="64"/>
      <c r="E395" s="64"/>
      <c r="F395" s="64"/>
      <c r="G395" s="64"/>
      <c r="AH395" s="162"/>
      <c r="AI395" s="162"/>
      <c r="AJ395" s="162"/>
      <c r="AK395" s="162"/>
      <c r="BS395" s="131"/>
      <c r="BT395" s="131"/>
      <c r="BU395" s="131"/>
      <c r="BV395" s="131"/>
      <c r="BW395" s="131"/>
      <c r="BX395" s="131"/>
      <c r="BY395" s="131"/>
      <c r="BZ395" s="131"/>
      <c r="CA395" s="131"/>
      <c r="CB395" s="131"/>
      <c r="CC395" s="131"/>
      <c r="CD395" s="131"/>
      <c r="CE395" s="131"/>
    </row>
    <row r="396" ht="18.75" customHeight="1">
      <c r="C396" s="64"/>
      <c r="E396" s="64"/>
      <c r="F396" s="64"/>
      <c r="G396" s="64"/>
      <c r="AH396" s="162"/>
      <c r="AI396" s="162"/>
      <c r="AJ396" s="162"/>
      <c r="AK396" s="162"/>
      <c r="BS396" s="131"/>
      <c r="BT396" s="131"/>
      <c r="BU396" s="131"/>
      <c r="BV396" s="131"/>
      <c r="BW396" s="131"/>
      <c r="BX396" s="131"/>
      <c r="BY396" s="131"/>
      <c r="BZ396" s="131"/>
      <c r="CA396" s="131"/>
      <c r="CB396" s="131"/>
      <c r="CC396" s="131"/>
      <c r="CD396" s="131"/>
      <c r="CE396" s="131"/>
    </row>
    <row r="397" ht="18.75" customHeight="1">
      <c r="C397" s="64"/>
      <c r="E397" s="64"/>
      <c r="F397" s="64"/>
      <c r="G397" s="64"/>
      <c r="AH397" s="162"/>
      <c r="AI397" s="162"/>
      <c r="AJ397" s="162"/>
      <c r="AK397" s="162"/>
      <c r="BS397" s="131"/>
      <c r="BT397" s="131"/>
      <c r="BU397" s="131"/>
      <c r="BV397" s="131"/>
      <c r="BW397" s="131"/>
      <c r="BX397" s="131"/>
      <c r="BY397" s="131"/>
      <c r="BZ397" s="131"/>
      <c r="CA397" s="131"/>
      <c r="CB397" s="131"/>
      <c r="CC397" s="131"/>
      <c r="CD397" s="131"/>
      <c r="CE397" s="131"/>
    </row>
    <row r="398" ht="18.75" customHeight="1">
      <c r="C398" s="64"/>
      <c r="E398" s="64"/>
      <c r="F398" s="64"/>
      <c r="G398" s="64"/>
      <c r="AH398" s="162"/>
      <c r="AI398" s="162"/>
      <c r="AJ398" s="162"/>
      <c r="AK398" s="162"/>
      <c r="BS398" s="131"/>
      <c r="BT398" s="131"/>
      <c r="BU398" s="131"/>
      <c r="BV398" s="131"/>
      <c r="BW398" s="131"/>
      <c r="BX398" s="131"/>
      <c r="BY398" s="131"/>
      <c r="BZ398" s="131"/>
      <c r="CA398" s="131"/>
      <c r="CB398" s="131"/>
      <c r="CC398" s="131"/>
      <c r="CD398" s="131"/>
      <c r="CE398" s="131"/>
    </row>
    <row r="399" ht="18.75" customHeight="1">
      <c r="C399" s="64"/>
      <c r="E399" s="64"/>
      <c r="F399" s="64"/>
      <c r="G399" s="64"/>
      <c r="AH399" s="162"/>
      <c r="AI399" s="162"/>
      <c r="AJ399" s="162"/>
      <c r="AK399" s="162"/>
      <c r="BS399" s="131"/>
      <c r="BT399" s="131"/>
      <c r="BU399" s="131"/>
      <c r="BV399" s="131"/>
      <c r="BW399" s="131"/>
      <c r="BX399" s="131"/>
      <c r="BY399" s="131"/>
      <c r="BZ399" s="131"/>
      <c r="CA399" s="131"/>
      <c r="CB399" s="131"/>
      <c r="CC399" s="131"/>
      <c r="CD399" s="131"/>
      <c r="CE399" s="131"/>
    </row>
    <row r="400" ht="18.75" customHeight="1">
      <c r="C400" s="64"/>
      <c r="E400" s="64"/>
      <c r="F400" s="64"/>
      <c r="G400" s="64"/>
      <c r="AH400" s="162"/>
      <c r="AI400" s="162"/>
      <c r="AJ400" s="162"/>
      <c r="AK400" s="162"/>
      <c r="BS400" s="131"/>
      <c r="BT400" s="131"/>
      <c r="BU400" s="131"/>
      <c r="BV400" s="131"/>
      <c r="BW400" s="131"/>
      <c r="BX400" s="131"/>
      <c r="BY400" s="131"/>
      <c r="BZ400" s="131"/>
      <c r="CA400" s="131"/>
      <c r="CB400" s="131"/>
      <c r="CC400" s="131"/>
      <c r="CD400" s="131"/>
      <c r="CE400" s="131"/>
    </row>
    <row r="401" ht="18.75" customHeight="1">
      <c r="C401" s="64"/>
      <c r="E401" s="64"/>
      <c r="F401" s="64"/>
      <c r="G401" s="64"/>
      <c r="AH401" s="162"/>
      <c r="AI401" s="162"/>
      <c r="AJ401" s="162"/>
      <c r="AK401" s="162"/>
      <c r="BS401" s="131"/>
      <c r="BT401" s="131"/>
      <c r="BU401" s="131"/>
      <c r="BV401" s="131"/>
      <c r="BW401" s="131"/>
      <c r="BX401" s="131"/>
      <c r="BY401" s="131"/>
      <c r="BZ401" s="131"/>
      <c r="CA401" s="131"/>
      <c r="CB401" s="131"/>
      <c r="CC401" s="131"/>
      <c r="CD401" s="131"/>
      <c r="CE401" s="131"/>
    </row>
    <row r="402" ht="18.75" customHeight="1">
      <c r="C402" s="64"/>
      <c r="E402" s="64"/>
      <c r="F402" s="64"/>
      <c r="G402" s="64"/>
      <c r="AH402" s="162"/>
      <c r="AI402" s="162"/>
      <c r="AJ402" s="162"/>
      <c r="AK402" s="162"/>
      <c r="BS402" s="131"/>
      <c r="BT402" s="131"/>
      <c r="BU402" s="131"/>
      <c r="BV402" s="131"/>
      <c r="BW402" s="131"/>
      <c r="BX402" s="131"/>
      <c r="BY402" s="131"/>
      <c r="BZ402" s="131"/>
      <c r="CA402" s="131"/>
      <c r="CB402" s="131"/>
      <c r="CC402" s="131"/>
      <c r="CD402" s="131"/>
      <c r="CE402" s="131"/>
    </row>
    <row r="403" ht="18.75" customHeight="1">
      <c r="C403" s="64"/>
      <c r="E403" s="64"/>
      <c r="F403" s="64"/>
      <c r="G403" s="64"/>
      <c r="AH403" s="162"/>
      <c r="AI403" s="162"/>
      <c r="AJ403" s="162"/>
      <c r="AK403" s="162"/>
      <c r="BS403" s="131"/>
      <c r="BT403" s="131"/>
      <c r="BU403" s="131"/>
      <c r="BV403" s="131"/>
      <c r="BW403" s="131"/>
      <c r="BX403" s="131"/>
      <c r="BY403" s="131"/>
      <c r="BZ403" s="131"/>
      <c r="CA403" s="131"/>
      <c r="CB403" s="131"/>
      <c r="CC403" s="131"/>
      <c r="CD403" s="131"/>
      <c r="CE403" s="131"/>
    </row>
    <row r="404" ht="18.75" customHeight="1">
      <c r="C404" s="64"/>
      <c r="E404" s="64"/>
      <c r="F404" s="64"/>
      <c r="G404" s="64"/>
      <c r="AH404" s="162"/>
      <c r="AI404" s="162"/>
      <c r="AJ404" s="162"/>
      <c r="AK404" s="162"/>
      <c r="BS404" s="131"/>
      <c r="BT404" s="131"/>
      <c r="BU404" s="131"/>
      <c r="BV404" s="131"/>
      <c r="BW404" s="131"/>
      <c r="BX404" s="131"/>
      <c r="BY404" s="131"/>
      <c r="BZ404" s="131"/>
      <c r="CA404" s="131"/>
      <c r="CB404" s="131"/>
      <c r="CC404" s="131"/>
      <c r="CD404" s="131"/>
      <c r="CE404" s="131"/>
    </row>
    <row r="405" ht="18.75" customHeight="1">
      <c r="C405" s="64"/>
      <c r="E405" s="64"/>
      <c r="F405" s="64"/>
      <c r="G405" s="64"/>
      <c r="AH405" s="162"/>
      <c r="AI405" s="162"/>
      <c r="AJ405" s="162"/>
      <c r="AK405" s="162"/>
      <c r="BS405" s="131"/>
      <c r="BT405" s="131"/>
      <c r="BU405" s="131"/>
      <c r="BV405" s="131"/>
      <c r="BW405" s="131"/>
      <c r="BX405" s="131"/>
      <c r="BY405" s="131"/>
      <c r="BZ405" s="131"/>
      <c r="CA405" s="131"/>
      <c r="CB405" s="131"/>
      <c r="CC405" s="131"/>
      <c r="CD405" s="131"/>
      <c r="CE405" s="131"/>
    </row>
    <row r="406" ht="18.75" customHeight="1">
      <c r="C406" s="64"/>
      <c r="E406" s="64"/>
      <c r="F406" s="64"/>
      <c r="G406" s="64"/>
      <c r="AH406" s="162"/>
      <c r="AI406" s="162"/>
      <c r="AJ406" s="162"/>
      <c r="AK406" s="162"/>
      <c r="BS406" s="131"/>
      <c r="BT406" s="131"/>
      <c r="BU406" s="131"/>
      <c r="BV406" s="131"/>
      <c r="BW406" s="131"/>
      <c r="BX406" s="131"/>
      <c r="BY406" s="131"/>
      <c r="BZ406" s="131"/>
      <c r="CA406" s="131"/>
      <c r="CB406" s="131"/>
      <c r="CC406" s="131"/>
      <c r="CD406" s="131"/>
      <c r="CE406" s="131"/>
    </row>
    <row r="407" ht="18.75" customHeight="1">
      <c r="C407" s="64"/>
      <c r="E407" s="64"/>
      <c r="F407" s="64"/>
      <c r="G407" s="64"/>
      <c r="AH407" s="162"/>
      <c r="AI407" s="162"/>
      <c r="AJ407" s="162"/>
      <c r="AK407" s="162"/>
      <c r="BS407" s="131"/>
      <c r="BT407" s="131"/>
      <c r="BU407" s="131"/>
      <c r="BV407" s="131"/>
      <c r="BW407" s="131"/>
      <c r="BX407" s="131"/>
      <c r="BY407" s="131"/>
      <c r="BZ407" s="131"/>
      <c r="CA407" s="131"/>
      <c r="CB407" s="131"/>
      <c r="CC407" s="131"/>
      <c r="CD407" s="131"/>
      <c r="CE407" s="131"/>
    </row>
    <row r="408" ht="18.75" customHeight="1">
      <c r="C408" s="64"/>
      <c r="E408" s="64"/>
      <c r="F408" s="64"/>
      <c r="G408" s="64"/>
      <c r="AH408" s="162"/>
      <c r="AI408" s="162"/>
      <c r="AJ408" s="162"/>
      <c r="AK408" s="162"/>
      <c r="BS408" s="131"/>
      <c r="BT408" s="131"/>
      <c r="BU408" s="131"/>
      <c r="BV408" s="131"/>
      <c r="BW408" s="131"/>
      <c r="BX408" s="131"/>
      <c r="BY408" s="131"/>
      <c r="BZ408" s="131"/>
      <c r="CA408" s="131"/>
      <c r="CB408" s="131"/>
      <c r="CC408" s="131"/>
      <c r="CD408" s="131"/>
      <c r="CE408" s="131"/>
    </row>
    <row r="409" ht="18.75" customHeight="1">
      <c r="C409" s="64"/>
      <c r="E409" s="64"/>
      <c r="F409" s="64"/>
      <c r="G409" s="64"/>
      <c r="AH409" s="162"/>
      <c r="AI409" s="162"/>
      <c r="AJ409" s="162"/>
      <c r="AK409" s="162"/>
      <c r="BS409" s="131"/>
      <c r="BT409" s="131"/>
      <c r="BU409" s="131"/>
      <c r="BV409" s="131"/>
      <c r="BW409" s="131"/>
      <c r="BX409" s="131"/>
      <c r="BY409" s="131"/>
      <c r="BZ409" s="131"/>
      <c r="CA409" s="131"/>
      <c r="CB409" s="131"/>
      <c r="CC409" s="131"/>
      <c r="CD409" s="131"/>
      <c r="CE409" s="131"/>
    </row>
    <row r="410" ht="18.75" customHeight="1">
      <c r="C410" s="64"/>
      <c r="E410" s="64"/>
      <c r="F410" s="64"/>
      <c r="G410" s="64"/>
      <c r="AH410" s="162"/>
      <c r="AI410" s="162"/>
      <c r="AJ410" s="162"/>
      <c r="AK410" s="162"/>
      <c r="BS410" s="131"/>
      <c r="BT410" s="131"/>
      <c r="BU410" s="131"/>
      <c r="BV410" s="131"/>
      <c r="BW410" s="131"/>
      <c r="BX410" s="131"/>
      <c r="BY410" s="131"/>
      <c r="BZ410" s="131"/>
      <c r="CA410" s="131"/>
      <c r="CB410" s="131"/>
      <c r="CC410" s="131"/>
      <c r="CD410" s="131"/>
      <c r="CE410" s="131"/>
    </row>
    <row r="411" ht="18.75" customHeight="1">
      <c r="C411" s="64"/>
      <c r="E411" s="64"/>
      <c r="F411" s="64"/>
      <c r="G411" s="64"/>
      <c r="AH411" s="162"/>
      <c r="AI411" s="162"/>
      <c r="AJ411" s="162"/>
      <c r="AK411" s="162"/>
      <c r="BS411" s="131"/>
      <c r="BT411" s="131"/>
      <c r="BU411" s="131"/>
      <c r="BV411" s="131"/>
      <c r="BW411" s="131"/>
      <c r="BX411" s="131"/>
      <c r="BY411" s="131"/>
      <c r="BZ411" s="131"/>
      <c r="CA411" s="131"/>
      <c r="CB411" s="131"/>
      <c r="CC411" s="131"/>
      <c r="CD411" s="131"/>
      <c r="CE411" s="131"/>
    </row>
    <row r="412" ht="18.75" customHeight="1">
      <c r="C412" s="64"/>
      <c r="E412" s="64"/>
      <c r="F412" s="64"/>
      <c r="G412" s="64"/>
      <c r="AH412" s="162"/>
      <c r="AI412" s="162"/>
      <c r="AJ412" s="162"/>
      <c r="AK412" s="162"/>
      <c r="BS412" s="131"/>
      <c r="BT412" s="131"/>
      <c r="BU412" s="131"/>
      <c r="BV412" s="131"/>
      <c r="BW412" s="131"/>
      <c r="BX412" s="131"/>
      <c r="BY412" s="131"/>
      <c r="BZ412" s="131"/>
      <c r="CA412" s="131"/>
      <c r="CB412" s="131"/>
      <c r="CC412" s="131"/>
      <c r="CD412" s="131"/>
      <c r="CE412" s="131"/>
    </row>
    <row r="413" ht="18.75" customHeight="1">
      <c r="C413" s="64"/>
      <c r="E413" s="64"/>
      <c r="F413" s="64"/>
      <c r="G413" s="64"/>
      <c r="AH413" s="162"/>
      <c r="AI413" s="162"/>
      <c r="AJ413" s="162"/>
      <c r="AK413" s="162"/>
      <c r="BS413" s="131"/>
      <c r="BT413" s="131"/>
      <c r="BU413" s="131"/>
      <c r="BV413" s="131"/>
      <c r="BW413" s="131"/>
      <c r="BX413" s="131"/>
      <c r="BY413" s="131"/>
      <c r="BZ413" s="131"/>
      <c r="CA413" s="131"/>
      <c r="CB413" s="131"/>
      <c r="CC413" s="131"/>
      <c r="CD413" s="131"/>
      <c r="CE413" s="131"/>
    </row>
    <row r="414" ht="18.75" customHeight="1">
      <c r="C414" s="64"/>
      <c r="E414" s="64"/>
      <c r="F414" s="64"/>
      <c r="G414" s="64"/>
      <c r="AH414" s="162"/>
      <c r="AI414" s="162"/>
      <c r="AJ414" s="162"/>
      <c r="AK414" s="162"/>
      <c r="BS414" s="131"/>
      <c r="BT414" s="131"/>
      <c r="BU414" s="131"/>
      <c r="BV414" s="131"/>
      <c r="BW414" s="131"/>
      <c r="BX414" s="131"/>
      <c r="BY414" s="131"/>
      <c r="BZ414" s="131"/>
      <c r="CA414" s="131"/>
      <c r="CB414" s="131"/>
      <c r="CC414" s="131"/>
      <c r="CD414" s="131"/>
      <c r="CE414" s="131"/>
    </row>
    <row r="415" ht="18.75" customHeight="1">
      <c r="C415" s="64"/>
      <c r="E415" s="64"/>
      <c r="F415" s="64"/>
      <c r="G415" s="64"/>
      <c r="AH415" s="162"/>
      <c r="AI415" s="162"/>
      <c r="AJ415" s="162"/>
      <c r="AK415" s="162"/>
      <c r="BS415" s="131"/>
      <c r="BT415" s="131"/>
      <c r="BU415" s="131"/>
      <c r="BV415" s="131"/>
      <c r="BW415" s="131"/>
      <c r="BX415" s="131"/>
      <c r="BY415" s="131"/>
      <c r="BZ415" s="131"/>
      <c r="CA415" s="131"/>
      <c r="CB415" s="131"/>
      <c r="CC415" s="131"/>
      <c r="CD415" s="131"/>
      <c r="CE415" s="131"/>
    </row>
    <row r="416" ht="18.75" customHeight="1">
      <c r="C416" s="64"/>
      <c r="E416" s="64"/>
      <c r="F416" s="64"/>
      <c r="G416" s="64"/>
      <c r="AH416" s="162"/>
      <c r="AI416" s="162"/>
      <c r="AJ416" s="162"/>
      <c r="AK416" s="162"/>
      <c r="BS416" s="131"/>
      <c r="BT416" s="131"/>
      <c r="BU416" s="131"/>
      <c r="BV416" s="131"/>
      <c r="BW416" s="131"/>
      <c r="BX416" s="131"/>
      <c r="BY416" s="131"/>
      <c r="BZ416" s="131"/>
      <c r="CA416" s="131"/>
      <c r="CB416" s="131"/>
      <c r="CC416" s="131"/>
      <c r="CD416" s="131"/>
      <c r="CE416" s="131"/>
    </row>
    <row r="417" ht="18.75" customHeight="1">
      <c r="C417" s="64"/>
      <c r="E417" s="64"/>
      <c r="F417" s="64"/>
      <c r="G417" s="64"/>
      <c r="AH417" s="162"/>
      <c r="AI417" s="162"/>
      <c r="AJ417" s="162"/>
      <c r="AK417" s="162"/>
      <c r="BS417" s="131"/>
      <c r="BT417" s="131"/>
      <c r="BU417" s="131"/>
      <c r="BV417" s="131"/>
      <c r="BW417" s="131"/>
      <c r="BX417" s="131"/>
      <c r="BY417" s="131"/>
      <c r="BZ417" s="131"/>
      <c r="CA417" s="131"/>
      <c r="CB417" s="131"/>
      <c r="CC417" s="131"/>
      <c r="CD417" s="131"/>
      <c r="CE417" s="131"/>
    </row>
    <row r="418" ht="18.75" customHeight="1">
      <c r="C418" s="64"/>
      <c r="E418" s="64"/>
      <c r="F418" s="64"/>
      <c r="G418" s="64"/>
      <c r="AH418" s="162"/>
      <c r="AI418" s="162"/>
      <c r="AJ418" s="162"/>
      <c r="AK418" s="162"/>
      <c r="BS418" s="131"/>
      <c r="BT418" s="131"/>
      <c r="BU418" s="131"/>
      <c r="BV418" s="131"/>
      <c r="BW418" s="131"/>
      <c r="BX418" s="131"/>
      <c r="BY418" s="131"/>
      <c r="BZ418" s="131"/>
      <c r="CA418" s="131"/>
      <c r="CB418" s="131"/>
      <c r="CC418" s="131"/>
      <c r="CD418" s="131"/>
      <c r="CE418" s="131"/>
    </row>
    <row r="419" ht="18.75" customHeight="1">
      <c r="C419" s="64"/>
      <c r="E419" s="64"/>
      <c r="F419" s="64"/>
      <c r="G419" s="64"/>
      <c r="AH419" s="162"/>
      <c r="AI419" s="162"/>
      <c r="AJ419" s="162"/>
      <c r="AK419" s="162"/>
      <c r="BS419" s="131"/>
      <c r="BT419" s="131"/>
      <c r="BU419" s="131"/>
      <c r="BV419" s="131"/>
      <c r="BW419" s="131"/>
      <c r="BX419" s="131"/>
      <c r="BY419" s="131"/>
      <c r="BZ419" s="131"/>
      <c r="CA419" s="131"/>
      <c r="CB419" s="131"/>
      <c r="CC419" s="131"/>
      <c r="CD419" s="131"/>
      <c r="CE419" s="131"/>
    </row>
    <row r="420" ht="18.75" customHeight="1">
      <c r="C420" s="64"/>
      <c r="E420" s="64"/>
      <c r="F420" s="64"/>
      <c r="G420" s="64"/>
      <c r="AH420" s="162"/>
      <c r="AI420" s="162"/>
      <c r="AJ420" s="162"/>
      <c r="AK420" s="162"/>
      <c r="BS420" s="131"/>
      <c r="BT420" s="131"/>
      <c r="BU420" s="131"/>
      <c r="BV420" s="131"/>
      <c r="BW420" s="131"/>
      <c r="BX420" s="131"/>
      <c r="BY420" s="131"/>
      <c r="BZ420" s="131"/>
      <c r="CA420" s="131"/>
      <c r="CB420" s="131"/>
      <c r="CC420" s="131"/>
      <c r="CD420" s="131"/>
      <c r="CE420" s="131"/>
    </row>
    <row r="421" ht="18.75" customHeight="1">
      <c r="C421" s="64"/>
      <c r="E421" s="64"/>
      <c r="F421" s="64"/>
      <c r="G421" s="64"/>
      <c r="AH421" s="162"/>
      <c r="AI421" s="162"/>
      <c r="AJ421" s="162"/>
      <c r="AK421" s="162"/>
      <c r="BS421" s="131"/>
      <c r="BT421" s="131"/>
      <c r="BU421" s="131"/>
      <c r="BV421" s="131"/>
      <c r="BW421" s="131"/>
      <c r="BX421" s="131"/>
      <c r="BY421" s="131"/>
      <c r="BZ421" s="131"/>
      <c r="CA421" s="131"/>
      <c r="CB421" s="131"/>
      <c r="CC421" s="131"/>
      <c r="CD421" s="131"/>
      <c r="CE421" s="131"/>
    </row>
    <row r="422" ht="18.75" customHeight="1">
      <c r="C422" s="64"/>
      <c r="E422" s="64"/>
      <c r="F422" s="64"/>
      <c r="G422" s="64"/>
      <c r="AH422" s="162"/>
      <c r="AI422" s="162"/>
      <c r="AJ422" s="162"/>
      <c r="AK422" s="162"/>
      <c r="BS422" s="131"/>
      <c r="BT422" s="131"/>
      <c r="BU422" s="131"/>
      <c r="BV422" s="131"/>
      <c r="BW422" s="131"/>
      <c r="BX422" s="131"/>
      <c r="BY422" s="131"/>
      <c r="BZ422" s="131"/>
      <c r="CA422" s="131"/>
      <c r="CB422" s="131"/>
      <c r="CC422" s="131"/>
      <c r="CD422" s="131"/>
      <c r="CE422" s="131"/>
    </row>
    <row r="423" ht="18.75" customHeight="1">
      <c r="C423" s="64"/>
      <c r="E423" s="64"/>
      <c r="F423" s="64"/>
      <c r="G423" s="64"/>
      <c r="AH423" s="162"/>
      <c r="AI423" s="162"/>
      <c r="AJ423" s="162"/>
      <c r="AK423" s="162"/>
      <c r="BS423" s="131"/>
      <c r="BT423" s="131"/>
      <c r="BU423" s="131"/>
      <c r="BV423" s="131"/>
      <c r="BW423" s="131"/>
      <c r="BX423" s="131"/>
      <c r="BY423" s="131"/>
      <c r="BZ423" s="131"/>
      <c r="CA423" s="131"/>
      <c r="CB423" s="131"/>
      <c r="CC423" s="131"/>
      <c r="CD423" s="131"/>
      <c r="CE423" s="131"/>
    </row>
    <row r="424" ht="18.75" customHeight="1">
      <c r="C424" s="64"/>
      <c r="E424" s="64"/>
      <c r="F424" s="64"/>
      <c r="G424" s="64"/>
      <c r="AH424" s="162"/>
      <c r="AI424" s="162"/>
      <c r="AJ424" s="162"/>
      <c r="AK424" s="162"/>
      <c r="BS424" s="131"/>
      <c r="BT424" s="131"/>
      <c r="BU424" s="131"/>
      <c r="BV424" s="131"/>
      <c r="BW424" s="131"/>
      <c r="BX424" s="131"/>
      <c r="BY424" s="131"/>
      <c r="BZ424" s="131"/>
      <c r="CA424" s="131"/>
      <c r="CB424" s="131"/>
      <c r="CC424" s="131"/>
      <c r="CD424" s="131"/>
      <c r="CE424" s="131"/>
    </row>
    <row r="425" ht="18.75" customHeight="1">
      <c r="C425" s="64"/>
      <c r="E425" s="64"/>
      <c r="F425" s="64"/>
      <c r="G425" s="64"/>
      <c r="AH425" s="162"/>
      <c r="AI425" s="162"/>
      <c r="AJ425" s="162"/>
      <c r="AK425" s="162"/>
      <c r="BS425" s="131"/>
      <c r="BT425" s="131"/>
      <c r="BU425" s="131"/>
      <c r="BV425" s="131"/>
      <c r="BW425" s="131"/>
      <c r="BX425" s="131"/>
      <c r="BY425" s="131"/>
      <c r="BZ425" s="131"/>
      <c r="CA425" s="131"/>
      <c r="CB425" s="131"/>
      <c r="CC425" s="131"/>
      <c r="CD425" s="131"/>
      <c r="CE425" s="131"/>
    </row>
    <row r="426" ht="18.75" customHeight="1">
      <c r="C426" s="64"/>
      <c r="E426" s="64"/>
      <c r="F426" s="64"/>
      <c r="G426" s="64"/>
      <c r="AH426" s="162"/>
      <c r="AI426" s="162"/>
      <c r="AJ426" s="162"/>
      <c r="AK426" s="162"/>
      <c r="BS426" s="131"/>
      <c r="BT426" s="131"/>
      <c r="BU426" s="131"/>
      <c r="BV426" s="131"/>
      <c r="BW426" s="131"/>
      <c r="BX426" s="131"/>
      <c r="BY426" s="131"/>
      <c r="BZ426" s="131"/>
      <c r="CA426" s="131"/>
      <c r="CB426" s="131"/>
      <c r="CC426" s="131"/>
      <c r="CD426" s="131"/>
      <c r="CE426" s="131"/>
    </row>
    <row r="427" ht="18.75" customHeight="1">
      <c r="C427" s="64"/>
      <c r="E427" s="64"/>
      <c r="F427" s="64"/>
      <c r="G427" s="64"/>
      <c r="AH427" s="162"/>
      <c r="AI427" s="162"/>
      <c r="AJ427" s="162"/>
      <c r="AK427" s="162"/>
      <c r="BS427" s="131"/>
      <c r="BT427" s="131"/>
      <c r="BU427" s="131"/>
      <c r="BV427" s="131"/>
      <c r="BW427" s="131"/>
      <c r="BX427" s="131"/>
      <c r="BY427" s="131"/>
      <c r="BZ427" s="131"/>
      <c r="CA427" s="131"/>
      <c r="CB427" s="131"/>
      <c r="CC427" s="131"/>
      <c r="CD427" s="131"/>
      <c r="CE427" s="131"/>
    </row>
    <row r="428" ht="18.75" customHeight="1">
      <c r="C428" s="64"/>
      <c r="E428" s="64"/>
      <c r="F428" s="64"/>
      <c r="G428" s="64"/>
      <c r="AH428" s="162"/>
      <c r="AI428" s="162"/>
      <c r="AJ428" s="162"/>
      <c r="AK428" s="162"/>
      <c r="BS428" s="131"/>
      <c r="BT428" s="131"/>
      <c r="BU428" s="131"/>
      <c r="BV428" s="131"/>
      <c r="BW428" s="131"/>
      <c r="BX428" s="131"/>
      <c r="BY428" s="131"/>
      <c r="BZ428" s="131"/>
      <c r="CA428" s="131"/>
      <c r="CB428" s="131"/>
      <c r="CC428" s="131"/>
      <c r="CD428" s="131"/>
      <c r="CE428" s="131"/>
    </row>
    <row r="429" ht="18.75" customHeight="1">
      <c r="C429" s="64"/>
      <c r="E429" s="64"/>
      <c r="F429" s="64"/>
      <c r="G429" s="64"/>
      <c r="AH429" s="162"/>
      <c r="AI429" s="162"/>
      <c r="AJ429" s="162"/>
      <c r="AK429" s="162"/>
      <c r="BS429" s="131"/>
      <c r="BT429" s="131"/>
      <c r="BU429" s="131"/>
      <c r="BV429" s="131"/>
      <c r="BW429" s="131"/>
      <c r="BX429" s="131"/>
      <c r="BY429" s="131"/>
      <c r="BZ429" s="131"/>
      <c r="CA429" s="131"/>
      <c r="CB429" s="131"/>
      <c r="CC429" s="131"/>
      <c r="CD429" s="131"/>
      <c r="CE429" s="131"/>
    </row>
    <row r="430" ht="18.75" customHeight="1">
      <c r="C430" s="64"/>
      <c r="E430" s="64"/>
      <c r="F430" s="64"/>
      <c r="G430" s="64"/>
      <c r="AH430" s="162"/>
      <c r="AI430" s="162"/>
      <c r="AJ430" s="162"/>
      <c r="AK430" s="162"/>
      <c r="BS430" s="131"/>
      <c r="BT430" s="131"/>
      <c r="BU430" s="131"/>
      <c r="BV430" s="131"/>
      <c r="BW430" s="131"/>
      <c r="BX430" s="131"/>
      <c r="BY430" s="131"/>
      <c r="BZ430" s="131"/>
      <c r="CA430" s="131"/>
      <c r="CB430" s="131"/>
      <c r="CC430" s="131"/>
      <c r="CD430" s="131"/>
      <c r="CE430" s="131"/>
    </row>
    <row r="431" ht="18.75" customHeight="1">
      <c r="C431" s="64"/>
      <c r="E431" s="64"/>
      <c r="F431" s="64"/>
      <c r="G431" s="64"/>
      <c r="AH431" s="162"/>
      <c r="AI431" s="162"/>
      <c r="AJ431" s="162"/>
      <c r="AK431" s="162"/>
      <c r="BS431" s="131"/>
      <c r="BT431" s="131"/>
      <c r="BU431" s="131"/>
      <c r="BV431" s="131"/>
      <c r="BW431" s="131"/>
      <c r="BX431" s="131"/>
      <c r="BY431" s="131"/>
      <c r="BZ431" s="131"/>
      <c r="CA431" s="131"/>
      <c r="CB431" s="131"/>
      <c r="CC431" s="131"/>
      <c r="CD431" s="131"/>
      <c r="CE431" s="131"/>
    </row>
    <row r="432" ht="18.75" customHeight="1">
      <c r="C432" s="64"/>
      <c r="E432" s="64"/>
      <c r="F432" s="64"/>
      <c r="G432" s="64"/>
      <c r="AH432" s="162"/>
      <c r="AI432" s="162"/>
      <c r="AJ432" s="162"/>
      <c r="AK432" s="162"/>
      <c r="BS432" s="131"/>
      <c r="BT432" s="131"/>
      <c r="BU432" s="131"/>
      <c r="BV432" s="131"/>
      <c r="BW432" s="131"/>
      <c r="BX432" s="131"/>
      <c r="BY432" s="131"/>
      <c r="BZ432" s="131"/>
      <c r="CA432" s="131"/>
      <c r="CB432" s="131"/>
      <c r="CC432" s="131"/>
      <c r="CD432" s="131"/>
      <c r="CE432" s="131"/>
    </row>
    <row r="433" ht="18.75" customHeight="1">
      <c r="C433" s="64"/>
      <c r="E433" s="64"/>
      <c r="F433" s="64"/>
      <c r="G433" s="64"/>
      <c r="AH433" s="162"/>
      <c r="AI433" s="162"/>
      <c r="AJ433" s="162"/>
      <c r="AK433" s="162"/>
      <c r="BS433" s="131"/>
      <c r="BT433" s="131"/>
      <c r="BU433" s="131"/>
      <c r="BV433" s="131"/>
      <c r="BW433" s="131"/>
      <c r="BX433" s="131"/>
      <c r="BY433" s="131"/>
      <c r="BZ433" s="131"/>
      <c r="CA433" s="131"/>
      <c r="CB433" s="131"/>
      <c r="CC433" s="131"/>
      <c r="CD433" s="131"/>
      <c r="CE433" s="131"/>
    </row>
    <row r="434" ht="18.75" customHeight="1">
      <c r="C434" s="64"/>
      <c r="E434" s="64"/>
      <c r="F434" s="64"/>
      <c r="G434" s="64"/>
      <c r="AH434" s="162"/>
      <c r="AI434" s="162"/>
      <c r="AJ434" s="162"/>
      <c r="AK434" s="162"/>
      <c r="BS434" s="131"/>
      <c r="BT434" s="131"/>
      <c r="BU434" s="131"/>
      <c r="BV434" s="131"/>
      <c r="BW434" s="131"/>
      <c r="BX434" s="131"/>
      <c r="BY434" s="131"/>
      <c r="BZ434" s="131"/>
      <c r="CA434" s="131"/>
      <c r="CB434" s="131"/>
      <c r="CC434" s="131"/>
      <c r="CD434" s="131"/>
      <c r="CE434" s="131"/>
    </row>
    <row r="435" ht="18.75" customHeight="1">
      <c r="C435" s="64"/>
      <c r="E435" s="64"/>
      <c r="F435" s="64"/>
      <c r="G435" s="64"/>
      <c r="AH435" s="162"/>
      <c r="AI435" s="162"/>
      <c r="AJ435" s="162"/>
      <c r="AK435" s="162"/>
      <c r="BS435" s="131"/>
      <c r="BT435" s="131"/>
      <c r="BU435" s="131"/>
      <c r="BV435" s="131"/>
      <c r="BW435" s="131"/>
      <c r="BX435" s="131"/>
      <c r="BY435" s="131"/>
      <c r="BZ435" s="131"/>
      <c r="CA435" s="131"/>
      <c r="CB435" s="131"/>
      <c r="CC435" s="131"/>
      <c r="CD435" s="131"/>
      <c r="CE435" s="131"/>
    </row>
    <row r="436" ht="18.75" customHeight="1">
      <c r="C436" s="64"/>
      <c r="E436" s="64"/>
      <c r="F436" s="64"/>
      <c r="G436" s="64"/>
      <c r="AH436" s="162"/>
      <c r="AI436" s="162"/>
      <c r="AJ436" s="162"/>
      <c r="AK436" s="162"/>
      <c r="BS436" s="131"/>
      <c r="BT436" s="131"/>
      <c r="BU436" s="131"/>
      <c r="BV436" s="131"/>
      <c r="BW436" s="131"/>
      <c r="BX436" s="131"/>
      <c r="BY436" s="131"/>
      <c r="BZ436" s="131"/>
      <c r="CA436" s="131"/>
      <c r="CB436" s="131"/>
      <c r="CC436" s="131"/>
      <c r="CD436" s="131"/>
      <c r="CE436" s="131"/>
    </row>
    <row r="437" ht="18.75" customHeight="1">
      <c r="C437" s="64"/>
      <c r="E437" s="64"/>
      <c r="F437" s="64"/>
      <c r="G437" s="64"/>
      <c r="AH437" s="162"/>
      <c r="AI437" s="162"/>
      <c r="AJ437" s="162"/>
      <c r="AK437" s="162"/>
      <c r="BS437" s="131"/>
      <c r="BT437" s="131"/>
      <c r="BU437" s="131"/>
      <c r="BV437" s="131"/>
      <c r="BW437" s="131"/>
      <c r="BX437" s="131"/>
      <c r="BY437" s="131"/>
      <c r="BZ437" s="131"/>
      <c r="CA437" s="131"/>
      <c r="CB437" s="131"/>
      <c r="CC437" s="131"/>
      <c r="CD437" s="131"/>
      <c r="CE437" s="131"/>
    </row>
    <row r="438" ht="18.75" customHeight="1">
      <c r="C438" s="64"/>
      <c r="E438" s="64"/>
      <c r="F438" s="64"/>
      <c r="G438" s="64"/>
      <c r="AH438" s="162"/>
      <c r="AI438" s="162"/>
      <c r="AJ438" s="162"/>
      <c r="AK438" s="162"/>
      <c r="BS438" s="131"/>
      <c r="BT438" s="131"/>
      <c r="BU438" s="131"/>
      <c r="BV438" s="131"/>
      <c r="BW438" s="131"/>
      <c r="BX438" s="131"/>
      <c r="BY438" s="131"/>
      <c r="BZ438" s="131"/>
      <c r="CA438" s="131"/>
      <c r="CB438" s="131"/>
      <c r="CC438" s="131"/>
      <c r="CD438" s="131"/>
      <c r="CE438" s="131"/>
    </row>
    <row r="439" ht="18.75" customHeight="1">
      <c r="C439" s="64"/>
      <c r="E439" s="64"/>
      <c r="F439" s="64"/>
      <c r="G439" s="64"/>
      <c r="AH439" s="162"/>
      <c r="AI439" s="162"/>
      <c r="AJ439" s="162"/>
      <c r="AK439" s="162"/>
      <c r="BS439" s="131"/>
      <c r="BT439" s="131"/>
      <c r="BU439" s="131"/>
      <c r="BV439" s="131"/>
      <c r="BW439" s="131"/>
      <c r="BX439" s="131"/>
      <c r="BY439" s="131"/>
      <c r="BZ439" s="131"/>
      <c r="CA439" s="131"/>
      <c r="CB439" s="131"/>
      <c r="CC439" s="131"/>
      <c r="CD439" s="131"/>
      <c r="CE439" s="131"/>
    </row>
    <row r="440" ht="18.75" customHeight="1">
      <c r="C440" s="64"/>
      <c r="E440" s="64"/>
      <c r="F440" s="64"/>
      <c r="G440" s="64"/>
      <c r="AH440" s="162"/>
      <c r="AI440" s="162"/>
      <c r="AJ440" s="162"/>
      <c r="AK440" s="162"/>
      <c r="BS440" s="131"/>
      <c r="BT440" s="131"/>
      <c r="BU440" s="131"/>
      <c r="BV440" s="131"/>
      <c r="BW440" s="131"/>
      <c r="BX440" s="131"/>
      <c r="BY440" s="131"/>
      <c r="BZ440" s="131"/>
      <c r="CA440" s="131"/>
      <c r="CB440" s="131"/>
      <c r="CC440" s="131"/>
      <c r="CD440" s="131"/>
      <c r="CE440" s="131"/>
    </row>
    <row r="441" ht="18.75" customHeight="1">
      <c r="C441" s="64"/>
      <c r="E441" s="64"/>
      <c r="F441" s="64"/>
      <c r="G441" s="64"/>
      <c r="AH441" s="162"/>
      <c r="AI441" s="162"/>
      <c r="AJ441" s="162"/>
      <c r="AK441" s="162"/>
      <c r="BS441" s="131"/>
      <c r="BT441" s="131"/>
      <c r="BU441" s="131"/>
      <c r="BV441" s="131"/>
      <c r="BW441" s="131"/>
      <c r="BX441" s="131"/>
      <c r="BY441" s="131"/>
      <c r="BZ441" s="131"/>
      <c r="CA441" s="131"/>
      <c r="CB441" s="131"/>
      <c r="CC441" s="131"/>
      <c r="CD441" s="131"/>
      <c r="CE441" s="131"/>
    </row>
    <row r="442" ht="18.75" customHeight="1">
      <c r="C442" s="64"/>
      <c r="E442" s="64"/>
      <c r="F442" s="64"/>
      <c r="G442" s="64"/>
      <c r="AH442" s="162"/>
      <c r="AI442" s="162"/>
      <c r="AJ442" s="162"/>
      <c r="AK442" s="162"/>
      <c r="BS442" s="131"/>
      <c r="BT442" s="131"/>
      <c r="BU442" s="131"/>
      <c r="BV442" s="131"/>
      <c r="BW442" s="131"/>
      <c r="BX442" s="131"/>
      <c r="BY442" s="131"/>
      <c r="BZ442" s="131"/>
      <c r="CA442" s="131"/>
      <c r="CB442" s="131"/>
      <c r="CC442" s="131"/>
      <c r="CD442" s="131"/>
      <c r="CE442" s="131"/>
    </row>
    <row r="443" ht="18.75" customHeight="1">
      <c r="C443" s="64"/>
      <c r="E443" s="64"/>
      <c r="F443" s="64"/>
      <c r="G443" s="64"/>
      <c r="AH443" s="162"/>
      <c r="AI443" s="162"/>
      <c r="AJ443" s="162"/>
      <c r="AK443" s="162"/>
      <c r="BS443" s="131"/>
      <c r="BT443" s="131"/>
      <c r="BU443" s="131"/>
      <c r="BV443" s="131"/>
      <c r="BW443" s="131"/>
      <c r="BX443" s="131"/>
      <c r="BY443" s="131"/>
      <c r="BZ443" s="131"/>
      <c r="CA443" s="131"/>
      <c r="CB443" s="131"/>
      <c r="CC443" s="131"/>
      <c r="CD443" s="131"/>
      <c r="CE443" s="131"/>
    </row>
    <row r="444" ht="18.75" customHeight="1">
      <c r="C444" s="64"/>
      <c r="E444" s="64"/>
      <c r="F444" s="64"/>
      <c r="G444" s="64"/>
      <c r="AH444" s="162"/>
      <c r="AI444" s="162"/>
      <c r="AJ444" s="162"/>
      <c r="AK444" s="162"/>
      <c r="BS444" s="131"/>
      <c r="BT444" s="131"/>
      <c r="BU444" s="131"/>
      <c r="BV444" s="131"/>
      <c r="BW444" s="131"/>
      <c r="BX444" s="131"/>
      <c r="BY444" s="131"/>
      <c r="BZ444" s="131"/>
      <c r="CA444" s="131"/>
      <c r="CB444" s="131"/>
      <c r="CC444" s="131"/>
      <c r="CD444" s="131"/>
      <c r="CE444" s="131"/>
    </row>
    <row r="445" ht="18.75" customHeight="1">
      <c r="C445" s="64"/>
      <c r="E445" s="64"/>
      <c r="F445" s="64"/>
      <c r="G445" s="64"/>
      <c r="AH445" s="162"/>
      <c r="AI445" s="162"/>
      <c r="AJ445" s="162"/>
      <c r="AK445" s="162"/>
      <c r="BS445" s="131"/>
      <c r="BT445" s="131"/>
      <c r="BU445" s="131"/>
      <c r="BV445" s="131"/>
      <c r="BW445" s="131"/>
      <c r="BX445" s="131"/>
      <c r="BY445" s="131"/>
      <c r="BZ445" s="131"/>
      <c r="CA445" s="131"/>
      <c r="CB445" s="131"/>
      <c r="CC445" s="131"/>
      <c r="CD445" s="131"/>
      <c r="CE445" s="131"/>
    </row>
    <row r="446" ht="18.75" customHeight="1">
      <c r="C446" s="64"/>
      <c r="E446" s="64"/>
      <c r="F446" s="64"/>
      <c r="G446" s="64"/>
      <c r="AH446" s="162"/>
      <c r="AI446" s="162"/>
      <c r="AJ446" s="162"/>
      <c r="AK446" s="162"/>
      <c r="BS446" s="131"/>
      <c r="BT446" s="131"/>
      <c r="BU446" s="131"/>
      <c r="BV446" s="131"/>
      <c r="BW446" s="131"/>
      <c r="BX446" s="131"/>
      <c r="BY446" s="131"/>
      <c r="BZ446" s="131"/>
      <c r="CA446" s="131"/>
      <c r="CB446" s="131"/>
      <c r="CC446" s="131"/>
      <c r="CD446" s="131"/>
      <c r="CE446" s="131"/>
    </row>
    <row r="447" ht="18.75" customHeight="1">
      <c r="C447" s="64"/>
      <c r="E447" s="64"/>
      <c r="F447" s="64"/>
      <c r="G447" s="64"/>
      <c r="AH447" s="162"/>
      <c r="AI447" s="162"/>
      <c r="AJ447" s="162"/>
      <c r="AK447" s="162"/>
      <c r="BS447" s="131"/>
      <c r="BT447" s="131"/>
      <c r="BU447" s="131"/>
      <c r="BV447" s="131"/>
      <c r="BW447" s="131"/>
      <c r="BX447" s="131"/>
      <c r="BY447" s="131"/>
      <c r="BZ447" s="131"/>
      <c r="CA447" s="131"/>
      <c r="CB447" s="131"/>
      <c r="CC447" s="131"/>
      <c r="CD447" s="131"/>
      <c r="CE447" s="131"/>
    </row>
    <row r="448" ht="18.75" customHeight="1">
      <c r="C448" s="64"/>
      <c r="E448" s="64"/>
      <c r="F448" s="64"/>
      <c r="G448" s="64"/>
      <c r="AH448" s="162"/>
      <c r="AI448" s="162"/>
      <c r="AJ448" s="162"/>
      <c r="AK448" s="162"/>
      <c r="BS448" s="131"/>
      <c r="BT448" s="131"/>
      <c r="BU448" s="131"/>
      <c r="BV448" s="131"/>
      <c r="BW448" s="131"/>
      <c r="BX448" s="131"/>
      <c r="BY448" s="131"/>
      <c r="BZ448" s="131"/>
      <c r="CA448" s="131"/>
      <c r="CB448" s="131"/>
      <c r="CC448" s="131"/>
      <c r="CD448" s="131"/>
      <c r="CE448" s="131"/>
    </row>
    <row r="449" ht="18.75" customHeight="1">
      <c r="C449" s="64"/>
      <c r="E449" s="64"/>
      <c r="F449" s="64"/>
      <c r="G449" s="64"/>
      <c r="AH449" s="162"/>
      <c r="AI449" s="162"/>
      <c r="AJ449" s="162"/>
      <c r="AK449" s="162"/>
      <c r="BS449" s="131"/>
      <c r="BT449" s="131"/>
      <c r="BU449" s="131"/>
      <c r="BV449" s="131"/>
      <c r="BW449" s="131"/>
      <c r="BX449" s="131"/>
      <c r="BY449" s="131"/>
      <c r="BZ449" s="131"/>
      <c r="CA449" s="131"/>
      <c r="CB449" s="131"/>
      <c r="CC449" s="131"/>
      <c r="CD449" s="131"/>
      <c r="CE449" s="131"/>
    </row>
    <row r="450" ht="18.75" customHeight="1">
      <c r="C450" s="64"/>
      <c r="E450" s="64"/>
      <c r="F450" s="64"/>
      <c r="G450" s="64"/>
      <c r="AH450" s="162"/>
      <c r="AI450" s="162"/>
      <c r="AJ450" s="162"/>
      <c r="AK450" s="162"/>
      <c r="BS450" s="131"/>
      <c r="BT450" s="131"/>
      <c r="BU450" s="131"/>
      <c r="BV450" s="131"/>
      <c r="BW450" s="131"/>
      <c r="BX450" s="131"/>
      <c r="BY450" s="131"/>
      <c r="BZ450" s="131"/>
      <c r="CA450" s="131"/>
      <c r="CB450" s="131"/>
      <c r="CC450" s="131"/>
      <c r="CD450" s="131"/>
      <c r="CE450" s="131"/>
    </row>
    <row r="451" ht="18.75" customHeight="1">
      <c r="C451" s="64"/>
      <c r="E451" s="64"/>
      <c r="F451" s="64"/>
      <c r="G451" s="64"/>
      <c r="AH451" s="162"/>
      <c r="AI451" s="162"/>
      <c r="AJ451" s="162"/>
      <c r="AK451" s="162"/>
      <c r="BS451" s="131"/>
      <c r="BT451" s="131"/>
      <c r="BU451" s="131"/>
      <c r="BV451" s="131"/>
      <c r="BW451" s="131"/>
      <c r="BX451" s="131"/>
      <c r="BY451" s="131"/>
      <c r="BZ451" s="131"/>
      <c r="CA451" s="131"/>
      <c r="CB451" s="131"/>
      <c r="CC451" s="131"/>
      <c r="CD451" s="131"/>
      <c r="CE451" s="131"/>
    </row>
    <row r="452" ht="18.75" customHeight="1">
      <c r="C452" s="64"/>
      <c r="E452" s="64"/>
      <c r="F452" s="64"/>
      <c r="G452" s="64"/>
      <c r="AH452" s="162"/>
      <c r="AI452" s="162"/>
      <c r="AJ452" s="162"/>
      <c r="AK452" s="162"/>
      <c r="BS452" s="131"/>
      <c r="BT452" s="131"/>
      <c r="BU452" s="131"/>
      <c r="BV452" s="131"/>
      <c r="BW452" s="131"/>
      <c r="BX452" s="131"/>
      <c r="BY452" s="131"/>
      <c r="BZ452" s="131"/>
      <c r="CA452" s="131"/>
      <c r="CB452" s="131"/>
      <c r="CC452" s="131"/>
      <c r="CD452" s="131"/>
      <c r="CE452" s="131"/>
    </row>
    <row r="453" ht="18.75" customHeight="1">
      <c r="C453" s="64"/>
      <c r="E453" s="64"/>
      <c r="F453" s="64"/>
      <c r="G453" s="64"/>
      <c r="AH453" s="162"/>
      <c r="AI453" s="162"/>
      <c r="AJ453" s="162"/>
      <c r="AK453" s="162"/>
      <c r="BS453" s="131"/>
      <c r="BT453" s="131"/>
      <c r="BU453" s="131"/>
      <c r="BV453" s="131"/>
      <c r="BW453" s="131"/>
      <c r="BX453" s="131"/>
      <c r="BY453" s="131"/>
      <c r="BZ453" s="131"/>
      <c r="CA453" s="131"/>
      <c r="CB453" s="131"/>
      <c r="CC453" s="131"/>
      <c r="CD453" s="131"/>
      <c r="CE453" s="131"/>
    </row>
    <row r="454" ht="18.75" customHeight="1">
      <c r="C454" s="64"/>
      <c r="E454" s="64"/>
      <c r="F454" s="64"/>
      <c r="G454" s="64"/>
      <c r="AH454" s="162"/>
      <c r="AI454" s="162"/>
      <c r="AJ454" s="162"/>
      <c r="AK454" s="162"/>
      <c r="BS454" s="131"/>
      <c r="BT454" s="131"/>
      <c r="BU454" s="131"/>
      <c r="BV454" s="131"/>
      <c r="BW454" s="131"/>
      <c r="BX454" s="131"/>
      <c r="BY454" s="131"/>
      <c r="BZ454" s="131"/>
      <c r="CA454" s="131"/>
      <c r="CB454" s="131"/>
      <c r="CC454" s="131"/>
      <c r="CD454" s="131"/>
      <c r="CE454" s="131"/>
    </row>
    <row r="455" ht="18.75" customHeight="1">
      <c r="C455" s="64"/>
      <c r="E455" s="64"/>
      <c r="F455" s="64"/>
      <c r="G455" s="64"/>
      <c r="AH455" s="162"/>
      <c r="AI455" s="162"/>
      <c r="AJ455" s="162"/>
      <c r="AK455" s="162"/>
      <c r="BS455" s="131"/>
      <c r="BT455" s="131"/>
      <c r="BU455" s="131"/>
      <c r="BV455" s="131"/>
      <c r="BW455" s="131"/>
      <c r="BX455" s="131"/>
      <c r="BY455" s="131"/>
      <c r="BZ455" s="131"/>
      <c r="CA455" s="131"/>
      <c r="CB455" s="131"/>
      <c r="CC455" s="131"/>
      <c r="CD455" s="131"/>
      <c r="CE455" s="131"/>
    </row>
    <row r="456" ht="18.75" customHeight="1">
      <c r="C456" s="64"/>
      <c r="E456" s="64"/>
      <c r="F456" s="64"/>
      <c r="G456" s="64"/>
      <c r="AH456" s="162"/>
      <c r="AI456" s="162"/>
      <c r="AJ456" s="162"/>
      <c r="AK456" s="162"/>
      <c r="BS456" s="131"/>
      <c r="BT456" s="131"/>
      <c r="BU456" s="131"/>
      <c r="BV456" s="131"/>
      <c r="BW456" s="131"/>
      <c r="BX456" s="131"/>
      <c r="BY456" s="131"/>
      <c r="BZ456" s="131"/>
      <c r="CA456" s="131"/>
      <c r="CB456" s="131"/>
      <c r="CC456" s="131"/>
      <c r="CD456" s="131"/>
      <c r="CE456" s="131"/>
    </row>
    <row r="457" ht="18.75" customHeight="1">
      <c r="C457" s="64"/>
      <c r="E457" s="64"/>
      <c r="F457" s="64"/>
      <c r="G457" s="64"/>
      <c r="AH457" s="162"/>
      <c r="AI457" s="162"/>
      <c r="AJ457" s="162"/>
      <c r="AK457" s="162"/>
      <c r="BS457" s="131"/>
      <c r="BT457" s="131"/>
      <c r="BU457" s="131"/>
      <c r="BV457" s="131"/>
      <c r="BW457" s="131"/>
      <c r="BX457" s="131"/>
      <c r="BY457" s="131"/>
      <c r="BZ457" s="131"/>
      <c r="CA457" s="131"/>
      <c r="CB457" s="131"/>
      <c r="CC457" s="131"/>
      <c r="CD457" s="131"/>
      <c r="CE457" s="131"/>
    </row>
    <row r="458" ht="18.75" customHeight="1">
      <c r="C458" s="64"/>
      <c r="E458" s="64"/>
      <c r="F458" s="64"/>
      <c r="G458" s="64"/>
      <c r="AH458" s="162"/>
      <c r="AI458" s="162"/>
      <c r="AJ458" s="162"/>
      <c r="AK458" s="162"/>
      <c r="BS458" s="131"/>
      <c r="BT458" s="131"/>
      <c r="BU458" s="131"/>
      <c r="BV458" s="131"/>
      <c r="BW458" s="131"/>
      <c r="BX458" s="131"/>
      <c r="BY458" s="131"/>
      <c r="BZ458" s="131"/>
      <c r="CA458" s="131"/>
      <c r="CB458" s="131"/>
      <c r="CC458" s="131"/>
      <c r="CD458" s="131"/>
      <c r="CE458" s="131"/>
    </row>
    <row r="459" ht="18.75" customHeight="1">
      <c r="C459" s="64"/>
      <c r="E459" s="64"/>
      <c r="F459" s="64"/>
      <c r="G459" s="64"/>
      <c r="AH459" s="162"/>
      <c r="AI459" s="162"/>
      <c r="AJ459" s="162"/>
      <c r="AK459" s="162"/>
      <c r="BS459" s="131"/>
      <c r="BT459" s="131"/>
      <c r="BU459" s="131"/>
      <c r="BV459" s="131"/>
      <c r="BW459" s="131"/>
      <c r="BX459" s="131"/>
      <c r="BY459" s="131"/>
      <c r="BZ459" s="131"/>
      <c r="CA459" s="131"/>
      <c r="CB459" s="131"/>
      <c r="CC459" s="131"/>
      <c r="CD459" s="131"/>
      <c r="CE459" s="131"/>
    </row>
    <row r="460" ht="18.75" customHeight="1">
      <c r="C460" s="64"/>
      <c r="E460" s="64"/>
      <c r="F460" s="64"/>
      <c r="G460" s="64"/>
      <c r="AH460" s="162"/>
      <c r="AI460" s="162"/>
      <c r="AJ460" s="162"/>
      <c r="AK460" s="162"/>
      <c r="BS460" s="131"/>
      <c r="BT460" s="131"/>
      <c r="BU460" s="131"/>
      <c r="BV460" s="131"/>
      <c r="BW460" s="131"/>
      <c r="BX460" s="131"/>
      <c r="BY460" s="131"/>
      <c r="BZ460" s="131"/>
      <c r="CA460" s="131"/>
      <c r="CB460" s="131"/>
      <c r="CC460" s="131"/>
      <c r="CD460" s="131"/>
      <c r="CE460" s="131"/>
    </row>
    <row r="461" ht="18.75" customHeight="1">
      <c r="C461" s="64"/>
      <c r="E461" s="64"/>
      <c r="F461" s="64"/>
      <c r="G461" s="64"/>
      <c r="AH461" s="162"/>
      <c r="AI461" s="162"/>
      <c r="AJ461" s="162"/>
      <c r="AK461" s="162"/>
      <c r="BS461" s="131"/>
      <c r="BT461" s="131"/>
      <c r="BU461" s="131"/>
      <c r="BV461" s="131"/>
      <c r="BW461" s="131"/>
      <c r="BX461" s="131"/>
      <c r="BY461" s="131"/>
      <c r="BZ461" s="131"/>
      <c r="CA461" s="131"/>
      <c r="CB461" s="131"/>
      <c r="CC461" s="131"/>
      <c r="CD461" s="131"/>
      <c r="CE461" s="131"/>
    </row>
    <row r="462" ht="18.75" customHeight="1">
      <c r="C462" s="64"/>
      <c r="E462" s="64"/>
      <c r="F462" s="64"/>
      <c r="G462" s="64"/>
      <c r="AH462" s="162"/>
      <c r="AI462" s="162"/>
      <c r="AJ462" s="162"/>
      <c r="AK462" s="162"/>
      <c r="BS462" s="131"/>
      <c r="BT462" s="131"/>
      <c r="BU462" s="131"/>
      <c r="BV462" s="131"/>
      <c r="BW462" s="131"/>
      <c r="BX462" s="131"/>
      <c r="BY462" s="131"/>
      <c r="BZ462" s="131"/>
      <c r="CA462" s="131"/>
      <c r="CB462" s="131"/>
      <c r="CC462" s="131"/>
      <c r="CD462" s="131"/>
      <c r="CE462" s="131"/>
    </row>
    <row r="463" ht="18.75" customHeight="1">
      <c r="C463" s="64"/>
      <c r="E463" s="64"/>
      <c r="F463" s="64"/>
      <c r="G463" s="64"/>
      <c r="AH463" s="162"/>
      <c r="AI463" s="162"/>
      <c r="AJ463" s="162"/>
      <c r="AK463" s="162"/>
      <c r="BS463" s="131"/>
      <c r="BT463" s="131"/>
      <c r="BU463" s="131"/>
      <c r="BV463" s="131"/>
      <c r="BW463" s="131"/>
      <c r="BX463" s="131"/>
      <c r="BY463" s="131"/>
      <c r="BZ463" s="131"/>
      <c r="CA463" s="131"/>
      <c r="CB463" s="131"/>
      <c r="CC463" s="131"/>
      <c r="CD463" s="131"/>
      <c r="CE463" s="131"/>
    </row>
    <row r="464" ht="18.75" customHeight="1">
      <c r="C464" s="64"/>
      <c r="E464" s="64"/>
      <c r="F464" s="64"/>
      <c r="G464" s="64"/>
      <c r="AH464" s="162"/>
      <c r="AI464" s="162"/>
      <c r="AJ464" s="162"/>
      <c r="AK464" s="162"/>
      <c r="BS464" s="131"/>
      <c r="BT464" s="131"/>
      <c r="BU464" s="131"/>
      <c r="BV464" s="131"/>
      <c r="BW464" s="131"/>
      <c r="BX464" s="131"/>
      <c r="BY464" s="131"/>
      <c r="BZ464" s="131"/>
      <c r="CA464" s="131"/>
      <c r="CB464" s="131"/>
      <c r="CC464" s="131"/>
      <c r="CD464" s="131"/>
      <c r="CE464" s="131"/>
    </row>
    <row r="465" ht="18.75" customHeight="1">
      <c r="C465" s="64"/>
      <c r="E465" s="64"/>
      <c r="F465" s="64"/>
      <c r="G465" s="64"/>
      <c r="AH465" s="162"/>
      <c r="AI465" s="162"/>
      <c r="AJ465" s="162"/>
      <c r="AK465" s="162"/>
      <c r="BS465" s="131"/>
      <c r="BT465" s="131"/>
      <c r="BU465" s="131"/>
      <c r="BV465" s="131"/>
      <c r="BW465" s="131"/>
      <c r="BX465" s="131"/>
      <c r="BY465" s="131"/>
      <c r="BZ465" s="131"/>
      <c r="CA465" s="131"/>
      <c r="CB465" s="131"/>
      <c r="CC465" s="131"/>
      <c r="CD465" s="131"/>
      <c r="CE465" s="131"/>
    </row>
    <row r="466" ht="18.75" customHeight="1">
      <c r="C466" s="64"/>
      <c r="E466" s="64"/>
      <c r="F466" s="64"/>
      <c r="G466" s="64"/>
      <c r="AH466" s="162"/>
      <c r="AI466" s="162"/>
      <c r="AJ466" s="162"/>
      <c r="AK466" s="162"/>
      <c r="BS466" s="131"/>
      <c r="BT466" s="131"/>
      <c r="BU466" s="131"/>
      <c r="BV466" s="131"/>
      <c r="BW466" s="131"/>
      <c r="BX466" s="131"/>
      <c r="BY466" s="131"/>
      <c r="BZ466" s="131"/>
      <c r="CA466" s="131"/>
      <c r="CB466" s="131"/>
      <c r="CC466" s="131"/>
      <c r="CD466" s="131"/>
      <c r="CE466" s="131"/>
    </row>
    <row r="467" ht="18.75" customHeight="1">
      <c r="C467" s="64"/>
      <c r="E467" s="64"/>
      <c r="F467" s="64"/>
      <c r="G467" s="64"/>
      <c r="AH467" s="162"/>
      <c r="AI467" s="162"/>
      <c r="AJ467" s="162"/>
      <c r="AK467" s="162"/>
      <c r="BS467" s="131"/>
      <c r="BT467" s="131"/>
      <c r="BU467" s="131"/>
      <c r="BV467" s="131"/>
      <c r="BW467" s="131"/>
      <c r="BX467" s="131"/>
      <c r="BY467" s="131"/>
      <c r="BZ467" s="131"/>
      <c r="CA467" s="131"/>
      <c r="CB467" s="131"/>
      <c r="CC467" s="131"/>
      <c r="CD467" s="131"/>
      <c r="CE467" s="131"/>
    </row>
    <row r="468" ht="18.75" customHeight="1">
      <c r="C468" s="64"/>
      <c r="E468" s="64"/>
      <c r="F468" s="64"/>
      <c r="G468" s="64"/>
      <c r="AH468" s="162"/>
      <c r="AI468" s="162"/>
      <c r="AJ468" s="162"/>
      <c r="AK468" s="162"/>
      <c r="BS468" s="131"/>
      <c r="BT468" s="131"/>
      <c r="BU468" s="131"/>
      <c r="BV468" s="131"/>
      <c r="BW468" s="131"/>
      <c r="BX468" s="131"/>
      <c r="BY468" s="131"/>
      <c r="BZ468" s="131"/>
      <c r="CA468" s="131"/>
      <c r="CB468" s="131"/>
      <c r="CC468" s="131"/>
      <c r="CD468" s="131"/>
      <c r="CE468" s="131"/>
    </row>
    <row r="469" ht="18.75" customHeight="1">
      <c r="C469" s="64"/>
      <c r="E469" s="64"/>
      <c r="F469" s="64"/>
      <c r="G469" s="64"/>
      <c r="AH469" s="162"/>
      <c r="AI469" s="162"/>
      <c r="AJ469" s="162"/>
      <c r="AK469" s="162"/>
      <c r="BS469" s="131"/>
      <c r="BT469" s="131"/>
      <c r="BU469" s="131"/>
      <c r="BV469" s="131"/>
      <c r="BW469" s="131"/>
      <c r="BX469" s="131"/>
      <c r="BY469" s="131"/>
      <c r="BZ469" s="131"/>
      <c r="CA469" s="131"/>
      <c r="CB469" s="131"/>
      <c r="CC469" s="131"/>
      <c r="CD469" s="131"/>
      <c r="CE469" s="131"/>
    </row>
    <row r="470" ht="18.75" customHeight="1">
      <c r="C470" s="64"/>
      <c r="E470" s="64"/>
      <c r="F470" s="64"/>
      <c r="G470" s="64"/>
      <c r="AH470" s="162"/>
      <c r="AI470" s="162"/>
      <c r="AJ470" s="162"/>
      <c r="AK470" s="162"/>
      <c r="BS470" s="131"/>
      <c r="BT470" s="131"/>
      <c r="BU470" s="131"/>
      <c r="BV470" s="131"/>
      <c r="BW470" s="131"/>
      <c r="BX470" s="131"/>
      <c r="BY470" s="131"/>
      <c r="BZ470" s="131"/>
      <c r="CA470" s="131"/>
      <c r="CB470" s="131"/>
      <c r="CC470" s="131"/>
      <c r="CD470" s="131"/>
      <c r="CE470" s="131"/>
    </row>
    <row r="471" ht="18.75" customHeight="1">
      <c r="C471" s="64"/>
      <c r="E471" s="64"/>
      <c r="F471" s="64"/>
      <c r="G471" s="64"/>
      <c r="AH471" s="162"/>
      <c r="AI471" s="162"/>
      <c r="AJ471" s="162"/>
      <c r="AK471" s="162"/>
      <c r="BS471" s="131"/>
      <c r="BT471" s="131"/>
      <c r="BU471" s="131"/>
      <c r="BV471" s="131"/>
      <c r="BW471" s="131"/>
      <c r="BX471" s="131"/>
      <c r="BY471" s="131"/>
      <c r="BZ471" s="131"/>
      <c r="CA471" s="131"/>
      <c r="CB471" s="131"/>
      <c r="CC471" s="131"/>
      <c r="CD471" s="131"/>
      <c r="CE471" s="131"/>
    </row>
    <row r="472" ht="18.75" customHeight="1">
      <c r="C472" s="64"/>
      <c r="E472" s="64"/>
      <c r="F472" s="64"/>
      <c r="G472" s="64"/>
      <c r="AH472" s="162"/>
      <c r="AI472" s="162"/>
      <c r="AJ472" s="162"/>
      <c r="AK472" s="162"/>
      <c r="BS472" s="131"/>
      <c r="BT472" s="131"/>
      <c r="BU472" s="131"/>
      <c r="BV472" s="131"/>
      <c r="BW472" s="131"/>
      <c r="BX472" s="131"/>
      <c r="BY472" s="131"/>
      <c r="BZ472" s="131"/>
      <c r="CA472" s="131"/>
      <c r="CB472" s="131"/>
      <c r="CC472" s="131"/>
      <c r="CD472" s="131"/>
      <c r="CE472" s="131"/>
    </row>
    <row r="473" ht="18.75" customHeight="1">
      <c r="C473" s="64"/>
      <c r="E473" s="64"/>
      <c r="F473" s="64"/>
      <c r="G473" s="64"/>
      <c r="AH473" s="162"/>
      <c r="AI473" s="162"/>
      <c r="AJ473" s="162"/>
      <c r="AK473" s="162"/>
      <c r="BS473" s="131"/>
      <c r="BT473" s="131"/>
      <c r="BU473" s="131"/>
      <c r="BV473" s="131"/>
      <c r="BW473" s="131"/>
      <c r="BX473" s="131"/>
      <c r="BY473" s="131"/>
      <c r="BZ473" s="131"/>
      <c r="CA473" s="131"/>
      <c r="CB473" s="131"/>
      <c r="CC473" s="131"/>
      <c r="CD473" s="131"/>
      <c r="CE473" s="131"/>
    </row>
    <row r="474" ht="18.75" customHeight="1">
      <c r="C474" s="64"/>
      <c r="E474" s="64"/>
      <c r="F474" s="64"/>
      <c r="G474" s="64"/>
      <c r="AH474" s="162"/>
      <c r="AI474" s="162"/>
      <c r="AJ474" s="162"/>
      <c r="AK474" s="162"/>
      <c r="BS474" s="131"/>
      <c r="BT474" s="131"/>
      <c r="BU474" s="131"/>
      <c r="BV474" s="131"/>
      <c r="BW474" s="131"/>
      <c r="BX474" s="131"/>
      <c r="BY474" s="131"/>
      <c r="BZ474" s="131"/>
      <c r="CA474" s="131"/>
      <c r="CB474" s="131"/>
      <c r="CC474" s="131"/>
      <c r="CD474" s="131"/>
      <c r="CE474" s="131"/>
    </row>
    <row r="475" ht="18.75" customHeight="1">
      <c r="C475" s="64"/>
      <c r="E475" s="64"/>
      <c r="F475" s="64"/>
      <c r="G475" s="64"/>
      <c r="AH475" s="162"/>
      <c r="AI475" s="162"/>
      <c r="AJ475" s="162"/>
      <c r="AK475" s="162"/>
      <c r="BS475" s="131"/>
      <c r="BT475" s="131"/>
      <c r="BU475" s="131"/>
      <c r="BV475" s="131"/>
      <c r="BW475" s="131"/>
      <c r="BX475" s="131"/>
      <c r="BY475" s="131"/>
      <c r="BZ475" s="131"/>
      <c r="CA475" s="131"/>
      <c r="CB475" s="131"/>
      <c r="CC475" s="131"/>
      <c r="CD475" s="131"/>
      <c r="CE475" s="131"/>
    </row>
    <row r="476" ht="18.75" customHeight="1">
      <c r="C476" s="64"/>
      <c r="E476" s="64"/>
      <c r="F476" s="64"/>
      <c r="G476" s="64"/>
      <c r="AH476" s="162"/>
      <c r="AI476" s="162"/>
      <c r="AJ476" s="162"/>
      <c r="AK476" s="162"/>
      <c r="BS476" s="131"/>
      <c r="BT476" s="131"/>
      <c r="BU476" s="131"/>
      <c r="BV476" s="131"/>
      <c r="BW476" s="131"/>
      <c r="BX476" s="131"/>
      <c r="BY476" s="131"/>
      <c r="BZ476" s="131"/>
      <c r="CA476" s="131"/>
      <c r="CB476" s="131"/>
      <c r="CC476" s="131"/>
      <c r="CD476" s="131"/>
      <c r="CE476" s="131"/>
    </row>
    <row r="477" ht="18.75" customHeight="1">
      <c r="C477" s="64"/>
      <c r="E477" s="64"/>
      <c r="F477" s="64"/>
      <c r="G477" s="64"/>
      <c r="AH477" s="162"/>
      <c r="AI477" s="162"/>
      <c r="AJ477" s="162"/>
      <c r="AK477" s="162"/>
      <c r="BS477" s="131"/>
      <c r="BT477" s="131"/>
      <c r="BU477" s="131"/>
      <c r="BV477" s="131"/>
      <c r="BW477" s="131"/>
      <c r="BX477" s="131"/>
      <c r="BY477" s="131"/>
      <c r="BZ477" s="131"/>
      <c r="CA477" s="131"/>
      <c r="CB477" s="131"/>
      <c r="CC477" s="131"/>
      <c r="CD477" s="131"/>
      <c r="CE477" s="131"/>
    </row>
    <row r="478" ht="18.75" customHeight="1">
      <c r="C478" s="64"/>
      <c r="E478" s="64"/>
      <c r="F478" s="64"/>
      <c r="G478" s="64"/>
      <c r="AH478" s="162"/>
      <c r="AI478" s="162"/>
      <c r="AJ478" s="162"/>
      <c r="AK478" s="162"/>
      <c r="BS478" s="131"/>
      <c r="BT478" s="131"/>
      <c r="BU478" s="131"/>
      <c r="BV478" s="131"/>
      <c r="BW478" s="131"/>
      <c r="BX478" s="131"/>
      <c r="BY478" s="131"/>
      <c r="BZ478" s="131"/>
      <c r="CA478" s="131"/>
      <c r="CB478" s="131"/>
      <c r="CC478" s="131"/>
      <c r="CD478" s="131"/>
      <c r="CE478" s="131"/>
    </row>
    <row r="479" ht="18.75" customHeight="1">
      <c r="C479" s="64"/>
      <c r="E479" s="64"/>
      <c r="F479" s="64"/>
      <c r="G479" s="64"/>
      <c r="AH479" s="162"/>
      <c r="AI479" s="162"/>
      <c r="AJ479" s="162"/>
      <c r="AK479" s="162"/>
      <c r="BS479" s="131"/>
      <c r="BT479" s="131"/>
      <c r="BU479" s="131"/>
      <c r="BV479" s="131"/>
      <c r="BW479" s="131"/>
      <c r="BX479" s="131"/>
      <c r="BY479" s="131"/>
      <c r="BZ479" s="131"/>
      <c r="CA479" s="131"/>
      <c r="CB479" s="131"/>
      <c r="CC479" s="131"/>
      <c r="CD479" s="131"/>
      <c r="CE479" s="131"/>
    </row>
    <row r="480" ht="18.75" customHeight="1">
      <c r="C480" s="64"/>
      <c r="E480" s="64"/>
      <c r="F480" s="64"/>
      <c r="G480" s="64"/>
      <c r="AH480" s="162"/>
      <c r="AI480" s="162"/>
      <c r="AJ480" s="162"/>
      <c r="AK480" s="162"/>
      <c r="BS480" s="131"/>
      <c r="BT480" s="131"/>
      <c r="BU480" s="131"/>
      <c r="BV480" s="131"/>
      <c r="BW480" s="131"/>
      <c r="BX480" s="131"/>
      <c r="BY480" s="131"/>
      <c r="BZ480" s="131"/>
      <c r="CA480" s="131"/>
      <c r="CB480" s="131"/>
      <c r="CC480" s="131"/>
      <c r="CD480" s="131"/>
      <c r="CE480" s="131"/>
    </row>
    <row r="481" ht="18.75" customHeight="1">
      <c r="C481" s="64"/>
      <c r="E481" s="64"/>
      <c r="F481" s="64"/>
      <c r="G481" s="64"/>
      <c r="AH481" s="162"/>
      <c r="AI481" s="162"/>
      <c r="AJ481" s="162"/>
      <c r="AK481" s="162"/>
      <c r="BS481" s="131"/>
      <c r="BT481" s="131"/>
      <c r="BU481" s="131"/>
      <c r="BV481" s="131"/>
      <c r="BW481" s="131"/>
      <c r="BX481" s="131"/>
      <c r="BY481" s="131"/>
      <c r="BZ481" s="131"/>
      <c r="CA481" s="131"/>
      <c r="CB481" s="131"/>
      <c r="CC481" s="131"/>
      <c r="CD481" s="131"/>
      <c r="CE481" s="131"/>
    </row>
    <row r="482" ht="18.75" customHeight="1">
      <c r="C482" s="64"/>
      <c r="E482" s="64"/>
      <c r="F482" s="64"/>
      <c r="G482" s="64"/>
      <c r="AH482" s="162"/>
      <c r="AI482" s="162"/>
      <c r="AJ482" s="162"/>
      <c r="AK482" s="162"/>
      <c r="BS482" s="131"/>
      <c r="BT482" s="131"/>
      <c r="BU482" s="131"/>
      <c r="BV482" s="131"/>
      <c r="BW482" s="131"/>
      <c r="BX482" s="131"/>
      <c r="BY482" s="131"/>
      <c r="BZ482" s="131"/>
      <c r="CA482" s="131"/>
      <c r="CB482" s="131"/>
      <c r="CC482" s="131"/>
      <c r="CD482" s="131"/>
      <c r="CE482" s="131"/>
    </row>
    <row r="483" ht="18.75" customHeight="1">
      <c r="C483" s="64"/>
      <c r="E483" s="64"/>
      <c r="F483" s="64"/>
      <c r="G483" s="64"/>
      <c r="AH483" s="162"/>
      <c r="AI483" s="162"/>
      <c r="AJ483" s="162"/>
      <c r="AK483" s="162"/>
      <c r="BS483" s="131"/>
      <c r="BT483" s="131"/>
      <c r="BU483" s="131"/>
      <c r="BV483" s="131"/>
      <c r="BW483" s="131"/>
      <c r="BX483" s="131"/>
      <c r="BY483" s="131"/>
      <c r="BZ483" s="131"/>
      <c r="CA483" s="131"/>
      <c r="CB483" s="131"/>
      <c r="CC483" s="131"/>
      <c r="CD483" s="131"/>
      <c r="CE483" s="131"/>
    </row>
    <row r="484" ht="18.75" customHeight="1">
      <c r="C484" s="64"/>
      <c r="E484" s="64"/>
      <c r="F484" s="64"/>
      <c r="G484" s="64"/>
      <c r="AH484" s="162"/>
      <c r="AI484" s="162"/>
      <c r="AJ484" s="162"/>
      <c r="AK484" s="162"/>
      <c r="BS484" s="131"/>
      <c r="BT484" s="131"/>
      <c r="BU484" s="131"/>
      <c r="BV484" s="131"/>
      <c r="BW484" s="131"/>
      <c r="BX484" s="131"/>
      <c r="BY484" s="131"/>
      <c r="BZ484" s="131"/>
      <c r="CA484" s="131"/>
      <c r="CB484" s="131"/>
      <c r="CC484" s="131"/>
      <c r="CD484" s="131"/>
      <c r="CE484" s="131"/>
    </row>
    <row r="485" ht="18.75" customHeight="1">
      <c r="C485" s="64"/>
      <c r="E485" s="64"/>
      <c r="F485" s="64"/>
      <c r="G485" s="64"/>
      <c r="AH485" s="162"/>
      <c r="AI485" s="162"/>
      <c r="AJ485" s="162"/>
      <c r="AK485" s="162"/>
      <c r="BS485" s="131"/>
      <c r="BT485" s="131"/>
      <c r="BU485" s="131"/>
      <c r="BV485" s="131"/>
      <c r="BW485" s="131"/>
      <c r="BX485" s="131"/>
      <c r="BY485" s="131"/>
      <c r="BZ485" s="131"/>
      <c r="CA485" s="131"/>
      <c r="CB485" s="131"/>
      <c r="CC485" s="131"/>
      <c r="CD485" s="131"/>
      <c r="CE485" s="131"/>
    </row>
    <row r="486" ht="18.75" customHeight="1">
      <c r="C486" s="64"/>
      <c r="E486" s="64"/>
      <c r="F486" s="64"/>
      <c r="G486" s="64"/>
      <c r="AH486" s="162"/>
      <c r="AI486" s="162"/>
      <c r="AJ486" s="162"/>
      <c r="AK486" s="162"/>
      <c r="BS486" s="131"/>
      <c r="BT486" s="131"/>
      <c r="BU486" s="131"/>
      <c r="BV486" s="131"/>
      <c r="BW486" s="131"/>
      <c r="BX486" s="131"/>
      <c r="BY486" s="131"/>
      <c r="BZ486" s="131"/>
      <c r="CA486" s="131"/>
      <c r="CB486" s="131"/>
      <c r="CC486" s="131"/>
      <c r="CD486" s="131"/>
      <c r="CE486" s="131"/>
    </row>
    <row r="487" ht="18.75" customHeight="1">
      <c r="C487" s="64"/>
      <c r="E487" s="64"/>
      <c r="F487" s="64"/>
      <c r="G487" s="64"/>
      <c r="AH487" s="162"/>
      <c r="AI487" s="162"/>
      <c r="AJ487" s="162"/>
      <c r="AK487" s="162"/>
      <c r="BS487" s="131"/>
      <c r="BT487" s="131"/>
      <c r="BU487" s="131"/>
      <c r="BV487" s="131"/>
      <c r="BW487" s="131"/>
      <c r="BX487" s="131"/>
      <c r="BY487" s="131"/>
      <c r="BZ487" s="131"/>
      <c r="CA487" s="131"/>
      <c r="CB487" s="131"/>
      <c r="CC487" s="131"/>
      <c r="CD487" s="131"/>
      <c r="CE487" s="131"/>
    </row>
    <row r="488" ht="18.75" customHeight="1">
      <c r="C488" s="64"/>
      <c r="E488" s="64"/>
      <c r="F488" s="64"/>
      <c r="G488" s="64"/>
      <c r="AH488" s="162"/>
      <c r="AI488" s="162"/>
      <c r="AJ488" s="162"/>
      <c r="AK488" s="162"/>
      <c r="BS488" s="131"/>
      <c r="BT488" s="131"/>
      <c r="BU488" s="131"/>
      <c r="BV488" s="131"/>
      <c r="BW488" s="131"/>
      <c r="BX488" s="131"/>
      <c r="BY488" s="131"/>
      <c r="BZ488" s="131"/>
      <c r="CA488" s="131"/>
      <c r="CB488" s="131"/>
      <c r="CC488" s="131"/>
      <c r="CD488" s="131"/>
      <c r="CE488" s="131"/>
    </row>
    <row r="489" ht="18.75" customHeight="1">
      <c r="C489" s="64"/>
      <c r="E489" s="64"/>
      <c r="F489" s="64"/>
      <c r="G489" s="64"/>
      <c r="AH489" s="162"/>
      <c r="AI489" s="162"/>
      <c r="AJ489" s="162"/>
      <c r="AK489" s="162"/>
      <c r="BS489" s="131"/>
      <c r="BT489" s="131"/>
      <c r="BU489" s="131"/>
      <c r="BV489" s="131"/>
      <c r="BW489" s="131"/>
      <c r="BX489" s="131"/>
      <c r="BY489" s="131"/>
      <c r="BZ489" s="131"/>
      <c r="CA489" s="131"/>
      <c r="CB489" s="131"/>
      <c r="CC489" s="131"/>
      <c r="CD489" s="131"/>
      <c r="CE489" s="131"/>
    </row>
    <row r="490" ht="18.75" customHeight="1">
      <c r="C490" s="64"/>
      <c r="E490" s="64"/>
      <c r="F490" s="64"/>
      <c r="G490" s="64"/>
      <c r="AH490" s="162"/>
      <c r="AI490" s="162"/>
      <c r="AJ490" s="162"/>
      <c r="AK490" s="162"/>
      <c r="BS490" s="131"/>
      <c r="BT490" s="131"/>
      <c r="BU490" s="131"/>
      <c r="BV490" s="131"/>
      <c r="BW490" s="131"/>
      <c r="BX490" s="131"/>
      <c r="BY490" s="131"/>
      <c r="BZ490" s="131"/>
      <c r="CA490" s="131"/>
      <c r="CB490" s="131"/>
      <c r="CC490" s="131"/>
      <c r="CD490" s="131"/>
      <c r="CE490" s="131"/>
    </row>
    <row r="491" ht="18.75" customHeight="1">
      <c r="C491" s="64"/>
      <c r="E491" s="64"/>
      <c r="F491" s="64"/>
      <c r="G491" s="64"/>
      <c r="AH491" s="162"/>
      <c r="AI491" s="162"/>
      <c r="AJ491" s="162"/>
      <c r="AK491" s="162"/>
      <c r="BS491" s="131"/>
      <c r="BT491" s="131"/>
      <c r="BU491" s="131"/>
      <c r="BV491" s="131"/>
      <c r="BW491" s="131"/>
      <c r="BX491" s="131"/>
      <c r="BY491" s="131"/>
      <c r="BZ491" s="131"/>
      <c r="CA491" s="131"/>
      <c r="CB491" s="131"/>
      <c r="CC491" s="131"/>
      <c r="CD491" s="131"/>
      <c r="CE491" s="131"/>
    </row>
    <row r="492" ht="18.75" customHeight="1">
      <c r="C492" s="64"/>
      <c r="E492" s="64"/>
      <c r="F492" s="64"/>
      <c r="G492" s="64"/>
      <c r="AH492" s="162"/>
      <c r="AI492" s="162"/>
      <c r="AJ492" s="162"/>
      <c r="AK492" s="162"/>
      <c r="BS492" s="131"/>
      <c r="BT492" s="131"/>
      <c r="BU492" s="131"/>
      <c r="BV492" s="131"/>
      <c r="BW492" s="131"/>
      <c r="BX492" s="131"/>
      <c r="BY492" s="131"/>
      <c r="BZ492" s="131"/>
      <c r="CA492" s="131"/>
      <c r="CB492" s="131"/>
      <c r="CC492" s="131"/>
      <c r="CD492" s="131"/>
      <c r="CE492" s="131"/>
    </row>
    <row r="493" ht="18.75" customHeight="1">
      <c r="C493" s="64"/>
      <c r="E493" s="64"/>
      <c r="F493" s="64"/>
      <c r="G493" s="64"/>
      <c r="AH493" s="162"/>
      <c r="AI493" s="162"/>
      <c r="AJ493" s="162"/>
      <c r="AK493" s="162"/>
      <c r="BS493" s="131"/>
      <c r="BT493" s="131"/>
      <c r="BU493" s="131"/>
      <c r="BV493" s="131"/>
      <c r="BW493" s="131"/>
      <c r="BX493" s="131"/>
      <c r="BY493" s="131"/>
      <c r="BZ493" s="131"/>
      <c r="CA493" s="131"/>
      <c r="CB493" s="131"/>
      <c r="CC493" s="131"/>
      <c r="CD493" s="131"/>
      <c r="CE493" s="131"/>
    </row>
    <row r="494" ht="18.75" customHeight="1">
      <c r="C494" s="64"/>
      <c r="E494" s="64"/>
      <c r="F494" s="64"/>
      <c r="G494" s="64"/>
      <c r="AH494" s="162"/>
      <c r="AI494" s="162"/>
      <c r="AJ494" s="162"/>
      <c r="AK494" s="162"/>
      <c r="BS494" s="131"/>
      <c r="BT494" s="131"/>
      <c r="BU494" s="131"/>
      <c r="BV494" s="131"/>
      <c r="BW494" s="131"/>
      <c r="BX494" s="131"/>
      <c r="BY494" s="131"/>
      <c r="BZ494" s="131"/>
      <c r="CA494" s="131"/>
      <c r="CB494" s="131"/>
      <c r="CC494" s="131"/>
      <c r="CD494" s="131"/>
      <c r="CE494" s="131"/>
    </row>
    <row r="495" ht="18.75" customHeight="1">
      <c r="C495" s="64"/>
      <c r="E495" s="64"/>
      <c r="F495" s="64"/>
      <c r="G495" s="64"/>
      <c r="AH495" s="162"/>
      <c r="AI495" s="162"/>
      <c r="AJ495" s="162"/>
      <c r="AK495" s="162"/>
      <c r="BS495" s="131"/>
      <c r="BT495" s="131"/>
      <c r="BU495" s="131"/>
      <c r="BV495" s="131"/>
      <c r="BW495" s="131"/>
      <c r="BX495" s="131"/>
      <c r="BY495" s="131"/>
      <c r="BZ495" s="131"/>
      <c r="CA495" s="131"/>
      <c r="CB495" s="131"/>
      <c r="CC495" s="131"/>
      <c r="CD495" s="131"/>
      <c r="CE495" s="131"/>
    </row>
    <row r="496" ht="18.75" customHeight="1">
      <c r="C496" s="64"/>
      <c r="E496" s="64"/>
      <c r="F496" s="64"/>
      <c r="G496" s="64"/>
      <c r="AH496" s="162"/>
      <c r="AI496" s="162"/>
      <c r="AJ496" s="162"/>
      <c r="AK496" s="162"/>
      <c r="BS496" s="131"/>
      <c r="BT496" s="131"/>
      <c r="BU496" s="131"/>
      <c r="BV496" s="131"/>
      <c r="BW496" s="131"/>
      <c r="BX496" s="131"/>
      <c r="BY496" s="131"/>
      <c r="BZ496" s="131"/>
      <c r="CA496" s="131"/>
      <c r="CB496" s="131"/>
      <c r="CC496" s="131"/>
      <c r="CD496" s="131"/>
      <c r="CE496" s="131"/>
    </row>
    <row r="497" ht="18.75" customHeight="1">
      <c r="C497" s="64"/>
      <c r="E497" s="64"/>
      <c r="F497" s="64"/>
      <c r="G497" s="64"/>
      <c r="AH497" s="162"/>
      <c r="AI497" s="162"/>
      <c r="AJ497" s="162"/>
      <c r="AK497" s="162"/>
      <c r="BS497" s="131"/>
      <c r="BT497" s="131"/>
      <c r="BU497" s="131"/>
      <c r="BV497" s="131"/>
      <c r="BW497" s="131"/>
      <c r="BX497" s="131"/>
      <c r="BY497" s="131"/>
      <c r="BZ497" s="131"/>
      <c r="CA497" s="131"/>
      <c r="CB497" s="131"/>
      <c r="CC497" s="131"/>
      <c r="CD497" s="131"/>
      <c r="CE497" s="131"/>
    </row>
    <row r="498" ht="18.75" customHeight="1">
      <c r="C498" s="64"/>
      <c r="E498" s="64"/>
      <c r="F498" s="64"/>
      <c r="G498" s="64"/>
      <c r="AH498" s="162"/>
      <c r="AI498" s="162"/>
      <c r="AJ498" s="162"/>
      <c r="AK498" s="162"/>
      <c r="BS498" s="131"/>
      <c r="BT498" s="131"/>
      <c r="BU498" s="131"/>
      <c r="BV498" s="131"/>
      <c r="BW498" s="131"/>
      <c r="BX498" s="131"/>
      <c r="BY498" s="131"/>
      <c r="BZ498" s="131"/>
      <c r="CA498" s="131"/>
      <c r="CB498" s="131"/>
      <c r="CC498" s="131"/>
      <c r="CD498" s="131"/>
      <c r="CE498" s="131"/>
    </row>
    <row r="499" ht="18.75" customHeight="1">
      <c r="C499" s="64"/>
      <c r="E499" s="64"/>
      <c r="F499" s="64"/>
      <c r="G499" s="64"/>
      <c r="AH499" s="162"/>
      <c r="AI499" s="162"/>
      <c r="AJ499" s="162"/>
      <c r="AK499" s="162"/>
      <c r="BS499" s="131"/>
      <c r="BT499" s="131"/>
      <c r="BU499" s="131"/>
      <c r="BV499" s="131"/>
      <c r="BW499" s="131"/>
      <c r="BX499" s="131"/>
      <c r="BY499" s="131"/>
      <c r="BZ499" s="131"/>
      <c r="CA499" s="131"/>
      <c r="CB499" s="131"/>
      <c r="CC499" s="131"/>
      <c r="CD499" s="131"/>
      <c r="CE499" s="131"/>
    </row>
    <row r="500" ht="18.75" customHeight="1">
      <c r="C500" s="64"/>
      <c r="E500" s="64"/>
      <c r="F500" s="64"/>
      <c r="G500" s="64"/>
      <c r="AH500" s="162"/>
      <c r="AI500" s="162"/>
      <c r="AJ500" s="162"/>
      <c r="AK500" s="162"/>
      <c r="BS500" s="131"/>
      <c r="BT500" s="131"/>
      <c r="BU500" s="131"/>
      <c r="BV500" s="131"/>
      <c r="BW500" s="131"/>
      <c r="BX500" s="131"/>
      <c r="BY500" s="131"/>
      <c r="BZ500" s="131"/>
      <c r="CA500" s="131"/>
      <c r="CB500" s="131"/>
      <c r="CC500" s="131"/>
      <c r="CD500" s="131"/>
      <c r="CE500" s="131"/>
    </row>
    <row r="501" ht="18.75" customHeight="1">
      <c r="C501" s="64"/>
      <c r="E501" s="64"/>
      <c r="F501" s="64"/>
      <c r="G501" s="64"/>
      <c r="AH501" s="162"/>
      <c r="AI501" s="162"/>
      <c r="AJ501" s="162"/>
      <c r="AK501" s="162"/>
      <c r="BS501" s="131"/>
      <c r="BT501" s="131"/>
      <c r="BU501" s="131"/>
      <c r="BV501" s="131"/>
      <c r="BW501" s="131"/>
      <c r="BX501" s="131"/>
      <c r="BY501" s="131"/>
      <c r="BZ501" s="131"/>
      <c r="CA501" s="131"/>
      <c r="CB501" s="131"/>
      <c r="CC501" s="131"/>
      <c r="CD501" s="131"/>
      <c r="CE501" s="131"/>
    </row>
    <row r="502" ht="18.75" customHeight="1">
      <c r="C502" s="64"/>
      <c r="E502" s="64"/>
      <c r="F502" s="64"/>
      <c r="G502" s="64"/>
      <c r="AH502" s="162"/>
      <c r="AI502" s="162"/>
      <c r="AJ502" s="162"/>
      <c r="AK502" s="162"/>
      <c r="BS502" s="131"/>
      <c r="BT502" s="131"/>
      <c r="BU502" s="131"/>
      <c r="BV502" s="131"/>
      <c r="BW502" s="131"/>
      <c r="BX502" s="131"/>
      <c r="BY502" s="131"/>
      <c r="BZ502" s="131"/>
      <c r="CA502" s="131"/>
      <c r="CB502" s="131"/>
      <c r="CC502" s="131"/>
      <c r="CD502" s="131"/>
      <c r="CE502" s="131"/>
    </row>
    <row r="503" ht="18.75" customHeight="1">
      <c r="C503" s="64"/>
      <c r="E503" s="64"/>
      <c r="F503" s="64"/>
      <c r="G503" s="64"/>
      <c r="AH503" s="162"/>
      <c r="AI503" s="162"/>
      <c r="AJ503" s="162"/>
      <c r="AK503" s="162"/>
      <c r="BS503" s="131"/>
      <c r="BT503" s="131"/>
      <c r="BU503" s="131"/>
      <c r="BV503" s="131"/>
      <c r="BW503" s="131"/>
      <c r="BX503" s="131"/>
      <c r="BY503" s="131"/>
      <c r="BZ503" s="131"/>
      <c r="CA503" s="131"/>
      <c r="CB503" s="131"/>
      <c r="CC503" s="131"/>
      <c r="CD503" s="131"/>
      <c r="CE503" s="131"/>
    </row>
    <row r="504" ht="18.75" customHeight="1">
      <c r="C504" s="64"/>
      <c r="E504" s="64"/>
      <c r="F504" s="64"/>
      <c r="G504" s="64"/>
      <c r="AH504" s="162"/>
      <c r="AI504" s="162"/>
      <c r="AJ504" s="162"/>
      <c r="AK504" s="162"/>
      <c r="BS504" s="131"/>
      <c r="BT504" s="131"/>
      <c r="BU504" s="131"/>
      <c r="BV504" s="131"/>
      <c r="BW504" s="131"/>
      <c r="BX504" s="131"/>
      <c r="BY504" s="131"/>
      <c r="BZ504" s="131"/>
      <c r="CA504" s="131"/>
      <c r="CB504" s="131"/>
      <c r="CC504" s="131"/>
      <c r="CD504" s="131"/>
      <c r="CE504" s="131"/>
    </row>
    <row r="505" ht="18.75" customHeight="1">
      <c r="C505" s="64"/>
      <c r="E505" s="64"/>
      <c r="F505" s="64"/>
      <c r="G505" s="64"/>
      <c r="AH505" s="162"/>
      <c r="AI505" s="162"/>
      <c r="AJ505" s="162"/>
      <c r="AK505" s="162"/>
      <c r="BS505" s="131"/>
      <c r="BT505" s="131"/>
      <c r="BU505" s="131"/>
      <c r="BV505" s="131"/>
      <c r="BW505" s="131"/>
      <c r="BX505" s="131"/>
      <c r="BY505" s="131"/>
      <c r="BZ505" s="131"/>
      <c r="CA505" s="131"/>
      <c r="CB505" s="131"/>
      <c r="CC505" s="131"/>
      <c r="CD505" s="131"/>
      <c r="CE505" s="131"/>
    </row>
    <row r="506" ht="18.75" customHeight="1">
      <c r="C506" s="64"/>
      <c r="E506" s="64"/>
      <c r="F506" s="64"/>
      <c r="G506" s="64"/>
      <c r="AH506" s="162"/>
      <c r="AI506" s="162"/>
      <c r="AJ506" s="162"/>
      <c r="AK506" s="162"/>
      <c r="BS506" s="131"/>
      <c r="BT506" s="131"/>
      <c r="BU506" s="131"/>
      <c r="BV506" s="131"/>
      <c r="BW506" s="131"/>
      <c r="BX506" s="131"/>
      <c r="BY506" s="131"/>
      <c r="BZ506" s="131"/>
      <c r="CA506" s="131"/>
      <c r="CB506" s="131"/>
      <c r="CC506" s="131"/>
      <c r="CD506" s="131"/>
      <c r="CE506" s="131"/>
    </row>
    <row r="507" ht="18.75" customHeight="1">
      <c r="C507" s="64"/>
      <c r="E507" s="64"/>
      <c r="F507" s="64"/>
      <c r="G507" s="64"/>
      <c r="AH507" s="162"/>
      <c r="AI507" s="162"/>
      <c r="AJ507" s="162"/>
      <c r="AK507" s="162"/>
      <c r="BS507" s="131"/>
      <c r="BT507" s="131"/>
      <c r="BU507" s="131"/>
      <c r="BV507" s="131"/>
      <c r="BW507" s="131"/>
      <c r="BX507" s="131"/>
      <c r="BY507" s="131"/>
      <c r="BZ507" s="131"/>
      <c r="CA507" s="131"/>
      <c r="CB507" s="131"/>
      <c r="CC507" s="131"/>
      <c r="CD507" s="131"/>
      <c r="CE507" s="131"/>
    </row>
    <row r="508" ht="18.75" customHeight="1">
      <c r="C508" s="64"/>
      <c r="E508" s="64"/>
      <c r="F508" s="64"/>
      <c r="G508" s="64"/>
      <c r="AH508" s="162"/>
      <c r="AI508" s="162"/>
      <c r="AJ508" s="162"/>
      <c r="AK508" s="162"/>
      <c r="BS508" s="131"/>
      <c r="BT508" s="131"/>
      <c r="BU508" s="131"/>
      <c r="BV508" s="131"/>
      <c r="BW508" s="131"/>
      <c r="BX508" s="131"/>
      <c r="BY508" s="131"/>
      <c r="BZ508" s="131"/>
      <c r="CA508" s="131"/>
      <c r="CB508" s="131"/>
      <c r="CC508" s="131"/>
      <c r="CD508" s="131"/>
      <c r="CE508" s="131"/>
    </row>
    <row r="509" ht="18.75" customHeight="1">
      <c r="C509" s="64"/>
      <c r="E509" s="64"/>
      <c r="F509" s="64"/>
      <c r="G509" s="64"/>
      <c r="AH509" s="162"/>
      <c r="AI509" s="162"/>
      <c r="AJ509" s="162"/>
      <c r="AK509" s="162"/>
      <c r="BS509" s="131"/>
      <c r="BT509" s="131"/>
      <c r="BU509" s="131"/>
      <c r="BV509" s="131"/>
      <c r="BW509" s="131"/>
      <c r="BX509" s="131"/>
      <c r="BY509" s="131"/>
      <c r="BZ509" s="131"/>
      <c r="CA509" s="131"/>
      <c r="CB509" s="131"/>
      <c r="CC509" s="131"/>
      <c r="CD509" s="131"/>
      <c r="CE509" s="131"/>
    </row>
    <row r="510" ht="18.75" customHeight="1">
      <c r="C510" s="64"/>
      <c r="E510" s="64"/>
      <c r="F510" s="64"/>
      <c r="G510" s="64"/>
      <c r="AH510" s="162"/>
      <c r="AI510" s="162"/>
      <c r="AJ510" s="162"/>
      <c r="AK510" s="162"/>
      <c r="BS510" s="131"/>
      <c r="BT510" s="131"/>
      <c r="BU510" s="131"/>
      <c r="BV510" s="131"/>
      <c r="BW510" s="131"/>
      <c r="BX510" s="131"/>
      <c r="BY510" s="131"/>
      <c r="BZ510" s="131"/>
      <c r="CA510" s="131"/>
      <c r="CB510" s="131"/>
      <c r="CC510" s="131"/>
      <c r="CD510" s="131"/>
      <c r="CE510" s="131"/>
    </row>
    <row r="511" ht="18.75" customHeight="1">
      <c r="C511" s="64"/>
      <c r="E511" s="64"/>
      <c r="F511" s="64"/>
      <c r="G511" s="64"/>
      <c r="AH511" s="162"/>
      <c r="AI511" s="162"/>
      <c r="AJ511" s="162"/>
      <c r="AK511" s="162"/>
      <c r="BS511" s="131"/>
      <c r="BT511" s="131"/>
      <c r="BU511" s="131"/>
      <c r="BV511" s="131"/>
      <c r="BW511" s="131"/>
      <c r="BX511" s="131"/>
      <c r="BY511" s="131"/>
      <c r="BZ511" s="131"/>
      <c r="CA511" s="131"/>
      <c r="CB511" s="131"/>
      <c r="CC511" s="131"/>
      <c r="CD511" s="131"/>
      <c r="CE511" s="131"/>
    </row>
    <row r="512" ht="18.75" customHeight="1">
      <c r="C512" s="64"/>
      <c r="E512" s="64"/>
      <c r="F512" s="64"/>
      <c r="G512" s="64"/>
      <c r="AH512" s="162"/>
      <c r="AI512" s="162"/>
      <c r="AJ512" s="162"/>
      <c r="AK512" s="162"/>
      <c r="BS512" s="131"/>
      <c r="BT512" s="131"/>
      <c r="BU512" s="131"/>
      <c r="BV512" s="131"/>
      <c r="BW512" s="131"/>
      <c r="BX512" s="131"/>
      <c r="BY512" s="131"/>
      <c r="BZ512" s="131"/>
      <c r="CA512" s="131"/>
      <c r="CB512" s="131"/>
      <c r="CC512" s="131"/>
      <c r="CD512" s="131"/>
      <c r="CE512" s="131"/>
    </row>
    <row r="513" ht="18.75" customHeight="1">
      <c r="C513" s="64"/>
      <c r="E513" s="64"/>
      <c r="F513" s="64"/>
      <c r="G513" s="64"/>
      <c r="AH513" s="162"/>
      <c r="AI513" s="162"/>
      <c r="AJ513" s="162"/>
      <c r="AK513" s="162"/>
      <c r="BS513" s="131"/>
      <c r="BT513" s="131"/>
      <c r="BU513" s="131"/>
      <c r="BV513" s="131"/>
      <c r="BW513" s="131"/>
      <c r="BX513" s="131"/>
      <c r="BY513" s="131"/>
      <c r="BZ513" s="131"/>
      <c r="CA513" s="131"/>
      <c r="CB513" s="131"/>
      <c r="CC513" s="131"/>
      <c r="CD513" s="131"/>
      <c r="CE513" s="131"/>
    </row>
    <row r="514" ht="18.75" customHeight="1">
      <c r="C514" s="64"/>
      <c r="E514" s="64"/>
      <c r="F514" s="64"/>
      <c r="G514" s="64"/>
      <c r="AH514" s="162"/>
      <c r="AI514" s="162"/>
      <c r="AJ514" s="162"/>
      <c r="AK514" s="162"/>
      <c r="BS514" s="131"/>
      <c r="BT514" s="131"/>
      <c r="BU514" s="131"/>
      <c r="BV514" s="131"/>
      <c r="BW514" s="131"/>
      <c r="BX514" s="131"/>
      <c r="BY514" s="131"/>
      <c r="BZ514" s="131"/>
      <c r="CA514" s="131"/>
      <c r="CB514" s="131"/>
      <c r="CC514" s="131"/>
      <c r="CD514" s="131"/>
      <c r="CE514" s="131"/>
    </row>
    <row r="515" ht="18.75" customHeight="1">
      <c r="C515" s="64"/>
      <c r="E515" s="64"/>
      <c r="F515" s="64"/>
      <c r="G515" s="64"/>
      <c r="AH515" s="162"/>
      <c r="AI515" s="162"/>
      <c r="AJ515" s="162"/>
      <c r="AK515" s="162"/>
      <c r="BS515" s="131"/>
      <c r="BT515" s="131"/>
      <c r="BU515" s="131"/>
      <c r="BV515" s="131"/>
      <c r="BW515" s="131"/>
      <c r="BX515" s="131"/>
      <c r="BY515" s="131"/>
      <c r="BZ515" s="131"/>
      <c r="CA515" s="131"/>
      <c r="CB515" s="131"/>
      <c r="CC515" s="131"/>
      <c r="CD515" s="131"/>
      <c r="CE515" s="131"/>
    </row>
    <row r="516" ht="18.75" customHeight="1">
      <c r="C516" s="64"/>
      <c r="E516" s="64"/>
      <c r="F516" s="64"/>
      <c r="G516" s="64"/>
      <c r="AH516" s="162"/>
      <c r="AI516" s="162"/>
      <c r="AJ516" s="162"/>
      <c r="AK516" s="162"/>
      <c r="BS516" s="131"/>
      <c r="BT516" s="131"/>
      <c r="BU516" s="131"/>
      <c r="BV516" s="131"/>
      <c r="BW516" s="131"/>
      <c r="BX516" s="131"/>
      <c r="BY516" s="131"/>
      <c r="BZ516" s="131"/>
      <c r="CA516" s="131"/>
      <c r="CB516" s="131"/>
      <c r="CC516" s="131"/>
      <c r="CD516" s="131"/>
      <c r="CE516" s="131"/>
    </row>
    <row r="517" ht="18.75" customHeight="1">
      <c r="C517" s="64"/>
      <c r="E517" s="64"/>
      <c r="F517" s="64"/>
      <c r="G517" s="64"/>
      <c r="AH517" s="162"/>
      <c r="AI517" s="162"/>
      <c r="AJ517" s="162"/>
      <c r="AK517" s="162"/>
      <c r="BS517" s="131"/>
      <c r="BT517" s="131"/>
      <c r="BU517" s="131"/>
      <c r="BV517" s="131"/>
      <c r="BW517" s="131"/>
      <c r="BX517" s="131"/>
      <c r="BY517" s="131"/>
      <c r="BZ517" s="131"/>
      <c r="CA517" s="131"/>
      <c r="CB517" s="131"/>
      <c r="CC517" s="131"/>
      <c r="CD517" s="131"/>
      <c r="CE517" s="131"/>
    </row>
    <row r="518" ht="18.75" customHeight="1">
      <c r="C518" s="64"/>
      <c r="E518" s="64"/>
      <c r="F518" s="64"/>
      <c r="G518" s="64"/>
      <c r="AH518" s="162"/>
      <c r="AI518" s="162"/>
      <c r="AJ518" s="162"/>
      <c r="AK518" s="162"/>
      <c r="BS518" s="131"/>
      <c r="BT518" s="131"/>
      <c r="BU518" s="131"/>
      <c r="BV518" s="131"/>
      <c r="BW518" s="131"/>
      <c r="BX518" s="131"/>
      <c r="BY518" s="131"/>
      <c r="BZ518" s="131"/>
      <c r="CA518" s="131"/>
      <c r="CB518" s="131"/>
      <c r="CC518" s="131"/>
      <c r="CD518" s="131"/>
      <c r="CE518" s="131"/>
    </row>
    <row r="519" ht="18.75" customHeight="1">
      <c r="C519" s="64"/>
      <c r="E519" s="64"/>
      <c r="F519" s="64"/>
      <c r="G519" s="64"/>
      <c r="AH519" s="162"/>
      <c r="AI519" s="162"/>
      <c r="AJ519" s="162"/>
      <c r="AK519" s="162"/>
      <c r="BS519" s="131"/>
      <c r="BT519" s="131"/>
      <c r="BU519" s="131"/>
      <c r="BV519" s="131"/>
      <c r="BW519" s="131"/>
      <c r="BX519" s="131"/>
      <c r="BY519" s="131"/>
      <c r="BZ519" s="131"/>
      <c r="CA519" s="131"/>
      <c r="CB519" s="131"/>
      <c r="CC519" s="131"/>
      <c r="CD519" s="131"/>
      <c r="CE519" s="131"/>
    </row>
    <row r="520" ht="18.75" customHeight="1">
      <c r="C520" s="64"/>
      <c r="E520" s="64"/>
      <c r="F520" s="64"/>
      <c r="G520" s="64"/>
      <c r="AH520" s="162"/>
      <c r="AI520" s="162"/>
      <c r="AJ520" s="162"/>
      <c r="AK520" s="162"/>
      <c r="BS520" s="131"/>
      <c r="BT520" s="131"/>
      <c r="BU520" s="131"/>
      <c r="BV520" s="131"/>
      <c r="BW520" s="131"/>
      <c r="BX520" s="131"/>
      <c r="BY520" s="131"/>
      <c r="BZ520" s="131"/>
      <c r="CA520" s="131"/>
      <c r="CB520" s="131"/>
      <c r="CC520" s="131"/>
      <c r="CD520" s="131"/>
      <c r="CE520" s="131"/>
    </row>
    <row r="521" ht="18.75" customHeight="1">
      <c r="C521" s="64"/>
      <c r="E521" s="64"/>
      <c r="F521" s="64"/>
      <c r="G521" s="64"/>
      <c r="AH521" s="162"/>
      <c r="AI521" s="162"/>
      <c r="AJ521" s="162"/>
      <c r="AK521" s="162"/>
      <c r="BS521" s="131"/>
      <c r="BT521" s="131"/>
      <c r="BU521" s="131"/>
      <c r="BV521" s="131"/>
      <c r="BW521" s="131"/>
      <c r="BX521" s="131"/>
      <c r="BY521" s="131"/>
      <c r="BZ521" s="131"/>
      <c r="CA521" s="131"/>
      <c r="CB521" s="131"/>
      <c r="CC521" s="131"/>
      <c r="CD521" s="131"/>
      <c r="CE521" s="131"/>
    </row>
    <row r="522" ht="18.75" customHeight="1">
      <c r="C522" s="64"/>
      <c r="E522" s="64"/>
      <c r="F522" s="64"/>
      <c r="G522" s="64"/>
      <c r="AH522" s="162"/>
      <c r="AI522" s="162"/>
      <c r="AJ522" s="162"/>
      <c r="AK522" s="162"/>
      <c r="BS522" s="131"/>
      <c r="BT522" s="131"/>
      <c r="BU522" s="131"/>
      <c r="BV522" s="131"/>
      <c r="BW522" s="131"/>
      <c r="BX522" s="131"/>
      <c r="BY522" s="131"/>
      <c r="BZ522" s="131"/>
      <c r="CA522" s="131"/>
      <c r="CB522" s="131"/>
      <c r="CC522" s="131"/>
      <c r="CD522" s="131"/>
      <c r="CE522" s="131"/>
    </row>
    <row r="523" ht="18.75" customHeight="1">
      <c r="C523" s="64"/>
      <c r="E523" s="64"/>
      <c r="F523" s="64"/>
      <c r="G523" s="64"/>
      <c r="AH523" s="162"/>
      <c r="AI523" s="162"/>
      <c r="AJ523" s="162"/>
      <c r="AK523" s="162"/>
      <c r="BS523" s="131"/>
      <c r="BT523" s="131"/>
      <c r="BU523" s="131"/>
      <c r="BV523" s="131"/>
      <c r="BW523" s="131"/>
      <c r="BX523" s="131"/>
      <c r="BY523" s="131"/>
      <c r="BZ523" s="131"/>
      <c r="CA523" s="131"/>
      <c r="CB523" s="131"/>
      <c r="CC523" s="131"/>
      <c r="CD523" s="131"/>
      <c r="CE523" s="131"/>
    </row>
    <row r="524" ht="18.75" customHeight="1">
      <c r="C524" s="64"/>
      <c r="E524" s="64"/>
      <c r="F524" s="64"/>
      <c r="G524" s="64"/>
      <c r="AH524" s="162"/>
      <c r="AI524" s="162"/>
      <c r="AJ524" s="162"/>
      <c r="AK524" s="162"/>
      <c r="BS524" s="131"/>
      <c r="BT524" s="131"/>
      <c r="BU524" s="131"/>
      <c r="BV524" s="131"/>
      <c r="BW524" s="131"/>
      <c r="BX524" s="131"/>
      <c r="BY524" s="131"/>
      <c r="BZ524" s="131"/>
      <c r="CA524" s="131"/>
      <c r="CB524" s="131"/>
      <c r="CC524" s="131"/>
      <c r="CD524" s="131"/>
      <c r="CE524" s="131"/>
    </row>
    <row r="525" ht="18.75" customHeight="1">
      <c r="C525" s="64"/>
      <c r="E525" s="64"/>
      <c r="F525" s="64"/>
      <c r="G525" s="64"/>
      <c r="AH525" s="162"/>
      <c r="AI525" s="162"/>
      <c r="AJ525" s="162"/>
      <c r="AK525" s="162"/>
      <c r="BS525" s="131"/>
      <c r="BT525" s="131"/>
      <c r="BU525" s="131"/>
      <c r="BV525" s="131"/>
      <c r="BW525" s="131"/>
      <c r="BX525" s="131"/>
      <c r="BY525" s="131"/>
      <c r="BZ525" s="131"/>
      <c r="CA525" s="131"/>
      <c r="CB525" s="131"/>
      <c r="CC525" s="131"/>
      <c r="CD525" s="131"/>
      <c r="CE525" s="131"/>
    </row>
    <row r="526" ht="18.75" customHeight="1">
      <c r="C526" s="64"/>
      <c r="E526" s="64"/>
      <c r="F526" s="64"/>
      <c r="G526" s="64"/>
      <c r="AH526" s="162"/>
      <c r="AI526" s="162"/>
      <c r="AJ526" s="162"/>
      <c r="AK526" s="162"/>
      <c r="BS526" s="131"/>
      <c r="BT526" s="131"/>
      <c r="BU526" s="131"/>
      <c r="BV526" s="131"/>
      <c r="BW526" s="131"/>
      <c r="BX526" s="131"/>
      <c r="BY526" s="131"/>
      <c r="BZ526" s="131"/>
      <c r="CA526" s="131"/>
      <c r="CB526" s="131"/>
      <c r="CC526" s="131"/>
      <c r="CD526" s="131"/>
      <c r="CE526" s="131"/>
    </row>
    <row r="527" ht="18.75" customHeight="1">
      <c r="C527" s="64"/>
      <c r="E527" s="64"/>
      <c r="F527" s="64"/>
      <c r="G527" s="64"/>
      <c r="AH527" s="162"/>
      <c r="AI527" s="162"/>
      <c r="AJ527" s="162"/>
      <c r="AK527" s="162"/>
      <c r="BS527" s="131"/>
      <c r="BT527" s="131"/>
      <c r="BU527" s="131"/>
      <c r="BV527" s="131"/>
      <c r="BW527" s="131"/>
      <c r="BX527" s="131"/>
      <c r="BY527" s="131"/>
      <c r="BZ527" s="131"/>
      <c r="CA527" s="131"/>
      <c r="CB527" s="131"/>
      <c r="CC527" s="131"/>
      <c r="CD527" s="131"/>
      <c r="CE527" s="131"/>
    </row>
    <row r="528" ht="18.75" customHeight="1">
      <c r="C528" s="64"/>
      <c r="E528" s="64"/>
      <c r="F528" s="64"/>
      <c r="G528" s="64"/>
      <c r="AH528" s="162"/>
      <c r="AI528" s="162"/>
      <c r="AJ528" s="162"/>
      <c r="AK528" s="162"/>
      <c r="BS528" s="131"/>
      <c r="BT528" s="131"/>
      <c r="BU528" s="131"/>
      <c r="BV528" s="131"/>
      <c r="BW528" s="131"/>
      <c r="BX528" s="131"/>
      <c r="BY528" s="131"/>
      <c r="BZ528" s="131"/>
      <c r="CA528" s="131"/>
      <c r="CB528" s="131"/>
      <c r="CC528" s="131"/>
      <c r="CD528" s="131"/>
      <c r="CE528" s="131"/>
    </row>
    <row r="529" ht="18.75" customHeight="1">
      <c r="C529" s="64"/>
      <c r="E529" s="64"/>
      <c r="F529" s="64"/>
      <c r="G529" s="64"/>
      <c r="AH529" s="162"/>
      <c r="AI529" s="162"/>
      <c r="AJ529" s="162"/>
      <c r="AK529" s="162"/>
      <c r="BS529" s="131"/>
      <c r="BT529" s="131"/>
      <c r="BU529" s="131"/>
      <c r="BV529" s="131"/>
      <c r="BW529" s="131"/>
      <c r="BX529" s="131"/>
      <c r="BY529" s="131"/>
      <c r="BZ529" s="131"/>
      <c r="CA529" s="131"/>
      <c r="CB529" s="131"/>
      <c r="CC529" s="131"/>
      <c r="CD529" s="131"/>
      <c r="CE529" s="131"/>
    </row>
    <row r="530" ht="18.75" customHeight="1">
      <c r="C530" s="64"/>
      <c r="E530" s="64"/>
      <c r="F530" s="64"/>
      <c r="G530" s="64"/>
      <c r="AH530" s="162"/>
      <c r="AI530" s="162"/>
      <c r="AJ530" s="162"/>
      <c r="AK530" s="162"/>
      <c r="BS530" s="131"/>
      <c r="BT530" s="131"/>
      <c r="BU530" s="131"/>
      <c r="BV530" s="131"/>
      <c r="BW530" s="131"/>
      <c r="BX530" s="131"/>
      <c r="BY530" s="131"/>
      <c r="BZ530" s="131"/>
      <c r="CA530" s="131"/>
      <c r="CB530" s="131"/>
      <c r="CC530" s="131"/>
      <c r="CD530" s="131"/>
      <c r="CE530" s="131"/>
    </row>
    <row r="531" ht="18.75" customHeight="1">
      <c r="C531" s="64"/>
      <c r="E531" s="64"/>
      <c r="F531" s="64"/>
      <c r="G531" s="64"/>
      <c r="AH531" s="162"/>
      <c r="AI531" s="162"/>
      <c r="AJ531" s="162"/>
      <c r="AK531" s="162"/>
      <c r="BS531" s="131"/>
      <c r="BT531" s="131"/>
      <c r="BU531" s="131"/>
      <c r="BV531" s="131"/>
      <c r="BW531" s="131"/>
      <c r="BX531" s="131"/>
      <c r="BY531" s="131"/>
      <c r="BZ531" s="131"/>
      <c r="CA531" s="131"/>
      <c r="CB531" s="131"/>
      <c r="CC531" s="131"/>
      <c r="CD531" s="131"/>
      <c r="CE531" s="131"/>
    </row>
    <row r="532" ht="18.75" customHeight="1">
      <c r="C532" s="64"/>
      <c r="E532" s="64"/>
      <c r="F532" s="64"/>
      <c r="G532" s="64"/>
      <c r="AH532" s="162"/>
      <c r="AI532" s="162"/>
      <c r="AJ532" s="162"/>
      <c r="AK532" s="162"/>
      <c r="BS532" s="131"/>
      <c r="BT532" s="131"/>
      <c r="BU532" s="131"/>
      <c r="BV532" s="131"/>
      <c r="BW532" s="131"/>
      <c r="BX532" s="131"/>
      <c r="BY532" s="131"/>
      <c r="BZ532" s="131"/>
      <c r="CA532" s="131"/>
      <c r="CB532" s="131"/>
      <c r="CC532" s="131"/>
      <c r="CD532" s="131"/>
      <c r="CE532" s="131"/>
    </row>
    <row r="533" ht="18.75" customHeight="1">
      <c r="C533" s="64"/>
      <c r="E533" s="64"/>
      <c r="F533" s="64"/>
      <c r="G533" s="64"/>
      <c r="AH533" s="162"/>
      <c r="AI533" s="162"/>
      <c r="AJ533" s="162"/>
      <c r="AK533" s="162"/>
      <c r="BS533" s="131"/>
      <c r="BT533" s="131"/>
      <c r="BU533" s="131"/>
      <c r="BV533" s="131"/>
      <c r="BW533" s="131"/>
      <c r="BX533" s="131"/>
      <c r="BY533" s="131"/>
      <c r="BZ533" s="131"/>
      <c r="CA533" s="131"/>
      <c r="CB533" s="131"/>
      <c r="CC533" s="131"/>
      <c r="CD533" s="131"/>
      <c r="CE533" s="131"/>
    </row>
    <row r="534" ht="18.75" customHeight="1">
      <c r="C534" s="64"/>
      <c r="E534" s="64"/>
      <c r="F534" s="64"/>
      <c r="G534" s="64"/>
      <c r="AH534" s="162"/>
      <c r="AI534" s="162"/>
      <c r="AJ534" s="162"/>
      <c r="AK534" s="162"/>
      <c r="BS534" s="131"/>
      <c r="BT534" s="131"/>
      <c r="BU534" s="131"/>
      <c r="BV534" s="131"/>
      <c r="BW534" s="131"/>
      <c r="BX534" s="131"/>
      <c r="BY534" s="131"/>
      <c r="BZ534" s="131"/>
      <c r="CA534" s="131"/>
      <c r="CB534" s="131"/>
      <c r="CC534" s="131"/>
      <c r="CD534" s="131"/>
      <c r="CE534" s="131"/>
    </row>
    <row r="535" ht="18.75" customHeight="1">
      <c r="C535" s="64"/>
      <c r="E535" s="64"/>
      <c r="F535" s="64"/>
      <c r="G535" s="64"/>
      <c r="AH535" s="162"/>
      <c r="AI535" s="162"/>
      <c r="AJ535" s="162"/>
      <c r="AK535" s="162"/>
      <c r="BS535" s="131"/>
      <c r="BT535" s="131"/>
      <c r="BU535" s="131"/>
      <c r="BV535" s="131"/>
      <c r="BW535" s="131"/>
      <c r="BX535" s="131"/>
      <c r="BY535" s="131"/>
      <c r="BZ535" s="131"/>
      <c r="CA535" s="131"/>
      <c r="CB535" s="131"/>
      <c r="CC535" s="131"/>
      <c r="CD535" s="131"/>
      <c r="CE535" s="131"/>
    </row>
    <row r="536" ht="18.75" customHeight="1">
      <c r="C536" s="64"/>
      <c r="E536" s="64"/>
      <c r="F536" s="64"/>
      <c r="G536" s="64"/>
      <c r="AH536" s="162"/>
      <c r="AI536" s="162"/>
      <c r="AJ536" s="162"/>
      <c r="AK536" s="162"/>
      <c r="BS536" s="131"/>
      <c r="BT536" s="131"/>
      <c r="BU536" s="131"/>
      <c r="BV536" s="131"/>
      <c r="BW536" s="131"/>
      <c r="BX536" s="131"/>
      <c r="BY536" s="131"/>
      <c r="BZ536" s="131"/>
      <c r="CA536" s="131"/>
      <c r="CB536" s="131"/>
      <c r="CC536" s="131"/>
      <c r="CD536" s="131"/>
      <c r="CE536" s="131"/>
    </row>
    <row r="537" ht="18.75" customHeight="1">
      <c r="C537" s="64"/>
      <c r="E537" s="64"/>
      <c r="F537" s="64"/>
      <c r="G537" s="64"/>
      <c r="AH537" s="162"/>
      <c r="AI537" s="162"/>
      <c r="AJ537" s="162"/>
      <c r="AK537" s="162"/>
      <c r="BS537" s="131"/>
      <c r="BT537" s="131"/>
      <c r="BU537" s="131"/>
      <c r="BV537" s="131"/>
      <c r="BW537" s="131"/>
      <c r="BX537" s="131"/>
      <c r="BY537" s="131"/>
      <c r="BZ537" s="131"/>
      <c r="CA537" s="131"/>
      <c r="CB537" s="131"/>
      <c r="CC537" s="131"/>
      <c r="CD537" s="131"/>
      <c r="CE537" s="131"/>
    </row>
    <row r="538" ht="18.75" customHeight="1">
      <c r="C538" s="64"/>
      <c r="E538" s="64"/>
      <c r="F538" s="64"/>
      <c r="G538" s="64"/>
      <c r="AH538" s="162"/>
      <c r="AI538" s="162"/>
      <c r="AJ538" s="162"/>
      <c r="AK538" s="162"/>
      <c r="BS538" s="131"/>
      <c r="BT538" s="131"/>
      <c r="BU538" s="131"/>
      <c r="BV538" s="131"/>
      <c r="BW538" s="131"/>
      <c r="BX538" s="131"/>
      <c r="BY538" s="131"/>
      <c r="BZ538" s="131"/>
      <c r="CA538" s="131"/>
      <c r="CB538" s="131"/>
      <c r="CC538" s="131"/>
      <c r="CD538" s="131"/>
      <c r="CE538" s="131"/>
    </row>
    <row r="539" ht="18.75" customHeight="1">
      <c r="C539" s="64"/>
      <c r="E539" s="64"/>
      <c r="F539" s="64"/>
      <c r="G539" s="64"/>
      <c r="AH539" s="162"/>
      <c r="AI539" s="162"/>
      <c r="AJ539" s="162"/>
      <c r="AK539" s="162"/>
      <c r="BS539" s="131"/>
      <c r="BT539" s="131"/>
      <c r="BU539" s="131"/>
      <c r="BV539" s="131"/>
      <c r="BW539" s="131"/>
      <c r="BX539" s="131"/>
      <c r="BY539" s="131"/>
      <c r="BZ539" s="131"/>
      <c r="CA539" s="131"/>
      <c r="CB539" s="131"/>
      <c r="CC539" s="131"/>
      <c r="CD539" s="131"/>
      <c r="CE539" s="131"/>
    </row>
    <row r="540" ht="18.75" customHeight="1">
      <c r="C540" s="64"/>
      <c r="E540" s="64"/>
      <c r="F540" s="64"/>
      <c r="G540" s="64"/>
      <c r="AH540" s="162"/>
      <c r="AI540" s="162"/>
      <c r="AJ540" s="162"/>
      <c r="AK540" s="162"/>
      <c r="BS540" s="131"/>
      <c r="BT540" s="131"/>
      <c r="BU540" s="131"/>
      <c r="BV540" s="131"/>
      <c r="BW540" s="131"/>
      <c r="BX540" s="131"/>
      <c r="BY540" s="131"/>
      <c r="BZ540" s="131"/>
      <c r="CA540" s="131"/>
      <c r="CB540" s="131"/>
      <c r="CC540" s="131"/>
      <c r="CD540" s="131"/>
      <c r="CE540" s="131"/>
    </row>
    <row r="541" ht="18.75" customHeight="1">
      <c r="C541" s="64"/>
      <c r="E541" s="64"/>
      <c r="F541" s="64"/>
      <c r="G541" s="64"/>
      <c r="AH541" s="162"/>
      <c r="AI541" s="162"/>
      <c r="AJ541" s="162"/>
      <c r="AK541" s="162"/>
      <c r="BS541" s="131"/>
      <c r="BT541" s="131"/>
      <c r="BU541" s="131"/>
      <c r="BV541" s="131"/>
      <c r="BW541" s="131"/>
      <c r="BX541" s="131"/>
      <c r="BY541" s="131"/>
      <c r="BZ541" s="131"/>
      <c r="CA541" s="131"/>
      <c r="CB541" s="131"/>
      <c r="CC541" s="131"/>
      <c r="CD541" s="131"/>
      <c r="CE541" s="131"/>
    </row>
    <row r="542" ht="18.75" customHeight="1">
      <c r="C542" s="64"/>
      <c r="E542" s="64"/>
      <c r="F542" s="64"/>
      <c r="G542" s="64"/>
      <c r="AH542" s="162"/>
      <c r="AI542" s="162"/>
      <c r="AJ542" s="162"/>
      <c r="AK542" s="162"/>
      <c r="BS542" s="131"/>
      <c r="BT542" s="131"/>
      <c r="BU542" s="131"/>
      <c r="BV542" s="131"/>
      <c r="BW542" s="131"/>
      <c r="BX542" s="131"/>
      <c r="BY542" s="131"/>
      <c r="BZ542" s="131"/>
      <c r="CA542" s="131"/>
      <c r="CB542" s="131"/>
      <c r="CC542" s="131"/>
      <c r="CD542" s="131"/>
      <c r="CE542" s="131"/>
    </row>
    <row r="543" ht="18.75" customHeight="1">
      <c r="C543" s="64"/>
      <c r="E543" s="64"/>
      <c r="F543" s="64"/>
      <c r="G543" s="64"/>
      <c r="AH543" s="162"/>
      <c r="AI543" s="162"/>
      <c r="AJ543" s="162"/>
      <c r="AK543" s="162"/>
      <c r="BS543" s="131"/>
      <c r="BT543" s="131"/>
      <c r="BU543" s="131"/>
      <c r="BV543" s="131"/>
      <c r="BW543" s="131"/>
      <c r="BX543" s="131"/>
      <c r="BY543" s="131"/>
      <c r="BZ543" s="131"/>
      <c r="CA543" s="131"/>
      <c r="CB543" s="131"/>
      <c r="CC543" s="131"/>
      <c r="CD543" s="131"/>
      <c r="CE543" s="131"/>
    </row>
    <row r="544" ht="18.75" customHeight="1">
      <c r="C544" s="64"/>
      <c r="E544" s="64"/>
      <c r="F544" s="64"/>
      <c r="G544" s="64"/>
      <c r="AH544" s="162"/>
      <c r="AI544" s="162"/>
      <c r="AJ544" s="162"/>
      <c r="AK544" s="162"/>
      <c r="BS544" s="131"/>
      <c r="BT544" s="131"/>
      <c r="BU544" s="131"/>
      <c r="BV544" s="131"/>
      <c r="BW544" s="131"/>
      <c r="BX544" s="131"/>
      <c r="BY544" s="131"/>
      <c r="BZ544" s="131"/>
      <c r="CA544" s="131"/>
      <c r="CB544" s="131"/>
      <c r="CC544" s="131"/>
      <c r="CD544" s="131"/>
      <c r="CE544" s="131"/>
    </row>
    <row r="545" ht="18.75" customHeight="1">
      <c r="C545" s="64"/>
      <c r="E545" s="64"/>
      <c r="F545" s="64"/>
      <c r="G545" s="64"/>
      <c r="AH545" s="162"/>
      <c r="AI545" s="162"/>
      <c r="AJ545" s="162"/>
      <c r="AK545" s="162"/>
      <c r="BS545" s="131"/>
      <c r="BT545" s="131"/>
      <c r="BU545" s="131"/>
      <c r="BV545" s="131"/>
      <c r="BW545" s="131"/>
      <c r="BX545" s="131"/>
      <c r="BY545" s="131"/>
      <c r="BZ545" s="131"/>
      <c r="CA545" s="131"/>
      <c r="CB545" s="131"/>
      <c r="CC545" s="131"/>
      <c r="CD545" s="131"/>
      <c r="CE545" s="131"/>
    </row>
    <row r="546" ht="18.75" customHeight="1">
      <c r="C546" s="64"/>
      <c r="E546" s="64"/>
      <c r="F546" s="64"/>
      <c r="G546" s="64"/>
      <c r="AH546" s="162"/>
      <c r="AI546" s="162"/>
      <c r="AJ546" s="162"/>
      <c r="AK546" s="162"/>
      <c r="BS546" s="131"/>
      <c r="BT546" s="131"/>
      <c r="BU546" s="131"/>
      <c r="BV546" s="131"/>
      <c r="BW546" s="131"/>
      <c r="BX546" s="131"/>
      <c r="BY546" s="131"/>
      <c r="BZ546" s="131"/>
      <c r="CA546" s="131"/>
      <c r="CB546" s="131"/>
      <c r="CC546" s="131"/>
      <c r="CD546" s="131"/>
      <c r="CE546" s="131"/>
    </row>
    <row r="547" ht="18.75" customHeight="1">
      <c r="C547" s="64"/>
      <c r="E547" s="64"/>
      <c r="F547" s="64"/>
      <c r="G547" s="64"/>
      <c r="AH547" s="162"/>
      <c r="AI547" s="162"/>
      <c r="AJ547" s="162"/>
      <c r="AK547" s="162"/>
      <c r="BS547" s="131"/>
      <c r="BT547" s="131"/>
      <c r="BU547" s="131"/>
      <c r="BV547" s="131"/>
      <c r="BW547" s="131"/>
      <c r="BX547" s="131"/>
      <c r="BY547" s="131"/>
      <c r="BZ547" s="131"/>
      <c r="CA547" s="131"/>
      <c r="CB547" s="131"/>
      <c r="CC547" s="131"/>
      <c r="CD547" s="131"/>
      <c r="CE547" s="131"/>
    </row>
    <row r="548" ht="18.75" customHeight="1">
      <c r="C548" s="64"/>
      <c r="E548" s="64"/>
      <c r="F548" s="64"/>
      <c r="G548" s="64"/>
      <c r="AH548" s="162"/>
      <c r="AI548" s="162"/>
      <c r="AJ548" s="162"/>
      <c r="AK548" s="162"/>
      <c r="BS548" s="131"/>
      <c r="BT548" s="131"/>
      <c r="BU548" s="131"/>
      <c r="BV548" s="131"/>
      <c r="BW548" s="131"/>
      <c r="BX548" s="131"/>
      <c r="BY548" s="131"/>
      <c r="BZ548" s="131"/>
      <c r="CA548" s="131"/>
      <c r="CB548" s="131"/>
      <c r="CC548" s="131"/>
      <c r="CD548" s="131"/>
      <c r="CE548" s="131"/>
    </row>
    <row r="549" ht="18.75" customHeight="1">
      <c r="C549" s="64"/>
      <c r="E549" s="64"/>
      <c r="F549" s="64"/>
      <c r="G549" s="64"/>
      <c r="AH549" s="162"/>
      <c r="AI549" s="162"/>
      <c r="AJ549" s="162"/>
      <c r="AK549" s="162"/>
      <c r="BS549" s="131"/>
      <c r="BT549" s="131"/>
      <c r="BU549" s="131"/>
      <c r="BV549" s="131"/>
      <c r="BW549" s="131"/>
      <c r="BX549" s="131"/>
      <c r="BY549" s="131"/>
      <c r="BZ549" s="131"/>
      <c r="CA549" s="131"/>
      <c r="CB549" s="131"/>
      <c r="CC549" s="131"/>
      <c r="CD549" s="131"/>
      <c r="CE549" s="131"/>
    </row>
    <row r="550" ht="18.75" customHeight="1">
      <c r="C550" s="64"/>
      <c r="E550" s="64"/>
      <c r="F550" s="64"/>
      <c r="G550" s="64"/>
      <c r="AH550" s="162"/>
      <c r="AI550" s="162"/>
      <c r="AJ550" s="162"/>
      <c r="AK550" s="162"/>
      <c r="BS550" s="131"/>
      <c r="BT550" s="131"/>
      <c r="BU550" s="131"/>
      <c r="BV550" s="131"/>
      <c r="BW550" s="131"/>
      <c r="BX550" s="131"/>
      <c r="BY550" s="131"/>
      <c r="BZ550" s="131"/>
      <c r="CA550" s="131"/>
      <c r="CB550" s="131"/>
      <c r="CC550" s="131"/>
      <c r="CD550" s="131"/>
      <c r="CE550" s="131"/>
    </row>
    <row r="551" ht="18.75" customHeight="1">
      <c r="C551" s="64"/>
      <c r="E551" s="64"/>
      <c r="F551" s="64"/>
      <c r="G551" s="64"/>
      <c r="AH551" s="162"/>
      <c r="AI551" s="162"/>
      <c r="AJ551" s="162"/>
      <c r="AK551" s="162"/>
      <c r="BS551" s="131"/>
      <c r="BT551" s="131"/>
      <c r="BU551" s="131"/>
      <c r="BV551" s="131"/>
      <c r="BW551" s="131"/>
      <c r="BX551" s="131"/>
      <c r="BY551" s="131"/>
      <c r="BZ551" s="131"/>
      <c r="CA551" s="131"/>
      <c r="CB551" s="131"/>
      <c r="CC551" s="131"/>
      <c r="CD551" s="131"/>
      <c r="CE551" s="131"/>
    </row>
    <row r="552" ht="18.75" customHeight="1">
      <c r="C552" s="64"/>
      <c r="E552" s="64"/>
      <c r="F552" s="64"/>
      <c r="G552" s="64"/>
      <c r="AH552" s="162"/>
      <c r="AI552" s="162"/>
      <c r="AJ552" s="162"/>
      <c r="AK552" s="162"/>
      <c r="BS552" s="131"/>
      <c r="BT552" s="131"/>
      <c r="BU552" s="131"/>
      <c r="BV552" s="131"/>
      <c r="BW552" s="131"/>
      <c r="BX552" s="131"/>
      <c r="BY552" s="131"/>
      <c r="BZ552" s="131"/>
      <c r="CA552" s="131"/>
      <c r="CB552" s="131"/>
      <c r="CC552" s="131"/>
      <c r="CD552" s="131"/>
      <c r="CE552" s="131"/>
    </row>
    <row r="553" ht="18.75" customHeight="1">
      <c r="C553" s="64"/>
      <c r="E553" s="64"/>
      <c r="F553" s="64"/>
      <c r="G553" s="64"/>
      <c r="AH553" s="162"/>
      <c r="AI553" s="162"/>
      <c r="AJ553" s="162"/>
      <c r="AK553" s="162"/>
      <c r="BS553" s="131"/>
      <c r="BT553" s="131"/>
      <c r="BU553" s="131"/>
      <c r="BV553" s="131"/>
      <c r="BW553" s="131"/>
      <c r="BX553" s="131"/>
      <c r="BY553" s="131"/>
      <c r="BZ553" s="131"/>
      <c r="CA553" s="131"/>
      <c r="CB553" s="131"/>
      <c r="CC553" s="131"/>
      <c r="CD553" s="131"/>
      <c r="CE553" s="131"/>
    </row>
    <row r="554" ht="18.75" customHeight="1">
      <c r="C554" s="64"/>
      <c r="E554" s="64"/>
      <c r="F554" s="64"/>
      <c r="G554" s="64"/>
      <c r="AH554" s="162"/>
      <c r="AI554" s="162"/>
      <c r="AJ554" s="162"/>
      <c r="AK554" s="162"/>
      <c r="BS554" s="131"/>
      <c r="BT554" s="131"/>
      <c r="BU554" s="131"/>
      <c r="BV554" s="131"/>
      <c r="BW554" s="131"/>
      <c r="BX554" s="131"/>
      <c r="BY554" s="131"/>
      <c r="BZ554" s="131"/>
      <c r="CA554" s="131"/>
      <c r="CB554" s="131"/>
      <c r="CC554" s="131"/>
      <c r="CD554" s="131"/>
      <c r="CE554" s="131"/>
    </row>
    <row r="555" ht="18.75" customHeight="1">
      <c r="C555" s="64"/>
      <c r="E555" s="64"/>
      <c r="F555" s="64"/>
      <c r="G555" s="64"/>
      <c r="AH555" s="162"/>
      <c r="AI555" s="162"/>
      <c r="AJ555" s="162"/>
      <c r="AK555" s="162"/>
      <c r="BS555" s="131"/>
      <c r="BT555" s="131"/>
      <c r="BU555" s="131"/>
      <c r="BV555" s="131"/>
      <c r="BW555" s="131"/>
      <c r="BX555" s="131"/>
      <c r="BY555" s="131"/>
      <c r="BZ555" s="131"/>
      <c r="CA555" s="131"/>
      <c r="CB555" s="131"/>
      <c r="CC555" s="131"/>
      <c r="CD555" s="131"/>
      <c r="CE555" s="131"/>
    </row>
    <row r="556" ht="18.75" customHeight="1">
      <c r="C556" s="64"/>
      <c r="E556" s="64"/>
      <c r="F556" s="64"/>
      <c r="G556" s="64"/>
      <c r="AH556" s="162"/>
      <c r="AI556" s="162"/>
      <c r="AJ556" s="162"/>
      <c r="AK556" s="162"/>
      <c r="BS556" s="131"/>
      <c r="BT556" s="131"/>
      <c r="BU556" s="131"/>
      <c r="BV556" s="131"/>
      <c r="BW556" s="131"/>
      <c r="BX556" s="131"/>
      <c r="BY556" s="131"/>
      <c r="BZ556" s="131"/>
      <c r="CA556" s="131"/>
      <c r="CB556" s="131"/>
      <c r="CC556" s="131"/>
      <c r="CD556" s="131"/>
      <c r="CE556" s="131"/>
    </row>
    <row r="557" ht="18.75" customHeight="1">
      <c r="C557" s="64"/>
      <c r="E557" s="64"/>
      <c r="F557" s="64"/>
      <c r="G557" s="64"/>
      <c r="AH557" s="162"/>
      <c r="AI557" s="162"/>
      <c r="AJ557" s="162"/>
      <c r="AK557" s="162"/>
      <c r="BS557" s="131"/>
      <c r="BT557" s="131"/>
      <c r="BU557" s="131"/>
      <c r="BV557" s="131"/>
      <c r="BW557" s="131"/>
      <c r="BX557" s="131"/>
      <c r="BY557" s="131"/>
      <c r="BZ557" s="131"/>
      <c r="CA557" s="131"/>
      <c r="CB557" s="131"/>
      <c r="CC557" s="131"/>
      <c r="CD557" s="131"/>
      <c r="CE557" s="131"/>
    </row>
    <row r="558" ht="18.75" customHeight="1">
      <c r="C558" s="64"/>
      <c r="E558" s="64"/>
      <c r="F558" s="64"/>
      <c r="G558" s="64"/>
      <c r="AH558" s="162"/>
      <c r="AI558" s="162"/>
      <c r="AJ558" s="162"/>
      <c r="AK558" s="162"/>
      <c r="BS558" s="131"/>
      <c r="BT558" s="131"/>
      <c r="BU558" s="131"/>
      <c r="BV558" s="131"/>
      <c r="BW558" s="131"/>
      <c r="BX558" s="131"/>
      <c r="BY558" s="131"/>
      <c r="BZ558" s="131"/>
      <c r="CA558" s="131"/>
      <c r="CB558" s="131"/>
      <c r="CC558" s="131"/>
      <c r="CD558" s="131"/>
      <c r="CE558" s="131"/>
    </row>
    <row r="559" ht="18.75" customHeight="1">
      <c r="C559" s="64"/>
      <c r="E559" s="64"/>
      <c r="F559" s="64"/>
      <c r="G559" s="64"/>
      <c r="AH559" s="162"/>
      <c r="AI559" s="162"/>
      <c r="AJ559" s="162"/>
      <c r="AK559" s="162"/>
      <c r="BS559" s="131"/>
      <c r="BT559" s="131"/>
      <c r="BU559" s="131"/>
      <c r="BV559" s="131"/>
      <c r="BW559" s="131"/>
      <c r="BX559" s="131"/>
      <c r="BY559" s="131"/>
      <c r="BZ559" s="131"/>
      <c r="CA559" s="131"/>
      <c r="CB559" s="131"/>
      <c r="CC559" s="131"/>
      <c r="CD559" s="131"/>
      <c r="CE559" s="131"/>
    </row>
    <row r="560" ht="18.75" customHeight="1">
      <c r="C560" s="64"/>
      <c r="E560" s="64"/>
      <c r="F560" s="64"/>
      <c r="G560" s="64"/>
      <c r="AH560" s="162"/>
      <c r="AI560" s="162"/>
      <c r="AJ560" s="162"/>
      <c r="AK560" s="162"/>
      <c r="BS560" s="131"/>
      <c r="BT560" s="131"/>
      <c r="BU560" s="131"/>
      <c r="BV560" s="131"/>
      <c r="BW560" s="131"/>
      <c r="BX560" s="131"/>
      <c r="BY560" s="131"/>
      <c r="BZ560" s="131"/>
      <c r="CA560" s="131"/>
      <c r="CB560" s="131"/>
      <c r="CC560" s="131"/>
      <c r="CD560" s="131"/>
      <c r="CE560" s="131"/>
    </row>
    <row r="561" ht="18.75" customHeight="1">
      <c r="C561" s="64"/>
      <c r="E561" s="64"/>
      <c r="F561" s="64"/>
      <c r="G561" s="64"/>
      <c r="AH561" s="162"/>
      <c r="AI561" s="162"/>
      <c r="AJ561" s="162"/>
      <c r="AK561" s="162"/>
      <c r="BS561" s="131"/>
      <c r="BT561" s="131"/>
      <c r="BU561" s="131"/>
      <c r="BV561" s="131"/>
      <c r="BW561" s="131"/>
      <c r="BX561" s="131"/>
      <c r="BY561" s="131"/>
      <c r="BZ561" s="131"/>
      <c r="CA561" s="131"/>
      <c r="CB561" s="131"/>
      <c r="CC561" s="131"/>
      <c r="CD561" s="131"/>
      <c r="CE561" s="131"/>
    </row>
    <row r="562" ht="18.75" customHeight="1">
      <c r="C562" s="64"/>
      <c r="E562" s="64"/>
      <c r="F562" s="64"/>
      <c r="G562" s="64"/>
      <c r="AH562" s="162"/>
      <c r="AI562" s="162"/>
      <c r="AJ562" s="162"/>
      <c r="AK562" s="162"/>
      <c r="BS562" s="131"/>
      <c r="BT562" s="131"/>
      <c r="BU562" s="131"/>
      <c r="BV562" s="131"/>
      <c r="BW562" s="131"/>
      <c r="BX562" s="131"/>
      <c r="BY562" s="131"/>
      <c r="BZ562" s="131"/>
      <c r="CA562" s="131"/>
      <c r="CB562" s="131"/>
      <c r="CC562" s="131"/>
      <c r="CD562" s="131"/>
      <c r="CE562" s="131"/>
    </row>
    <row r="563" ht="18.75" customHeight="1">
      <c r="C563" s="64"/>
      <c r="E563" s="64"/>
      <c r="F563" s="64"/>
      <c r="G563" s="64"/>
      <c r="AH563" s="162"/>
      <c r="AI563" s="162"/>
      <c r="AJ563" s="162"/>
      <c r="AK563" s="162"/>
      <c r="BS563" s="131"/>
      <c r="BT563" s="131"/>
      <c r="BU563" s="131"/>
      <c r="BV563" s="131"/>
      <c r="BW563" s="131"/>
      <c r="BX563" s="131"/>
      <c r="BY563" s="131"/>
      <c r="BZ563" s="131"/>
      <c r="CA563" s="131"/>
      <c r="CB563" s="131"/>
      <c r="CC563" s="131"/>
      <c r="CD563" s="131"/>
      <c r="CE563" s="131"/>
    </row>
    <row r="564" ht="18.75" customHeight="1">
      <c r="C564" s="64"/>
      <c r="E564" s="64"/>
      <c r="F564" s="64"/>
      <c r="G564" s="64"/>
      <c r="AH564" s="162"/>
      <c r="AI564" s="162"/>
      <c r="AJ564" s="162"/>
      <c r="AK564" s="162"/>
      <c r="BS564" s="131"/>
      <c r="BT564" s="131"/>
      <c r="BU564" s="131"/>
      <c r="BV564" s="131"/>
      <c r="BW564" s="131"/>
      <c r="BX564" s="131"/>
      <c r="BY564" s="131"/>
      <c r="BZ564" s="131"/>
      <c r="CA564" s="131"/>
      <c r="CB564" s="131"/>
      <c r="CC564" s="131"/>
      <c r="CD564" s="131"/>
      <c r="CE564" s="131"/>
    </row>
    <row r="565" ht="18.75" customHeight="1">
      <c r="C565" s="64"/>
      <c r="E565" s="64"/>
      <c r="F565" s="64"/>
      <c r="G565" s="64"/>
      <c r="AH565" s="162"/>
      <c r="AI565" s="162"/>
      <c r="AJ565" s="162"/>
      <c r="AK565" s="162"/>
      <c r="BS565" s="131"/>
      <c r="BT565" s="131"/>
      <c r="BU565" s="131"/>
      <c r="BV565" s="131"/>
      <c r="BW565" s="131"/>
      <c r="BX565" s="131"/>
      <c r="BY565" s="131"/>
      <c r="BZ565" s="131"/>
      <c r="CA565" s="131"/>
      <c r="CB565" s="131"/>
      <c r="CC565" s="131"/>
      <c r="CD565" s="131"/>
      <c r="CE565" s="131"/>
    </row>
    <row r="566" ht="18.75" customHeight="1">
      <c r="C566" s="64"/>
      <c r="E566" s="64"/>
      <c r="F566" s="64"/>
      <c r="G566" s="64"/>
      <c r="AH566" s="162"/>
      <c r="AI566" s="162"/>
      <c r="AJ566" s="162"/>
      <c r="AK566" s="162"/>
      <c r="BS566" s="131"/>
      <c r="BT566" s="131"/>
      <c r="BU566" s="131"/>
      <c r="BV566" s="131"/>
      <c r="BW566" s="131"/>
      <c r="BX566" s="131"/>
      <c r="BY566" s="131"/>
      <c r="BZ566" s="131"/>
      <c r="CA566" s="131"/>
      <c r="CB566" s="131"/>
      <c r="CC566" s="131"/>
      <c r="CD566" s="131"/>
      <c r="CE566" s="131"/>
    </row>
    <row r="567" ht="18.75" customHeight="1">
      <c r="C567" s="64"/>
      <c r="E567" s="64"/>
      <c r="F567" s="64"/>
      <c r="G567" s="64"/>
      <c r="AH567" s="162"/>
      <c r="AI567" s="162"/>
      <c r="AJ567" s="162"/>
      <c r="AK567" s="162"/>
      <c r="BS567" s="131"/>
      <c r="BT567" s="131"/>
      <c r="BU567" s="131"/>
      <c r="BV567" s="131"/>
      <c r="BW567" s="131"/>
      <c r="BX567" s="131"/>
      <c r="BY567" s="131"/>
      <c r="BZ567" s="131"/>
      <c r="CA567" s="131"/>
      <c r="CB567" s="131"/>
      <c r="CC567" s="131"/>
      <c r="CD567" s="131"/>
      <c r="CE567" s="131"/>
    </row>
    <row r="568" ht="18.75" customHeight="1">
      <c r="C568" s="64"/>
      <c r="E568" s="64"/>
      <c r="F568" s="64"/>
      <c r="G568" s="64"/>
      <c r="AH568" s="162"/>
      <c r="AI568" s="162"/>
      <c r="AJ568" s="162"/>
      <c r="AK568" s="162"/>
      <c r="BS568" s="131"/>
      <c r="BT568" s="131"/>
      <c r="BU568" s="131"/>
      <c r="BV568" s="131"/>
      <c r="BW568" s="131"/>
      <c r="BX568" s="131"/>
      <c r="BY568" s="131"/>
      <c r="BZ568" s="131"/>
      <c r="CA568" s="131"/>
      <c r="CB568" s="131"/>
      <c r="CC568" s="131"/>
      <c r="CD568" s="131"/>
      <c r="CE568" s="131"/>
    </row>
    <row r="569" ht="18.75" customHeight="1">
      <c r="C569" s="64"/>
      <c r="E569" s="64"/>
      <c r="F569" s="64"/>
      <c r="G569" s="64"/>
      <c r="AH569" s="162"/>
      <c r="AI569" s="162"/>
      <c r="AJ569" s="162"/>
      <c r="AK569" s="162"/>
      <c r="BS569" s="131"/>
      <c r="BT569" s="131"/>
      <c r="BU569" s="131"/>
      <c r="BV569" s="131"/>
      <c r="BW569" s="131"/>
      <c r="BX569" s="131"/>
      <c r="BY569" s="131"/>
      <c r="BZ569" s="131"/>
      <c r="CA569" s="131"/>
      <c r="CB569" s="131"/>
      <c r="CC569" s="131"/>
      <c r="CD569" s="131"/>
      <c r="CE569" s="131"/>
    </row>
    <row r="570" ht="18.75" customHeight="1">
      <c r="C570" s="64"/>
      <c r="E570" s="64"/>
      <c r="F570" s="64"/>
      <c r="G570" s="64"/>
      <c r="AH570" s="162"/>
      <c r="AI570" s="162"/>
      <c r="AJ570" s="162"/>
      <c r="AK570" s="162"/>
      <c r="BS570" s="131"/>
      <c r="BT570" s="131"/>
      <c r="BU570" s="131"/>
      <c r="BV570" s="131"/>
      <c r="BW570" s="131"/>
      <c r="BX570" s="131"/>
      <c r="BY570" s="131"/>
      <c r="BZ570" s="131"/>
      <c r="CA570" s="131"/>
      <c r="CB570" s="131"/>
      <c r="CC570" s="131"/>
      <c r="CD570" s="131"/>
      <c r="CE570" s="131"/>
    </row>
    <row r="571" ht="18.75" customHeight="1">
      <c r="C571" s="64"/>
      <c r="E571" s="64"/>
      <c r="F571" s="64"/>
      <c r="G571" s="64"/>
      <c r="AH571" s="162"/>
      <c r="AI571" s="162"/>
      <c r="AJ571" s="162"/>
      <c r="AK571" s="162"/>
      <c r="BS571" s="131"/>
      <c r="BT571" s="131"/>
      <c r="BU571" s="131"/>
      <c r="BV571" s="131"/>
      <c r="BW571" s="131"/>
      <c r="BX571" s="131"/>
      <c r="BY571" s="131"/>
      <c r="BZ571" s="131"/>
      <c r="CA571" s="131"/>
      <c r="CB571" s="131"/>
      <c r="CC571" s="131"/>
      <c r="CD571" s="131"/>
      <c r="CE571" s="131"/>
    </row>
    <row r="572" ht="18.75" customHeight="1">
      <c r="C572" s="64"/>
      <c r="E572" s="64"/>
      <c r="F572" s="64"/>
      <c r="G572" s="64"/>
      <c r="AH572" s="162"/>
      <c r="AI572" s="162"/>
      <c r="AJ572" s="162"/>
      <c r="AK572" s="162"/>
      <c r="BS572" s="131"/>
      <c r="BT572" s="131"/>
      <c r="BU572" s="131"/>
      <c r="BV572" s="131"/>
      <c r="BW572" s="131"/>
      <c r="BX572" s="131"/>
      <c r="BY572" s="131"/>
      <c r="BZ572" s="131"/>
      <c r="CA572" s="131"/>
      <c r="CB572" s="131"/>
      <c r="CC572" s="131"/>
      <c r="CD572" s="131"/>
      <c r="CE572" s="131"/>
    </row>
    <row r="573" ht="18.75" customHeight="1">
      <c r="C573" s="64"/>
      <c r="E573" s="64"/>
      <c r="F573" s="64"/>
      <c r="G573" s="64"/>
      <c r="AH573" s="162"/>
      <c r="AI573" s="162"/>
      <c r="AJ573" s="162"/>
      <c r="AK573" s="162"/>
      <c r="BS573" s="131"/>
      <c r="BT573" s="131"/>
      <c r="BU573" s="131"/>
      <c r="BV573" s="131"/>
      <c r="BW573" s="131"/>
      <c r="BX573" s="131"/>
      <c r="BY573" s="131"/>
      <c r="BZ573" s="131"/>
      <c r="CA573" s="131"/>
      <c r="CB573" s="131"/>
      <c r="CC573" s="131"/>
      <c r="CD573" s="131"/>
      <c r="CE573" s="131"/>
    </row>
    <row r="574" ht="18.75" customHeight="1">
      <c r="C574" s="64"/>
      <c r="E574" s="64"/>
      <c r="F574" s="64"/>
      <c r="G574" s="64"/>
      <c r="AH574" s="162"/>
      <c r="AI574" s="162"/>
      <c r="AJ574" s="162"/>
      <c r="AK574" s="162"/>
      <c r="BS574" s="131"/>
      <c r="BT574" s="131"/>
      <c r="BU574" s="131"/>
      <c r="BV574" s="131"/>
      <c r="BW574" s="131"/>
      <c r="BX574" s="131"/>
      <c r="BY574" s="131"/>
      <c r="BZ574" s="131"/>
      <c r="CA574" s="131"/>
      <c r="CB574" s="131"/>
      <c r="CC574" s="131"/>
      <c r="CD574" s="131"/>
      <c r="CE574" s="131"/>
    </row>
    <row r="575" ht="18.75" customHeight="1">
      <c r="C575" s="64"/>
      <c r="E575" s="64"/>
      <c r="F575" s="64"/>
      <c r="G575" s="64"/>
      <c r="AH575" s="162"/>
      <c r="AI575" s="162"/>
      <c r="AJ575" s="162"/>
      <c r="AK575" s="162"/>
      <c r="BS575" s="131"/>
      <c r="BT575" s="131"/>
      <c r="BU575" s="131"/>
      <c r="BV575" s="131"/>
      <c r="BW575" s="131"/>
      <c r="BX575" s="131"/>
      <c r="BY575" s="131"/>
      <c r="BZ575" s="131"/>
      <c r="CA575" s="131"/>
      <c r="CB575" s="131"/>
      <c r="CC575" s="131"/>
      <c r="CD575" s="131"/>
      <c r="CE575" s="131"/>
    </row>
    <row r="576" ht="18.75" customHeight="1">
      <c r="C576" s="64"/>
      <c r="E576" s="64"/>
      <c r="F576" s="64"/>
      <c r="G576" s="64"/>
      <c r="AH576" s="162"/>
      <c r="AI576" s="162"/>
      <c r="AJ576" s="162"/>
      <c r="AK576" s="162"/>
      <c r="BS576" s="131"/>
      <c r="BT576" s="131"/>
      <c r="BU576" s="131"/>
      <c r="BV576" s="131"/>
      <c r="BW576" s="131"/>
      <c r="BX576" s="131"/>
      <c r="BY576" s="131"/>
      <c r="BZ576" s="131"/>
      <c r="CA576" s="131"/>
      <c r="CB576" s="131"/>
      <c r="CC576" s="131"/>
      <c r="CD576" s="131"/>
      <c r="CE576" s="131"/>
    </row>
    <row r="577" ht="18.75" customHeight="1">
      <c r="C577" s="64"/>
      <c r="E577" s="64"/>
      <c r="F577" s="64"/>
      <c r="G577" s="64"/>
      <c r="AH577" s="162"/>
      <c r="AI577" s="162"/>
      <c r="AJ577" s="162"/>
      <c r="AK577" s="162"/>
      <c r="BS577" s="131"/>
      <c r="BT577" s="131"/>
      <c r="BU577" s="131"/>
      <c r="BV577" s="131"/>
      <c r="BW577" s="131"/>
      <c r="BX577" s="131"/>
      <c r="BY577" s="131"/>
      <c r="BZ577" s="131"/>
      <c r="CA577" s="131"/>
      <c r="CB577" s="131"/>
      <c r="CC577" s="131"/>
      <c r="CD577" s="131"/>
      <c r="CE577" s="131"/>
    </row>
    <row r="578" ht="18.75" customHeight="1">
      <c r="C578" s="64"/>
      <c r="E578" s="64"/>
      <c r="F578" s="64"/>
      <c r="G578" s="64"/>
      <c r="AH578" s="162"/>
      <c r="AI578" s="162"/>
      <c r="AJ578" s="162"/>
      <c r="AK578" s="162"/>
      <c r="BS578" s="131"/>
      <c r="BT578" s="131"/>
      <c r="BU578" s="131"/>
      <c r="BV578" s="131"/>
      <c r="BW578" s="131"/>
      <c r="BX578" s="131"/>
      <c r="BY578" s="131"/>
      <c r="BZ578" s="131"/>
      <c r="CA578" s="131"/>
      <c r="CB578" s="131"/>
      <c r="CC578" s="131"/>
      <c r="CD578" s="131"/>
      <c r="CE578" s="131"/>
    </row>
    <row r="579" ht="18.75" customHeight="1">
      <c r="C579" s="64"/>
      <c r="E579" s="64"/>
      <c r="F579" s="64"/>
      <c r="G579" s="64"/>
      <c r="AH579" s="162"/>
      <c r="AI579" s="162"/>
      <c r="AJ579" s="162"/>
      <c r="AK579" s="162"/>
      <c r="BS579" s="131"/>
      <c r="BT579" s="131"/>
      <c r="BU579" s="131"/>
      <c r="BV579" s="131"/>
      <c r="BW579" s="131"/>
      <c r="BX579" s="131"/>
      <c r="BY579" s="131"/>
      <c r="BZ579" s="131"/>
      <c r="CA579" s="131"/>
      <c r="CB579" s="131"/>
      <c r="CC579" s="131"/>
      <c r="CD579" s="131"/>
      <c r="CE579" s="131"/>
    </row>
    <row r="580" ht="18.75" customHeight="1">
      <c r="C580" s="64"/>
      <c r="E580" s="64"/>
      <c r="F580" s="64"/>
      <c r="G580" s="64"/>
      <c r="AH580" s="162"/>
      <c r="AI580" s="162"/>
      <c r="AJ580" s="162"/>
      <c r="AK580" s="162"/>
      <c r="BS580" s="131"/>
      <c r="BT580" s="131"/>
      <c r="BU580" s="131"/>
      <c r="BV580" s="131"/>
      <c r="BW580" s="131"/>
      <c r="BX580" s="131"/>
      <c r="BY580" s="131"/>
      <c r="BZ580" s="131"/>
      <c r="CA580" s="131"/>
      <c r="CB580" s="131"/>
      <c r="CC580" s="131"/>
      <c r="CD580" s="131"/>
      <c r="CE580" s="131"/>
    </row>
    <row r="581" ht="18.75" customHeight="1">
      <c r="C581" s="64"/>
      <c r="E581" s="64"/>
      <c r="F581" s="64"/>
      <c r="G581" s="64"/>
      <c r="AH581" s="162"/>
      <c r="AI581" s="162"/>
      <c r="AJ581" s="162"/>
      <c r="AK581" s="162"/>
      <c r="BS581" s="131"/>
      <c r="BT581" s="131"/>
      <c r="BU581" s="131"/>
      <c r="BV581" s="131"/>
      <c r="BW581" s="131"/>
      <c r="BX581" s="131"/>
      <c r="BY581" s="131"/>
      <c r="BZ581" s="131"/>
      <c r="CA581" s="131"/>
      <c r="CB581" s="131"/>
      <c r="CC581" s="131"/>
      <c r="CD581" s="131"/>
      <c r="CE581" s="131"/>
    </row>
    <row r="582" ht="18.75" customHeight="1">
      <c r="C582" s="64"/>
      <c r="E582" s="64"/>
      <c r="F582" s="64"/>
      <c r="G582" s="64"/>
      <c r="AH582" s="162"/>
      <c r="AI582" s="162"/>
      <c r="AJ582" s="162"/>
      <c r="AK582" s="162"/>
      <c r="BS582" s="131"/>
      <c r="BT582" s="131"/>
      <c r="BU582" s="131"/>
      <c r="BV582" s="131"/>
      <c r="BW582" s="131"/>
      <c r="BX582" s="131"/>
      <c r="BY582" s="131"/>
      <c r="BZ582" s="131"/>
      <c r="CA582" s="131"/>
      <c r="CB582" s="131"/>
      <c r="CC582" s="131"/>
      <c r="CD582" s="131"/>
      <c r="CE582" s="131"/>
    </row>
    <row r="583" ht="18.75" customHeight="1">
      <c r="C583" s="64"/>
      <c r="E583" s="64"/>
      <c r="F583" s="64"/>
      <c r="G583" s="64"/>
      <c r="AH583" s="162"/>
      <c r="AI583" s="162"/>
      <c r="AJ583" s="162"/>
      <c r="AK583" s="162"/>
      <c r="BS583" s="131"/>
      <c r="BT583" s="131"/>
      <c r="BU583" s="131"/>
      <c r="BV583" s="131"/>
      <c r="BW583" s="131"/>
      <c r="BX583" s="131"/>
      <c r="BY583" s="131"/>
      <c r="BZ583" s="131"/>
      <c r="CA583" s="131"/>
      <c r="CB583" s="131"/>
      <c r="CC583" s="131"/>
      <c r="CD583" s="131"/>
      <c r="CE583" s="131"/>
    </row>
    <row r="584" ht="18.75" customHeight="1">
      <c r="C584" s="64"/>
      <c r="E584" s="64"/>
      <c r="F584" s="64"/>
      <c r="G584" s="64"/>
      <c r="AH584" s="162"/>
      <c r="AI584" s="162"/>
      <c r="AJ584" s="162"/>
      <c r="AK584" s="162"/>
      <c r="BS584" s="131"/>
      <c r="BT584" s="131"/>
      <c r="BU584" s="131"/>
      <c r="BV584" s="131"/>
      <c r="BW584" s="131"/>
      <c r="BX584" s="131"/>
      <c r="BY584" s="131"/>
      <c r="BZ584" s="131"/>
      <c r="CA584" s="131"/>
      <c r="CB584" s="131"/>
      <c r="CC584" s="131"/>
      <c r="CD584" s="131"/>
      <c r="CE584" s="131"/>
    </row>
    <row r="585" ht="18.75" customHeight="1">
      <c r="C585" s="64"/>
      <c r="E585" s="64"/>
      <c r="F585" s="64"/>
      <c r="G585" s="64"/>
      <c r="AH585" s="162"/>
      <c r="AI585" s="162"/>
      <c r="AJ585" s="162"/>
      <c r="AK585" s="162"/>
      <c r="BS585" s="131"/>
      <c r="BT585" s="131"/>
      <c r="BU585" s="131"/>
      <c r="BV585" s="131"/>
      <c r="BW585" s="131"/>
      <c r="BX585" s="131"/>
      <c r="BY585" s="131"/>
      <c r="BZ585" s="131"/>
      <c r="CA585" s="131"/>
      <c r="CB585" s="131"/>
      <c r="CC585" s="131"/>
      <c r="CD585" s="131"/>
      <c r="CE585" s="131"/>
    </row>
    <row r="586" ht="18.75" customHeight="1">
      <c r="C586" s="64"/>
      <c r="E586" s="64"/>
      <c r="F586" s="64"/>
      <c r="G586" s="64"/>
      <c r="AH586" s="162"/>
      <c r="AI586" s="162"/>
      <c r="AJ586" s="162"/>
      <c r="AK586" s="162"/>
      <c r="BS586" s="131"/>
      <c r="BT586" s="131"/>
      <c r="BU586" s="131"/>
      <c r="BV586" s="131"/>
      <c r="BW586" s="131"/>
      <c r="BX586" s="131"/>
      <c r="BY586" s="131"/>
      <c r="BZ586" s="131"/>
      <c r="CA586" s="131"/>
      <c r="CB586" s="131"/>
      <c r="CC586" s="131"/>
      <c r="CD586" s="131"/>
      <c r="CE586" s="131"/>
    </row>
    <row r="587" ht="18.75" customHeight="1">
      <c r="C587" s="64"/>
      <c r="E587" s="64"/>
      <c r="F587" s="64"/>
      <c r="G587" s="64"/>
      <c r="AH587" s="162"/>
      <c r="AI587" s="162"/>
      <c r="AJ587" s="162"/>
      <c r="AK587" s="162"/>
      <c r="BS587" s="131"/>
      <c r="BT587" s="131"/>
      <c r="BU587" s="131"/>
      <c r="BV587" s="131"/>
      <c r="BW587" s="131"/>
      <c r="BX587" s="131"/>
      <c r="BY587" s="131"/>
      <c r="BZ587" s="131"/>
      <c r="CA587" s="131"/>
      <c r="CB587" s="131"/>
      <c r="CC587" s="131"/>
      <c r="CD587" s="131"/>
      <c r="CE587" s="131"/>
    </row>
    <row r="588" ht="18.75" customHeight="1">
      <c r="C588" s="64"/>
      <c r="E588" s="64"/>
      <c r="F588" s="64"/>
      <c r="G588" s="64"/>
      <c r="AH588" s="162"/>
      <c r="AI588" s="162"/>
      <c r="AJ588" s="162"/>
      <c r="AK588" s="162"/>
      <c r="BS588" s="131"/>
      <c r="BT588" s="131"/>
      <c r="BU588" s="131"/>
      <c r="BV588" s="131"/>
      <c r="BW588" s="131"/>
      <c r="BX588" s="131"/>
      <c r="BY588" s="131"/>
      <c r="BZ588" s="131"/>
      <c r="CA588" s="131"/>
      <c r="CB588" s="131"/>
      <c r="CC588" s="131"/>
      <c r="CD588" s="131"/>
      <c r="CE588" s="131"/>
    </row>
    <row r="589" ht="18.75" customHeight="1">
      <c r="C589" s="64"/>
      <c r="E589" s="64"/>
      <c r="F589" s="64"/>
      <c r="G589" s="64"/>
      <c r="AH589" s="162"/>
      <c r="AI589" s="162"/>
      <c r="AJ589" s="162"/>
      <c r="AK589" s="162"/>
      <c r="BS589" s="131"/>
      <c r="BT589" s="131"/>
      <c r="BU589" s="131"/>
      <c r="BV589" s="131"/>
      <c r="BW589" s="131"/>
      <c r="BX589" s="131"/>
      <c r="BY589" s="131"/>
      <c r="BZ589" s="131"/>
      <c r="CA589" s="131"/>
      <c r="CB589" s="131"/>
      <c r="CC589" s="131"/>
      <c r="CD589" s="131"/>
      <c r="CE589" s="131"/>
    </row>
    <row r="590" ht="18.75" customHeight="1">
      <c r="C590" s="64"/>
      <c r="E590" s="64"/>
      <c r="F590" s="64"/>
      <c r="G590" s="64"/>
      <c r="AH590" s="162"/>
      <c r="AI590" s="162"/>
      <c r="AJ590" s="162"/>
      <c r="AK590" s="162"/>
      <c r="BS590" s="131"/>
      <c r="BT590" s="131"/>
      <c r="BU590" s="131"/>
      <c r="BV590" s="131"/>
      <c r="BW590" s="131"/>
      <c r="BX590" s="131"/>
      <c r="BY590" s="131"/>
      <c r="BZ590" s="131"/>
      <c r="CA590" s="131"/>
      <c r="CB590" s="131"/>
      <c r="CC590" s="131"/>
      <c r="CD590" s="131"/>
      <c r="CE590" s="131"/>
    </row>
    <row r="591" ht="18.75" customHeight="1">
      <c r="C591" s="64"/>
      <c r="E591" s="64"/>
      <c r="F591" s="64"/>
      <c r="G591" s="64"/>
      <c r="AH591" s="162"/>
      <c r="AI591" s="162"/>
      <c r="AJ591" s="162"/>
      <c r="AK591" s="162"/>
      <c r="BS591" s="131"/>
      <c r="BT591" s="131"/>
      <c r="BU591" s="131"/>
      <c r="BV591" s="131"/>
      <c r="BW591" s="131"/>
      <c r="BX591" s="131"/>
      <c r="BY591" s="131"/>
      <c r="BZ591" s="131"/>
      <c r="CA591" s="131"/>
      <c r="CB591" s="131"/>
      <c r="CC591" s="131"/>
      <c r="CD591" s="131"/>
      <c r="CE591" s="131"/>
    </row>
    <row r="592" ht="18.75" customHeight="1">
      <c r="C592" s="64"/>
      <c r="E592" s="64"/>
      <c r="F592" s="64"/>
      <c r="G592" s="64"/>
      <c r="AH592" s="162"/>
      <c r="AI592" s="162"/>
      <c r="AJ592" s="162"/>
      <c r="AK592" s="162"/>
      <c r="BS592" s="131"/>
      <c r="BT592" s="131"/>
      <c r="BU592" s="131"/>
      <c r="BV592" s="131"/>
      <c r="BW592" s="131"/>
      <c r="BX592" s="131"/>
      <c r="BY592" s="131"/>
      <c r="BZ592" s="131"/>
      <c r="CA592" s="131"/>
      <c r="CB592" s="131"/>
      <c r="CC592" s="131"/>
      <c r="CD592" s="131"/>
      <c r="CE592" s="131"/>
    </row>
    <row r="593" ht="18.75" customHeight="1">
      <c r="C593" s="64"/>
      <c r="E593" s="64"/>
      <c r="F593" s="64"/>
      <c r="G593" s="64"/>
      <c r="AH593" s="162"/>
      <c r="AI593" s="162"/>
      <c r="AJ593" s="162"/>
      <c r="AK593" s="162"/>
      <c r="BS593" s="131"/>
      <c r="BT593" s="131"/>
      <c r="BU593" s="131"/>
      <c r="BV593" s="131"/>
      <c r="BW593" s="131"/>
      <c r="BX593" s="131"/>
      <c r="BY593" s="131"/>
      <c r="BZ593" s="131"/>
      <c r="CA593" s="131"/>
      <c r="CB593" s="131"/>
      <c r="CC593" s="131"/>
      <c r="CD593" s="131"/>
      <c r="CE593" s="131"/>
    </row>
    <row r="594" ht="18.75" customHeight="1">
      <c r="C594" s="64"/>
      <c r="E594" s="64"/>
      <c r="F594" s="64"/>
      <c r="G594" s="64"/>
      <c r="AH594" s="162"/>
      <c r="AI594" s="162"/>
      <c r="AJ594" s="162"/>
      <c r="AK594" s="162"/>
      <c r="BS594" s="131"/>
      <c r="BT594" s="131"/>
      <c r="BU594" s="131"/>
      <c r="BV594" s="131"/>
      <c r="BW594" s="131"/>
      <c r="BX594" s="131"/>
      <c r="BY594" s="131"/>
      <c r="BZ594" s="131"/>
      <c r="CA594" s="131"/>
      <c r="CB594" s="131"/>
      <c r="CC594" s="131"/>
      <c r="CD594" s="131"/>
      <c r="CE594" s="131"/>
    </row>
    <row r="595" ht="18.75" customHeight="1">
      <c r="C595" s="64"/>
      <c r="E595" s="64"/>
      <c r="F595" s="64"/>
      <c r="G595" s="64"/>
      <c r="AH595" s="162"/>
      <c r="AI595" s="162"/>
      <c r="AJ595" s="162"/>
      <c r="AK595" s="162"/>
      <c r="BS595" s="131"/>
      <c r="BT595" s="131"/>
      <c r="BU595" s="131"/>
      <c r="BV595" s="131"/>
      <c r="BW595" s="131"/>
      <c r="BX595" s="131"/>
      <c r="BY595" s="131"/>
      <c r="BZ595" s="131"/>
      <c r="CA595" s="131"/>
      <c r="CB595" s="131"/>
      <c r="CC595" s="131"/>
      <c r="CD595" s="131"/>
      <c r="CE595" s="131"/>
    </row>
    <row r="596" ht="18.75" customHeight="1">
      <c r="C596" s="64"/>
      <c r="E596" s="64"/>
      <c r="F596" s="64"/>
      <c r="G596" s="64"/>
      <c r="AH596" s="162"/>
      <c r="AI596" s="162"/>
      <c r="AJ596" s="162"/>
      <c r="AK596" s="162"/>
      <c r="BS596" s="131"/>
      <c r="BT596" s="131"/>
      <c r="BU596" s="131"/>
      <c r="BV596" s="131"/>
      <c r="BW596" s="131"/>
      <c r="BX596" s="131"/>
      <c r="BY596" s="131"/>
      <c r="BZ596" s="131"/>
      <c r="CA596" s="131"/>
      <c r="CB596" s="131"/>
      <c r="CC596" s="131"/>
      <c r="CD596" s="131"/>
      <c r="CE596" s="131"/>
    </row>
    <row r="597" ht="18.75" customHeight="1">
      <c r="C597" s="64"/>
      <c r="E597" s="64"/>
      <c r="F597" s="64"/>
      <c r="G597" s="64"/>
      <c r="AH597" s="162"/>
      <c r="AI597" s="162"/>
      <c r="AJ597" s="162"/>
      <c r="AK597" s="162"/>
      <c r="BS597" s="131"/>
      <c r="BT597" s="131"/>
      <c r="BU597" s="131"/>
      <c r="BV597" s="131"/>
      <c r="BW597" s="131"/>
      <c r="BX597" s="131"/>
      <c r="BY597" s="131"/>
      <c r="BZ597" s="131"/>
      <c r="CA597" s="131"/>
      <c r="CB597" s="131"/>
      <c r="CC597" s="131"/>
      <c r="CD597" s="131"/>
      <c r="CE597" s="131"/>
    </row>
    <row r="598" ht="18.75" customHeight="1">
      <c r="C598" s="64"/>
      <c r="E598" s="64"/>
      <c r="F598" s="64"/>
      <c r="G598" s="64"/>
      <c r="AH598" s="162"/>
      <c r="AI598" s="162"/>
      <c r="AJ598" s="162"/>
      <c r="AK598" s="162"/>
      <c r="BS598" s="131"/>
      <c r="BT598" s="131"/>
      <c r="BU598" s="131"/>
      <c r="BV598" s="131"/>
      <c r="BW598" s="131"/>
      <c r="BX598" s="131"/>
      <c r="BY598" s="131"/>
      <c r="BZ598" s="131"/>
      <c r="CA598" s="131"/>
      <c r="CB598" s="131"/>
      <c r="CC598" s="131"/>
      <c r="CD598" s="131"/>
      <c r="CE598" s="131"/>
    </row>
    <row r="599" ht="18.75" customHeight="1">
      <c r="C599" s="64"/>
      <c r="E599" s="64"/>
      <c r="F599" s="64"/>
      <c r="G599" s="64"/>
      <c r="AH599" s="162"/>
      <c r="AI599" s="162"/>
      <c r="AJ599" s="162"/>
      <c r="AK599" s="162"/>
      <c r="BS599" s="131"/>
      <c r="BT599" s="131"/>
      <c r="BU599" s="131"/>
      <c r="BV599" s="131"/>
      <c r="BW599" s="131"/>
      <c r="BX599" s="131"/>
      <c r="BY599" s="131"/>
      <c r="BZ599" s="131"/>
      <c r="CA599" s="131"/>
      <c r="CB599" s="131"/>
      <c r="CC599" s="131"/>
      <c r="CD599" s="131"/>
      <c r="CE599" s="131"/>
    </row>
    <row r="600" ht="18.75" customHeight="1">
      <c r="C600" s="64"/>
      <c r="E600" s="64"/>
      <c r="F600" s="64"/>
      <c r="G600" s="64"/>
      <c r="AH600" s="162"/>
      <c r="AI600" s="162"/>
      <c r="AJ600" s="162"/>
      <c r="AK600" s="162"/>
      <c r="BS600" s="131"/>
      <c r="BT600" s="131"/>
      <c r="BU600" s="131"/>
      <c r="BV600" s="131"/>
      <c r="BW600" s="131"/>
      <c r="BX600" s="131"/>
      <c r="BY600" s="131"/>
      <c r="BZ600" s="131"/>
      <c r="CA600" s="131"/>
      <c r="CB600" s="131"/>
      <c r="CC600" s="131"/>
      <c r="CD600" s="131"/>
      <c r="CE600" s="131"/>
    </row>
    <row r="601" ht="18.75" customHeight="1">
      <c r="C601" s="64"/>
      <c r="E601" s="64"/>
      <c r="F601" s="64"/>
      <c r="G601" s="64"/>
      <c r="AH601" s="162"/>
      <c r="AI601" s="162"/>
      <c r="AJ601" s="162"/>
      <c r="AK601" s="162"/>
      <c r="BS601" s="131"/>
      <c r="BT601" s="131"/>
      <c r="BU601" s="131"/>
      <c r="BV601" s="131"/>
      <c r="BW601" s="131"/>
      <c r="BX601" s="131"/>
      <c r="BY601" s="131"/>
      <c r="BZ601" s="131"/>
      <c r="CA601" s="131"/>
      <c r="CB601" s="131"/>
      <c r="CC601" s="131"/>
      <c r="CD601" s="131"/>
      <c r="CE601" s="131"/>
    </row>
    <row r="602" ht="18.75" customHeight="1">
      <c r="C602" s="64"/>
      <c r="E602" s="64"/>
      <c r="F602" s="64"/>
      <c r="G602" s="64"/>
      <c r="AH602" s="162"/>
      <c r="AI602" s="162"/>
      <c r="AJ602" s="162"/>
      <c r="AK602" s="162"/>
      <c r="BS602" s="131"/>
      <c r="BT602" s="131"/>
      <c r="BU602" s="131"/>
      <c r="BV602" s="131"/>
      <c r="BW602" s="131"/>
      <c r="BX602" s="131"/>
      <c r="BY602" s="131"/>
      <c r="BZ602" s="131"/>
      <c r="CA602" s="131"/>
      <c r="CB602" s="131"/>
      <c r="CC602" s="131"/>
      <c r="CD602" s="131"/>
      <c r="CE602" s="131"/>
    </row>
    <row r="603" ht="18.75" customHeight="1">
      <c r="C603" s="64"/>
      <c r="E603" s="64"/>
      <c r="F603" s="64"/>
      <c r="G603" s="64"/>
      <c r="AH603" s="162"/>
      <c r="AI603" s="162"/>
      <c r="AJ603" s="162"/>
      <c r="AK603" s="162"/>
      <c r="BS603" s="131"/>
      <c r="BT603" s="131"/>
      <c r="BU603" s="131"/>
      <c r="BV603" s="131"/>
      <c r="BW603" s="131"/>
      <c r="BX603" s="131"/>
      <c r="BY603" s="131"/>
      <c r="BZ603" s="131"/>
      <c r="CA603" s="131"/>
      <c r="CB603" s="131"/>
      <c r="CC603" s="131"/>
      <c r="CD603" s="131"/>
      <c r="CE603" s="131"/>
    </row>
    <row r="604" ht="18.75" customHeight="1">
      <c r="C604" s="64"/>
      <c r="E604" s="64"/>
      <c r="F604" s="64"/>
      <c r="G604" s="64"/>
      <c r="AH604" s="162"/>
      <c r="AI604" s="162"/>
      <c r="AJ604" s="162"/>
      <c r="AK604" s="162"/>
      <c r="BS604" s="131"/>
      <c r="BT604" s="131"/>
      <c r="BU604" s="131"/>
      <c r="BV604" s="131"/>
      <c r="BW604" s="131"/>
      <c r="BX604" s="131"/>
      <c r="BY604" s="131"/>
      <c r="BZ604" s="131"/>
      <c r="CA604" s="131"/>
      <c r="CB604" s="131"/>
      <c r="CC604" s="131"/>
      <c r="CD604" s="131"/>
      <c r="CE604" s="131"/>
    </row>
    <row r="605" ht="18.75" customHeight="1">
      <c r="C605" s="64"/>
      <c r="E605" s="64"/>
      <c r="F605" s="64"/>
      <c r="G605" s="64"/>
      <c r="AH605" s="162"/>
      <c r="AI605" s="162"/>
      <c r="AJ605" s="162"/>
      <c r="AK605" s="162"/>
      <c r="BS605" s="131"/>
      <c r="BT605" s="131"/>
      <c r="BU605" s="131"/>
      <c r="BV605" s="131"/>
      <c r="BW605" s="131"/>
      <c r="BX605" s="131"/>
      <c r="BY605" s="131"/>
      <c r="BZ605" s="131"/>
      <c r="CA605" s="131"/>
      <c r="CB605" s="131"/>
      <c r="CC605" s="131"/>
      <c r="CD605" s="131"/>
      <c r="CE605" s="131"/>
    </row>
    <row r="606" ht="18.75" customHeight="1">
      <c r="C606" s="64"/>
      <c r="E606" s="64"/>
      <c r="F606" s="64"/>
      <c r="G606" s="64"/>
      <c r="AH606" s="162"/>
      <c r="AI606" s="162"/>
      <c r="AJ606" s="162"/>
      <c r="AK606" s="162"/>
      <c r="BS606" s="131"/>
      <c r="BT606" s="131"/>
      <c r="BU606" s="131"/>
      <c r="BV606" s="131"/>
      <c r="BW606" s="131"/>
      <c r="BX606" s="131"/>
      <c r="BY606" s="131"/>
      <c r="BZ606" s="131"/>
      <c r="CA606" s="131"/>
      <c r="CB606" s="131"/>
      <c r="CC606" s="131"/>
      <c r="CD606" s="131"/>
      <c r="CE606" s="131"/>
    </row>
    <row r="607" ht="18.75" customHeight="1">
      <c r="C607" s="64"/>
      <c r="E607" s="64"/>
      <c r="F607" s="64"/>
      <c r="G607" s="64"/>
      <c r="AH607" s="162"/>
      <c r="AI607" s="162"/>
      <c r="AJ607" s="162"/>
      <c r="AK607" s="162"/>
      <c r="BS607" s="131"/>
      <c r="BT607" s="131"/>
      <c r="BU607" s="131"/>
      <c r="BV607" s="131"/>
      <c r="BW607" s="131"/>
      <c r="BX607" s="131"/>
      <c r="BY607" s="131"/>
      <c r="BZ607" s="131"/>
      <c r="CA607" s="131"/>
      <c r="CB607" s="131"/>
      <c r="CC607" s="131"/>
      <c r="CD607" s="131"/>
      <c r="CE607" s="131"/>
    </row>
    <row r="608" ht="18.75" customHeight="1">
      <c r="C608" s="64"/>
      <c r="E608" s="64"/>
      <c r="F608" s="64"/>
      <c r="G608" s="64"/>
      <c r="AH608" s="162"/>
      <c r="AI608" s="162"/>
      <c r="AJ608" s="162"/>
      <c r="AK608" s="162"/>
      <c r="BS608" s="131"/>
      <c r="BT608" s="131"/>
      <c r="BU608" s="131"/>
      <c r="BV608" s="131"/>
      <c r="BW608" s="131"/>
      <c r="BX608" s="131"/>
      <c r="BY608" s="131"/>
      <c r="BZ608" s="131"/>
      <c r="CA608" s="131"/>
      <c r="CB608" s="131"/>
      <c r="CC608" s="131"/>
      <c r="CD608" s="131"/>
      <c r="CE608" s="131"/>
    </row>
    <row r="609" ht="18.75" customHeight="1">
      <c r="C609" s="64"/>
      <c r="E609" s="64"/>
      <c r="F609" s="64"/>
      <c r="G609" s="64"/>
      <c r="AH609" s="162"/>
      <c r="AI609" s="162"/>
      <c r="AJ609" s="162"/>
      <c r="AK609" s="162"/>
      <c r="BS609" s="131"/>
      <c r="BT609" s="131"/>
      <c r="BU609" s="131"/>
      <c r="BV609" s="131"/>
      <c r="BW609" s="131"/>
      <c r="BX609" s="131"/>
      <c r="BY609" s="131"/>
      <c r="BZ609" s="131"/>
      <c r="CA609" s="131"/>
      <c r="CB609" s="131"/>
      <c r="CC609" s="131"/>
      <c r="CD609" s="131"/>
      <c r="CE609" s="131"/>
    </row>
    <row r="610" ht="18.75" customHeight="1">
      <c r="C610" s="64"/>
      <c r="E610" s="64"/>
      <c r="F610" s="64"/>
      <c r="G610" s="64"/>
      <c r="AH610" s="162"/>
      <c r="AI610" s="162"/>
      <c r="AJ610" s="162"/>
      <c r="AK610" s="162"/>
      <c r="BS610" s="131"/>
      <c r="BT610" s="131"/>
      <c r="BU610" s="131"/>
      <c r="BV610" s="131"/>
      <c r="BW610" s="131"/>
      <c r="BX610" s="131"/>
      <c r="BY610" s="131"/>
      <c r="BZ610" s="131"/>
      <c r="CA610" s="131"/>
      <c r="CB610" s="131"/>
      <c r="CC610" s="131"/>
      <c r="CD610" s="131"/>
      <c r="CE610" s="131"/>
    </row>
    <row r="611" ht="18.75" customHeight="1">
      <c r="C611" s="64"/>
      <c r="E611" s="64"/>
      <c r="F611" s="64"/>
      <c r="G611" s="64"/>
      <c r="AH611" s="162"/>
      <c r="AI611" s="162"/>
      <c r="AJ611" s="162"/>
      <c r="AK611" s="162"/>
      <c r="BS611" s="131"/>
      <c r="BT611" s="131"/>
      <c r="BU611" s="131"/>
      <c r="BV611" s="131"/>
      <c r="BW611" s="131"/>
      <c r="BX611" s="131"/>
      <c r="BY611" s="131"/>
      <c r="BZ611" s="131"/>
      <c r="CA611" s="131"/>
      <c r="CB611" s="131"/>
      <c r="CC611" s="131"/>
      <c r="CD611" s="131"/>
      <c r="CE611" s="131"/>
    </row>
    <row r="612" ht="18.75" customHeight="1">
      <c r="C612" s="64"/>
      <c r="E612" s="64"/>
      <c r="F612" s="64"/>
      <c r="G612" s="64"/>
      <c r="AH612" s="162"/>
      <c r="AI612" s="162"/>
      <c r="AJ612" s="162"/>
      <c r="AK612" s="162"/>
      <c r="BS612" s="131"/>
      <c r="BT612" s="131"/>
      <c r="BU612" s="131"/>
      <c r="BV612" s="131"/>
      <c r="BW612" s="131"/>
      <c r="BX612" s="131"/>
      <c r="BY612" s="131"/>
      <c r="BZ612" s="131"/>
      <c r="CA612" s="131"/>
      <c r="CB612" s="131"/>
      <c r="CC612" s="131"/>
      <c r="CD612" s="131"/>
      <c r="CE612" s="131"/>
    </row>
    <row r="613" ht="18.75" customHeight="1">
      <c r="C613" s="64"/>
      <c r="E613" s="64"/>
      <c r="F613" s="64"/>
      <c r="G613" s="64"/>
      <c r="AH613" s="162"/>
      <c r="AI613" s="162"/>
      <c r="AJ613" s="162"/>
      <c r="AK613" s="162"/>
      <c r="BS613" s="131"/>
      <c r="BT613" s="131"/>
      <c r="BU613" s="131"/>
      <c r="BV613" s="131"/>
      <c r="BW613" s="131"/>
      <c r="BX613" s="131"/>
      <c r="BY613" s="131"/>
      <c r="BZ613" s="131"/>
      <c r="CA613" s="131"/>
      <c r="CB613" s="131"/>
      <c r="CC613" s="131"/>
      <c r="CD613" s="131"/>
      <c r="CE613" s="131"/>
    </row>
    <row r="614" ht="18.75" customHeight="1">
      <c r="C614" s="64"/>
      <c r="E614" s="64"/>
      <c r="F614" s="64"/>
      <c r="G614" s="64"/>
      <c r="AH614" s="162"/>
      <c r="AI614" s="162"/>
      <c r="AJ614" s="162"/>
      <c r="AK614" s="162"/>
      <c r="BS614" s="131"/>
      <c r="BT614" s="131"/>
      <c r="BU614" s="131"/>
      <c r="BV614" s="131"/>
      <c r="BW614" s="131"/>
      <c r="BX614" s="131"/>
      <c r="BY614" s="131"/>
      <c r="BZ614" s="131"/>
      <c r="CA614" s="131"/>
      <c r="CB614" s="131"/>
      <c r="CC614" s="131"/>
      <c r="CD614" s="131"/>
      <c r="CE614" s="131"/>
    </row>
    <row r="615" ht="18.75" customHeight="1">
      <c r="C615" s="64"/>
      <c r="E615" s="64"/>
      <c r="F615" s="64"/>
      <c r="G615" s="64"/>
      <c r="AH615" s="162"/>
      <c r="AI615" s="162"/>
      <c r="AJ615" s="162"/>
      <c r="AK615" s="162"/>
      <c r="BS615" s="131"/>
      <c r="BT615" s="131"/>
      <c r="BU615" s="131"/>
      <c r="BV615" s="131"/>
      <c r="BW615" s="131"/>
      <c r="BX615" s="131"/>
      <c r="BY615" s="131"/>
      <c r="BZ615" s="131"/>
      <c r="CA615" s="131"/>
      <c r="CB615" s="131"/>
      <c r="CC615" s="131"/>
      <c r="CD615" s="131"/>
      <c r="CE615" s="131"/>
    </row>
    <row r="616" ht="18.75" customHeight="1">
      <c r="C616" s="64"/>
      <c r="E616" s="64"/>
      <c r="F616" s="64"/>
      <c r="G616" s="64"/>
      <c r="AH616" s="162"/>
      <c r="AI616" s="162"/>
      <c r="AJ616" s="162"/>
      <c r="AK616" s="162"/>
      <c r="BS616" s="131"/>
      <c r="BT616" s="131"/>
      <c r="BU616" s="131"/>
      <c r="BV616" s="131"/>
      <c r="BW616" s="131"/>
      <c r="BX616" s="131"/>
      <c r="BY616" s="131"/>
      <c r="BZ616" s="131"/>
      <c r="CA616" s="131"/>
      <c r="CB616" s="131"/>
      <c r="CC616" s="131"/>
      <c r="CD616" s="131"/>
      <c r="CE616" s="131"/>
    </row>
    <row r="617" ht="18.75" customHeight="1">
      <c r="C617" s="64"/>
      <c r="E617" s="64"/>
      <c r="F617" s="64"/>
      <c r="G617" s="64"/>
      <c r="AH617" s="162"/>
      <c r="AI617" s="162"/>
      <c r="AJ617" s="162"/>
      <c r="AK617" s="162"/>
      <c r="BS617" s="131"/>
      <c r="BT617" s="131"/>
      <c r="BU617" s="131"/>
      <c r="BV617" s="131"/>
      <c r="BW617" s="131"/>
      <c r="BX617" s="131"/>
      <c r="BY617" s="131"/>
      <c r="BZ617" s="131"/>
      <c r="CA617" s="131"/>
      <c r="CB617" s="131"/>
      <c r="CC617" s="131"/>
      <c r="CD617" s="131"/>
      <c r="CE617" s="131"/>
    </row>
    <row r="618" ht="18.75" customHeight="1">
      <c r="C618" s="64"/>
      <c r="E618" s="64"/>
      <c r="F618" s="64"/>
      <c r="G618" s="64"/>
      <c r="AH618" s="162"/>
      <c r="AI618" s="162"/>
      <c r="AJ618" s="162"/>
      <c r="AK618" s="162"/>
      <c r="BS618" s="131"/>
      <c r="BT618" s="131"/>
      <c r="BU618" s="131"/>
      <c r="BV618" s="131"/>
      <c r="BW618" s="131"/>
      <c r="BX618" s="131"/>
      <c r="BY618" s="131"/>
      <c r="BZ618" s="131"/>
      <c r="CA618" s="131"/>
      <c r="CB618" s="131"/>
      <c r="CC618" s="131"/>
      <c r="CD618" s="131"/>
      <c r="CE618" s="131"/>
    </row>
    <row r="619" ht="18.75" customHeight="1">
      <c r="C619" s="64"/>
      <c r="E619" s="64"/>
      <c r="F619" s="64"/>
      <c r="G619" s="64"/>
      <c r="AH619" s="162"/>
      <c r="AI619" s="162"/>
      <c r="AJ619" s="162"/>
      <c r="AK619" s="162"/>
      <c r="BS619" s="131"/>
      <c r="BT619" s="131"/>
      <c r="BU619" s="131"/>
      <c r="BV619" s="131"/>
      <c r="BW619" s="131"/>
      <c r="BX619" s="131"/>
      <c r="BY619" s="131"/>
      <c r="BZ619" s="131"/>
      <c r="CA619" s="131"/>
      <c r="CB619" s="131"/>
      <c r="CC619" s="131"/>
      <c r="CD619" s="131"/>
      <c r="CE619" s="131"/>
    </row>
    <row r="620" ht="18.75" customHeight="1">
      <c r="C620" s="64"/>
      <c r="E620" s="64"/>
      <c r="F620" s="64"/>
      <c r="G620" s="64"/>
      <c r="AH620" s="162"/>
      <c r="AI620" s="162"/>
      <c r="AJ620" s="162"/>
      <c r="AK620" s="162"/>
      <c r="BS620" s="131"/>
      <c r="BT620" s="131"/>
      <c r="BU620" s="131"/>
      <c r="BV620" s="131"/>
      <c r="BW620" s="131"/>
      <c r="BX620" s="131"/>
      <c r="BY620" s="131"/>
      <c r="BZ620" s="131"/>
      <c r="CA620" s="131"/>
      <c r="CB620" s="131"/>
      <c r="CC620" s="131"/>
      <c r="CD620" s="131"/>
      <c r="CE620" s="131"/>
    </row>
    <row r="621" ht="18.75" customHeight="1">
      <c r="C621" s="64"/>
      <c r="E621" s="64"/>
      <c r="F621" s="64"/>
      <c r="G621" s="64"/>
      <c r="AH621" s="162"/>
      <c r="AI621" s="162"/>
      <c r="AJ621" s="162"/>
      <c r="AK621" s="162"/>
      <c r="BS621" s="131"/>
      <c r="BT621" s="131"/>
      <c r="BU621" s="131"/>
      <c r="BV621" s="131"/>
      <c r="BW621" s="131"/>
      <c r="BX621" s="131"/>
      <c r="BY621" s="131"/>
      <c r="BZ621" s="131"/>
      <c r="CA621" s="131"/>
      <c r="CB621" s="131"/>
      <c r="CC621" s="131"/>
      <c r="CD621" s="131"/>
      <c r="CE621" s="131"/>
    </row>
    <row r="622" ht="18.75" customHeight="1">
      <c r="C622" s="64"/>
      <c r="E622" s="64"/>
      <c r="F622" s="64"/>
      <c r="G622" s="64"/>
      <c r="AH622" s="162"/>
      <c r="AI622" s="162"/>
      <c r="AJ622" s="162"/>
      <c r="AK622" s="162"/>
      <c r="BS622" s="131"/>
      <c r="BT622" s="131"/>
      <c r="BU622" s="131"/>
      <c r="BV622" s="131"/>
      <c r="BW622" s="131"/>
      <c r="BX622" s="131"/>
      <c r="BY622" s="131"/>
      <c r="BZ622" s="131"/>
      <c r="CA622" s="131"/>
      <c r="CB622" s="131"/>
      <c r="CC622" s="131"/>
      <c r="CD622" s="131"/>
      <c r="CE622" s="131"/>
    </row>
    <row r="623" ht="18.75" customHeight="1">
      <c r="C623" s="64"/>
      <c r="E623" s="64"/>
      <c r="F623" s="64"/>
      <c r="G623" s="64"/>
      <c r="AH623" s="162"/>
      <c r="AI623" s="162"/>
      <c r="AJ623" s="162"/>
      <c r="AK623" s="162"/>
      <c r="BS623" s="131"/>
      <c r="BT623" s="131"/>
      <c r="BU623" s="131"/>
      <c r="BV623" s="131"/>
      <c r="BW623" s="131"/>
      <c r="BX623" s="131"/>
      <c r="BY623" s="131"/>
      <c r="BZ623" s="131"/>
      <c r="CA623" s="131"/>
      <c r="CB623" s="131"/>
      <c r="CC623" s="131"/>
      <c r="CD623" s="131"/>
      <c r="CE623" s="131"/>
    </row>
    <row r="624" ht="18.75" customHeight="1">
      <c r="C624" s="64"/>
      <c r="E624" s="64"/>
      <c r="F624" s="64"/>
      <c r="G624" s="64"/>
      <c r="AH624" s="162"/>
      <c r="AI624" s="162"/>
      <c r="AJ624" s="162"/>
      <c r="AK624" s="162"/>
      <c r="BS624" s="131"/>
      <c r="BT624" s="131"/>
      <c r="BU624" s="131"/>
      <c r="BV624" s="131"/>
      <c r="BW624" s="131"/>
      <c r="BX624" s="131"/>
      <c r="BY624" s="131"/>
      <c r="BZ624" s="131"/>
      <c r="CA624" s="131"/>
      <c r="CB624" s="131"/>
      <c r="CC624" s="131"/>
      <c r="CD624" s="131"/>
      <c r="CE624" s="131"/>
    </row>
    <row r="625" ht="18.75" customHeight="1">
      <c r="C625" s="64"/>
      <c r="E625" s="64"/>
      <c r="F625" s="64"/>
      <c r="G625" s="64"/>
      <c r="AH625" s="162"/>
      <c r="AI625" s="162"/>
      <c r="AJ625" s="162"/>
      <c r="AK625" s="162"/>
      <c r="BS625" s="131"/>
      <c r="BT625" s="131"/>
      <c r="BU625" s="131"/>
      <c r="BV625" s="131"/>
      <c r="BW625" s="131"/>
      <c r="BX625" s="131"/>
      <c r="BY625" s="131"/>
      <c r="BZ625" s="131"/>
      <c r="CA625" s="131"/>
      <c r="CB625" s="131"/>
      <c r="CC625" s="131"/>
      <c r="CD625" s="131"/>
      <c r="CE625" s="131"/>
    </row>
    <row r="626" ht="18.75" customHeight="1">
      <c r="C626" s="64"/>
      <c r="E626" s="64"/>
      <c r="F626" s="64"/>
      <c r="G626" s="64"/>
      <c r="AH626" s="162"/>
      <c r="AI626" s="162"/>
      <c r="AJ626" s="162"/>
      <c r="AK626" s="162"/>
      <c r="BS626" s="131"/>
      <c r="BT626" s="131"/>
      <c r="BU626" s="131"/>
      <c r="BV626" s="131"/>
      <c r="BW626" s="131"/>
      <c r="BX626" s="131"/>
      <c r="BY626" s="131"/>
      <c r="BZ626" s="131"/>
      <c r="CA626" s="131"/>
      <c r="CB626" s="131"/>
      <c r="CC626" s="131"/>
      <c r="CD626" s="131"/>
      <c r="CE626" s="131"/>
    </row>
    <row r="627" ht="18.75" customHeight="1">
      <c r="C627" s="64"/>
      <c r="E627" s="64"/>
      <c r="F627" s="64"/>
      <c r="G627" s="64"/>
      <c r="AH627" s="162"/>
      <c r="AI627" s="162"/>
      <c r="AJ627" s="162"/>
      <c r="AK627" s="162"/>
      <c r="BS627" s="131"/>
      <c r="BT627" s="131"/>
      <c r="BU627" s="131"/>
      <c r="BV627" s="131"/>
      <c r="BW627" s="131"/>
      <c r="BX627" s="131"/>
      <c r="BY627" s="131"/>
      <c r="BZ627" s="131"/>
      <c r="CA627" s="131"/>
      <c r="CB627" s="131"/>
      <c r="CC627" s="131"/>
      <c r="CD627" s="131"/>
      <c r="CE627" s="131"/>
    </row>
    <row r="628" ht="18.75" customHeight="1">
      <c r="C628" s="64"/>
      <c r="E628" s="64"/>
      <c r="F628" s="64"/>
      <c r="G628" s="64"/>
      <c r="AH628" s="162"/>
      <c r="AI628" s="162"/>
      <c r="AJ628" s="162"/>
      <c r="AK628" s="162"/>
      <c r="BS628" s="131"/>
      <c r="BT628" s="131"/>
      <c r="BU628" s="131"/>
      <c r="BV628" s="131"/>
      <c r="BW628" s="131"/>
      <c r="BX628" s="131"/>
      <c r="BY628" s="131"/>
      <c r="BZ628" s="131"/>
      <c r="CA628" s="131"/>
      <c r="CB628" s="131"/>
      <c r="CC628" s="131"/>
      <c r="CD628" s="131"/>
      <c r="CE628" s="131"/>
    </row>
    <row r="629" ht="18.75" customHeight="1">
      <c r="C629" s="64"/>
      <c r="E629" s="64"/>
      <c r="F629" s="64"/>
      <c r="G629" s="64"/>
      <c r="AH629" s="162"/>
      <c r="AI629" s="162"/>
      <c r="AJ629" s="162"/>
      <c r="AK629" s="162"/>
      <c r="BS629" s="131"/>
      <c r="BT629" s="131"/>
      <c r="BU629" s="131"/>
      <c r="BV629" s="131"/>
      <c r="BW629" s="131"/>
      <c r="BX629" s="131"/>
      <c r="BY629" s="131"/>
      <c r="BZ629" s="131"/>
      <c r="CA629" s="131"/>
      <c r="CB629" s="131"/>
      <c r="CC629" s="131"/>
      <c r="CD629" s="131"/>
      <c r="CE629" s="131"/>
    </row>
    <row r="630" ht="18.75" customHeight="1">
      <c r="C630" s="64"/>
      <c r="E630" s="64"/>
      <c r="F630" s="64"/>
      <c r="G630" s="64"/>
      <c r="AH630" s="162"/>
      <c r="AI630" s="162"/>
      <c r="AJ630" s="162"/>
      <c r="AK630" s="162"/>
      <c r="BS630" s="131"/>
      <c r="BT630" s="131"/>
      <c r="BU630" s="131"/>
      <c r="BV630" s="131"/>
      <c r="BW630" s="131"/>
      <c r="BX630" s="131"/>
      <c r="BY630" s="131"/>
      <c r="BZ630" s="131"/>
      <c r="CA630" s="131"/>
      <c r="CB630" s="131"/>
      <c r="CC630" s="131"/>
      <c r="CD630" s="131"/>
      <c r="CE630" s="131"/>
    </row>
    <row r="631" ht="18.75" customHeight="1">
      <c r="C631" s="64"/>
      <c r="E631" s="64"/>
      <c r="F631" s="64"/>
      <c r="G631" s="64"/>
      <c r="AH631" s="162"/>
      <c r="AI631" s="162"/>
      <c r="AJ631" s="162"/>
      <c r="AK631" s="162"/>
      <c r="BS631" s="131"/>
      <c r="BT631" s="131"/>
      <c r="BU631" s="131"/>
      <c r="BV631" s="131"/>
      <c r="BW631" s="131"/>
      <c r="BX631" s="131"/>
      <c r="BY631" s="131"/>
      <c r="BZ631" s="131"/>
      <c r="CA631" s="131"/>
      <c r="CB631" s="131"/>
      <c r="CC631" s="131"/>
      <c r="CD631" s="131"/>
      <c r="CE631" s="131"/>
    </row>
    <row r="632" ht="18.75" customHeight="1">
      <c r="C632" s="64"/>
      <c r="E632" s="64"/>
      <c r="F632" s="64"/>
      <c r="G632" s="64"/>
      <c r="AH632" s="162"/>
      <c r="AI632" s="162"/>
      <c r="AJ632" s="162"/>
      <c r="AK632" s="162"/>
      <c r="BS632" s="131"/>
      <c r="BT632" s="131"/>
      <c r="BU632" s="131"/>
      <c r="BV632" s="131"/>
      <c r="BW632" s="131"/>
      <c r="BX632" s="131"/>
      <c r="BY632" s="131"/>
      <c r="BZ632" s="131"/>
      <c r="CA632" s="131"/>
      <c r="CB632" s="131"/>
      <c r="CC632" s="131"/>
      <c r="CD632" s="131"/>
      <c r="CE632" s="131"/>
    </row>
    <row r="633" ht="18.75" customHeight="1">
      <c r="C633" s="64"/>
      <c r="E633" s="64"/>
      <c r="F633" s="64"/>
      <c r="G633" s="64"/>
      <c r="AH633" s="162"/>
      <c r="AI633" s="162"/>
      <c r="AJ633" s="162"/>
      <c r="AK633" s="162"/>
      <c r="BS633" s="131"/>
      <c r="BT633" s="131"/>
      <c r="BU633" s="131"/>
      <c r="BV633" s="131"/>
      <c r="BW633" s="131"/>
      <c r="BX633" s="131"/>
      <c r="BY633" s="131"/>
      <c r="BZ633" s="131"/>
      <c r="CA633" s="131"/>
      <c r="CB633" s="131"/>
      <c r="CC633" s="131"/>
      <c r="CD633" s="131"/>
      <c r="CE633" s="131"/>
    </row>
    <row r="634" ht="18.75" customHeight="1">
      <c r="C634" s="64"/>
      <c r="E634" s="64"/>
      <c r="F634" s="64"/>
      <c r="G634" s="64"/>
      <c r="AH634" s="162"/>
      <c r="AI634" s="162"/>
      <c r="AJ634" s="162"/>
      <c r="AK634" s="162"/>
      <c r="BS634" s="131"/>
      <c r="BT634" s="131"/>
      <c r="BU634" s="131"/>
      <c r="BV634" s="131"/>
      <c r="BW634" s="131"/>
      <c r="BX634" s="131"/>
      <c r="BY634" s="131"/>
      <c r="BZ634" s="131"/>
      <c r="CA634" s="131"/>
      <c r="CB634" s="131"/>
      <c r="CC634" s="131"/>
      <c r="CD634" s="131"/>
      <c r="CE634" s="131"/>
    </row>
    <row r="635" ht="18.75" customHeight="1">
      <c r="C635" s="64"/>
      <c r="E635" s="64"/>
      <c r="F635" s="64"/>
      <c r="G635" s="64"/>
      <c r="AH635" s="162"/>
      <c r="AI635" s="162"/>
      <c r="AJ635" s="162"/>
      <c r="AK635" s="162"/>
      <c r="BS635" s="131"/>
      <c r="BT635" s="131"/>
      <c r="BU635" s="131"/>
      <c r="BV635" s="131"/>
      <c r="BW635" s="131"/>
      <c r="BX635" s="131"/>
      <c r="BY635" s="131"/>
      <c r="BZ635" s="131"/>
      <c r="CA635" s="131"/>
      <c r="CB635" s="131"/>
      <c r="CC635" s="131"/>
      <c r="CD635" s="131"/>
      <c r="CE635" s="131"/>
    </row>
    <row r="636" ht="18.75" customHeight="1">
      <c r="C636" s="64"/>
      <c r="E636" s="64"/>
      <c r="F636" s="64"/>
      <c r="G636" s="64"/>
      <c r="AH636" s="162"/>
      <c r="AI636" s="162"/>
      <c r="AJ636" s="162"/>
      <c r="AK636" s="162"/>
      <c r="BS636" s="131"/>
      <c r="BT636" s="131"/>
      <c r="BU636" s="131"/>
      <c r="BV636" s="131"/>
      <c r="BW636" s="131"/>
      <c r="BX636" s="131"/>
      <c r="BY636" s="131"/>
      <c r="BZ636" s="131"/>
      <c r="CA636" s="131"/>
      <c r="CB636" s="131"/>
      <c r="CC636" s="131"/>
      <c r="CD636" s="131"/>
      <c r="CE636" s="131"/>
    </row>
    <row r="637" ht="18.75" customHeight="1">
      <c r="C637" s="64"/>
      <c r="E637" s="64"/>
      <c r="F637" s="64"/>
      <c r="G637" s="64"/>
      <c r="AH637" s="162"/>
      <c r="AI637" s="162"/>
      <c r="AJ637" s="162"/>
      <c r="AK637" s="162"/>
      <c r="BS637" s="131"/>
      <c r="BT637" s="131"/>
      <c r="BU637" s="131"/>
      <c r="BV637" s="131"/>
      <c r="BW637" s="131"/>
      <c r="BX637" s="131"/>
      <c r="BY637" s="131"/>
      <c r="BZ637" s="131"/>
      <c r="CA637" s="131"/>
      <c r="CB637" s="131"/>
      <c r="CC637" s="131"/>
      <c r="CD637" s="131"/>
      <c r="CE637" s="131"/>
    </row>
    <row r="638" ht="18.75" customHeight="1">
      <c r="C638" s="64"/>
      <c r="E638" s="64"/>
      <c r="F638" s="64"/>
      <c r="G638" s="64"/>
      <c r="AH638" s="162"/>
      <c r="AI638" s="162"/>
      <c r="AJ638" s="162"/>
      <c r="AK638" s="162"/>
      <c r="BS638" s="131"/>
      <c r="BT638" s="131"/>
      <c r="BU638" s="131"/>
      <c r="BV638" s="131"/>
      <c r="BW638" s="131"/>
      <c r="BX638" s="131"/>
      <c r="BY638" s="131"/>
      <c r="BZ638" s="131"/>
      <c r="CA638" s="131"/>
      <c r="CB638" s="131"/>
      <c r="CC638" s="131"/>
      <c r="CD638" s="131"/>
      <c r="CE638" s="131"/>
    </row>
    <row r="639" ht="18.75" customHeight="1">
      <c r="C639" s="64"/>
      <c r="E639" s="64"/>
      <c r="F639" s="64"/>
      <c r="G639" s="64"/>
      <c r="AH639" s="162"/>
      <c r="AI639" s="162"/>
      <c r="AJ639" s="162"/>
      <c r="AK639" s="162"/>
      <c r="BS639" s="131"/>
      <c r="BT639" s="131"/>
      <c r="BU639" s="131"/>
      <c r="BV639" s="131"/>
      <c r="BW639" s="131"/>
      <c r="BX639" s="131"/>
      <c r="BY639" s="131"/>
      <c r="BZ639" s="131"/>
      <c r="CA639" s="131"/>
      <c r="CB639" s="131"/>
      <c r="CC639" s="131"/>
      <c r="CD639" s="131"/>
      <c r="CE639" s="131"/>
    </row>
    <row r="640" ht="18.75" customHeight="1">
      <c r="C640" s="64"/>
      <c r="E640" s="64"/>
      <c r="F640" s="64"/>
      <c r="G640" s="64"/>
      <c r="AH640" s="162"/>
      <c r="AI640" s="162"/>
      <c r="AJ640" s="162"/>
      <c r="AK640" s="162"/>
      <c r="BS640" s="131"/>
      <c r="BT640" s="131"/>
      <c r="BU640" s="131"/>
      <c r="BV640" s="131"/>
      <c r="BW640" s="131"/>
      <c r="BX640" s="131"/>
      <c r="BY640" s="131"/>
      <c r="BZ640" s="131"/>
      <c r="CA640" s="131"/>
      <c r="CB640" s="131"/>
      <c r="CC640" s="131"/>
      <c r="CD640" s="131"/>
      <c r="CE640" s="131"/>
    </row>
    <row r="641" ht="18.75" customHeight="1">
      <c r="C641" s="64"/>
      <c r="E641" s="64"/>
      <c r="F641" s="64"/>
      <c r="G641" s="64"/>
      <c r="AH641" s="162"/>
      <c r="AI641" s="162"/>
      <c r="AJ641" s="162"/>
      <c r="AK641" s="162"/>
      <c r="BS641" s="131"/>
      <c r="BT641" s="131"/>
      <c r="BU641" s="131"/>
      <c r="BV641" s="131"/>
      <c r="BW641" s="131"/>
      <c r="BX641" s="131"/>
      <c r="BY641" s="131"/>
      <c r="BZ641" s="131"/>
      <c r="CA641" s="131"/>
      <c r="CB641" s="131"/>
      <c r="CC641" s="131"/>
      <c r="CD641" s="131"/>
      <c r="CE641" s="131"/>
    </row>
    <row r="642" ht="18.75" customHeight="1">
      <c r="C642" s="64"/>
      <c r="E642" s="64"/>
      <c r="F642" s="64"/>
      <c r="G642" s="64"/>
      <c r="AH642" s="162"/>
      <c r="AI642" s="162"/>
      <c r="AJ642" s="162"/>
      <c r="AK642" s="162"/>
      <c r="BS642" s="131"/>
      <c r="BT642" s="131"/>
      <c r="BU642" s="131"/>
      <c r="BV642" s="131"/>
      <c r="BW642" s="131"/>
      <c r="BX642" s="131"/>
      <c r="BY642" s="131"/>
      <c r="BZ642" s="131"/>
      <c r="CA642" s="131"/>
      <c r="CB642" s="131"/>
      <c r="CC642" s="131"/>
      <c r="CD642" s="131"/>
      <c r="CE642" s="131"/>
    </row>
    <row r="643" ht="18.75" customHeight="1">
      <c r="C643" s="64"/>
      <c r="E643" s="64"/>
      <c r="F643" s="64"/>
      <c r="G643" s="64"/>
      <c r="AH643" s="162"/>
      <c r="AI643" s="162"/>
      <c r="AJ643" s="162"/>
      <c r="AK643" s="162"/>
      <c r="BS643" s="131"/>
      <c r="BT643" s="131"/>
      <c r="BU643" s="131"/>
      <c r="BV643" s="131"/>
      <c r="BW643" s="131"/>
      <c r="BX643" s="131"/>
      <c r="BY643" s="131"/>
      <c r="BZ643" s="131"/>
      <c r="CA643" s="131"/>
      <c r="CB643" s="131"/>
      <c r="CC643" s="131"/>
      <c r="CD643" s="131"/>
      <c r="CE643" s="131"/>
    </row>
    <row r="644" ht="18.75" customHeight="1">
      <c r="C644" s="64"/>
      <c r="E644" s="64"/>
      <c r="F644" s="64"/>
      <c r="G644" s="64"/>
      <c r="AH644" s="162"/>
      <c r="AI644" s="162"/>
      <c r="AJ644" s="162"/>
      <c r="AK644" s="162"/>
      <c r="BS644" s="131"/>
      <c r="BT644" s="131"/>
      <c r="BU644" s="131"/>
      <c r="BV644" s="131"/>
      <c r="BW644" s="131"/>
      <c r="BX644" s="131"/>
      <c r="BY644" s="131"/>
      <c r="BZ644" s="131"/>
      <c r="CA644" s="131"/>
      <c r="CB644" s="131"/>
      <c r="CC644" s="131"/>
      <c r="CD644" s="131"/>
      <c r="CE644" s="131"/>
    </row>
    <row r="645" ht="18.75" customHeight="1">
      <c r="C645" s="64"/>
      <c r="E645" s="64"/>
      <c r="F645" s="64"/>
      <c r="G645" s="64"/>
      <c r="AH645" s="162"/>
      <c r="AI645" s="162"/>
      <c r="AJ645" s="162"/>
      <c r="AK645" s="162"/>
      <c r="BS645" s="131"/>
      <c r="BT645" s="131"/>
      <c r="BU645" s="131"/>
      <c r="BV645" s="131"/>
      <c r="BW645" s="131"/>
      <c r="BX645" s="131"/>
      <c r="BY645" s="131"/>
      <c r="BZ645" s="131"/>
      <c r="CA645" s="131"/>
      <c r="CB645" s="131"/>
      <c r="CC645" s="131"/>
      <c r="CD645" s="131"/>
      <c r="CE645" s="131"/>
    </row>
    <row r="646" ht="18.75" customHeight="1">
      <c r="C646" s="64"/>
      <c r="E646" s="64"/>
      <c r="F646" s="64"/>
      <c r="G646" s="64"/>
      <c r="AH646" s="162"/>
      <c r="AI646" s="162"/>
      <c r="AJ646" s="162"/>
      <c r="AK646" s="162"/>
      <c r="BS646" s="131"/>
      <c r="BT646" s="131"/>
      <c r="BU646" s="131"/>
      <c r="BV646" s="131"/>
      <c r="BW646" s="131"/>
      <c r="BX646" s="131"/>
      <c r="BY646" s="131"/>
      <c r="BZ646" s="131"/>
      <c r="CA646" s="131"/>
      <c r="CB646" s="131"/>
      <c r="CC646" s="131"/>
      <c r="CD646" s="131"/>
      <c r="CE646" s="131"/>
    </row>
    <row r="647" ht="18.75" customHeight="1">
      <c r="C647" s="64"/>
      <c r="E647" s="64"/>
      <c r="F647" s="64"/>
      <c r="G647" s="64"/>
      <c r="AH647" s="162"/>
      <c r="AI647" s="162"/>
      <c r="AJ647" s="162"/>
      <c r="AK647" s="162"/>
      <c r="BS647" s="131"/>
      <c r="BT647" s="131"/>
      <c r="BU647" s="131"/>
      <c r="BV647" s="131"/>
      <c r="BW647" s="131"/>
      <c r="BX647" s="131"/>
      <c r="BY647" s="131"/>
      <c r="BZ647" s="131"/>
      <c r="CA647" s="131"/>
      <c r="CB647" s="131"/>
      <c r="CC647" s="131"/>
      <c r="CD647" s="131"/>
      <c r="CE647" s="131"/>
    </row>
    <row r="648" ht="18.75" customHeight="1">
      <c r="C648" s="64"/>
      <c r="E648" s="64"/>
      <c r="F648" s="64"/>
      <c r="G648" s="64"/>
      <c r="AH648" s="162"/>
      <c r="AI648" s="162"/>
      <c r="AJ648" s="162"/>
      <c r="AK648" s="162"/>
      <c r="BS648" s="131"/>
      <c r="BT648" s="131"/>
      <c r="BU648" s="131"/>
      <c r="BV648" s="131"/>
      <c r="BW648" s="131"/>
      <c r="BX648" s="131"/>
      <c r="BY648" s="131"/>
      <c r="BZ648" s="131"/>
      <c r="CA648" s="131"/>
      <c r="CB648" s="131"/>
      <c r="CC648" s="131"/>
      <c r="CD648" s="131"/>
      <c r="CE648" s="131"/>
    </row>
    <row r="649" ht="18.75" customHeight="1">
      <c r="C649" s="64"/>
      <c r="E649" s="64"/>
      <c r="F649" s="64"/>
      <c r="G649" s="64"/>
      <c r="AH649" s="162"/>
      <c r="AI649" s="162"/>
      <c r="AJ649" s="162"/>
      <c r="AK649" s="162"/>
      <c r="BS649" s="131"/>
      <c r="BT649" s="131"/>
      <c r="BU649" s="131"/>
      <c r="BV649" s="131"/>
      <c r="BW649" s="131"/>
      <c r="BX649" s="131"/>
      <c r="BY649" s="131"/>
      <c r="BZ649" s="131"/>
      <c r="CA649" s="131"/>
      <c r="CB649" s="131"/>
      <c r="CC649" s="131"/>
      <c r="CD649" s="131"/>
      <c r="CE649" s="131"/>
    </row>
    <row r="650" ht="18.75" customHeight="1">
      <c r="C650" s="64"/>
      <c r="E650" s="64"/>
      <c r="F650" s="64"/>
      <c r="G650" s="64"/>
      <c r="AH650" s="162"/>
      <c r="AI650" s="162"/>
      <c r="AJ650" s="162"/>
      <c r="AK650" s="162"/>
      <c r="BS650" s="131"/>
      <c r="BT650" s="131"/>
      <c r="BU650" s="131"/>
      <c r="BV650" s="131"/>
      <c r="BW650" s="131"/>
      <c r="BX650" s="131"/>
      <c r="BY650" s="131"/>
      <c r="BZ650" s="131"/>
      <c r="CA650" s="131"/>
      <c r="CB650" s="131"/>
      <c r="CC650" s="131"/>
      <c r="CD650" s="131"/>
      <c r="CE650" s="131"/>
    </row>
    <row r="651" ht="18.75" customHeight="1">
      <c r="C651" s="64"/>
      <c r="E651" s="64"/>
      <c r="F651" s="64"/>
      <c r="G651" s="64"/>
      <c r="AH651" s="162"/>
      <c r="AI651" s="162"/>
      <c r="AJ651" s="162"/>
      <c r="AK651" s="162"/>
      <c r="BS651" s="131"/>
      <c r="BT651" s="131"/>
      <c r="BU651" s="131"/>
      <c r="BV651" s="131"/>
      <c r="BW651" s="131"/>
      <c r="BX651" s="131"/>
      <c r="BY651" s="131"/>
      <c r="BZ651" s="131"/>
      <c r="CA651" s="131"/>
      <c r="CB651" s="131"/>
      <c r="CC651" s="131"/>
      <c r="CD651" s="131"/>
      <c r="CE651" s="131"/>
    </row>
    <row r="652" ht="18.75" customHeight="1">
      <c r="C652" s="64"/>
      <c r="E652" s="64"/>
      <c r="F652" s="64"/>
      <c r="G652" s="64"/>
      <c r="AH652" s="162"/>
      <c r="AI652" s="162"/>
      <c r="AJ652" s="162"/>
      <c r="AK652" s="162"/>
      <c r="BS652" s="131"/>
      <c r="BT652" s="131"/>
      <c r="BU652" s="131"/>
      <c r="BV652" s="131"/>
      <c r="BW652" s="131"/>
      <c r="BX652" s="131"/>
      <c r="BY652" s="131"/>
      <c r="BZ652" s="131"/>
      <c r="CA652" s="131"/>
      <c r="CB652" s="131"/>
      <c r="CC652" s="131"/>
      <c r="CD652" s="131"/>
      <c r="CE652" s="131"/>
    </row>
    <row r="653" ht="18.75" customHeight="1">
      <c r="C653" s="64"/>
      <c r="E653" s="64"/>
      <c r="F653" s="64"/>
      <c r="G653" s="64"/>
      <c r="AH653" s="162"/>
      <c r="AI653" s="162"/>
      <c r="AJ653" s="162"/>
      <c r="AK653" s="162"/>
      <c r="BS653" s="131"/>
      <c r="BT653" s="131"/>
      <c r="BU653" s="131"/>
      <c r="BV653" s="131"/>
      <c r="BW653" s="131"/>
      <c r="BX653" s="131"/>
      <c r="BY653" s="131"/>
      <c r="BZ653" s="131"/>
      <c r="CA653" s="131"/>
      <c r="CB653" s="131"/>
      <c r="CC653" s="131"/>
      <c r="CD653" s="131"/>
      <c r="CE653" s="131"/>
    </row>
    <row r="654" ht="18.75" customHeight="1">
      <c r="C654" s="64"/>
      <c r="E654" s="64"/>
      <c r="F654" s="64"/>
      <c r="G654" s="64"/>
      <c r="AH654" s="162"/>
      <c r="AI654" s="162"/>
      <c r="AJ654" s="162"/>
      <c r="AK654" s="162"/>
      <c r="BS654" s="131"/>
      <c r="BT654" s="131"/>
      <c r="BU654" s="131"/>
      <c r="BV654" s="131"/>
      <c r="BW654" s="131"/>
      <c r="BX654" s="131"/>
      <c r="BY654" s="131"/>
      <c r="BZ654" s="131"/>
      <c r="CA654" s="131"/>
      <c r="CB654" s="131"/>
      <c r="CC654" s="131"/>
      <c r="CD654" s="131"/>
      <c r="CE654" s="131"/>
    </row>
    <row r="655" ht="18.75" customHeight="1">
      <c r="C655" s="64"/>
      <c r="E655" s="64"/>
      <c r="F655" s="64"/>
      <c r="G655" s="64"/>
      <c r="AH655" s="162"/>
      <c r="AI655" s="162"/>
      <c r="AJ655" s="162"/>
      <c r="AK655" s="162"/>
      <c r="BS655" s="131"/>
      <c r="BT655" s="131"/>
      <c r="BU655" s="131"/>
      <c r="BV655" s="131"/>
      <c r="BW655" s="131"/>
      <c r="BX655" s="131"/>
      <c r="BY655" s="131"/>
      <c r="BZ655" s="131"/>
      <c r="CA655" s="131"/>
      <c r="CB655" s="131"/>
      <c r="CC655" s="131"/>
      <c r="CD655" s="131"/>
      <c r="CE655" s="131"/>
    </row>
    <row r="656" ht="18.75" customHeight="1">
      <c r="C656" s="64"/>
      <c r="E656" s="64"/>
      <c r="F656" s="64"/>
      <c r="G656" s="64"/>
      <c r="AH656" s="162"/>
      <c r="AI656" s="162"/>
      <c r="AJ656" s="162"/>
      <c r="AK656" s="162"/>
      <c r="BS656" s="131"/>
      <c r="BT656" s="131"/>
      <c r="BU656" s="131"/>
      <c r="BV656" s="131"/>
      <c r="BW656" s="131"/>
      <c r="BX656" s="131"/>
      <c r="BY656" s="131"/>
      <c r="BZ656" s="131"/>
      <c r="CA656" s="131"/>
      <c r="CB656" s="131"/>
      <c r="CC656" s="131"/>
      <c r="CD656" s="131"/>
      <c r="CE656" s="131"/>
    </row>
    <row r="657" ht="18.75" customHeight="1">
      <c r="C657" s="64"/>
      <c r="E657" s="64"/>
      <c r="F657" s="64"/>
      <c r="G657" s="64"/>
      <c r="AH657" s="162"/>
      <c r="AI657" s="162"/>
      <c r="AJ657" s="162"/>
      <c r="AK657" s="162"/>
      <c r="BS657" s="131"/>
      <c r="BT657" s="131"/>
      <c r="BU657" s="131"/>
      <c r="BV657" s="131"/>
      <c r="BW657" s="131"/>
      <c r="BX657" s="131"/>
      <c r="BY657" s="131"/>
      <c r="BZ657" s="131"/>
      <c r="CA657" s="131"/>
      <c r="CB657" s="131"/>
      <c r="CC657" s="131"/>
      <c r="CD657" s="131"/>
      <c r="CE657" s="131"/>
    </row>
    <row r="658" ht="18.75" customHeight="1">
      <c r="C658" s="64"/>
      <c r="E658" s="64"/>
      <c r="F658" s="64"/>
      <c r="G658" s="64"/>
      <c r="AH658" s="162"/>
      <c r="AI658" s="162"/>
      <c r="AJ658" s="162"/>
      <c r="AK658" s="162"/>
      <c r="BS658" s="131"/>
      <c r="BT658" s="131"/>
      <c r="BU658" s="131"/>
      <c r="BV658" s="131"/>
      <c r="BW658" s="131"/>
      <c r="BX658" s="131"/>
      <c r="BY658" s="131"/>
      <c r="BZ658" s="131"/>
      <c r="CA658" s="131"/>
      <c r="CB658" s="131"/>
      <c r="CC658" s="131"/>
      <c r="CD658" s="131"/>
      <c r="CE658" s="131"/>
    </row>
    <row r="659" ht="18.75" customHeight="1">
      <c r="C659" s="64"/>
      <c r="E659" s="64"/>
      <c r="F659" s="64"/>
      <c r="G659" s="64"/>
      <c r="AH659" s="162"/>
      <c r="AI659" s="162"/>
      <c r="AJ659" s="162"/>
      <c r="AK659" s="162"/>
      <c r="BS659" s="131"/>
      <c r="BT659" s="131"/>
      <c r="BU659" s="131"/>
      <c r="BV659" s="131"/>
      <c r="BW659" s="131"/>
      <c r="BX659" s="131"/>
      <c r="BY659" s="131"/>
      <c r="BZ659" s="131"/>
      <c r="CA659" s="131"/>
      <c r="CB659" s="131"/>
      <c r="CC659" s="131"/>
      <c r="CD659" s="131"/>
      <c r="CE659" s="131"/>
    </row>
    <row r="660" ht="18.75" customHeight="1">
      <c r="C660" s="64"/>
      <c r="E660" s="64"/>
      <c r="F660" s="64"/>
      <c r="G660" s="64"/>
      <c r="AH660" s="162"/>
      <c r="AI660" s="162"/>
      <c r="AJ660" s="162"/>
      <c r="AK660" s="162"/>
      <c r="BS660" s="131"/>
      <c r="BT660" s="131"/>
      <c r="BU660" s="131"/>
      <c r="BV660" s="131"/>
      <c r="BW660" s="131"/>
      <c r="BX660" s="131"/>
      <c r="BY660" s="131"/>
      <c r="BZ660" s="131"/>
      <c r="CA660" s="131"/>
      <c r="CB660" s="131"/>
      <c r="CC660" s="131"/>
      <c r="CD660" s="131"/>
      <c r="CE660" s="131"/>
    </row>
    <row r="661" ht="18.75" customHeight="1">
      <c r="C661" s="64"/>
      <c r="E661" s="64"/>
      <c r="F661" s="64"/>
      <c r="G661" s="64"/>
      <c r="AH661" s="162"/>
      <c r="AI661" s="162"/>
      <c r="AJ661" s="162"/>
      <c r="AK661" s="162"/>
      <c r="BS661" s="131"/>
      <c r="BT661" s="131"/>
      <c r="BU661" s="131"/>
      <c r="BV661" s="131"/>
      <c r="BW661" s="131"/>
      <c r="BX661" s="131"/>
      <c r="BY661" s="131"/>
      <c r="BZ661" s="131"/>
      <c r="CA661" s="131"/>
      <c r="CB661" s="131"/>
      <c r="CC661" s="131"/>
      <c r="CD661" s="131"/>
      <c r="CE661" s="131"/>
    </row>
    <row r="662" ht="18.75" customHeight="1">
      <c r="C662" s="64"/>
      <c r="E662" s="64"/>
      <c r="F662" s="64"/>
      <c r="G662" s="64"/>
      <c r="AH662" s="162"/>
      <c r="AI662" s="162"/>
      <c r="AJ662" s="162"/>
      <c r="AK662" s="162"/>
      <c r="BS662" s="131"/>
      <c r="BT662" s="131"/>
      <c r="BU662" s="131"/>
      <c r="BV662" s="131"/>
      <c r="BW662" s="131"/>
      <c r="BX662" s="131"/>
      <c r="BY662" s="131"/>
      <c r="BZ662" s="131"/>
      <c r="CA662" s="131"/>
      <c r="CB662" s="131"/>
      <c r="CC662" s="131"/>
      <c r="CD662" s="131"/>
      <c r="CE662" s="131"/>
    </row>
    <row r="663" ht="18.75" customHeight="1">
      <c r="C663" s="64"/>
      <c r="E663" s="64"/>
      <c r="F663" s="64"/>
      <c r="G663" s="64"/>
      <c r="AH663" s="162"/>
      <c r="AI663" s="162"/>
      <c r="AJ663" s="162"/>
      <c r="AK663" s="162"/>
      <c r="BS663" s="131"/>
      <c r="BT663" s="131"/>
      <c r="BU663" s="131"/>
      <c r="BV663" s="131"/>
      <c r="BW663" s="131"/>
      <c r="BX663" s="131"/>
      <c r="BY663" s="131"/>
      <c r="BZ663" s="131"/>
      <c r="CA663" s="131"/>
      <c r="CB663" s="131"/>
      <c r="CC663" s="131"/>
      <c r="CD663" s="131"/>
      <c r="CE663" s="131"/>
    </row>
    <row r="664" ht="18.75" customHeight="1">
      <c r="C664" s="64"/>
      <c r="E664" s="64"/>
      <c r="F664" s="64"/>
      <c r="G664" s="64"/>
      <c r="AH664" s="162"/>
      <c r="AI664" s="162"/>
      <c r="AJ664" s="162"/>
      <c r="AK664" s="162"/>
      <c r="BS664" s="131"/>
      <c r="BT664" s="131"/>
      <c r="BU664" s="131"/>
      <c r="BV664" s="131"/>
      <c r="BW664" s="131"/>
      <c r="BX664" s="131"/>
      <c r="BY664" s="131"/>
      <c r="BZ664" s="131"/>
      <c r="CA664" s="131"/>
      <c r="CB664" s="131"/>
      <c r="CC664" s="131"/>
      <c r="CD664" s="131"/>
      <c r="CE664" s="131"/>
    </row>
    <row r="665" ht="18.75" customHeight="1">
      <c r="C665" s="64"/>
      <c r="E665" s="64"/>
      <c r="F665" s="64"/>
      <c r="G665" s="64"/>
      <c r="AH665" s="162"/>
      <c r="AI665" s="162"/>
      <c r="AJ665" s="162"/>
      <c r="AK665" s="162"/>
      <c r="BS665" s="131"/>
      <c r="BT665" s="131"/>
      <c r="BU665" s="131"/>
      <c r="BV665" s="131"/>
      <c r="BW665" s="131"/>
      <c r="BX665" s="131"/>
      <c r="BY665" s="131"/>
      <c r="BZ665" s="131"/>
      <c r="CA665" s="131"/>
      <c r="CB665" s="131"/>
      <c r="CC665" s="131"/>
      <c r="CD665" s="131"/>
      <c r="CE665" s="131"/>
    </row>
    <row r="666" ht="18.75" customHeight="1">
      <c r="C666" s="64"/>
      <c r="E666" s="64"/>
      <c r="F666" s="64"/>
      <c r="G666" s="64"/>
      <c r="AH666" s="162"/>
      <c r="AI666" s="162"/>
      <c r="AJ666" s="162"/>
      <c r="AK666" s="162"/>
      <c r="BS666" s="131"/>
      <c r="BT666" s="131"/>
      <c r="BU666" s="131"/>
      <c r="BV666" s="131"/>
      <c r="BW666" s="131"/>
      <c r="BX666" s="131"/>
      <c r="BY666" s="131"/>
      <c r="BZ666" s="131"/>
      <c r="CA666" s="131"/>
      <c r="CB666" s="131"/>
      <c r="CC666" s="131"/>
      <c r="CD666" s="131"/>
      <c r="CE666" s="131"/>
    </row>
    <row r="667" ht="18.75" customHeight="1">
      <c r="C667" s="64"/>
      <c r="E667" s="64"/>
      <c r="F667" s="64"/>
      <c r="G667" s="64"/>
      <c r="AH667" s="162"/>
      <c r="AI667" s="162"/>
      <c r="AJ667" s="162"/>
      <c r="AK667" s="162"/>
      <c r="BS667" s="131"/>
      <c r="BT667" s="131"/>
      <c r="BU667" s="131"/>
      <c r="BV667" s="131"/>
      <c r="BW667" s="131"/>
      <c r="BX667" s="131"/>
      <c r="BY667" s="131"/>
      <c r="BZ667" s="131"/>
      <c r="CA667" s="131"/>
      <c r="CB667" s="131"/>
      <c r="CC667" s="131"/>
      <c r="CD667" s="131"/>
      <c r="CE667" s="131"/>
    </row>
    <row r="668" ht="18.75" customHeight="1">
      <c r="C668" s="64"/>
      <c r="E668" s="64"/>
      <c r="F668" s="64"/>
      <c r="G668" s="64"/>
      <c r="AH668" s="162"/>
      <c r="AI668" s="162"/>
      <c r="AJ668" s="162"/>
      <c r="AK668" s="162"/>
      <c r="BS668" s="131"/>
      <c r="BT668" s="131"/>
      <c r="BU668" s="131"/>
      <c r="BV668" s="131"/>
      <c r="BW668" s="131"/>
      <c r="BX668" s="131"/>
      <c r="BY668" s="131"/>
      <c r="BZ668" s="131"/>
      <c r="CA668" s="131"/>
      <c r="CB668" s="131"/>
      <c r="CC668" s="131"/>
      <c r="CD668" s="131"/>
      <c r="CE668" s="131"/>
    </row>
    <row r="669" ht="18.75" customHeight="1">
      <c r="C669" s="64"/>
      <c r="E669" s="64"/>
      <c r="F669" s="64"/>
      <c r="G669" s="64"/>
      <c r="AH669" s="162"/>
      <c r="AI669" s="162"/>
      <c r="AJ669" s="162"/>
      <c r="AK669" s="162"/>
      <c r="BS669" s="131"/>
      <c r="BT669" s="131"/>
      <c r="BU669" s="131"/>
      <c r="BV669" s="131"/>
      <c r="BW669" s="131"/>
      <c r="BX669" s="131"/>
      <c r="BY669" s="131"/>
      <c r="BZ669" s="131"/>
      <c r="CA669" s="131"/>
      <c r="CB669" s="131"/>
      <c r="CC669" s="131"/>
      <c r="CD669" s="131"/>
      <c r="CE669" s="131"/>
    </row>
    <row r="670" ht="18.75" customHeight="1">
      <c r="C670" s="64"/>
      <c r="E670" s="64"/>
      <c r="F670" s="64"/>
      <c r="G670" s="64"/>
      <c r="AH670" s="162"/>
      <c r="AI670" s="162"/>
      <c r="AJ670" s="162"/>
      <c r="AK670" s="162"/>
      <c r="BS670" s="131"/>
      <c r="BT670" s="131"/>
      <c r="BU670" s="131"/>
      <c r="BV670" s="131"/>
      <c r="BW670" s="131"/>
      <c r="BX670" s="131"/>
      <c r="BY670" s="131"/>
      <c r="BZ670" s="131"/>
      <c r="CA670" s="131"/>
      <c r="CB670" s="131"/>
      <c r="CC670" s="131"/>
      <c r="CD670" s="131"/>
      <c r="CE670" s="131"/>
    </row>
    <row r="671" ht="18.75" customHeight="1">
      <c r="C671" s="64"/>
      <c r="E671" s="64"/>
      <c r="F671" s="64"/>
      <c r="G671" s="64"/>
      <c r="AH671" s="162"/>
      <c r="AI671" s="162"/>
      <c r="AJ671" s="162"/>
      <c r="AK671" s="162"/>
      <c r="BS671" s="131"/>
      <c r="BT671" s="131"/>
      <c r="BU671" s="131"/>
      <c r="BV671" s="131"/>
      <c r="BW671" s="131"/>
      <c r="BX671" s="131"/>
      <c r="BY671" s="131"/>
      <c r="BZ671" s="131"/>
      <c r="CA671" s="131"/>
      <c r="CB671" s="131"/>
      <c r="CC671" s="131"/>
      <c r="CD671" s="131"/>
      <c r="CE671" s="131"/>
    </row>
    <row r="672" ht="18.75" customHeight="1">
      <c r="C672" s="64"/>
      <c r="E672" s="64"/>
      <c r="F672" s="64"/>
      <c r="G672" s="64"/>
      <c r="AH672" s="162"/>
      <c r="AI672" s="162"/>
      <c r="AJ672" s="162"/>
      <c r="AK672" s="162"/>
      <c r="BS672" s="131"/>
      <c r="BT672" s="131"/>
      <c r="BU672" s="131"/>
      <c r="BV672" s="131"/>
      <c r="BW672" s="131"/>
      <c r="BX672" s="131"/>
      <c r="BY672" s="131"/>
      <c r="BZ672" s="131"/>
      <c r="CA672" s="131"/>
      <c r="CB672" s="131"/>
      <c r="CC672" s="131"/>
      <c r="CD672" s="131"/>
      <c r="CE672" s="131"/>
    </row>
    <row r="673" ht="18.75" customHeight="1">
      <c r="C673" s="64"/>
      <c r="E673" s="64"/>
      <c r="F673" s="64"/>
      <c r="G673" s="64"/>
      <c r="AH673" s="162"/>
      <c r="AI673" s="162"/>
      <c r="AJ673" s="162"/>
      <c r="AK673" s="162"/>
      <c r="BS673" s="131"/>
      <c r="BT673" s="131"/>
      <c r="BU673" s="131"/>
      <c r="BV673" s="131"/>
      <c r="BW673" s="131"/>
      <c r="BX673" s="131"/>
      <c r="BY673" s="131"/>
      <c r="BZ673" s="131"/>
      <c r="CA673" s="131"/>
      <c r="CB673" s="131"/>
      <c r="CC673" s="131"/>
      <c r="CD673" s="131"/>
      <c r="CE673" s="131"/>
    </row>
    <row r="674" ht="18.75" customHeight="1">
      <c r="C674" s="64"/>
      <c r="E674" s="64"/>
      <c r="F674" s="64"/>
      <c r="G674" s="64"/>
      <c r="AH674" s="162"/>
      <c r="AI674" s="162"/>
      <c r="AJ674" s="162"/>
      <c r="AK674" s="162"/>
      <c r="BS674" s="131"/>
      <c r="BT674" s="131"/>
      <c r="BU674" s="131"/>
      <c r="BV674" s="131"/>
      <c r="BW674" s="131"/>
      <c r="BX674" s="131"/>
      <c r="BY674" s="131"/>
      <c r="BZ674" s="131"/>
      <c r="CA674" s="131"/>
      <c r="CB674" s="131"/>
      <c r="CC674" s="131"/>
      <c r="CD674" s="131"/>
      <c r="CE674" s="131"/>
    </row>
    <row r="675" ht="18.75" customHeight="1">
      <c r="C675" s="64"/>
      <c r="E675" s="64"/>
      <c r="F675" s="64"/>
      <c r="G675" s="64"/>
      <c r="AH675" s="162"/>
      <c r="AI675" s="162"/>
      <c r="AJ675" s="162"/>
      <c r="AK675" s="162"/>
      <c r="BS675" s="131"/>
      <c r="BT675" s="131"/>
      <c r="BU675" s="131"/>
      <c r="BV675" s="131"/>
      <c r="BW675" s="131"/>
      <c r="BX675" s="131"/>
      <c r="BY675" s="131"/>
      <c r="BZ675" s="131"/>
      <c r="CA675" s="131"/>
      <c r="CB675" s="131"/>
      <c r="CC675" s="131"/>
      <c r="CD675" s="131"/>
      <c r="CE675" s="131"/>
    </row>
    <row r="676" ht="18.75" customHeight="1">
      <c r="C676" s="64"/>
      <c r="E676" s="64"/>
      <c r="F676" s="64"/>
      <c r="G676" s="64"/>
      <c r="AH676" s="162"/>
      <c r="AI676" s="162"/>
      <c r="AJ676" s="162"/>
      <c r="AK676" s="162"/>
      <c r="BS676" s="131"/>
      <c r="BT676" s="131"/>
      <c r="BU676" s="131"/>
      <c r="BV676" s="131"/>
      <c r="BW676" s="131"/>
      <c r="BX676" s="131"/>
      <c r="BY676" s="131"/>
      <c r="BZ676" s="131"/>
      <c r="CA676" s="131"/>
      <c r="CB676" s="131"/>
      <c r="CC676" s="131"/>
      <c r="CD676" s="131"/>
      <c r="CE676" s="131"/>
    </row>
    <row r="677" ht="18.75" customHeight="1">
      <c r="C677" s="64"/>
      <c r="E677" s="64"/>
      <c r="F677" s="64"/>
      <c r="G677" s="64"/>
      <c r="AH677" s="162"/>
      <c r="AI677" s="162"/>
      <c r="AJ677" s="162"/>
      <c r="AK677" s="162"/>
      <c r="BS677" s="131"/>
      <c r="BT677" s="131"/>
      <c r="BU677" s="131"/>
      <c r="BV677" s="131"/>
      <c r="BW677" s="131"/>
      <c r="BX677" s="131"/>
      <c r="BY677" s="131"/>
      <c r="BZ677" s="131"/>
      <c r="CA677" s="131"/>
      <c r="CB677" s="131"/>
      <c r="CC677" s="131"/>
      <c r="CD677" s="131"/>
      <c r="CE677" s="131"/>
    </row>
    <row r="678" ht="18.75" customHeight="1">
      <c r="C678" s="64"/>
      <c r="E678" s="64"/>
      <c r="F678" s="64"/>
      <c r="G678" s="64"/>
      <c r="AH678" s="162"/>
      <c r="AI678" s="162"/>
      <c r="AJ678" s="162"/>
      <c r="AK678" s="162"/>
      <c r="BS678" s="131"/>
      <c r="BT678" s="131"/>
      <c r="BU678" s="131"/>
      <c r="BV678" s="131"/>
      <c r="BW678" s="131"/>
      <c r="BX678" s="131"/>
      <c r="BY678" s="131"/>
      <c r="BZ678" s="131"/>
      <c r="CA678" s="131"/>
      <c r="CB678" s="131"/>
      <c r="CC678" s="131"/>
      <c r="CD678" s="131"/>
      <c r="CE678" s="131"/>
    </row>
    <row r="679" ht="18.75" customHeight="1">
      <c r="C679" s="64"/>
      <c r="E679" s="64"/>
      <c r="F679" s="64"/>
      <c r="G679" s="64"/>
      <c r="AH679" s="162"/>
      <c r="AI679" s="162"/>
      <c r="AJ679" s="162"/>
      <c r="AK679" s="162"/>
      <c r="BS679" s="131"/>
      <c r="BT679" s="131"/>
      <c r="BU679" s="131"/>
      <c r="BV679" s="131"/>
      <c r="BW679" s="131"/>
      <c r="BX679" s="131"/>
      <c r="BY679" s="131"/>
      <c r="BZ679" s="131"/>
      <c r="CA679" s="131"/>
      <c r="CB679" s="131"/>
      <c r="CC679" s="131"/>
      <c r="CD679" s="131"/>
      <c r="CE679" s="131"/>
    </row>
    <row r="680" ht="18.75" customHeight="1">
      <c r="C680" s="64"/>
      <c r="E680" s="64"/>
      <c r="F680" s="64"/>
      <c r="G680" s="64"/>
      <c r="AH680" s="162"/>
      <c r="AI680" s="162"/>
      <c r="AJ680" s="162"/>
      <c r="AK680" s="162"/>
      <c r="BS680" s="131"/>
      <c r="BT680" s="131"/>
      <c r="BU680" s="131"/>
      <c r="BV680" s="131"/>
      <c r="BW680" s="131"/>
      <c r="BX680" s="131"/>
      <c r="BY680" s="131"/>
      <c r="BZ680" s="131"/>
      <c r="CA680" s="131"/>
      <c r="CB680" s="131"/>
      <c r="CC680" s="131"/>
      <c r="CD680" s="131"/>
      <c r="CE680" s="131"/>
    </row>
    <row r="681" ht="18.75" customHeight="1">
      <c r="C681" s="64"/>
      <c r="E681" s="64"/>
      <c r="F681" s="64"/>
      <c r="G681" s="64"/>
      <c r="AH681" s="162"/>
      <c r="AI681" s="162"/>
      <c r="AJ681" s="162"/>
      <c r="AK681" s="162"/>
      <c r="BS681" s="131"/>
      <c r="BT681" s="131"/>
      <c r="BU681" s="131"/>
      <c r="BV681" s="131"/>
      <c r="BW681" s="131"/>
      <c r="BX681" s="131"/>
      <c r="BY681" s="131"/>
      <c r="BZ681" s="131"/>
      <c r="CA681" s="131"/>
      <c r="CB681" s="131"/>
      <c r="CC681" s="131"/>
      <c r="CD681" s="131"/>
      <c r="CE681" s="131"/>
    </row>
    <row r="682" ht="18.75" customHeight="1">
      <c r="C682" s="64"/>
      <c r="E682" s="64"/>
      <c r="F682" s="64"/>
      <c r="G682" s="64"/>
      <c r="AH682" s="162"/>
      <c r="AI682" s="162"/>
      <c r="AJ682" s="162"/>
      <c r="AK682" s="162"/>
      <c r="BS682" s="131"/>
      <c r="BT682" s="131"/>
      <c r="BU682" s="131"/>
      <c r="BV682" s="131"/>
      <c r="BW682" s="131"/>
      <c r="BX682" s="131"/>
      <c r="BY682" s="131"/>
      <c r="BZ682" s="131"/>
      <c r="CA682" s="131"/>
      <c r="CB682" s="131"/>
      <c r="CC682" s="131"/>
      <c r="CD682" s="131"/>
      <c r="CE682" s="131"/>
    </row>
    <row r="683" ht="18.75" customHeight="1">
      <c r="C683" s="64"/>
      <c r="E683" s="64"/>
      <c r="F683" s="64"/>
      <c r="G683" s="64"/>
      <c r="AH683" s="162"/>
      <c r="AI683" s="162"/>
      <c r="AJ683" s="162"/>
      <c r="AK683" s="162"/>
      <c r="BS683" s="131"/>
      <c r="BT683" s="131"/>
      <c r="BU683" s="131"/>
      <c r="BV683" s="131"/>
      <c r="BW683" s="131"/>
      <c r="BX683" s="131"/>
      <c r="BY683" s="131"/>
      <c r="BZ683" s="131"/>
      <c r="CA683" s="131"/>
      <c r="CB683" s="131"/>
      <c r="CC683" s="131"/>
      <c r="CD683" s="131"/>
      <c r="CE683" s="131"/>
    </row>
    <row r="684" ht="18.75" customHeight="1">
      <c r="C684" s="64"/>
      <c r="E684" s="64"/>
      <c r="F684" s="64"/>
      <c r="G684" s="64"/>
      <c r="AH684" s="162"/>
      <c r="AI684" s="162"/>
      <c r="AJ684" s="162"/>
      <c r="AK684" s="162"/>
      <c r="BS684" s="131"/>
      <c r="BT684" s="131"/>
      <c r="BU684" s="131"/>
      <c r="BV684" s="131"/>
      <c r="BW684" s="131"/>
      <c r="BX684" s="131"/>
      <c r="BY684" s="131"/>
      <c r="BZ684" s="131"/>
      <c r="CA684" s="131"/>
      <c r="CB684" s="131"/>
      <c r="CC684" s="131"/>
      <c r="CD684" s="131"/>
      <c r="CE684" s="131"/>
    </row>
    <row r="685" ht="18.75" customHeight="1">
      <c r="C685" s="64"/>
      <c r="E685" s="64"/>
      <c r="F685" s="64"/>
      <c r="G685" s="64"/>
      <c r="AH685" s="162"/>
      <c r="AI685" s="162"/>
      <c r="AJ685" s="162"/>
      <c r="AK685" s="162"/>
      <c r="BS685" s="131"/>
      <c r="BT685" s="131"/>
      <c r="BU685" s="131"/>
      <c r="BV685" s="131"/>
      <c r="BW685" s="131"/>
      <c r="BX685" s="131"/>
      <c r="BY685" s="131"/>
      <c r="BZ685" s="131"/>
      <c r="CA685" s="131"/>
      <c r="CB685" s="131"/>
      <c r="CC685" s="131"/>
      <c r="CD685" s="131"/>
      <c r="CE685" s="131"/>
    </row>
    <row r="686" ht="18.75" customHeight="1">
      <c r="C686" s="64"/>
      <c r="E686" s="64"/>
      <c r="F686" s="64"/>
      <c r="G686" s="64"/>
      <c r="AH686" s="162"/>
      <c r="AI686" s="162"/>
      <c r="AJ686" s="162"/>
      <c r="AK686" s="162"/>
      <c r="BS686" s="131"/>
      <c r="BT686" s="131"/>
      <c r="BU686" s="131"/>
      <c r="BV686" s="131"/>
      <c r="BW686" s="131"/>
      <c r="BX686" s="131"/>
      <c r="BY686" s="131"/>
      <c r="BZ686" s="131"/>
      <c r="CA686" s="131"/>
      <c r="CB686" s="131"/>
      <c r="CC686" s="131"/>
      <c r="CD686" s="131"/>
      <c r="CE686" s="131"/>
    </row>
    <row r="687" ht="18.75" customHeight="1">
      <c r="C687" s="64"/>
      <c r="E687" s="64"/>
      <c r="F687" s="64"/>
      <c r="G687" s="64"/>
      <c r="AH687" s="162"/>
      <c r="AI687" s="162"/>
      <c r="AJ687" s="162"/>
      <c r="AK687" s="162"/>
      <c r="BS687" s="131"/>
      <c r="BT687" s="131"/>
      <c r="BU687" s="131"/>
      <c r="BV687" s="131"/>
      <c r="BW687" s="131"/>
      <c r="BX687" s="131"/>
      <c r="BY687" s="131"/>
      <c r="BZ687" s="131"/>
      <c r="CA687" s="131"/>
      <c r="CB687" s="131"/>
      <c r="CC687" s="131"/>
      <c r="CD687" s="131"/>
      <c r="CE687" s="131"/>
    </row>
    <row r="688" ht="18.75" customHeight="1">
      <c r="C688" s="64"/>
      <c r="E688" s="64"/>
      <c r="F688" s="64"/>
      <c r="G688" s="64"/>
      <c r="AH688" s="162"/>
      <c r="AI688" s="162"/>
      <c r="AJ688" s="162"/>
      <c r="AK688" s="162"/>
      <c r="BS688" s="131"/>
      <c r="BT688" s="131"/>
      <c r="BU688" s="131"/>
      <c r="BV688" s="131"/>
      <c r="BW688" s="131"/>
      <c r="BX688" s="131"/>
      <c r="BY688" s="131"/>
      <c r="BZ688" s="131"/>
      <c r="CA688" s="131"/>
      <c r="CB688" s="131"/>
      <c r="CC688" s="131"/>
      <c r="CD688" s="131"/>
      <c r="CE688" s="131"/>
    </row>
    <row r="689" ht="18.75" customHeight="1">
      <c r="C689" s="64"/>
      <c r="E689" s="64"/>
      <c r="F689" s="64"/>
      <c r="G689" s="64"/>
      <c r="AH689" s="162"/>
      <c r="AI689" s="162"/>
      <c r="AJ689" s="162"/>
      <c r="AK689" s="162"/>
      <c r="BS689" s="131"/>
      <c r="BT689" s="131"/>
      <c r="BU689" s="131"/>
      <c r="BV689" s="131"/>
      <c r="BW689" s="131"/>
      <c r="BX689" s="131"/>
      <c r="BY689" s="131"/>
      <c r="BZ689" s="131"/>
      <c r="CA689" s="131"/>
      <c r="CB689" s="131"/>
      <c r="CC689" s="131"/>
      <c r="CD689" s="131"/>
      <c r="CE689" s="131"/>
    </row>
    <row r="690" ht="18.75" customHeight="1">
      <c r="C690" s="64"/>
      <c r="E690" s="64"/>
      <c r="F690" s="64"/>
      <c r="G690" s="64"/>
      <c r="AH690" s="162"/>
      <c r="AI690" s="162"/>
      <c r="AJ690" s="162"/>
      <c r="AK690" s="162"/>
      <c r="BS690" s="131"/>
      <c r="BT690" s="131"/>
      <c r="BU690" s="131"/>
      <c r="BV690" s="131"/>
      <c r="BW690" s="131"/>
      <c r="BX690" s="131"/>
      <c r="BY690" s="131"/>
      <c r="BZ690" s="131"/>
      <c r="CA690" s="131"/>
      <c r="CB690" s="131"/>
      <c r="CC690" s="131"/>
      <c r="CD690" s="131"/>
      <c r="CE690" s="131"/>
    </row>
    <row r="691" ht="18.75" customHeight="1">
      <c r="C691" s="64"/>
      <c r="E691" s="64"/>
      <c r="F691" s="64"/>
      <c r="G691" s="64"/>
      <c r="AH691" s="162"/>
      <c r="AI691" s="162"/>
      <c r="AJ691" s="162"/>
      <c r="AK691" s="162"/>
      <c r="BS691" s="131"/>
      <c r="BT691" s="131"/>
      <c r="BU691" s="131"/>
      <c r="BV691" s="131"/>
      <c r="BW691" s="131"/>
      <c r="BX691" s="131"/>
      <c r="BY691" s="131"/>
      <c r="BZ691" s="131"/>
      <c r="CA691" s="131"/>
      <c r="CB691" s="131"/>
      <c r="CC691" s="131"/>
      <c r="CD691" s="131"/>
      <c r="CE691" s="131"/>
    </row>
    <row r="692" ht="18.75" customHeight="1">
      <c r="C692" s="64"/>
      <c r="E692" s="64"/>
      <c r="F692" s="64"/>
      <c r="G692" s="64"/>
      <c r="AH692" s="162"/>
      <c r="AI692" s="162"/>
      <c r="AJ692" s="162"/>
      <c r="AK692" s="162"/>
      <c r="BS692" s="131"/>
      <c r="BT692" s="131"/>
      <c r="BU692" s="131"/>
      <c r="BV692" s="131"/>
      <c r="BW692" s="131"/>
      <c r="BX692" s="131"/>
      <c r="BY692" s="131"/>
      <c r="BZ692" s="131"/>
      <c r="CA692" s="131"/>
      <c r="CB692" s="131"/>
      <c r="CC692" s="131"/>
      <c r="CD692" s="131"/>
      <c r="CE692" s="131"/>
    </row>
    <row r="693" ht="18.75" customHeight="1">
      <c r="C693" s="64"/>
      <c r="E693" s="64"/>
      <c r="F693" s="64"/>
      <c r="G693" s="64"/>
      <c r="AH693" s="162"/>
      <c r="AI693" s="162"/>
      <c r="AJ693" s="162"/>
      <c r="AK693" s="162"/>
      <c r="BS693" s="131"/>
      <c r="BT693" s="131"/>
      <c r="BU693" s="131"/>
      <c r="BV693" s="131"/>
      <c r="BW693" s="131"/>
      <c r="BX693" s="131"/>
      <c r="BY693" s="131"/>
      <c r="BZ693" s="131"/>
      <c r="CA693" s="131"/>
      <c r="CB693" s="131"/>
      <c r="CC693" s="131"/>
      <c r="CD693" s="131"/>
      <c r="CE693" s="131"/>
    </row>
    <row r="694" ht="18.75" customHeight="1">
      <c r="C694" s="64"/>
      <c r="E694" s="64"/>
      <c r="F694" s="64"/>
      <c r="G694" s="64"/>
      <c r="AH694" s="162"/>
      <c r="AI694" s="162"/>
      <c r="AJ694" s="162"/>
      <c r="AK694" s="162"/>
      <c r="BS694" s="131"/>
      <c r="BT694" s="131"/>
      <c r="BU694" s="131"/>
      <c r="BV694" s="131"/>
      <c r="BW694" s="131"/>
      <c r="BX694" s="131"/>
      <c r="BY694" s="131"/>
      <c r="BZ694" s="131"/>
      <c r="CA694" s="131"/>
      <c r="CB694" s="131"/>
      <c r="CC694" s="131"/>
      <c r="CD694" s="131"/>
      <c r="CE694" s="131"/>
    </row>
    <row r="695" ht="18.75" customHeight="1">
      <c r="C695" s="64"/>
      <c r="E695" s="64"/>
      <c r="F695" s="64"/>
      <c r="G695" s="64"/>
      <c r="AH695" s="162"/>
      <c r="AI695" s="162"/>
      <c r="AJ695" s="162"/>
      <c r="AK695" s="162"/>
      <c r="BS695" s="131"/>
      <c r="BT695" s="131"/>
      <c r="BU695" s="131"/>
      <c r="BV695" s="131"/>
      <c r="BW695" s="131"/>
      <c r="BX695" s="131"/>
      <c r="BY695" s="131"/>
      <c r="BZ695" s="131"/>
      <c r="CA695" s="131"/>
      <c r="CB695" s="131"/>
      <c r="CC695" s="131"/>
      <c r="CD695" s="131"/>
      <c r="CE695" s="131"/>
    </row>
    <row r="696" ht="18.75" customHeight="1">
      <c r="C696" s="64"/>
      <c r="E696" s="64"/>
      <c r="F696" s="64"/>
      <c r="G696" s="64"/>
      <c r="AH696" s="162"/>
      <c r="AI696" s="162"/>
      <c r="AJ696" s="162"/>
      <c r="AK696" s="162"/>
      <c r="BS696" s="131"/>
      <c r="BT696" s="131"/>
      <c r="BU696" s="131"/>
      <c r="BV696" s="131"/>
      <c r="BW696" s="131"/>
      <c r="BX696" s="131"/>
      <c r="BY696" s="131"/>
      <c r="BZ696" s="131"/>
      <c r="CA696" s="131"/>
      <c r="CB696" s="131"/>
      <c r="CC696" s="131"/>
      <c r="CD696" s="131"/>
      <c r="CE696" s="131"/>
    </row>
    <row r="697" ht="18.75" customHeight="1">
      <c r="C697" s="64"/>
      <c r="E697" s="64"/>
      <c r="F697" s="64"/>
      <c r="G697" s="64"/>
      <c r="AH697" s="162"/>
      <c r="AI697" s="162"/>
      <c r="AJ697" s="162"/>
      <c r="AK697" s="162"/>
      <c r="BS697" s="131"/>
      <c r="BT697" s="131"/>
      <c r="BU697" s="131"/>
      <c r="BV697" s="131"/>
      <c r="BW697" s="131"/>
      <c r="BX697" s="131"/>
      <c r="BY697" s="131"/>
      <c r="BZ697" s="131"/>
      <c r="CA697" s="131"/>
      <c r="CB697" s="131"/>
      <c r="CC697" s="131"/>
      <c r="CD697" s="131"/>
      <c r="CE697" s="131"/>
    </row>
    <row r="698" ht="18.75" customHeight="1">
      <c r="C698" s="64"/>
      <c r="E698" s="64"/>
      <c r="F698" s="64"/>
      <c r="G698" s="64"/>
      <c r="AH698" s="162"/>
      <c r="AI698" s="162"/>
      <c r="AJ698" s="162"/>
      <c r="AK698" s="162"/>
      <c r="BS698" s="131"/>
      <c r="BT698" s="131"/>
      <c r="BU698" s="131"/>
      <c r="BV698" s="131"/>
      <c r="BW698" s="131"/>
      <c r="BX698" s="131"/>
      <c r="BY698" s="131"/>
      <c r="BZ698" s="131"/>
      <c r="CA698" s="131"/>
      <c r="CB698" s="131"/>
      <c r="CC698" s="131"/>
      <c r="CD698" s="131"/>
      <c r="CE698" s="131"/>
    </row>
    <row r="699" ht="18.75" customHeight="1">
      <c r="C699" s="64"/>
      <c r="E699" s="64"/>
      <c r="F699" s="64"/>
      <c r="G699" s="64"/>
      <c r="AH699" s="162"/>
      <c r="AI699" s="162"/>
      <c r="AJ699" s="162"/>
      <c r="AK699" s="162"/>
      <c r="BS699" s="131"/>
      <c r="BT699" s="131"/>
      <c r="BU699" s="131"/>
      <c r="BV699" s="131"/>
      <c r="BW699" s="131"/>
      <c r="BX699" s="131"/>
      <c r="BY699" s="131"/>
      <c r="BZ699" s="131"/>
      <c r="CA699" s="131"/>
      <c r="CB699" s="131"/>
      <c r="CC699" s="131"/>
      <c r="CD699" s="131"/>
      <c r="CE699" s="131"/>
    </row>
    <row r="700" ht="18.75" customHeight="1">
      <c r="C700" s="64"/>
      <c r="E700" s="64"/>
      <c r="F700" s="64"/>
      <c r="G700" s="64"/>
      <c r="AH700" s="162"/>
      <c r="AI700" s="162"/>
      <c r="AJ700" s="162"/>
      <c r="AK700" s="162"/>
      <c r="BS700" s="131"/>
      <c r="BT700" s="131"/>
      <c r="BU700" s="131"/>
      <c r="BV700" s="131"/>
      <c r="BW700" s="131"/>
      <c r="BX700" s="131"/>
      <c r="BY700" s="131"/>
      <c r="BZ700" s="131"/>
      <c r="CA700" s="131"/>
      <c r="CB700" s="131"/>
      <c r="CC700" s="131"/>
      <c r="CD700" s="131"/>
      <c r="CE700" s="131"/>
    </row>
    <row r="701" ht="18.75" customHeight="1">
      <c r="C701" s="64"/>
      <c r="E701" s="64"/>
      <c r="F701" s="64"/>
      <c r="G701" s="64"/>
      <c r="AH701" s="162"/>
      <c r="AI701" s="162"/>
      <c r="AJ701" s="162"/>
      <c r="AK701" s="162"/>
      <c r="BS701" s="131"/>
      <c r="BT701" s="131"/>
      <c r="BU701" s="131"/>
      <c r="BV701" s="131"/>
      <c r="BW701" s="131"/>
      <c r="BX701" s="131"/>
      <c r="BY701" s="131"/>
      <c r="BZ701" s="131"/>
      <c r="CA701" s="131"/>
      <c r="CB701" s="131"/>
      <c r="CC701" s="131"/>
      <c r="CD701" s="131"/>
      <c r="CE701" s="131"/>
    </row>
    <row r="702" ht="18.75" customHeight="1">
      <c r="C702" s="64"/>
      <c r="E702" s="64"/>
      <c r="F702" s="64"/>
      <c r="G702" s="64"/>
      <c r="AH702" s="162"/>
      <c r="AI702" s="162"/>
      <c r="AJ702" s="162"/>
      <c r="AK702" s="162"/>
      <c r="BS702" s="131"/>
      <c r="BT702" s="131"/>
      <c r="BU702" s="131"/>
      <c r="BV702" s="131"/>
      <c r="BW702" s="131"/>
      <c r="BX702" s="131"/>
      <c r="BY702" s="131"/>
      <c r="BZ702" s="131"/>
      <c r="CA702" s="131"/>
      <c r="CB702" s="131"/>
      <c r="CC702" s="131"/>
      <c r="CD702" s="131"/>
      <c r="CE702" s="131"/>
    </row>
    <row r="703" ht="18.75" customHeight="1">
      <c r="C703" s="64"/>
      <c r="E703" s="64"/>
      <c r="F703" s="64"/>
      <c r="G703" s="64"/>
      <c r="AH703" s="162"/>
      <c r="AI703" s="162"/>
      <c r="AJ703" s="162"/>
      <c r="AK703" s="162"/>
      <c r="BS703" s="131"/>
      <c r="BT703" s="131"/>
      <c r="BU703" s="131"/>
      <c r="BV703" s="131"/>
      <c r="BW703" s="131"/>
      <c r="BX703" s="131"/>
      <c r="BY703" s="131"/>
      <c r="BZ703" s="131"/>
      <c r="CA703" s="131"/>
      <c r="CB703" s="131"/>
      <c r="CC703" s="131"/>
      <c r="CD703" s="131"/>
      <c r="CE703" s="131"/>
    </row>
    <row r="704" ht="18.75" customHeight="1">
      <c r="C704" s="64"/>
      <c r="E704" s="64"/>
      <c r="F704" s="64"/>
      <c r="G704" s="64"/>
      <c r="AH704" s="162"/>
      <c r="AI704" s="162"/>
      <c r="AJ704" s="162"/>
      <c r="AK704" s="162"/>
      <c r="BS704" s="131"/>
      <c r="BT704" s="131"/>
      <c r="BU704" s="131"/>
      <c r="BV704" s="131"/>
      <c r="BW704" s="131"/>
      <c r="BX704" s="131"/>
      <c r="BY704" s="131"/>
      <c r="BZ704" s="131"/>
      <c r="CA704" s="131"/>
      <c r="CB704" s="131"/>
      <c r="CC704" s="131"/>
      <c r="CD704" s="131"/>
      <c r="CE704" s="131"/>
    </row>
    <row r="705" ht="18.75" customHeight="1">
      <c r="C705" s="64"/>
      <c r="E705" s="64"/>
      <c r="F705" s="64"/>
      <c r="G705" s="64"/>
      <c r="AH705" s="162"/>
      <c r="AI705" s="162"/>
      <c r="AJ705" s="162"/>
      <c r="AK705" s="162"/>
      <c r="BS705" s="131"/>
      <c r="BT705" s="131"/>
      <c r="BU705" s="131"/>
      <c r="BV705" s="131"/>
      <c r="BW705" s="131"/>
      <c r="BX705" s="131"/>
      <c r="BY705" s="131"/>
      <c r="BZ705" s="131"/>
      <c r="CA705" s="131"/>
      <c r="CB705" s="131"/>
      <c r="CC705" s="131"/>
      <c r="CD705" s="131"/>
      <c r="CE705" s="131"/>
    </row>
    <row r="706" ht="18.75" customHeight="1">
      <c r="C706" s="64"/>
      <c r="E706" s="64"/>
      <c r="F706" s="64"/>
      <c r="G706" s="64"/>
      <c r="AH706" s="162"/>
      <c r="AI706" s="162"/>
      <c r="AJ706" s="162"/>
      <c r="AK706" s="162"/>
      <c r="BS706" s="131"/>
      <c r="BT706" s="131"/>
      <c r="BU706" s="131"/>
      <c r="BV706" s="131"/>
      <c r="BW706" s="131"/>
      <c r="BX706" s="131"/>
      <c r="BY706" s="131"/>
      <c r="BZ706" s="131"/>
      <c r="CA706" s="131"/>
      <c r="CB706" s="131"/>
      <c r="CC706" s="131"/>
      <c r="CD706" s="131"/>
      <c r="CE706" s="131"/>
    </row>
    <row r="707" ht="18.75" customHeight="1">
      <c r="C707" s="64"/>
      <c r="E707" s="64"/>
      <c r="F707" s="64"/>
      <c r="G707" s="64"/>
      <c r="AH707" s="162"/>
      <c r="AI707" s="162"/>
      <c r="AJ707" s="162"/>
      <c r="AK707" s="162"/>
      <c r="BS707" s="131"/>
      <c r="BT707" s="131"/>
      <c r="BU707" s="131"/>
      <c r="BV707" s="131"/>
      <c r="BW707" s="131"/>
      <c r="BX707" s="131"/>
      <c r="BY707" s="131"/>
      <c r="BZ707" s="131"/>
      <c r="CA707" s="131"/>
      <c r="CB707" s="131"/>
      <c r="CC707" s="131"/>
      <c r="CD707" s="131"/>
      <c r="CE707" s="131"/>
    </row>
    <row r="708" ht="18.75" customHeight="1">
      <c r="C708" s="64"/>
      <c r="E708" s="64"/>
      <c r="F708" s="64"/>
      <c r="G708" s="64"/>
      <c r="AH708" s="162"/>
      <c r="AI708" s="162"/>
      <c r="AJ708" s="162"/>
      <c r="AK708" s="162"/>
      <c r="BS708" s="131"/>
      <c r="BT708" s="131"/>
      <c r="BU708" s="131"/>
      <c r="BV708" s="131"/>
      <c r="BW708" s="131"/>
      <c r="BX708" s="131"/>
      <c r="BY708" s="131"/>
      <c r="BZ708" s="131"/>
      <c r="CA708" s="131"/>
      <c r="CB708" s="131"/>
      <c r="CC708" s="131"/>
      <c r="CD708" s="131"/>
      <c r="CE708" s="131"/>
    </row>
    <row r="709" ht="18.75" customHeight="1">
      <c r="C709" s="64"/>
      <c r="E709" s="64"/>
      <c r="F709" s="64"/>
      <c r="G709" s="64"/>
      <c r="AH709" s="162"/>
      <c r="AI709" s="162"/>
      <c r="AJ709" s="162"/>
      <c r="AK709" s="162"/>
      <c r="BS709" s="131"/>
      <c r="BT709" s="131"/>
      <c r="BU709" s="131"/>
      <c r="BV709" s="131"/>
      <c r="BW709" s="131"/>
      <c r="BX709" s="131"/>
      <c r="BY709" s="131"/>
      <c r="BZ709" s="131"/>
      <c r="CA709" s="131"/>
      <c r="CB709" s="131"/>
      <c r="CC709" s="131"/>
      <c r="CD709" s="131"/>
      <c r="CE709" s="131"/>
    </row>
    <row r="710" ht="18.75" customHeight="1">
      <c r="C710" s="64"/>
      <c r="E710" s="64"/>
      <c r="F710" s="64"/>
      <c r="G710" s="64"/>
      <c r="AH710" s="162"/>
      <c r="AI710" s="162"/>
      <c r="AJ710" s="162"/>
      <c r="AK710" s="162"/>
      <c r="BS710" s="131"/>
      <c r="BT710" s="131"/>
      <c r="BU710" s="131"/>
      <c r="BV710" s="131"/>
      <c r="BW710" s="131"/>
      <c r="BX710" s="131"/>
      <c r="BY710" s="131"/>
      <c r="BZ710" s="131"/>
      <c r="CA710" s="131"/>
      <c r="CB710" s="131"/>
      <c r="CC710" s="131"/>
      <c r="CD710" s="131"/>
      <c r="CE710" s="131"/>
    </row>
    <row r="711" ht="18.75" customHeight="1">
      <c r="C711" s="64"/>
      <c r="E711" s="64"/>
      <c r="F711" s="64"/>
      <c r="G711" s="64"/>
      <c r="AH711" s="162"/>
      <c r="AI711" s="162"/>
      <c r="AJ711" s="162"/>
      <c r="AK711" s="162"/>
      <c r="BS711" s="131"/>
      <c r="BT711" s="131"/>
      <c r="BU711" s="131"/>
      <c r="BV711" s="131"/>
      <c r="BW711" s="131"/>
      <c r="BX711" s="131"/>
      <c r="BY711" s="131"/>
      <c r="BZ711" s="131"/>
      <c r="CA711" s="131"/>
      <c r="CB711" s="131"/>
      <c r="CC711" s="131"/>
      <c r="CD711" s="131"/>
      <c r="CE711" s="131"/>
    </row>
    <row r="712" ht="18.75" customHeight="1">
      <c r="C712" s="64"/>
      <c r="E712" s="64"/>
      <c r="F712" s="64"/>
      <c r="G712" s="64"/>
      <c r="AH712" s="162"/>
      <c r="AI712" s="162"/>
      <c r="AJ712" s="162"/>
      <c r="AK712" s="162"/>
      <c r="BS712" s="131"/>
      <c r="BT712" s="131"/>
      <c r="BU712" s="131"/>
      <c r="BV712" s="131"/>
      <c r="BW712" s="131"/>
      <c r="BX712" s="131"/>
      <c r="BY712" s="131"/>
      <c r="BZ712" s="131"/>
      <c r="CA712" s="131"/>
      <c r="CB712" s="131"/>
      <c r="CC712" s="131"/>
      <c r="CD712" s="131"/>
      <c r="CE712" s="131"/>
    </row>
    <row r="713" ht="18.75" customHeight="1">
      <c r="C713" s="64"/>
      <c r="E713" s="64"/>
      <c r="F713" s="64"/>
      <c r="G713" s="64"/>
      <c r="AH713" s="162"/>
      <c r="AI713" s="162"/>
      <c r="AJ713" s="162"/>
      <c r="AK713" s="162"/>
      <c r="BS713" s="131"/>
      <c r="BT713" s="131"/>
      <c r="BU713" s="131"/>
      <c r="BV713" s="131"/>
      <c r="BW713" s="131"/>
      <c r="BX713" s="131"/>
      <c r="BY713" s="131"/>
      <c r="BZ713" s="131"/>
      <c r="CA713" s="131"/>
      <c r="CB713" s="131"/>
      <c r="CC713" s="131"/>
      <c r="CD713" s="131"/>
      <c r="CE713" s="131"/>
    </row>
    <row r="714" ht="18.75" customHeight="1">
      <c r="C714" s="64"/>
      <c r="E714" s="64"/>
      <c r="F714" s="64"/>
      <c r="G714" s="64"/>
      <c r="AH714" s="162"/>
      <c r="AI714" s="162"/>
      <c r="AJ714" s="162"/>
      <c r="AK714" s="162"/>
      <c r="BS714" s="131"/>
      <c r="BT714" s="131"/>
      <c r="BU714" s="131"/>
      <c r="BV714" s="131"/>
      <c r="BW714" s="131"/>
      <c r="BX714" s="131"/>
      <c r="BY714" s="131"/>
      <c r="BZ714" s="131"/>
      <c r="CA714" s="131"/>
      <c r="CB714" s="131"/>
      <c r="CC714" s="131"/>
      <c r="CD714" s="131"/>
      <c r="CE714" s="131"/>
    </row>
    <row r="715" ht="18.75" customHeight="1">
      <c r="C715" s="64"/>
      <c r="E715" s="64"/>
      <c r="F715" s="64"/>
      <c r="G715" s="64"/>
      <c r="AH715" s="162"/>
      <c r="AI715" s="162"/>
      <c r="AJ715" s="162"/>
      <c r="AK715" s="162"/>
      <c r="BS715" s="131"/>
      <c r="BT715" s="131"/>
      <c r="BU715" s="131"/>
      <c r="BV715" s="131"/>
      <c r="BW715" s="131"/>
      <c r="BX715" s="131"/>
      <c r="BY715" s="131"/>
      <c r="BZ715" s="131"/>
      <c r="CA715" s="131"/>
      <c r="CB715" s="131"/>
      <c r="CC715" s="131"/>
      <c r="CD715" s="131"/>
      <c r="CE715" s="131"/>
    </row>
    <row r="716" ht="18.75" customHeight="1">
      <c r="C716" s="64"/>
      <c r="E716" s="64"/>
      <c r="F716" s="64"/>
      <c r="G716" s="64"/>
      <c r="AH716" s="162"/>
      <c r="AI716" s="162"/>
      <c r="AJ716" s="162"/>
      <c r="AK716" s="162"/>
      <c r="BS716" s="131"/>
      <c r="BT716" s="131"/>
      <c r="BU716" s="131"/>
      <c r="BV716" s="131"/>
      <c r="BW716" s="131"/>
      <c r="BX716" s="131"/>
      <c r="BY716" s="131"/>
      <c r="BZ716" s="131"/>
      <c r="CA716" s="131"/>
      <c r="CB716" s="131"/>
      <c r="CC716" s="131"/>
      <c r="CD716" s="131"/>
      <c r="CE716" s="131"/>
    </row>
    <row r="717" ht="18.75" customHeight="1">
      <c r="C717" s="64"/>
      <c r="E717" s="64"/>
      <c r="F717" s="64"/>
      <c r="G717" s="64"/>
      <c r="AH717" s="162"/>
      <c r="AI717" s="162"/>
      <c r="AJ717" s="162"/>
      <c r="AK717" s="162"/>
      <c r="BS717" s="131"/>
      <c r="BT717" s="131"/>
      <c r="BU717" s="131"/>
      <c r="BV717" s="131"/>
      <c r="BW717" s="131"/>
      <c r="BX717" s="131"/>
      <c r="BY717" s="131"/>
      <c r="BZ717" s="131"/>
      <c r="CA717" s="131"/>
      <c r="CB717" s="131"/>
      <c r="CC717" s="131"/>
      <c r="CD717" s="131"/>
      <c r="CE717" s="131"/>
    </row>
    <row r="718" ht="18.75" customHeight="1">
      <c r="C718" s="64"/>
      <c r="E718" s="64"/>
      <c r="F718" s="64"/>
      <c r="G718" s="64"/>
      <c r="AH718" s="162"/>
      <c r="AI718" s="162"/>
      <c r="AJ718" s="162"/>
      <c r="AK718" s="162"/>
      <c r="BS718" s="131"/>
      <c r="BT718" s="131"/>
      <c r="BU718" s="131"/>
      <c r="BV718" s="131"/>
      <c r="BW718" s="131"/>
      <c r="BX718" s="131"/>
      <c r="BY718" s="131"/>
      <c r="BZ718" s="131"/>
      <c r="CA718" s="131"/>
      <c r="CB718" s="131"/>
      <c r="CC718" s="131"/>
      <c r="CD718" s="131"/>
      <c r="CE718" s="131"/>
    </row>
    <row r="719" ht="18.75" customHeight="1">
      <c r="C719" s="64"/>
      <c r="E719" s="64"/>
      <c r="F719" s="64"/>
      <c r="G719" s="64"/>
      <c r="AH719" s="162"/>
      <c r="AI719" s="162"/>
      <c r="AJ719" s="162"/>
      <c r="AK719" s="162"/>
      <c r="BS719" s="131"/>
      <c r="BT719" s="131"/>
      <c r="BU719" s="131"/>
      <c r="BV719" s="131"/>
      <c r="BW719" s="131"/>
      <c r="BX719" s="131"/>
      <c r="BY719" s="131"/>
      <c r="BZ719" s="131"/>
      <c r="CA719" s="131"/>
      <c r="CB719" s="131"/>
      <c r="CC719" s="131"/>
      <c r="CD719" s="131"/>
      <c r="CE719" s="131"/>
    </row>
    <row r="720" ht="18.75" customHeight="1">
      <c r="C720" s="64"/>
      <c r="E720" s="64"/>
      <c r="F720" s="64"/>
      <c r="G720" s="64"/>
      <c r="AH720" s="162"/>
      <c r="AI720" s="162"/>
      <c r="AJ720" s="162"/>
      <c r="AK720" s="162"/>
      <c r="BS720" s="131"/>
      <c r="BT720" s="131"/>
      <c r="BU720" s="131"/>
      <c r="BV720" s="131"/>
      <c r="BW720" s="131"/>
      <c r="BX720" s="131"/>
      <c r="BY720" s="131"/>
      <c r="BZ720" s="131"/>
      <c r="CA720" s="131"/>
      <c r="CB720" s="131"/>
      <c r="CC720" s="131"/>
      <c r="CD720" s="131"/>
      <c r="CE720" s="131"/>
    </row>
    <row r="721" ht="18.75" customHeight="1">
      <c r="C721" s="64"/>
      <c r="E721" s="64"/>
      <c r="F721" s="64"/>
      <c r="G721" s="64"/>
      <c r="AH721" s="162"/>
      <c r="AI721" s="162"/>
      <c r="AJ721" s="162"/>
      <c r="AK721" s="162"/>
      <c r="BS721" s="131"/>
      <c r="BT721" s="131"/>
      <c r="BU721" s="131"/>
      <c r="BV721" s="131"/>
      <c r="BW721" s="131"/>
      <c r="BX721" s="131"/>
      <c r="BY721" s="131"/>
      <c r="BZ721" s="131"/>
      <c r="CA721" s="131"/>
      <c r="CB721" s="131"/>
      <c r="CC721" s="131"/>
      <c r="CD721" s="131"/>
      <c r="CE721" s="131"/>
    </row>
    <row r="722" ht="18.75" customHeight="1">
      <c r="C722" s="64"/>
      <c r="E722" s="64"/>
      <c r="F722" s="64"/>
      <c r="G722" s="64"/>
      <c r="AH722" s="162"/>
      <c r="AI722" s="162"/>
      <c r="AJ722" s="162"/>
      <c r="AK722" s="162"/>
      <c r="BS722" s="131"/>
      <c r="BT722" s="131"/>
      <c r="BU722" s="131"/>
      <c r="BV722" s="131"/>
      <c r="BW722" s="131"/>
      <c r="BX722" s="131"/>
      <c r="BY722" s="131"/>
      <c r="BZ722" s="131"/>
      <c r="CA722" s="131"/>
      <c r="CB722" s="131"/>
      <c r="CC722" s="131"/>
      <c r="CD722" s="131"/>
      <c r="CE722" s="131"/>
    </row>
    <row r="723" ht="18.75" customHeight="1">
      <c r="C723" s="64"/>
      <c r="E723" s="64"/>
      <c r="F723" s="64"/>
      <c r="G723" s="64"/>
      <c r="AH723" s="162"/>
      <c r="AI723" s="162"/>
      <c r="AJ723" s="162"/>
      <c r="AK723" s="162"/>
      <c r="BS723" s="131"/>
      <c r="BT723" s="131"/>
      <c r="BU723" s="131"/>
      <c r="BV723" s="131"/>
      <c r="BW723" s="131"/>
      <c r="BX723" s="131"/>
      <c r="BY723" s="131"/>
      <c r="BZ723" s="131"/>
      <c r="CA723" s="131"/>
      <c r="CB723" s="131"/>
      <c r="CC723" s="131"/>
      <c r="CD723" s="131"/>
      <c r="CE723" s="131"/>
    </row>
    <row r="724" ht="18.75" customHeight="1">
      <c r="C724" s="64"/>
      <c r="E724" s="64"/>
      <c r="F724" s="64"/>
      <c r="G724" s="64"/>
      <c r="AH724" s="162"/>
      <c r="AI724" s="162"/>
      <c r="AJ724" s="162"/>
      <c r="AK724" s="162"/>
      <c r="BS724" s="131"/>
      <c r="BT724" s="131"/>
      <c r="BU724" s="131"/>
      <c r="BV724" s="131"/>
      <c r="BW724" s="131"/>
      <c r="BX724" s="131"/>
      <c r="BY724" s="131"/>
      <c r="BZ724" s="131"/>
      <c r="CA724" s="131"/>
      <c r="CB724" s="131"/>
      <c r="CC724" s="131"/>
      <c r="CD724" s="131"/>
      <c r="CE724" s="131"/>
    </row>
    <row r="725" ht="18.75" customHeight="1">
      <c r="C725" s="64"/>
      <c r="E725" s="64"/>
      <c r="F725" s="64"/>
      <c r="G725" s="64"/>
      <c r="AH725" s="162"/>
      <c r="AI725" s="162"/>
      <c r="AJ725" s="162"/>
      <c r="AK725" s="162"/>
      <c r="BS725" s="131"/>
      <c r="BT725" s="131"/>
      <c r="BU725" s="131"/>
      <c r="BV725" s="131"/>
      <c r="BW725" s="131"/>
      <c r="BX725" s="131"/>
      <c r="BY725" s="131"/>
      <c r="BZ725" s="131"/>
      <c r="CA725" s="131"/>
      <c r="CB725" s="131"/>
      <c r="CC725" s="131"/>
      <c r="CD725" s="131"/>
      <c r="CE725" s="131"/>
    </row>
    <row r="726" ht="18.75" customHeight="1">
      <c r="C726" s="64"/>
      <c r="E726" s="64"/>
      <c r="F726" s="64"/>
      <c r="G726" s="64"/>
      <c r="AH726" s="162"/>
      <c r="AI726" s="162"/>
      <c r="AJ726" s="162"/>
      <c r="AK726" s="162"/>
      <c r="BS726" s="131"/>
      <c r="BT726" s="131"/>
      <c r="BU726" s="131"/>
      <c r="BV726" s="131"/>
      <c r="BW726" s="131"/>
      <c r="BX726" s="131"/>
      <c r="BY726" s="131"/>
      <c r="BZ726" s="131"/>
      <c r="CA726" s="131"/>
      <c r="CB726" s="131"/>
      <c r="CC726" s="131"/>
      <c r="CD726" s="131"/>
      <c r="CE726" s="131"/>
    </row>
    <row r="727" ht="18.75" customHeight="1">
      <c r="C727" s="64"/>
      <c r="E727" s="64"/>
      <c r="F727" s="64"/>
      <c r="G727" s="64"/>
      <c r="AH727" s="162"/>
      <c r="AI727" s="162"/>
      <c r="AJ727" s="162"/>
      <c r="AK727" s="162"/>
      <c r="BS727" s="131"/>
      <c r="BT727" s="131"/>
      <c r="BU727" s="131"/>
      <c r="BV727" s="131"/>
      <c r="BW727" s="131"/>
      <c r="BX727" s="131"/>
      <c r="BY727" s="131"/>
      <c r="BZ727" s="131"/>
      <c r="CA727" s="131"/>
      <c r="CB727" s="131"/>
      <c r="CC727" s="131"/>
      <c r="CD727" s="131"/>
      <c r="CE727" s="131"/>
    </row>
    <row r="728" ht="18.75" customHeight="1">
      <c r="C728" s="64"/>
      <c r="E728" s="64"/>
      <c r="F728" s="64"/>
      <c r="G728" s="64"/>
      <c r="AH728" s="162"/>
      <c r="AI728" s="162"/>
      <c r="AJ728" s="162"/>
      <c r="AK728" s="162"/>
      <c r="BS728" s="131"/>
      <c r="BT728" s="131"/>
      <c r="BU728" s="131"/>
      <c r="BV728" s="131"/>
      <c r="BW728" s="131"/>
      <c r="BX728" s="131"/>
      <c r="BY728" s="131"/>
      <c r="BZ728" s="131"/>
      <c r="CA728" s="131"/>
      <c r="CB728" s="131"/>
      <c r="CC728" s="131"/>
      <c r="CD728" s="131"/>
      <c r="CE728" s="131"/>
    </row>
    <row r="729" ht="18.75" customHeight="1">
      <c r="C729" s="64"/>
      <c r="E729" s="64"/>
      <c r="F729" s="64"/>
      <c r="G729" s="64"/>
      <c r="AH729" s="162"/>
      <c r="AI729" s="162"/>
      <c r="AJ729" s="162"/>
      <c r="AK729" s="162"/>
      <c r="BS729" s="131"/>
      <c r="BT729" s="131"/>
      <c r="BU729" s="131"/>
      <c r="BV729" s="131"/>
      <c r="BW729" s="131"/>
      <c r="BX729" s="131"/>
      <c r="BY729" s="131"/>
      <c r="BZ729" s="131"/>
      <c r="CA729" s="131"/>
      <c r="CB729" s="131"/>
      <c r="CC729" s="131"/>
      <c r="CD729" s="131"/>
      <c r="CE729" s="131"/>
    </row>
    <row r="730" ht="18.75" customHeight="1">
      <c r="C730" s="64"/>
      <c r="E730" s="64"/>
      <c r="F730" s="64"/>
      <c r="G730" s="64"/>
      <c r="AH730" s="162"/>
      <c r="AI730" s="162"/>
      <c r="AJ730" s="162"/>
      <c r="AK730" s="162"/>
      <c r="BS730" s="131"/>
      <c r="BT730" s="131"/>
      <c r="BU730" s="131"/>
      <c r="BV730" s="131"/>
      <c r="BW730" s="131"/>
      <c r="BX730" s="131"/>
      <c r="BY730" s="131"/>
      <c r="BZ730" s="131"/>
      <c r="CA730" s="131"/>
      <c r="CB730" s="131"/>
      <c r="CC730" s="131"/>
      <c r="CD730" s="131"/>
      <c r="CE730" s="131"/>
    </row>
    <row r="731" ht="18.75" customHeight="1">
      <c r="C731" s="64"/>
      <c r="E731" s="64"/>
      <c r="F731" s="64"/>
      <c r="G731" s="64"/>
      <c r="AH731" s="162"/>
      <c r="AI731" s="162"/>
      <c r="AJ731" s="162"/>
      <c r="AK731" s="162"/>
      <c r="BS731" s="131"/>
      <c r="BT731" s="131"/>
      <c r="BU731" s="131"/>
      <c r="BV731" s="131"/>
      <c r="BW731" s="131"/>
      <c r="BX731" s="131"/>
      <c r="BY731" s="131"/>
      <c r="BZ731" s="131"/>
      <c r="CA731" s="131"/>
      <c r="CB731" s="131"/>
      <c r="CC731" s="131"/>
      <c r="CD731" s="131"/>
      <c r="CE731" s="131"/>
    </row>
    <row r="732" ht="18.75" customHeight="1">
      <c r="C732" s="64"/>
      <c r="E732" s="64"/>
      <c r="F732" s="64"/>
      <c r="G732" s="64"/>
      <c r="AH732" s="162"/>
      <c r="AI732" s="162"/>
      <c r="AJ732" s="162"/>
      <c r="AK732" s="162"/>
      <c r="BS732" s="131"/>
      <c r="BT732" s="131"/>
      <c r="BU732" s="131"/>
      <c r="BV732" s="131"/>
      <c r="BW732" s="131"/>
      <c r="BX732" s="131"/>
      <c r="BY732" s="131"/>
      <c r="BZ732" s="131"/>
      <c r="CA732" s="131"/>
      <c r="CB732" s="131"/>
      <c r="CC732" s="131"/>
      <c r="CD732" s="131"/>
      <c r="CE732" s="131"/>
    </row>
    <row r="733" ht="18.75" customHeight="1">
      <c r="C733" s="64"/>
      <c r="E733" s="64"/>
      <c r="F733" s="64"/>
      <c r="G733" s="64"/>
      <c r="AH733" s="162"/>
      <c r="AI733" s="162"/>
      <c r="AJ733" s="162"/>
      <c r="AK733" s="162"/>
      <c r="BS733" s="131"/>
      <c r="BT733" s="131"/>
      <c r="BU733" s="131"/>
      <c r="BV733" s="131"/>
      <c r="BW733" s="131"/>
      <c r="BX733" s="131"/>
      <c r="BY733" s="131"/>
      <c r="BZ733" s="131"/>
      <c r="CA733" s="131"/>
      <c r="CB733" s="131"/>
      <c r="CC733" s="131"/>
      <c r="CD733" s="131"/>
      <c r="CE733" s="131"/>
    </row>
    <row r="734" ht="18.75" customHeight="1">
      <c r="C734" s="64"/>
      <c r="E734" s="64"/>
      <c r="F734" s="64"/>
      <c r="G734" s="64"/>
      <c r="AH734" s="162"/>
      <c r="AI734" s="162"/>
      <c r="AJ734" s="162"/>
      <c r="AK734" s="162"/>
      <c r="BS734" s="131"/>
      <c r="BT734" s="131"/>
      <c r="BU734" s="131"/>
      <c r="BV734" s="131"/>
      <c r="BW734" s="131"/>
      <c r="BX734" s="131"/>
      <c r="BY734" s="131"/>
      <c r="BZ734" s="131"/>
      <c r="CA734" s="131"/>
      <c r="CB734" s="131"/>
      <c r="CC734" s="131"/>
      <c r="CD734" s="131"/>
      <c r="CE734" s="131"/>
    </row>
    <row r="735" ht="18.75" customHeight="1">
      <c r="C735" s="64"/>
      <c r="E735" s="64"/>
      <c r="F735" s="64"/>
      <c r="G735" s="64"/>
      <c r="AH735" s="162"/>
      <c r="AI735" s="162"/>
      <c r="AJ735" s="162"/>
      <c r="AK735" s="162"/>
      <c r="BS735" s="131"/>
      <c r="BT735" s="131"/>
      <c r="BU735" s="131"/>
      <c r="BV735" s="131"/>
      <c r="BW735" s="131"/>
      <c r="BX735" s="131"/>
      <c r="BY735" s="131"/>
      <c r="BZ735" s="131"/>
      <c r="CA735" s="131"/>
      <c r="CB735" s="131"/>
      <c r="CC735" s="131"/>
      <c r="CD735" s="131"/>
      <c r="CE735" s="131"/>
    </row>
    <row r="736" ht="18.75" customHeight="1">
      <c r="C736" s="64"/>
      <c r="E736" s="64"/>
      <c r="F736" s="64"/>
      <c r="G736" s="64"/>
      <c r="AH736" s="162"/>
      <c r="AI736" s="162"/>
      <c r="AJ736" s="162"/>
      <c r="AK736" s="162"/>
      <c r="BS736" s="131"/>
      <c r="BT736" s="131"/>
      <c r="BU736" s="131"/>
      <c r="BV736" s="131"/>
      <c r="BW736" s="131"/>
      <c r="BX736" s="131"/>
      <c r="BY736" s="131"/>
      <c r="BZ736" s="131"/>
      <c r="CA736" s="131"/>
      <c r="CB736" s="131"/>
      <c r="CC736" s="131"/>
      <c r="CD736" s="131"/>
      <c r="CE736" s="131"/>
    </row>
    <row r="737" ht="18.75" customHeight="1">
      <c r="C737" s="64"/>
      <c r="E737" s="64"/>
      <c r="F737" s="64"/>
      <c r="G737" s="64"/>
      <c r="AH737" s="162"/>
      <c r="AI737" s="162"/>
      <c r="AJ737" s="162"/>
      <c r="AK737" s="162"/>
      <c r="BS737" s="131"/>
      <c r="BT737" s="131"/>
      <c r="BU737" s="131"/>
      <c r="BV737" s="131"/>
      <c r="BW737" s="131"/>
      <c r="BX737" s="131"/>
      <c r="BY737" s="131"/>
      <c r="BZ737" s="131"/>
      <c r="CA737" s="131"/>
      <c r="CB737" s="131"/>
      <c r="CC737" s="131"/>
      <c r="CD737" s="131"/>
      <c r="CE737" s="131"/>
    </row>
    <row r="738" ht="18.75" customHeight="1">
      <c r="C738" s="64"/>
      <c r="E738" s="64"/>
      <c r="F738" s="64"/>
      <c r="G738" s="64"/>
      <c r="AH738" s="162"/>
      <c r="AI738" s="162"/>
      <c r="AJ738" s="162"/>
      <c r="AK738" s="162"/>
      <c r="BS738" s="131"/>
      <c r="BT738" s="131"/>
      <c r="BU738" s="131"/>
      <c r="BV738" s="131"/>
      <c r="BW738" s="131"/>
      <c r="BX738" s="131"/>
      <c r="BY738" s="131"/>
      <c r="BZ738" s="131"/>
      <c r="CA738" s="131"/>
      <c r="CB738" s="131"/>
      <c r="CC738" s="131"/>
      <c r="CD738" s="131"/>
      <c r="CE738" s="131"/>
    </row>
    <row r="739" ht="18.75" customHeight="1">
      <c r="C739" s="64"/>
      <c r="E739" s="64"/>
      <c r="F739" s="64"/>
      <c r="G739" s="64"/>
      <c r="AH739" s="162"/>
      <c r="AI739" s="162"/>
      <c r="AJ739" s="162"/>
      <c r="AK739" s="162"/>
      <c r="BS739" s="131"/>
      <c r="BT739" s="131"/>
      <c r="BU739" s="131"/>
      <c r="BV739" s="131"/>
      <c r="BW739" s="131"/>
      <c r="BX739" s="131"/>
      <c r="BY739" s="131"/>
      <c r="BZ739" s="131"/>
      <c r="CA739" s="131"/>
      <c r="CB739" s="131"/>
      <c r="CC739" s="131"/>
      <c r="CD739" s="131"/>
      <c r="CE739" s="131"/>
    </row>
    <row r="740" ht="18.75" customHeight="1">
      <c r="C740" s="64"/>
      <c r="E740" s="64"/>
      <c r="F740" s="64"/>
      <c r="G740" s="64"/>
      <c r="AH740" s="162"/>
      <c r="AI740" s="162"/>
      <c r="AJ740" s="162"/>
      <c r="AK740" s="162"/>
      <c r="BS740" s="131"/>
      <c r="BT740" s="131"/>
      <c r="BU740" s="131"/>
      <c r="BV740" s="131"/>
      <c r="BW740" s="131"/>
      <c r="BX740" s="131"/>
      <c r="BY740" s="131"/>
      <c r="BZ740" s="131"/>
      <c r="CA740" s="131"/>
      <c r="CB740" s="131"/>
      <c r="CC740" s="131"/>
      <c r="CD740" s="131"/>
      <c r="CE740" s="131"/>
    </row>
    <row r="741" ht="18.75" customHeight="1">
      <c r="C741" s="64"/>
      <c r="E741" s="64"/>
      <c r="F741" s="64"/>
      <c r="G741" s="64"/>
      <c r="AH741" s="162"/>
      <c r="AI741" s="162"/>
      <c r="AJ741" s="162"/>
      <c r="AK741" s="162"/>
      <c r="BS741" s="131"/>
      <c r="BT741" s="131"/>
      <c r="BU741" s="131"/>
      <c r="BV741" s="131"/>
      <c r="BW741" s="131"/>
      <c r="BX741" s="131"/>
      <c r="BY741" s="131"/>
      <c r="BZ741" s="131"/>
      <c r="CA741" s="131"/>
      <c r="CB741" s="131"/>
      <c r="CC741" s="131"/>
      <c r="CD741" s="131"/>
      <c r="CE741" s="131"/>
    </row>
    <row r="742" ht="18.75" customHeight="1">
      <c r="C742" s="64"/>
      <c r="E742" s="64"/>
      <c r="F742" s="64"/>
      <c r="G742" s="64"/>
      <c r="AH742" s="162"/>
      <c r="AI742" s="162"/>
      <c r="AJ742" s="162"/>
      <c r="AK742" s="162"/>
      <c r="BS742" s="131"/>
      <c r="BT742" s="131"/>
      <c r="BU742" s="131"/>
      <c r="BV742" s="131"/>
      <c r="BW742" s="131"/>
      <c r="BX742" s="131"/>
      <c r="BY742" s="131"/>
      <c r="BZ742" s="131"/>
      <c r="CA742" s="131"/>
      <c r="CB742" s="131"/>
      <c r="CC742" s="131"/>
      <c r="CD742" s="131"/>
      <c r="CE742" s="131"/>
    </row>
    <row r="743" ht="18.75" customHeight="1">
      <c r="C743" s="64"/>
      <c r="E743" s="64"/>
      <c r="F743" s="64"/>
      <c r="G743" s="64"/>
      <c r="AH743" s="162"/>
      <c r="AI743" s="162"/>
      <c r="AJ743" s="162"/>
      <c r="AK743" s="162"/>
      <c r="BS743" s="131"/>
      <c r="BT743" s="131"/>
      <c r="BU743" s="131"/>
      <c r="BV743" s="131"/>
      <c r="BW743" s="131"/>
      <c r="BX743" s="131"/>
      <c r="BY743" s="131"/>
      <c r="BZ743" s="131"/>
      <c r="CA743" s="131"/>
      <c r="CB743" s="131"/>
      <c r="CC743" s="131"/>
      <c r="CD743" s="131"/>
      <c r="CE743" s="131"/>
    </row>
    <row r="744" ht="18.75" customHeight="1">
      <c r="C744" s="64"/>
      <c r="E744" s="64"/>
      <c r="F744" s="64"/>
      <c r="G744" s="64"/>
      <c r="AH744" s="162"/>
      <c r="AI744" s="162"/>
      <c r="AJ744" s="162"/>
      <c r="AK744" s="162"/>
      <c r="BS744" s="131"/>
      <c r="BT744" s="131"/>
      <c r="BU744" s="131"/>
      <c r="BV744" s="131"/>
      <c r="BW744" s="131"/>
      <c r="BX744" s="131"/>
      <c r="BY744" s="131"/>
      <c r="BZ744" s="131"/>
      <c r="CA744" s="131"/>
      <c r="CB744" s="131"/>
      <c r="CC744" s="131"/>
      <c r="CD744" s="131"/>
      <c r="CE744" s="131"/>
    </row>
    <row r="745" ht="18.75" customHeight="1">
      <c r="C745" s="64"/>
      <c r="E745" s="64"/>
      <c r="F745" s="64"/>
      <c r="G745" s="64"/>
      <c r="AH745" s="162"/>
      <c r="AI745" s="162"/>
      <c r="AJ745" s="162"/>
      <c r="AK745" s="162"/>
      <c r="BS745" s="131"/>
      <c r="BT745" s="131"/>
      <c r="BU745" s="131"/>
      <c r="BV745" s="131"/>
      <c r="BW745" s="131"/>
      <c r="BX745" s="131"/>
      <c r="BY745" s="131"/>
      <c r="BZ745" s="131"/>
      <c r="CA745" s="131"/>
      <c r="CB745" s="131"/>
      <c r="CC745" s="131"/>
      <c r="CD745" s="131"/>
      <c r="CE745" s="131"/>
    </row>
    <row r="746" ht="18.75" customHeight="1">
      <c r="C746" s="64"/>
      <c r="E746" s="64"/>
      <c r="F746" s="64"/>
      <c r="G746" s="64"/>
      <c r="AH746" s="162"/>
      <c r="AI746" s="162"/>
      <c r="AJ746" s="162"/>
      <c r="AK746" s="162"/>
      <c r="BS746" s="131"/>
      <c r="BT746" s="131"/>
      <c r="BU746" s="131"/>
      <c r="BV746" s="131"/>
      <c r="BW746" s="131"/>
      <c r="BX746" s="131"/>
      <c r="BY746" s="131"/>
      <c r="BZ746" s="131"/>
      <c r="CA746" s="131"/>
      <c r="CB746" s="131"/>
      <c r="CC746" s="131"/>
      <c r="CD746" s="131"/>
      <c r="CE746" s="131"/>
    </row>
    <row r="747" ht="18.75" customHeight="1">
      <c r="C747" s="64"/>
      <c r="E747" s="64"/>
      <c r="F747" s="64"/>
      <c r="G747" s="64"/>
      <c r="AH747" s="162"/>
      <c r="AI747" s="162"/>
      <c r="AJ747" s="162"/>
      <c r="AK747" s="162"/>
      <c r="BS747" s="131"/>
      <c r="BT747" s="131"/>
      <c r="BU747" s="131"/>
      <c r="BV747" s="131"/>
      <c r="BW747" s="131"/>
      <c r="BX747" s="131"/>
      <c r="BY747" s="131"/>
      <c r="BZ747" s="131"/>
      <c r="CA747" s="131"/>
      <c r="CB747" s="131"/>
      <c r="CC747" s="131"/>
      <c r="CD747" s="131"/>
      <c r="CE747" s="131"/>
    </row>
    <row r="748" ht="18.75" customHeight="1">
      <c r="C748" s="64"/>
      <c r="E748" s="64"/>
      <c r="F748" s="64"/>
      <c r="G748" s="64"/>
      <c r="AH748" s="162"/>
      <c r="AI748" s="162"/>
      <c r="AJ748" s="162"/>
      <c r="AK748" s="162"/>
      <c r="BS748" s="131"/>
      <c r="BT748" s="131"/>
      <c r="BU748" s="131"/>
      <c r="BV748" s="131"/>
      <c r="BW748" s="131"/>
      <c r="BX748" s="131"/>
      <c r="BY748" s="131"/>
      <c r="BZ748" s="131"/>
      <c r="CA748" s="131"/>
      <c r="CB748" s="131"/>
      <c r="CC748" s="131"/>
      <c r="CD748" s="131"/>
      <c r="CE748" s="131"/>
    </row>
    <row r="749" ht="18.75" customHeight="1">
      <c r="C749" s="64"/>
      <c r="E749" s="64"/>
      <c r="F749" s="64"/>
      <c r="G749" s="64"/>
      <c r="AH749" s="162"/>
      <c r="AI749" s="162"/>
      <c r="AJ749" s="162"/>
      <c r="AK749" s="162"/>
      <c r="BS749" s="131"/>
      <c r="BT749" s="131"/>
      <c r="BU749" s="131"/>
      <c r="BV749" s="131"/>
      <c r="BW749" s="131"/>
      <c r="BX749" s="131"/>
      <c r="BY749" s="131"/>
      <c r="BZ749" s="131"/>
      <c r="CA749" s="131"/>
      <c r="CB749" s="131"/>
      <c r="CC749" s="131"/>
      <c r="CD749" s="131"/>
      <c r="CE749" s="131"/>
    </row>
    <row r="750" ht="18.75" customHeight="1">
      <c r="C750" s="64"/>
      <c r="E750" s="64"/>
      <c r="F750" s="64"/>
      <c r="G750" s="64"/>
      <c r="AH750" s="162"/>
      <c r="AI750" s="162"/>
      <c r="AJ750" s="162"/>
      <c r="AK750" s="162"/>
      <c r="BS750" s="131"/>
      <c r="BT750" s="131"/>
      <c r="BU750" s="131"/>
      <c r="BV750" s="131"/>
      <c r="BW750" s="131"/>
      <c r="BX750" s="131"/>
      <c r="BY750" s="131"/>
      <c r="BZ750" s="131"/>
      <c r="CA750" s="131"/>
      <c r="CB750" s="131"/>
      <c r="CC750" s="131"/>
      <c r="CD750" s="131"/>
      <c r="CE750" s="131"/>
    </row>
    <row r="751" ht="18.75" customHeight="1">
      <c r="C751" s="64"/>
      <c r="E751" s="64"/>
      <c r="F751" s="64"/>
      <c r="G751" s="64"/>
      <c r="AH751" s="162"/>
      <c r="AI751" s="162"/>
      <c r="AJ751" s="162"/>
      <c r="AK751" s="162"/>
      <c r="BS751" s="131"/>
      <c r="BT751" s="131"/>
      <c r="BU751" s="131"/>
      <c r="BV751" s="131"/>
      <c r="BW751" s="131"/>
      <c r="BX751" s="131"/>
      <c r="BY751" s="131"/>
      <c r="BZ751" s="131"/>
      <c r="CA751" s="131"/>
      <c r="CB751" s="131"/>
      <c r="CC751" s="131"/>
      <c r="CD751" s="131"/>
      <c r="CE751" s="131"/>
    </row>
    <row r="752" ht="18.75" customHeight="1">
      <c r="C752" s="64"/>
      <c r="E752" s="64"/>
      <c r="F752" s="64"/>
      <c r="G752" s="64"/>
      <c r="AH752" s="162"/>
      <c r="AI752" s="162"/>
      <c r="AJ752" s="162"/>
      <c r="AK752" s="162"/>
      <c r="BS752" s="131"/>
      <c r="BT752" s="131"/>
      <c r="BU752" s="131"/>
      <c r="BV752" s="131"/>
      <c r="BW752" s="131"/>
      <c r="BX752" s="131"/>
      <c r="BY752" s="131"/>
      <c r="BZ752" s="131"/>
      <c r="CA752" s="131"/>
      <c r="CB752" s="131"/>
      <c r="CC752" s="131"/>
      <c r="CD752" s="131"/>
      <c r="CE752" s="131"/>
    </row>
    <row r="753" ht="18.75" customHeight="1">
      <c r="C753" s="64"/>
      <c r="E753" s="64"/>
      <c r="F753" s="64"/>
      <c r="G753" s="64"/>
      <c r="AH753" s="162"/>
      <c r="AI753" s="162"/>
      <c r="AJ753" s="162"/>
      <c r="AK753" s="162"/>
      <c r="BS753" s="131"/>
      <c r="BT753" s="131"/>
      <c r="BU753" s="131"/>
      <c r="BV753" s="131"/>
      <c r="BW753" s="131"/>
      <c r="BX753" s="131"/>
      <c r="BY753" s="131"/>
      <c r="BZ753" s="131"/>
      <c r="CA753" s="131"/>
      <c r="CB753" s="131"/>
      <c r="CC753" s="131"/>
      <c r="CD753" s="131"/>
      <c r="CE753" s="131"/>
    </row>
    <row r="754" ht="18.75" customHeight="1">
      <c r="C754" s="64"/>
      <c r="E754" s="64"/>
      <c r="F754" s="64"/>
      <c r="G754" s="64"/>
      <c r="AH754" s="162"/>
      <c r="AI754" s="162"/>
      <c r="AJ754" s="162"/>
      <c r="AK754" s="162"/>
      <c r="BS754" s="131"/>
      <c r="BT754" s="131"/>
      <c r="BU754" s="131"/>
      <c r="BV754" s="131"/>
      <c r="BW754" s="131"/>
      <c r="BX754" s="131"/>
      <c r="BY754" s="131"/>
      <c r="BZ754" s="131"/>
      <c r="CA754" s="131"/>
      <c r="CB754" s="131"/>
      <c r="CC754" s="131"/>
      <c r="CD754" s="131"/>
      <c r="CE754" s="131"/>
    </row>
    <row r="755" ht="18.75" customHeight="1">
      <c r="C755" s="64"/>
      <c r="E755" s="64"/>
      <c r="F755" s="64"/>
      <c r="G755" s="64"/>
      <c r="AH755" s="162"/>
      <c r="AI755" s="162"/>
      <c r="AJ755" s="162"/>
      <c r="AK755" s="162"/>
      <c r="BS755" s="131"/>
      <c r="BT755" s="131"/>
      <c r="BU755" s="131"/>
      <c r="BV755" s="131"/>
      <c r="BW755" s="131"/>
      <c r="BX755" s="131"/>
      <c r="BY755" s="131"/>
      <c r="BZ755" s="131"/>
      <c r="CA755" s="131"/>
      <c r="CB755" s="131"/>
      <c r="CC755" s="131"/>
      <c r="CD755" s="131"/>
      <c r="CE755" s="131"/>
    </row>
    <row r="756" ht="18.75" customHeight="1">
      <c r="C756" s="64"/>
      <c r="E756" s="64"/>
      <c r="F756" s="64"/>
      <c r="G756" s="64"/>
      <c r="AH756" s="162"/>
      <c r="AI756" s="162"/>
      <c r="AJ756" s="162"/>
      <c r="AK756" s="162"/>
      <c r="BS756" s="131"/>
      <c r="BT756" s="131"/>
      <c r="BU756" s="131"/>
      <c r="BV756" s="131"/>
      <c r="BW756" s="131"/>
      <c r="BX756" s="131"/>
      <c r="BY756" s="131"/>
      <c r="BZ756" s="131"/>
      <c r="CA756" s="131"/>
      <c r="CB756" s="131"/>
      <c r="CC756" s="131"/>
      <c r="CD756" s="131"/>
      <c r="CE756" s="131"/>
    </row>
    <row r="757" ht="18.75" customHeight="1">
      <c r="C757" s="64"/>
      <c r="E757" s="64"/>
      <c r="F757" s="64"/>
      <c r="G757" s="64"/>
      <c r="AH757" s="162"/>
      <c r="AI757" s="162"/>
      <c r="AJ757" s="162"/>
      <c r="AK757" s="162"/>
      <c r="BS757" s="131"/>
      <c r="BT757" s="131"/>
      <c r="BU757" s="131"/>
      <c r="BV757" s="131"/>
      <c r="BW757" s="131"/>
      <c r="BX757" s="131"/>
      <c r="BY757" s="131"/>
      <c r="BZ757" s="131"/>
      <c r="CA757" s="131"/>
      <c r="CB757" s="131"/>
      <c r="CC757" s="131"/>
      <c r="CD757" s="131"/>
      <c r="CE757" s="131"/>
    </row>
    <row r="758" ht="18.75" customHeight="1">
      <c r="C758" s="64"/>
      <c r="E758" s="64"/>
      <c r="F758" s="64"/>
      <c r="G758" s="64"/>
      <c r="AH758" s="162"/>
      <c r="AI758" s="162"/>
      <c r="AJ758" s="162"/>
      <c r="AK758" s="162"/>
      <c r="BS758" s="131"/>
      <c r="BT758" s="131"/>
      <c r="BU758" s="131"/>
      <c r="BV758" s="131"/>
      <c r="BW758" s="131"/>
      <c r="BX758" s="131"/>
      <c r="BY758" s="131"/>
      <c r="BZ758" s="131"/>
      <c r="CA758" s="131"/>
      <c r="CB758" s="131"/>
      <c r="CC758" s="131"/>
      <c r="CD758" s="131"/>
      <c r="CE758" s="131"/>
    </row>
    <row r="759" ht="18.75" customHeight="1">
      <c r="C759" s="64"/>
      <c r="E759" s="64"/>
      <c r="F759" s="64"/>
      <c r="G759" s="64"/>
      <c r="AH759" s="162"/>
      <c r="AI759" s="162"/>
      <c r="AJ759" s="162"/>
      <c r="AK759" s="162"/>
      <c r="BS759" s="131"/>
      <c r="BT759" s="131"/>
      <c r="BU759" s="131"/>
      <c r="BV759" s="131"/>
      <c r="BW759" s="131"/>
      <c r="BX759" s="131"/>
      <c r="BY759" s="131"/>
      <c r="BZ759" s="131"/>
      <c r="CA759" s="131"/>
      <c r="CB759" s="131"/>
      <c r="CC759" s="131"/>
      <c r="CD759" s="131"/>
      <c r="CE759" s="131"/>
    </row>
    <row r="760" ht="18.75" customHeight="1">
      <c r="C760" s="64"/>
      <c r="E760" s="64"/>
      <c r="F760" s="64"/>
      <c r="G760" s="64"/>
      <c r="AH760" s="162"/>
      <c r="AI760" s="162"/>
      <c r="AJ760" s="162"/>
      <c r="AK760" s="162"/>
      <c r="BS760" s="131"/>
      <c r="BT760" s="131"/>
      <c r="BU760" s="131"/>
      <c r="BV760" s="131"/>
      <c r="BW760" s="131"/>
      <c r="BX760" s="131"/>
      <c r="BY760" s="131"/>
      <c r="BZ760" s="131"/>
      <c r="CA760" s="131"/>
      <c r="CB760" s="131"/>
      <c r="CC760" s="131"/>
      <c r="CD760" s="131"/>
      <c r="CE760" s="131"/>
    </row>
    <row r="761" ht="18.75" customHeight="1">
      <c r="C761" s="64"/>
      <c r="E761" s="64"/>
      <c r="F761" s="64"/>
      <c r="G761" s="64"/>
      <c r="AH761" s="162"/>
      <c r="AI761" s="162"/>
      <c r="AJ761" s="162"/>
      <c r="AK761" s="162"/>
      <c r="BS761" s="131"/>
      <c r="BT761" s="131"/>
      <c r="BU761" s="131"/>
      <c r="BV761" s="131"/>
      <c r="BW761" s="131"/>
      <c r="BX761" s="131"/>
      <c r="BY761" s="131"/>
      <c r="BZ761" s="131"/>
      <c r="CA761" s="131"/>
      <c r="CB761" s="131"/>
      <c r="CC761" s="131"/>
      <c r="CD761" s="131"/>
      <c r="CE761" s="131"/>
    </row>
    <row r="762" ht="18.75" customHeight="1">
      <c r="C762" s="64"/>
      <c r="E762" s="64"/>
      <c r="F762" s="64"/>
      <c r="G762" s="64"/>
      <c r="AH762" s="162"/>
      <c r="AI762" s="162"/>
      <c r="AJ762" s="162"/>
      <c r="AK762" s="162"/>
      <c r="BS762" s="131"/>
      <c r="BT762" s="131"/>
      <c r="BU762" s="131"/>
      <c r="BV762" s="131"/>
      <c r="BW762" s="131"/>
      <c r="BX762" s="131"/>
      <c r="BY762" s="131"/>
      <c r="BZ762" s="131"/>
      <c r="CA762" s="131"/>
      <c r="CB762" s="131"/>
      <c r="CC762" s="131"/>
      <c r="CD762" s="131"/>
      <c r="CE762" s="131"/>
    </row>
    <row r="763" ht="18.75" customHeight="1">
      <c r="C763" s="64"/>
      <c r="E763" s="64"/>
      <c r="F763" s="64"/>
      <c r="G763" s="64"/>
      <c r="AH763" s="162"/>
      <c r="AI763" s="162"/>
      <c r="AJ763" s="162"/>
      <c r="AK763" s="162"/>
      <c r="BS763" s="131"/>
      <c r="BT763" s="131"/>
      <c r="BU763" s="131"/>
      <c r="BV763" s="131"/>
      <c r="BW763" s="131"/>
      <c r="BX763" s="131"/>
      <c r="BY763" s="131"/>
      <c r="BZ763" s="131"/>
      <c r="CA763" s="131"/>
      <c r="CB763" s="131"/>
      <c r="CC763" s="131"/>
      <c r="CD763" s="131"/>
      <c r="CE763" s="131"/>
    </row>
    <row r="764" ht="18.75" customHeight="1">
      <c r="C764" s="64"/>
      <c r="E764" s="64"/>
      <c r="F764" s="64"/>
      <c r="G764" s="64"/>
      <c r="AH764" s="162"/>
      <c r="AI764" s="162"/>
      <c r="AJ764" s="162"/>
      <c r="AK764" s="162"/>
      <c r="BS764" s="131"/>
      <c r="BT764" s="131"/>
      <c r="BU764" s="131"/>
      <c r="BV764" s="131"/>
      <c r="BW764" s="131"/>
      <c r="BX764" s="131"/>
      <c r="BY764" s="131"/>
      <c r="BZ764" s="131"/>
      <c r="CA764" s="131"/>
      <c r="CB764" s="131"/>
      <c r="CC764" s="131"/>
      <c r="CD764" s="131"/>
      <c r="CE764" s="131"/>
    </row>
    <row r="765" ht="18.75" customHeight="1">
      <c r="C765" s="64"/>
      <c r="E765" s="64"/>
      <c r="F765" s="64"/>
      <c r="G765" s="64"/>
      <c r="AH765" s="162"/>
      <c r="AI765" s="162"/>
      <c r="AJ765" s="162"/>
      <c r="AK765" s="162"/>
      <c r="BS765" s="131"/>
      <c r="BT765" s="131"/>
      <c r="BU765" s="131"/>
      <c r="BV765" s="131"/>
      <c r="BW765" s="131"/>
      <c r="BX765" s="131"/>
      <c r="BY765" s="131"/>
      <c r="BZ765" s="131"/>
      <c r="CA765" s="131"/>
      <c r="CB765" s="131"/>
      <c r="CC765" s="131"/>
      <c r="CD765" s="131"/>
      <c r="CE765" s="131"/>
    </row>
    <row r="766" ht="18.75" customHeight="1">
      <c r="C766" s="64"/>
      <c r="E766" s="64"/>
      <c r="F766" s="64"/>
      <c r="G766" s="64"/>
      <c r="AH766" s="162"/>
      <c r="AI766" s="162"/>
      <c r="AJ766" s="162"/>
      <c r="AK766" s="162"/>
      <c r="BS766" s="131"/>
      <c r="BT766" s="131"/>
      <c r="BU766" s="131"/>
      <c r="BV766" s="131"/>
      <c r="BW766" s="131"/>
      <c r="BX766" s="131"/>
      <c r="BY766" s="131"/>
      <c r="BZ766" s="131"/>
      <c r="CA766" s="131"/>
      <c r="CB766" s="131"/>
      <c r="CC766" s="131"/>
      <c r="CD766" s="131"/>
      <c r="CE766" s="131"/>
    </row>
    <row r="767" ht="18.75" customHeight="1">
      <c r="C767" s="64"/>
      <c r="E767" s="64"/>
      <c r="F767" s="64"/>
      <c r="G767" s="64"/>
      <c r="AH767" s="162"/>
      <c r="AI767" s="162"/>
      <c r="AJ767" s="162"/>
      <c r="AK767" s="162"/>
      <c r="BS767" s="131"/>
      <c r="BT767" s="131"/>
      <c r="BU767" s="131"/>
      <c r="BV767" s="131"/>
      <c r="BW767" s="131"/>
      <c r="BX767" s="131"/>
      <c r="BY767" s="131"/>
      <c r="BZ767" s="131"/>
      <c r="CA767" s="131"/>
      <c r="CB767" s="131"/>
      <c r="CC767" s="131"/>
      <c r="CD767" s="131"/>
      <c r="CE767" s="131"/>
    </row>
    <row r="768" ht="18.75" customHeight="1">
      <c r="C768" s="64"/>
      <c r="E768" s="64"/>
      <c r="F768" s="64"/>
      <c r="G768" s="64"/>
      <c r="AH768" s="162"/>
      <c r="AI768" s="162"/>
      <c r="AJ768" s="162"/>
      <c r="AK768" s="162"/>
      <c r="BS768" s="131"/>
      <c r="BT768" s="131"/>
      <c r="BU768" s="131"/>
      <c r="BV768" s="131"/>
      <c r="BW768" s="131"/>
      <c r="BX768" s="131"/>
      <c r="BY768" s="131"/>
      <c r="BZ768" s="131"/>
      <c r="CA768" s="131"/>
      <c r="CB768" s="131"/>
      <c r="CC768" s="131"/>
      <c r="CD768" s="131"/>
      <c r="CE768" s="131"/>
    </row>
    <row r="769" ht="18.75" customHeight="1">
      <c r="C769" s="64"/>
      <c r="E769" s="64"/>
      <c r="F769" s="64"/>
      <c r="G769" s="64"/>
      <c r="AH769" s="162"/>
      <c r="AI769" s="162"/>
      <c r="AJ769" s="162"/>
      <c r="AK769" s="162"/>
      <c r="BS769" s="131"/>
      <c r="BT769" s="131"/>
      <c r="BU769" s="131"/>
      <c r="BV769" s="131"/>
      <c r="BW769" s="131"/>
      <c r="BX769" s="131"/>
      <c r="BY769" s="131"/>
      <c r="BZ769" s="131"/>
      <c r="CA769" s="131"/>
      <c r="CB769" s="131"/>
      <c r="CC769" s="131"/>
      <c r="CD769" s="131"/>
      <c r="CE769" s="131"/>
    </row>
    <row r="770" ht="18.75" customHeight="1">
      <c r="C770" s="64"/>
      <c r="E770" s="64"/>
      <c r="F770" s="64"/>
      <c r="G770" s="64"/>
      <c r="AH770" s="162"/>
      <c r="AI770" s="162"/>
      <c r="AJ770" s="162"/>
      <c r="AK770" s="162"/>
      <c r="BS770" s="131"/>
      <c r="BT770" s="131"/>
      <c r="BU770" s="131"/>
      <c r="BV770" s="131"/>
      <c r="BW770" s="131"/>
      <c r="BX770" s="131"/>
      <c r="BY770" s="131"/>
      <c r="BZ770" s="131"/>
      <c r="CA770" s="131"/>
      <c r="CB770" s="131"/>
      <c r="CC770" s="131"/>
      <c r="CD770" s="131"/>
      <c r="CE770" s="131"/>
    </row>
    <row r="771" ht="18.75" customHeight="1">
      <c r="C771" s="64"/>
      <c r="E771" s="64"/>
      <c r="F771" s="64"/>
      <c r="G771" s="64"/>
      <c r="AH771" s="162"/>
      <c r="AI771" s="162"/>
      <c r="AJ771" s="162"/>
      <c r="AK771" s="162"/>
      <c r="BS771" s="131"/>
      <c r="BT771" s="131"/>
      <c r="BU771" s="131"/>
      <c r="BV771" s="131"/>
      <c r="BW771" s="131"/>
      <c r="BX771" s="131"/>
      <c r="BY771" s="131"/>
      <c r="BZ771" s="131"/>
      <c r="CA771" s="131"/>
      <c r="CB771" s="131"/>
      <c r="CC771" s="131"/>
      <c r="CD771" s="131"/>
      <c r="CE771" s="131"/>
    </row>
    <row r="772" ht="18.75" customHeight="1">
      <c r="C772" s="64"/>
      <c r="E772" s="64"/>
      <c r="F772" s="64"/>
      <c r="G772" s="64"/>
      <c r="AH772" s="162"/>
      <c r="AI772" s="162"/>
      <c r="AJ772" s="162"/>
      <c r="AK772" s="162"/>
      <c r="BS772" s="131"/>
      <c r="BT772" s="131"/>
      <c r="BU772" s="131"/>
      <c r="BV772" s="131"/>
      <c r="BW772" s="131"/>
      <c r="BX772" s="131"/>
      <c r="BY772" s="131"/>
      <c r="BZ772" s="131"/>
      <c r="CA772" s="131"/>
      <c r="CB772" s="131"/>
      <c r="CC772" s="131"/>
      <c r="CD772" s="131"/>
      <c r="CE772" s="131"/>
    </row>
    <row r="773" ht="18.75" customHeight="1">
      <c r="C773" s="64"/>
      <c r="E773" s="64"/>
      <c r="F773" s="64"/>
      <c r="G773" s="64"/>
      <c r="AH773" s="162"/>
      <c r="AI773" s="162"/>
      <c r="AJ773" s="162"/>
      <c r="AK773" s="162"/>
      <c r="BS773" s="131"/>
      <c r="BT773" s="131"/>
      <c r="BU773" s="131"/>
      <c r="BV773" s="131"/>
      <c r="BW773" s="131"/>
      <c r="BX773" s="131"/>
      <c r="BY773" s="131"/>
      <c r="BZ773" s="131"/>
      <c r="CA773" s="131"/>
      <c r="CB773" s="131"/>
      <c r="CC773" s="131"/>
      <c r="CD773" s="131"/>
      <c r="CE773" s="131"/>
    </row>
    <row r="774" ht="18.75" customHeight="1">
      <c r="C774" s="64"/>
      <c r="E774" s="64"/>
      <c r="F774" s="64"/>
      <c r="G774" s="64"/>
      <c r="AH774" s="162"/>
      <c r="AI774" s="162"/>
      <c r="AJ774" s="162"/>
      <c r="AK774" s="162"/>
      <c r="BS774" s="131"/>
      <c r="BT774" s="131"/>
      <c r="BU774" s="131"/>
      <c r="BV774" s="131"/>
      <c r="BW774" s="131"/>
      <c r="BX774" s="131"/>
      <c r="BY774" s="131"/>
      <c r="BZ774" s="131"/>
      <c r="CA774" s="131"/>
      <c r="CB774" s="131"/>
      <c r="CC774" s="131"/>
      <c r="CD774" s="131"/>
      <c r="CE774" s="131"/>
    </row>
    <row r="775" ht="18.75" customHeight="1">
      <c r="C775" s="64"/>
      <c r="E775" s="64"/>
      <c r="F775" s="64"/>
      <c r="G775" s="64"/>
      <c r="AH775" s="162"/>
      <c r="AI775" s="162"/>
      <c r="AJ775" s="162"/>
      <c r="AK775" s="162"/>
      <c r="BS775" s="131"/>
      <c r="BT775" s="131"/>
      <c r="BU775" s="131"/>
      <c r="BV775" s="131"/>
      <c r="BW775" s="131"/>
      <c r="BX775" s="131"/>
      <c r="BY775" s="131"/>
      <c r="BZ775" s="131"/>
      <c r="CA775" s="131"/>
      <c r="CB775" s="131"/>
      <c r="CC775" s="131"/>
      <c r="CD775" s="131"/>
      <c r="CE775" s="131"/>
    </row>
    <row r="776" ht="18.75" customHeight="1">
      <c r="C776" s="64"/>
      <c r="E776" s="64"/>
      <c r="F776" s="64"/>
      <c r="G776" s="64"/>
      <c r="AH776" s="162"/>
      <c r="AI776" s="162"/>
      <c r="AJ776" s="162"/>
      <c r="AK776" s="162"/>
      <c r="BS776" s="131"/>
      <c r="BT776" s="131"/>
      <c r="BU776" s="131"/>
      <c r="BV776" s="131"/>
      <c r="BW776" s="131"/>
      <c r="BX776" s="131"/>
      <c r="BY776" s="131"/>
      <c r="BZ776" s="131"/>
      <c r="CA776" s="131"/>
      <c r="CB776" s="131"/>
      <c r="CC776" s="131"/>
      <c r="CD776" s="131"/>
      <c r="CE776" s="131"/>
    </row>
    <row r="777" ht="18.75" customHeight="1">
      <c r="C777" s="64"/>
      <c r="E777" s="64"/>
      <c r="F777" s="64"/>
      <c r="G777" s="64"/>
      <c r="AH777" s="162"/>
      <c r="AI777" s="162"/>
      <c r="AJ777" s="162"/>
      <c r="AK777" s="162"/>
      <c r="BS777" s="131"/>
      <c r="BT777" s="131"/>
      <c r="BU777" s="131"/>
      <c r="BV777" s="131"/>
      <c r="BW777" s="131"/>
      <c r="BX777" s="131"/>
      <c r="BY777" s="131"/>
      <c r="BZ777" s="131"/>
      <c r="CA777" s="131"/>
      <c r="CB777" s="131"/>
      <c r="CC777" s="131"/>
      <c r="CD777" s="131"/>
      <c r="CE777" s="131"/>
    </row>
    <row r="778" ht="18.75" customHeight="1">
      <c r="C778" s="64"/>
      <c r="E778" s="64"/>
      <c r="F778" s="64"/>
      <c r="G778" s="64"/>
      <c r="AH778" s="162"/>
      <c r="AI778" s="162"/>
      <c r="AJ778" s="162"/>
      <c r="AK778" s="162"/>
      <c r="BS778" s="131"/>
      <c r="BT778" s="131"/>
      <c r="BU778" s="131"/>
      <c r="BV778" s="131"/>
      <c r="BW778" s="131"/>
      <c r="BX778" s="131"/>
      <c r="BY778" s="131"/>
      <c r="BZ778" s="131"/>
      <c r="CA778" s="131"/>
      <c r="CB778" s="131"/>
      <c r="CC778" s="131"/>
      <c r="CD778" s="131"/>
      <c r="CE778" s="131"/>
    </row>
    <row r="779" ht="18.75" customHeight="1">
      <c r="C779" s="64"/>
      <c r="E779" s="64"/>
      <c r="F779" s="64"/>
      <c r="G779" s="64"/>
      <c r="AH779" s="162"/>
      <c r="AI779" s="162"/>
      <c r="AJ779" s="162"/>
      <c r="AK779" s="162"/>
      <c r="BS779" s="131"/>
      <c r="BT779" s="131"/>
      <c r="BU779" s="131"/>
      <c r="BV779" s="131"/>
      <c r="BW779" s="131"/>
      <c r="BX779" s="131"/>
      <c r="BY779" s="131"/>
      <c r="BZ779" s="131"/>
      <c r="CA779" s="131"/>
      <c r="CB779" s="131"/>
      <c r="CC779" s="131"/>
      <c r="CD779" s="131"/>
      <c r="CE779" s="131"/>
    </row>
    <row r="780" ht="18.75" customHeight="1">
      <c r="C780" s="64"/>
      <c r="E780" s="64"/>
      <c r="F780" s="64"/>
      <c r="G780" s="64"/>
      <c r="AH780" s="162"/>
      <c r="AI780" s="162"/>
      <c r="AJ780" s="162"/>
      <c r="AK780" s="162"/>
      <c r="BS780" s="131"/>
      <c r="BT780" s="131"/>
      <c r="BU780" s="131"/>
      <c r="BV780" s="131"/>
      <c r="BW780" s="131"/>
      <c r="BX780" s="131"/>
      <c r="BY780" s="131"/>
      <c r="BZ780" s="131"/>
      <c r="CA780" s="131"/>
      <c r="CB780" s="131"/>
      <c r="CC780" s="131"/>
      <c r="CD780" s="131"/>
      <c r="CE780" s="131"/>
    </row>
    <row r="781" ht="18.75" customHeight="1">
      <c r="C781" s="64"/>
      <c r="E781" s="64"/>
      <c r="F781" s="64"/>
      <c r="G781" s="64"/>
      <c r="AH781" s="162"/>
      <c r="AI781" s="162"/>
      <c r="AJ781" s="162"/>
      <c r="AK781" s="162"/>
      <c r="BS781" s="131"/>
      <c r="BT781" s="131"/>
      <c r="BU781" s="131"/>
      <c r="BV781" s="131"/>
      <c r="BW781" s="131"/>
      <c r="BX781" s="131"/>
      <c r="BY781" s="131"/>
      <c r="BZ781" s="131"/>
      <c r="CA781" s="131"/>
      <c r="CB781" s="131"/>
      <c r="CC781" s="131"/>
      <c r="CD781" s="131"/>
      <c r="CE781" s="131"/>
    </row>
    <row r="782" ht="18.75" customHeight="1">
      <c r="C782" s="64"/>
      <c r="E782" s="64"/>
      <c r="F782" s="64"/>
      <c r="G782" s="64"/>
      <c r="AH782" s="162"/>
      <c r="AI782" s="162"/>
      <c r="AJ782" s="162"/>
      <c r="AK782" s="162"/>
      <c r="BS782" s="131"/>
      <c r="BT782" s="131"/>
      <c r="BU782" s="131"/>
      <c r="BV782" s="131"/>
      <c r="BW782" s="131"/>
      <c r="BX782" s="131"/>
      <c r="BY782" s="131"/>
      <c r="BZ782" s="131"/>
      <c r="CA782" s="131"/>
      <c r="CB782" s="131"/>
      <c r="CC782" s="131"/>
      <c r="CD782" s="131"/>
      <c r="CE782" s="131"/>
    </row>
    <row r="783" ht="18.75" customHeight="1">
      <c r="C783" s="64"/>
      <c r="E783" s="64"/>
      <c r="F783" s="64"/>
      <c r="G783" s="64"/>
      <c r="AH783" s="162"/>
      <c r="AI783" s="162"/>
      <c r="AJ783" s="162"/>
      <c r="AK783" s="162"/>
      <c r="BS783" s="131"/>
      <c r="BT783" s="131"/>
      <c r="BU783" s="131"/>
      <c r="BV783" s="131"/>
      <c r="BW783" s="131"/>
      <c r="BX783" s="131"/>
      <c r="BY783" s="131"/>
      <c r="BZ783" s="131"/>
      <c r="CA783" s="131"/>
      <c r="CB783" s="131"/>
      <c r="CC783" s="131"/>
      <c r="CD783" s="131"/>
      <c r="CE783" s="131"/>
    </row>
    <row r="784" ht="18.75" customHeight="1">
      <c r="C784" s="64"/>
      <c r="E784" s="64"/>
      <c r="F784" s="64"/>
      <c r="G784" s="64"/>
      <c r="AH784" s="162"/>
      <c r="AI784" s="162"/>
      <c r="AJ784" s="162"/>
      <c r="AK784" s="162"/>
      <c r="BS784" s="131"/>
      <c r="BT784" s="131"/>
      <c r="BU784" s="131"/>
      <c r="BV784" s="131"/>
      <c r="BW784" s="131"/>
      <c r="BX784" s="131"/>
      <c r="BY784" s="131"/>
      <c r="BZ784" s="131"/>
      <c r="CA784" s="131"/>
      <c r="CB784" s="131"/>
      <c r="CC784" s="131"/>
      <c r="CD784" s="131"/>
      <c r="CE784" s="131"/>
    </row>
    <row r="785" ht="18.75" customHeight="1">
      <c r="C785" s="64"/>
      <c r="E785" s="64"/>
      <c r="F785" s="64"/>
      <c r="G785" s="64"/>
      <c r="AH785" s="162"/>
      <c r="AI785" s="162"/>
      <c r="AJ785" s="162"/>
      <c r="AK785" s="162"/>
      <c r="BS785" s="131"/>
      <c r="BT785" s="131"/>
      <c r="BU785" s="131"/>
      <c r="BV785" s="131"/>
      <c r="BW785" s="131"/>
      <c r="BX785" s="131"/>
      <c r="BY785" s="131"/>
      <c r="BZ785" s="131"/>
      <c r="CA785" s="131"/>
      <c r="CB785" s="131"/>
      <c r="CC785" s="131"/>
      <c r="CD785" s="131"/>
      <c r="CE785" s="131"/>
    </row>
    <row r="786" ht="18.75" customHeight="1">
      <c r="C786" s="64"/>
      <c r="E786" s="64"/>
      <c r="F786" s="64"/>
      <c r="G786" s="64"/>
      <c r="AH786" s="162"/>
      <c r="AI786" s="162"/>
      <c r="AJ786" s="162"/>
      <c r="AK786" s="162"/>
      <c r="BS786" s="131"/>
      <c r="BT786" s="131"/>
      <c r="BU786" s="131"/>
      <c r="BV786" s="131"/>
      <c r="BW786" s="131"/>
      <c r="BX786" s="131"/>
      <c r="BY786" s="131"/>
      <c r="BZ786" s="131"/>
      <c r="CA786" s="131"/>
      <c r="CB786" s="131"/>
      <c r="CC786" s="131"/>
      <c r="CD786" s="131"/>
      <c r="CE786" s="131"/>
    </row>
    <row r="787" ht="18.75" customHeight="1">
      <c r="C787" s="64"/>
      <c r="E787" s="64"/>
      <c r="F787" s="64"/>
      <c r="G787" s="64"/>
      <c r="AH787" s="162"/>
      <c r="AI787" s="162"/>
      <c r="AJ787" s="162"/>
      <c r="AK787" s="162"/>
      <c r="BS787" s="131"/>
      <c r="BT787" s="131"/>
      <c r="BU787" s="131"/>
      <c r="BV787" s="131"/>
      <c r="BW787" s="131"/>
      <c r="BX787" s="131"/>
      <c r="BY787" s="131"/>
      <c r="BZ787" s="131"/>
      <c r="CA787" s="131"/>
      <c r="CB787" s="131"/>
      <c r="CC787" s="131"/>
      <c r="CD787" s="131"/>
      <c r="CE787" s="131"/>
    </row>
    <row r="788" ht="18.75" customHeight="1">
      <c r="C788" s="64"/>
      <c r="E788" s="64"/>
      <c r="F788" s="64"/>
      <c r="G788" s="64"/>
      <c r="AH788" s="162"/>
      <c r="AI788" s="162"/>
      <c r="AJ788" s="162"/>
      <c r="AK788" s="162"/>
      <c r="BS788" s="131"/>
      <c r="BT788" s="131"/>
      <c r="BU788" s="131"/>
      <c r="BV788" s="131"/>
      <c r="BW788" s="131"/>
      <c r="BX788" s="131"/>
      <c r="BY788" s="131"/>
      <c r="BZ788" s="131"/>
      <c r="CA788" s="131"/>
      <c r="CB788" s="131"/>
      <c r="CC788" s="131"/>
      <c r="CD788" s="131"/>
      <c r="CE788" s="131"/>
    </row>
    <row r="789" ht="18.75" customHeight="1">
      <c r="C789" s="64"/>
      <c r="E789" s="64"/>
      <c r="F789" s="64"/>
      <c r="G789" s="64"/>
      <c r="AH789" s="162"/>
      <c r="AI789" s="162"/>
      <c r="AJ789" s="162"/>
      <c r="AK789" s="162"/>
      <c r="BS789" s="131"/>
      <c r="BT789" s="131"/>
      <c r="BU789" s="131"/>
      <c r="BV789" s="131"/>
      <c r="BW789" s="131"/>
      <c r="BX789" s="131"/>
      <c r="BY789" s="131"/>
      <c r="BZ789" s="131"/>
      <c r="CA789" s="131"/>
      <c r="CB789" s="131"/>
      <c r="CC789" s="131"/>
      <c r="CD789" s="131"/>
      <c r="CE789" s="131"/>
    </row>
    <row r="790" ht="18.75" customHeight="1">
      <c r="C790" s="64"/>
      <c r="E790" s="64"/>
      <c r="F790" s="64"/>
      <c r="G790" s="64"/>
      <c r="AH790" s="162"/>
      <c r="AI790" s="162"/>
      <c r="AJ790" s="162"/>
      <c r="AK790" s="162"/>
      <c r="BS790" s="131"/>
      <c r="BT790" s="131"/>
      <c r="BU790" s="131"/>
      <c r="BV790" s="131"/>
      <c r="BW790" s="131"/>
      <c r="BX790" s="131"/>
      <c r="BY790" s="131"/>
      <c r="BZ790" s="131"/>
      <c r="CA790" s="131"/>
      <c r="CB790" s="131"/>
      <c r="CC790" s="131"/>
      <c r="CD790" s="131"/>
      <c r="CE790" s="131"/>
    </row>
    <row r="791" ht="18.75" customHeight="1">
      <c r="C791" s="64"/>
      <c r="E791" s="64"/>
      <c r="F791" s="64"/>
      <c r="G791" s="64"/>
      <c r="AH791" s="162"/>
      <c r="AI791" s="162"/>
      <c r="AJ791" s="162"/>
      <c r="AK791" s="162"/>
      <c r="BS791" s="131"/>
      <c r="BT791" s="131"/>
      <c r="BU791" s="131"/>
      <c r="BV791" s="131"/>
      <c r="BW791" s="131"/>
      <c r="BX791" s="131"/>
      <c r="BY791" s="131"/>
      <c r="BZ791" s="131"/>
      <c r="CA791" s="131"/>
      <c r="CB791" s="131"/>
      <c r="CC791" s="131"/>
      <c r="CD791" s="131"/>
      <c r="CE791" s="131"/>
    </row>
    <row r="792" ht="18.75" customHeight="1">
      <c r="C792" s="64"/>
      <c r="E792" s="64"/>
      <c r="F792" s="64"/>
      <c r="G792" s="64"/>
      <c r="AH792" s="162"/>
      <c r="AI792" s="162"/>
      <c r="AJ792" s="162"/>
      <c r="AK792" s="162"/>
      <c r="BS792" s="131"/>
      <c r="BT792" s="131"/>
      <c r="BU792" s="131"/>
      <c r="BV792" s="131"/>
      <c r="BW792" s="131"/>
      <c r="BX792" s="131"/>
      <c r="BY792" s="131"/>
      <c r="BZ792" s="131"/>
      <c r="CA792" s="131"/>
      <c r="CB792" s="131"/>
      <c r="CC792" s="131"/>
      <c r="CD792" s="131"/>
      <c r="CE792" s="131"/>
    </row>
    <row r="793" ht="18.75" customHeight="1">
      <c r="C793" s="64"/>
      <c r="E793" s="64"/>
      <c r="F793" s="64"/>
      <c r="G793" s="64"/>
      <c r="AH793" s="162"/>
      <c r="AI793" s="162"/>
      <c r="AJ793" s="162"/>
      <c r="AK793" s="162"/>
      <c r="BS793" s="131"/>
      <c r="BT793" s="131"/>
      <c r="BU793" s="131"/>
      <c r="BV793" s="131"/>
      <c r="BW793" s="131"/>
      <c r="BX793" s="131"/>
      <c r="BY793" s="131"/>
      <c r="BZ793" s="131"/>
      <c r="CA793" s="131"/>
      <c r="CB793" s="131"/>
      <c r="CC793" s="131"/>
      <c r="CD793" s="131"/>
      <c r="CE793" s="131"/>
    </row>
    <row r="794" ht="18.75" customHeight="1">
      <c r="C794" s="64"/>
      <c r="E794" s="64"/>
      <c r="F794" s="64"/>
      <c r="G794" s="64"/>
      <c r="AH794" s="162"/>
      <c r="AI794" s="162"/>
      <c r="AJ794" s="162"/>
      <c r="AK794" s="162"/>
      <c r="BS794" s="131"/>
      <c r="BT794" s="131"/>
      <c r="BU794" s="131"/>
      <c r="BV794" s="131"/>
      <c r="BW794" s="131"/>
      <c r="BX794" s="131"/>
      <c r="BY794" s="131"/>
      <c r="BZ794" s="131"/>
      <c r="CA794" s="131"/>
      <c r="CB794" s="131"/>
      <c r="CC794" s="131"/>
      <c r="CD794" s="131"/>
      <c r="CE794" s="131"/>
    </row>
    <row r="795" ht="18.75" customHeight="1">
      <c r="C795" s="64"/>
      <c r="E795" s="64"/>
      <c r="F795" s="64"/>
      <c r="G795" s="64"/>
      <c r="AH795" s="162"/>
      <c r="AI795" s="162"/>
      <c r="AJ795" s="162"/>
      <c r="AK795" s="162"/>
      <c r="BS795" s="131"/>
      <c r="BT795" s="131"/>
      <c r="BU795" s="131"/>
      <c r="BV795" s="131"/>
      <c r="BW795" s="131"/>
      <c r="BX795" s="131"/>
      <c r="BY795" s="131"/>
      <c r="BZ795" s="131"/>
      <c r="CA795" s="131"/>
      <c r="CB795" s="131"/>
      <c r="CC795" s="131"/>
      <c r="CD795" s="131"/>
      <c r="CE795" s="131"/>
    </row>
    <row r="796" ht="18.75" customHeight="1">
      <c r="C796" s="64"/>
      <c r="E796" s="64"/>
      <c r="F796" s="64"/>
      <c r="G796" s="64"/>
      <c r="AH796" s="162"/>
      <c r="AI796" s="162"/>
      <c r="AJ796" s="162"/>
      <c r="AK796" s="162"/>
      <c r="BS796" s="131"/>
      <c r="BT796" s="131"/>
      <c r="BU796" s="131"/>
      <c r="BV796" s="131"/>
      <c r="BW796" s="131"/>
      <c r="BX796" s="131"/>
      <c r="BY796" s="131"/>
      <c r="BZ796" s="131"/>
      <c r="CA796" s="131"/>
      <c r="CB796" s="131"/>
      <c r="CC796" s="131"/>
      <c r="CD796" s="131"/>
      <c r="CE796" s="131"/>
    </row>
    <row r="797" ht="18.75" customHeight="1">
      <c r="C797" s="64"/>
      <c r="E797" s="64"/>
      <c r="F797" s="64"/>
      <c r="G797" s="64"/>
      <c r="AH797" s="162"/>
      <c r="AI797" s="162"/>
      <c r="AJ797" s="162"/>
      <c r="AK797" s="162"/>
      <c r="BS797" s="131"/>
      <c r="BT797" s="131"/>
      <c r="BU797" s="131"/>
      <c r="BV797" s="131"/>
      <c r="BW797" s="131"/>
      <c r="BX797" s="131"/>
      <c r="BY797" s="131"/>
      <c r="BZ797" s="131"/>
      <c r="CA797" s="131"/>
      <c r="CB797" s="131"/>
      <c r="CC797" s="131"/>
      <c r="CD797" s="131"/>
      <c r="CE797" s="131"/>
    </row>
    <row r="798" ht="18.75" customHeight="1">
      <c r="C798" s="64"/>
      <c r="E798" s="64"/>
      <c r="F798" s="64"/>
      <c r="G798" s="64"/>
      <c r="AH798" s="162"/>
      <c r="AI798" s="162"/>
      <c r="AJ798" s="162"/>
      <c r="AK798" s="162"/>
      <c r="BS798" s="131"/>
      <c r="BT798" s="131"/>
      <c r="BU798" s="131"/>
      <c r="BV798" s="131"/>
      <c r="BW798" s="131"/>
      <c r="BX798" s="131"/>
      <c r="BY798" s="131"/>
      <c r="BZ798" s="131"/>
      <c r="CA798" s="131"/>
      <c r="CB798" s="131"/>
      <c r="CC798" s="131"/>
      <c r="CD798" s="131"/>
      <c r="CE798" s="131"/>
    </row>
    <row r="799" ht="18.75" customHeight="1">
      <c r="C799" s="64"/>
      <c r="E799" s="64"/>
      <c r="F799" s="64"/>
      <c r="G799" s="64"/>
      <c r="AH799" s="162"/>
      <c r="AI799" s="162"/>
      <c r="AJ799" s="162"/>
      <c r="AK799" s="162"/>
      <c r="BS799" s="131"/>
      <c r="BT799" s="131"/>
      <c r="BU799" s="131"/>
      <c r="BV799" s="131"/>
      <c r="BW799" s="131"/>
      <c r="BX799" s="131"/>
      <c r="BY799" s="131"/>
      <c r="BZ799" s="131"/>
      <c r="CA799" s="131"/>
      <c r="CB799" s="131"/>
      <c r="CC799" s="131"/>
      <c r="CD799" s="131"/>
      <c r="CE799" s="131"/>
    </row>
    <row r="800" ht="18.75" customHeight="1">
      <c r="C800" s="64"/>
      <c r="E800" s="64"/>
      <c r="F800" s="64"/>
      <c r="G800" s="64"/>
      <c r="AH800" s="162"/>
      <c r="AI800" s="162"/>
      <c r="AJ800" s="162"/>
      <c r="AK800" s="162"/>
      <c r="BS800" s="131"/>
      <c r="BT800" s="131"/>
      <c r="BU800" s="131"/>
      <c r="BV800" s="131"/>
      <c r="BW800" s="131"/>
      <c r="BX800" s="131"/>
      <c r="BY800" s="131"/>
      <c r="BZ800" s="131"/>
      <c r="CA800" s="131"/>
      <c r="CB800" s="131"/>
      <c r="CC800" s="131"/>
      <c r="CD800" s="131"/>
      <c r="CE800" s="131"/>
    </row>
    <row r="801" ht="18.75" customHeight="1">
      <c r="C801" s="64"/>
      <c r="E801" s="64"/>
      <c r="F801" s="64"/>
      <c r="G801" s="64"/>
      <c r="AH801" s="162"/>
      <c r="AI801" s="162"/>
      <c r="AJ801" s="162"/>
      <c r="AK801" s="162"/>
      <c r="BS801" s="131"/>
      <c r="BT801" s="131"/>
      <c r="BU801" s="131"/>
      <c r="BV801" s="131"/>
      <c r="BW801" s="131"/>
      <c r="BX801" s="131"/>
      <c r="BY801" s="131"/>
      <c r="BZ801" s="131"/>
      <c r="CA801" s="131"/>
      <c r="CB801" s="131"/>
      <c r="CC801" s="131"/>
      <c r="CD801" s="131"/>
      <c r="CE801" s="131"/>
    </row>
    <row r="802" ht="18.75" customHeight="1">
      <c r="C802" s="64"/>
      <c r="E802" s="64"/>
      <c r="F802" s="64"/>
      <c r="G802" s="64"/>
      <c r="AH802" s="162"/>
      <c r="AI802" s="162"/>
      <c r="AJ802" s="162"/>
      <c r="AK802" s="162"/>
      <c r="BS802" s="131"/>
      <c r="BT802" s="131"/>
      <c r="BU802" s="131"/>
      <c r="BV802" s="131"/>
      <c r="BW802" s="131"/>
      <c r="BX802" s="131"/>
      <c r="BY802" s="131"/>
      <c r="BZ802" s="131"/>
      <c r="CA802" s="131"/>
      <c r="CB802" s="131"/>
      <c r="CC802" s="131"/>
      <c r="CD802" s="131"/>
      <c r="CE802" s="131"/>
    </row>
    <row r="803" ht="18.75" customHeight="1">
      <c r="C803" s="64"/>
      <c r="E803" s="64"/>
      <c r="F803" s="64"/>
      <c r="G803" s="64"/>
      <c r="AH803" s="162"/>
      <c r="AI803" s="162"/>
      <c r="AJ803" s="162"/>
      <c r="AK803" s="162"/>
      <c r="BS803" s="131"/>
      <c r="BT803" s="131"/>
      <c r="BU803" s="131"/>
      <c r="BV803" s="131"/>
      <c r="BW803" s="131"/>
      <c r="BX803" s="131"/>
      <c r="BY803" s="131"/>
      <c r="BZ803" s="131"/>
      <c r="CA803" s="131"/>
      <c r="CB803" s="131"/>
      <c r="CC803" s="131"/>
      <c r="CD803" s="131"/>
      <c r="CE803" s="131"/>
    </row>
    <row r="804" ht="18.75" customHeight="1">
      <c r="C804" s="64"/>
      <c r="E804" s="64"/>
      <c r="F804" s="64"/>
      <c r="G804" s="64"/>
      <c r="AH804" s="162"/>
      <c r="AI804" s="162"/>
      <c r="AJ804" s="162"/>
      <c r="AK804" s="162"/>
      <c r="BS804" s="131"/>
      <c r="BT804" s="131"/>
      <c r="BU804" s="131"/>
      <c r="BV804" s="131"/>
      <c r="BW804" s="131"/>
      <c r="BX804" s="131"/>
      <c r="BY804" s="131"/>
      <c r="BZ804" s="131"/>
      <c r="CA804" s="131"/>
      <c r="CB804" s="131"/>
      <c r="CC804" s="131"/>
      <c r="CD804" s="131"/>
      <c r="CE804" s="131"/>
    </row>
    <row r="805" ht="18.75" customHeight="1">
      <c r="C805" s="64"/>
      <c r="E805" s="64"/>
      <c r="F805" s="64"/>
      <c r="G805" s="64"/>
      <c r="AH805" s="162"/>
      <c r="AI805" s="162"/>
      <c r="AJ805" s="162"/>
      <c r="AK805" s="162"/>
      <c r="BS805" s="131"/>
      <c r="BT805" s="131"/>
      <c r="BU805" s="131"/>
      <c r="BV805" s="131"/>
      <c r="BW805" s="131"/>
      <c r="BX805" s="131"/>
      <c r="BY805" s="131"/>
      <c r="BZ805" s="131"/>
      <c r="CA805" s="131"/>
      <c r="CB805" s="131"/>
      <c r="CC805" s="131"/>
      <c r="CD805" s="131"/>
      <c r="CE805" s="131"/>
    </row>
    <row r="806" ht="18.75" customHeight="1">
      <c r="C806" s="64"/>
      <c r="E806" s="64"/>
      <c r="F806" s="64"/>
      <c r="G806" s="64"/>
      <c r="AH806" s="162"/>
      <c r="AI806" s="162"/>
      <c r="AJ806" s="162"/>
      <c r="AK806" s="162"/>
      <c r="BS806" s="131"/>
      <c r="BT806" s="131"/>
      <c r="BU806" s="131"/>
      <c r="BV806" s="131"/>
      <c r="BW806" s="131"/>
      <c r="BX806" s="131"/>
      <c r="BY806" s="131"/>
      <c r="BZ806" s="131"/>
      <c r="CA806" s="131"/>
      <c r="CB806" s="131"/>
      <c r="CC806" s="131"/>
      <c r="CD806" s="131"/>
      <c r="CE806" s="131"/>
    </row>
    <row r="807" ht="18.75" customHeight="1">
      <c r="C807" s="64"/>
      <c r="E807" s="64"/>
      <c r="F807" s="64"/>
      <c r="G807" s="64"/>
      <c r="AH807" s="162"/>
      <c r="AI807" s="162"/>
      <c r="AJ807" s="162"/>
      <c r="AK807" s="162"/>
      <c r="BS807" s="131"/>
      <c r="BT807" s="131"/>
      <c r="BU807" s="131"/>
      <c r="BV807" s="131"/>
      <c r="BW807" s="131"/>
      <c r="BX807" s="131"/>
      <c r="BY807" s="131"/>
      <c r="BZ807" s="131"/>
      <c r="CA807" s="131"/>
      <c r="CB807" s="131"/>
      <c r="CC807" s="131"/>
      <c r="CD807" s="131"/>
      <c r="CE807" s="131"/>
    </row>
    <row r="808" ht="18.75" customHeight="1">
      <c r="C808" s="64"/>
      <c r="E808" s="64"/>
      <c r="F808" s="64"/>
      <c r="G808" s="64"/>
      <c r="AH808" s="162"/>
      <c r="AI808" s="162"/>
      <c r="AJ808" s="162"/>
      <c r="AK808" s="162"/>
      <c r="BS808" s="131"/>
      <c r="BT808" s="131"/>
      <c r="BU808" s="131"/>
      <c r="BV808" s="131"/>
      <c r="BW808" s="131"/>
      <c r="BX808" s="131"/>
      <c r="BY808" s="131"/>
      <c r="BZ808" s="131"/>
      <c r="CA808" s="131"/>
      <c r="CB808" s="131"/>
      <c r="CC808" s="131"/>
      <c r="CD808" s="131"/>
      <c r="CE808" s="131"/>
    </row>
    <row r="809" ht="18.75" customHeight="1">
      <c r="C809" s="64"/>
      <c r="E809" s="64"/>
      <c r="F809" s="64"/>
      <c r="G809" s="64"/>
      <c r="AH809" s="162"/>
      <c r="AI809" s="162"/>
      <c r="AJ809" s="162"/>
      <c r="AK809" s="162"/>
      <c r="BS809" s="131"/>
      <c r="BT809" s="131"/>
      <c r="BU809" s="131"/>
      <c r="BV809" s="131"/>
      <c r="BW809" s="131"/>
      <c r="BX809" s="131"/>
      <c r="BY809" s="131"/>
      <c r="BZ809" s="131"/>
      <c r="CA809" s="131"/>
      <c r="CB809" s="131"/>
      <c r="CC809" s="131"/>
      <c r="CD809" s="131"/>
      <c r="CE809" s="131"/>
    </row>
    <row r="810" ht="18.75" customHeight="1">
      <c r="C810" s="64"/>
      <c r="E810" s="64"/>
      <c r="F810" s="64"/>
      <c r="G810" s="64"/>
      <c r="AH810" s="162"/>
      <c r="AI810" s="162"/>
      <c r="AJ810" s="162"/>
      <c r="AK810" s="162"/>
      <c r="BS810" s="131"/>
      <c r="BT810" s="131"/>
      <c r="BU810" s="131"/>
      <c r="BV810" s="131"/>
      <c r="BW810" s="131"/>
      <c r="BX810" s="131"/>
      <c r="BY810" s="131"/>
      <c r="BZ810" s="131"/>
      <c r="CA810" s="131"/>
      <c r="CB810" s="131"/>
      <c r="CC810" s="131"/>
      <c r="CD810" s="131"/>
      <c r="CE810" s="131"/>
    </row>
    <row r="811" ht="18.75" customHeight="1">
      <c r="C811" s="64"/>
      <c r="E811" s="64"/>
      <c r="F811" s="64"/>
      <c r="G811" s="64"/>
      <c r="AH811" s="162"/>
      <c r="AI811" s="162"/>
      <c r="AJ811" s="162"/>
      <c r="AK811" s="162"/>
      <c r="BS811" s="131"/>
      <c r="BT811" s="131"/>
      <c r="BU811" s="131"/>
      <c r="BV811" s="131"/>
      <c r="BW811" s="131"/>
      <c r="BX811" s="131"/>
      <c r="BY811" s="131"/>
      <c r="BZ811" s="131"/>
      <c r="CA811" s="131"/>
      <c r="CB811" s="131"/>
      <c r="CC811" s="131"/>
      <c r="CD811" s="131"/>
      <c r="CE811" s="131"/>
    </row>
    <row r="812" ht="18.75" customHeight="1">
      <c r="C812" s="64"/>
      <c r="E812" s="64"/>
      <c r="F812" s="64"/>
      <c r="G812" s="64"/>
      <c r="AH812" s="162"/>
      <c r="AI812" s="162"/>
      <c r="AJ812" s="162"/>
      <c r="AK812" s="162"/>
      <c r="BS812" s="131"/>
      <c r="BT812" s="131"/>
      <c r="BU812" s="131"/>
      <c r="BV812" s="131"/>
      <c r="BW812" s="131"/>
      <c r="BX812" s="131"/>
      <c r="BY812" s="131"/>
      <c r="BZ812" s="131"/>
      <c r="CA812" s="131"/>
      <c r="CB812" s="131"/>
      <c r="CC812" s="131"/>
      <c r="CD812" s="131"/>
      <c r="CE812" s="131"/>
    </row>
    <row r="813" ht="18.75" customHeight="1">
      <c r="C813" s="64"/>
      <c r="E813" s="64"/>
      <c r="F813" s="64"/>
      <c r="G813" s="64"/>
      <c r="AH813" s="162"/>
      <c r="AI813" s="162"/>
      <c r="AJ813" s="162"/>
      <c r="AK813" s="162"/>
      <c r="BS813" s="131"/>
      <c r="BT813" s="131"/>
      <c r="BU813" s="131"/>
      <c r="BV813" s="131"/>
      <c r="BW813" s="131"/>
      <c r="BX813" s="131"/>
      <c r="BY813" s="131"/>
      <c r="BZ813" s="131"/>
      <c r="CA813" s="131"/>
      <c r="CB813" s="131"/>
      <c r="CC813" s="131"/>
      <c r="CD813" s="131"/>
      <c r="CE813" s="131"/>
    </row>
    <row r="814" ht="18.75" customHeight="1">
      <c r="C814" s="64"/>
      <c r="E814" s="64"/>
      <c r="F814" s="64"/>
      <c r="G814" s="64"/>
      <c r="AH814" s="162"/>
      <c r="AI814" s="162"/>
      <c r="AJ814" s="162"/>
      <c r="AK814" s="162"/>
      <c r="BS814" s="131"/>
      <c r="BT814" s="131"/>
      <c r="BU814" s="131"/>
      <c r="BV814" s="131"/>
      <c r="BW814" s="131"/>
      <c r="BX814" s="131"/>
      <c r="BY814" s="131"/>
      <c r="BZ814" s="131"/>
      <c r="CA814" s="131"/>
      <c r="CB814" s="131"/>
      <c r="CC814" s="131"/>
      <c r="CD814" s="131"/>
      <c r="CE814" s="131"/>
    </row>
    <row r="815" ht="18.75" customHeight="1">
      <c r="C815" s="64"/>
      <c r="E815" s="64"/>
      <c r="F815" s="64"/>
      <c r="G815" s="64"/>
      <c r="AH815" s="162"/>
      <c r="AI815" s="162"/>
      <c r="AJ815" s="162"/>
      <c r="AK815" s="162"/>
      <c r="BS815" s="131"/>
      <c r="BT815" s="131"/>
      <c r="BU815" s="131"/>
      <c r="BV815" s="131"/>
      <c r="BW815" s="131"/>
      <c r="BX815" s="131"/>
      <c r="BY815" s="131"/>
      <c r="BZ815" s="131"/>
      <c r="CA815" s="131"/>
      <c r="CB815" s="131"/>
      <c r="CC815" s="131"/>
      <c r="CD815" s="131"/>
      <c r="CE815" s="131"/>
    </row>
    <row r="816" ht="18.75" customHeight="1">
      <c r="C816" s="64"/>
      <c r="E816" s="64"/>
      <c r="F816" s="64"/>
      <c r="G816" s="64"/>
      <c r="AH816" s="162"/>
      <c r="AI816" s="162"/>
      <c r="AJ816" s="162"/>
      <c r="AK816" s="162"/>
      <c r="BS816" s="131"/>
      <c r="BT816" s="131"/>
      <c r="BU816" s="131"/>
      <c r="BV816" s="131"/>
      <c r="BW816" s="131"/>
      <c r="BX816" s="131"/>
      <c r="BY816" s="131"/>
      <c r="BZ816" s="131"/>
      <c r="CA816" s="131"/>
      <c r="CB816" s="131"/>
      <c r="CC816" s="131"/>
      <c r="CD816" s="131"/>
      <c r="CE816" s="131"/>
    </row>
    <row r="817" ht="18.75" customHeight="1">
      <c r="C817" s="64"/>
      <c r="E817" s="64"/>
      <c r="F817" s="64"/>
      <c r="G817" s="64"/>
      <c r="AH817" s="162"/>
      <c r="AI817" s="162"/>
      <c r="AJ817" s="162"/>
      <c r="AK817" s="162"/>
      <c r="BS817" s="131"/>
      <c r="BT817" s="131"/>
      <c r="BU817" s="131"/>
      <c r="BV817" s="131"/>
      <c r="BW817" s="131"/>
      <c r="BX817" s="131"/>
      <c r="BY817" s="131"/>
      <c r="BZ817" s="131"/>
      <c r="CA817" s="131"/>
      <c r="CB817" s="131"/>
      <c r="CC817" s="131"/>
      <c r="CD817" s="131"/>
      <c r="CE817" s="131"/>
    </row>
    <row r="818" ht="18.75" customHeight="1">
      <c r="C818" s="64"/>
      <c r="E818" s="64"/>
      <c r="F818" s="64"/>
      <c r="G818" s="64"/>
      <c r="AH818" s="162"/>
      <c r="AI818" s="162"/>
      <c r="AJ818" s="162"/>
      <c r="AK818" s="162"/>
      <c r="BS818" s="131"/>
      <c r="BT818" s="131"/>
      <c r="BU818" s="131"/>
      <c r="BV818" s="131"/>
      <c r="BW818" s="131"/>
      <c r="BX818" s="131"/>
      <c r="BY818" s="131"/>
      <c r="BZ818" s="131"/>
      <c r="CA818" s="131"/>
      <c r="CB818" s="131"/>
      <c r="CC818" s="131"/>
      <c r="CD818" s="131"/>
      <c r="CE818" s="131"/>
    </row>
    <row r="819" ht="18.75" customHeight="1">
      <c r="C819" s="64"/>
      <c r="E819" s="64"/>
      <c r="F819" s="64"/>
      <c r="G819" s="64"/>
      <c r="AH819" s="162"/>
      <c r="AI819" s="162"/>
      <c r="AJ819" s="162"/>
      <c r="AK819" s="162"/>
      <c r="BS819" s="131"/>
      <c r="BT819" s="131"/>
      <c r="BU819" s="131"/>
      <c r="BV819" s="131"/>
      <c r="BW819" s="131"/>
      <c r="BX819" s="131"/>
      <c r="BY819" s="131"/>
      <c r="BZ819" s="131"/>
      <c r="CA819" s="131"/>
      <c r="CB819" s="131"/>
      <c r="CC819" s="131"/>
      <c r="CD819" s="131"/>
      <c r="CE819" s="131"/>
    </row>
    <row r="820" ht="18.75" customHeight="1">
      <c r="C820" s="64"/>
      <c r="E820" s="64"/>
      <c r="F820" s="64"/>
      <c r="G820" s="64"/>
      <c r="AH820" s="162"/>
      <c r="AI820" s="162"/>
      <c r="AJ820" s="162"/>
      <c r="AK820" s="162"/>
      <c r="BS820" s="131"/>
      <c r="BT820" s="131"/>
      <c r="BU820" s="131"/>
      <c r="BV820" s="131"/>
      <c r="BW820" s="131"/>
      <c r="BX820" s="131"/>
      <c r="BY820" s="131"/>
      <c r="BZ820" s="131"/>
      <c r="CA820" s="131"/>
      <c r="CB820" s="131"/>
      <c r="CC820" s="131"/>
      <c r="CD820" s="131"/>
      <c r="CE820" s="131"/>
    </row>
    <row r="821" ht="18.75" customHeight="1">
      <c r="C821" s="64"/>
      <c r="E821" s="64"/>
      <c r="F821" s="64"/>
      <c r="G821" s="64"/>
      <c r="AH821" s="162"/>
      <c r="AI821" s="162"/>
      <c r="AJ821" s="162"/>
      <c r="AK821" s="162"/>
      <c r="BS821" s="131"/>
      <c r="BT821" s="131"/>
      <c r="BU821" s="131"/>
      <c r="BV821" s="131"/>
      <c r="BW821" s="131"/>
      <c r="BX821" s="131"/>
      <c r="BY821" s="131"/>
      <c r="BZ821" s="131"/>
      <c r="CA821" s="131"/>
      <c r="CB821" s="131"/>
      <c r="CC821" s="131"/>
      <c r="CD821" s="131"/>
      <c r="CE821" s="131"/>
    </row>
    <row r="822" ht="18.75" customHeight="1">
      <c r="C822" s="64"/>
      <c r="E822" s="64"/>
      <c r="F822" s="64"/>
      <c r="G822" s="64"/>
      <c r="AH822" s="162"/>
      <c r="AI822" s="162"/>
      <c r="AJ822" s="162"/>
      <c r="AK822" s="162"/>
      <c r="BS822" s="131"/>
      <c r="BT822" s="131"/>
      <c r="BU822" s="131"/>
      <c r="BV822" s="131"/>
      <c r="BW822" s="131"/>
      <c r="BX822" s="131"/>
      <c r="BY822" s="131"/>
      <c r="BZ822" s="131"/>
      <c r="CA822" s="131"/>
      <c r="CB822" s="131"/>
      <c r="CC822" s="131"/>
      <c r="CD822" s="131"/>
      <c r="CE822" s="131"/>
    </row>
    <row r="823" ht="18.75" customHeight="1">
      <c r="C823" s="64"/>
      <c r="E823" s="64"/>
      <c r="F823" s="64"/>
      <c r="G823" s="64"/>
      <c r="AH823" s="162"/>
      <c r="AI823" s="162"/>
      <c r="AJ823" s="162"/>
      <c r="AK823" s="162"/>
      <c r="BS823" s="131"/>
      <c r="BT823" s="131"/>
      <c r="BU823" s="131"/>
      <c r="BV823" s="131"/>
      <c r="BW823" s="131"/>
      <c r="BX823" s="131"/>
      <c r="BY823" s="131"/>
      <c r="BZ823" s="131"/>
      <c r="CA823" s="131"/>
      <c r="CB823" s="131"/>
      <c r="CC823" s="131"/>
      <c r="CD823" s="131"/>
      <c r="CE823" s="131"/>
    </row>
    <row r="824" ht="18.75" customHeight="1">
      <c r="C824" s="64"/>
      <c r="E824" s="64"/>
      <c r="F824" s="64"/>
      <c r="G824" s="64"/>
      <c r="AH824" s="162"/>
      <c r="AI824" s="162"/>
      <c r="AJ824" s="162"/>
      <c r="AK824" s="162"/>
      <c r="BS824" s="131"/>
      <c r="BT824" s="131"/>
      <c r="BU824" s="131"/>
      <c r="BV824" s="131"/>
      <c r="BW824" s="131"/>
      <c r="BX824" s="131"/>
      <c r="BY824" s="131"/>
      <c r="BZ824" s="131"/>
      <c r="CA824" s="131"/>
      <c r="CB824" s="131"/>
      <c r="CC824" s="131"/>
      <c r="CD824" s="131"/>
      <c r="CE824" s="131"/>
    </row>
    <row r="825" ht="18.75" customHeight="1">
      <c r="C825" s="64"/>
      <c r="E825" s="64"/>
      <c r="F825" s="64"/>
      <c r="G825" s="64"/>
      <c r="AH825" s="162"/>
      <c r="AI825" s="162"/>
      <c r="AJ825" s="162"/>
      <c r="AK825" s="162"/>
      <c r="BS825" s="131"/>
      <c r="BT825" s="131"/>
      <c r="BU825" s="131"/>
      <c r="BV825" s="131"/>
      <c r="BW825" s="131"/>
      <c r="BX825" s="131"/>
      <c r="BY825" s="131"/>
      <c r="BZ825" s="131"/>
      <c r="CA825" s="131"/>
      <c r="CB825" s="131"/>
      <c r="CC825" s="131"/>
      <c r="CD825" s="131"/>
      <c r="CE825" s="131"/>
    </row>
    <row r="826" ht="18.75" customHeight="1">
      <c r="C826" s="64"/>
      <c r="E826" s="64"/>
      <c r="F826" s="64"/>
      <c r="G826" s="64"/>
      <c r="AH826" s="162"/>
      <c r="AI826" s="162"/>
      <c r="AJ826" s="162"/>
      <c r="AK826" s="162"/>
      <c r="BS826" s="131"/>
      <c r="BT826" s="131"/>
      <c r="BU826" s="131"/>
      <c r="BV826" s="131"/>
      <c r="BW826" s="131"/>
      <c r="BX826" s="131"/>
      <c r="BY826" s="131"/>
      <c r="BZ826" s="131"/>
      <c r="CA826" s="131"/>
      <c r="CB826" s="131"/>
      <c r="CC826" s="131"/>
      <c r="CD826" s="131"/>
      <c r="CE826" s="131"/>
    </row>
    <row r="827" ht="18.75" customHeight="1">
      <c r="C827" s="64"/>
      <c r="E827" s="64"/>
      <c r="F827" s="64"/>
      <c r="G827" s="64"/>
      <c r="AH827" s="162"/>
      <c r="AI827" s="162"/>
      <c r="AJ827" s="162"/>
      <c r="AK827" s="162"/>
      <c r="BS827" s="131"/>
      <c r="BT827" s="131"/>
      <c r="BU827" s="131"/>
      <c r="BV827" s="131"/>
      <c r="BW827" s="131"/>
      <c r="BX827" s="131"/>
      <c r="BY827" s="131"/>
      <c r="BZ827" s="131"/>
      <c r="CA827" s="131"/>
      <c r="CB827" s="131"/>
      <c r="CC827" s="131"/>
      <c r="CD827" s="131"/>
      <c r="CE827" s="131"/>
    </row>
    <row r="828" ht="18.75" customHeight="1">
      <c r="C828" s="64"/>
      <c r="E828" s="64"/>
      <c r="F828" s="64"/>
      <c r="G828" s="64"/>
      <c r="AH828" s="162"/>
      <c r="AI828" s="162"/>
      <c r="AJ828" s="162"/>
      <c r="AK828" s="162"/>
      <c r="BS828" s="131"/>
      <c r="BT828" s="131"/>
      <c r="BU828" s="131"/>
      <c r="BV828" s="131"/>
      <c r="BW828" s="131"/>
      <c r="BX828" s="131"/>
      <c r="BY828" s="131"/>
      <c r="BZ828" s="131"/>
      <c r="CA828" s="131"/>
      <c r="CB828" s="131"/>
      <c r="CC828" s="131"/>
      <c r="CD828" s="131"/>
      <c r="CE828" s="131"/>
    </row>
    <row r="829" ht="18.75" customHeight="1">
      <c r="C829" s="64"/>
      <c r="E829" s="64"/>
      <c r="F829" s="64"/>
      <c r="G829" s="64"/>
      <c r="AH829" s="162"/>
      <c r="AI829" s="162"/>
      <c r="AJ829" s="162"/>
      <c r="AK829" s="162"/>
      <c r="BS829" s="131"/>
      <c r="BT829" s="131"/>
      <c r="BU829" s="131"/>
      <c r="BV829" s="131"/>
      <c r="BW829" s="131"/>
      <c r="BX829" s="131"/>
      <c r="BY829" s="131"/>
      <c r="BZ829" s="131"/>
      <c r="CA829" s="131"/>
      <c r="CB829" s="131"/>
      <c r="CC829" s="131"/>
      <c r="CD829" s="131"/>
      <c r="CE829" s="131"/>
    </row>
    <row r="830" ht="18.75" customHeight="1">
      <c r="C830" s="64"/>
      <c r="E830" s="64"/>
      <c r="F830" s="64"/>
      <c r="G830" s="64"/>
      <c r="AH830" s="162"/>
      <c r="AI830" s="162"/>
      <c r="AJ830" s="162"/>
      <c r="AK830" s="162"/>
      <c r="BS830" s="131"/>
      <c r="BT830" s="131"/>
      <c r="BU830" s="131"/>
      <c r="BV830" s="131"/>
      <c r="BW830" s="131"/>
      <c r="BX830" s="131"/>
      <c r="BY830" s="131"/>
      <c r="BZ830" s="131"/>
      <c r="CA830" s="131"/>
      <c r="CB830" s="131"/>
      <c r="CC830" s="131"/>
      <c r="CD830" s="131"/>
      <c r="CE830" s="131"/>
    </row>
    <row r="831" ht="18.75" customHeight="1">
      <c r="C831" s="64"/>
      <c r="E831" s="64"/>
      <c r="F831" s="64"/>
      <c r="G831" s="64"/>
      <c r="AH831" s="162"/>
      <c r="AI831" s="162"/>
      <c r="AJ831" s="162"/>
      <c r="AK831" s="162"/>
      <c r="BS831" s="131"/>
      <c r="BT831" s="131"/>
      <c r="BU831" s="131"/>
      <c r="BV831" s="131"/>
      <c r="BW831" s="131"/>
      <c r="BX831" s="131"/>
      <c r="BY831" s="131"/>
      <c r="BZ831" s="131"/>
      <c r="CA831" s="131"/>
      <c r="CB831" s="131"/>
      <c r="CC831" s="131"/>
      <c r="CD831" s="131"/>
      <c r="CE831" s="131"/>
    </row>
    <row r="832" ht="18.75" customHeight="1">
      <c r="C832" s="64"/>
      <c r="E832" s="64"/>
      <c r="F832" s="64"/>
      <c r="G832" s="64"/>
      <c r="AH832" s="162"/>
      <c r="AI832" s="162"/>
      <c r="AJ832" s="162"/>
      <c r="AK832" s="162"/>
      <c r="BS832" s="131"/>
      <c r="BT832" s="131"/>
      <c r="BU832" s="131"/>
      <c r="BV832" s="131"/>
      <c r="BW832" s="131"/>
      <c r="BX832" s="131"/>
      <c r="BY832" s="131"/>
      <c r="BZ832" s="131"/>
      <c r="CA832" s="131"/>
      <c r="CB832" s="131"/>
      <c r="CC832" s="131"/>
      <c r="CD832" s="131"/>
      <c r="CE832" s="131"/>
    </row>
    <row r="833" ht="18.75" customHeight="1">
      <c r="C833" s="64"/>
      <c r="E833" s="64"/>
      <c r="F833" s="64"/>
      <c r="G833" s="64"/>
      <c r="AH833" s="162"/>
      <c r="AI833" s="162"/>
      <c r="AJ833" s="162"/>
      <c r="AK833" s="162"/>
      <c r="BS833" s="131"/>
      <c r="BT833" s="131"/>
      <c r="BU833" s="131"/>
      <c r="BV833" s="131"/>
      <c r="BW833" s="131"/>
      <c r="BX833" s="131"/>
      <c r="BY833" s="131"/>
      <c r="BZ833" s="131"/>
      <c r="CA833" s="131"/>
      <c r="CB833" s="131"/>
      <c r="CC833" s="131"/>
      <c r="CD833" s="131"/>
      <c r="CE833" s="131"/>
    </row>
    <row r="834" ht="18.75" customHeight="1">
      <c r="C834" s="64"/>
      <c r="E834" s="64"/>
      <c r="F834" s="64"/>
      <c r="G834" s="64"/>
      <c r="AH834" s="162"/>
      <c r="AI834" s="162"/>
      <c r="AJ834" s="162"/>
      <c r="AK834" s="162"/>
      <c r="BS834" s="131"/>
      <c r="BT834" s="131"/>
      <c r="BU834" s="131"/>
      <c r="BV834" s="131"/>
      <c r="BW834" s="131"/>
      <c r="BX834" s="131"/>
      <c r="BY834" s="131"/>
      <c r="BZ834" s="131"/>
      <c r="CA834" s="131"/>
      <c r="CB834" s="131"/>
      <c r="CC834" s="131"/>
      <c r="CD834" s="131"/>
      <c r="CE834" s="131"/>
    </row>
    <row r="835" ht="18.75" customHeight="1">
      <c r="C835" s="64"/>
      <c r="E835" s="64"/>
      <c r="F835" s="64"/>
      <c r="G835" s="64"/>
      <c r="AH835" s="162"/>
      <c r="AI835" s="162"/>
      <c r="AJ835" s="162"/>
      <c r="AK835" s="162"/>
      <c r="BS835" s="131"/>
      <c r="BT835" s="131"/>
      <c r="BU835" s="131"/>
      <c r="BV835" s="131"/>
      <c r="BW835" s="131"/>
      <c r="BX835" s="131"/>
      <c r="BY835" s="131"/>
      <c r="BZ835" s="131"/>
      <c r="CA835" s="131"/>
      <c r="CB835" s="131"/>
      <c r="CC835" s="131"/>
      <c r="CD835" s="131"/>
      <c r="CE835" s="131"/>
    </row>
    <row r="836" ht="18.75" customHeight="1">
      <c r="C836" s="64"/>
      <c r="E836" s="64"/>
      <c r="F836" s="64"/>
      <c r="G836" s="64"/>
      <c r="AH836" s="162"/>
      <c r="AI836" s="162"/>
      <c r="AJ836" s="162"/>
      <c r="AK836" s="162"/>
      <c r="BS836" s="131"/>
      <c r="BT836" s="131"/>
      <c r="BU836" s="131"/>
      <c r="BV836" s="131"/>
      <c r="BW836" s="131"/>
      <c r="BX836" s="131"/>
      <c r="BY836" s="131"/>
      <c r="BZ836" s="131"/>
      <c r="CA836" s="131"/>
      <c r="CB836" s="131"/>
      <c r="CC836" s="131"/>
      <c r="CD836" s="131"/>
      <c r="CE836" s="131"/>
    </row>
    <row r="837" ht="18.75" customHeight="1">
      <c r="C837" s="64"/>
      <c r="E837" s="64"/>
      <c r="F837" s="64"/>
      <c r="G837" s="64"/>
      <c r="AH837" s="162"/>
      <c r="AI837" s="162"/>
      <c r="AJ837" s="162"/>
      <c r="AK837" s="162"/>
      <c r="BS837" s="131"/>
      <c r="BT837" s="131"/>
      <c r="BU837" s="131"/>
      <c r="BV837" s="131"/>
      <c r="BW837" s="131"/>
      <c r="BX837" s="131"/>
      <c r="BY837" s="131"/>
      <c r="BZ837" s="131"/>
      <c r="CA837" s="131"/>
      <c r="CB837" s="131"/>
      <c r="CC837" s="131"/>
      <c r="CD837" s="131"/>
      <c r="CE837" s="131"/>
    </row>
    <row r="838" ht="18.75" customHeight="1">
      <c r="C838" s="64"/>
      <c r="E838" s="64"/>
      <c r="F838" s="64"/>
      <c r="G838" s="64"/>
      <c r="AH838" s="162"/>
      <c r="AI838" s="162"/>
      <c r="AJ838" s="162"/>
      <c r="AK838" s="162"/>
      <c r="BS838" s="131"/>
      <c r="BT838" s="131"/>
      <c r="BU838" s="131"/>
      <c r="BV838" s="131"/>
      <c r="BW838" s="131"/>
      <c r="BX838" s="131"/>
      <c r="BY838" s="131"/>
      <c r="BZ838" s="131"/>
      <c r="CA838" s="131"/>
      <c r="CB838" s="131"/>
      <c r="CC838" s="131"/>
      <c r="CD838" s="131"/>
      <c r="CE838" s="131"/>
    </row>
    <row r="839" ht="18.75" customHeight="1">
      <c r="C839" s="64"/>
      <c r="E839" s="64"/>
      <c r="F839" s="64"/>
      <c r="G839" s="64"/>
      <c r="AH839" s="162"/>
      <c r="AI839" s="162"/>
      <c r="AJ839" s="162"/>
      <c r="AK839" s="162"/>
      <c r="BS839" s="131"/>
      <c r="BT839" s="131"/>
      <c r="BU839" s="131"/>
      <c r="BV839" s="131"/>
      <c r="BW839" s="131"/>
      <c r="BX839" s="131"/>
      <c r="BY839" s="131"/>
      <c r="BZ839" s="131"/>
      <c r="CA839" s="131"/>
      <c r="CB839" s="131"/>
      <c r="CC839" s="131"/>
      <c r="CD839" s="131"/>
      <c r="CE839" s="131"/>
    </row>
    <row r="840" ht="18.75" customHeight="1">
      <c r="C840" s="64"/>
      <c r="E840" s="64"/>
      <c r="F840" s="64"/>
      <c r="G840" s="64"/>
      <c r="AH840" s="162"/>
      <c r="AI840" s="162"/>
      <c r="AJ840" s="162"/>
      <c r="AK840" s="162"/>
      <c r="BS840" s="131"/>
      <c r="BT840" s="131"/>
      <c r="BU840" s="131"/>
      <c r="BV840" s="131"/>
      <c r="BW840" s="131"/>
      <c r="BX840" s="131"/>
      <c r="BY840" s="131"/>
      <c r="BZ840" s="131"/>
      <c r="CA840" s="131"/>
      <c r="CB840" s="131"/>
      <c r="CC840" s="131"/>
      <c r="CD840" s="131"/>
      <c r="CE840" s="131"/>
    </row>
    <row r="841" ht="18.75" customHeight="1">
      <c r="C841" s="64"/>
      <c r="E841" s="64"/>
      <c r="F841" s="64"/>
      <c r="G841" s="64"/>
      <c r="AH841" s="162"/>
      <c r="AI841" s="162"/>
      <c r="AJ841" s="162"/>
      <c r="AK841" s="162"/>
      <c r="BS841" s="131"/>
      <c r="BT841" s="131"/>
      <c r="BU841" s="131"/>
      <c r="BV841" s="131"/>
      <c r="BW841" s="131"/>
      <c r="BX841" s="131"/>
      <c r="BY841" s="131"/>
      <c r="BZ841" s="131"/>
      <c r="CA841" s="131"/>
      <c r="CB841" s="131"/>
      <c r="CC841" s="131"/>
      <c r="CD841" s="131"/>
      <c r="CE841" s="131"/>
    </row>
    <row r="842" ht="18.75" customHeight="1">
      <c r="C842" s="64"/>
      <c r="E842" s="64"/>
      <c r="F842" s="64"/>
      <c r="G842" s="64"/>
      <c r="AH842" s="162"/>
      <c r="AI842" s="162"/>
      <c r="AJ842" s="162"/>
      <c r="AK842" s="162"/>
      <c r="BS842" s="131"/>
      <c r="BT842" s="131"/>
      <c r="BU842" s="131"/>
      <c r="BV842" s="131"/>
      <c r="BW842" s="131"/>
      <c r="BX842" s="131"/>
      <c r="BY842" s="131"/>
      <c r="BZ842" s="131"/>
      <c r="CA842" s="131"/>
      <c r="CB842" s="131"/>
      <c r="CC842" s="131"/>
      <c r="CD842" s="131"/>
      <c r="CE842" s="131"/>
    </row>
    <row r="843" ht="18.75" customHeight="1">
      <c r="C843" s="64"/>
      <c r="E843" s="64"/>
      <c r="F843" s="64"/>
      <c r="G843" s="64"/>
      <c r="AH843" s="162"/>
      <c r="AI843" s="162"/>
      <c r="AJ843" s="162"/>
      <c r="AK843" s="162"/>
      <c r="BS843" s="131"/>
      <c r="BT843" s="131"/>
      <c r="BU843" s="131"/>
      <c r="BV843" s="131"/>
      <c r="BW843" s="131"/>
      <c r="BX843" s="131"/>
      <c r="BY843" s="131"/>
      <c r="BZ843" s="131"/>
      <c r="CA843" s="131"/>
      <c r="CB843" s="131"/>
      <c r="CC843" s="131"/>
      <c r="CD843" s="131"/>
      <c r="CE843" s="131"/>
    </row>
    <row r="844" ht="18.75" customHeight="1">
      <c r="C844" s="64"/>
      <c r="E844" s="64"/>
      <c r="F844" s="64"/>
      <c r="G844" s="64"/>
      <c r="AH844" s="162"/>
      <c r="AI844" s="162"/>
      <c r="AJ844" s="162"/>
      <c r="AK844" s="162"/>
      <c r="BS844" s="131"/>
      <c r="BT844" s="131"/>
      <c r="BU844" s="131"/>
      <c r="BV844" s="131"/>
      <c r="BW844" s="131"/>
      <c r="BX844" s="131"/>
      <c r="BY844" s="131"/>
      <c r="BZ844" s="131"/>
      <c r="CA844" s="131"/>
      <c r="CB844" s="131"/>
      <c r="CC844" s="131"/>
      <c r="CD844" s="131"/>
      <c r="CE844" s="131"/>
    </row>
    <row r="845" ht="18.75" customHeight="1">
      <c r="C845" s="64"/>
      <c r="E845" s="64"/>
      <c r="F845" s="64"/>
      <c r="G845" s="64"/>
      <c r="AH845" s="162"/>
      <c r="AI845" s="162"/>
      <c r="AJ845" s="162"/>
      <c r="AK845" s="162"/>
      <c r="BS845" s="131"/>
      <c r="BT845" s="131"/>
      <c r="BU845" s="131"/>
      <c r="BV845" s="131"/>
      <c r="BW845" s="131"/>
      <c r="BX845" s="131"/>
      <c r="BY845" s="131"/>
      <c r="BZ845" s="131"/>
      <c r="CA845" s="131"/>
      <c r="CB845" s="131"/>
      <c r="CC845" s="131"/>
      <c r="CD845" s="131"/>
      <c r="CE845" s="131"/>
    </row>
    <row r="846" ht="18.75" customHeight="1">
      <c r="C846" s="64"/>
      <c r="E846" s="64"/>
      <c r="F846" s="64"/>
      <c r="G846" s="64"/>
      <c r="AH846" s="162"/>
      <c r="AI846" s="162"/>
      <c r="AJ846" s="162"/>
      <c r="AK846" s="162"/>
      <c r="BS846" s="131"/>
      <c r="BT846" s="131"/>
      <c r="BU846" s="131"/>
      <c r="BV846" s="131"/>
      <c r="BW846" s="131"/>
      <c r="BX846" s="131"/>
      <c r="BY846" s="131"/>
      <c r="BZ846" s="131"/>
      <c r="CA846" s="131"/>
      <c r="CB846" s="131"/>
      <c r="CC846" s="131"/>
      <c r="CD846" s="131"/>
      <c r="CE846" s="131"/>
    </row>
    <row r="847" ht="18.75" customHeight="1">
      <c r="C847" s="64"/>
      <c r="E847" s="64"/>
      <c r="F847" s="64"/>
      <c r="G847" s="64"/>
      <c r="AH847" s="162"/>
      <c r="AI847" s="162"/>
      <c r="AJ847" s="162"/>
      <c r="AK847" s="162"/>
      <c r="BS847" s="131"/>
      <c r="BT847" s="131"/>
      <c r="BU847" s="131"/>
      <c r="BV847" s="131"/>
      <c r="BW847" s="131"/>
      <c r="BX847" s="131"/>
      <c r="BY847" s="131"/>
      <c r="BZ847" s="131"/>
      <c r="CA847" s="131"/>
      <c r="CB847" s="131"/>
      <c r="CC847" s="131"/>
      <c r="CD847" s="131"/>
      <c r="CE847" s="131"/>
    </row>
    <row r="848" ht="18.75" customHeight="1">
      <c r="C848" s="64"/>
      <c r="E848" s="64"/>
      <c r="F848" s="64"/>
      <c r="G848" s="64"/>
      <c r="AH848" s="162"/>
      <c r="AI848" s="162"/>
      <c r="AJ848" s="162"/>
      <c r="AK848" s="162"/>
      <c r="BS848" s="131"/>
      <c r="BT848" s="131"/>
      <c r="BU848" s="131"/>
      <c r="BV848" s="131"/>
      <c r="BW848" s="131"/>
      <c r="BX848" s="131"/>
      <c r="BY848" s="131"/>
      <c r="BZ848" s="131"/>
      <c r="CA848" s="131"/>
      <c r="CB848" s="131"/>
      <c r="CC848" s="131"/>
      <c r="CD848" s="131"/>
      <c r="CE848" s="131"/>
    </row>
    <row r="849" ht="18.75" customHeight="1">
      <c r="C849" s="64"/>
      <c r="E849" s="64"/>
      <c r="F849" s="64"/>
      <c r="G849" s="64"/>
      <c r="AH849" s="162"/>
      <c r="AI849" s="162"/>
      <c r="AJ849" s="162"/>
      <c r="AK849" s="162"/>
      <c r="BS849" s="131"/>
      <c r="BT849" s="131"/>
      <c r="BU849" s="131"/>
      <c r="BV849" s="131"/>
      <c r="BW849" s="131"/>
      <c r="BX849" s="131"/>
      <c r="BY849" s="131"/>
      <c r="BZ849" s="131"/>
      <c r="CA849" s="131"/>
      <c r="CB849" s="131"/>
      <c r="CC849" s="131"/>
      <c r="CD849" s="131"/>
      <c r="CE849" s="131"/>
    </row>
    <row r="850" ht="18.75" customHeight="1">
      <c r="C850" s="64"/>
      <c r="E850" s="64"/>
      <c r="F850" s="64"/>
      <c r="G850" s="64"/>
      <c r="AH850" s="162"/>
      <c r="AI850" s="162"/>
      <c r="AJ850" s="162"/>
      <c r="AK850" s="162"/>
      <c r="BS850" s="131"/>
      <c r="BT850" s="131"/>
      <c r="BU850" s="131"/>
      <c r="BV850" s="131"/>
      <c r="BW850" s="131"/>
      <c r="BX850" s="131"/>
      <c r="BY850" s="131"/>
      <c r="BZ850" s="131"/>
      <c r="CA850" s="131"/>
      <c r="CB850" s="131"/>
      <c r="CC850" s="131"/>
      <c r="CD850" s="131"/>
      <c r="CE850" s="131"/>
    </row>
    <row r="851" ht="18.75" customHeight="1">
      <c r="C851" s="64"/>
      <c r="E851" s="64"/>
      <c r="F851" s="64"/>
      <c r="G851" s="64"/>
      <c r="AH851" s="162"/>
      <c r="AI851" s="162"/>
      <c r="AJ851" s="162"/>
      <c r="AK851" s="162"/>
      <c r="BS851" s="131"/>
      <c r="BT851" s="131"/>
      <c r="BU851" s="131"/>
      <c r="BV851" s="131"/>
      <c r="BW851" s="131"/>
      <c r="BX851" s="131"/>
      <c r="BY851" s="131"/>
      <c r="BZ851" s="131"/>
      <c r="CA851" s="131"/>
      <c r="CB851" s="131"/>
      <c r="CC851" s="131"/>
      <c r="CD851" s="131"/>
      <c r="CE851" s="131"/>
    </row>
    <row r="852" ht="18.75" customHeight="1">
      <c r="C852" s="64"/>
      <c r="E852" s="64"/>
      <c r="F852" s="64"/>
      <c r="G852" s="64"/>
      <c r="AH852" s="162"/>
      <c r="AI852" s="162"/>
      <c r="AJ852" s="162"/>
      <c r="AK852" s="162"/>
      <c r="BS852" s="131"/>
      <c r="BT852" s="131"/>
      <c r="BU852" s="131"/>
      <c r="BV852" s="131"/>
      <c r="BW852" s="131"/>
      <c r="BX852" s="131"/>
      <c r="BY852" s="131"/>
      <c r="BZ852" s="131"/>
      <c r="CA852" s="131"/>
      <c r="CB852" s="131"/>
      <c r="CC852" s="131"/>
      <c r="CD852" s="131"/>
      <c r="CE852" s="131"/>
    </row>
    <row r="853" ht="18.75" customHeight="1">
      <c r="C853" s="64"/>
      <c r="E853" s="64"/>
      <c r="F853" s="64"/>
      <c r="G853" s="64"/>
      <c r="AH853" s="162"/>
      <c r="AI853" s="162"/>
      <c r="AJ853" s="162"/>
      <c r="AK853" s="162"/>
      <c r="BS853" s="131"/>
      <c r="BT853" s="131"/>
      <c r="BU853" s="131"/>
      <c r="BV853" s="131"/>
      <c r="BW853" s="131"/>
      <c r="BX853" s="131"/>
      <c r="BY853" s="131"/>
      <c r="BZ853" s="131"/>
      <c r="CA853" s="131"/>
      <c r="CB853" s="131"/>
      <c r="CC853" s="131"/>
      <c r="CD853" s="131"/>
      <c r="CE853" s="131"/>
    </row>
    <row r="854" ht="18.75" customHeight="1">
      <c r="C854" s="64"/>
      <c r="E854" s="64"/>
      <c r="F854" s="64"/>
      <c r="G854" s="64"/>
      <c r="AH854" s="162"/>
      <c r="AI854" s="162"/>
      <c r="AJ854" s="162"/>
      <c r="AK854" s="162"/>
      <c r="BS854" s="131"/>
      <c r="BT854" s="131"/>
      <c r="BU854" s="131"/>
      <c r="BV854" s="131"/>
      <c r="BW854" s="131"/>
      <c r="BX854" s="131"/>
      <c r="BY854" s="131"/>
      <c r="BZ854" s="131"/>
      <c r="CA854" s="131"/>
      <c r="CB854" s="131"/>
      <c r="CC854" s="131"/>
      <c r="CD854" s="131"/>
      <c r="CE854" s="131"/>
    </row>
    <row r="855" ht="18.75" customHeight="1">
      <c r="C855" s="64"/>
      <c r="E855" s="64"/>
      <c r="F855" s="64"/>
      <c r="G855" s="64"/>
      <c r="AH855" s="162"/>
      <c r="AI855" s="162"/>
      <c r="AJ855" s="162"/>
      <c r="AK855" s="162"/>
      <c r="BS855" s="131"/>
      <c r="BT855" s="131"/>
      <c r="BU855" s="131"/>
      <c r="BV855" s="131"/>
      <c r="BW855" s="131"/>
      <c r="BX855" s="131"/>
      <c r="BY855" s="131"/>
      <c r="BZ855" s="131"/>
      <c r="CA855" s="131"/>
      <c r="CB855" s="131"/>
      <c r="CC855" s="131"/>
      <c r="CD855" s="131"/>
      <c r="CE855" s="131"/>
    </row>
    <row r="856" ht="18.75" customHeight="1">
      <c r="C856" s="64"/>
      <c r="E856" s="64"/>
      <c r="F856" s="64"/>
      <c r="G856" s="64"/>
      <c r="AH856" s="162"/>
      <c r="AI856" s="162"/>
      <c r="AJ856" s="162"/>
      <c r="AK856" s="162"/>
      <c r="BS856" s="131"/>
      <c r="BT856" s="131"/>
      <c r="BU856" s="131"/>
      <c r="BV856" s="131"/>
      <c r="BW856" s="131"/>
      <c r="BX856" s="131"/>
      <c r="BY856" s="131"/>
      <c r="BZ856" s="131"/>
      <c r="CA856" s="131"/>
      <c r="CB856" s="131"/>
      <c r="CC856" s="131"/>
      <c r="CD856" s="131"/>
      <c r="CE856" s="131"/>
    </row>
    <row r="857" ht="18.75" customHeight="1">
      <c r="C857" s="64"/>
      <c r="E857" s="64"/>
      <c r="F857" s="64"/>
      <c r="G857" s="64"/>
      <c r="AH857" s="162"/>
      <c r="AI857" s="162"/>
      <c r="AJ857" s="162"/>
      <c r="AK857" s="162"/>
      <c r="BS857" s="131"/>
      <c r="BT857" s="131"/>
      <c r="BU857" s="131"/>
      <c r="BV857" s="131"/>
      <c r="BW857" s="131"/>
      <c r="BX857" s="131"/>
      <c r="BY857" s="131"/>
      <c r="BZ857" s="131"/>
      <c r="CA857" s="131"/>
      <c r="CB857" s="131"/>
      <c r="CC857" s="131"/>
      <c r="CD857" s="131"/>
      <c r="CE857" s="131"/>
    </row>
    <row r="858" ht="18.75" customHeight="1">
      <c r="C858" s="64"/>
      <c r="E858" s="64"/>
      <c r="F858" s="64"/>
      <c r="G858" s="64"/>
      <c r="AH858" s="162"/>
      <c r="AI858" s="162"/>
      <c r="AJ858" s="162"/>
      <c r="AK858" s="162"/>
      <c r="BS858" s="131"/>
      <c r="BT858" s="131"/>
      <c r="BU858" s="131"/>
      <c r="BV858" s="131"/>
      <c r="BW858" s="131"/>
      <c r="BX858" s="131"/>
      <c r="BY858" s="131"/>
      <c r="BZ858" s="131"/>
      <c r="CA858" s="131"/>
      <c r="CB858" s="131"/>
      <c r="CC858" s="131"/>
      <c r="CD858" s="131"/>
      <c r="CE858" s="131"/>
    </row>
    <row r="859" ht="18.75" customHeight="1">
      <c r="C859" s="64"/>
      <c r="E859" s="64"/>
      <c r="F859" s="64"/>
      <c r="G859" s="64"/>
      <c r="AH859" s="162"/>
      <c r="AI859" s="162"/>
      <c r="AJ859" s="162"/>
      <c r="AK859" s="162"/>
      <c r="BS859" s="131"/>
      <c r="BT859" s="131"/>
      <c r="BU859" s="131"/>
      <c r="BV859" s="131"/>
      <c r="BW859" s="131"/>
      <c r="BX859" s="131"/>
      <c r="BY859" s="131"/>
      <c r="BZ859" s="131"/>
      <c r="CA859" s="131"/>
      <c r="CB859" s="131"/>
      <c r="CC859" s="131"/>
      <c r="CD859" s="131"/>
      <c r="CE859" s="131"/>
    </row>
    <row r="860" ht="18.75" customHeight="1">
      <c r="C860" s="64"/>
      <c r="E860" s="64"/>
      <c r="F860" s="64"/>
      <c r="G860" s="64"/>
      <c r="AH860" s="162"/>
      <c r="AI860" s="162"/>
      <c r="AJ860" s="162"/>
      <c r="AK860" s="162"/>
      <c r="BS860" s="131"/>
      <c r="BT860" s="131"/>
      <c r="BU860" s="131"/>
      <c r="BV860" s="131"/>
      <c r="BW860" s="131"/>
      <c r="BX860" s="131"/>
      <c r="BY860" s="131"/>
      <c r="BZ860" s="131"/>
      <c r="CA860" s="131"/>
      <c r="CB860" s="131"/>
      <c r="CC860" s="131"/>
      <c r="CD860" s="131"/>
      <c r="CE860" s="131"/>
    </row>
    <row r="861" ht="18.75" customHeight="1">
      <c r="C861" s="64"/>
      <c r="E861" s="64"/>
      <c r="F861" s="64"/>
      <c r="G861" s="64"/>
      <c r="AH861" s="162"/>
      <c r="AI861" s="162"/>
      <c r="AJ861" s="162"/>
      <c r="AK861" s="162"/>
      <c r="BS861" s="131"/>
      <c r="BT861" s="131"/>
      <c r="BU861" s="131"/>
      <c r="BV861" s="131"/>
      <c r="BW861" s="131"/>
      <c r="BX861" s="131"/>
      <c r="BY861" s="131"/>
      <c r="BZ861" s="131"/>
      <c r="CA861" s="131"/>
      <c r="CB861" s="131"/>
      <c r="CC861" s="131"/>
      <c r="CD861" s="131"/>
      <c r="CE861" s="131"/>
    </row>
    <row r="862" ht="18.75" customHeight="1">
      <c r="C862" s="64"/>
      <c r="E862" s="64"/>
      <c r="F862" s="64"/>
      <c r="G862" s="64"/>
      <c r="AH862" s="162"/>
      <c r="AI862" s="162"/>
      <c r="AJ862" s="162"/>
      <c r="AK862" s="162"/>
      <c r="BS862" s="131"/>
      <c r="BT862" s="131"/>
      <c r="BU862" s="131"/>
      <c r="BV862" s="131"/>
      <c r="BW862" s="131"/>
      <c r="BX862" s="131"/>
      <c r="BY862" s="131"/>
      <c r="BZ862" s="131"/>
      <c r="CA862" s="131"/>
      <c r="CB862" s="131"/>
      <c r="CC862" s="131"/>
      <c r="CD862" s="131"/>
      <c r="CE862" s="131"/>
    </row>
    <row r="863" ht="18.75" customHeight="1">
      <c r="C863" s="64"/>
      <c r="E863" s="64"/>
      <c r="F863" s="64"/>
      <c r="G863" s="64"/>
      <c r="AH863" s="162"/>
      <c r="AI863" s="162"/>
      <c r="AJ863" s="162"/>
      <c r="AK863" s="162"/>
      <c r="BS863" s="131"/>
      <c r="BT863" s="131"/>
      <c r="BU863" s="131"/>
      <c r="BV863" s="131"/>
      <c r="BW863" s="131"/>
      <c r="BX863" s="131"/>
      <c r="BY863" s="131"/>
      <c r="BZ863" s="131"/>
      <c r="CA863" s="131"/>
      <c r="CB863" s="131"/>
      <c r="CC863" s="131"/>
      <c r="CD863" s="131"/>
      <c r="CE863" s="131"/>
    </row>
    <row r="864" ht="18.75" customHeight="1">
      <c r="C864" s="64"/>
      <c r="E864" s="64"/>
      <c r="F864" s="64"/>
      <c r="G864" s="64"/>
      <c r="AH864" s="162"/>
      <c r="AI864" s="162"/>
      <c r="AJ864" s="162"/>
      <c r="AK864" s="162"/>
      <c r="BS864" s="131"/>
      <c r="BT864" s="131"/>
      <c r="BU864" s="131"/>
      <c r="BV864" s="131"/>
      <c r="BW864" s="131"/>
      <c r="BX864" s="131"/>
      <c r="BY864" s="131"/>
      <c r="BZ864" s="131"/>
      <c r="CA864" s="131"/>
      <c r="CB864" s="131"/>
      <c r="CC864" s="131"/>
      <c r="CD864" s="131"/>
      <c r="CE864" s="131"/>
    </row>
    <row r="865" ht="18.75" customHeight="1">
      <c r="C865" s="64"/>
      <c r="E865" s="64"/>
      <c r="F865" s="64"/>
      <c r="G865" s="64"/>
      <c r="AH865" s="162"/>
      <c r="AI865" s="162"/>
      <c r="AJ865" s="162"/>
      <c r="AK865" s="162"/>
      <c r="BS865" s="131"/>
      <c r="BT865" s="131"/>
      <c r="BU865" s="131"/>
      <c r="BV865" s="131"/>
      <c r="BW865" s="131"/>
      <c r="BX865" s="131"/>
      <c r="BY865" s="131"/>
      <c r="BZ865" s="131"/>
      <c r="CA865" s="131"/>
      <c r="CB865" s="131"/>
      <c r="CC865" s="131"/>
      <c r="CD865" s="131"/>
      <c r="CE865" s="131"/>
    </row>
    <row r="866" ht="18.75" customHeight="1">
      <c r="C866" s="64"/>
      <c r="E866" s="64"/>
      <c r="F866" s="64"/>
      <c r="G866" s="64"/>
      <c r="AH866" s="162"/>
      <c r="AI866" s="162"/>
      <c r="AJ866" s="162"/>
      <c r="AK866" s="162"/>
      <c r="BS866" s="131"/>
      <c r="BT866" s="131"/>
      <c r="BU866" s="131"/>
      <c r="BV866" s="131"/>
      <c r="BW866" s="131"/>
      <c r="BX866" s="131"/>
      <c r="BY866" s="131"/>
      <c r="BZ866" s="131"/>
      <c r="CA866" s="131"/>
      <c r="CB866" s="131"/>
      <c r="CC866" s="131"/>
      <c r="CD866" s="131"/>
      <c r="CE866" s="131"/>
    </row>
    <row r="867" ht="18.75" customHeight="1">
      <c r="C867" s="64"/>
      <c r="E867" s="64"/>
      <c r="F867" s="64"/>
      <c r="G867" s="64"/>
      <c r="AH867" s="162"/>
      <c r="AI867" s="162"/>
      <c r="AJ867" s="162"/>
      <c r="AK867" s="162"/>
      <c r="BS867" s="131"/>
      <c r="BT867" s="131"/>
      <c r="BU867" s="131"/>
      <c r="BV867" s="131"/>
      <c r="BW867" s="131"/>
      <c r="BX867" s="131"/>
      <c r="BY867" s="131"/>
      <c r="BZ867" s="131"/>
      <c r="CA867" s="131"/>
      <c r="CB867" s="131"/>
      <c r="CC867" s="131"/>
      <c r="CD867" s="131"/>
      <c r="CE867" s="131"/>
    </row>
    <row r="868" ht="18.75" customHeight="1">
      <c r="C868" s="64"/>
      <c r="E868" s="64"/>
      <c r="F868" s="64"/>
      <c r="G868" s="64"/>
      <c r="AH868" s="162"/>
      <c r="AI868" s="162"/>
      <c r="AJ868" s="162"/>
      <c r="AK868" s="162"/>
      <c r="BS868" s="131"/>
      <c r="BT868" s="131"/>
      <c r="BU868" s="131"/>
      <c r="BV868" s="131"/>
      <c r="BW868" s="131"/>
      <c r="BX868" s="131"/>
      <c r="BY868" s="131"/>
      <c r="BZ868" s="131"/>
      <c r="CA868" s="131"/>
      <c r="CB868" s="131"/>
      <c r="CC868" s="131"/>
      <c r="CD868" s="131"/>
      <c r="CE868" s="131"/>
    </row>
    <row r="869" ht="18.75" customHeight="1">
      <c r="C869" s="64"/>
      <c r="E869" s="64"/>
      <c r="F869" s="64"/>
      <c r="G869" s="64"/>
      <c r="AH869" s="162"/>
      <c r="AI869" s="162"/>
      <c r="AJ869" s="162"/>
      <c r="AK869" s="162"/>
      <c r="BS869" s="131"/>
      <c r="BT869" s="131"/>
      <c r="BU869" s="131"/>
      <c r="BV869" s="131"/>
      <c r="BW869" s="131"/>
      <c r="BX869" s="131"/>
      <c r="BY869" s="131"/>
      <c r="BZ869" s="131"/>
      <c r="CA869" s="131"/>
      <c r="CB869" s="131"/>
      <c r="CC869" s="131"/>
      <c r="CD869" s="131"/>
      <c r="CE869" s="131"/>
    </row>
    <row r="870" ht="18.75" customHeight="1">
      <c r="C870" s="64"/>
      <c r="E870" s="64"/>
      <c r="F870" s="64"/>
      <c r="G870" s="64"/>
      <c r="AH870" s="162"/>
      <c r="AI870" s="162"/>
      <c r="AJ870" s="162"/>
      <c r="AK870" s="162"/>
      <c r="BS870" s="131"/>
      <c r="BT870" s="131"/>
      <c r="BU870" s="131"/>
      <c r="BV870" s="131"/>
      <c r="BW870" s="131"/>
      <c r="BX870" s="131"/>
      <c r="BY870" s="131"/>
      <c r="BZ870" s="131"/>
      <c r="CA870" s="131"/>
      <c r="CB870" s="131"/>
      <c r="CC870" s="131"/>
      <c r="CD870" s="131"/>
      <c r="CE870" s="131"/>
    </row>
    <row r="871" ht="18.75" customHeight="1">
      <c r="C871" s="64"/>
      <c r="E871" s="64"/>
      <c r="F871" s="64"/>
      <c r="G871" s="64"/>
      <c r="AH871" s="162"/>
      <c r="AI871" s="162"/>
      <c r="AJ871" s="162"/>
      <c r="AK871" s="162"/>
      <c r="BS871" s="131"/>
      <c r="BT871" s="131"/>
      <c r="BU871" s="131"/>
      <c r="BV871" s="131"/>
      <c r="BW871" s="131"/>
      <c r="BX871" s="131"/>
      <c r="BY871" s="131"/>
      <c r="BZ871" s="131"/>
      <c r="CA871" s="131"/>
      <c r="CB871" s="131"/>
      <c r="CC871" s="131"/>
      <c r="CD871" s="131"/>
      <c r="CE871" s="131"/>
    </row>
    <row r="872" ht="18.75" customHeight="1">
      <c r="C872" s="64"/>
      <c r="E872" s="64"/>
      <c r="F872" s="64"/>
      <c r="G872" s="64"/>
      <c r="AH872" s="162"/>
      <c r="AI872" s="162"/>
      <c r="AJ872" s="162"/>
      <c r="AK872" s="162"/>
      <c r="BS872" s="131"/>
      <c r="BT872" s="131"/>
      <c r="BU872" s="131"/>
      <c r="BV872" s="131"/>
      <c r="BW872" s="131"/>
      <c r="BX872" s="131"/>
      <c r="BY872" s="131"/>
      <c r="BZ872" s="131"/>
      <c r="CA872" s="131"/>
      <c r="CB872" s="131"/>
      <c r="CC872" s="131"/>
      <c r="CD872" s="131"/>
      <c r="CE872" s="131"/>
    </row>
    <row r="873" ht="18.75" customHeight="1">
      <c r="C873" s="64"/>
      <c r="E873" s="64"/>
      <c r="F873" s="64"/>
      <c r="G873" s="64"/>
      <c r="AH873" s="162"/>
      <c r="AI873" s="162"/>
      <c r="AJ873" s="162"/>
      <c r="AK873" s="162"/>
      <c r="BS873" s="131"/>
      <c r="BT873" s="131"/>
      <c r="BU873" s="131"/>
      <c r="BV873" s="131"/>
      <c r="BW873" s="131"/>
      <c r="BX873" s="131"/>
      <c r="BY873" s="131"/>
      <c r="BZ873" s="131"/>
      <c r="CA873" s="131"/>
      <c r="CB873" s="131"/>
      <c r="CC873" s="131"/>
      <c r="CD873" s="131"/>
      <c r="CE873" s="131"/>
    </row>
    <row r="874" ht="18.75" customHeight="1">
      <c r="C874" s="64"/>
      <c r="E874" s="64"/>
      <c r="F874" s="64"/>
      <c r="G874" s="64"/>
      <c r="AH874" s="162"/>
      <c r="AI874" s="162"/>
      <c r="AJ874" s="162"/>
      <c r="AK874" s="162"/>
      <c r="BS874" s="131"/>
      <c r="BT874" s="131"/>
      <c r="BU874" s="131"/>
      <c r="BV874" s="131"/>
      <c r="BW874" s="131"/>
      <c r="BX874" s="131"/>
      <c r="BY874" s="131"/>
      <c r="BZ874" s="131"/>
      <c r="CA874" s="131"/>
      <c r="CB874" s="131"/>
      <c r="CC874" s="131"/>
      <c r="CD874" s="131"/>
      <c r="CE874" s="131"/>
    </row>
    <row r="875" ht="18.75" customHeight="1">
      <c r="C875" s="64"/>
      <c r="E875" s="64"/>
      <c r="F875" s="64"/>
      <c r="G875" s="64"/>
      <c r="AH875" s="162"/>
      <c r="AI875" s="162"/>
      <c r="AJ875" s="162"/>
      <c r="AK875" s="162"/>
      <c r="BS875" s="131"/>
      <c r="BT875" s="131"/>
      <c r="BU875" s="131"/>
      <c r="BV875" s="131"/>
      <c r="BW875" s="131"/>
      <c r="BX875" s="131"/>
      <c r="BY875" s="131"/>
      <c r="BZ875" s="131"/>
      <c r="CA875" s="131"/>
      <c r="CB875" s="131"/>
      <c r="CC875" s="131"/>
      <c r="CD875" s="131"/>
      <c r="CE875" s="131"/>
    </row>
    <row r="876" ht="18.75" customHeight="1">
      <c r="C876" s="64"/>
      <c r="E876" s="64"/>
      <c r="F876" s="64"/>
      <c r="G876" s="64"/>
      <c r="AH876" s="162"/>
      <c r="AI876" s="162"/>
      <c r="AJ876" s="162"/>
      <c r="AK876" s="162"/>
      <c r="BS876" s="131"/>
      <c r="BT876" s="131"/>
      <c r="BU876" s="131"/>
      <c r="BV876" s="131"/>
      <c r="BW876" s="131"/>
      <c r="BX876" s="131"/>
      <c r="BY876" s="131"/>
      <c r="BZ876" s="131"/>
      <c r="CA876" s="131"/>
      <c r="CB876" s="131"/>
      <c r="CC876" s="131"/>
      <c r="CD876" s="131"/>
      <c r="CE876" s="131"/>
    </row>
    <row r="877" ht="18.75" customHeight="1">
      <c r="C877" s="64"/>
      <c r="E877" s="64"/>
      <c r="F877" s="64"/>
      <c r="G877" s="64"/>
      <c r="AH877" s="162"/>
      <c r="AI877" s="162"/>
      <c r="AJ877" s="162"/>
      <c r="AK877" s="162"/>
      <c r="BS877" s="131"/>
      <c r="BT877" s="131"/>
      <c r="BU877" s="131"/>
      <c r="BV877" s="131"/>
      <c r="BW877" s="131"/>
      <c r="BX877" s="131"/>
      <c r="BY877" s="131"/>
      <c r="BZ877" s="131"/>
      <c r="CA877" s="131"/>
      <c r="CB877" s="131"/>
      <c r="CC877" s="131"/>
      <c r="CD877" s="131"/>
      <c r="CE877" s="131"/>
    </row>
    <row r="878" ht="18.75" customHeight="1">
      <c r="C878" s="64"/>
      <c r="E878" s="64"/>
      <c r="F878" s="64"/>
      <c r="G878" s="64"/>
      <c r="AH878" s="162"/>
      <c r="AI878" s="162"/>
      <c r="AJ878" s="162"/>
      <c r="AK878" s="162"/>
      <c r="BS878" s="131"/>
      <c r="BT878" s="131"/>
      <c r="BU878" s="131"/>
      <c r="BV878" s="131"/>
      <c r="BW878" s="131"/>
      <c r="BX878" s="131"/>
      <c r="BY878" s="131"/>
      <c r="BZ878" s="131"/>
      <c r="CA878" s="131"/>
      <c r="CB878" s="131"/>
      <c r="CC878" s="131"/>
      <c r="CD878" s="131"/>
      <c r="CE878" s="131"/>
    </row>
    <row r="879" ht="18.75" customHeight="1">
      <c r="C879" s="64"/>
      <c r="E879" s="64"/>
      <c r="F879" s="64"/>
      <c r="G879" s="64"/>
      <c r="AH879" s="162"/>
      <c r="AI879" s="162"/>
      <c r="AJ879" s="162"/>
      <c r="AK879" s="162"/>
      <c r="BS879" s="131"/>
      <c r="BT879" s="131"/>
      <c r="BU879" s="131"/>
      <c r="BV879" s="131"/>
      <c r="BW879" s="131"/>
      <c r="BX879" s="131"/>
      <c r="BY879" s="131"/>
      <c r="BZ879" s="131"/>
      <c r="CA879" s="131"/>
      <c r="CB879" s="131"/>
      <c r="CC879" s="131"/>
      <c r="CD879" s="131"/>
      <c r="CE879" s="131"/>
    </row>
    <row r="880" ht="18.75" customHeight="1">
      <c r="C880" s="64"/>
      <c r="E880" s="64"/>
      <c r="F880" s="64"/>
      <c r="G880" s="64"/>
      <c r="AH880" s="162"/>
      <c r="AI880" s="162"/>
      <c r="AJ880" s="162"/>
      <c r="AK880" s="162"/>
      <c r="BS880" s="131"/>
      <c r="BT880" s="131"/>
      <c r="BU880" s="131"/>
      <c r="BV880" s="131"/>
      <c r="BW880" s="131"/>
      <c r="BX880" s="131"/>
      <c r="BY880" s="131"/>
      <c r="BZ880" s="131"/>
      <c r="CA880" s="131"/>
      <c r="CB880" s="131"/>
      <c r="CC880" s="131"/>
      <c r="CD880" s="131"/>
      <c r="CE880" s="131"/>
    </row>
    <row r="881" ht="18.75" customHeight="1">
      <c r="C881" s="64"/>
      <c r="E881" s="64"/>
      <c r="F881" s="64"/>
      <c r="G881" s="64"/>
      <c r="AH881" s="162"/>
      <c r="AI881" s="162"/>
      <c r="AJ881" s="162"/>
      <c r="AK881" s="162"/>
      <c r="BS881" s="131"/>
      <c r="BT881" s="131"/>
      <c r="BU881" s="131"/>
      <c r="BV881" s="131"/>
      <c r="BW881" s="131"/>
      <c r="BX881" s="131"/>
      <c r="BY881" s="131"/>
      <c r="BZ881" s="131"/>
      <c r="CA881" s="131"/>
      <c r="CB881" s="131"/>
      <c r="CC881" s="131"/>
      <c r="CD881" s="131"/>
      <c r="CE881" s="131"/>
    </row>
    <row r="882" ht="18.75" customHeight="1">
      <c r="C882" s="64"/>
      <c r="E882" s="64"/>
      <c r="F882" s="64"/>
      <c r="G882" s="64"/>
      <c r="AH882" s="162"/>
      <c r="AI882" s="162"/>
      <c r="AJ882" s="162"/>
      <c r="AK882" s="162"/>
      <c r="BS882" s="131"/>
      <c r="BT882" s="131"/>
      <c r="BU882" s="131"/>
      <c r="BV882" s="131"/>
      <c r="BW882" s="131"/>
      <c r="BX882" s="131"/>
      <c r="BY882" s="131"/>
      <c r="BZ882" s="131"/>
      <c r="CA882" s="131"/>
      <c r="CB882" s="131"/>
      <c r="CC882" s="131"/>
      <c r="CD882" s="131"/>
      <c r="CE882" s="131"/>
    </row>
    <row r="883" ht="18.75" customHeight="1">
      <c r="C883" s="64"/>
      <c r="E883" s="64"/>
      <c r="F883" s="64"/>
      <c r="G883" s="64"/>
      <c r="AH883" s="162"/>
      <c r="AI883" s="162"/>
      <c r="AJ883" s="162"/>
      <c r="AK883" s="162"/>
      <c r="BS883" s="131"/>
      <c r="BT883" s="131"/>
      <c r="BU883" s="131"/>
      <c r="BV883" s="131"/>
      <c r="BW883" s="131"/>
      <c r="BX883" s="131"/>
      <c r="BY883" s="131"/>
      <c r="BZ883" s="131"/>
      <c r="CA883" s="131"/>
      <c r="CB883" s="131"/>
      <c r="CC883" s="131"/>
      <c r="CD883" s="131"/>
      <c r="CE883" s="131"/>
    </row>
    <row r="884" ht="18.75" customHeight="1">
      <c r="C884" s="64"/>
      <c r="E884" s="64"/>
      <c r="F884" s="64"/>
      <c r="G884" s="64"/>
      <c r="AH884" s="162"/>
      <c r="AI884" s="162"/>
      <c r="AJ884" s="162"/>
      <c r="AK884" s="162"/>
      <c r="BS884" s="131"/>
      <c r="BT884" s="131"/>
      <c r="BU884" s="131"/>
      <c r="BV884" s="131"/>
      <c r="BW884" s="131"/>
      <c r="BX884" s="131"/>
      <c r="BY884" s="131"/>
      <c r="BZ884" s="131"/>
      <c r="CA884" s="131"/>
      <c r="CB884" s="131"/>
      <c r="CC884" s="131"/>
      <c r="CD884" s="131"/>
      <c r="CE884" s="131"/>
    </row>
    <row r="885" ht="18.75" customHeight="1">
      <c r="C885" s="64"/>
      <c r="E885" s="64"/>
      <c r="F885" s="64"/>
      <c r="G885" s="64"/>
      <c r="AH885" s="162"/>
      <c r="AI885" s="162"/>
      <c r="AJ885" s="162"/>
      <c r="AK885" s="162"/>
      <c r="BS885" s="131"/>
      <c r="BT885" s="131"/>
      <c r="BU885" s="131"/>
      <c r="BV885" s="131"/>
      <c r="BW885" s="131"/>
      <c r="BX885" s="131"/>
      <c r="BY885" s="131"/>
      <c r="BZ885" s="131"/>
      <c r="CA885" s="131"/>
      <c r="CB885" s="131"/>
      <c r="CC885" s="131"/>
      <c r="CD885" s="131"/>
      <c r="CE885" s="131"/>
    </row>
    <row r="886" ht="18.75" customHeight="1">
      <c r="C886" s="64"/>
      <c r="E886" s="64"/>
      <c r="F886" s="64"/>
      <c r="G886" s="64"/>
      <c r="AH886" s="162"/>
      <c r="AI886" s="162"/>
      <c r="AJ886" s="162"/>
      <c r="AK886" s="162"/>
      <c r="BS886" s="131"/>
      <c r="BT886" s="131"/>
      <c r="BU886" s="131"/>
      <c r="BV886" s="131"/>
      <c r="BW886" s="131"/>
      <c r="BX886" s="131"/>
      <c r="BY886" s="131"/>
      <c r="BZ886" s="131"/>
      <c r="CA886" s="131"/>
      <c r="CB886" s="131"/>
      <c r="CC886" s="131"/>
      <c r="CD886" s="131"/>
      <c r="CE886" s="131"/>
    </row>
    <row r="887" ht="18.75" customHeight="1">
      <c r="C887" s="64"/>
      <c r="E887" s="64"/>
      <c r="F887" s="64"/>
      <c r="G887" s="64"/>
      <c r="AH887" s="162"/>
      <c r="AI887" s="162"/>
      <c r="AJ887" s="162"/>
      <c r="AK887" s="162"/>
      <c r="BS887" s="131"/>
      <c r="BT887" s="131"/>
      <c r="BU887" s="131"/>
      <c r="BV887" s="131"/>
      <c r="BW887" s="131"/>
      <c r="BX887" s="131"/>
      <c r="BY887" s="131"/>
      <c r="BZ887" s="131"/>
      <c r="CA887" s="131"/>
      <c r="CB887" s="131"/>
      <c r="CC887" s="131"/>
      <c r="CD887" s="131"/>
      <c r="CE887" s="131"/>
    </row>
    <row r="888" ht="18.75" customHeight="1">
      <c r="C888" s="64"/>
      <c r="E888" s="64"/>
      <c r="F888" s="64"/>
      <c r="G888" s="64"/>
      <c r="AH888" s="162"/>
      <c r="AI888" s="162"/>
      <c r="AJ888" s="162"/>
      <c r="AK888" s="162"/>
      <c r="BS888" s="131"/>
      <c r="BT888" s="131"/>
      <c r="BU888" s="131"/>
      <c r="BV888" s="131"/>
      <c r="BW888" s="131"/>
      <c r="BX888" s="131"/>
      <c r="BY888" s="131"/>
      <c r="BZ888" s="131"/>
      <c r="CA888" s="131"/>
      <c r="CB888" s="131"/>
      <c r="CC888" s="131"/>
      <c r="CD888" s="131"/>
      <c r="CE888" s="131"/>
    </row>
    <row r="889" ht="18.75" customHeight="1">
      <c r="C889" s="64"/>
      <c r="E889" s="64"/>
      <c r="F889" s="64"/>
      <c r="G889" s="64"/>
      <c r="AH889" s="162"/>
      <c r="AI889" s="162"/>
      <c r="AJ889" s="162"/>
      <c r="AK889" s="162"/>
      <c r="BS889" s="131"/>
      <c r="BT889" s="131"/>
      <c r="BU889" s="131"/>
      <c r="BV889" s="131"/>
      <c r="BW889" s="131"/>
      <c r="BX889" s="131"/>
      <c r="BY889" s="131"/>
      <c r="BZ889" s="131"/>
      <c r="CA889" s="131"/>
      <c r="CB889" s="131"/>
      <c r="CC889" s="131"/>
      <c r="CD889" s="131"/>
      <c r="CE889" s="131"/>
    </row>
    <row r="890" ht="18.75" customHeight="1">
      <c r="C890" s="64"/>
      <c r="E890" s="64"/>
      <c r="F890" s="64"/>
      <c r="G890" s="64"/>
      <c r="AH890" s="162"/>
      <c r="AI890" s="162"/>
      <c r="AJ890" s="162"/>
      <c r="AK890" s="162"/>
      <c r="BS890" s="131"/>
      <c r="BT890" s="131"/>
      <c r="BU890" s="131"/>
      <c r="BV890" s="131"/>
      <c r="BW890" s="131"/>
      <c r="BX890" s="131"/>
      <c r="BY890" s="131"/>
      <c r="BZ890" s="131"/>
      <c r="CA890" s="131"/>
      <c r="CB890" s="131"/>
      <c r="CC890" s="131"/>
      <c r="CD890" s="131"/>
      <c r="CE890" s="131"/>
    </row>
    <row r="891" ht="18.75" customHeight="1">
      <c r="C891" s="64"/>
      <c r="E891" s="64"/>
      <c r="F891" s="64"/>
      <c r="G891" s="64"/>
      <c r="AH891" s="162"/>
      <c r="AI891" s="162"/>
      <c r="AJ891" s="162"/>
      <c r="AK891" s="162"/>
      <c r="BS891" s="131"/>
      <c r="BT891" s="131"/>
      <c r="BU891" s="131"/>
      <c r="BV891" s="131"/>
      <c r="BW891" s="131"/>
      <c r="BX891" s="131"/>
      <c r="BY891" s="131"/>
      <c r="BZ891" s="131"/>
      <c r="CA891" s="131"/>
      <c r="CB891" s="131"/>
      <c r="CC891" s="131"/>
      <c r="CD891" s="131"/>
      <c r="CE891" s="131"/>
    </row>
    <row r="892" ht="18.75" customHeight="1">
      <c r="C892" s="64"/>
      <c r="E892" s="64"/>
      <c r="F892" s="64"/>
      <c r="G892" s="64"/>
      <c r="AH892" s="162"/>
      <c r="AI892" s="162"/>
      <c r="AJ892" s="162"/>
      <c r="AK892" s="162"/>
      <c r="BS892" s="131"/>
      <c r="BT892" s="131"/>
      <c r="BU892" s="131"/>
      <c r="BV892" s="131"/>
      <c r="BW892" s="131"/>
      <c r="BX892" s="131"/>
      <c r="BY892" s="131"/>
      <c r="BZ892" s="131"/>
      <c r="CA892" s="131"/>
      <c r="CB892" s="131"/>
      <c r="CC892" s="131"/>
      <c r="CD892" s="131"/>
      <c r="CE892" s="131"/>
    </row>
    <row r="893" ht="18.75" customHeight="1">
      <c r="C893" s="64"/>
      <c r="E893" s="64"/>
      <c r="F893" s="64"/>
      <c r="G893" s="64"/>
      <c r="AH893" s="162"/>
      <c r="AI893" s="162"/>
      <c r="AJ893" s="162"/>
      <c r="AK893" s="162"/>
      <c r="BS893" s="131"/>
      <c r="BT893" s="131"/>
      <c r="BU893" s="131"/>
      <c r="BV893" s="131"/>
      <c r="BW893" s="131"/>
      <c r="BX893" s="131"/>
      <c r="BY893" s="131"/>
      <c r="BZ893" s="131"/>
      <c r="CA893" s="131"/>
      <c r="CB893" s="131"/>
      <c r="CC893" s="131"/>
      <c r="CD893" s="131"/>
      <c r="CE893" s="131"/>
    </row>
    <row r="894" ht="18.75" customHeight="1">
      <c r="C894" s="64"/>
      <c r="E894" s="64"/>
      <c r="F894" s="64"/>
      <c r="G894" s="64"/>
      <c r="AH894" s="162"/>
      <c r="AI894" s="162"/>
      <c r="AJ894" s="162"/>
      <c r="AK894" s="162"/>
      <c r="BS894" s="131"/>
      <c r="BT894" s="131"/>
      <c r="BU894" s="131"/>
      <c r="BV894" s="131"/>
      <c r="BW894" s="131"/>
      <c r="BX894" s="131"/>
      <c r="BY894" s="131"/>
      <c r="BZ894" s="131"/>
      <c r="CA894" s="131"/>
      <c r="CB894" s="131"/>
      <c r="CC894" s="131"/>
      <c r="CD894" s="131"/>
      <c r="CE894" s="131"/>
    </row>
    <row r="895" ht="18.75" customHeight="1">
      <c r="C895" s="64"/>
      <c r="E895" s="64"/>
      <c r="F895" s="64"/>
      <c r="G895" s="64"/>
      <c r="AH895" s="162"/>
      <c r="AI895" s="162"/>
      <c r="AJ895" s="162"/>
      <c r="AK895" s="162"/>
      <c r="BS895" s="131"/>
      <c r="BT895" s="131"/>
      <c r="BU895" s="131"/>
      <c r="BV895" s="131"/>
      <c r="BW895" s="131"/>
      <c r="BX895" s="131"/>
      <c r="BY895" s="131"/>
      <c r="BZ895" s="131"/>
      <c r="CA895" s="131"/>
      <c r="CB895" s="131"/>
      <c r="CC895" s="131"/>
      <c r="CD895" s="131"/>
      <c r="CE895" s="131"/>
    </row>
    <row r="896" ht="18.75" customHeight="1">
      <c r="C896" s="64"/>
      <c r="E896" s="64"/>
      <c r="F896" s="64"/>
      <c r="G896" s="64"/>
      <c r="AH896" s="162"/>
      <c r="AI896" s="162"/>
      <c r="AJ896" s="162"/>
      <c r="AK896" s="162"/>
      <c r="BS896" s="131"/>
      <c r="BT896" s="131"/>
      <c r="BU896" s="131"/>
      <c r="BV896" s="131"/>
      <c r="BW896" s="131"/>
      <c r="BX896" s="131"/>
      <c r="BY896" s="131"/>
      <c r="BZ896" s="131"/>
      <c r="CA896" s="131"/>
      <c r="CB896" s="131"/>
      <c r="CC896" s="131"/>
      <c r="CD896" s="131"/>
      <c r="CE896" s="131"/>
    </row>
    <row r="897" ht="18.75" customHeight="1">
      <c r="C897" s="64"/>
      <c r="E897" s="64"/>
      <c r="F897" s="64"/>
      <c r="G897" s="64"/>
      <c r="AH897" s="162"/>
      <c r="AI897" s="162"/>
      <c r="AJ897" s="162"/>
      <c r="AK897" s="162"/>
      <c r="BS897" s="131"/>
      <c r="BT897" s="131"/>
      <c r="BU897" s="131"/>
      <c r="BV897" s="131"/>
      <c r="BW897" s="131"/>
      <c r="BX897" s="131"/>
      <c r="BY897" s="131"/>
      <c r="BZ897" s="131"/>
      <c r="CA897" s="131"/>
      <c r="CB897" s="131"/>
      <c r="CC897" s="131"/>
      <c r="CD897" s="131"/>
      <c r="CE897" s="131"/>
    </row>
    <row r="898" ht="18.75" customHeight="1">
      <c r="C898" s="64"/>
      <c r="E898" s="64"/>
      <c r="F898" s="64"/>
      <c r="G898" s="64"/>
      <c r="AH898" s="162"/>
      <c r="AI898" s="162"/>
      <c r="AJ898" s="162"/>
      <c r="AK898" s="162"/>
      <c r="BS898" s="131"/>
      <c r="BT898" s="131"/>
      <c r="BU898" s="131"/>
      <c r="BV898" s="131"/>
      <c r="BW898" s="131"/>
      <c r="BX898" s="131"/>
      <c r="BY898" s="131"/>
      <c r="BZ898" s="131"/>
      <c r="CA898" s="131"/>
      <c r="CB898" s="131"/>
      <c r="CC898" s="131"/>
      <c r="CD898" s="131"/>
      <c r="CE898" s="131"/>
    </row>
    <row r="899" ht="18.75" customHeight="1">
      <c r="C899" s="64"/>
      <c r="E899" s="64"/>
      <c r="F899" s="64"/>
      <c r="G899" s="64"/>
      <c r="AH899" s="162"/>
      <c r="AI899" s="162"/>
      <c r="AJ899" s="162"/>
      <c r="AK899" s="162"/>
      <c r="BS899" s="131"/>
      <c r="BT899" s="131"/>
      <c r="BU899" s="131"/>
      <c r="BV899" s="131"/>
      <c r="BW899" s="131"/>
      <c r="BX899" s="131"/>
      <c r="BY899" s="131"/>
      <c r="BZ899" s="131"/>
      <c r="CA899" s="131"/>
      <c r="CB899" s="131"/>
      <c r="CC899" s="131"/>
      <c r="CD899" s="131"/>
      <c r="CE899" s="131"/>
    </row>
    <row r="900" ht="18.75" customHeight="1">
      <c r="C900" s="64"/>
      <c r="E900" s="64"/>
      <c r="F900" s="64"/>
      <c r="G900" s="64"/>
      <c r="AH900" s="162"/>
      <c r="AI900" s="162"/>
      <c r="AJ900" s="162"/>
      <c r="AK900" s="162"/>
      <c r="BS900" s="131"/>
      <c r="BT900" s="131"/>
      <c r="BU900" s="131"/>
      <c r="BV900" s="131"/>
      <c r="BW900" s="131"/>
      <c r="BX900" s="131"/>
      <c r="BY900" s="131"/>
      <c r="BZ900" s="131"/>
      <c r="CA900" s="131"/>
      <c r="CB900" s="131"/>
      <c r="CC900" s="131"/>
      <c r="CD900" s="131"/>
      <c r="CE900" s="131"/>
    </row>
    <row r="901" ht="18.75" customHeight="1">
      <c r="C901" s="64"/>
      <c r="E901" s="64"/>
      <c r="F901" s="64"/>
      <c r="G901" s="64"/>
      <c r="AH901" s="162"/>
      <c r="AI901" s="162"/>
      <c r="AJ901" s="162"/>
      <c r="AK901" s="162"/>
      <c r="BS901" s="131"/>
      <c r="BT901" s="131"/>
      <c r="BU901" s="131"/>
      <c r="BV901" s="131"/>
      <c r="BW901" s="131"/>
      <c r="BX901" s="131"/>
      <c r="BY901" s="131"/>
      <c r="BZ901" s="131"/>
      <c r="CA901" s="131"/>
      <c r="CB901" s="131"/>
      <c r="CC901" s="131"/>
      <c r="CD901" s="131"/>
      <c r="CE901" s="131"/>
    </row>
    <row r="902" ht="18.75" customHeight="1">
      <c r="C902" s="64"/>
      <c r="E902" s="64"/>
      <c r="F902" s="64"/>
      <c r="G902" s="64"/>
      <c r="AH902" s="162"/>
      <c r="AI902" s="162"/>
      <c r="AJ902" s="162"/>
      <c r="AK902" s="162"/>
      <c r="BS902" s="131"/>
      <c r="BT902" s="131"/>
      <c r="BU902" s="131"/>
      <c r="BV902" s="131"/>
      <c r="BW902" s="131"/>
      <c r="BX902" s="131"/>
      <c r="BY902" s="131"/>
      <c r="BZ902" s="131"/>
      <c r="CA902" s="131"/>
      <c r="CB902" s="131"/>
      <c r="CC902" s="131"/>
      <c r="CD902" s="131"/>
      <c r="CE902" s="131"/>
    </row>
    <row r="903" ht="18.75" customHeight="1">
      <c r="C903" s="64"/>
      <c r="E903" s="64"/>
      <c r="F903" s="64"/>
      <c r="G903" s="64"/>
      <c r="AH903" s="162"/>
      <c r="AI903" s="162"/>
      <c r="AJ903" s="162"/>
      <c r="AK903" s="162"/>
      <c r="BS903" s="131"/>
      <c r="BT903" s="131"/>
      <c r="BU903" s="131"/>
      <c r="BV903" s="131"/>
      <c r="BW903" s="131"/>
      <c r="BX903" s="131"/>
      <c r="BY903" s="131"/>
      <c r="BZ903" s="131"/>
      <c r="CA903" s="131"/>
      <c r="CB903" s="131"/>
      <c r="CC903" s="131"/>
      <c r="CD903" s="131"/>
      <c r="CE903" s="131"/>
    </row>
    <row r="904" ht="18.75" customHeight="1">
      <c r="C904" s="64"/>
      <c r="E904" s="64"/>
      <c r="F904" s="64"/>
      <c r="G904" s="64"/>
      <c r="AH904" s="162"/>
      <c r="AI904" s="162"/>
      <c r="AJ904" s="162"/>
      <c r="AK904" s="162"/>
      <c r="BS904" s="131"/>
      <c r="BT904" s="131"/>
      <c r="BU904" s="131"/>
      <c r="BV904" s="131"/>
      <c r="BW904" s="131"/>
      <c r="BX904" s="131"/>
      <c r="BY904" s="131"/>
      <c r="BZ904" s="131"/>
      <c r="CA904" s="131"/>
      <c r="CB904" s="131"/>
      <c r="CC904" s="131"/>
      <c r="CD904" s="131"/>
      <c r="CE904" s="131"/>
    </row>
    <row r="905" ht="18.75" customHeight="1">
      <c r="C905" s="64"/>
      <c r="E905" s="64"/>
      <c r="F905" s="64"/>
      <c r="G905" s="64"/>
      <c r="AH905" s="162"/>
      <c r="AI905" s="162"/>
      <c r="AJ905" s="162"/>
      <c r="AK905" s="162"/>
      <c r="BS905" s="131"/>
      <c r="BT905" s="131"/>
      <c r="BU905" s="131"/>
      <c r="BV905" s="131"/>
      <c r="BW905" s="131"/>
      <c r="BX905" s="131"/>
      <c r="BY905" s="131"/>
      <c r="BZ905" s="131"/>
      <c r="CA905" s="131"/>
      <c r="CB905" s="131"/>
      <c r="CC905" s="131"/>
      <c r="CD905" s="131"/>
      <c r="CE905" s="131"/>
    </row>
    <row r="906" ht="18.75" customHeight="1">
      <c r="C906" s="64"/>
      <c r="E906" s="64"/>
      <c r="F906" s="64"/>
      <c r="G906" s="64"/>
      <c r="AH906" s="162"/>
      <c r="AI906" s="162"/>
      <c r="AJ906" s="162"/>
      <c r="AK906" s="162"/>
      <c r="BS906" s="131"/>
      <c r="BT906" s="131"/>
      <c r="BU906" s="131"/>
      <c r="BV906" s="131"/>
      <c r="BW906" s="131"/>
      <c r="BX906" s="131"/>
      <c r="BY906" s="131"/>
      <c r="BZ906" s="131"/>
      <c r="CA906" s="131"/>
      <c r="CB906" s="131"/>
      <c r="CC906" s="131"/>
      <c r="CD906" s="131"/>
      <c r="CE906" s="131"/>
    </row>
    <row r="907" ht="18.75" customHeight="1">
      <c r="C907" s="64"/>
      <c r="E907" s="64"/>
      <c r="F907" s="64"/>
      <c r="G907" s="64"/>
      <c r="AH907" s="162"/>
      <c r="AI907" s="162"/>
      <c r="AJ907" s="162"/>
      <c r="AK907" s="162"/>
      <c r="BS907" s="131"/>
      <c r="BT907" s="131"/>
      <c r="BU907" s="131"/>
      <c r="BV907" s="131"/>
      <c r="BW907" s="131"/>
      <c r="BX907" s="131"/>
      <c r="BY907" s="131"/>
      <c r="BZ907" s="131"/>
      <c r="CA907" s="131"/>
      <c r="CB907" s="131"/>
      <c r="CC907" s="131"/>
      <c r="CD907" s="131"/>
      <c r="CE907" s="131"/>
    </row>
    <row r="908" ht="18.75" customHeight="1">
      <c r="C908" s="64"/>
      <c r="E908" s="64"/>
      <c r="F908" s="64"/>
      <c r="G908" s="64"/>
      <c r="AH908" s="162"/>
      <c r="AI908" s="162"/>
      <c r="AJ908" s="162"/>
      <c r="AK908" s="162"/>
      <c r="BS908" s="131"/>
      <c r="BT908" s="131"/>
      <c r="BU908" s="131"/>
      <c r="BV908" s="131"/>
      <c r="BW908" s="131"/>
      <c r="BX908" s="131"/>
      <c r="BY908" s="131"/>
      <c r="BZ908" s="131"/>
      <c r="CA908" s="131"/>
      <c r="CB908" s="131"/>
      <c r="CC908" s="131"/>
      <c r="CD908" s="131"/>
      <c r="CE908" s="131"/>
    </row>
    <row r="909" ht="18.75" customHeight="1">
      <c r="C909" s="64"/>
      <c r="E909" s="64"/>
      <c r="F909" s="64"/>
      <c r="G909" s="64"/>
      <c r="AH909" s="162"/>
      <c r="AI909" s="162"/>
      <c r="AJ909" s="162"/>
      <c r="AK909" s="162"/>
      <c r="BS909" s="131"/>
      <c r="BT909" s="131"/>
      <c r="BU909" s="131"/>
      <c r="BV909" s="131"/>
      <c r="BW909" s="131"/>
      <c r="BX909" s="131"/>
      <c r="BY909" s="131"/>
      <c r="BZ909" s="131"/>
      <c r="CA909" s="131"/>
      <c r="CB909" s="131"/>
      <c r="CC909" s="131"/>
      <c r="CD909" s="131"/>
      <c r="CE909" s="131"/>
    </row>
    <row r="910" ht="18.75" customHeight="1">
      <c r="C910" s="64"/>
      <c r="E910" s="64"/>
      <c r="F910" s="64"/>
      <c r="G910" s="64"/>
      <c r="AH910" s="162"/>
      <c r="AI910" s="162"/>
      <c r="AJ910" s="162"/>
      <c r="AK910" s="162"/>
      <c r="BS910" s="131"/>
      <c r="BT910" s="131"/>
      <c r="BU910" s="131"/>
      <c r="BV910" s="131"/>
      <c r="BW910" s="131"/>
      <c r="BX910" s="131"/>
      <c r="BY910" s="131"/>
      <c r="BZ910" s="131"/>
      <c r="CA910" s="131"/>
      <c r="CB910" s="131"/>
      <c r="CC910" s="131"/>
      <c r="CD910" s="131"/>
      <c r="CE910" s="131"/>
    </row>
    <row r="911" ht="18.75" customHeight="1">
      <c r="C911" s="64"/>
      <c r="E911" s="64"/>
      <c r="F911" s="64"/>
      <c r="G911" s="64"/>
      <c r="AH911" s="162"/>
      <c r="AI911" s="162"/>
      <c r="AJ911" s="162"/>
      <c r="AK911" s="162"/>
      <c r="BS911" s="131"/>
      <c r="BT911" s="131"/>
      <c r="BU911" s="131"/>
      <c r="BV911" s="131"/>
      <c r="BW911" s="131"/>
      <c r="BX911" s="131"/>
      <c r="BY911" s="131"/>
      <c r="BZ911" s="131"/>
      <c r="CA911" s="131"/>
      <c r="CB911" s="131"/>
      <c r="CC911" s="131"/>
      <c r="CD911" s="131"/>
      <c r="CE911" s="131"/>
    </row>
    <row r="912" ht="18.75" customHeight="1">
      <c r="C912" s="64"/>
      <c r="E912" s="64"/>
      <c r="F912" s="64"/>
      <c r="G912" s="64"/>
      <c r="AH912" s="162"/>
      <c r="AI912" s="162"/>
      <c r="AJ912" s="162"/>
      <c r="AK912" s="162"/>
      <c r="BS912" s="131"/>
      <c r="BT912" s="131"/>
      <c r="BU912" s="131"/>
      <c r="BV912" s="131"/>
      <c r="BW912" s="131"/>
      <c r="BX912" s="131"/>
      <c r="BY912" s="131"/>
      <c r="BZ912" s="131"/>
      <c r="CA912" s="131"/>
      <c r="CB912" s="131"/>
      <c r="CC912" s="131"/>
      <c r="CD912" s="131"/>
      <c r="CE912" s="131"/>
    </row>
    <row r="913" ht="18.75" customHeight="1">
      <c r="C913" s="64"/>
      <c r="E913" s="64"/>
      <c r="F913" s="64"/>
      <c r="G913" s="64"/>
      <c r="AH913" s="162"/>
      <c r="AI913" s="162"/>
      <c r="AJ913" s="162"/>
      <c r="AK913" s="162"/>
      <c r="BS913" s="131"/>
      <c r="BT913" s="131"/>
      <c r="BU913" s="131"/>
      <c r="BV913" s="131"/>
      <c r="BW913" s="131"/>
      <c r="BX913" s="131"/>
      <c r="BY913" s="131"/>
      <c r="BZ913" s="131"/>
      <c r="CA913" s="131"/>
      <c r="CB913" s="131"/>
      <c r="CC913" s="131"/>
      <c r="CD913" s="131"/>
      <c r="CE913" s="131"/>
    </row>
    <row r="914" ht="18.75" customHeight="1">
      <c r="C914" s="64"/>
      <c r="E914" s="64"/>
      <c r="F914" s="64"/>
      <c r="G914" s="64"/>
      <c r="AH914" s="162"/>
      <c r="AI914" s="162"/>
      <c r="AJ914" s="162"/>
      <c r="AK914" s="162"/>
      <c r="BS914" s="131"/>
      <c r="BT914" s="131"/>
      <c r="BU914" s="131"/>
      <c r="BV914" s="131"/>
      <c r="BW914" s="131"/>
      <c r="BX914" s="131"/>
      <c r="BY914" s="131"/>
      <c r="BZ914" s="131"/>
      <c r="CA914" s="131"/>
      <c r="CB914" s="131"/>
      <c r="CC914" s="131"/>
      <c r="CD914" s="131"/>
      <c r="CE914" s="131"/>
    </row>
    <row r="915" ht="18.75" customHeight="1">
      <c r="C915" s="64"/>
      <c r="E915" s="64"/>
      <c r="F915" s="64"/>
      <c r="G915" s="64"/>
      <c r="AH915" s="162"/>
      <c r="AI915" s="162"/>
      <c r="AJ915" s="162"/>
      <c r="AK915" s="162"/>
      <c r="BS915" s="131"/>
      <c r="BT915" s="131"/>
      <c r="BU915" s="131"/>
      <c r="BV915" s="131"/>
      <c r="BW915" s="131"/>
      <c r="BX915" s="131"/>
      <c r="BY915" s="131"/>
      <c r="BZ915" s="131"/>
      <c r="CA915" s="131"/>
      <c r="CB915" s="131"/>
      <c r="CC915" s="131"/>
      <c r="CD915" s="131"/>
      <c r="CE915" s="131"/>
    </row>
    <row r="916" ht="18.75" customHeight="1">
      <c r="C916" s="64"/>
      <c r="E916" s="64"/>
      <c r="F916" s="64"/>
      <c r="G916" s="64"/>
      <c r="AH916" s="162"/>
      <c r="AI916" s="162"/>
      <c r="AJ916" s="162"/>
      <c r="AK916" s="162"/>
      <c r="BS916" s="131"/>
      <c r="BT916" s="131"/>
      <c r="BU916" s="131"/>
      <c r="BV916" s="131"/>
      <c r="BW916" s="131"/>
      <c r="BX916" s="131"/>
      <c r="BY916" s="131"/>
      <c r="BZ916" s="131"/>
      <c r="CA916" s="131"/>
      <c r="CB916" s="131"/>
      <c r="CC916" s="131"/>
      <c r="CD916" s="131"/>
      <c r="CE916" s="131"/>
    </row>
    <row r="917" ht="18.75" customHeight="1">
      <c r="C917" s="64"/>
      <c r="E917" s="64"/>
      <c r="F917" s="64"/>
      <c r="G917" s="64"/>
      <c r="AH917" s="162"/>
      <c r="AI917" s="162"/>
      <c r="AJ917" s="162"/>
      <c r="AK917" s="162"/>
      <c r="BS917" s="131"/>
      <c r="BT917" s="131"/>
      <c r="BU917" s="131"/>
      <c r="BV917" s="131"/>
      <c r="BW917" s="131"/>
      <c r="BX917" s="131"/>
      <c r="BY917" s="131"/>
      <c r="BZ917" s="131"/>
      <c r="CA917" s="131"/>
      <c r="CB917" s="131"/>
      <c r="CC917" s="131"/>
      <c r="CD917" s="131"/>
      <c r="CE917" s="131"/>
    </row>
    <row r="918" ht="18.75" customHeight="1">
      <c r="C918" s="64"/>
      <c r="E918" s="64"/>
      <c r="F918" s="64"/>
      <c r="G918" s="64"/>
      <c r="AH918" s="162"/>
      <c r="AI918" s="162"/>
      <c r="AJ918" s="162"/>
      <c r="AK918" s="162"/>
      <c r="BS918" s="131"/>
      <c r="BT918" s="131"/>
      <c r="BU918" s="131"/>
      <c r="BV918" s="131"/>
      <c r="BW918" s="131"/>
      <c r="BX918" s="131"/>
      <c r="BY918" s="131"/>
      <c r="BZ918" s="131"/>
      <c r="CA918" s="131"/>
      <c r="CB918" s="131"/>
      <c r="CC918" s="131"/>
      <c r="CD918" s="131"/>
      <c r="CE918" s="131"/>
    </row>
    <row r="919" ht="18.75" customHeight="1">
      <c r="C919" s="64"/>
      <c r="E919" s="64"/>
      <c r="F919" s="64"/>
      <c r="G919" s="64"/>
      <c r="AH919" s="162"/>
      <c r="AI919" s="162"/>
      <c r="AJ919" s="162"/>
      <c r="AK919" s="162"/>
      <c r="BS919" s="131"/>
      <c r="BT919" s="131"/>
      <c r="BU919" s="131"/>
      <c r="BV919" s="131"/>
      <c r="BW919" s="131"/>
      <c r="BX919" s="131"/>
      <c r="BY919" s="131"/>
      <c r="BZ919" s="131"/>
      <c r="CA919" s="131"/>
      <c r="CB919" s="131"/>
      <c r="CC919" s="131"/>
      <c r="CD919" s="131"/>
      <c r="CE919" s="131"/>
    </row>
    <row r="920" ht="18.75" customHeight="1">
      <c r="C920" s="64"/>
      <c r="E920" s="64"/>
      <c r="F920" s="64"/>
      <c r="G920" s="64"/>
      <c r="AH920" s="162"/>
      <c r="AI920" s="162"/>
      <c r="AJ920" s="162"/>
      <c r="AK920" s="162"/>
      <c r="BS920" s="131"/>
      <c r="BT920" s="131"/>
      <c r="BU920" s="131"/>
      <c r="BV920" s="131"/>
      <c r="BW920" s="131"/>
      <c r="BX920" s="131"/>
      <c r="BY920" s="131"/>
      <c r="BZ920" s="131"/>
      <c r="CA920" s="131"/>
      <c r="CB920" s="131"/>
      <c r="CC920" s="131"/>
      <c r="CD920" s="131"/>
      <c r="CE920" s="131"/>
    </row>
    <row r="921" ht="18.75" customHeight="1">
      <c r="C921" s="64"/>
      <c r="E921" s="64"/>
      <c r="F921" s="64"/>
      <c r="G921" s="64"/>
      <c r="AH921" s="162"/>
      <c r="AI921" s="162"/>
      <c r="AJ921" s="162"/>
      <c r="AK921" s="162"/>
      <c r="BS921" s="131"/>
      <c r="BT921" s="131"/>
      <c r="BU921" s="131"/>
      <c r="BV921" s="131"/>
      <c r="BW921" s="131"/>
      <c r="BX921" s="131"/>
      <c r="BY921" s="131"/>
      <c r="BZ921" s="131"/>
      <c r="CA921" s="131"/>
      <c r="CB921" s="131"/>
      <c r="CC921" s="131"/>
      <c r="CD921" s="131"/>
      <c r="CE921" s="131"/>
    </row>
    <row r="922" ht="18.75" customHeight="1">
      <c r="C922" s="64"/>
      <c r="E922" s="64"/>
      <c r="F922" s="64"/>
      <c r="G922" s="64"/>
      <c r="AH922" s="162"/>
      <c r="AI922" s="162"/>
      <c r="AJ922" s="162"/>
      <c r="AK922" s="162"/>
      <c r="BS922" s="131"/>
      <c r="BT922" s="131"/>
      <c r="BU922" s="131"/>
      <c r="BV922" s="131"/>
      <c r="BW922" s="131"/>
      <c r="BX922" s="131"/>
      <c r="BY922" s="131"/>
      <c r="BZ922" s="131"/>
      <c r="CA922" s="131"/>
      <c r="CB922" s="131"/>
      <c r="CC922" s="131"/>
      <c r="CD922" s="131"/>
      <c r="CE922" s="131"/>
    </row>
    <row r="923" ht="18.75" customHeight="1">
      <c r="C923" s="64"/>
      <c r="E923" s="64"/>
      <c r="F923" s="64"/>
      <c r="G923" s="64"/>
      <c r="AH923" s="162"/>
      <c r="AI923" s="162"/>
      <c r="AJ923" s="162"/>
      <c r="AK923" s="162"/>
      <c r="BS923" s="131"/>
      <c r="BT923" s="131"/>
      <c r="BU923" s="131"/>
      <c r="BV923" s="131"/>
      <c r="BW923" s="131"/>
      <c r="BX923" s="131"/>
      <c r="BY923" s="131"/>
      <c r="BZ923" s="131"/>
      <c r="CA923" s="131"/>
      <c r="CB923" s="131"/>
      <c r="CC923" s="131"/>
      <c r="CD923" s="131"/>
      <c r="CE923" s="131"/>
    </row>
    <row r="924" ht="18.75" customHeight="1">
      <c r="C924" s="64"/>
      <c r="E924" s="64"/>
      <c r="F924" s="64"/>
      <c r="G924" s="64"/>
      <c r="AH924" s="162"/>
      <c r="AI924" s="162"/>
      <c r="AJ924" s="162"/>
      <c r="AK924" s="162"/>
      <c r="BS924" s="131"/>
      <c r="BT924" s="131"/>
      <c r="BU924" s="131"/>
      <c r="BV924" s="131"/>
      <c r="BW924" s="131"/>
      <c r="BX924" s="131"/>
      <c r="BY924" s="131"/>
      <c r="BZ924" s="131"/>
      <c r="CA924" s="131"/>
      <c r="CB924" s="131"/>
      <c r="CC924" s="131"/>
      <c r="CD924" s="131"/>
      <c r="CE924" s="131"/>
    </row>
    <row r="925" ht="18.75" customHeight="1">
      <c r="C925" s="64"/>
      <c r="E925" s="64"/>
      <c r="F925" s="64"/>
      <c r="G925" s="64"/>
      <c r="AH925" s="162"/>
      <c r="AI925" s="162"/>
      <c r="AJ925" s="162"/>
      <c r="AK925" s="162"/>
      <c r="BS925" s="131"/>
      <c r="BT925" s="131"/>
      <c r="BU925" s="131"/>
      <c r="BV925" s="131"/>
      <c r="BW925" s="131"/>
      <c r="BX925" s="131"/>
      <c r="BY925" s="131"/>
      <c r="BZ925" s="131"/>
      <c r="CA925" s="131"/>
      <c r="CB925" s="131"/>
      <c r="CC925" s="131"/>
      <c r="CD925" s="131"/>
      <c r="CE925" s="131"/>
    </row>
    <row r="926" ht="18.75" customHeight="1">
      <c r="C926" s="64"/>
      <c r="E926" s="64"/>
      <c r="F926" s="64"/>
      <c r="G926" s="64"/>
      <c r="AH926" s="162"/>
      <c r="AI926" s="162"/>
      <c r="AJ926" s="162"/>
      <c r="AK926" s="162"/>
      <c r="BS926" s="131"/>
      <c r="BT926" s="131"/>
      <c r="BU926" s="131"/>
      <c r="BV926" s="131"/>
      <c r="BW926" s="131"/>
      <c r="BX926" s="131"/>
      <c r="BY926" s="131"/>
      <c r="BZ926" s="131"/>
      <c r="CA926" s="131"/>
      <c r="CB926" s="131"/>
      <c r="CC926" s="131"/>
      <c r="CD926" s="131"/>
      <c r="CE926" s="131"/>
    </row>
    <row r="927" ht="18.75" customHeight="1">
      <c r="C927" s="64"/>
      <c r="E927" s="64"/>
      <c r="F927" s="64"/>
      <c r="G927" s="64"/>
      <c r="AH927" s="162"/>
      <c r="AI927" s="162"/>
      <c r="AJ927" s="162"/>
      <c r="AK927" s="162"/>
      <c r="BS927" s="131"/>
      <c r="BT927" s="131"/>
      <c r="BU927" s="131"/>
      <c r="BV927" s="131"/>
      <c r="BW927" s="131"/>
      <c r="BX927" s="131"/>
      <c r="BY927" s="131"/>
      <c r="BZ927" s="131"/>
      <c r="CA927" s="131"/>
      <c r="CB927" s="131"/>
      <c r="CC927" s="131"/>
      <c r="CD927" s="131"/>
      <c r="CE927" s="131"/>
    </row>
    <row r="928" ht="18.75" customHeight="1">
      <c r="C928" s="64"/>
      <c r="E928" s="64"/>
      <c r="F928" s="64"/>
      <c r="G928" s="64"/>
      <c r="AH928" s="162"/>
      <c r="AI928" s="162"/>
      <c r="AJ928" s="162"/>
      <c r="AK928" s="162"/>
      <c r="BS928" s="131"/>
      <c r="BT928" s="131"/>
      <c r="BU928" s="131"/>
      <c r="BV928" s="131"/>
      <c r="BW928" s="131"/>
      <c r="BX928" s="131"/>
      <c r="BY928" s="131"/>
      <c r="BZ928" s="131"/>
      <c r="CA928" s="131"/>
      <c r="CB928" s="131"/>
      <c r="CC928" s="131"/>
      <c r="CD928" s="131"/>
      <c r="CE928" s="131"/>
    </row>
    <row r="929" ht="18.75" customHeight="1">
      <c r="C929" s="64"/>
      <c r="E929" s="64"/>
      <c r="F929" s="64"/>
      <c r="G929" s="64"/>
      <c r="AH929" s="162"/>
      <c r="AI929" s="162"/>
      <c r="AJ929" s="162"/>
      <c r="AK929" s="162"/>
      <c r="BS929" s="131"/>
      <c r="BT929" s="131"/>
      <c r="BU929" s="131"/>
      <c r="BV929" s="131"/>
      <c r="BW929" s="131"/>
      <c r="BX929" s="131"/>
      <c r="BY929" s="131"/>
      <c r="BZ929" s="131"/>
      <c r="CA929" s="131"/>
      <c r="CB929" s="131"/>
      <c r="CC929" s="131"/>
      <c r="CD929" s="131"/>
      <c r="CE929" s="131"/>
    </row>
    <row r="930" ht="18.75" customHeight="1">
      <c r="C930" s="64"/>
      <c r="E930" s="64"/>
      <c r="F930" s="64"/>
      <c r="G930" s="64"/>
      <c r="AH930" s="162"/>
      <c r="AI930" s="162"/>
      <c r="AJ930" s="162"/>
      <c r="AK930" s="162"/>
      <c r="BS930" s="131"/>
      <c r="BT930" s="131"/>
      <c r="BU930" s="131"/>
      <c r="BV930" s="131"/>
      <c r="BW930" s="131"/>
      <c r="BX930" s="131"/>
      <c r="BY930" s="131"/>
      <c r="BZ930" s="131"/>
      <c r="CA930" s="131"/>
      <c r="CB930" s="131"/>
      <c r="CC930" s="131"/>
      <c r="CD930" s="131"/>
      <c r="CE930" s="131"/>
    </row>
    <row r="931" ht="18.75" customHeight="1">
      <c r="C931" s="64"/>
      <c r="E931" s="64"/>
      <c r="F931" s="64"/>
      <c r="G931" s="64"/>
      <c r="AH931" s="162"/>
      <c r="AI931" s="162"/>
      <c r="AJ931" s="162"/>
      <c r="AK931" s="162"/>
      <c r="BS931" s="131"/>
      <c r="BT931" s="131"/>
      <c r="BU931" s="131"/>
      <c r="BV931" s="131"/>
      <c r="BW931" s="131"/>
      <c r="BX931" s="131"/>
      <c r="BY931" s="131"/>
      <c r="BZ931" s="131"/>
      <c r="CA931" s="131"/>
      <c r="CB931" s="131"/>
      <c r="CC931" s="131"/>
      <c r="CD931" s="131"/>
      <c r="CE931" s="131"/>
    </row>
    <row r="932" ht="18.75" customHeight="1">
      <c r="C932" s="64"/>
      <c r="E932" s="64"/>
      <c r="F932" s="64"/>
      <c r="G932" s="64"/>
      <c r="AH932" s="162"/>
      <c r="AI932" s="162"/>
      <c r="AJ932" s="162"/>
      <c r="AK932" s="162"/>
      <c r="BS932" s="131"/>
      <c r="BT932" s="131"/>
      <c r="BU932" s="131"/>
      <c r="BV932" s="131"/>
      <c r="BW932" s="131"/>
      <c r="BX932" s="131"/>
      <c r="BY932" s="131"/>
      <c r="BZ932" s="131"/>
      <c r="CA932" s="131"/>
      <c r="CB932" s="131"/>
      <c r="CC932" s="131"/>
      <c r="CD932" s="131"/>
      <c r="CE932" s="131"/>
    </row>
    <row r="933" ht="18.75" customHeight="1">
      <c r="C933" s="64"/>
      <c r="E933" s="64"/>
      <c r="F933" s="64"/>
      <c r="G933" s="64"/>
      <c r="AH933" s="162"/>
      <c r="AI933" s="162"/>
      <c r="AJ933" s="162"/>
      <c r="AK933" s="162"/>
      <c r="BS933" s="131"/>
      <c r="BT933" s="131"/>
      <c r="BU933" s="131"/>
      <c r="BV933" s="131"/>
      <c r="BW933" s="131"/>
      <c r="BX933" s="131"/>
      <c r="BY933" s="131"/>
      <c r="BZ933" s="131"/>
      <c r="CA933" s="131"/>
      <c r="CB933" s="131"/>
      <c r="CC933" s="131"/>
      <c r="CD933" s="131"/>
      <c r="CE933" s="131"/>
    </row>
    <row r="934" ht="18.75" customHeight="1">
      <c r="C934" s="64"/>
      <c r="E934" s="64"/>
      <c r="F934" s="64"/>
      <c r="G934" s="64"/>
      <c r="AH934" s="162"/>
      <c r="AI934" s="162"/>
      <c r="AJ934" s="162"/>
      <c r="AK934" s="162"/>
      <c r="BS934" s="131"/>
      <c r="BT934" s="131"/>
      <c r="BU934" s="131"/>
      <c r="BV934" s="131"/>
      <c r="BW934" s="131"/>
      <c r="BX934" s="131"/>
      <c r="BY934" s="131"/>
      <c r="BZ934" s="131"/>
      <c r="CA934" s="131"/>
      <c r="CB934" s="131"/>
      <c r="CC934" s="131"/>
      <c r="CD934" s="131"/>
      <c r="CE934" s="131"/>
    </row>
    <row r="935" ht="18.75" customHeight="1">
      <c r="C935" s="64"/>
      <c r="E935" s="64"/>
      <c r="F935" s="64"/>
      <c r="G935" s="64"/>
      <c r="AH935" s="162"/>
      <c r="AI935" s="162"/>
      <c r="AJ935" s="162"/>
      <c r="AK935" s="162"/>
      <c r="BS935" s="131"/>
      <c r="BT935" s="131"/>
      <c r="BU935" s="131"/>
      <c r="BV935" s="131"/>
      <c r="BW935" s="131"/>
      <c r="BX935" s="131"/>
      <c r="BY935" s="131"/>
      <c r="BZ935" s="131"/>
      <c r="CA935" s="131"/>
      <c r="CB935" s="131"/>
      <c r="CC935" s="131"/>
      <c r="CD935" s="131"/>
      <c r="CE935" s="131"/>
    </row>
    <row r="936" ht="18.75" customHeight="1">
      <c r="C936" s="64"/>
      <c r="E936" s="64"/>
      <c r="F936" s="64"/>
      <c r="G936" s="64"/>
      <c r="AH936" s="162"/>
      <c r="AI936" s="162"/>
      <c r="AJ936" s="162"/>
      <c r="AK936" s="162"/>
      <c r="BS936" s="131"/>
      <c r="BT936" s="131"/>
      <c r="BU936" s="131"/>
      <c r="BV936" s="131"/>
      <c r="BW936" s="131"/>
      <c r="BX936" s="131"/>
      <c r="BY936" s="131"/>
      <c r="BZ936" s="131"/>
      <c r="CA936" s="131"/>
      <c r="CB936" s="131"/>
      <c r="CC936" s="131"/>
      <c r="CD936" s="131"/>
      <c r="CE936" s="131"/>
    </row>
    <row r="937" ht="18.75" customHeight="1">
      <c r="C937" s="64"/>
      <c r="E937" s="64"/>
      <c r="F937" s="64"/>
      <c r="G937" s="64"/>
      <c r="AH937" s="162"/>
      <c r="AI937" s="162"/>
      <c r="AJ937" s="162"/>
      <c r="AK937" s="162"/>
      <c r="BS937" s="131"/>
      <c r="BT937" s="131"/>
      <c r="BU937" s="131"/>
      <c r="BV937" s="131"/>
      <c r="BW937" s="131"/>
      <c r="BX937" s="131"/>
      <c r="BY937" s="131"/>
      <c r="BZ937" s="131"/>
      <c r="CA937" s="131"/>
      <c r="CB937" s="131"/>
      <c r="CC937" s="131"/>
      <c r="CD937" s="131"/>
      <c r="CE937" s="131"/>
    </row>
    <row r="938" ht="18.75" customHeight="1">
      <c r="C938" s="64"/>
      <c r="E938" s="64"/>
      <c r="F938" s="64"/>
      <c r="G938" s="64"/>
      <c r="AH938" s="162"/>
      <c r="AI938" s="162"/>
      <c r="AJ938" s="162"/>
      <c r="AK938" s="162"/>
      <c r="BS938" s="131"/>
      <c r="BT938" s="131"/>
      <c r="BU938" s="131"/>
      <c r="BV938" s="131"/>
      <c r="BW938" s="131"/>
      <c r="BX938" s="131"/>
      <c r="BY938" s="131"/>
      <c r="BZ938" s="131"/>
      <c r="CA938" s="131"/>
      <c r="CB938" s="131"/>
      <c r="CC938" s="131"/>
      <c r="CD938" s="131"/>
      <c r="CE938" s="131"/>
    </row>
    <row r="939" ht="18.75" customHeight="1">
      <c r="C939" s="64"/>
      <c r="E939" s="64"/>
      <c r="F939" s="64"/>
      <c r="G939" s="64"/>
      <c r="AH939" s="162"/>
      <c r="AI939" s="162"/>
      <c r="AJ939" s="162"/>
      <c r="AK939" s="162"/>
      <c r="BS939" s="131"/>
      <c r="BT939" s="131"/>
      <c r="BU939" s="131"/>
      <c r="BV939" s="131"/>
      <c r="BW939" s="131"/>
      <c r="BX939" s="131"/>
      <c r="BY939" s="131"/>
      <c r="BZ939" s="131"/>
      <c r="CA939" s="131"/>
      <c r="CB939" s="131"/>
      <c r="CC939" s="131"/>
      <c r="CD939" s="131"/>
      <c r="CE939" s="131"/>
    </row>
    <row r="940" ht="18.75" customHeight="1">
      <c r="C940" s="64"/>
      <c r="E940" s="64"/>
      <c r="F940" s="64"/>
      <c r="G940" s="64"/>
      <c r="AH940" s="162"/>
      <c r="AI940" s="162"/>
      <c r="AJ940" s="162"/>
      <c r="AK940" s="162"/>
      <c r="BS940" s="131"/>
      <c r="BT940" s="131"/>
      <c r="BU940" s="131"/>
      <c r="BV940" s="131"/>
      <c r="BW940" s="131"/>
      <c r="BX940" s="131"/>
      <c r="BY940" s="131"/>
      <c r="BZ940" s="131"/>
      <c r="CA940" s="131"/>
      <c r="CB940" s="131"/>
      <c r="CC940" s="131"/>
      <c r="CD940" s="131"/>
      <c r="CE940" s="131"/>
    </row>
    <row r="941" ht="18.75" customHeight="1">
      <c r="C941" s="64"/>
      <c r="E941" s="64"/>
      <c r="F941" s="64"/>
      <c r="G941" s="64"/>
      <c r="AH941" s="162"/>
      <c r="AI941" s="162"/>
      <c r="AJ941" s="162"/>
      <c r="AK941" s="162"/>
      <c r="BS941" s="131"/>
      <c r="BT941" s="131"/>
      <c r="BU941" s="131"/>
      <c r="BV941" s="131"/>
      <c r="BW941" s="131"/>
      <c r="BX941" s="131"/>
      <c r="BY941" s="131"/>
      <c r="BZ941" s="131"/>
      <c r="CA941" s="131"/>
      <c r="CB941" s="131"/>
      <c r="CC941" s="131"/>
      <c r="CD941" s="131"/>
      <c r="CE941" s="131"/>
    </row>
    <row r="942" ht="18.75" customHeight="1">
      <c r="C942" s="64"/>
      <c r="E942" s="64"/>
      <c r="F942" s="64"/>
      <c r="G942" s="64"/>
      <c r="AH942" s="162"/>
      <c r="AI942" s="162"/>
      <c r="AJ942" s="162"/>
      <c r="AK942" s="162"/>
      <c r="BS942" s="131"/>
      <c r="BT942" s="131"/>
      <c r="BU942" s="131"/>
      <c r="BV942" s="131"/>
      <c r="BW942" s="131"/>
      <c r="BX942" s="131"/>
      <c r="BY942" s="131"/>
      <c r="BZ942" s="131"/>
      <c r="CA942" s="131"/>
      <c r="CB942" s="131"/>
      <c r="CC942" s="131"/>
      <c r="CD942" s="131"/>
      <c r="CE942" s="131"/>
    </row>
    <row r="943" ht="18.75" customHeight="1">
      <c r="C943" s="64"/>
      <c r="E943" s="64"/>
      <c r="F943" s="64"/>
      <c r="G943" s="64"/>
      <c r="AH943" s="162"/>
      <c r="AI943" s="162"/>
      <c r="AJ943" s="162"/>
      <c r="AK943" s="162"/>
      <c r="BS943" s="131"/>
      <c r="BT943" s="131"/>
      <c r="BU943" s="131"/>
      <c r="BV943" s="131"/>
      <c r="BW943" s="131"/>
      <c r="BX943" s="131"/>
      <c r="BY943" s="131"/>
      <c r="BZ943" s="131"/>
      <c r="CA943" s="131"/>
      <c r="CB943" s="131"/>
      <c r="CC943" s="131"/>
      <c r="CD943" s="131"/>
      <c r="CE943" s="131"/>
    </row>
    <row r="944" ht="18.75" customHeight="1">
      <c r="C944" s="64"/>
      <c r="E944" s="64"/>
      <c r="F944" s="64"/>
      <c r="G944" s="64"/>
      <c r="AH944" s="162"/>
      <c r="AI944" s="162"/>
      <c r="AJ944" s="162"/>
      <c r="AK944" s="162"/>
      <c r="BS944" s="131"/>
      <c r="BT944" s="131"/>
      <c r="BU944" s="131"/>
      <c r="BV944" s="131"/>
      <c r="BW944" s="131"/>
      <c r="BX944" s="131"/>
      <c r="BY944" s="131"/>
      <c r="BZ944" s="131"/>
      <c r="CA944" s="131"/>
      <c r="CB944" s="131"/>
      <c r="CC944" s="131"/>
      <c r="CD944" s="131"/>
      <c r="CE944" s="131"/>
    </row>
    <row r="945" ht="18.75" customHeight="1">
      <c r="C945" s="64"/>
      <c r="E945" s="64"/>
      <c r="F945" s="64"/>
      <c r="G945" s="64"/>
      <c r="AH945" s="162"/>
      <c r="AI945" s="162"/>
      <c r="AJ945" s="162"/>
      <c r="AK945" s="162"/>
      <c r="BS945" s="131"/>
      <c r="BT945" s="131"/>
      <c r="BU945" s="131"/>
      <c r="BV945" s="131"/>
      <c r="BW945" s="131"/>
      <c r="BX945" s="131"/>
      <c r="BY945" s="131"/>
      <c r="BZ945" s="131"/>
      <c r="CA945" s="131"/>
      <c r="CB945" s="131"/>
      <c r="CC945" s="131"/>
      <c r="CD945" s="131"/>
      <c r="CE945" s="131"/>
    </row>
    <row r="946" ht="18.75" customHeight="1">
      <c r="C946" s="64"/>
      <c r="E946" s="64"/>
      <c r="F946" s="64"/>
      <c r="G946" s="64"/>
      <c r="AH946" s="162"/>
      <c r="AI946" s="162"/>
      <c r="AJ946" s="162"/>
      <c r="AK946" s="162"/>
      <c r="BS946" s="131"/>
      <c r="BT946" s="131"/>
      <c r="BU946" s="131"/>
      <c r="BV946" s="131"/>
      <c r="BW946" s="131"/>
      <c r="BX946" s="131"/>
      <c r="BY946" s="131"/>
      <c r="BZ946" s="131"/>
      <c r="CA946" s="131"/>
      <c r="CB946" s="131"/>
      <c r="CC946" s="131"/>
      <c r="CD946" s="131"/>
      <c r="CE946" s="131"/>
    </row>
    <row r="947" ht="18.75" customHeight="1">
      <c r="C947" s="64"/>
      <c r="E947" s="64"/>
      <c r="F947" s="64"/>
      <c r="G947" s="64"/>
      <c r="AH947" s="162"/>
      <c r="AI947" s="162"/>
      <c r="AJ947" s="162"/>
      <c r="AK947" s="162"/>
      <c r="BS947" s="131"/>
      <c r="BT947" s="131"/>
      <c r="BU947" s="131"/>
      <c r="BV947" s="131"/>
      <c r="BW947" s="131"/>
      <c r="BX947" s="131"/>
      <c r="BY947" s="131"/>
      <c r="BZ947" s="131"/>
      <c r="CA947" s="131"/>
      <c r="CB947" s="131"/>
      <c r="CC947" s="131"/>
      <c r="CD947" s="131"/>
      <c r="CE947" s="131"/>
    </row>
    <row r="948" ht="18.75" customHeight="1">
      <c r="C948" s="64"/>
      <c r="E948" s="64"/>
      <c r="F948" s="64"/>
      <c r="G948" s="64"/>
      <c r="AH948" s="162"/>
      <c r="AI948" s="162"/>
      <c r="AJ948" s="162"/>
      <c r="AK948" s="162"/>
      <c r="BS948" s="131"/>
      <c r="BT948" s="131"/>
      <c r="BU948" s="131"/>
      <c r="BV948" s="131"/>
      <c r="BW948" s="131"/>
      <c r="BX948" s="131"/>
      <c r="BY948" s="131"/>
      <c r="BZ948" s="131"/>
      <c r="CA948" s="131"/>
      <c r="CB948" s="131"/>
      <c r="CC948" s="131"/>
      <c r="CD948" s="131"/>
      <c r="CE948" s="131"/>
    </row>
    <row r="949" ht="18.75" customHeight="1">
      <c r="C949" s="64"/>
      <c r="E949" s="64"/>
      <c r="F949" s="64"/>
      <c r="G949" s="64"/>
      <c r="AH949" s="162"/>
      <c r="AI949" s="162"/>
      <c r="AJ949" s="162"/>
      <c r="AK949" s="162"/>
      <c r="BS949" s="131"/>
      <c r="BT949" s="131"/>
      <c r="BU949" s="131"/>
      <c r="BV949" s="131"/>
      <c r="BW949" s="131"/>
      <c r="BX949" s="131"/>
      <c r="BY949" s="131"/>
      <c r="BZ949" s="131"/>
      <c r="CA949" s="131"/>
      <c r="CB949" s="131"/>
      <c r="CC949" s="131"/>
      <c r="CD949" s="131"/>
      <c r="CE949" s="131"/>
    </row>
    <row r="950" ht="18.75" customHeight="1">
      <c r="C950" s="64"/>
      <c r="E950" s="64"/>
      <c r="F950" s="64"/>
      <c r="G950" s="64"/>
      <c r="AH950" s="162"/>
      <c r="AI950" s="162"/>
      <c r="AJ950" s="162"/>
      <c r="AK950" s="162"/>
      <c r="BS950" s="131"/>
      <c r="BT950" s="131"/>
      <c r="BU950" s="131"/>
      <c r="BV950" s="131"/>
      <c r="BW950" s="131"/>
      <c r="BX950" s="131"/>
      <c r="BY950" s="131"/>
      <c r="BZ950" s="131"/>
      <c r="CA950" s="131"/>
      <c r="CB950" s="131"/>
      <c r="CC950" s="131"/>
      <c r="CD950" s="131"/>
      <c r="CE950" s="131"/>
    </row>
    <row r="951" ht="18.75" customHeight="1">
      <c r="C951" s="64"/>
      <c r="E951" s="64"/>
      <c r="F951" s="64"/>
      <c r="G951" s="64"/>
      <c r="AH951" s="162"/>
      <c r="AI951" s="162"/>
      <c r="AJ951" s="162"/>
      <c r="AK951" s="162"/>
      <c r="BS951" s="131"/>
      <c r="BT951" s="131"/>
      <c r="BU951" s="131"/>
      <c r="BV951" s="131"/>
      <c r="BW951" s="131"/>
      <c r="BX951" s="131"/>
      <c r="BY951" s="131"/>
      <c r="BZ951" s="131"/>
      <c r="CA951" s="131"/>
      <c r="CB951" s="131"/>
      <c r="CC951" s="131"/>
      <c r="CD951" s="131"/>
      <c r="CE951" s="131"/>
    </row>
    <row r="952" ht="18.75" customHeight="1">
      <c r="C952" s="64"/>
      <c r="E952" s="64"/>
      <c r="F952" s="64"/>
      <c r="G952" s="64"/>
      <c r="AH952" s="162"/>
      <c r="AI952" s="162"/>
      <c r="AJ952" s="162"/>
      <c r="AK952" s="162"/>
      <c r="BS952" s="131"/>
      <c r="BT952" s="131"/>
      <c r="BU952" s="131"/>
      <c r="BV952" s="131"/>
      <c r="BW952" s="131"/>
      <c r="BX952" s="131"/>
      <c r="BY952" s="131"/>
      <c r="BZ952" s="131"/>
      <c r="CA952" s="131"/>
      <c r="CB952" s="131"/>
      <c r="CC952" s="131"/>
      <c r="CD952" s="131"/>
      <c r="CE952" s="131"/>
    </row>
    <row r="953" ht="18.75" customHeight="1">
      <c r="C953" s="64"/>
      <c r="E953" s="64"/>
      <c r="F953" s="64"/>
      <c r="G953" s="64"/>
      <c r="AH953" s="162"/>
      <c r="AI953" s="162"/>
      <c r="AJ953" s="162"/>
      <c r="AK953" s="162"/>
      <c r="BS953" s="131"/>
      <c r="BT953" s="131"/>
      <c r="BU953" s="131"/>
      <c r="BV953" s="131"/>
      <c r="BW953" s="131"/>
      <c r="BX953" s="131"/>
      <c r="BY953" s="131"/>
      <c r="BZ953" s="131"/>
      <c r="CA953" s="131"/>
      <c r="CB953" s="131"/>
      <c r="CC953" s="131"/>
      <c r="CD953" s="131"/>
      <c r="CE953" s="131"/>
    </row>
    <row r="954" ht="18.75" customHeight="1">
      <c r="C954" s="64"/>
      <c r="E954" s="64"/>
      <c r="F954" s="64"/>
      <c r="G954" s="64"/>
      <c r="AH954" s="162"/>
      <c r="AI954" s="162"/>
      <c r="AJ954" s="162"/>
      <c r="AK954" s="162"/>
      <c r="BS954" s="131"/>
      <c r="BT954" s="131"/>
      <c r="BU954" s="131"/>
      <c r="BV954" s="131"/>
      <c r="BW954" s="131"/>
      <c r="BX954" s="131"/>
      <c r="BY954" s="131"/>
      <c r="BZ954" s="131"/>
      <c r="CA954" s="131"/>
      <c r="CB954" s="131"/>
      <c r="CC954" s="131"/>
      <c r="CD954" s="131"/>
      <c r="CE954" s="131"/>
    </row>
    <row r="955" ht="18.75" customHeight="1">
      <c r="C955" s="64"/>
      <c r="E955" s="64"/>
      <c r="F955" s="64"/>
      <c r="G955" s="64"/>
      <c r="AH955" s="162"/>
      <c r="AI955" s="162"/>
      <c r="AJ955" s="162"/>
      <c r="AK955" s="162"/>
      <c r="BS955" s="131"/>
      <c r="BT955" s="131"/>
      <c r="BU955" s="131"/>
      <c r="BV955" s="131"/>
      <c r="BW955" s="131"/>
      <c r="BX955" s="131"/>
      <c r="BY955" s="131"/>
      <c r="BZ955" s="131"/>
      <c r="CA955" s="131"/>
      <c r="CB955" s="131"/>
      <c r="CC955" s="131"/>
      <c r="CD955" s="131"/>
      <c r="CE955" s="131"/>
    </row>
    <row r="956" ht="18.75" customHeight="1">
      <c r="C956" s="64"/>
      <c r="E956" s="64"/>
      <c r="F956" s="64"/>
      <c r="G956" s="64"/>
      <c r="AH956" s="162"/>
      <c r="AI956" s="162"/>
      <c r="AJ956" s="162"/>
      <c r="AK956" s="162"/>
      <c r="BS956" s="131"/>
      <c r="BT956" s="131"/>
      <c r="BU956" s="131"/>
      <c r="BV956" s="131"/>
      <c r="BW956" s="131"/>
      <c r="BX956" s="131"/>
      <c r="BY956" s="131"/>
      <c r="BZ956" s="131"/>
      <c r="CA956" s="131"/>
      <c r="CB956" s="131"/>
      <c r="CC956" s="131"/>
      <c r="CD956" s="131"/>
      <c r="CE956" s="131"/>
    </row>
    <row r="957" ht="18.75" customHeight="1">
      <c r="C957" s="64"/>
      <c r="E957" s="64"/>
      <c r="F957" s="64"/>
      <c r="G957" s="64"/>
      <c r="AH957" s="162"/>
      <c r="AI957" s="162"/>
      <c r="AJ957" s="162"/>
      <c r="AK957" s="162"/>
      <c r="BS957" s="131"/>
      <c r="BT957" s="131"/>
      <c r="BU957" s="131"/>
      <c r="BV957" s="131"/>
      <c r="BW957" s="131"/>
      <c r="BX957" s="131"/>
      <c r="BY957" s="131"/>
      <c r="BZ957" s="131"/>
      <c r="CA957" s="131"/>
      <c r="CB957" s="131"/>
      <c r="CC957" s="131"/>
      <c r="CD957" s="131"/>
      <c r="CE957" s="131"/>
    </row>
    <row r="958" ht="18.75" customHeight="1">
      <c r="C958" s="64"/>
      <c r="E958" s="64"/>
      <c r="F958" s="64"/>
      <c r="G958" s="64"/>
      <c r="AH958" s="162"/>
      <c r="AI958" s="162"/>
      <c r="AJ958" s="162"/>
      <c r="AK958" s="162"/>
      <c r="BS958" s="131"/>
      <c r="BT958" s="131"/>
      <c r="BU958" s="131"/>
      <c r="BV958" s="131"/>
      <c r="BW958" s="131"/>
      <c r="BX958" s="131"/>
      <c r="BY958" s="131"/>
      <c r="BZ958" s="131"/>
      <c r="CA958" s="131"/>
      <c r="CB958" s="131"/>
      <c r="CC958" s="131"/>
      <c r="CD958" s="131"/>
      <c r="CE958" s="131"/>
    </row>
    <row r="959" ht="18.75" customHeight="1">
      <c r="C959" s="64"/>
      <c r="E959" s="64"/>
      <c r="F959" s="64"/>
      <c r="G959" s="64"/>
      <c r="AH959" s="162"/>
      <c r="AI959" s="162"/>
      <c r="AJ959" s="162"/>
      <c r="AK959" s="162"/>
      <c r="BS959" s="131"/>
      <c r="BT959" s="131"/>
      <c r="BU959" s="131"/>
      <c r="BV959" s="131"/>
      <c r="BW959" s="131"/>
      <c r="BX959" s="131"/>
      <c r="BY959" s="131"/>
      <c r="BZ959" s="131"/>
      <c r="CA959" s="131"/>
      <c r="CB959" s="131"/>
      <c r="CC959" s="131"/>
      <c r="CD959" s="131"/>
      <c r="CE959" s="131"/>
    </row>
    <row r="960" ht="18.75" customHeight="1">
      <c r="C960" s="64"/>
      <c r="E960" s="64"/>
      <c r="F960" s="64"/>
      <c r="G960" s="64"/>
      <c r="AH960" s="162"/>
      <c r="AI960" s="162"/>
      <c r="AJ960" s="162"/>
      <c r="AK960" s="162"/>
      <c r="BS960" s="131"/>
      <c r="BT960" s="131"/>
      <c r="BU960" s="131"/>
      <c r="BV960" s="131"/>
      <c r="BW960" s="131"/>
      <c r="BX960" s="131"/>
      <c r="BY960" s="131"/>
      <c r="BZ960" s="131"/>
      <c r="CA960" s="131"/>
      <c r="CB960" s="131"/>
      <c r="CC960" s="131"/>
      <c r="CD960" s="131"/>
      <c r="CE960" s="131"/>
    </row>
    <row r="961" ht="18.75" customHeight="1">
      <c r="C961" s="64"/>
      <c r="E961" s="64"/>
      <c r="F961" s="64"/>
      <c r="G961" s="64"/>
      <c r="AH961" s="162"/>
      <c r="AI961" s="162"/>
      <c r="AJ961" s="162"/>
      <c r="AK961" s="162"/>
      <c r="BS961" s="131"/>
      <c r="BT961" s="131"/>
      <c r="BU961" s="131"/>
      <c r="BV961" s="131"/>
      <c r="BW961" s="131"/>
      <c r="BX961" s="131"/>
      <c r="BY961" s="131"/>
      <c r="BZ961" s="131"/>
      <c r="CA961" s="131"/>
      <c r="CB961" s="131"/>
      <c r="CC961" s="131"/>
      <c r="CD961" s="131"/>
      <c r="CE961" s="131"/>
    </row>
    <row r="962" ht="18.75" customHeight="1">
      <c r="C962" s="64"/>
      <c r="E962" s="64"/>
      <c r="F962" s="64"/>
      <c r="G962" s="64"/>
      <c r="AH962" s="162"/>
      <c r="AI962" s="162"/>
      <c r="AJ962" s="162"/>
      <c r="AK962" s="162"/>
      <c r="BS962" s="131"/>
      <c r="BT962" s="131"/>
      <c r="BU962" s="131"/>
      <c r="BV962" s="131"/>
      <c r="BW962" s="131"/>
      <c r="BX962" s="131"/>
      <c r="BY962" s="131"/>
      <c r="BZ962" s="131"/>
      <c r="CA962" s="131"/>
      <c r="CB962" s="131"/>
      <c r="CC962" s="131"/>
      <c r="CD962" s="131"/>
      <c r="CE962" s="131"/>
    </row>
    <row r="963" ht="18.75" customHeight="1">
      <c r="C963" s="64"/>
      <c r="E963" s="64"/>
      <c r="F963" s="64"/>
      <c r="G963" s="64"/>
      <c r="AH963" s="162"/>
      <c r="AI963" s="162"/>
      <c r="AJ963" s="162"/>
      <c r="AK963" s="162"/>
      <c r="BS963" s="131"/>
      <c r="BT963" s="131"/>
      <c r="BU963" s="131"/>
      <c r="BV963" s="131"/>
      <c r="BW963" s="131"/>
      <c r="BX963" s="131"/>
      <c r="BY963" s="131"/>
      <c r="BZ963" s="131"/>
      <c r="CA963" s="131"/>
      <c r="CB963" s="131"/>
      <c r="CC963" s="131"/>
      <c r="CD963" s="131"/>
      <c r="CE963" s="131"/>
    </row>
    <row r="964" ht="18.75" customHeight="1">
      <c r="C964" s="64"/>
      <c r="E964" s="64"/>
      <c r="F964" s="64"/>
      <c r="G964" s="64"/>
      <c r="AH964" s="162"/>
      <c r="AI964" s="162"/>
      <c r="AJ964" s="162"/>
      <c r="AK964" s="162"/>
      <c r="BS964" s="131"/>
      <c r="BT964" s="131"/>
      <c r="BU964" s="131"/>
      <c r="BV964" s="131"/>
      <c r="BW964" s="131"/>
      <c r="BX964" s="131"/>
      <c r="BY964" s="131"/>
      <c r="BZ964" s="131"/>
      <c r="CA964" s="131"/>
      <c r="CB964" s="131"/>
      <c r="CC964" s="131"/>
      <c r="CD964" s="131"/>
      <c r="CE964" s="131"/>
    </row>
    <row r="965" ht="18.75" customHeight="1">
      <c r="C965" s="64"/>
      <c r="E965" s="64"/>
      <c r="F965" s="64"/>
      <c r="G965" s="64"/>
      <c r="AH965" s="162"/>
      <c r="AI965" s="162"/>
      <c r="AJ965" s="162"/>
      <c r="AK965" s="162"/>
      <c r="BS965" s="131"/>
      <c r="BT965" s="131"/>
      <c r="BU965" s="131"/>
      <c r="BV965" s="131"/>
      <c r="BW965" s="131"/>
      <c r="BX965" s="131"/>
      <c r="BY965" s="131"/>
      <c r="BZ965" s="131"/>
      <c r="CA965" s="131"/>
      <c r="CB965" s="131"/>
      <c r="CC965" s="131"/>
      <c r="CD965" s="131"/>
      <c r="CE965" s="131"/>
    </row>
    <row r="966" ht="18.75" customHeight="1">
      <c r="C966" s="64"/>
      <c r="E966" s="64"/>
      <c r="F966" s="64"/>
      <c r="G966" s="64"/>
      <c r="AH966" s="162"/>
      <c r="AI966" s="162"/>
      <c r="AJ966" s="162"/>
      <c r="AK966" s="162"/>
      <c r="BS966" s="131"/>
      <c r="BT966" s="131"/>
      <c r="BU966" s="131"/>
      <c r="BV966" s="131"/>
      <c r="BW966" s="131"/>
      <c r="BX966" s="131"/>
      <c r="BY966" s="131"/>
      <c r="BZ966" s="131"/>
      <c r="CA966" s="131"/>
      <c r="CB966" s="131"/>
      <c r="CC966" s="131"/>
      <c r="CD966" s="131"/>
      <c r="CE966" s="131"/>
    </row>
    <row r="967" ht="18.75" customHeight="1">
      <c r="C967" s="64"/>
      <c r="E967" s="64"/>
      <c r="F967" s="64"/>
      <c r="G967" s="64"/>
      <c r="AH967" s="162"/>
      <c r="AI967" s="162"/>
      <c r="AJ967" s="162"/>
      <c r="AK967" s="162"/>
      <c r="BS967" s="131"/>
      <c r="BT967" s="131"/>
      <c r="BU967" s="131"/>
      <c r="BV967" s="131"/>
      <c r="BW967" s="131"/>
      <c r="BX967" s="131"/>
      <c r="BY967" s="131"/>
      <c r="BZ967" s="131"/>
      <c r="CA967" s="131"/>
      <c r="CB967" s="131"/>
      <c r="CC967" s="131"/>
      <c r="CD967" s="131"/>
      <c r="CE967" s="131"/>
    </row>
    <row r="968" ht="18.75" customHeight="1">
      <c r="C968" s="64"/>
      <c r="E968" s="64"/>
      <c r="F968" s="64"/>
      <c r="G968" s="64"/>
      <c r="AH968" s="162"/>
      <c r="AI968" s="162"/>
      <c r="AJ968" s="162"/>
      <c r="AK968" s="162"/>
      <c r="BS968" s="131"/>
      <c r="BT968" s="131"/>
      <c r="BU968" s="131"/>
      <c r="BV968" s="131"/>
      <c r="BW968" s="131"/>
      <c r="BX968" s="131"/>
      <c r="BY968" s="131"/>
      <c r="BZ968" s="131"/>
      <c r="CA968" s="131"/>
      <c r="CB968" s="131"/>
      <c r="CC968" s="131"/>
      <c r="CD968" s="131"/>
      <c r="CE968" s="131"/>
    </row>
    <row r="969" ht="18.75" customHeight="1">
      <c r="C969" s="64"/>
      <c r="E969" s="64"/>
      <c r="F969" s="64"/>
      <c r="G969" s="64"/>
      <c r="AH969" s="162"/>
      <c r="AI969" s="162"/>
      <c r="AJ969" s="162"/>
      <c r="AK969" s="162"/>
      <c r="BS969" s="131"/>
      <c r="BT969" s="131"/>
      <c r="BU969" s="131"/>
      <c r="BV969" s="131"/>
      <c r="BW969" s="131"/>
      <c r="BX969" s="131"/>
      <c r="BY969" s="131"/>
      <c r="BZ969" s="131"/>
      <c r="CA969" s="131"/>
      <c r="CB969" s="131"/>
      <c r="CC969" s="131"/>
      <c r="CD969" s="131"/>
      <c r="CE969" s="131"/>
    </row>
    <row r="970" ht="18.75" customHeight="1">
      <c r="C970" s="64"/>
      <c r="E970" s="64"/>
      <c r="F970" s="64"/>
      <c r="G970" s="64"/>
      <c r="AH970" s="162"/>
      <c r="AI970" s="162"/>
      <c r="AJ970" s="162"/>
      <c r="AK970" s="162"/>
      <c r="BS970" s="131"/>
      <c r="BT970" s="131"/>
      <c r="BU970" s="131"/>
      <c r="BV970" s="131"/>
      <c r="BW970" s="131"/>
      <c r="BX970" s="131"/>
      <c r="BY970" s="131"/>
      <c r="BZ970" s="131"/>
      <c r="CA970" s="131"/>
      <c r="CB970" s="131"/>
      <c r="CC970" s="131"/>
      <c r="CD970" s="131"/>
      <c r="CE970" s="131"/>
    </row>
    <row r="971" ht="18.75" customHeight="1">
      <c r="C971" s="64"/>
      <c r="E971" s="64"/>
      <c r="F971" s="64"/>
      <c r="G971" s="64"/>
      <c r="AH971" s="162"/>
      <c r="AI971" s="162"/>
      <c r="AJ971" s="162"/>
      <c r="AK971" s="162"/>
      <c r="BS971" s="131"/>
      <c r="BT971" s="131"/>
      <c r="BU971" s="131"/>
      <c r="BV971" s="131"/>
      <c r="BW971" s="131"/>
      <c r="BX971" s="131"/>
      <c r="BY971" s="131"/>
      <c r="BZ971" s="131"/>
      <c r="CA971" s="131"/>
      <c r="CB971" s="131"/>
      <c r="CC971" s="131"/>
      <c r="CD971" s="131"/>
      <c r="CE971" s="131"/>
    </row>
    <row r="972" ht="18.75" customHeight="1">
      <c r="C972" s="64"/>
      <c r="E972" s="64"/>
      <c r="F972" s="64"/>
      <c r="G972" s="64"/>
      <c r="AH972" s="162"/>
      <c r="AI972" s="162"/>
      <c r="AJ972" s="162"/>
      <c r="AK972" s="162"/>
      <c r="BS972" s="131"/>
      <c r="BT972" s="131"/>
      <c r="BU972" s="131"/>
      <c r="BV972" s="131"/>
      <c r="BW972" s="131"/>
      <c r="BX972" s="131"/>
      <c r="BY972" s="131"/>
      <c r="BZ972" s="131"/>
      <c r="CA972" s="131"/>
      <c r="CB972" s="131"/>
      <c r="CC972" s="131"/>
      <c r="CD972" s="131"/>
      <c r="CE972" s="131"/>
    </row>
    <row r="973" ht="18.75" customHeight="1">
      <c r="C973" s="64"/>
      <c r="E973" s="64"/>
      <c r="F973" s="64"/>
      <c r="G973" s="64"/>
      <c r="AH973" s="162"/>
      <c r="AI973" s="162"/>
      <c r="AJ973" s="162"/>
      <c r="AK973" s="162"/>
      <c r="BS973" s="131"/>
      <c r="BT973" s="131"/>
      <c r="BU973" s="131"/>
      <c r="BV973" s="131"/>
      <c r="BW973" s="131"/>
      <c r="BX973" s="131"/>
      <c r="BY973" s="131"/>
      <c r="BZ973" s="131"/>
      <c r="CA973" s="131"/>
      <c r="CB973" s="131"/>
      <c r="CC973" s="131"/>
      <c r="CD973" s="131"/>
      <c r="CE973" s="131"/>
    </row>
    <row r="974" ht="18.75" customHeight="1">
      <c r="C974" s="64"/>
      <c r="E974" s="64"/>
      <c r="F974" s="64"/>
      <c r="G974" s="64"/>
      <c r="AH974" s="162"/>
      <c r="AI974" s="162"/>
      <c r="AJ974" s="162"/>
      <c r="AK974" s="162"/>
      <c r="BS974" s="131"/>
      <c r="BT974" s="131"/>
      <c r="BU974" s="131"/>
      <c r="BV974" s="131"/>
      <c r="BW974" s="131"/>
      <c r="BX974" s="131"/>
      <c r="BY974" s="131"/>
      <c r="BZ974" s="131"/>
      <c r="CA974" s="131"/>
      <c r="CB974" s="131"/>
      <c r="CC974" s="131"/>
      <c r="CD974" s="131"/>
      <c r="CE974" s="131"/>
    </row>
    <row r="975" ht="18.75" customHeight="1">
      <c r="C975" s="64"/>
      <c r="E975" s="64"/>
      <c r="F975" s="64"/>
      <c r="G975" s="64"/>
      <c r="AH975" s="162"/>
      <c r="AI975" s="162"/>
      <c r="AJ975" s="162"/>
      <c r="AK975" s="162"/>
      <c r="BS975" s="131"/>
      <c r="BT975" s="131"/>
      <c r="BU975" s="131"/>
      <c r="BV975" s="131"/>
      <c r="BW975" s="131"/>
      <c r="BX975" s="131"/>
      <c r="BY975" s="131"/>
      <c r="BZ975" s="131"/>
      <c r="CA975" s="131"/>
      <c r="CB975" s="131"/>
      <c r="CC975" s="131"/>
      <c r="CD975" s="131"/>
      <c r="CE975" s="131"/>
    </row>
    <row r="976" ht="18.75" customHeight="1">
      <c r="C976" s="64"/>
      <c r="E976" s="64"/>
      <c r="F976" s="64"/>
      <c r="G976" s="64"/>
      <c r="AH976" s="162"/>
      <c r="AI976" s="162"/>
      <c r="AJ976" s="162"/>
      <c r="AK976" s="162"/>
      <c r="BS976" s="131"/>
      <c r="BT976" s="131"/>
      <c r="BU976" s="131"/>
      <c r="BV976" s="131"/>
      <c r="BW976" s="131"/>
      <c r="BX976" s="131"/>
      <c r="BY976" s="131"/>
      <c r="BZ976" s="131"/>
      <c r="CA976" s="131"/>
      <c r="CB976" s="131"/>
      <c r="CC976" s="131"/>
      <c r="CD976" s="131"/>
      <c r="CE976" s="131"/>
    </row>
    <row r="977" ht="18.75" customHeight="1">
      <c r="C977" s="64"/>
      <c r="E977" s="64"/>
      <c r="F977" s="64"/>
      <c r="G977" s="64"/>
      <c r="AH977" s="162"/>
      <c r="AI977" s="162"/>
      <c r="AJ977" s="162"/>
      <c r="AK977" s="162"/>
      <c r="BS977" s="131"/>
      <c r="BT977" s="131"/>
      <c r="BU977" s="131"/>
      <c r="BV977" s="131"/>
      <c r="BW977" s="131"/>
      <c r="BX977" s="131"/>
      <c r="BY977" s="131"/>
      <c r="BZ977" s="131"/>
      <c r="CA977" s="131"/>
      <c r="CB977" s="131"/>
      <c r="CC977" s="131"/>
      <c r="CD977" s="131"/>
      <c r="CE977" s="131"/>
    </row>
    <row r="978" ht="18.75" customHeight="1">
      <c r="C978" s="64"/>
      <c r="E978" s="64"/>
      <c r="F978" s="64"/>
      <c r="G978" s="64"/>
      <c r="AH978" s="162"/>
      <c r="AI978" s="162"/>
      <c r="AJ978" s="162"/>
      <c r="AK978" s="162"/>
      <c r="BS978" s="131"/>
      <c r="BT978" s="131"/>
      <c r="BU978" s="131"/>
      <c r="BV978" s="131"/>
      <c r="BW978" s="131"/>
      <c r="BX978" s="131"/>
      <c r="BY978" s="131"/>
      <c r="BZ978" s="131"/>
      <c r="CA978" s="131"/>
      <c r="CB978" s="131"/>
      <c r="CC978" s="131"/>
      <c r="CD978" s="131"/>
      <c r="CE978" s="131"/>
    </row>
    <row r="979" ht="18.75" customHeight="1">
      <c r="C979" s="64"/>
      <c r="E979" s="64"/>
      <c r="F979" s="64"/>
      <c r="G979" s="64"/>
      <c r="AH979" s="162"/>
      <c r="AI979" s="162"/>
      <c r="AJ979" s="162"/>
      <c r="AK979" s="162"/>
      <c r="BS979" s="131"/>
      <c r="BT979" s="131"/>
      <c r="BU979" s="131"/>
      <c r="BV979" s="131"/>
      <c r="BW979" s="131"/>
      <c r="BX979" s="131"/>
      <c r="BY979" s="131"/>
      <c r="BZ979" s="131"/>
      <c r="CA979" s="131"/>
      <c r="CB979" s="131"/>
      <c r="CC979" s="131"/>
      <c r="CD979" s="131"/>
      <c r="CE979" s="131"/>
    </row>
    <row r="980" ht="18.75" customHeight="1">
      <c r="C980" s="64"/>
      <c r="E980" s="64"/>
      <c r="F980" s="64"/>
      <c r="G980" s="64"/>
      <c r="AH980" s="162"/>
      <c r="AI980" s="162"/>
      <c r="AJ980" s="162"/>
      <c r="AK980" s="162"/>
      <c r="BS980" s="131"/>
      <c r="BT980" s="131"/>
      <c r="BU980" s="131"/>
      <c r="BV980" s="131"/>
      <c r="BW980" s="131"/>
      <c r="BX980" s="131"/>
      <c r="BY980" s="131"/>
      <c r="BZ980" s="131"/>
      <c r="CA980" s="131"/>
      <c r="CB980" s="131"/>
      <c r="CC980" s="131"/>
      <c r="CD980" s="131"/>
      <c r="CE980" s="131"/>
    </row>
    <row r="981" ht="18.75" customHeight="1">
      <c r="C981" s="64"/>
      <c r="E981" s="64"/>
      <c r="F981" s="64"/>
      <c r="G981" s="64"/>
      <c r="AH981" s="162"/>
      <c r="AI981" s="162"/>
      <c r="AJ981" s="162"/>
      <c r="AK981" s="162"/>
      <c r="BS981" s="131"/>
      <c r="BT981" s="131"/>
      <c r="BU981" s="131"/>
      <c r="BV981" s="131"/>
      <c r="BW981" s="131"/>
      <c r="BX981" s="131"/>
      <c r="BY981" s="131"/>
      <c r="BZ981" s="131"/>
      <c r="CA981" s="131"/>
      <c r="CB981" s="131"/>
      <c r="CC981" s="131"/>
      <c r="CD981" s="131"/>
      <c r="CE981" s="131"/>
    </row>
    <row r="982" ht="18.75" customHeight="1">
      <c r="C982" s="64"/>
      <c r="E982" s="64"/>
      <c r="F982" s="64"/>
      <c r="G982" s="64"/>
      <c r="AH982" s="162"/>
      <c r="AI982" s="162"/>
      <c r="AJ982" s="162"/>
      <c r="AK982" s="162"/>
      <c r="BS982" s="131"/>
      <c r="BT982" s="131"/>
      <c r="BU982" s="131"/>
      <c r="BV982" s="131"/>
      <c r="BW982" s="131"/>
      <c r="BX982" s="131"/>
      <c r="BY982" s="131"/>
      <c r="BZ982" s="131"/>
      <c r="CA982" s="131"/>
      <c r="CB982" s="131"/>
      <c r="CC982" s="131"/>
      <c r="CD982" s="131"/>
      <c r="CE982" s="131"/>
    </row>
    <row r="983" ht="18.75" customHeight="1">
      <c r="C983" s="64"/>
      <c r="E983" s="64"/>
      <c r="F983" s="64"/>
      <c r="G983" s="64"/>
      <c r="AH983" s="162"/>
      <c r="AI983" s="162"/>
      <c r="AJ983" s="162"/>
      <c r="AK983" s="162"/>
      <c r="BS983" s="131"/>
      <c r="BT983" s="131"/>
      <c r="BU983" s="131"/>
      <c r="BV983" s="131"/>
      <c r="BW983" s="131"/>
      <c r="BX983" s="131"/>
      <c r="BY983" s="131"/>
      <c r="BZ983" s="131"/>
      <c r="CA983" s="131"/>
      <c r="CB983" s="131"/>
      <c r="CC983" s="131"/>
      <c r="CD983" s="131"/>
      <c r="CE983" s="131"/>
    </row>
    <row r="984" ht="18.75" customHeight="1">
      <c r="C984" s="64"/>
      <c r="E984" s="64"/>
      <c r="F984" s="64"/>
      <c r="G984" s="64"/>
      <c r="AH984" s="162"/>
      <c r="AI984" s="162"/>
      <c r="AJ984" s="162"/>
      <c r="AK984" s="162"/>
      <c r="BS984" s="131"/>
      <c r="BT984" s="131"/>
      <c r="BU984" s="131"/>
      <c r="BV984" s="131"/>
      <c r="BW984" s="131"/>
      <c r="BX984" s="131"/>
      <c r="BY984" s="131"/>
      <c r="BZ984" s="131"/>
      <c r="CA984" s="131"/>
      <c r="CB984" s="131"/>
      <c r="CC984" s="131"/>
      <c r="CD984" s="131"/>
      <c r="CE984" s="131"/>
    </row>
    <row r="985" ht="18.75" customHeight="1">
      <c r="C985" s="64"/>
      <c r="E985" s="64"/>
      <c r="F985" s="64"/>
      <c r="G985" s="64"/>
      <c r="AH985" s="162"/>
      <c r="AI985" s="162"/>
      <c r="AJ985" s="162"/>
      <c r="AK985" s="162"/>
      <c r="BS985" s="131"/>
      <c r="BT985" s="131"/>
      <c r="BU985" s="131"/>
      <c r="BV985" s="131"/>
      <c r="BW985" s="131"/>
      <c r="BX985" s="131"/>
      <c r="BY985" s="131"/>
      <c r="BZ985" s="131"/>
      <c r="CA985" s="131"/>
      <c r="CB985" s="131"/>
      <c r="CC985" s="131"/>
      <c r="CD985" s="131"/>
      <c r="CE985" s="131"/>
    </row>
    <row r="986" ht="18.75" customHeight="1">
      <c r="C986" s="64"/>
      <c r="E986" s="64"/>
      <c r="F986" s="64"/>
      <c r="G986" s="64"/>
      <c r="AH986" s="162"/>
      <c r="AI986" s="162"/>
      <c r="AJ986" s="162"/>
      <c r="AK986" s="162"/>
      <c r="BS986" s="131"/>
      <c r="BT986" s="131"/>
      <c r="BU986" s="131"/>
      <c r="BV986" s="131"/>
      <c r="BW986" s="131"/>
      <c r="BX986" s="131"/>
      <c r="BY986" s="131"/>
      <c r="BZ986" s="131"/>
      <c r="CA986" s="131"/>
      <c r="CB986" s="131"/>
      <c r="CC986" s="131"/>
      <c r="CD986" s="131"/>
      <c r="CE986" s="131"/>
    </row>
    <row r="987" ht="18.75" customHeight="1">
      <c r="C987" s="64"/>
      <c r="E987" s="64"/>
      <c r="F987" s="64"/>
      <c r="G987" s="64"/>
      <c r="AH987" s="162"/>
      <c r="AI987" s="162"/>
      <c r="AJ987" s="162"/>
      <c r="AK987" s="162"/>
      <c r="BS987" s="131"/>
      <c r="BT987" s="131"/>
      <c r="BU987" s="131"/>
      <c r="BV987" s="131"/>
      <c r="BW987" s="131"/>
      <c r="BX987" s="131"/>
      <c r="BY987" s="131"/>
      <c r="BZ987" s="131"/>
      <c r="CA987" s="131"/>
      <c r="CB987" s="131"/>
      <c r="CC987" s="131"/>
      <c r="CD987" s="131"/>
      <c r="CE987" s="131"/>
    </row>
    <row r="988" ht="18.75" customHeight="1">
      <c r="C988" s="64"/>
      <c r="E988" s="64"/>
      <c r="F988" s="64"/>
      <c r="G988" s="64"/>
      <c r="AH988" s="162"/>
      <c r="AI988" s="162"/>
      <c r="AJ988" s="162"/>
      <c r="AK988" s="162"/>
      <c r="BS988" s="131"/>
      <c r="BT988" s="131"/>
      <c r="BU988" s="131"/>
      <c r="BV988" s="131"/>
      <c r="BW988" s="131"/>
      <c r="BX988" s="131"/>
      <c r="BY988" s="131"/>
      <c r="BZ988" s="131"/>
      <c r="CA988" s="131"/>
      <c r="CB988" s="131"/>
      <c r="CC988" s="131"/>
      <c r="CD988" s="131"/>
      <c r="CE988" s="131"/>
    </row>
    <row r="989" ht="18.75" customHeight="1">
      <c r="C989" s="64"/>
      <c r="E989" s="64"/>
      <c r="F989" s="64"/>
      <c r="G989" s="64"/>
      <c r="AH989" s="162"/>
      <c r="AI989" s="162"/>
      <c r="AJ989" s="162"/>
      <c r="AK989" s="162"/>
      <c r="BS989" s="131"/>
      <c r="BT989" s="131"/>
      <c r="BU989" s="131"/>
      <c r="BV989" s="131"/>
      <c r="BW989" s="131"/>
      <c r="BX989" s="131"/>
      <c r="BY989" s="131"/>
      <c r="BZ989" s="131"/>
      <c r="CA989" s="131"/>
      <c r="CB989" s="131"/>
      <c r="CC989" s="131"/>
      <c r="CD989" s="131"/>
      <c r="CE989" s="131"/>
    </row>
    <row r="990" ht="18.75" customHeight="1">
      <c r="C990" s="64"/>
      <c r="E990" s="64"/>
      <c r="F990" s="64"/>
      <c r="G990" s="64"/>
      <c r="AH990" s="162"/>
      <c r="AI990" s="162"/>
      <c r="AJ990" s="162"/>
      <c r="AK990" s="162"/>
      <c r="BS990" s="131"/>
      <c r="BT990" s="131"/>
      <c r="BU990" s="131"/>
      <c r="BV990" s="131"/>
      <c r="BW990" s="131"/>
      <c r="BX990" s="131"/>
      <c r="BY990" s="131"/>
      <c r="BZ990" s="131"/>
      <c r="CA990" s="131"/>
      <c r="CB990" s="131"/>
      <c r="CC990" s="131"/>
      <c r="CD990" s="131"/>
      <c r="CE990" s="131"/>
    </row>
    <row r="991" ht="18.75" customHeight="1">
      <c r="C991" s="64"/>
      <c r="E991" s="64"/>
      <c r="F991" s="64"/>
      <c r="G991" s="64"/>
      <c r="AH991" s="162"/>
      <c r="AI991" s="162"/>
      <c r="AJ991" s="162"/>
      <c r="AK991" s="162"/>
      <c r="BS991" s="131"/>
      <c r="BT991" s="131"/>
      <c r="BU991" s="131"/>
      <c r="BV991" s="131"/>
      <c r="BW991" s="131"/>
      <c r="BX991" s="131"/>
      <c r="BY991" s="131"/>
      <c r="BZ991" s="131"/>
      <c r="CA991" s="131"/>
      <c r="CB991" s="131"/>
      <c r="CC991" s="131"/>
      <c r="CD991" s="131"/>
      <c r="CE991" s="131"/>
    </row>
    <row r="992" ht="18.75" customHeight="1">
      <c r="C992" s="64"/>
      <c r="E992" s="64"/>
      <c r="F992" s="64"/>
      <c r="G992" s="64"/>
      <c r="AH992" s="162"/>
      <c r="AI992" s="162"/>
      <c r="AJ992" s="162"/>
      <c r="AK992" s="162"/>
      <c r="BS992" s="131"/>
      <c r="BT992" s="131"/>
      <c r="BU992" s="131"/>
      <c r="BV992" s="131"/>
      <c r="BW992" s="131"/>
      <c r="BX992" s="131"/>
      <c r="BY992" s="131"/>
      <c r="BZ992" s="131"/>
      <c r="CA992" s="131"/>
      <c r="CB992" s="131"/>
      <c r="CC992" s="131"/>
      <c r="CD992" s="131"/>
      <c r="CE992" s="131"/>
    </row>
    <row r="993" ht="18.75" customHeight="1">
      <c r="C993" s="64"/>
      <c r="E993" s="64"/>
      <c r="F993" s="64"/>
      <c r="G993" s="64"/>
      <c r="AH993" s="162"/>
      <c r="AI993" s="162"/>
      <c r="AJ993" s="162"/>
      <c r="AK993" s="162"/>
      <c r="BS993" s="131"/>
      <c r="BT993" s="131"/>
      <c r="BU993" s="131"/>
      <c r="BV993" s="131"/>
      <c r="BW993" s="131"/>
      <c r="BX993" s="131"/>
      <c r="BY993" s="131"/>
      <c r="BZ993" s="131"/>
      <c r="CA993" s="131"/>
      <c r="CB993" s="131"/>
      <c r="CC993" s="131"/>
      <c r="CD993" s="131"/>
      <c r="CE993" s="131"/>
    </row>
    <row r="994" ht="18.75" customHeight="1">
      <c r="C994" s="64"/>
      <c r="E994" s="64"/>
      <c r="F994" s="64"/>
      <c r="G994" s="64"/>
      <c r="AH994" s="162"/>
      <c r="AI994" s="162"/>
      <c r="AJ994" s="162"/>
      <c r="AK994" s="162"/>
      <c r="BS994" s="131"/>
      <c r="BT994" s="131"/>
      <c r="BU994" s="131"/>
      <c r="BV994" s="131"/>
      <c r="BW994" s="131"/>
      <c r="BX994" s="131"/>
      <c r="BY994" s="131"/>
      <c r="BZ994" s="131"/>
      <c r="CA994" s="131"/>
      <c r="CB994" s="131"/>
      <c r="CC994" s="131"/>
      <c r="CD994" s="131"/>
      <c r="CE994" s="131"/>
    </row>
    <row r="995" ht="18.75" customHeight="1">
      <c r="C995" s="64"/>
      <c r="E995" s="64"/>
      <c r="F995" s="64"/>
      <c r="G995" s="64"/>
      <c r="AH995" s="162"/>
      <c r="AI995" s="162"/>
      <c r="AJ995" s="162"/>
      <c r="AK995" s="162"/>
      <c r="BS995" s="131"/>
      <c r="BT995" s="131"/>
      <c r="BU995" s="131"/>
      <c r="BV995" s="131"/>
      <c r="BW995" s="131"/>
      <c r="BX995" s="131"/>
      <c r="BY995" s="131"/>
      <c r="BZ995" s="131"/>
      <c r="CA995" s="131"/>
      <c r="CB995" s="131"/>
      <c r="CC995" s="131"/>
      <c r="CD995" s="131"/>
      <c r="CE995" s="131"/>
    </row>
    <row r="996" ht="18.75" customHeight="1">
      <c r="C996" s="64"/>
      <c r="E996" s="64"/>
      <c r="F996" s="64"/>
      <c r="G996" s="64"/>
      <c r="AH996" s="162"/>
      <c r="AI996" s="162"/>
      <c r="AJ996" s="162"/>
      <c r="AK996" s="162"/>
      <c r="BS996" s="131"/>
      <c r="BT996" s="131"/>
      <c r="BU996" s="131"/>
      <c r="BV996" s="131"/>
      <c r="BW996" s="131"/>
      <c r="BX996" s="131"/>
      <c r="BY996" s="131"/>
      <c r="BZ996" s="131"/>
      <c r="CA996" s="131"/>
      <c r="CB996" s="131"/>
      <c r="CC996" s="131"/>
      <c r="CD996" s="131"/>
      <c r="CE996" s="131"/>
    </row>
    <row r="997" ht="18.75" customHeight="1">
      <c r="C997" s="64"/>
      <c r="E997" s="64"/>
      <c r="F997" s="64"/>
      <c r="G997" s="64"/>
      <c r="AH997" s="162"/>
      <c r="AI997" s="162"/>
      <c r="AJ997" s="162"/>
      <c r="AK997" s="162"/>
      <c r="BS997" s="131"/>
      <c r="BT997" s="131"/>
      <c r="BU997" s="131"/>
      <c r="BV997" s="131"/>
      <c r="BW997" s="131"/>
      <c r="BX997" s="131"/>
      <c r="BY997" s="131"/>
      <c r="BZ997" s="131"/>
      <c r="CA997" s="131"/>
      <c r="CB997" s="131"/>
      <c r="CC997" s="131"/>
      <c r="CD997" s="131"/>
      <c r="CE997" s="131"/>
    </row>
    <row r="998" ht="18.75" customHeight="1">
      <c r="C998" s="64"/>
      <c r="E998" s="64"/>
      <c r="F998" s="64"/>
      <c r="G998" s="64"/>
      <c r="AH998" s="162"/>
      <c r="AI998" s="162"/>
      <c r="AJ998" s="162"/>
      <c r="AK998" s="162"/>
      <c r="BS998" s="131"/>
      <c r="BT998" s="131"/>
      <c r="BU998" s="131"/>
      <c r="BV998" s="131"/>
      <c r="BW998" s="131"/>
      <c r="BX998" s="131"/>
      <c r="BY998" s="131"/>
      <c r="BZ998" s="131"/>
      <c r="CA998" s="131"/>
      <c r="CB998" s="131"/>
      <c r="CC998" s="131"/>
      <c r="CD998" s="131"/>
      <c r="CE998" s="131"/>
    </row>
    <row r="999" ht="18.75" customHeight="1">
      <c r="C999" s="64"/>
      <c r="E999" s="64"/>
      <c r="F999" s="64"/>
      <c r="G999" s="64"/>
      <c r="AH999" s="162"/>
      <c r="AI999" s="162"/>
      <c r="AJ999" s="162"/>
      <c r="AK999" s="162"/>
      <c r="BS999" s="131"/>
      <c r="BT999" s="131"/>
      <c r="BU999" s="131"/>
      <c r="BV999" s="131"/>
      <c r="BW999" s="131"/>
      <c r="BX999" s="131"/>
      <c r="BY999" s="131"/>
      <c r="BZ999" s="131"/>
      <c r="CA999" s="131"/>
      <c r="CB999" s="131"/>
      <c r="CC999" s="131"/>
      <c r="CD999" s="131"/>
      <c r="CE999" s="131"/>
    </row>
    <row r="1000" ht="18.75" customHeight="1">
      <c r="C1000" s="64"/>
      <c r="E1000" s="64"/>
      <c r="F1000" s="64"/>
      <c r="G1000" s="64"/>
      <c r="AH1000" s="162"/>
      <c r="AI1000" s="162"/>
      <c r="AJ1000" s="162"/>
      <c r="AK1000" s="162"/>
      <c r="BS1000" s="131"/>
      <c r="BT1000" s="131"/>
      <c r="BU1000" s="131"/>
      <c r="BV1000" s="131"/>
      <c r="BW1000" s="131"/>
      <c r="BX1000" s="131"/>
      <c r="BY1000" s="131"/>
      <c r="BZ1000" s="131"/>
      <c r="CA1000" s="131"/>
      <c r="CB1000" s="131"/>
      <c r="CC1000" s="131"/>
      <c r="CD1000" s="131"/>
      <c r="CE1000" s="131"/>
    </row>
    <row r="1001" ht="18.75" customHeight="1">
      <c r="C1001" s="64"/>
      <c r="E1001" s="64"/>
      <c r="F1001" s="64"/>
      <c r="G1001" s="64"/>
      <c r="AH1001" s="162"/>
      <c r="AI1001" s="162"/>
      <c r="AJ1001" s="162"/>
      <c r="AK1001" s="162"/>
      <c r="BS1001" s="131"/>
      <c r="BT1001" s="131"/>
      <c r="BU1001" s="131"/>
      <c r="BV1001" s="131"/>
      <c r="BW1001" s="131"/>
      <c r="BX1001" s="131"/>
      <c r="BY1001" s="131"/>
      <c r="BZ1001" s="131"/>
      <c r="CA1001" s="131"/>
      <c r="CB1001" s="131"/>
      <c r="CC1001" s="131"/>
      <c r="CD1001" s="131"/>
      <c r="CE1001" s="131"/>
    </row>
    <row r="1002" ht="18.75" customHeight="1">
      <c r="C1002" s="64"/>
      <c r="E1002" s="64"/>
      <c r="F1002" s="64"/>
      <c r="G1002" s="64"/>
      <c r="AH1002" s="162"/>
      <c r="AI1002" s="162"/>
      <c r="AJ1002" s="162"/>
      <c r="AK1002" s="162"/>
      <c r="BS1002" s="131"/>
      <c r="BT1002" s="131"/>
      <c r="BU1002" s="131"/>
      <c r="BV1002" s="131"/>
      <c r="BW1002" s="131"/>
      <c r="BX1002" s="131"/>
      <c r="BY1002" s="131"/>
      <c r="BZ1002" s="131"/>
      <c r="CA1002" s="131"/>
      <c r="CB1002" s="131"/>
      <c r="CC1002" s="131"/>
      <c r="CD1002" s="131"/>
      <c r="CE1002" s="131"/>
    </row>
    <row r="1003" ht="18.75" customHeight="1">
      <c r="C1003" s="64"/>
      <c r="E1003" s="64"/>
      <c r="F1003" s="64"/>
      <c r="G1003" s="64"/>
      <c r="AH1003" s="162"/>
      <c r="AI1003" s="162"/>
      <c r="AJ1003" s="162"/>
      <c r="AK1003" s="162"/>
      <c r="BS1003" s="131"/>
      <c r="BT1003" s="131"/>
      <c r="BU1003" s="131"/>
      <c r="BV1003" s="131"/>
      <c r="BW1003" s="131"/>
      <c r="BX1003" s="131"/>
      <c r="BY1003" s="131"/>
      <c r="BZ1003" s="131"/>
      <c r="CA1003" s="131"/>
      <c r="CB1003" s="131"/>
      <c r="CC1003" s="131"/>
      <c r="CD1003" s="131"/>
      <c r="CE1003" s="131"/>
    </row>
    <row r="1004" ht="18.75" customHeight="1">
      <c r="C1004" s="64"/>
      <c r="E1004" s="64"/>
      <c r="F1004" s="64"/>
      <c r="G1004" s="64"/>
      <c r="AH1004" s="162"/>
      <c r="AI1004" s="162"/>
      <c r="AJ1004" s="162"/>
      <c r="AK1004" s="162"/>
      <c r="BS1004" s="131"/>
      <c r="BT1004" s="131"/>
      <c r="BU1004" s="131"/>
      <c r="BV1004" s="131"/>
      <c r="BW1004" s="131"/>
      <c r="BX1004" s="131"/>
      <c r="BY1004" s="131"/>
      <c r="BZ1004" s="131"/>
      <c r="CA1004" s="131"/>
      <c r="CB1004" s="131"/>
      <c r="CC1004" s="131"/>
      <c r="CD1004" s="131"/>
      <c r="CE1004" s="131"/>
    </row>
    <row r="1005" ht="18.75" customHeight="1">
      <c r="C1005" s="64"/>
      <c r="E1005" s="64"/>
      <c r="F1005" s="64"/>
      <c r="G1005" s="64"/>
      <c r="AH1005" s="162"/>
      <c r="AI1005" s="162"/>
      <c r="AJ1005" s="162"/>
      <c r="AK1005" s="162"/>
      <c r="BS1005" s="131"/>
      <c r="BT1005" s="131"/>
      <c r="BU1005" s="131"/>
      <c r="BV1005" s="131"/>
      <c r="BW1005" s="131"/>
      <c r="BX1005" s="131"/>
      <c r="BY1005" s="131"/>
      <c r="BZ1005" s="131"/>
      <c r="CA1005" s="131"/>
      <c r="CB1005" s="131"/>
      <c r="CC1005" s="131"/>
      <c r="CD1005" s="131"/>
      <c r="CE1005" s="131"/>
    </row>
    <row r="1006" ht="18.75" customHeight="1">
      <c r="C1006" s="64"/>
      <c r="E1006" s="64"/>
      <c r="F1006" s="64"/>
      <c r="G1006" s="64"/>
      <c r="AH1006" s="162"/>
      <c r="AI1006" s="162"/>
      <c r="AJ1006" s="162"/>
      <c r="AK1006" s="162"/>
      <c r="BS1006" s="131"/>
      <c r="BT1006" s="131"/>
      <c r="BU1006" s="131"/>
      <c r="BV1006" s="131"/>
      <c r="BW1006" s="131"/>
      <c r="BX1006" s="131"/>
      <c r="BY1006" s="131"/>
      <c r="BZ1006" s="131"/>
      <c r="CA1006" s="131"/>
      <c r="CB1006" s="131"/>
      <c r="CC1006" s="131"/>
      <c r="CD1006" s="131"/>
      <c r="CE1006" s="131"/>
    </row>
    <row r="1007" ht="18.75" customHeight="1">
      <c r="C1007" s="64"/>
      <c r="E1007" s="64"/>
      <c r="F1007" s="64"/>
      <c r="G1007" s="64"/>
      <c r="AH1007" s="162"/>
      <c r="AI1007" s="162"/>
      <c r="AJ1007" s="162"/>
      <c r="AK1007" s="162"/>
      <c r="BS1007" s="131"/>
      <c r="BT1007" s="131"/>
      <c r="BU1007" s="131"/>
      <c r="BV1007" s="131"/>
      <c r="BW1007" s="131"/>
      <c r="BX1007" s="131"/>
      <c r="BY1007" s="131"/>
      <c r="BZ1007" s="131"/>
      <c r="CA1007" s="131"/>
      <c r="CB1007" s="131"/>
      <c r="CC1007" s="131"/>
      <c r="CD1007" s="131"/>
      <c r="CE1007" s="131"/>
    </row>
    <row r="1008" ht="18.75" customHeight="1">
      <c r="C1008" s="64"/>
      <c r="E1008" s="64"/>
      <c r="F1008" s="64"/>
      <c r="G1008" s="64"/>
      <c r="AH1008" s="162"/>
      <c r="AI1008" s="162"/>
      <c r="AJ1008" s="162"/>
      <c r="AK1008" s="162"/>
      <c r="BS1008" s="131"/>
      <c r="BT1008" s="131"/>
      <c r="BU1008" s="131"/>
      <c r="BV1008" s="131"/>
      <c r="BW1008" s="131"/>
      <c r="BX1008" s="131"/>
      <c r="BY1008" s="131"/>
      <c r="BZ1008" s="131"/>
      <c r="CA1008" s="131"/>
      <c r="CB1008" s="131"/>
      <c r="CC1008" s="131"/>
      <c r="CD1008" s="131"/>
      <c r="CE1008" s="131"/>
    </row>
    <row r="1009" ht="18.75" customHeight="1">
      <c r="C1009" s="64"/>
      <c r="E1009" s="64"/>
      <c r="F1009" s="64"/>
      <c r="G1009" s="64"/>
      <c r="AH1009" s="162"/>
      <c r="AI1009" s="162"/>
      <c r="AJ1009" s="162"/>
      <c r="AK1009" s="162"/>
      <c r="BS1009" s="131"/>
      <c r="BT1009" s="131"/>
      <c r="BU1009" s="131"/>
      <c r="BV1009" s="131"/>
      <c r="BW1009" s="131"/>
      <c r="BX1009" s="131"/>
      <c r="BY1009" s="131"/>
      <c r="BZ1009" s="131"/>
      <c r="CA1009" s="131"/>
      <c r="CB1009" s="131"/>
      <c r="CC1009" s="131"/>
      <c r="CD1009" s="131"/>
      <c r="CE1009" s="131"/>
    </row>
    <row r="1010" ht="18.75" customHeight="1">
      <c r="C1010" s="64"/>
      <c r="E1010" s="64"/>
      <c r="F1010" s="64"/>
      <c r="G1010" s="64"/>
      <c r="AH1010" s="162"/>
      <c r="AI1010" s="162"/>
      <c r="AJ1010" s="162"/>
      <c r="AK1010" s="162"/>
      <c r="BS1010" s="131"/>
      <c r="BT1010" s="131"/>
      <c r="BU1010" s="131"/>
      <c r="BV1010" s="131"/>
      <c r="BW1010" s="131"/>
      <c r="BX1010" s="131"/>
      <c r="BY1010" s="131"/>
      <c r="BZ1010" s="131"/>
      <c r="CA1010" s="131"/>
      <c r="CB1010" s="131"/>
      <c r="CC1010" s="131"/>
      <c r="CD1010" s="131"/>
      <c r="CE1010" s="131"/>
    </row>
  </sheetData>
  <dataValidations>
    <dataValidation type="list" allowBlank="1" showErrorMessage="1" sqref="BJ2:BJ31">
      <formula1>"村,町,都市,大都市"</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4461</v>
      </c>
      <c r="B1" s="37" t="s">
        <v>4753</v>
      </c>
      <c r="C1" s="37" t="s">
        <v>0</v>
      </c>
      <c r="D1" s="37" t="s">
        <v>4754</v>
      </c>
      <c r="E1" s="37" t="s">
        <v>2620</v>
      </c>
      <c r="F1" s="37" t="s">
        <v>4367</v>
      </c>
      <c r="G1" s="37" t="s">
        <v>4380</v>
      </c>
      <c r="H1" s="37" t="s">
        <v>4383</v>
      </c>
      <c r="I1" s="37" t="s">
        <v>4385</v>
      </c>
      <c r="J1" s="37" t="s">
        <v>4388</v>
      </c>
      <c r="K1" s="37" t="s">
        <v>4394</v>
      </c>
      <c r="L1" s="37" t="s">
        <v>4397</v>
      </c>
      <c r="M1" s="37" t="s">
        <v>4400</v>
      </c>
      <c r="N1" s="37" t="s">
        <v>4403</v>
      </c>
      <c r="O1" s="37" t="s">
        <v>4405</v>
      </c>
      <c r="Q1" s="146" t="s">
        <v>2623</v>
      </c>
      <c r="R1" s="146" t="s">
        <v>2624</v>
      </c>
      <c r="S1" s="146" t="s">
        <v>2625</v>
      </c>
      <c r="T1" s="146" t="s">
        <v>2626</v>
      </c>
      <c r="U1" s="147" t="s">
        <v>3192</v>
      </c>
      <c r="V1" s="147" t="s">
        <v>3193</v>
      </c>
      <c r="W1" s="147" t="s">
        <v>3194</v>
      </c>
      <c r="X1" s="148" t="s">
        <v>3195</v>
      </c>
      <c r="Y1" s="148" t="s">
        <v>3196</v>
      </c>
      <c r="Z1" s="148" t="s">
        <v>3197</v>
      </c>
      <c r="AA1" s="148" t="s">
        <v>3198</v>
      </c>
      <c r="AB1" s="148" t="s">
        <v>3199</v>
      </c>
      <c r="AC1" s="74" t="s">
        <v>3200</v>
      </c>
      <c r="AD1" s="74" t="s">
        <v>3201</v>
      </c>
      <c r="AE1" s="74" t="s">
        <v>3202</v>
      </c>
      <c r="AF1" s="149" t="s">
        <v>2628</v>
      </c>
      <c r="AG1" s="149" t="s">
        <v>2627</v>
      </c>
      <c r="AH1" s="37" t="s">
        <v>4433</v>
      </c>
      <c r="AI1" s="74" t="s">
        <v>4435</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3322</v>
      </c>
      <c r="AZ1" s="39" t="s">
        <v>4755</v>
      </c>
      <c r="BA1" s="39" t="s">
        <v>4756</v>
      </c>
      <c r="BB1" s="164" t="s">
        <v>4757</v>
      </c>
      <c r="BC1" s="164" t="s">
        <v>4758</v>
      </c>
    </row>
    <row r="2" ht="18.75" customHeight="1">
      <c r="A2" s="37" t="s">
        <v>4759</v>
      </c>
      <c r="B2" s="37" t="s">
        <v>4760</v>
      </c>
      <c r="C2" s="37">
        <v>1.0</v>
      </c>
      <c r="D2" s="37">
        <v>5.0</v>
      </c>
      <c r="E2" s="37" t="s">
        <v>4761</v>
      </c>
      <c r="AY2" s="37" t="s">
        <v>4762</v>
      </c>
      <c r="AZ2" s="39">
        <v>1.0</v>
      </c>
      <c r="BA2" s="39" t="s">
        <v>29</v>
      </c>
      <c r="BB2" s="39"/>
      <c r="BC2" s="39"/>
    </row>
    <row r="3" ht="18.75" customHeight="1" outlineLevel="1">
      <c r="A3" s="37" t="s">
        <v>4763</v>
      </c>
      <c r="B3" s="37" t="s">
        <v>4760</v>
      </c>
      <c r="C3" s="37">
        <v>1.0</v>
      </c>
      <c r="D3" s="37">
        <v>5.0</v>
      </c>
      <c r="E3" s="37" t="s">
        <v>4764</v>
      </c>
      <c r="AY3" s="37" t="s">
        <v>4765</v>
      </c>
      <c r="AZ3" s="39">
        <v>1.0</v>
      </c>
      <c r="BA3" s="39" t="s">
        <v>29</v>
      </c>
      <c r="BB3" s="39"/>
      <c r="BC3" s="39"/>
    </row>
    <row r="4" ht="18.75" customHeight="1" outlineLevel="1">
      <c r="A4" s="37" t="s">
        <v>4766</v>
      </c>
      <c r="B4" s="37" t="s">
        <v>4760</v>
      </c>
      <c r="C4" s="37">
        <v>1.0</v>
      </c>
      <c r="D4" s="37">
        <v>5.0</v>
      </c>
      <c r="E4" s="37" t="s">
        <v>4767</v>
      </c>
      <c r="AY4" s="37" t="s">
        <v>4768</v>
      </c>
      <c r="AZ4" s="39">
        <v>1.0</v>
      </c>
      <c r="BA4" s="39" t="s">
        <v>29</v>
      </c>
      <c r="BB4" s="39"/>
      <c r="BC4" s="39"/>
    </row>
    <row r="5" ht="18.75" customHeight="1" outlineLevel="1">
      <c r="A5" s="37" t="s">
        <v>4769</v>
      </c>
      <c r="B5" s="37" t="s">
        <v>4760</v>
      </c>
      <c r="C5" s="37">
        <v>2.0</v>
      </c>
      <c r="D5" s="37">
        <v>15.0</v>
      </c>
      <c r="E5" s="37" t="s">
        <v>4770</v>
      </c>
      <c r="AY5" s="37" t="s">
        <v>4771</v>
      </c>
      <c r="AZ5" s="39">
        <v>2.0</v>
      </c>
      <c r="BA5" s="39" t="s">
        <v>4762</v>
      </c>
      <c r="BB5" s="39"/>
      <c r="BC5" s="39"/>
    </row>
    <row r="6" ht="18.75" customHeight="1" outlineLevel="1">
      <c r="A6" s="37" t="s">
        <v>4772</v>
      </c>
      <c r="B6" s="37" t="s">
        <v>4760</v>
      </c>
      <c r="C6" s="37">
        <v>2.0</v>
      </c>
      <c r="D6" s="37">
        <v>15.0</v>
      </c>
      <c r="E6" s="37" t="s">
        <v>4773</v>
      </c>
      <c r="AY6" s="37" t="s">
        <v>4774</v>
      </c>
      <c r="AZ6" s="39">
        <v>2.0</v>
      </c>
      <c r="BA6" s="39" t="s">
        <v>4765</v>
      </c>
      <c r="BB6" s="39"/>
      <c r="BC6" s="39"/>
    </row>
    <row r="7" ht="18.75" customHeight="1" outlineLevel="1">
      <c r="A7" s="37" t="s">
        <v>4775</v>
      </c>
      <c r="B7" s="37" t="s">
        <v>4760</v>
      </c>
      <c r="C7" s="37">
        <v>2.0</v>
      </c>
      <c r="D7" s="37">
        <v>15.0</v>
      </c>
      <c r="E7" s="37" t="s">
        <v>4776</v>
      </c>
      <c r="AY7" s="37" t="s">
        <v>4777</v>
      </c>
      <c r="AZ7" s="39">
        <v>2.0</v>
      </c>
      <c r="BA7" s="39" t="s">
        <v>4768</v>
      </c>
      <c r="BB7" s="39"/>
      <c r="BC7" s="39"/>
    </row>
    <row r="8" ht="18.75" customHeight="1" outlineLevel="1">
      <c r="A8" s="37" t="s">
        <v>4778</v>
      </c>
      <c r="B8" s="37" t="s">
        <v>4760</v>
      </c>
      <c r="C8" s="37">
        <v>3.0</v>
      </c>
      <c r="D8" s="37">
        <v>25.0</v>
      </c>
      <c r="E8" s="37" t="s">
        <v>4779</v>
      </c>
      <c r="AY8" s="37" t="s">
        <v>4780</v>
      </c>
      <c r="AZ8" s="39">
        <v>3.0</v>
      </c>
      <c r="BA8" s="39" t="s">
        <v>4771</v>
      </c>
      <c r="BB8" s="39"/>
      <c r="BC8" s="39"/>
    </row>
    <row r="9" ht="18.75" customHeight="1" outlineLevel="1">
      <c r="A9" s="37" t="s">
        <v>4781</v>
      </c>
      <c r="B9" s="37" t="s">
        <v>4760</v>
      </c>
      <c r="C9" s="37">
        <v>3.0</v>
      </c>
      <c r="D9" s="37">
        <v>25.0</v>
      </c>
      <c r="E9" s="37" t="s">
        <v>4782</v>
      </c>
      <c r="AY9" s="37" t="s">
        <v>4783</v>
      </c>
      <c r="AZ9" s="39">
        <v>3.0</v>
      </c>
      <c r="BA9" s="39" t="s">
        <v>4774</v>
      </c>
      <c r="BB9" s="39"/>
      <c r="BC9" s="39"/>
    </row>
    <row r="10" ht="18.75" customHeight="1" outlineLevel="1">
      <c r="A10" s="37" t="s">
        <v>4784</v>
      </c>
      <c r="B10" s="37" t="s">
        <v>4760</v>
      </c>
      <c r="C10" s="37">
        <v>3.0</v>
      </c>
      <c r="D10" s="37">
        <v>25.0</v>
      </c>
      <c r="E10" s="37" t="s">
        <v>4784</v>
      </c>
      <c r="AY10" s="37" t="s">
        <v>4785</v>
      </c>
      <c r="AZ10" s="39">
        <v>3.0</v>
      </c>
      <c r="BA10" s="39" t="s">
        <v>4777</v>
      </c>
      <c r="BB10" s="39"/>
      <c r="BC10" s="39"/>
    </row>
    <row r="11" ht="18.75" customHeight="1" outlineLevel="1">
      <c r="A11" s="37" t="s">
        <v>4786</v>
      </c>
      <c r="B11" s="37" t="s">
        <v>4760</v>
      </c>
      <c r="C11" s="37">
        <v>4.0</v>
      </c>
      <c r="D11" s="37">
        <v>35.0</v>
      </c>
      <c r="E11" s="37" t="s">
        <v>4787</v>
      </c>
      <c r="AY11" s="37" t="s">
        <v>4788</v>
      </c>
      <c r="AZ11" s="39">
        <v>4.0</v>
      </c>
      <c r="BA11" s="39" t="s">
        <v>4780</v>
      </c>
      <c r="BB11" s="39"/>
      <c r="BC11" s="39"/>
    </row>
    <row r="12" ht="18.75" customHeight="1" outlineLevel="1">
      <c r="A12" s="37" t="s">
        <v>4789</v>
      </c>
      <c r="B12" s="37" t="s">
        <v>4760</v>
      </c>
      <c r="C12" s="37">
        <v>4.0</v>
      </c>
      <c r="D12" s="37">
        <v>35.0</v>
      </c>
      <c r="E12" s="37" t="s">
        <v>4790</v>
      </c>
      <c r="AY12" s="37" t="s">
        <v>4791</v>
      </c>
      <c r="AZ12" s="39">
        <v>4.0</v>
      </c>
      <c r="BA12" s="39" t="s">
        <v>4783</v>
      </c>
      <c r="BB12" s="39"/>
      <c r="BC12" s="39"/>
    </row>
    <row r="13" ht="18.75" customHeight="1" outlineLevel="1">
      <c r="A13" s="37" t="s">
        <v>4792</v>
      </c>
      <c r="B13" s="37" t="s">
        <v>4760</v>
      </c>
      <c r="C13" s="37">
        <v>4.0</v>
      </c>
      <c r="D13" s="37">
        <v>35.0</v>
      </c>
      <c r="E13" s="37" t="s">
        <v>4793</v>
      </c>
      <c r="AY13" s="37" t="s">
        <v>4794</v>
      </c>
      <c r="AZ13" s="39">
        <v>4.0</v>
      </c>
      <c r="BA13" s="39" t="s">
        <v>4785</v>
      </c>
      <c r="BB13" s="39"/>
      <c r="BC13" s="39"/>
    </row>
    <row r="14" ht="18.75" customHeight="1" outlineLevel="1">
      <c r="B14" s="37" t="s">
        <v>4760</v>
      </c>
      <c r="C14" s="37">
        <f t="shared" ref="C14:C21" si="1">C11+1</f>
        <v>5</v>
      </c>
    </row>
    <row r="15" ht="18.75" customHeight="1" outlineLevel="1">
      <c r="B15" s="37" t="s">
        <v>4760</v>
      </c>
      <c r="C15" s="37">
        <f t="shared" si="1"/>
        <v>5</v>
      </c>
    </row>
    <row r="16" ht="18.75" customHeight="1" outlineLevel="1">
      <c r="B16" s="37" t="s">
        <v>4760</v>
      </c>
      <c r="C16" s="37">
        <f t="shared" si="1"/>
        <v>5</v>
      </c>
    </row>
    <row r="17" ht="18.75" customHeight="1" outlineLevel="1">
      <c r="B17" s="37" t="s">
        <v>4760</v>
      </c>
      <c r="C17" s="37">
        <f t="shared" si="1"/>
        <v>6</v>
      </c>
    </row>
    <row r="18" ht="18.75" customHeight="1" outlineLevel="1">
      <c r="B18" s="37" t="s">
        <v>4760</v>
      </c>
      <c r="C18" s="37">
        <f t="shared" si="1"/>
        <v>6</v>
      </c>
    </row>
    <row r="19" ht="18.75" customHeight="1" outlineLevel="1">
      <c r="B19" s="37" t="s">
        <v>4760</v>
      </c>
      <c r="C19" s="37">
        <f t="shared" si="1"/>
        <v>6</v>
      </c>
    </row>
    <row r="20" ht="18.75" customHeight="1" outlineLevel="1">
      <c r="B20" s="37" t="s">
        <v>4760</v>
      </c>
      <c r="C20" s="37">
        <f t="shared" si="1"/>
        <v>7</v>
      </c>
    </row>
    <row r="21" ht="18.75" customHeight="1" outlineLevel="1">
      <c r="B21" s="37" t="s">
        <v>4760</v>
      </c>
      <c r="C21" s="37">
        <f t="shared" si="1"/>
        <v>7</v>
      </c>
    </row>
    <row r="22" ht="18.75" customHeight="1" outlineLevel="1">
      <c r="A22" s="37" t="s">
        <v>4461</v>
      </c>
      <c r="B22" s="37" t="s">
        <v>4753</v>
      </c>
      <c r="C22" s="37" t="s">
        <v>0</v>
      </c>
      <c r="E22" s="37" t="s">
        <v>2620</v>
      </c>
    </row>
    <row r="23" ht="18.75" customHeight="1">
      <c r="A23" s="37" t="s">
        <v>4795</v>
      </c>
      <c r="B23" s="37" t="s">
        <v>4796</v>
      </c>
      <c r="C23" s="37">
        <v>1.0</v>
      </c>
      <c r="D23" s="37">
        <v>5.0</v>
      </c>
      <c r="E23" s="37" t="s">
        <v>4797</v>
      </c>
      <c r="AW23" s="39">
        <v>10.0</v>
      </c>
      <c r="AY23" s="37" t="s">
        <v>4798</v>
      </c>
      <c r="AZ23" s="39">
        <v>1.0</v>
      </c>
      <c r="BA23" s="39" t="s">
        <v>29</v>
      </c>
      <c r="BB23" s="39"/>
      <c r="BC23" s="39"/>
    </row>
    <row r="24" ht="18.75" customHeight="1" outlineLevel="1">
      <c r="A24" s="37" t="s">
        <v>4799</v>
      </c>
      <c r="B24" s="37" t="s">
        <v>4796</v>
      </c>
      <c r="C24" s="37">
        <v>1.0</v>
      </c>
      <c r="D24" s="37">
        <v>5.0</v>
      </c>
      <c r="E24" s="37" t="s">
        <v>4800</v>
      </c>
      <c r="AY24" s="37" t="s">
        <v>4801</v>
      </c>
      <c r="AZ24" s="39">
        <v>1.0</v>
      </c>
      <c r="BA24" s="39" t="s">
        <v>29</v>
      </c>
      <c r="BB24" s="39"/>
      <c r="BC24" s="39"/>
    </row>
    <row r="25" ht="18.75" customHeight="1" outlineLevel="1">
      <c r="A25" s="37" t="s">
        <v>4802</v>
      </c>
      <c r="B25" s="37" t="s">
        <v>4796</v>
      </c>
      <c r="C25" s="37">
        <v>1.0</v>
      </c>
      <c r="D25" s="37">
        <v>5.0</v>
      </c>
      <c r="E25" s="37" t="s">
        <v>4803</v>
      </c>
      <c r="AY25" s="37" t="s">
        <v>4804</v>
      </c>
      <c r="AZ25" s="39">
        <v>1.0</v>
      </c>
      <c r="BA25" s="39" t="s">
        <v>29</v>
      </c>
      <c r="BB25" s="39"/>
      <c r="BC25" s="39"/>
    </row>
    <row r="26" ht="18.75" customHeight="1" outlineLevel="1">
      <c r="A26" s="37" t="s">
        <v>4805</v>
      </c>
      <c r="B26" s="37" t="s">
        <v>4796</v>
      </c>
      <c r="C26" s="37">
        <v>2.0</v>
      </c>
      <c r="D26" s="37">
        <v>15.0</v>
      </c>
      <c r="E26" s="37" t="s">
        <v>4806</v>
      </c>
      <c r="AY26" s="37" t="s">
        <v>4807</v>
      </c>
      <c r="AZ26" s="39">
        <v>2.0</v>
      </c>
      <c r="BA26" s="39" t="s">
        <v>4798</v>
      </c>
      <c r="BB26" s="39"/>
      <c r="BC26" s="39"/>
    </row>
    <row r="27" ht="18.75" customHeight="1" outlineLevel="1">
      <c r="A27" s="37" t="s">
        <v>4808</v>
      </c>
      <c r="B27" s="37" t="s">
        <v>4796</v>
      </c>
      <c r="C27" s="37">
        <v>2.0</v>
      </c>
      <c r="D27" s="37">
        <v>15.0</v>
      </c>
      <c r="E27" s="37" t="s">
        <v>4809</v>
      </c>
      <c r="AY27" s="37" t="s">
        <v>4810</v>
      </c>
      <c r="AZ27" s="39">
        <v>2.0</v>
      </c>
      <c r="BA27" s="39" t="s">
        <v>4801</v>
      </c>
      <c r="BB27" s="39"/>
      <c r="BC27" s="39"/>
    </row>
    <row r="28" ht="18.75" customHeight="1" outlineLevel="1">
      <c r="A28" s="37" t="s">
        <v>4811</v>
      </c>
      <c r="B28" s="37" t="s">
        <v>4796</v>
      </c>
      <c r="C28" s="37">
        <v>2.0</v>
      </c>
      <c r="D28" s="37">
        <v>15.0</v>
      </c>
      <c r="E28" s="37" t="s">
        <v>4812</v>
      </c>
      <c r="AY28" s="37" t="s">
        <v>4813</v>
      </c>
      <c r="AZ28" s="39">
        <v>2.0</v>
      </c>
      <c r="BA28" s="39" t="s">
        <v>4804</v>
      </c>
      <c r="BB28" s="39"/>
      <c r="BC28" s="39"/>
    </row>
    <row r="29" ht="18.75" customHeight="1" outlineLevel="1">
      <c r="A29" s="37" t="s">
        <v>4814</v>
      </c>
      <c r="B29" s="37" t="s">
        <v>4796</v>
      </c>
      <c r="C29" s="37">
        <v>3.0</v>
      </c>
      <c r="D29" s="37">
        <v>25.0</v>
      </c>
      <c r="E29" s="37" t="s">
        <v>4815</v>
      </c>
      <c r="O29" s="39">
        <v>10.0</v>
      </c>
      <c r="AY29" s="37" t="s">
        <v>4816</v>
      </c>
      <c r="AZ29" s="39">
        <v>3.0</v>
      </c>
      <c r="BA29" s="39" t="s">
        <v>4807</v>
      </c>
      <c r="BB29" s="39"/>
      <c r="BC29" s="39"/>
    </row>
    <row r="30" ht="18.75" customHeight="1" outlineLevel="1">
      <c r="A30" s="37" t="s">
        <v>4817</v>
      </c>
      <c r="B30" s="37" t="s">
        <v>4796</v>
      </c>
      <c r="C30" s="37">
        <v>3.0</v>
      </c>
      <c r="D30" s="37">
        <v>25.0</v>
      </c>
      <c r="E30" s="37" t="s">
        <v>4818</v>
      </c>
      <c r="AW30" s="39">
        <v>15.0</v>
      </c>
      <c r="AY30" s="37" t="s">
        <v>4819</v>
      </c>
      <c r="AZ30" s="39">
        <v>3.0</v>
      </c>
      <c r="BA30" s="39" t="s">
        <v>4810</v>
      </c>
      <c r="BB30" s="39"/>
      <c r="BC30" s="39"/>
    </row>
    <row r="31" ht="18.75" customHeight="1" outlineLevel="1">
      <c r="A31" s="37" t="s">
        <v>4820</v>
      </c>
      <c r="B31" s="37" t="s">
        <v>4796</v>
      </c>
      <c r="C31" s="37">
        <v>3.0</v>
      </c>
      <c r="D31" s="37">
        <v>25.0</v>
      </c>
      <c r="E31" s="37" t="s">
        <v>4821</v>
      </c>
      <c r="AY31" s="37" t="s">
        <v>4822</v>
      </c>
      <c r="AZ31" s="39">
        <v>3.0</v>
      </c>
      <c r="BA31" s="39" t="s">
        <v>4813</v>
      </c>
      <c r="BB31" s="39"/>
      <c r="BC31" s="39"/>
    </row>
    <row r="32" ht="18.75" customHeight="1" outlineLevel="1">
      <c r="A32" s="37" t="s">
        <v>4823</v>
      </c>
      <c r="B32" s="37" t="s">
        <v>4796</v>
      </c>
      <c r="C32" s="37">
        <v>4.0</v>
      </c>
      <c r="D32" s="37">
        <v>35.0</v>
      </c>
      <c r="E32" s="37" t="s">
        <v>4824</v>
      </c>
      <c r="AW32" s="39">
        <v>25.0</v>
      </c>
      <c r="AY32" s="37" t="s">
        <v>4825</v>
      </c>
      <c r="AZ32" s="39">
        <v>4.0</v>
      </c>
      <c r="BA32" s="39" t="s">
        <v>4816</v>
      </c>
      <c r="BB32" s="39"/>
      <c r="BC32" s="39"/>
    </row>
    <row r="33" ht="18.75" customHeight="1" outlineLevel="1">
      <c r="A33" s="37" t="s">
        <v>4826</v>
      </c>
      <c r="B33" s="37" t="s">
        <v>4796</v>
      </c>
      <c r="C33" s="37">
        <v>4.0</v>
      </c>
      <c r="D33" s="37">
        <v>35.0</v>
      </c>
      <c r="E33" s="37" t="s">
        <v>4827</v>
      </c>
      <c r="O33" s="39">
        <v>20.0</v>
      </c>
      <c r="AY33" s="37" t="s">
        <v>4828</v>
      </c>
      <c r="AZ33" s="39">
        <v>4.0</v>
      </c>
      <c r="BA33" s="39" t="s">
        <v>4819</v>
      </c>
      <c r="BB33" s="39"/>
      <c r="BC33" s="39"/>
    </row>
    <row r="34" ht="18.75" customHeight="1" outlineLevel="1">
      <c r="A34" s="37" t="s">
        <v>4829</v>
      </c>
      <c r="B34" s="37" t="s">
        <v>4796</v>
      </c>
      <c r="C34" s="37">
        <v>4.0</v>
      </c>
      <c r="D34" s="37">
        <v>35.0</v>
      </c>
      <c r="E34" s="37" t="s">
        <v>4830</v>
      </c>
      <c r="AY34" s="37" t="s">
        <v>4831</v>
      </c>
      <c r="AZ34" s="39">
        <v>4.0</v>
      </c>
      <c r="BA34" s="39" t="s">
        <v>4822</v>
      </c>
      <c r="BB34" s="39"/>
      <c r="BC34" s="39"/>
    </row>
    <row r="35" ht="18.75" customHeight="1" outlineLevel="1">
      <c r="B35" s="37" t="s">
        <v>4796</v>
      </c>
      <c r="C35" s="37">
        <f t="shared" ref="C35:C42" si="2">C32+1</f>
        <v>5</v>
      </c>
    </row>
    <row r="36" ht="18.75" customHeight="1" outlineLevel="1">
      <c r="B36" s="37" t="s">
        <v>4796</v>
      </c>
      <c r="C36" s="37">
        <f t="shared" si="2"/>
        <v>5</v>
      </c>
    </row>
    <row r="37" ht="18.75" customHeight="1" outlineLevel="1">
      <c r="B37" s="37" t="s">
        <v>4796</v>
      </c>
      <c r="C37" s="37">
        <f t="shared" si="2"/>
        <v>5</v>
      </c>
    </row>
    <row r="38" ht="18.75" customHeight="1" outlineLevel="1">
      <c r="B38" s="37" t="s">
        <v>4796</v>
      </c>
      <c r="C38" s="37">
        <f t="shared" si="2"/>
        <v>6</v>
      </c>
    </row>
    <row r="39" ht="18.75" customHeight="1" outlineLevel="1">
      <c r="B39" s="37" t="s">
        <v>4796</v>
      </c>
      <c r="C39" s="37">
        <f t="shared" si="2"/>
        <v>6</v>
      </c>
    </row>
    <row r="40" ht="18.75" customHeight="1" outlineLevel="1">
      <c r="B40" s="37" t="s">
        <v>4796</v>
      </c>
      <c r="C40" s="37">
        <f t="shared" si="2"/>
        <v>6</v>
      </c>
    </row>
    <row r="41" ht="18.75" customHeight="1" outlineLevel="1">
      <c r="B41" s="37" t="s">
        <v>4796</v>
      </c>
      <c r="C41" s="37">
        <f t="shared" si="2"/>
        <v>7</v>
      </c>
    </row>
    <row r="42" ht="18.75" customHeight="1" outlineLevel="1">
      <c r="B42" s="37" t="s">
        <v>4796</v>
      </c>
      <c r="C42" s="37">
        <f t="shared" si="2"/>
        <v>7</v>
      </c>
    </row>
    <row r="43" ht="18.75" customHeight="1" outlineLevel="1">
      <c r="A43" s="37" t="s">
        <v>4461</v>
      </c>
      <c r="B43" s="37" t="s">
        <v>4753</v>
      </c>
      <c r="C43" s="37" t="s">
        <v>0</v>
      </c>
      <c r="E43" s="37" t="s">
        <v>2620</v>
      </c>
    </row>
    <row r="44" ht="18.75" customHeight="1">
      <c r="A44" s="37" t="s">
        <v>4832</v>
      </c>
      <c r="B44" s="37" t="s">
        <v>1179</v>
      </c>
      <c r="C44" s="37">
        <v>1.0</v>
      </c>
      <c r="D44" s="37">
        <v>5.0</v>
      </c>
      <c r="E44" s="37" t="s">
        <v>4833</v>
      </c>
      <c r="AX44" s="39">
        <v>15.0</v>
      </c>
      <c r="AY44" s="37" t="s">
        <v>4834</v>
      </c>
      <c r="AZ44" s="39">
        <v>1.0</v>
      </c>
      <c r="BA44" s="39" t="s">
        <v>29</v>
      </c>
      <c r="BB44" s="39"/>
      <c r="BC44" s="39"/>
    </row>
    <row r="45" ht="18.75" customHeight="1" outlineLevel="1">
      <c r="A45" s="37" t="s">
        <v>4835</v>
      </c>
      <c r="B45" s="37" t="s">
        <v>1179</v>
      </c>
      <c r="C45" s="37">
        <v>1.0</v>
      </c>
      <c r="D45" s="37">
        <v>5.0</v>
      </c>
      <c r="E45" s="37" t="s">
        <v>4836</v>
      </c>
      <c r="AY45" s="37" t="s">
        <v>4837</v>
      </c>
      <c r="AZ45" s="39">
        <v>1.0</v>
      </c>
      <c r="BA45" s="39" t="s">
        <v>29</v>
      </c>
      <c r="BB45" s="39"/>
      <c r="BC45" s="39"/>
    </row>
    <row r="46" ht="18.75" customHeight="1" outlineLevel="1">
      <c r="A46" s="37" t="s">
        <v>4838</v>
      </c>
      <c r="B46" s="37" t="s">
        <v>1179</v>
      </c>
      <c r="C46" s="37">
        <v>1.0</v>
      </c>
      <c r="D46" s="37">
        <v>5.0</v>
      </c>
      <c r="E46" s="37" t="s">
        <v>4839</v>
      </c>
      <c r="AY46" s="37" t="s">
        <v>4840</v>
      </c>
      <c r="AZ46" s="39">
        <v>1.0</v>
      </c>
      <c r="BA46" s="39" t="s">
        <v>29</v>
      </c>
      <c r="BB46" s="39"/>
      <c r="BC46" s="39"/>
    </row>
    <row r="47" ht="18.75" customHeight="1" outlineLevel="1">
      <c r="A47" s="37" t="s">
        <v>4841</v>
      </c>
      <c r="B47" s="37" t="s">
        <v>1179</v>
      </c>
      <c r="C47" s="37">
        <v>2.0</v>
      </c>
      <c r="D47" s="37">
        <v>15.0</v>
      </c>
      <c r="E47" s="37" t="s">
        <v>4842</v>
      </c>
      <c r="AY47" s="37" t="s">
        <v>4843</v>
      </c>
      <c r="AZ47" s="39">
        <v>2.0</v>
      </c>
      <c r="BA47" s="39" t="s">
        <v>4834</v>
      </c>
      <c r="BB47" s="39"/>
      <c r="BC47" s="39"/>
    </row>
    <row r="48" ht="18.75" customHeight="1" outlineLevel="1">
      <c r="A48" s="37" t="s">
        <v>4844</v>
      </c>
      <c r="B48" s="37" t="s">
        <v>1179</v>
      </c>
      <c r="C48" s="37">
        <v>2.0</v>
      </c>
      <c r="D48" s="37">
        <v>15.0</v>
      </c>
      <c r="E48" s="37" t="s">
        <v>4845</v>
      </c>
      <c r="AY48" s="37" t="s">
        <v>4846</v>
      </c>
      <c r="AZ48" s="39">
        <v>2.0</v>
      </c>
      <c r="BA48" s="39" t="s">
        <v>4837</v>
      </c>
      <c r="BB48" s="39"/>
      <c r="BC48" s="39"/>
    </row>
    <row r="49" ht="18.75" customHeight="1" outlineLevel="1">
      <c r="A49" s="37" t="s">
        <v>4847</v>
      </c>
      <c r="B49" s="37" t="s">
        <v>1179</v>
      </c>
      <c r="C49" s="37">
        <v>2.0</v>
      </c>
      <c r="D49" s="37">
        <v>15.0</v>
      </c>
      <c r="E49" s="37" t="s">
        <v>4812</v>
      </c>
      <c r="AY49" s="37" t="s">
        <v>4848</v>
      </c>
      <c r="AZ49" s="39">
        <v>2.0</v>
      </c>
      <c r="BA49" s="39" t="s">
        <v>4840</v>
      </c>
      <c r="BB49" s="39"/>
      <c r="BC49" s="39"/>
    </row>
    <row r="50" ht="18.75" customHeight="1" outlineLevel="1">
      <c r="A50" s="37" t="s">
        <v>4849</v>
      </c>
      <c r="B50" s="37" t="s">
        <v>1179</v>
      </c>
      <c r="C50" s="37">
        <v>3.0</v>
      </c>
      <c r="D50" s="37">
        <v>25.0</v>
      </c>
      <c r="E50" s="37" t="s">
        <v>4815</v>
      </c>
      <c r="O50" s="39">
        <v>10.0</v>
      </c>
      <c r="AY50" s="37" t="s">
        <v>4850</v>
      </c>
      <c r="AZ50" s="39">
        <v>3.0</v>
      </c>
      <c r="BA50" s="39" t="s">
        <v>4843</v>
      </c>
      <c r="BB50" s="39"/>
      <c r="BC50" s="39"/>
    </row>
    <row r="51" ht="18.75" customHeight="1" outlineLevel="1">
      <c r="A51" s="37" t="s">
        <v>4851</v>
      </c>
      <c r="B51" s="37" t="s">
        <v>1179</v>
      </c>
      <c r="C51" s="37">
        <v>3.0</v>
      </c>
      <c r="D51" s="37">
        <v>25.0</v>
      </c>
      <c r="E51" s="37" t="s">
        <v>4852</v>
      </c>
      <c r="AY51" s="37" t="s">
        <v>4853</v>
      </c>
      <c r="AZ51" s="39">
        <v>3.0</v>
      </c>
      <c r="BA51" s="39" t="s">
        <v>4846</v>
      </c>
      <c r="BB51" s="39"/>
      <c r="BC51" s="39"/>
    </row>
    <row r="52" ht="18.75" customHeight="1" outlineLevel="1">
      <c r="A52" s="37" t="s">
        <v>4854</v>
      </c>
      <c r="B52" s="37" t="s">
        <v>1179</v>
      </c>
      <c r="C52" s="37">
        <v>3.0</v>
      </c>
      <c r="D52" s="37">
        <v>25.0</v>
      </c>
      <c r="E52" s="37" t="s">
        <v>4855</v>
      </c>
      <c r="AY52" s="37" t="s">
        <v>4856</v>
      </c>
      <c r="AZ52" s="39">
        <v>3.0</v>
      </c>
      <c r="BA52" s="39" t="s">
        <v>4848</v>
      </c>
      <c r="BB52" s="39"/>
      <c r="BC52" s="39"/>
    </row>
    <row r="53" ht="18.75" customHeight="1" outlineLevel="1">
      <c r="A53" s="37" t="s">
        <v>4857</v>
      </c>
      <c r="B53" s="37" t="s">
        <v>1179</v>
      </c>
      <c r="C53" s="37">
        <v>4.0</v>
      </c>
      <c r="D53" s="37">
        <v>35.0</v>
      </c>
      <c r="E53" s="37" t="s">
        <v>4827</v>
      </c>
      <c r="O53" s="39">
        <v>20.0</v>
      </c>
      <c r="AY53" s="37" t="s">
        <v>4858</v>
      </c>
      <c r="AZ53" s="39">
        <v>4.0</v>
      </c>
      <c r="BA53" s="39" t="s">
        <v>4850</v>
      </c>
      <c r="BB53" s="39"/>
      <c r="BC53" s="39"/>
    </row>
    <row r="54" ht="18.75" customHeight="1" outlineLevel="1">
      <c r="A54" s="37" t="s">
        <v>4859</v>
      </c>
      <c r="B54" s="37" t="s">
        <v>1179</v>
      </c>
      <c r="C54" s="37">
        <v>4.0</v>
      </c>
      <c r="D54" s="37">
        <v>35.0</v>
      </c>
      <c r="E54" s="37" t="s">
        <v>4860</v>
      </c>
      <c r="AX54" s="39">
        <v>25.0</v>
      </c>
      <c r="AY54" s="37" t="s">
        <v>4861</v>
      </c>
      <c r="AZ54" s="39">
        <v>4.0</v>
      </c>
      <c r="BA54" s="39" t="s">
        <v>4853</v>
      </c>
      <c r="BB54" s="39"/>
      <c r="BC54" s="39"/>
    </row>
    <row r="55" ht="18.75" customHeight="1" outlineLevel="1">
      <c r="A55" s="37" t="s">
        <v>4862</v>
      </c>
      <c r="B55" s="37" t="s">
        <v>1179</v>
      </c>
      <c r="C55" s="37">
        <v>4.0</v>
      </c>
      <c r="D55" s="37">
        <v>35.0</v>
      </c>
      <c r="E55" s="37" t="s">
        <v>4863</v>
      </c>
      <c r="AY55" s="37" t="s">
        <v>4864</v>
      </c>
      <c r="AZ55" s="39">
        <v>4.0</v>
      </c>
      <c r="BA55" s="39" t="s">
        <v>4856</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4865</v>
      </c>
      <c r="B65" s="37" t="s">
        <v>4386</v>
      </c>
      <c r="C65" s="37">
        <v>1.0</v>
      </c>
      <c r="D65" s="37">
        <v>5.0</v>
      </c>
      <c r="E65" s="37" t="s">
        <v>4866</v>
      </c>
      <c r="AJ65" s="39">
        <v>10.0</v>
      </c>
      <c r="AY65" s="37" t="s">
        <v>4867</v>
      </c>
      <c r="AZ65" s="39">
        <v>1.0</v>
      </c>
      <c r="BA65" s="39" t="s">
        <v>29</v>
      </c>
      <c r="BB65" s="39"/>
      <c r="BC65" s="39"/>
    </row>
    <row r="66" ht="18.75" customHeight="1" outlineLevel="1">
      <c r="A66" s="37" t="s">
        <v>4868</v>
      </c>
      <c r="B66" s="37" t="s">
        <v>4386</v>
      </c>
      <c r="C66" s="37">
        <v>1.0</v>
      </c>
      <c r="D66" s="37">
        <v>5.0</v>
      </c>
      <c r="E66" s="37" t="s">
        <v>4869</v>
      </c>
      <c r="AY66" s="37" t="s">
        <v>4870</v>
      </c>
      <c r="AZ66" s="39">
        <v>1.0</v>
      </c>
      <c r="BA66" s="39" t="s">
        <v>29</v>
      </c>
      <c r="BB66" s="39"/>
      <c r="BC66" s="39"/>
    </row>
    <row r="67" ht="18.75" customHeight="1" outlineLevel="1">
      <c r="A67" s="37" t="s">
        <v>4871</v>
      </c>
      <c r="B67" s="37" t="s">
        <v>4386</v>
      </c>
      <c r="C67" s="37">
        <v>1.0</v>
      </c>
      <c r="D67" s="37">
        <v>5.0</v>
      </c>
      <c r="E67" s="37" t="s">
        <v>4872</v>
      </c>
      <c r="AY67" s="37" t="s">
        <v>4873</v>
      </c>
      <c r="AZ67" s="39">
        <v>1.0</v>
      </c>
      <c r="BA67" s="39" t="s">
        <v>29</v>
      </c>
      <c r="BB67" s="39"/>
      <c r="BC67" s="39"/>
    </row>
    <row r="68" ht="18.75" customHeight="1" outlineLevel="1">
      <c r="A68" s="37" t="s">
        <v>4874</v>
      </c>
      <c r="B68" s="37" t="s">
        <v>4386</v>
      </c>
      <c r="C68" s="37">
        <v>2.0</v>
      </c>
      <c r="D68" s="37">
        <v>15.0</v>
      </c>
      <c r="E68" s="37" t="s">
        <v>4875</v>
      </c>
      <c r="AY68" s="37" t="s">
        <v>4876</v>
      </c>
      <c r="AZ68" s="39">
        <v>2.0</v>
      </c>
      <c r="BA68" s="39" t="s">
        <v>4867</v>
      </c>
      <c r="BB68" s="39"/>
      <c r="BC68" s="39"/>
    </row>
    <row r="69" ht="18.75" customHeight="1" outlineLevel="1">
      <c r="A69" s="37" t="s">
        <v>4877</v>
      </c>
      <c r="B69" s="37" t="s">
        <v>4386</v>
      </c>
      <c r="C69" s="37">
        <v>2.0</v>
      </c>
      <c r="D69" s="37">
        <v>15.0</v>
      </c>
      <c r="E69" s="37" t="s">
        <v>4878</v>
      </c>
      <c r="AY69" s="37" t="s">
        <v>4879</v>
      </c>
      <c r="AZ69" s="39">
        <v>2.0</v>
      </c>
      <c r="BA69" s="39" t="s">
        <v>4870</v>
      </c>
      <c r="BB69" s="39"/>
      <c r="BC69" s="39"/>
    </row>
    <row r="70" ht="18.75" customHeight="1" outlineLevel="1">
      <c r="A70" s="37" t="s">
        <v>4880</v>
      </c>
      <c r="B70" s="37" t="s">
        <v>4386</v>
      </c>
      <c r="C70" s="37">
        <v>2.0</v>
      </c>
      <c r="D70" s="37">
        <v>15.0</v>
      </c>
      <c r="E70" s="37" t="s">
        <v>4881</v>
      </c>
      <c r="AY70" s="37" t="s">
        <v>4882</v>
      </c>
      <c r="AZ70" s="39">
        <v>2.0</v>
      </c>
      <c r="BA70" s="39" t="s">
        <v>4873</v>
      </c>
      <c r="BB70" s="39"/>
      <c r="BC70" s="39"/>
    </row>
    <row r="71" ht="18.75" customHeight="1" outlineLevel="1">
      <c r="A71" s="37" t="s">
        <v>4883</v>
      </c>
      <c r="B71" s="37" t="s">
        <v>4386</v>
      </c>
      <c r="C71" s="37">
        <v>3.0</v>
      </c>
      <c r="D71" s="37">
        <v>25.0</v>
      </c>
      <c r="E71" s="37" t="s">
        <v>4869</v>
      </c>
      <c r="AY71" s="37" t="s">
        <v>4884</v>
      </c>
      <c r="AZ71" s="39">
        <v>3.0</v>
      </c>
      <c r="BA71" s="39" t="s">
        <v>4876</v>
      </c>
      <c r="BB71" s="39"/>
      <c r="BC71" s="39"/>
    </row>
    <row r="72" ht="18.75" customHeight="1" outlineLevel="1">
      <c r="A72" s="37" t="s">
        <v>4885</v>
      </c>
      <c r="B72" s="37" t="s">
        <v>4386</v>
      </c>
      <c r="C72" s="37">
        <v>3.0</v>
      </c>
      <c r="D72" s="37">
        <v>25.0</v>
      </c>
      <c r="E72" s="37" t="s">
        <v>4886</v>
      </c>
      <c r="AY72" s="37" t="s">
        <v>4887</v>
      </c>
      <c r="AZ72" s="39">
        <v>3.0</v>
      </c>
      <c r="BA72" s="39" t="s">
        <v>4879</v>
      </c>
      <c r="BB72" s="39"/>
      <c r="BC72" s="39"/>
    </row>
    <row r="73" ht="18.75" customHeight="1" outlineLevel="1">
      <c r="A73" s="37" t="s">
        <v>4888</v>
      </c>
      <c r="B73" s="37" t="s">
        <v>4386</v>
      </c>
      <c r="C73" s="37">
        <v>3.0</v>
      </c>
      <c r="D73" s="37">
        <v>25.0</v>
      </c>
      <c r="E73" s="37" t="s">
        <v>4889</v>
      </c>
      <c r="AY73" s="37" t="s">
        <v>4890</v>
      </c>
      <c r="AZ73" s="39">
        <v>3.0</v>
      </c>
      <c r="BA73" s="39" t="s">
        <v>4882</v>
      </c>
      <c r="BB73" s="39"/>
      <c r="BC73" s="39"/>
    </row>
    <row r="74" ht="18.75" customHeight="1" outlineLevel="1">
      <c r="A74" s="37" t="s">
        <v>4891</v>
      </c>
      <c r="B74" s="37" t="s">
        <v>4386</v>
      </c>
      <c r="C74" s="37">
        <v>4.0</v>
      </c>
      <c r="D74" s="37">
        <v>35.0</v>
      </c>
      <c r="E74" s="37" t="s">
        <v>4892</v>
      </c>
      <c r="AJ74" s="39">
        <v>25.0</v>
      </c>
      <c r="AY74" s="37" t="s">
        <v>4893</v>
      </c>
      <c r="AZ74" s="39">
        <v>4.0</v>
      </c>
      <c r="BA74" s="39" t="s">
        <v>4884</v>
      </c>
      <c r="BB74" s="39"/>
      <c r="BC74" s="39"/>
    </row>
    <row r="75" ht="18.75" customHeight="1" outlineLevel="1">
      <c r="A75" s="37" t="s">
        <v>4894</v>
      </c>
      <c r="B75" s="37" t="s">
        <v>4386</v>
      </c>
      <c r="C75" s="37">
        <v>4.0</v>
      </c>
      <c r="D75" s="37">
        <v>35.0</v>
      </c>
      <c r="E75" s="37" t="s">
        <v>4895</v>
      </c>
      <c r="AY75" s="37" t="s">
        <v>4896</v>
      </c>
      <c r="AZ75" s="39">
        <v>4.0</v>
      </c>
      <c r="BA75" s="39" t="s">
        <v>4887</v>
      </c>
      <c r="BB75" s="39"/>
      <c r="BC75" s="39"/>
    </row>
    <row r="76" ht="18.75" customHeight="1" outlineLevel="1">
      <c r="A76" s="37" t="s">
        <v>4897</v>
      </c>
      <c r="B76" s="37" t="s">
        <v>4386</v>
      </c>
      <c r="C76" s="37">
        <v>4.0</v>
      </c>
      <c r="D76" s="37">
        <v>35.0</v>
      </c>
      <c r="E76" s="37" t="s">
        <v>4898</v>
      </c>
      <c r="AY76" s="37" t="s">
        <v>4899</v>
      </c>
      <c r="AZ76" s="39">
        <v>4.0</v>
      </c>
      <c r="BA76" s="39" t="s">
        <v>4890</v>
      </c>
      <c r="BB76" s="39"/>
      <c r="BC76" s="39"/>
    </row>
    <row r="77" ht="18.75" customHeight="1" outlineLevel="1">
      <c r="B77" s="37" t="s">
        <v>4386</v>
      </c>
      <c r="C77" s="37">
        <f t="shared" ref="C77:C85" si="4">C74+1</f>
        <v>5</v>
      </c>
    </row>
    <row r="78" ht="18.75" customHeight="1" outlineLevel="1">
      <c r="B78" s="37" t="s">
        <v>4386</v>
      </c>
      <c r="C78" s="37">
        <f t="shared" si="4"/>
        <v>5</v>
      </c>
    </row>
    <row r="79" ht="18.75" customHeight="1" outlineLevel="1">
      <c r="B79" s="37" t="s">
        <v>4386</v>
      </c>
      <c r="C79" s="37">
        <f t="shared" si="4"/>
        <v>5</v>
      </c>
    </row>
    <row r="80" ht="18.75" customHeight="1" outlineLevel="1">
      <c r="B80" s="37" t="s">
        <v>4386</v>
      </c>
      <c r="C80" s="37">
        <f t="shared" si="4"/>
        <v>6</v>
      </c>
    </row>
    <row r="81" ht="18.75" customHeight="1" outlineLevel="1">
      <c r="B81" s="37" t="s">
        <v>4386</v>
      </c>
      <c r="C81" s="37">
        <f t="shared" si="4"/>
        <v>6</v>
      </c>
    </row>
    <row r="82" ht="18.75" customHeight="1" outlineLevel="1">
      <c r="B82" s="37" t="s">
        <v>4386</v>
      </c>
      <c r="C82" s="37">
        <f t="shared" si="4"/>
        <v>6</v>
      </c>
    </row>
    <row r="83" ht="18.75" customHeight="1" outlineLevel="1">
      <c r="B83" s="37" t="s">
        <v>4386</v>
      </c>
      <c r="C83" s="37">
        <f t="shared" si="4"/>
        <v>7</v>
      </c>
    </row>
    <row r="84" ht="18.75" customHeight="1" outlineLevel="1">
      <c r="B84" s="37" t="s">
        <v>4386</v>
      </c>
      <c r="C84" s="37">
        <f t="shared" si="4"/>
        <v>7</v>
      </c>
    </row>
    <row r="85" ht="18.75" customHeight="1" outlineLevel="1">
      <c r="B85" s="37" t="s">
        <v>4386</v>
      </c>
      <c r="C85" s="37">
        <f t="shared" si="4"/>
        <v>7</v>
      </c>
    </row>
    <row r="86" ht="18.75" customHeight="1" outlineLevel="1">
      <c r="A86" s="37" t="s">
        <v>4900</v>
      </c>
      <c r="B86" s="37" t="s">
        <v>4901</v>
      </c>
      <c r="C86" s="37">
        <v>1.0</v>
      </c>
      <c r="D86" s="37">
        <v>5.0</v>
      </c>
      <c r="E86" s="37" t="s">
        <v>4902</v>
      </c>
      <c r="AY86" s="37" t="s">
        <v>4903</v>
      </c>
      <c r="AZ86" s="39">
        <v>1.0</v>
      </c>
      <c r="BA86" s="39" t="s">
        <v>29</v>
      </c>
      <c r="BB86" s="39"/>
      <c r="BC86" s="39"/>
    </row>
    <row r="87" ht="18.75" customHeight="1">
      <c r="A87" s="37" t="s">
        <v>4904</v>
      </c>
      <c r="B87" s="37" t="s">
        <v>4901</v>
      </c>
      <c r="C87" s="37">
        <v>1.0</v>
      </c>
      <c r="D87" s="37">
        <v>5.0</v>
      </c>
      <c r="E87" s="37" t="s">
        <v>4905</v>
      </c>
      <c r="AY87" s="37" t="s">
        <v>4906</v>
      </c>
      <c r="AZ87" s="39">
        <v>1.0</v>
      </c>
      <c r="BA87" s="39" t="s">
        <v>29</v>
      </c>
      <c r="BB87" s="39"/>
      <c r="BC87" s="39"/>
    </row>
    <row r="88" ht="18.75" customHeight="1" outlineLevel="1">
      <c r="A88" s="37" t="s">
        <v>4907</v>
      </c>
      <c r="B88" s="37" t="s">
        <v>4901</v>
      </c>
      <c r="C88" s="37">
        <v>1.0</v>
      </c>
      <c r="D88" s="37">
        <v>5.0</v>
      </c>
      <c r="E88" s="37" t="s">
        <v>4908</v>
      </c>
      <c r="AY88" s="37" t="s">
        <v>4909</v>
      </c>
      <c r="AZ88" s="39">
        <v>1.0</v>
      </c>
      <c r="BA88" s="39" t="s">
        <v>29</v>
      </c>
      <c r="BB88" s="39"/>
      <c r="BC88" s="39"/>
    </row>
    <row r="89" ht="18.75" customHeight="1" outlineLevel="1">
      <c r="A89" s="37" t="s">
        <v>4910</v>
      </c>
      <c r="B89" s="37" t="s">
        <v>4901</v>
      </c>
      <c r="C89" s="37">
        <v>2.0</v>
      </c>
      <c r="D89" s="37">
        <v>15.0</v>
      </c>
      <c r="E89" s="37" t="s">
        <v>4911</v>
      </c>
      <c r="AY89" s="37" t="s">
        <v>4912</v>
      </c>
      <c r="AZ89" s="39">
        <v>2.0</v>
      </c>
      <c r="BA89" s="39" t="s">
        <v>4903</v>
      </c>
      <c r="BB89" s="39"/>
      <c r="BC89" s="39"/>
    </row>
    <row r="90" ht="18.75" customHeight="1" outlineLevel="1">
      <c r="A90" s="37" t="s">
        <v>4913</v>
      </c>
      <c r="B90" s="37" t="s">
        <v>4901</v>
      </c>
      <c r="C90" s="37">
        <v>2.0</v>
      </c>
      <c r="D90" s="37">
        <v>15.0</v>
      </c>
      <c r="E90" s="37" t="s">
        <v>4914</v>
      </c>
      <c r="M90" s="39">
        <v>5.0</v>
      </c>
      <c r="N90" s="39">
        <v>5.0</v>
      </c>
      <c r="AY90" s="37" t="s">
        <v>4915</v>
      </c>
      <c r="AZ90" s="39">
        <v>2.0</v>
      </c>
      <c r="BA90" s="39" t="s">
        <v>4906</v>
      </c>
      <c r="BB90" s="39"/>
      <c r="BC90" s="39"/>
    </row>
    <row r="91" ht="18.75" customHeight="1" outlineLevel="1">
      <c r="A91" s="37" t="s">
        <v>4916</v>
      </c>
      <c r="B91" s="37" t="s">
        <v>4901</v>
      </c>
      <c r="C91" s="37">
        <v>2.0</v>
      </c>
      <c r="D91" s="37">
        <v>15.0</v>
      </c>
      <c r="E91" s="37" t="s">
        <v>4917</v>
      </c>
      <c r="AY91" s="37" t="s">
        <v>4918</v>
      </c>
      <c r="AZ91" s="39">
        <v>2.0</v>
      </c>
      <c r="BA91" s="39" t="s">
        <v>4909</v>
      </c>
      <c r="BB91" s="39"/>
      <c r="BC91" s="39"/>
    </row>
    <row r="92" ht="18.75" customHeight="1" outlineLevel="1">
      <c r="A92" s="37" t="s">
        <v>4919</v>
      </c>
      <c r="B92" s="37" t="s">
        <v>4901</v>
      </c>
      <c r="C92" s="37">
        <v>3.0</v>
      </c>
      <c r="D92" s="37">
        <v>25.0</v>
      </c>
      <c r="E92" s="37" t="s">
        <v>4920</v>
      </c>
      <c r="AY92" s="37" t="s">
        <v>4921</v>
      </c>
      <c r="AZ92" s="39">
        <v>3.0</v>
      </c>
      <c r="BA92" s="39" t="s">
        <v>4912</v>
      </c>
      <c r="BB92" s="39"/>
      <c r="BC92" s="39"/>
    </row>
    <row r="93" ht="18.75" customHeight="1" outlineLevel="1">
      <c r="A93" s="37" t="s">
        <v>4922</v>
      </c>
      <c r="B93" s="37" t="s">
        <v>4901</v>
      </c>
      <c r="C93" s="37">
        <v>3.0</v>
      </c>
      <c r="D93" s="37">
        <v>25.0</v>
      </c>
      <c r="E93" s="37" t="s">
        <v>4923</v>
      </c>
      <c r="AY93" s="37" t="s">
        <v>4924</v>
      </c>
      <c r="AZ93" s="39">
        <v>3.0</v>
      </c>
      <c r="BA93" s="39" t="s">
        <v>4915</v>
      </c>
      <c r="BB93" s="39"/>
      <c r="BC93" s="39"/>
    </row>
    <row r="94" ht="18.75" customHeight="1" outlineLevel="1">
      <c r="A94" s="37" t="s">
        <v>4925</v>
      </c>
      <c r="B94" s="37" t="s">
        <v>4901</v>
      </c>
      <c r="C94" s="37">
        <v>3.0</v>
      </c>
      <c r="D94" s="37">
        <v>25.0</v>
      </c>
      <c r="E94" s="37" t="s">
        <v>4926</v>
      </c>
      <c r="AY94" s="37" t="s">
        <v>4927</v>
      </c>
      <c r="AZ94" s="39">
        <v>3.0</v>
      </c>
      <c r="BA94" s="39" t="s">
        <v>4918</v>
      </c>
      <c r="BB94" s="39"/>
      <c r="BC94" s="39"/>
    </row>
    <row r="95" ht="18.75" customHeight="1" outlineLevel="1">
      <c r="A95" s="37" t="s">
        <v>4928</v>
      </c>
      <c r="B95" s="37" t="s">
        <v>4901</v>
      </c>
      <c r="C95" s="37">
        <v>4.0</v>
      </c>
      <c r="D95" s="37">
        <v>35.0</v>
      </c>
      <c r="E95" s="37" t="s">
        <v>4929</v>
      </c>
      <c r="AY95" s="37" t="s">
        <v>4930</v>
      </c>
      <c r="AZ95" s="39">
        <v>4.0</v>
      </c>
      <c r="BA95" s="39" t="s">
        <v>4921</v>
      </c>
      <c r="BB95" s="39"/>
      <c r="BC95" s="39"/>
    </row>
    <row r="96" ht="18.75" customHeight="1" outlineLevel="1">
      <c r="A96" s="37" t="s">
        <v>4931</v>
      </c>
      <c r="B96" s="37" t="s">
        <v>4901</v>
      </c>
      <c r="C96" s="37">
        <v>4.0</v>
      </c>
      <c r="D96" s="37">
        <v>35.0</v>
      </c>
      <c r="E96" s="37" t="s">
        <v>4932</v>
      </c>
      <c r="M96" s="39">
        <v>10.0</v>
      </c>
      <c r="N96" s="39">
        <v>10.0</v>
      </c>
      <c r="AY96" s="37" t="s">
        <v>4933</v>
      </c>
      <c r="AZ96" s="39">
        <v>4.0</v>
      </c>
      <c r="BA96" s="39" t="s">
        <v>4924</v>
      </c>
      <c r="BB96" s="39"/>
      <c r="BC96" s="39"/>
    </row>
    <row r="97" ht="18.75" customHeight="1" outlineLevel="1">
      <c r="A97" s="37" t="s">
        <v>4934</v>
      </c>
      <c r="B97" s="37" t="s">
        <v>4901</v>
      </c>
      <c r="C97" s="37">
        <v>4.0</v>
      </c>
      <c r="D97" s="37">
        <v>35.0</v>
      </c>
      <c r="E97" s="37" t="s">
        <v>4935</v>
      </c>
      <c r="AY97" s="37" t="s">
        <v>4936</v>
      </c>
      <c r="AZ97" s="39">
        <v>4.0</v>
      </c>
      <c r="BA97" s="39" t="s">
        <v>4927</v>
      </c>
      <c r="BB97" s="39"/>
      <c r="BC97" s="39"/>
    </row>
    <row r="98" ht="18.75" customHeight="1" outlineLevel="1">
      <c r="B98" s="37" t="s">
        <v>4901</v>
      </c>
      <c r="C98" s="37">
        <f t="shared" ref="C98:C106" si="5">C95+1</f>
        <v>5</v>
      </c>
    </row>
    <row r="99" ht="18.75" customHeight="1" outlineLevel="1">
      <c r="B99" s="37" t="s">
        <v>4901</v>
      </c>
      <c r="C99" s="37">
        <f t="shared" si="5"/>
        <v>5</v>
      </c>
    </row>
    <row r="100" ht="18.75" customHeight="1" outlineLevel="1">
      <c r="B100" s="37" t="s">
        <v>4901</v>
      </c>
      <c r="C100" s="37">
        <f t="shared" si="5"/>
        <v>5</v>
      </c>
    </row>
    <row r="101" ht="18.75" customHeight="1" outlineLevel="1">
      <c r="B101" s="37" t="s">
        <v>4901</v>
      </c>
      <c r="C101" s="37">
        <f t="shared" si="5"/>
        <v>6</v>
      </c>
    </row>
    <row r="102" ht="18.75" customHeight="1" outlineLevel="1">
      <c r="B102" s="37" t="s">
        <v>4901</v>
      </c>
      <c r="C102" s="37">
        <f t="shared" si="5"/>
        <v>6</v>
      </c>
    </row>
    <row r="103" ht="18.75" customHeight="1" outlineLevel="1">
      <c r="B103" s="37" t="s">
        <v>4901</v>
      </c>
      <c r="C103" s="37">
        <f t="shared" si="5"/>
        <v>6</v>
      </c>
    </row>
    <row r="104" ht="18.75" customHeight="1" outlineLevel="1">
      <c r="B104" s="37" t="s">
        <v>4901</v>
      </c>
      <c r="C104" s="37">
        <f t="shared" si="5"/>
        <v>7</v>
      </c>
    </row>
    <row r="105" ht="18.75" customHeight="1" outlineLevel="1">
      <c r="B105" s="37" t="s">
        <v>4901</v>
      </c>
      <c r="C105" s="37">
        <f t="shared" si="5"/>
        <v>7</v>
      </c>
    </row>
    <row r="106" ht="18.75" customHeight="1" outlineLevel="1">
      <c r="B106" s="37" t="s">
        <v>4901</v>
      </c>
      <c r="C106" s="37">
        <f t="shared" si="5"/>
        <v>7</v>
      </c>
    </row>
    <row r="107" ht="18.75" customHeight="1">
      <c r="A107" s="39" t="s">
        <v>4937</v>
      </c>
      <c r="B107" s="41" t="s">
        <v>4938</v>
      </c>
      <c r="C107" s="39">
        <v>1.0</v>
      </c>
      <c r="D107" s="39">
        <v>5.0</v>
      </c>
      <c r="E107" s="41" t="s">
        <v>4939</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4940</v>
      </c>
      <c r="AZ107" s="39">
        <v>1.0</v>
      </c>
      <c r="BA107" s="39" t="s">
        <v>29</v>
      </c>
      <c r="BB107" s="39"/>
      <c r="BC107" s="39"/>
    </row>
    <row r="108" ht="18.75" customHeight="1">
      <c r="A108" s="39" t="s">
        <v>4941</v>
      </c>
      <c r="B108" s="41" t="s">
        <v>4938</v>
      </c>
      <c r="C108" s="39">
        <v>2.0</v>
      </c>
      <c r="D108" s="39">
        <v>15.0</v>
      </c>
      <c r="E108" s="39" t="s">
        <v>4942</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4943</v>
      </c>
      <c r="AZ108" s="39">
        <v>2.0</v>
      </c>
      <c r="BA108" s="39" t="s">
        <v>4940</v>
      </c>
      <c r="BB108" s="39"/>
      <c r="BC108" s="39"/>
    </row>
    <row r="109" ht="18.75" customHeight="1">
      <c r="A109" s="39" t="s">
        <v>4944</v>
      </c>
      <c r="B109" s="41" t="s">
        <v>4938</v>
      </c>
      <c r="C109" s="39">
        <v>3.0</v>
      </c>
      <c r="D109" s="39">
        <v>25.0</v>
      </c>
      <c r="E109" s="39" t="s">
        <v>4945</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4946</v>
      </c>
      <c r="AZ109" s="39">
        <v>3.0</v>
      </c>
      <c r="BA109" s="39" t="s">
        <v>4943</v>
      </c>
      <c r="BB109" s="39"/>
      <c r="BC109" s="39"/>
    </row>
    <row r="110" ht="18.75" customHeight="1">
      <c r="A110" s="39" t="s">
        <v>4947</v>
      </c>
      <c r="B110" s="41" t="s">
        <v>4938</v>
      </c>
      <c r="C110" s="39">
        <v>1.0</v>
      </c>
      <c r="D110" s="39">
        <v>5.0</v>
      </c>
      <c r="E110" s="39" t="s">
        <v>4948</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4949</v>
      </c>
      <c r="AZ110" s="39">
        <v>1.0</v>
      </c>
      <c r="BA110" s="39" t="s">
        <v>29</v>
      </c>
      <c r="BB110" s="39"/>
      <c r="BC110" s="39"/>
    </row>
    <row r="111" ht="18.75" customHeight="1">
      <c r="A111" s="39" t="s">
        <v>4950</v>
      </c>
      <c r="B111" s="41" t="s">
        <v>4938</v>
      </c>
      <c r="C111" s="39">
        <v>2.0</v>
      </c>
      <c r="D111" s="39">
        <v>15.0</v>
      </c>
      <c r="E111" s="39" t="s">
        <v>4951</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4952</v>
      </c>
      <c r="AZ111" s="39">
        <v>2.0</v>
      </c>
      <c r="BA111" s="39" t="s">
        <v>4949</v>
      </c>
      <c r="BB111" s="39"/>
      <c r="BC111" s="39"/>
    </row>
    <row r="112" ht="18.75" customHeight="1">
      <c r="A112" s="39" t="s">
        <v>4953</v>
      </c>
      <c r="B112" s="41" t="s">
        <v>4938</v>
      </c>
      <c r="C112" s="39">
        <v>3.0</v>
      </c>
      <c r="D112" s="39">
        <v>25.0</v>
      </c>
      <c r="E112" s="39" t="s">
        <v>4954</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4955</v>
      </c>
      <c r="AZ112" s="39">
        <v>3.0</v>
      </c>
      <c r="BA112" s="39" t="s">
        <v>4952</v>
      </c>
      <c r="BB112" s="39"/>
      <c r="BC112" s="39"/>
    </row>
    <row r="113" ht="18.75" customHeight="1">
      <c r="A113" s="39" t="s">
        <v>4956</v>
      </c>
      <c r="B113" s="41" t="s">
        <v>4938</v>
      </c>
      <c r="C113" s="39">
        <v>1.0</v>
      </c>
      <c r="D113" s="39">
        <v>5.0</v>
      </c>
      <c r="E113" s="39" t="s">
        <v>4957</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4958</v>
      </c>
      <c r="AZ113" s="39">
        <v>1.0</v>
      </c>
      <c r="BA113" s="39" t="s">
        <v>29</v>
      </c>
      <c r="BB113" s="39"/>
      <c r="BC113" s="39"/>
    </row>
    <row r="114" ht="18.75" customHeight="1">
      <c r="A114" s="39" t="s">
        <v>4959</v>
      </c>
      <c r="B114" s="39" t="s">
        <v>4796</v>
      </c>
      <c r="C114" s="39">
        <v>1.0</v>
      </c>
      <c r="D114" s="39">
        <v>5.0</v>
      </c>
      <c r="E114" s="39" t="s">
        <v>4960</v>
      </c>
      <c r="AY114" s="39" t="s">
        <v>4961</v>
      </c>
      <c r="AZ114" s="39">
        <v>1.0</v>
      </c>
      <c r="BB114" s="39">
        <v>5.0</v>
      </c>
      <c r="BC114" s="39">
        <v>0.0</v>
      </c>
    </row>
    <row r="115" ht="18.75" customHeight="1">
      <c r="A115" s="39" t="s">
        <v>4962</v>
      </c>
      <c r="B115" s="39" t="s">
        <v>4796</v>
      </c>
      <c r="C115" s="39">
        <v>2.0</v>
      </c>
      <c r="D115" s="39">
        <v>15.0</v>
      </c>
      <c r="E115" s="39" t="s">
        <v>4963</v>
      </c>
      <c r="AY115" s="39" t="s">
        <v>4964</v>
      </c>
      <c r="AZ115" s="39">
        <v>2.0</v>
      </c>
      <c r="BA115" s="39" t="s">
        <v>4961</v>
      </c>
      <c r="BB115" s="39">
        <v>5.0</v>
      </c>
      <c r="BC115" s="39">
        <v>0.0</v>
      </c>
    </row>
    <row r="116" ht="18.75" customHeight="1">
      <c r="A116" s="39" t="s">
        <v>4965</v>
      </c>
      <c r="B116" s="39" t="s">
        <v>4796</v>
      </c>
      <c r="C116" s="39">
        <v>3.0</v>
      </c>
      <c r="D116" s="39">
        <v>25.0</v>
      </c>
      <c r="E116" s="39" t="s">
        <v>4966</v>
      </c>
      <c r="AY116" s="39" t="s">
        <v>4967</v>
      </c>
      <c r="AZ116" s="39">
        <v>3.0</v>
      </c>
      <c r="BA116" s="39" t="s">
        <v>4964</v>
      </c>
      <c r="BB116" s="39">
        <v>5.0</v>
      </c>
      <c r="BC116" s="39">
        <v>1.0</v>
      </c>
    </row>
    <row r="117" ht="18.75" customHeight="1">
      <c r="A117" s="39" t="s">
        <v>4968</v>
      </c>
      <c r="B117" s="39" t="s">
        <v>4796</v>
      </c>
      <c r="C117" s="39">
        <v>4.0</v>
      </c>
      <c r="D117" s="39">
        <v>35.0</v>
      </c>
      <c r="E117" s="39" t="s">
        <v>4963</v>
      </c>
      <c r="AY117" s="39" t="s">
        <v>4969</v>
      </c>
      <c r="AZ117" s="39">
        <v>4.0</v>
      </c>
      <c r="BA117" s="39" t="s">
        <v>4967</v>
      </c>
      <c r="BB117" s="39">
        <v>5.0</v>
      </c>
      <c r="BC117" s="39">
        <v>0.0</v>
      </c>
    </row>
    <row r="118" ht="18.75" customHeight="1">
      <c r="A118" s="39" t="s">
        <v>4970</v>
      </c>
      <c r="B118" s="39" t="s">
        <v>4796</v>
      </c>
      <c r="C118" s="39">
        <v>5.0</v>
      </c>
      <c r="D118" s="39">
        <v>45.0</v>
      </c>
      <c r="E118" s="39" t="s">
        <v>4971</v>
      </c>
      <c r="AY118" s="39" t="s">
        <v>4972</v>
      </c>
      <c r="AZ118" s="39">
        <v>5.0</v>
      </c>
      <c r="BA118" s="39" t="s">
        <v>4969</v>
      </c>
      <c r="BB118" s="39">
        <v>5.0</v>
      </c>
      <c r="BC118" s="39">
        <v>1.0</v>
      </c>
    </row>
    <row r="119" ht="18.75" customHeight="1">
      <c r="A119" s="39" t="s">
        <v>4973</v>
      </c>
      <c r="B119" s="39" t="s">
        <v>4796</v>
      </c>
      <c r="C119" s="39">
        <v>6.0</v>
      </c>
      <c r="D119" s="39">
        <v>55.0</v>
      </c>
      <c r="E119" s="39" t="s">
        <v>4963</v>
      </c>
      <c r="AY119" s="39" t="s">
        <v>4974</v>
      </c>
      <c r="AZ119" s="39">
        <v>6.0</v>
      </c>
      <c r="BA119" s="39" t="s">
        <v>4972</v>
      </c>
      <c r="BB119" s="39">
        <v>5.0</v>
      </c>
      <c r="BC119" s="39">
        <v>0.0</v>
      </c>
    </row>
    <row r="120" ht="18.75" customHeight="1">
      <c r="A120" s="39" t="s">
        <v>4975</v>
      </c>
      <c r="B120" s="39" t="s">
        <v>4796</v>
      </c>
      <c r="C120" s="39">
        <v>7.0</v>
      </c>
      <c r="D120" s="39">
        <v>65.0</v>
      </c>
      <c r="E120" s="39" t="s">
        <v>4976</v>
      </c>
      <c r="AY120" s="39" t="s">
        <v>4977</v>
      </c>
      <c r="AZ120" s="39">
        <v>7.0</v>
      </c>
      <c r="BA120" s="39" t="s">
        <v>4974</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4978</v>
      </c>
      <c r="B1" s="11" t="s">
        <v>2</v>
      </c>
      <c r="C1" s="2" t="s">
        <v>4979</v>
      </c>
      <c r="D1" s="3" t="s">
        <v>3835</v>
      </c>
      <c r="E1" s="3" t="s">
        <v>0</v>
      </c>
      <c r="F1" s="4" t="s">
        <v>4369</v>
      </c>
      <c r="G1" s="5" t="s">
        <v>4372</v>
      </c>
      <c r="H1" s="165" t="s">
        <v>4374</v>
      </c>
      <c r="I1" s="5" t="s">
        <v>4376</v>
      </c>
      <c r="J1" s="165" t="s">
        <v>4378</v>
      </c>
      <c r="K1" s="165" t="s">
        <v>4980</v>
      </c>
      <c r="L1" s="166"/>
      <c r="M1" s="167" t="s">
        <v>849</v>
      </c>
      <c r="N1" s="167" t="s">
        <v>4981</v>
      </c>
      <c r="O1" s="167" t="s">
        <v>1492</v>
      </c>
      <c r="P1" s="167" t="s">
        <v>4982</v>
      </c>
      <c r="Q1" s="167" t="s">
        <v>4796</v>
      </c>
      <c r="R1" s="167" t="s">
        <v>4983</v>
      </c>
      <c r="S1" s="167" t="s">
        <v>284</v>
      </c>
      <c r="T1" s="167" t="s">
        <v>370</v>
      </c>
      <c r="U1" s="167" t="s">
        <v>518</v>
      </c>
      <c r="V1" s="167" t="s">
        <v>644</v>
      </c>
      <c r="W1" s="167" t="s">
        <v>783</v>
      </c>
      <c r="X1" s="167" t="s">
        <v>716</v>
      </c>
      <c r="Y1" s="167"/>
      <c r="Z1" s="167" t="s">
        <v>4984</v>
      </c>
      <c r="AA1" s="167" t="s">
        <v>1490</v>
      </c>
      <c r="AB1" s="167" t="s">
        <v>4985</v>
      </c>
      <c r="AC1" s="167" t="s">
        <v>4986</v>
      </c>
      <c r="AD1" s="167" t="s">
        <v>4987</v>
      </c>
      <c r="AE1" s="167" t="s">
        <v>4988</v>
      </c>
      <c r="AF1" s="167" t="s">
        <v>4989</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4990</v>
      </c>
      <c r="BT1" s="48" t="s">
        <v>2587</v>
      </c>
      <c r="BU1" s="48" t="s">
        <v>2588</v>
      </c>
      <c r="BV1" s="48" t="s">
        <v>2589</v>
      </c>
      <c r="BW1" s="48" t="s">
        <v>2590</v>
      </c>
      <c r="BX1" s="48" t="s">
        <v>2591</v>
      </c>
      <c r="BY1" s="48" t="s">
        <v>2592</v>
      </c>
      <c r="BZ1" s="168" t="s">
        <v>4991</v>
      </c>
      <c r="CA1" s="168" t="s">
        <v>4992</v>
      </c>
      <c r="CB1" s="168" t="s">
        <v>4993</v>
      </c>
      <c r="CC1" s="168" t="s">
        <v>8</v>
      </c>
      <c r="CD1" s="168" t="s">
        <v>4360</v>
      </c>
      <c r="CE1" s="168" t="s">
        <v>4994</v>
      </c>
      <c r="CF1" s="168" t="s">
        <v>4995</v>
      </c>
      <c r="CG1" s="168" t="s">
        <v>4996</v>
      </c>
      <c r="CH1" s="168" t="s">
        <v>4997</v>
      </c>
      <c r="CI1" s="168" t="s">
        <v>4998</v>
      </c>
      <c r="CJ1" s="168" t="s">
        <v>4999</v>
      </c>
    </row>
    <row r="2" ht="18.75" customHeight="1">
      <c r="A2" s="11"/>
      <c r="B2" s="11" t="s">
        <v>5000</v>
      </c>
      <c r="C2" s="2"/>
      <c r="D2" s="3"/>
      <c r="E2" s="3"/>
      <c r="F2" s="169"/>
      <c r="G2" s="165"/>
      <c r="H2" s="165"/>
      <c r="I2" s="165"/>
      <c r="J2" s="165"/>
      <c r="K2" s="165"/>
      <c r="L2" s="166"/>
      <c r="M2" s="167"/>
      <c r="N2" s="167"/>
      <c r="O2" s="167"/>
      <c r="P2" s="167"/>
      <c r="Q2" s="167"/>
      <c r="R2" s="167"/>
      <c r="S2" s="167"/>
      <c r="T2" s="167"/>
      <c r="U2" s="167"/>
      <c r="V2" s="167"/>
      <c r="W2" s="167"/>
      <c r="X2" s="167"/>
      <c r="Y2" s="167"/>
      <c r="Z2" s="167"/>
      <c r="AA2" s="167"/>
      <c r="AB2" s="167"/>
      <c r="AC2" s="167"/>
      <c r="AD2" s="167"/>
      <c r="AE2" s="167"/>
      <c r="AF2" s="167"/>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68"/>
      <c r="CA2" s="168"/>
      <c r="CB2" s="168"/>
      <c r="CC2" s="168"/>
      <c r="CD2" s="168"/>
      <c r="CE2" s="168"/>
      <c r="CF2" s="168"/>
      <c r="CG2" s="168"/>
      <c r="CH2" s="168"/>
      <c r="CI2" s="168"/>
      <c r="CJ2" s="168"/>
    </row>
    <row r="3" ht="18.75" customHeight="1" outlineLevel="1">
      <c r="A3" s="37" t="str">
        <f t="shared" ref="A3:A5" si="1">"炎付与"&amp;B3</f>
        <v>炎付与Ⅰ</v>
      </c>
      <c r="B3" s="37" t="s">
        <v>5001</v>
      </c>
      <c r="C3" s="37" t="s">
        <v>3318</v>
      </c>
      <c r="E3" s="37">
        <f t="shared" ref="E3:E20" si="2">MAX(F3:K3)</f>
        <v>2</v>
      </c>
      <c r="G3" s="37">
        <v>2.0</v>
      </c>
      <c r="S3" s="37">
        <f t="shared" ref="S3:S5" si="3">$G3*15</f>
        <v>30</v>
      </c>
    </row>
    <row r="4" ht="18.75" customHeight="1" outlineLevel="1">
      <c r="A4" s="37" t="str">
        <f t="shared" si="1"/>
        <v>炎付与Ⅱ</v>
      </c>
      <c r="B4" s="37" t="s">
        <v>5002</v>
      </c>
      <c r="C4" s="37" t="s">
        <v>3318</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5003</v>
      </c>
      <c r="C5" s="37" t="s">
        <v>3318</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5001</v>
      </c>
      <c r="C6" s="37" t="s">
        <v>3318</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5002</v>
      </c>
      <c r="C7" s="37" t="s">
        <v>3318</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5003</v>
      </c>
      <c r="C8" s="37" t="s">
        <v>3318</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5001</v>
      </c>
      <c r="C9" s="37" t="s">
        <v>3318</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5002</v>
      </c>
      <c r="C10" s="37" t="s">
        <v>3318</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5003</v>
      </c>
      <c r="C11" s="37" t="s">
        <v>3318</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5001</v>
      </c>
      <c r="C12" s="37" t="s">
        <v>3318</v>
      </c>
      <c r="E12" s="37">
        <f t="shared" si="2"/>
        <v>2</v>
      </c>
      <c r="G12" s="37">
        <v>2.0</v>
      </c>
      <c r="V12" s="37">
        <f t="shared" ref="V12:V14" si="9">$G12*15</f>
        <v>30</v>
      </c>
    </row>
    <row r="13" ht="18.75" customHeight="1" outlineLevel="1">
      <c r="A13" s="37" t="str">
        <f t="shared" si="8"/>
        <v>毒付与Ⅱ</v>
      </c>
      <c r="B13" s="37" t="s">
        <v>5002</v>
      </c>
      <c r="C13" s="37" t="s">
        <v>3318</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5003</v>
      </c>
      <c r="C14" s="37" t="s">
        <v>3318</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5001</v>
      </c>
      <c r="C15" s="37" t="s">
        <v>3318</v>
      </c>
      <c r="E15" s="37">
        <f t="shared" si="2"/>
        <v>2</v>
      </c>
      <c r="H15" s="37">
        <v>2.0</v>
      </c>
      <c r="W15" s="37">
        <f t="shared" ref="W15:W17" si="11">$H15*15</f>
        <v>30</v>
      </c>
    </row>
    <row r="16" ht="18.75" customHeight="1" outlineLevel="1">
      <c r="A16" s="37" t="str">
        <f t="shared" si="10"/>
        <v>光付与Ⅱ</v>
      </c>
      <c r="B16" s="37" t="s">
        <v>5002</v>
      </c>
      <c r="C16" s="37" t="s">
        <v>3318</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5003</v>
      </c>
      <c r="C17" s="37" t="s">
        <v>3318</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5001</v>
      </c>
      <c r="C18" s="37" t="s">
        <v>3318</v>
      </c>
      <c r="E18" s="37">
        <f t="shared" si="2"/>
        <v>2</v>
      </c>
      <c r="G18" s="37">
        <v>2.0</v>
      </c>
      <c r="X18" s="37">
        <f t="shared" ref="X18:X20" si="13">$G18*15</f>
        <v>30</v>
      </c>
    </row>
    <row r="19" ht="18.75" customHeight="1" outlineLevel="1">
      <c r="A19" s="37" t="str">
        <f t="shared" si="12"/>
        <v>闇付与Ⅱ</v>
      </c>
      <c r="B19" s="37" t="s">
        <v>5002</v>
      </c>
      <c r="C19" s="37" t="s">
        <v>3318</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5003</v>
      </c>
      <c r="C20" s="37" t="s">
        <v>3318</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5004</v>
      </c>
      <c r="C22" s="37" t="s">
        <v>5005</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5006</v>
      </c>
      <c r="C23" s="37" t="s">
        <v>5005</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5007</v>
      </c>
      <c r="C24" s="37" t="s">
        <v>5005</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5008</v>
      </c>
      <c r="C25" s="37" t="s">
        <v>5009</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5010</v>
      </c>
      <c r="C26" s="37" t="s">
        <v>5009</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5011</v>
      </c>
      <c r="C27" s="37" t="s">
        <v>5009</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5012</v>
      </c>
      <c r="C28" s="37" t="s">
        <v>5005</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5013</v>
      </c>
      <c r="C29" s="37" t="s">
        <v>5005</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5014</v>
      </c>
      <c r="C30" s="37" t="s">
        <v>5005</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5015</v>
      </c>
      <c r="C31" s="37" t="s">
        <v>5016</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5017</v>
      </c>
      <c r="C32" s="37" t="s">
        <v>5016</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5018</v>
      </c>
      <c r="C33" s="37" t="s">
        <v>5016</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5019</v>
      </c>
      <c r="C34" s="37" t="s">
        <v>5020</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5021</v>
      </c>
      <c r="C35" s="37" t="s">
        <v>5020</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5022</v>
      </c>
      <c r="C36" s="37" t="s">
        <v>5020</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5023</v>
      </c>
      <c r="C37" s="37" t="s">
        <v>2793</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5024</v>
      </c>
      <c r="C38" s="37" t="s">
        <v>2793</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5025</v>
      </c>
      <c r="C39" s="37" t="s">
        <v>2793</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5026</v>
      </c>
      <c r="C40" s="37" t="s">
        <v>5027</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5028</v>
      </c>
      <c r="C41" s="37" t="s">
        <v>5027</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5029</v>
      </c>
      <c r="C42" s="37" t="s">
        <v>5027</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2.38"/>
    <col customWidth="1" min="27" max="33" width="17.63"/>
    <col customWidth="1" min="34" max="35" width="32.63"/>
    <col customWidth="1" min="36" max="36" width="2.38"/>
    <col customWidth="1" min="37" max="38" width="20.13"/>
    <col customWidth="1" min="39" max="40" width="35.13"/>
  </cols>
  <sheetData>
    <row r="1">
      <c r="A1" s="113" t="s">
        <v>5030</v>
      </c>
      <c r="B1" s="113" t="s">
        <v>4461</v>
      </c>
      <c r="C1" s="113" t="s">
        <v>4463</v>
      </c>
      <c r="D1" s="113" t="s">
        <v>4465</v>
      </c>
      <c r="E1" s="113" t="s">
        <v>3317</v>
      </c>
      <c r="F1" s="170" t="s">
        <v>4369</v>
      </c>
      <c r="G1" s="170" t="s">
        <v>4372</v>
      </c>
      <c r="H1" s="170" t="s">
        <v>4374</v>
      </c>
      <c r="I1" s="170" t="s">
        <v>4376</v>
      </c>
      <c r="J1" s="170" t="s">
        <v>4378</v>
      </c>
      <c r="K1" s="170" t="s">
        <v>2593</v>
      </c>
      <c r="L1" s="170" t="s">
        <v>1921</v>
      </c>
      <c r="M1" s="170" t="s">
        <v>2594</v>
      </c>
      <c r="N1" s="170" t="s">
        <v>2595</v>
      </c>
      <c r="O1" s="170" t="s">
        <v>2596</v>
      </c>
      <c r="P1" s="170" t="s">
        <v>1139</v>
      </c>
      <c r="Q1" s="170" t="s">
        <v>2598</v>
      </c>
      <c r="R1" s="170" t="s">
        <v>2599</v>
      </c>
      <c r="S1" s="170" t="s">
        <v>2600</v>
      </c>
      <c r="T1" s="170" t="s">
        <v>2601</v>
      </c>
      <c r="U1" s="170" t="s">
        <v>2602</v>
      </c>
      <c r="V1" s="170" t="s">
        <v>2603</v>
      </c>
      <c r="W1" s="170" t="s">
        <v>2604</v>
      </c>
      <c r="X1" s="170" t="s">
        <v>2429</v>
      </c>
      <c r="Y1" s="170" t="s">
        <v>1179</v>
      </c>
      <c r="AA1" s="171" t="s">
        <v>5030</v>
      </c>
      <c r="AB1" s="172" t="s">
        <v>4461</v>
      </c>
      <c r="AC1" s="172" t="s">
        <v>4463</v>
      </c>
      <c r="AD1" s="172" t="s">
        <v>4403</v>
      </c>
      <c r="AE1" s="172" t="s">
        <v>5031</v>
      </c>
      <c r="AF1" s="172" t="s">
        <v>5032</v>
      </c>
      <c r="AG1" s="172" t="s">
        <v>5033</v>
      </c>
      <c r="AH1" s="172" t="s">
        <v>4465</v>
      </c>
      <c r="AI1" s="172" t="s">
        <v>3317</v>
      </c>
      <c r="AJ1" s="109"/>
      <c r="AK1" s="172" t="s">
        <v>4461</v>
      </c>
      <c r="AL1" s="172" t="s">
        <v>4463</v>
      </c>
      <c r="AM1" s="172" t="s">
        <v>4465</v>
      </c>
      <c r="AN1" s="172" t="s">
        <v>3317</v>
      </c>
    </row>
    <row r="2">
      <c r="F2" s="173" t="s">
        <v>5034</v>
      </c>
      <c r="G2" s="173" t="s">
        <v>5034</v>
      </c>
      <c r="H2" s="173" t="s">
        <v>5034</v>
      </c>
      <c r="I2" s="173" t="s">
        <v>5034</v>
      </c>
      <c r="J2" s="173" t="s">
        <v>5034</v>
      </c>
      <c r="K2" s="49"/>
      <c r="L2" s="49"/>
      <c r="M2" s="49"/>
      <c r="N2" s="49"/>
      <c r="O2" s="49"/>
      <c r="P2" s="51"/>
      <c r="Q2" s="51"/>
      <c r="R2" s="52"/>
      <c r="S2" s="52"/>
      <c r="T2" s="52"/>
      <c r="U2" s="52"/>
      <c r="V2" s="53"/>
      <c r="W2" s="53"/>
      <c r="X2" s="53"/>
      <c r="Y2" s="53"/>
      <c r="AA2" s="174" t="s">
        <v>5035</v>
      </c>
      <c r="AB2" s="109" t="s">
        <v>5036</v>
      </c>
      <c r="AC2" s="109" t="s">
        <v>5037</v>
      </c>
      <c r="AD2" s="175">
        <v>-0.15</v>
      </c>
      <c r="AE2" s="109"/>
      <c r="AF2" s="109"/>
      <c r="AG2" s="109"/>
      <c r="AH2" s="109" t="s">
        <v>5038</v>
      </c>
      <c r="AI2" s="109" t="s">
        <v>4534</v>
      </c>
      <c r="AJ2" s="109"/>
      <c r="AK2" s="109" t="s">
        <v>5039</v>
      </c>
      <c r="AL2" s="109" t="s">
        <v>5040</v>
      </c>
      <c r="AM2" s="109" t="s">
        <v>5041</v>
      </c>
      <c r="AN2" s="109" t="s">
        <v>4534</v>
      </c>
    </row>
    <row r="3">
      <c r="A3" s="37" t="s">
        <v>1179</v>
      </c>
      <c r="B3" s="37" t="s">
        <v>5042</v>
      </c>
      <c r="C3" s="37" t="s">
        <v>5043</v>
      </c>
      <c r="D3" s="37" t="s">
        <v>5044</v>
      </c>
      <c r="E3" s="37" t="s">
        <v>5045</v>
      </c>
      <c r="AA3" s="174" t="s">
        <v>5035</v>
      </c>
      <c r="AB3" s="109" t="s">
        <v>5046</v>
      </c>
      <c r="AC3" s="109" t="s">
        <v>5037</v>
      </c>
      <c r="AD3" s="109"/>
      <c r="AE3" s="109"/>
      <c r="AF3" s="109"/>
      <c r="AG3" s="109"/>
      <c r="AH3" s="109" t="s">
        <v>5038</v>
      </c>
      <c r="AI3" s="109" t="s">
        <v>4534</v>
      </c>
      <c r="AJ3" s="109"/>
      <c r="AK3" s="109" t="s">
        <v>5047</v>
      </c>
      <c r="AL3" s="109" t="s">
        <v>5040</v>
      </c>
      <c r="AM3" s="109" t="s">
        <v>5041</v>
      </c>
      <c r="AN3" s="109" t="s">
        <v>4534</v>
      </c>
    </row>
    <row r="4">
      <c r="A4" s="37" t="s">
        <v>1179</v>
      </c>
      <c r="B4" s="37" t="s">
        <v>5048</v>
      </c>
      <c r="C4" s="37" t="s">
        <v>5043</v>
      </c>
      <c r="D4" s="37" t="s">
        <v>5044</v>
      </c>
      <c r="E4" s="37" t="s">
        <v>5045</v>
      </c>
      <c r="AA4" s="174" t="s">
        <v>5035</v>
      </c>
      <c r="AB4" s="109" t="s">
        <v>5049</v>
      </c>
      <c r="AC4" s="109" t="s">
        <v>5037</v>
      </c>
      <c r="AD4" s="109"/>
      <c r="AE4" s="109"/>
      <c r="AF4" s="109"/>
      <c r="AG4" s="109"/>
      <c r="AH4" s="109" t="s">
        <v>5038</v>
      </c>
      <c r="AI4" s="109" t="s">
        <v>4534</v>
      </c>
      <c r="AJ4" s="109"/>
      <c r="AK4" s="109" t="s">
        <v>5050</v>
      </c>
      <c r="AL4" s="109" t="s">
        <v>5040</v>
      </c>
      <c r="AM4" s="109" t="s">
        <v>5041</v>
      </c>
      <c r="AN4" s="109" t="s">
        <v>4534</v>
      </c>
    </row>
    <row r="5">
      <c r="A5" s="37" t="s">
        <v>1179</v>
      </c>
      <c r="B5" s="37" t="s">
        <v>5051</v>
      </c>
      <c r="C5" s="37" t="s">
        <v>5043</v>
      </c>
      <c r="D5" s="37" t="s">
        <v>5044</v>
      </c>
      <c r="E5" s="37" t="s">
        <v>5045</v>
      </c>
      <c r="AA5" s="174" t="s">
        <v>5035</v>
      </c>
      <c r="AB5" s="109" t="s">
        <v>5052</v>
      </c>
      <c r="AC5" s="109" t="s">
        <v>5037</v>
      </c>
      <c r="AD5" s="109"/>
      <c r="AE5" s="109"/>
      <c r="AF5" s="109"/>
      <c r="AG5" s="109"/>
      <c r="AH5" s="109" t="s">
        <v>5038</v>
      </c>
      <c r="AI5" s="109" t="s">
        <v>4534</v>
      </c>
      <c r="AJ5" s="109"/>
      <c r="AK5" s="109" t="s">
        <v>5053</v>
      </c>
      <c r="AL5" s="109" t="s">
        <v>5040</v>
      </c>
      <c r="AM5" s="109" t="s">
        <v>5041</v>
      </c>
      <c r="AN5" s="109" t="s">
        <v>4534</v>
      </c>
    </row>
    <row r="6">
      <c r="A6" s="37" t="s">
        <v>1179</v>
      </c>
      <c r="B6" s="37" t="s">
        <v>5054</v>
      </c>
      <c r="C6" s="37" t="s">
        <v>5043</v>
      </c>
      <c r="D6" s="37" t="s">
        <v>5044</v>
      </c>
      <c r="E6" s="37" t="s">
        <v>5045</v>
      </c>
      <c r="AA6" s="174" t="s">
        <v>5035</v>
      </c>
      <c r="AB6" s="109" t="s">
        <v>5055</v>
      </c>
      <c r="AC6" s="109" t="s">
        <v>5037</v>
      </c>
      <c r="AD6" s="109"/>
      <c r="AE6" s="109"/>
      <c r="AF6" s="109"/>
      <c r="AG6" s="109"/>
      <c r="AH6" s="109" t="s">
        <v>5038</v>
      </c>
      <c r="AI6" s="109" t="s">
        <v>4534</v>
      </c>
      <c r="AJ6" s="109"/>
      <c r="AK6" s="109"/>
      <c r="AL6" s="109"/>
      <c r="AM6" s="109"/>
      <c r="AN6" s="109"/>
    </row>
    <row r="7">
      <c r="A7" s="37" t="s">
        <v>1179</v>
      </c>
      <c r="B7" s="37" t="s">
        <v>5056</v>
      </c>
      <c r="C7" s="37" t="s">
        <v>5043</v>
      </c>
      <c r="D7" s="37" t="s">
        <v>5044</v>
      </c>
      <c r="E7" s="37" t="s">
        <v>5045</v>
      </c>
      <c r="AA7" s="109"/>
      <c r="AB7" s="109"/>
      <c r="AC7" s="109"/>
      <c r="AD7" s="109"/>
      <c r="AE7" s="109"/>
      <c r="AF7" s="109"/>
      <c r="AG7" s="109"/>
      <c r="AH7" s="109"/>
      <c r="AI7" s="109"/>
      <c r="AJ7" s="109"/>
      <c r="AK7" s="109"/>
      <c r="AL7" s="109"/>
      <c r="AM7" s="109"/>
      <c r="AN7" s="109"/>
    </row>
    <row r="8">
      <c r="A8" s="37" t="s">
        <v>1179</v>
      </c>
      <c r="B8" s="37" t="s">
        <v>5057</v>
      </c>
      <c r="C8" s="37" t="s">
        <v>5043</v>
      </c>
      <c r="D8" s="37" t="s">
        <v>5044</v>
      </c>
      <c r="E8" s="37" t="s">
        <v>5045</v>
      </c>
      <c r="AA8" s="109"/>
      <c r="AB8" s="109"/>
      <c r="AC8" s="109"/>
      <c r="AD8" s="109"/>
      <c r="AE8" s="109"/>
      <c r="AF8" s="109"/>
      <c r="AG8" s="109"/>
      <c r="AH8" s="109"/>
      <c r="AI8" s="109"/>
      <c r="AJ8" s="109"/>
      <c r="AK8" s="109"/>
      <c r="AL8" s="109"/>
      <c r="AM8" s="109"/>
      <c r="AN8" s="109"/>
    </row>
    <row r="9">
      <c r="A9" s="37" t="s">
        <v>1179</v>
      </c>
      <c r="B9" s="37" t="s">
        <v>5058</v>
      </c>
      <c r="C9" s="37" t="s">
        <v>5043</v>
      </c>
      <c r="D9" s="37" t="s">
        <v>5044</v>
      </c>
      <c r="E9" s="37" t="s">
        <v>5045</v>
      </c>
      <c r="AA9" s="109"/>
      <c r="AB9" s="109"/>
      <c r="AC9" s="109"/>
      <c r="AD9" s="109"/>
      <c r="AE9" s="109"/>
      <c r="AF9" s="109"/>
      <c r="AG9" s="109"/>
      <c r="AH9" s="109"/>
      <c r="AI9" s="109"/>
      <c r="AJ9" s="109"/>
      <c r="AK9" s="109"/>
      <c r="AL9" s="109"/>
      <c r="AM9" s="109"/>
      <c r="AN9" s="109"/>
    </row>
    <row r="10">
      <c r="A10" s="37" t="s">
        <v>1179</v>
      </c>
      <c r="B10" s="37" t="s">
        <v>5059</v>
      </c>
      <c r="C10" s="37" t="s">
        <v>5043</v>
      </c>
      <c r="D10" s="37" t="s">
        <v>5044</v>
      </c>
      <c r="E10" s="37" t="s">
        <v>5045</v>
      </c>
      <c r="AA10" s="109"/>
      <c r="AB10" s="109"/>
      <c r="AC10" s="109"/>
      <c r="AD10" s="109"/>
      <c r="AE10" s="109"/>
      <c r="AF10" s="109"/>
      <c r="AG10" s="109"/>
      <c r="AH10" s="109"/>
      <c r="AI10" s="109"/>
      <c r="AJ10" s="109"/>
      <c r="AK10" s="109"/>
      <c r="AL10" s="109"/>
      <c r="AM10" s="109"/>
      <c r="AN10" s="109"/>
    </row>
    <row r="11">
      <c r="A11" s="37" t="s">
        <v>1179</v>
      </c>
      <c r="B11" s="37" t="s">
        <v>5060</v>
      </c>
      <c r="C11" s="37" t="s">
        <v>5043</v>
      </c>
      <c r="D11" s="37" t="s">
        <v>5044</v>
      </c>
      <c r="E11" s="37" t="s">
        <v>5045</v>
      </c>
      <c r="AA11" s="109"/>
      <c r="AB11" s="109"/>
      <c r="AC11" s="109"/>
      <c r="AD11" s="109"/>
      <c r="AE11" s="109"/>
      <c r="AF11" s="109"/>
      <c r="AG11" s="109"/>
      <c r="AH11" s="109"/>
      <c r="AI11" s="109"/>
      <c r="AJ11" s="109"/>
      <c r="AK11" s="109"/>
      <c r="AL11" s="109"/>
      <c r="AM11" s="109"/>
      <c r="AN11" s="109"/>
    </row>
    <row r="12">
      <c r="A12" s="37" t="s">
        <v>1179</v>
      </c>
      <c r="B12" s="37" t="s">
        <v>5061</v>
      </c>
      <c r="C12" s="37" t="s">
        <v>5043</v>
      </c>
      <c r="D12" s="37" t="s">
        <v>5044</v>
      </c>
      <c r="E12" s="37" t="s">
        <v>5045</v>
      </c>
      <c r="AA12" s="109"/>
      <c r="AB12" s="109"/>
      <c r="AC12" s="109"/>
      <c r="AD12" s="109"/>
      <c r="AE12" s="109"/>
      <c r="AF12" s="109"/>
      <c r="AG12" s="109"/>
      <c r="AH12" s="109"/>
      <c r="AI12" s="109"/>
      <c r="AJ12" s="109"/>
      <c r="AK12" s="109"/>
      <c r="AL12" s="109"/>
      <c r="AM12" s="109"/>
      <c r="AN12" s="109"/>
    </row>
    <row r="13">
      <c r="A13" s="37" t="s">
        <v>1179</v>
      </c>
      <c r="B13" s="37" t="s">
        <v>5062</v>
      </c>
      <c r="C13" s="37" t="s">
        <v>5043</v>
      </c>
      <c r="D13" s="37" t="s">
        <v>5044</v>
      </c>
      <c r="E13" s="37" t="s">
        <v>5045</v>
      </c>
      <c r="AA13" s="109"/>
      <c r="AB13" s="109"/>
      <c r="AC13" s="109"/>
      <c r="AD13" s="109"/>
      <c r="AE13" s="109"/>
      <c r="AF13" s="109"/>
      <c r="AG13" s="109"/>
      <c r="AH13" s="109"/>
      <c r="AI13" s="109"/>
      <c r="AJ13" s="109"/>
      <c r="AK13" s="109"/>
      <c r="AL13" s="109"/>
      <c r="AM13" s="109"/>
      <c r="AN13" s="109"/>
    </row>
    <row r="14">
      <c r="A14" s="37" t="s">
        <v>1179</v>
      </c>
      <c r="B14" s="37" t="s">
        <v>5063</v>
      </c>
      <c r="C14" s="37" t="s">
        <v>5043</v>
      </c>
      <c r="D14" s="37" t="s">
        <v>5044</v>
      </c>
      <c r="E14" s="37" t="s">
        <v>5045</v>
      </c>
      <c r="AA14" s="109"/>
      <c r="AB14" s="109"/>
      <c r="AC14" s="109"/>
      <c r="AD14" s="109"/>
      <c r="AE14" s="109"/>
      <c r="AF14" s="109"/>
      <c r="AG14" s="109"/>
      <c r="AH14" s="109"/>
      <c r="AI14" s="109"/>
      <c r="AJ14" s="109"/>
      <c r="AK14" s="109"/>
      <c r="AL14" s="109"/>
      <c r="AM14" s="109"/>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5064</v>
      </c>
      <c r="C1" s="2" t="s">
        <v>2623</v>
      </c>
      <c r="D1" s="2" t="s">
        <v>2624</v>
      </c>
      <c r="E1" s="2" t="s">
        <v>2625</v>
      </c>
      <c r="F1" s="2" t="s">
        <v>2626</v>
      </c>
      <c r="G1" s="147" t="s">
        <v>3192</v>
      </c>
      <c r="H1" s="147" t="s">
        <v>3193</v>
      </c>
      <c r="I1" s="147" t="s">
        <v>3194</v>
      </c>
      <c r="J1" s="147" t="s">
        <v>3195</v>
      </c>
      <c r="K1" s="148" t="s">
        <v>3196</v>
      </c>
      <c r="L1" s="148" t="s">
        <v>3197</v>
      </c>
      <c r="M1" s="148" t="s">
        <v>3198</v>
      </c>
      <c r="N1" s="148" t="s">
        <v>3199</v>
      </c>
      <c r="O1" s="74" t="s">
        <v>3200</v>
      </c>
      <c r="P1" s="74" t="s">
        <v>3201</v>
      </c>
      <c r="Q1" s="74" t="s">
        <v>3202</v>
      </c>
      <c r="R1" s="74" t="s">
        <v>5065</v>
      </c>
      <c r="S1" s="149" t="s">
        <v>2628</v>
      </c>
      <c r="T1" s="149" t="s">
        <v>2627</v>
      </c>
      <c r="U1" s="74" t="s">
        <v>5066</v>
      </c>
      <c r="V1" s="74" t="s">
        <v>5067</v>
      </c>
      <c r="W1" s="2" t="s">
        <v>5068</v>
      </c>
      <c r="X1" s="2" t="s">
        <v>5069</v>
      </c>
      <c r="Y1" s="2" t="s">
        <v>5070</v>
      </c>
      <c r="Z1" s="2" t="s">
        <v>5071</v>
      </c>
    </row>
    <row r="2" ht="18.75" customHeight="1">
      <c r="A2" s="64">
        <v>1.0</v>
      </c>
      <c r="B2" s="64" t="s">
        <v>5072</v>
      </c>
      <c r="C2" s="64"/>
      <c r="D2" s="64"/>
      <c r="E2" s="64"/>
      <c r="F2" s="64"/>
      <c r="G2" s="64">
        <v>10.0</v>
      </c>
      <c r="H2" s="64">
        <v>0.0</v>
      </c>
      <c r="I2" s="64">
        <v>0.0</v>
      </c>
      <c r="J2" s="64"/>
      <c r="K2" s="64">
        <v>10.0</v>
      </c>
      <c r="U2" s="118">
        <v>1.0</v>
      </c>
      <c r="V2" s="118">
        <v>0.0</v>
      </c>
      <c r="W2" s="37" t="s">
        <v>5073</v>
      </c>
      <c r="X2" s="37" t="s">
        <v>5074</v>
      </c>
      <c r="Y2" s="37" t="s">
        <v>5075</v>
      </c>
      <c r="Z2" s="37">
        <v>1.0</v>
      </c>
    </row>
    <row r="3" ht="18.75" customHeight="1">
      <c r="A3" s="64">
        <v>2.0</v>
      </c>
      <c r="B3" s="64" t="s">
        <v>5072</v>
      </c>
      <c r="C3" s="64"/>
      <c r="D3" s="64"/>
      <c r="E3" s="64"/>
      <c r="F3" s="64"/>
      <c r="G3" s="64">
        <v>20.0</v>
      </c>
      <c r="H3" s="64">
        <v>0.0</v>
      </c>
      <c r="I3" s="64">
        <v>0.0</v>
      </c>
      <c r="J3" s="64"/>
      <c r="K3" s="64">
        <v>20.0</v>
      </c>
      <c r="U3" s="118">
        <v>1.0</v>
      </c>
      <c r="V3" s="118">
        <v>0.15</v>
      </c>
      <c r="W3" s="37" t="s">
        <v>5076</v>
      </c>
      <c r="X3" s="37" t="s">
        <v>5077</v>
      </c>
      <c r="Y3" s="37" t="s">
        <v>5078</v>
      </c>
      <c r="Z3" s="37">
        <v>1.25</v>
      </c>
    </row>
    <row r="4" ht="18.75" customHeight="1">
      <c r="A4" s="64">
        <v>3.0</v>
      </c>
      <c r="B4" s="64" t="s">
        <v>5072</v>
      </c>
      <c r="C4" s="64"/>
      <c r="D4" s="64"/>
      <c r="E4" s="64"/>
      <c r="F4" s="64"/>
      <c r="G4" s="64">
        <v>30.0</v>
      </c>
      <c r="H4" s="86">
        <v>1.0</v>
      </c>
      <c r="I4" s="64"/>
      <c r="J4" s="64"/>
      <c r="K4" s="64">
        <v>30.0</v>
      </c>
      <c r="L4" s="86">
        <v>1.0</v>
      </c>
      <c r="U4" s="118">
        <v>1.0</v>
      </c>
      <c r="V4" s="118">
        <v>0.3</v>
      </c>
      <c r="W4" s="37" t="s">
        <v>5079</v>
      </c>
      <c r="X4" s="37" t="s">
        <v>4523</v>
      </c>
      <c r="Y4" s="37" t="s">
        <v>5080</v>
      </c>
      <c r="Z4" s="37">
        <v>1.5</v>
      </c>
    </row>
    <row r="5" ht="18.75" customHeight="1">
      <c r="A5" s="64">
        <v>4.0</v>
      </c>
      <c r="B5" s="64" t="s">
        <v>5072</v>
      </c>
      <c r="C5" s="64"/>
      <c r="D5" s="64"/>
      <c r="E5" s="64"/>
      <c r="F5" s="64"/>
      <c r="G5" s="64">
        <v>40.0</v>
      </c>
      <c r="H5" s="86">
        <v>2.0</v>
      </c>
      <c r="I5" s="86">
        <v>1.0</v>
      </c>
      <c r="J5" s="64"/>
      <c r="K5" s="64">
        <v>40.0</v>
      </c>
      <c r="L5" s="86">
        <v>1.0</v>
      </c>
      <c r="M5" s="41">
        <v>1.0</v>
      </c>
      <c r="N5" s="39">
        <v>0.0</v>
      </c>
      <c r="U5" s="118">
        <v>1.0</v>
      </c>
      <c r="V5" s="118">
        <v>0.5</v>
      </c>
      <c r="W5" s="37" t="s">
        <v>5081</v>
      </c>
      <c r="X5" s="37" t="s">
        <v>5082</v>
      </c>
      <c r="Y5" s="37" t="s">
        <v>5083</v>
      </c>
      <c r="Z5" s="37">
        <v>1.75</v>
      </c>
    </row>
    <row r="6" ht="18.75" customHeight="1">
      <c r="A6" s="64">
        <v>5.0</v>
      </c>
      <c r="B6" s="64" t="s">
        <v>5072</v>
      </c>
      <c r="C6" s="64"/>
      <c r="D6" s="64"/>
      <c r="E6" s="64"/>
      <c r="F6" s="64"/>
      <c r="G6" s="64">
        <v>50.0</v>
      </c>
      <c r="H6" s="86">
        <v>2.0</v>
      </c>
      <c r="I6" s="86">
        <v>2.0</v>
      </c>
      <c r="J6" s="64"/>
      <c r="K6" s="64">
        <v>50.0</v>
      </c>
      <c r="L6" s="86">
        <v>2.0</v>
      </c>
      <c r="M6" s="86">
        <v>1.0</v>
      </c>
      <c r="N6" s="86">
        <v>1.0</v>
      </c>
      <c r="O6" s="37">
        <v>20.0</v>
      </c>
      <c r="P6" s="39">
        <v>0.0</v>
      </c>
      <c r="Q6" s="39">
        <v>0.0</v>
      </c>
      <c r="R6" s="37" t="s">
        <v>5084</v>
      </c>
      <c r="U6" s="118">
        <v>1.0</v>
      </c>
      <c r="V6" s="118">
        <v>0.65</v>
      </c>
      <c r="W6" s="37" t="s">
        <v>5085</v>
      </c>
      <c r="X6" s="37" t="s">
        <v>5086</v>
      </c>
      <c r="Y6" s="37" t="s">
        <v>5087</v>
      </c>
      <c r="Z6" s="37">
        <v>2.0</v>
      </c>
    </row>
    <row r="7" ht="18.75" customHeight="1">
      <c r="A7" s="64">
        <v>6.0</v>
      </c>
      <c r="B7" s="64" t="s">
        <v>5072</v>
      </c>
      <c r="C7" s="64"/>
      <c r="D7" s="64"/>
      <c r="E7" s="64"/>
      <c r="F7" s="64"/>
      <c r="G7" s="64">
        <f t="shared" ref="G7:G8" si="1">G6*2</f>
        <v>100</v>
      </c>
      <c r="H7" s="86">
        <v>3.0</v>
      </c>
      <c r="I7" s="86">
        <v>3.0</v>
      </c>
      <c r="J7" s="64"/>
      <c r="K7" s="64">
        <f t="shared" ref="K7:K8" si="2">K6*2</f>
        <v>100</v>
      </c>
      <c r="L7" s="86">
        <v>3.0</v>
      </c>
      <c r="M7" s="86">
        <v>2.0</v>
      </c>
      <c r="N7" s="86">
        <v>1.0</v>
      </c>
      <c r="O7" s="37">
        <v>40.0</v>
      </c>
      <c r="P7" s="39">
        <v>1.0</v>
      </c>
      <c r="Q7" s="39">
        <v>0.0</v>
      </c>
      <c r="R7" s="37" t="s">
        <v>5084</v>
      </c>
      <c r="U7" s="118">
        <v>1.0</v>
      </c>
      <c r="V7" s="118">
        <v>0.8</v>
      </c>
    </row>
    <row r="8" ht="18.75" customHeight="1">
      <c r="A8" s="64">
        <v>7.0</v>
      </c>
      <c r="B8" s="64" t="s">
        <v>5072</v>
      </c>
      <c r="C8" s="64"/>
      <c r="D8" s="64"/>
      <c r="E8" s="64"/>
      <c r="F8" s="64"/>
      <c r="G8" s="64">
        <f t="shared" si="1"/>
        <v>200</v>
      </c>
      <c r="H8" s="86">
        <v>4.0</v>
      </c>
      <c r="I8" s="86">
        <v>4.0</v>
      </c>
      <c r="J8" s="64"/>
      <c r="K8" s="64">
        <f t="shared" si="2"/>
        <v>200</v>
      </c>
      <c r="L8" s="86">
        <v>4.0</v>
      </c>
      <c r="M8" s="86">
        <v>2.0</v>
      </c>
      <c r="N8" s="86">
        <v>2.0</v>
      </c>
      <c r="O8" s="37">
        <v>80.0</v>
      </c>
      <c r="P8" s="39">
        <v>2.0</v>
      </c>
      <c r="Q8" s="39">
        <v>0.0</v>
      </c>
      <c r="R8" s="37" t="s">
        <v>5084</v>
      </c>
      <c r="U8" s="118">
        <v>1.0</v>
      </c>
      <c r="V8" s="118">
        <v>1.0</v>
      </c>
    </row>
    <row r="9" ht="18.75" customHeight="1">
      <c r="A9" s="64">
        <v>1.0</v>
      </c>
      <c r="B9" s="37" t="s">
        <v>5088</v>
      </c>
      <c r="O9" s="37">
        <v>5.0</v>
      </c>
      <c r="P9" s="39">
        <v>0.0</v>
      </c>
    </row>
    <row r="10" ht="18.75" customHeight="1">
      <c r="A10" s="64">
        <v>2.0</v>
      </c>
      <c r="B10" s="37" t="s">
        <v>5088</v>
      </c>
      <c r="O10" s="37">
        <v>10.0</v>
      </c>
      <c r="P10" s="39">
        <v>0.0</v>
      </c>
      <c r="Q10" s="39">
        <v>0.0</v>
      </c>
    </row>
    <row r="11" ht="18.75" customHeight="1">
      <c r="A11" s="64">
        <v>3.0</v>
      </c>
      <c r="B11" s="37" t="s">
        <v>5088</v>
      </c>
      <c r="O11" s="37">
        <v>20.0</v>
      </c>
      <c r="P11" s="39">
        <v>0.0</v>
      </c>
      <c r="Q11" s="39">
        <v>0.0</v>
      </c>
    </row>
    <row r="12" ht="18.75" customHeight="1">
      <c r="A12" s="64">
        <v>4.0</v>
      </c>
      <c r="B12" s="37" t="s">
        <v>5088</v>
      </c>
      <c r="O12" s="37">
        <v>40.0</v>
      </c>
      <c r="P12" s="39">
        <v>1.0</v>
      </c>
      <c r="Q12" s="39">
        <v>0.0</v>
      </c>
    </row>
    <row r="13" ht="18.75" customHeight="1">
      <c r="A13" s="64">
        <v>5.0</v>
      </c>
      <c r="B13" s="37" t="s">
        <v>5088</v>
      </c>
      <c r="O13" s="37">
        <v>80.0</v>
      </c>
      <c r="P13" s="39">
        <v>2.0</v>
      </c>
      <c r="Q13" s="39">
        <v>0.0</v>
      </c>
      <c r="R13" s="37" t="s">
        <v>5084</v>
      </c>
    </row>
    <row r="14" ht="18.75" customHeight="1">
      <c r="A14" s="64">
        <v>6.0</v>
      </c>
      <c r="B14" s="37" t="s">
        <v>5088</v>
      </c>
      <c r="O14" s="37">
        <v>160.0</v>
      </c>
      <c r="P14" s="39">
        <v>3.0</v>
      </c>
      <c r="Q14" s="39">
        <v>1.0</v>
      </c>
      <c r="R14" s="37" t="s">
        <v>5084</v>
      </c>
    </row>
    <row r="15" ht="18.75" customHeight="1">
      <c r="A15" s="64">
        <v>7.0</v>
      </c>
      <c r="B15" s="37" t="s">
        <v>5088</v>
      </c>
      <c r="O15" s="37">
        <v>320.0</v>
      </c>
      <c r="P15" s="39">
        <v>6.0</v>
      </c>
      <c r="Q15" s="39">
        <v>2.0</v>
      </c>
      <c r="R15" s="37" t="s">
        <v>5084</v>
      </c>
    </row>
    <row r="16" ht="18.75" customHeight="1">
      <c r="A16" s="37">
        <v>1.0</v>
      </c>
      <c r="B16" s="37" t="s">
        <v>4438</v>
      </c>
      <c r="C16" s="37">
        <v>2.0</v>
      </c>
      <c r="D16" s="37">
        <v>2.0</v>
      </c>
      <c r="E16" s="37">
        <v>2.0</v>
      </c>
      <c r="G16" s="37">
        <v>2.0</v>
      </c>
      <c r="J16" s="37">
        <v>2.0</v>
      </c>
      <c r="K16" s="37">
        <v>2.0</v>
      </c>
    </row>
    <row r="17" ht="18.75" customHeight="1"/>
    <row r="18" ht="18.75" customHeight="1"/>
    <row r="19" ht="18.75" customHeight="1"/>
    <row r="20" ht="18.75" customHeight="1"/>
    <row r="21" ht="18.75" customHeight="1">
      <c r="H21" s="37" t="s">
        <v>5089</v>
      </c>
      <c r="I21" s="37" t="s">
        <v>2922</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5090</v>
      </c>
      <c r="B1" s="37" t="s">
        <v>5091</v>
      </c>
      <c r="C1" s="37" t="s">
        <v>5092</v>
      </c>
      <c r="D1" s="37" t="s">
        <v>5093</v>
      </c>
      <c r="E1" s="37" t="s">
        <v>5094</v>
      </c>
      <c r="F1" s="37" t="s">
        <v>5095</v>
      </c>
      <c r="G1" s="37" t="s">
        <v>2569</v>
      </c>
      <c r="H1" s="37" t="s">
        <v>1452</v>
      </c>
      <c r="I1" s="37" t="s">
        <v>5096</v>
      </c>
      <c r="J1" s="37" t="s">
        <v>1782</v>
      </c>
      <c r="K1" s="37" t="s">
        <v>1492</v>
      </c>
      <c r="L1" s="37" t="s">
        <v>4983</v>
      </c>
      <c r="M1" s="37" t="s">
        <v>4988</v>
      </c>
      <c r="N1" s="37" t="s">
        <v>4989</v>
      </c>
      <c r="O1" s="37" t="s">
        <v>4991</v>
      </c>
      <c r="P1" s="37" t="s">
        <v>5097</v>
      </c>
      <c r="Q1" s="37" t="s">
        <v>4477</v>
      </c>
      <c r="R1" s="37" t="s">
        <v>5098</v>
      </c>
      <c r="S1" s="37" t="s">
        <v>5099</v>
      </c>
      <c r="T1" s="37" t="s">
        <v>5100</v>
      </c>
      <c r="U1" s="37" t="s">
        <v>5101</v>
      </c>
      <c r="V1" s="176" t="s">
        <v>5102</v>
      </c>
      <c r="W1" s="177" t="s">
        <v>5103</v>
      </c>
      <c r="X1" s="177" t="s">
        <v>3192</v>
      </c>
      <c r="Y1" s="39" t="s">
        <v>4360</v>
      </c>
      <c r="Z1" s="39" t="s">
        <v>3317</v>
      </c>
      <c r="AA1" s="39" t="s">
        <v>5104</v>
      </c>
    </row>
    <row r="2" ht="18.75" customHeight="1">
      <c r="A2" s="37" t="s">
        <v>2804</v>
      </c>
      <c r="B2" s="37" t="s">
        <v>3318</v>
      </c>
      <c r="C2" s="37" t="s">
        <v>5105</v>
      </c>
      <c r="D2" s="37">
        <v>20.0</v>
      </c>
      <c r="E2" s="39">
        <v>10.0</v>
      </c>
      <c r="F2" s="37">
        <v>25.0</v>
      </c>
      <c r="K2" s="37">
        <v>20.0</v>
      </c>
      <c r="M2" s="37">
        <v>10.0</v>
      </c>
      <c r="N2" s="37">
        <v>135.0</v>
      </c>
      <c r="R2" s="37" t="s">
        <v>5106</v>
      </c>
      <c r="S2" s="37" t="s">
        <v>5107</v>
      </c>
      <c r="T2" s="37" t="s">
        <v>5108</v>
      </c>
      <c r="V2" s="176">
        <v>1.0</v>
      </c>
      <c r="W2" s="178">
        <v>0.5</v>
      </c>
      <c r="X2" s="178">
        <v>0.0</v>
      </c>
    </row>
    <row r="3" ht="18.75" customHeight="1">
      <c r="A3" s="37" t="s">
        <v>2795</v>
      </c>
      <c r="B3" s="37" t="s">
        <v>3318</v>
      </c>
      <c r="C3" s="37" t="s">
        <v>5105</v>
      </c>
      <c r="D3" s="37">
        <v>30.0</v>
      </c>
      <c r="E3" s="39">
        <v>20.0</v>
      </c>
      <c r="F3" s="37">
        <v>35.0</v>
      </c>
      <c r="K3" s="37">
        <v>25.0</v>
      </c>
      <c r="M3" s="37">
        <v>10.0</v>
      </c>
      <c r="N3" s="37">
        <v>135.0</v>
      </c>
      <c r="R3" s="37" t="s">
        <v>4985</v>
      </c>
      <c r="S3" s="37" t="s">
        <v>5108</v>
      </c>
      <c r="V3" s="176">
        <v>1.25</v>
      </c>
      <c r="W3" s="178">
        <v>1.0</v>
      </c>
      <c r="X3" s="178">
        <v>0.1</v>
      </c>
    </row>
    <row r="4" ht="18.75" customHeight="1">
      <c r="A4" s="37" t="s">
        <v>2791</v>
      </c>
      <c r="B4" s="37" t="s">
        <v>3318</v>
      </c>
      <c r="C4" s="37" t="s">
        <v>5105</v>
      </c>
      <c r="D4" s="37">
        <v>40.0</v>
      </c>
      <c r="E4" s="39">
        <v>25.0</v>
      </c>
      <c r="F4" s="37">
        <v>40.0</v>
      </c>
      <c r="K4" s="37">
        <v>25.0</v>
      </c>
      <c r="M4" s="37">
        <v>10.0</v>
      </c>
      <c r="N4" s="37">
        <v>135.0</v>
      </c>
      <c r="R4" s="37" t="s">
        <v>4985</v>
      </c>
      <c r="V4" s="176">
        <v>1.5</v>
      </c>
      <c r="W4" s="178">
        <v>1.4</v>
      </c>
      <c r="X4" s="178">
        <v>0.1</v>
      </c>
    </row>
    <row r="5" ht="18.75" customHeight="1">
      <c r="A5" s="37" t="s">
        <v>2798</v>
      </c>
      <c r="B5" s="37" t="s">
        <v>3318</v>
      </c>
      <c r="C5" s="37" t="s">
        <v>5105</v>
      </c>
      <c r="D5" s="37">
        <v>40.0</v>
      </c>
      <c r="E5" s="39">
        <v>20.0</v>
      </c>
      <c r="F5" s="37">
        <v>45.0</v>
      </c>
      <c r="K5" s="37">
        <v>25.0</v>
      </c>
      <c r="M5" s="37">
        <v>10.0</v>
      </c>
      <c r="N5" s="37">
        <v>135.0</v>
      </c>
      <c r="R5" s="37" t="s">
        <v>5107</v>
      </c>
      <c r="S5" s="37" t="s">
        <v>5096</v>
      </c>
      <c r="V5" s="176">
        <v>1.25</v>
      </c>
      <c r="W5" s="178">
        <v>0.6</v>
      </c>
      <c r="X5" s="178">
        <v>1.2</v>
      </c>
    </row>
    <row r="6" ht="18.75" customHeight="1">
      <c r="A6" s="37" t="s">
        <v>5109</v>
      </c>
      <c r="B6" s="37" t="s">
        <v>3318</v>
      </c>
      <c r="C6" s="37" t="s">
        <v>5105</v>
      </c>
      <c r="D6" s="37">
        <v>50.0</v>
      </c>
      <c r="E6" s="39">
        <v>30.0</v>
      </c>
      <c r="F6" s="37">
        <v>45.0</v>
      </c>
      <c r="K6" s="37">
        <v>30.0</v>
      </c>
      <c r="M6" s="37">
        <v>10.0</v>
      </c>
      <c r="N6" s="37">
        <v>125.0</v>
      </c>
      <c r="R6" s="37" t="s">
        <v>5107</v>
      </c>
      <c r="V6" s="176">
        <v>1.25</v>
      </c>
      <c r="W6" s="178">
        <v>1.2</v>
      </c>
      <c r="X6" s="178">
        <v>0.4</v>
      </c>
    </row>
    <row r="7" ht="18.75" customHeight="1">
      <c r="A7" s="37" t="s">
        <v>2814</v>
      </c>
      <c r="B7" s="37" t="s">
        <v>3318</v>
      </c>
      <c r="C7" s="37" t="s">
        <v>5105</v>
      </c>
      <c r="D7" s="37">
        <v>30.0</v>
      </c>
      <c r="E7" s="39">
        <v>10.0</v>
      </c>
      <c r="F7" s="37">
        <v>30.0</v>
      </c>
      <c r="K7" s="37">
        <v>20.0</v>
      </c>
      <c r="M7" s="37">
        <v>10.0</v>
      </c>
      <c r="N7" s="37">
        <v>125.0</v>
      </c>
      <c r="R7" s="37" t="s">
        <v>1490</v>
      </c>
      <c r="V7" s="176">
        <v>1.0</v>
      </c>
      <c r="W7" s="178">
        <v>0.0</v>
      </c>
      <c r="X7" s="178">
        <v>1.0</v>
      </c>
    </row>
    <row r="8" ht="18.75" customHeight="1">
      <c r="A8" s="37" t="s">
        <v>5110</v>
      </c>
      <c r="B8" s="37" t="s">
        <v>3318</v>
      </c>
      <c r="C8" s="37" t="s">
        <v>5105</v>
      </c>
      <c r="D8" s="37">
        <v>50.0</v>
      </c>
      <c r="E8" s="39">
        <v>30.0</v>
      </c>
      <c r="F8" s="37">
        <v>45.0</v>
      </c>
      <c r="K8" s="37">
        <v>25.0</v>
      </c>
      <c r="M8" s="37">
        <v>10.0</v>
      </c>
      <c r="N8" s="37">
        <v>125.0</v>
      </c>
      <c r="R8" s="37" t="s">
        <v>1490</v>
      </c>
      <c r="V8" s="176">
        <v>1.5</v>
      </c>
      <c r="W8" s="178">
        <v>1.6</v>
      </c>
      <c r="X8" s="178">
        <v>0.2</v>
      </c>
    </row>
    <row r="9" ht="18.75" customHeight="1">
      <c r="A9" s="37" t="s">
        <v>2806</v>
      </c>
      <c r="B9" s="37" t="s">
        <v>3318</v>
      </c>
      <c r="C9" s="37" t="s">
        <v>4983</v>
      </c>
      <c r="D9" s="37">
        <v>65.0</v>
      </c>
      <c r="E9" s="39">
        <v>20.0</v>
      </c>
      <c r="F9" s="37">
        <v>25.0</v>
      </c>
      <c r="K9" s="37">
        <v>25.0</v>
      </c>
      <c r="L9" s="37">
        <v>40.0</v>
      </c>
      <c r="M9" s="37">
        <v>10.0</v>
      </c>
      <c r="N9" s="37">
        <v>135.0</v>
      </c>
      <c r="O9" s="37">
        <v>20.0</v>
      </c>
      <c r="V9" s="176">
        <v>1.25</v>
      </c>
      <c r="W9" s="178">
        <v>0.2</v>
      </c>
      <c r="X9" s="178">
        <v>1.4</v>
      </c>
    </row>
    <row r="10" ht="18.75" customHeight="1">
      <c r="A10" s="37" t="s">
        <v>5111</v>
      </c>
      <c r="B10" s="37" t="s">
        <v>3318</v>
      </c>
      <c r="C10" s="37" t="s">
        <v>4983</v>
      </c>
      <c r="D10" s="37">
        <v>20.0</v>
      </c>
      <c r="E10" s="39">
        <v>10.0</v>
      </c>
      <c r="F10" s="37">
        <v>10.0</v>
      </c>
      <c r="K10" s="37">
        <v>25.0</v>
      </c>
      <c r="L10" s="37">
        <v>40.0</v>
      </c>
      <c r="M10" s="37">
        <v>10.0</v>
      </c>
      <c r="N10" s="37">
        <v>140.0</v>
      </c>
      <c r="O10" s="37">
        <v>20.0</v>
      </c>
      <c r="R10" s="37" t="s">
        <v>5112</v>
      </c>
      <c r="V10" s="176">
        <v>2.0</v>
      </c>
      <c r="W10" s="178">
        <v>2.0</v>
      </c>
      <c r="X10" s="178">
        <v>0.3</v>
      </c>
      <c r="Y10" s="41">
        <v>3.0</v>
      </c>
    </row>
    <row r="11" ht="18.75" customHeight="1">
      <c r="A11" s="37" t="s">
        <v>2809</v>
      </c>
      <c r="B11" s="37" t="s">
        <v>3318</v>
      </c>
      <c r="C11" s="37" t="s">
        <v>4796</v>
      </c>
      <c r="D11" s="37">
        <v>40.0</v>
      </c>
      <c r="E11" s="39">
        <v>-20.0</v>
      </c>
      <c r="F11" s="37">
        <v>15.0</v>
      </c>
      <c r="G11" s="37">
        <v>15.0</v>
      </c>
      <c r="K11" s="37">
        <v>25.0</v>
      </c>
      <c r="M11" s="37">
        <v>10.0</v>
      </c>
      <c r="N11" s="37">
        <v>120.0</v>
      </c>
      <c r="R11" s="37" t="s">
        <v>137</v>
      </c>
      <c r="V11" s="176">
        <v>2.0</v>
      </c>
      <c r="W11" s="178">
        <v>0.1</v>
      </c>
      <c r="X11" s="178">
        <v>1.3</v>
      </c>
    </row>
    <row r="12" ht="18.75" customHeight="1">
      <c r="V12" s="176"/>
      <c r="W12" s="176"/>
      <c r="X12" s="176"/>
    </row>
    <row r="13" ht="18.75" customHeight="1">
      <c r="A13" s="37" t="s">
        <v>2796</v>
      </c>
      <c r="B13" s="37" t="s">
        <v>3318</v>
      </c>
      <c r="C13" s="37" t="s">
        <v>79</v>
      </c>
      <c r="D13" s="37">
        <v>-5.0</v>
      </c>
      <c r="E13" s="39">
        <v>10.0</v>
      </c>
      <c r="F13" s="37">
        <v>15.0</v>
      </c>
      <c r="K13" s="37">
        <v>25.0</v>
      </c>
      <c r="M13" s="37">
        <v>10.0</v>
      </c>
      <c r="N13" s="37">
        <v>120.0</v>
      </c>
      <c r="V13" s="176">
        <v>1.0</v>
      </c>
      <c r="W13" s="178">
        <v>0.2</v>
      </c>
      <c r="X13" s="178">
        <v>1.0</v>
      </c>
    </row>
    <row r="14" ht="18.75" customHeight="1">
      <c r="A14" s="37" t="s">
        <v>79</v>
      </c>
      <c r="B14" s="37" t="s">
        <v>3318</v>
      </c>
      <c r="C14" s="37" t="s">
        <v>79</v>
      </c>
      <c r="D14" s="37">
        <v>0.0</v>
      </c>
      <c r="E14" s="39">
        <v>20.0</v>
      </c>
      <c r="F14" s="37">
        <v>20.0</v>
      </c>
      <c r="K14" s="37">
        <v>35.0</v>
      </c>
      <c r="M14" s="37">
        <v>10.0</v>
      </c>
      <c r="N14" s="37">
        <v>120.0</v>
      </c>
      <c r="V14" s="176">
        <v>1.0</v>
      </c>
      <c r="W14" s="178">
        <v>0.6</v>
      </c>
      <c r="X14" s="178">
        <v>0.8</v>
      </c>
    </row>
    <row r="15" ht="18.75" customHeight="1">
      <c r="A15" s="37" t="s">
        <v>5113</v>
      </c>
      <c r="B15" s="37" t="s">
        <v>3318</v>
      </c>
      <c r="C15" s="37" t="s">
        <v>79</v>
      </c>
      <c r="D15" s="37">
        <v>10.0</v>
      </c>
      <c r="E15" s="39">
        <v>30.0</v>
      </c>
      <c r="F15" s="37">
        <v>25.0</v>
      </c>
      <c r="K15" s="37">
        <v>45.0</v>
      </c>
      <c r="M15" s="37">
        <v>10.0</v>
      </c>
      <c r="N15" s="37">
        <v>120.0</v>
      </c>
      <c r="V15" s="176">
        <v>1.5</v>
      </c>
      <c r="W15" s="178">
        <v>1.0</v>
      </c>
      <c r="X15" s="178">
        <v>1.2</v>
      </c>
    </row>
    <row r="16" ht="18.75" customHeight="1">
      <c r="V16" s="176"/>
      <c r="W16" s="178">
        <v>0.2</v>
      </c>
      <c r="X16" s="178">
        <v>0.0</v>
      </c>
    </row>
    <row r="17" ht="18.75" customHeight="1">
      <c r="A17" s="37" t="s">
        <v>2819</v>
      </c>
      <c r="B17" s="37" t="s">
        <v>2634</v>
      </c>
      <c r="Q17" s="37">
        <v>3.0</v>
      </c>
      <c r="R17" s="37" t="s">
        <v>137</v>
      </c>
      <c r="V17" s="176">
        <v>1.0</v>
      </c>
      <c r="W17" s="178">
        <v>0.2</v>
      </c>
      <c r="X17" s="178">
        <v>0.1</v>
      </c>
    </row>
    <row r="18" ht="18.75" customHeight="1">
      <c r="A18" s="37" t="s">
        <v>5114</v>
      </c>
      <c r="B18" s="37" t="s">
        <v>2634</v>
      </c>
      <c r="E18" s="37">
        <v>5.0</v>
      </c>
      <c r="P18" s="37">
        <v>5.0</v>
      </c>
      <c r="Q18" s="37">
        <v>10.0</v>
      </c>
      <c r="V18" s="176">
        <v>1.5</v>
      </c>
      <c r="W18" s="178">
        <v>0.7</v>
      </c>
      <c r="X18" s="178">
        <v>0.1</v>
      </c>
    </row>
    <row r="19" ht="18.75" customHeight="1">
      <c r="A19" s="37" t="s">
        <v>2799</v>
      </c>
      <c r="B19" s="37" t="s">
        <v>2634</v>
      </c>
      <c r="Q19" s="37">
        <v>4.0</v>
      </c>
      <c r="V19" s="176">
        <v>1.0</v>
      </c>
      <c r="W19" s="178">
        <v>0.1</v>
      </c>
      <c r="X19" s="178">
        <v>0.3</v>
      </c>
    </row>
    <row r="20" ht="18.75" customHeight="1">
      <c r="A20" s="37" t="s">
        <v>5115</v>
      </c>
      <c r="B20" s="37" t="s">
        <v>2634</v>
      </c>
      <c r="Q20" s="37">
        <v>0.0</v>
      </c>
      <c r="R20" s="37" t="s">
        <v>5116</v>
      </c>
      <c r="S20" s="37" t="s">
        <v>5117</v>
      </c>
      <c r="V20" s="176">
        <v>1.0</v>
      </c>
      <c r="W20" s="178">
        <v>0.1</v>
      </c>
      <c r="X20" s="178">
        <v>0.3</v>
      </c>
    </row>
    <row r="21" ht="18.75" customHeight="1">
      <c r="V21" s="176"/>
      <c r="W21" s="176"/>
      <c r="X21" s="176"/>
    </row>
    <row r="22" ht="18.75" customHeight="1">
      <c r="A22" s="37" t="s">
        <v>2792</v>
      </c>
      <c r="B22" s="37" t="s">
        <v>2635</v>
      </c>
      <c r="E22" s="37">
        <v>10.0</v>
      </c>
      <c r="P22" s="37">
        <v>10.0</v>
      </c>
      <c r="Q22" s="37">
        <v>20.0</v>
      </c>
      <c r="V22" s="176">
        <v>2.0</v>
      </c>
      <c r="W22" s="178">
        <v>2.8</v>
      </c>
      <c r="X22" s="178">
        <v>0.25</v>
      </c>
      <c r="AA22" s="39">
        <v>1.0</v>
      </c>
    </row>
    <row r="23" ht="18.75" customHeight="1">
      <c r="A23" s="37" t="s">
        <v>2800</v>
      </c>
      <c r="B23" s="37" t="s">
        <v>2635</v>
      </c>
      <c r="Q23" s="37">
        <v>10.0</v>
      </c>
      <c r="V23" s="176">
        <v>1.5</v>
      </c>
      <c r="W23" s="178">
        <v>0.25</v>
      </c>
      <c r="X23" s="178">
        <v>1.0</v>
      </c>
      <c r="AA23" s="39">
        <v>2.0</v>
      </c>
    </row>
    <row r="24" ht="18.75" customHeight="1">
      <c r="A24" s="37" t="s">
        <v>2810</v>
      </c>
      <c r="B24" s="37" t="s">
        <v>2635</v>
      </c>
      <c r="Q24" s="37">
        <v>5.0</v>
      </c>
      <c r="R24" s="37" t="s">
        <v>5118</v>
      </c>
      <c r="V24" s="176">
        <v>1.5</v>
      </c>
      <c r="W24" s="178">
        <v>0.25</v>
      </c>
      <c r="X24" s="178">
        <v>1.0</v>
      </c>
      <c r="AA24" s="39">
        <v>3.0</v>
      </c>
    </row>
    <row r="25" ht="18.75" customHeight="1">
      <c r="V25" s="176"/>
      <c r="W25" s="176"/>
      <c r="X25" s="176"/>
    </row>
    <row r="26" ht="18.75" customHeight="1">
      <c r="A26" s="37" t="s">
        <v>5119</v>
      </c>
      <c r="B26" s="37" t="s">
        <v>2636</v>
      </c>
      <c r="E26" s="37">
        <v>5.0</v>
      </c>
      <c r="Q26" s="37">
        <v>3.0</v>
      </c>
      <c r="R26" s="37" t="s">
        <v>5116</v>
      </c>
      <c r="V26" s="176"/>
      <c r="W26" s="176"/>
      <c r="X26" s="176"/>
    </row>
    <row r="27" ht="18.75" customHeight="1">
      <c r="A27" s="37" t="s">
        <v>2793</v>
      </c>
      <c r="B27" s="37" t="s">
        <v>2636</v>
      </c>
      <c r="Q27" s="37">
        <v>1.0</v>
      </c>
      <c r="R27" s="37" t="s">
        <v>5120</v>
      </c>
      <c r="V27" s="176"/>
      <c r="W27" s="176"/>
      <c r="X27" s="176"/>
    </row>
    <row r="28" ht="18.75" customHeight="1">
      <c r="V28" s="176"/>
      <c r="W28" s="176"/>
      <c r="X28" s="176"/>
    </row>
    <row r="29" ht="18.75" customHeight="1">
      <c r="A29" s="37" t="s">
        <v>5121</v>
      </c>
      <c r="B29" s="37" t="s">
        <v>5122</v>
      </c>
      <c r="R29" s="37" t="s">
        <v>137</v>
      </c>
      <c r="V29" s="176">
        <v>1.0</v>
      </c>
      <c r="W29" s="178">
        <v>0.15</v>
      </c>
      <c r="X29" s="178">
        <v>0.05</v>
      </c>
    </row>
    <row r="30" ht="18.75" customHeight="1">
      <c r="A30" s="37" t="s">
        <v>5027</v>
      </c>
      <c r="B30" s="37" t="s">
        <v>5122</v>
      </c>
      <c r="R30" s="37" t="s">
        <v>5116</v>
      </c>
      <c r="S30" s="37" t="s">
        <v>5117</v>
      </c>
      <c r="V30" s="176">
        <v>1.0</v>
      </c>
      <c r="W30" s="178">
        <v>0.1</v>
      </c>
      <c r="X30" s="178">
        <v>0.05</v>
      </c>
    </row>
    <row r="31" ht="18.75" customHeight="1">
      <c r="A31" s="37" t="s">
        <v>5123</v>
      </c>
      <c r="B31" s="37" t="s">
        <v>5122</v>
      </c>
      <c r="R31" s="37" t="s">
        <v>5124</v>
      </c>
      <c r="V31" s="176">
        <v>1.0</v>
      </c>
      <c r="W31" s="178">
        <v>0.1</v>
      </c>
      <c r="X31" s="178">
        <v>0.05</v>
      </c>
    </row>
    <row r="32" ht="18.75" customHeight="1">
      <c r="A32" s="37" t="s">
        <v>5125</v>
      </c>
      <c r="B32" s="37" t="s">
        <v>5122</v>
      </c>
      <c r="R32" s="37" t="s">
        <v>5126</v>
      </c>
      <c r="S32" s="37" t="s">
        <v>5127</v>
      </c>
      <c r="V32" s="176">
        <v>1.0</v>
      </c>
      <c r="W32" s="178">
        <v>0.2</v>
      </c>
      <c r="X32" s="178">
        <v>0.05</v>
      </c>
    </row>
    <row r="33" ht="18.75" customHeight="1"/>
    <row r="34" ht="18.75" customHeight="1">
      <c r="A34" s="39" t="s">
        <v>32</v>
      </c>
      <c r="B34" s="39" t="s">
        <v>5128</v>
      </c>
      <c r="C34" s="39" t="s">
        <v>5105</v>
      </c>
      <c r="D34" s="39">
        <v>60.0</v>
      </c>
      <c r="F34" s="41">
        <v>35.0</v>
      </c>
      <c r="K34" s="41">
        <v>15.0</v>
      </c>
      <c r="M34" s="41">
        <v>10.0</v>
      </c>
      <c r="N34" s="41">
        <v>125.0</v>
      </c>
      <c r="V34" s="176"/>
      <c r="W34" s="178"/>
      <c r="X34" s="178"/>
      <c r="Y34" s="39">
        <v>1.0</v>
      </c>
      <c r="Z34" s="39" t="s">
        <v>5129</v>
      </c>
      <c r="AA34" s="39"/>
    </row>
    <row r="35" ht="18.75" customHeight="1">
      <c r="A35" s="39" t="s">
        <v>35</v>
      </c>
      <c r="B35" s="39" t="s">
        <v>5128</v>
      </c>
      <c r="C35" s="39" t="s">
        <v>5105</v>
      </c>
      <c r="D35" s="41">
        <v>30.0</v>
      </c>
      <c r="F35" s="41">
        <v>25.0</v>
      </c>
      <c r="K35" s="41">
        <v>10.0</v>
      </c>
      <c r="M35" s="41">
        <v>10.0</v>
      </c>
      <c r="N35" s="41">
        <v>135.0</v>
      </c>
      <c r="P35" s="41">
        <v>15.0</v>
      </c>
      <c r="V35" s="176"/>
      <c r="W35" s="178"/>
      <c r="X35" s="178"/>
      <c r="Y35" s="39">
        <v>1.0</v>
      </c>
      <c r="Z35" s="39" t="s">
        <v>5129</v>
      </c>
      <c r="AA35" s="39"/>
    </row>
    <row r="36" ht="18.75" customHeight="1">
      <c r="A36" s="39" t="s">
        <v>37</v>
      </c>
      <c r="B36" s="39" t="s">
        <v>5128</v>
      </c>
      <c r="C36" s="39" t="s">
        <v>5105</v>
      </c>
      <c r="D36" s="41">
        <v>50.0</v>
      </c>
      <c r="F36" s="39">
        <v>15.0</v>
      </c>
      <c r="K36" s="41">
        <v>10.0</v>
      </c>
      <c r="M36" s="41">
        <v>10.0</v>
      </c>
      <c r="N36" s="41">
        <v>135.0</v>
      </c>
      <c r="V36" s="176"/>
      <c r="W36" s="178"/>
      <c r="X36" s="178"/>
      <c r="Y36" s="39">
        <v>2.0</v>
      </c>
      <c r="Z36" s="39" t="s">
        <v>5129</v>
      </c>
      <c r="AA36" s="39"/>
    </row>
    <row r="37" ht="18.75" customHeight="1">
      <c r="A37" s="39" t="s">
        <v>39</v>
      </c>
      <c r="B37" s="39" t="s">
        <v>5128</v>
      </c>
      <c r="C37" s="39" t="s">
        <v>5105</v>
      </c>
      <c r="D37" s="39">
        <v>20.0</v>
      </c>
      <c r="F37" s="41">
        <v>12.0</v>
      </c>
      <c r="K37" s="41">
        <v>7.0</v>
      </c>
      <c r="M37" s="41">
        <v>10.0</v>
      </c>
      <c r="N37" s="41">
        <v>125.0</v>
      </c>
      <c r="V37" s="176"/>
      <c r="W37" s="178"/>
      <c r="X37" s="178"/>
      <c r="Y37" s="39">
        <v>1.0</v>
      </c>
      <c r="Z37" s="39" t="s">
        <v>5129</v>
      </c>
      <c r="AA37" s="39"/>
    </row>
    <row r="38" ht="18.75" customHeight="1">
      <c r="A38" s="39" t="s">
        <v>45</v>
      </c>
      <c r="B38" s="39" t="s">
        <v>5128</v>
      </c>
      <c r="C38" s="39" t="s">
        <v>5105</v>
      </c>
      <c r="D38" s="41">
        <v>20.0</v>
      </c>
      <c r="F38" s="39">
        <v>10.0</v>
      </c>
      <c r="K38" s="39">
        <v>15.0</v>
      </c>
      <c r="M38" s="41">
        <v>5.0</v>
      </c>
      <c r="N38" s="41">
        <v>115.0</v>
      </c>
      <c r="V38" s="176"/>
      <c r="W38" s="178"/>
      <c r="X38" s="178"/>
      <c r="Y38" s="39">
        <v>2.0</v>
      </c>
      <c r="Z38" s="39" t="s">
        <v>5129</v>
      </c>
      <c r="AA38" s="39"/>
    </row>
    <row r="39" ht="18.75" customHeight="1">
      <c r="A39" s="39" t="s">
        <v>2605</v>
      </c>
      <c r="B39" s="39" t="s">
        <v>5130</v>
      </c>
      <c r="C39" s="41" t="s">
        <v>5128</v>
      </c>
      <c r="D39" s="41">
        <v>10.0</v>
      </c>
      <c r="F39" s="41">
        <v>10.0</v>
      </c>
      <c r="K39" s="41">
        <v>8.0</v>
      </c>
      <c r="M39" s="41">
        <v>5.0</v>
      </c>
      <c r="N39" s="41">
        <v>110.0</v>
      </c>
      <c r="Q39" s="41">
        <v>10.0</v>
      </c>
      <c r="V39" s="176"/>
      <c r="W39" s="178"/>
      <c r="X39" s="178"/>
      <c r="Z39" s="39" t="s">
        <v>5131</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45.13"/>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79" t="s">
        <v>2561</v>
      </c>
      <c r="B1" s="179" t="s">
        <v>3837</v>
      </c>
      <c r="C1" s="179" t="s">
        <v>3650</v>
      </c>
      <c r="D1" s="179" t="s">
        <v>5132</v>
      </c>
      <c r="E1" s="179" t="s">
        <v>3015</v>
      </c>
      <c r="F1" s="179" t="s">
        <v>5133</v>
      </c>
      <c r="G1" s="179" t="s">
        <v>4146</v>
      </c>
      <c r="H1" s="179" t="s">
        <v>5134</v>
      </c>
      <c r="I1" s="179" t="s">
        <v>5135</v>
      </c>
      <c r="J1" s="179" t="s">
        <v>4464</v>
      </c>
      <c r="K1" s="179" t="s">
        <v>5136</v>
      </c>
      <c r="L1" s="179" t="s">
        <v>5137</v>
      </c>
      <c r="M1" s="179" t="s">
        <v>8</v>
      </c>
      <c r="N1" s="179" t="s">
        <v>5138</v>
      </c>
      <c r="O1" s="179" t="s">
        <v>5139</v>
      </c>
      <c r="P1" s="179" t="s">
        <v>5140</v>
      </c>
      <c r="Q1" s="179" t="s">
        <v>5141</v>
      </c>
      <c r="R1" s="179" t="s">
        <v>5142</v>
      </c>
      <c r="S1" s="179" t="s">
        <v>5143</v>
      </c>
      <c r="T1" s="179" t="s">
        <v>3317</v>
      </c>
      <c r="U1" s="179" t="s">
        <v>3322</v>
      </c>
      <c r="V1" s="180" t="s">
        <v>5144</v>
      </c>
      <c r="W1" s="180" t="s">
        <v>5145</v>
      </c>
      <c r="X1" s="180" t="s">
        <v>5146</v>
      </c>
      <c r="Y1" s="180" t="s">
        <v>5147</v>
      </c>
      <c r="Z1" s="180" t="s">
        <v>5148</v>
      </c>
      <c r="AA1" s="180" t="s">
        <v>5149</v>
      </c>
      <c r="AB1" s="180" t="s">
        <v>5150</v>
      </c>
      <c r="AC1" s="180" t="s">
        <v>5151</v>
      </c>
    </row>
    <row r="2">
      <c r="A2" s="181" t="s">
        <v>5152</v>
      </c>
      <c r="B2" s="181" t="s">
        <v>5153</v>
      </c>
      <c r="C2" s="181" t="s">
        <v>5154</v>
      </c>
      <c r="D2" s="181" t="s">
        <v>5155</v>
      </c>
      <c r="E2" s="181" t="s">
        <v>5156</v>
      </c>
      <c r="F2" s="181" t="s">
        <v>5157</v>
      </c>
      <c r="G2" s="181" t="s">
        <v>5158</v>
      </c>
      <c r="H2" s="181" t="s">
        <v>5159</v>
      </c>
      <c r="I2" s="181" t="s">
        <v>5160</v>
      </c>
      <c r="J2" s="181" t="s">
        <v>5161</v>
      </c>
      <c r="K2" s="181" t="s">
        <v>5162</v>
      </c>
      <c r="L2" s="181" t="s">
        <v>5163</v>
      </c>
      <c r="M2" s="181" t="s">
        <v>5164</v>
      </c>
      <c r="N2" s="181" t="s">
        <v>5165</v>
      </c>
      <c r="O2" s="181">
        <v>10.0</v>
      </c>
      <c r="P2" s="181" t="b">
        <v>1</v>
      </c>
      <c r="Q2" s="181">
        <v>5.0</v>
      </c>
      <c r="R2" s="181" t="s">
        <v>29</v>
      </c>
      <c r="S2" s="181" t="s">
        <v>29</v>
      </c>
      <c r="T2" s="181" t="s">
        <v>5166</v>
      </c>
      <c r="U2" s="181" t="s">
        <v>5167</v>
      </c>
      <c r="V2" s="181"/>
      <c r="W2" s="181"/>
      <c r="X2" s="181"/>
      <c r="Y2" s="181"/>
      <c r="Z2" s="181"/>
      <c r="AA2" s="181"/>
      <c r="AB2" s="181"/>
      <c r="AC2" s="181"/>
    </row>
    <row r="3">
      <c r="A3" s="181" t="s">
        <v>5168</v>
      </c>
      <c r="B3" s="181" t="s">
        <v>5153</v>
      </c>
      <c r="C3" s="181" t="s">
        <v>5154</v>
      </c>
      <c r="D3" s="181" t="s">
        <v>5155</v>
      </c>
      <c r="E3" s="181" t="s">
        <v>5169</v>
      </c>
      <c r="F3" s="181" t="s">
        <v>5157</v>
      </c>
      <c r="G3" s="181" t="s">
        <v>29</v>
      </c>
      <c r="H3" s="181" t="s">
        <v>5170</v>
      </c>
      <c r="I3" s="181" t="s">
        <v>5171</v>
      </c>
      <c r="J3" s="181" t="s">
        <v>5172</v>
      </c>
      <c r="K3" s="181" t="s">
        <v>29</v>
      </c>
      <c r="L3" s="181" t="s">
        <v>5163</v>
      </c>
      <c r="M3" s="181" t="s">
        <v>5173</v>
      </c>
      <c r="N3" s="181" t="s">
        <v>5174</v>
      </c>
      <c r="O3" s="181">
        <v>15.0</v>
      </c>
      <c r="P3" s="181" t="b">
        <v>1</v>
      </c>
      <c r="Q3" s="181">
        <v>5.0</v>
      </c>
      <c r="R3" s="181" t="s">
        <v>29</v>
      </c>
      <c r="S3" s="181" t="s">
        <v>29</v>
      </c>
      <c r="T3" s="181" t="s">
        <v>5175</v>
      </c>
      <c r="U3" s="181" t="s">
        <v>5176</v>
      </c>
      <c r="V3" s="181"/>
      <c r="W3" s="181"/>
      <c r="X3" s="181"/>
      <c r="Y3" s="181"/>
      <c r="Z3" s="181"/>
      <c r="AA3" s="181"/>
      <c r="AB3" s="181"/>
      <c r="AC3" s="181"/>
    </row>
    <row r="4">
      <c r="A4" s="181" t="s">
        <v>5177</v>
      </c>
      <c r="B4" s="181" t="s">
        <v>5153</v>
      </c>
      <c r="C4" s="181" t="s">
        <v>5154</v>
      </c>
      <c r="D4" s="181" t="s">
        <v>5178</v>
      </c>
      <c r="E4" s="181" t="s">
        <v>5179</v>
      </c>
      <c r="F4" s="181" t="s">
        <v>5157</v>
      </c>
      <c r="G4" s="181" t="s">
        <v>29</v>
      </c>
      <c r="H4" s="181" t="s">
        <v>5180</v>
      </c>
      <c r="I4" s="181" t="s">
        <v>5181</v>
      </c>
      <c r="J4" s="181" t="s">
        <v>5182</v>
      </c>
      <c r="K4" s="181" t="s">
        <v>29</v>
      </c>
      <c r="L4" s="181" t="s">
        <v>29</v>
      </c>
      <c r="M4" s="181" t="s">
        <v>5183</v>
      </c>
      <c r="N4" s="181" t="s">
        <v>29</v>
      </c>
      <c r="O4" s="181" t="s">
        <v>29</v>
      </c>
      <c r="P4" s="181" t="b">
        <v>0</v>
      </c>
      <c r="Q4" s="181" t="s">
        <v>29</v>
      </c>
      <c r="R4" s="181">
        <v>5.0</v>
      </c>
      <c r="S4" s="181">
        <v>3.0</v>
      </c>
      <c r="T4" s="181" t="s">
        <v>5184</v>
      </c>
      <c r="U4" s="181" t="s">
        <v>5185</v>
      </c>
      <c r="V4" s="181"/>
      <c r="W4" s="181"/>
      <c r="X4" s="181"/>
      <c r="Y4" s="181"/>
      <c r="Z4" s="181"/>
      <c r="AA4" s="181"/>
      <c r="AB4" s="181"/>
      <c r="AC4" s="181"/>
    </row>
    <row r="5">
      <c r="A5" s="181" t="s">
        <v>5186</v>
      </c>
      <c r="B5" s="181" t="s">
        <v>5153</v>
      </c>
      <c r="C5" s="181" t="s">
        <v>5154</v>
      </c>
      <c r="D5" s="181" t="s">
        <v>5155</v>
      </c>
      <c r="E5" s="181" t="s">
        <v>5187</v>
      </c>
      <c r="F5" s="181" t="s">
        <v>5157</v>
      </c>
      <c r="G5" s="181" t="s">
        <v>5188</v>
      </c>
      <c r="H5" s="181" t="s">
        <v>5159</v>
      </c>
      <c r="I5" s="181" t="s">
        <v>5189</v>
      </c>
      <c r="J5" s="181" t="s">
        <v>5190</v>
      </c>
      <c r="K5" s="181" t="s">
        <v>5191</v>
      </c>
      <c r="L5" s="181" t="s">
        <v>5192</v>
      </c>
      <c r="M5" s="181" t="s">
        <v>5193</v>
      </c>
      <c r="N5" s="181" t="s">
        <v>5194</v>
      </c>
      <c r="O5" s="181">
        <v>10.0</v>
      </c>
      <c r="P5" s="181" t="b">
        <v>1</v>
      </c>
      <c r="Q5" s="181">
        <v>5.0</v>
      </c>
      <c r="R5" s="181" t="s">
        <v>29</v>
      </c>
      <c r="S5" s="181" t="s">
        <v>29</v>
      </c>
      <c r="T5" s="181" t="s">
        <v>5195</v>
      </c>
      <c r="U5" s="181" t="s">
        <v>5196</v>
      </c>
      <c r="V5" s="181"/>
      <c r="W5" s="181"/>
      <c r="X5" s="181"/>
      <c r="Y5" s="181"/>
      <c r="Z5" s="181"/>
      <c r="AA5" s="181"/>
      <c r="AB5" s="181"/>
      <c r="AC5" s="181"/>
    </row>
    <row r="6">
      <c r="A6" s="181" t="s">
        <v>5197</v>
      </c>
      <c r="B6" s="182" t="s">
        <v>5198</v>
      </c>
      <c r="C6" s="181" t="s">
        <v>5154</v>
      </c>
      <c r="D6" s="181" t="s">
        <v>5155</v>
      </c>
      <c r="E6" s="181" t="s">
        <v>5199</v>
      </c>
      <c r="F6" s="181" t="s">
        <v>5157</v>
      </c>
      <c r="G6" s="181" t="s">
        <v>29</v>
      </c>
      <c r="H6" s="181" t="s">
        <v>5159</v>
      </c>
      <c r="I6" s="181" t="s">
        <v>5200</v>
      </c>
      <c r="J6" s="181" t="s">
        <v>5201</v>
      </c>
      <c r="K6" s="181" t="s">
        <v>5202</v>
      </c>
      <c r="L6" s="181" t="s">
        <v>5163</v>
      </c>
      <c r="M6" s="181" t="s">
        <v>5203</v>
      </c>
      <c r="N6" s="181" t="s">
        <v>5204</v>
      </c>
      <c r="O6" s="181">
        <v>15.0</v>
      </c>
      <c r="P6" s="181" t="b">
        <v>1</v>
      </c>
      <c r="Q6" s="181">
        <v>5.0</v>
      </c>
      <c r="R6" s="181" t="s">
        <v>29</v>
      </c>
      <c r="S6" s="181" t="s">
        <v>29</v>
      </c>
      <c r="T6" s="181" t="s">
        <v>5205</v>
      </c>
      <c r="U6" s="181" t="s">
        <v>5206</v>
      </c>
      <c r="V6" s="181"/>
      <c r="W6" s="181"/>
      <c r="X6" s="181"/>
      <c r="Y6" s="181"/>
      <c r="Z6" s="181"/>
      <c r="AA6" s="181"/>
      <c r="AB6" s="181"/>
      <c r="AC6" s="181"/>
    </row>
    <row r="7">
      <c r="A7" s="181" t="s">
        <v>5207</v>
      </c>
      <c r="B7" s="182" t="s">
        <v>5198</v>
      </c>
      <c r="C7" s="181" t="s">
        <v>5154</v>
      </c>
      <c r="D7" s="181" t="s">
        <v>5155</v>
      </c>
      <c r="E7" s="181" t="s">
        <v>5199</v>
      </c>
      <c r="F7" s="181" t="s">
        <v>5157</v>
      </c>
      <c r="G7" s="181" t="s">
        <v>29</v>
      </c>
      <c r="H7" s="181" t="s">
        <v>5159</v>
      </c>
      <c r="I7" s="181" t="s">
        <v>5208</v>
      </c>
      <c r="J7" s="181" t="s">
        <v>5209</v>
      </c>
      <c r="K7" s="181" t="s">
        <v>5210</v>
      </c>
      <c r="L7" s="181" t="s">
        <v>5163</v>
      </c>
      <c r="M7" s="181" t="s">
        <v>5211</v>
      </c>
      <c r="N7" s="181" t="s">
        <v>5212</v>
      </c>
      <c r="O7" s="181">
        <v>15.0</v>
      </c>
      <c r="P7" s="181" t="b">
        <v>1</v>
      </c>
      <c r="Q7" s="181">
        <v>5.0</v>
      </c>
      <c r="R7" s="181" t="s">
        <v>29</v>
      </c>
      <c r="S7" s="181" t="s">
        <v>29</v>
      </c>
      <c r="T7" s="181" t="s">
        <v>5205</v>
      </c>
      <c r="U7" s="181" t="s">
        <v>5213</v>
      </c>
      <c r="V7" s="181"/>
      <c r="W7" s="181"/>
      <c r="X7" s="181"/>
      <c r="Y7" s="181"/>
      <c r="Z7" s="181"/>
      <c r="AA7" s="181"/>
      <c r="AB7" s="181"/>
      <c r="AC7" s="181"/>
    </row>
    <row r="8">
      <c r="A8" s="181" t="s">
        <v>5168</v>
      </c>
      <c r="B8" s="182" t="s">
        <v>5198</v>
      </c>
      <c r="C8" s="181" t="s">
        <v>5154</v>
      </c>
      <c r="D8" s="181" t="s">
        <v>5155</v>
      </c>
      <c r="E8" s="181" t="s">
        <v>5214</v>
      </c>
      <c r="F8" s="181" t="s">
        <v>5157</v>
      </c>
      <c r="G8" s="181" t="s">
        <v>29</v>
      </c>
      <c r="H8" s="181" t="s">
        <v>5215</v>
      </c>
      <c r="I8" s="181" t="s">
        <v>5216</v>
      </c>
      <c r="J8" s="181" t="s">
        <v>5172</v>
      </c>
      <c r="K8" s="181" t="s">
        <v>29</v>
      </c>
      <c r="L8" s="181" t="s">
        <v>5163</v>
      </c>
      <c r="M8" s="181" t="s">
        <v>5217</v>
      </c>
      <c r="N8" s="181" t="s">
        <v>5174</v>
      </c>
      <c r="O8" s="181">
        <v>15.0</v>
      </c>
      <c r="P8" s="181" t="b">
        <v>1</v>
      </c>
      <c r="Q8" s="181">
        <v>5.0</v>
      </c>
      <c r="R8" s="181" t="s">
        <v>29</v>
      </c>
      <c r="S8" s="181" t="s">
        <v>29</v>
      </c>
      <c r="T8" s="181" t="s">
        <v>5205</v>
      </c>
      <c r="U8" s="181" t="s">
        <v>5218</v>
      </c>
      <c r="V8" s="181"/>
      <c r="W8" s="181"/>
      <c r="X8" s="181"/>
      <c r="Y8" s="181"/>
      <c r="Z8" s="181"/>
      <c r="AA8" s="181"/>
      <c r="AB8" s="181"/>
      <c r="AC8" s="181"/>
    </row>
    <row r="9">
      <c r="A9" s="181" t="s">
        <v>5186</v>
      </c>
      <c r="B9" s="181" t="s">
        <v>4134</v>
      </c>
      <c r="C9" s="181" t="s">
        <v>5154</v>
      </c>
      <c r="D9" s="181" t="s">
        <v>5155</v>
      </c>
      <c r="E9" s="181" t="s">
        <v>5199</v>
      </c>
      <c r="F9" s="181" t="s">
        <v>5157</v>
      </c>
      <c r="G9" s="181" t="s">
        <v>5188</v>
      </c>
      <c r="H9" s="181" t="s">
        <v>5159</v>
      </c>
      <c r="I9" s="181" t="s">
        <v>5219</v>
      </c>
      <c r="J9" s="181" t="s">
        <v>5190</v>
      </c>
      <c r="K9" s="181" t="s">
        <v>5191</v>
      </c>
      <c r="L9" s="181" t="s">
        <v>5220</v>
      </c>
      <c r="M9" s="181" t="s">
        <v>5221</v>
      </c>
      <c r="N9" s="181" t="s">
        <v>5194</v>
      </c>
      <c r="O9" s="181">
        <v>15.0</v>
      </c>
      <c r="P9" s="181" t="b">
        <v>1</v>
      </c>
      <c r="Q9" s="181">
        <v>5.0</v>
      </c>
      <c r="R9" s="181" t="s">
        <v>29</v>
      </c>
      <c r="S9" s="181" t="s">
        <v>29</v>
      </c>
      <c r="T9" s="181" t="s">
        <v>5205</v>
      </c>
      <c r="U9" s="181" t="s">
        <v>5222</v>
      </c>
      <c r="V9" s="181"/>
      <c r="W9" s="181"/>
      <c r="X9" s="181"/>
      <c r="Y9" s="181"/>
      <c r="Z9" s="181"/>
      <c r="AA9" s="181"/>
      <c r="AB9" s="181"/>
      <c r="AC9" s="181"/>
    </row>
    <row r="10">
      <c r="A10" s="182" t="s">
        <v>5223</v>
      </c>
      <c r="B10" s="182" t="s">
        <v>4134</v>
      </c>
      <c r="C10" s="182" t="s">
        <v>5154</v>
      </c>
      <c r="D10" s="182" t="s">
        <v>5224</v>
      </c>
      <c r="E10" s="182" t="s">
        <v>5225</v>
      </c>
      <c r="F10" s="181"/>
      <c r="G10" s="181"/>
      <c r="H10" s="181"/>
      <c r="I10" s="181"/>
      <c r="J10" s="181"/>
      <c r="K10" s="181"/>
      <c r="L10" s="181"/>
      <c r="M10" s="181"/>
      <c r="N10" s="181"/>
      <c r="O10" s="181"/>
      <c r="P10" s="181"/>
      <c r="Q10" s="181"/>
      <c r="R10" s="181"/>
      <c r="S10" s="181"/>
      <c r="T10" s="182" t="s">
        <v>5226</v>
      </c>
      <c r="U10" s="182" t="s">
        <v>5227</v>
      </c>
      <c r="V10" s="181" t="s">
        <v>5228</v>
      </c>
      <c r="W10" s="181">
        <v>100.0</v>
      </c>
      <c r="X10" s="181" t="s">
        <v>5229</v>
      </c>
      <c r="Y10" s="181" t="s">
        <v>5230</v>
      </c>
      <c r="Z10" s="181" t="s">
        <v>5231</v>
      </c>
      <c r="AA10" s="181">
        <v>3.0</v>
      </c>
      <c r="AB10" s="181">
        <v>3.0</v>
      </c>
      <c r="AC10" s="181">
        <v>5.0</v>
      </c>
    </row>
    <row r="11">
      <c r="A11" s="182" t="s">
        <v>5232</v>
      </c>
      <c r="B11" s="182" t="s">
        <v>4134</v>
      </c>
      <c r="C11" s="182" t="s">
        <v>5154</v>
      </c>
      <c r="D11" s="182" t="s">
        <v>5224</v>
      </c>
      <c r="E11" s="182" t="s">
        <v>5233</v>
      </c>
      <c r="F11" s="181"/>
      <c r="G11" s="181"/>
      <c r="H11" s="181"/>
      <c r="I11" s="181"/>
      <c r="J11" s="181"/>
      <c r="K11" s="181"/>
      <c r="L11" s="181"/>
      <c r="M11" s="181"/>
      <c r="N11" s="181"/>
      <c r="O11" s="181"/>
      <c r="P11" s="181"/>
      <c r="Q11" s="181"/>
      <c r="R11" s="181"/>
      <c r="S11" s="181"/>
      <c r="T11" s="182" t="s">
        <v>5234</v>
      </c>
      <c r="U11" s="182" t="s">
        <v>5235</v>
      </c>
      <c r="V11" s="181" t="s">
        <v>5236</v>
      </c>
      <c r="W11" s="181">
        <v>90.0</v>
      </c>
      <c r="X11" s="181" t="s">
        <v>5237</v>
      </c>
      <c r="Y11" s="181" t="s">
        <v>5238</v>
      </c>
      <c r="Z11" s="181"/>
      <c r="AA11" s="181">
        <v>3.0</v>
      </c>
      <c r="AB11" s="181">
        <v>1.0</v>
      </c>
      <c r="AC11" s="181">
        <v>3.0</v>
      </c>
    </row>
    <row r="12">
      <c r="A12" s="182" t="s">
        <v>5239</v>
      </c>
      <c r="B12" s="182" t="s">
        <v>4134</v>
      </c>
      <c r="C12" s="182" t="s">
        <v>5154</v>
      </c>
      <c r="D12" s="182" t="s">
        <v>5224</v>
      </c>
      <c r="E12" s="182" t="s">
        <v>5240</v>
      </c>
      <c r="F12" s="181"/>
      <c r="G12" s="181"/>
      <c r="H12" s="181"/>
      <c r="I12" s="181"/>
      <c r="J12" s="181"/>
      <c r="K12" s="181"/>
      <c r="L12" s="181"/>
      <c r="M12" s="181"/>
      <c r="N12" s="181"/>
      <c r="O12" s="181"/>
      <c r="P12" s="181"/>
      <c r="Q12" s="181"/>
      <c r="R12" s="181"/>
      <c r="S12" s="181"/>
      <c r="T12" s="182" t="s">
        <v>5241</v>
      </c>
      <c r="U12" s="182" t="s">
        <v>5242</v>
      </c>
      <c r="V12" s="181" t="s">
        <v>4412</v>
      </c>
      <c r="W12" s="181">
        <v>80.0</v>
      </c>
      <c r="X12" s="181" t="s">
        <v>5243</v>
      </c>
      <c r="Y12" s="181" t="s">
        <v>5244</v>
      </c>
      <c r="Z12" s="181" t="s">
        <v>5245</v>
      </c>
      <c r="AA12" s="181">
        <v>3.0</v>
      </c>
      <c r="AB12" s="181">
        <v>100.0</v>
      </c>
      <c r="AC12" s="181">
        <v>3.0</v>
      </c>
    </row>
    <row r="13">
      <c r="A13" s="182" t="s">
        <v>5246</v>
      </c>
      <c r="B13" s="182" t="s">
        <v>4134</v>
      </c>
      <c r="C13" s="182" t="s">
        <v>5154</v>
      </c>
      <c r="D13" s="182" t="s">
        <v>5224</v>
      </c>
      <c r="E13" s="182" t="s">
        <v>5247</v>
      </c>
      <c r="F13" s="181"/>
      <c r="G13" s="181"/>
      <c r="H13" s="181"/>
      <c r="I13" s="181"/>
      <c r="J13" s="181"/>
      <c r="K13" s="181"/>
      <c r="L13" s="181"/>
      <c r="M13" s="181"/>
      <c r="N13" s="181"/>
      <c r="O13" s="181"/>
      <c r="P13" s="181"/>
      <c r="Q13" s="181"/>
      <c r="R13" s="181"/>
      <c r="S13" s="181"/>
      <c r="T13" s="182" t="s">
        <v>5248</v>
      </c>
      <c r="U13" s="182" t="s">
        <v>5249</v>
      </c>
      <c r="V13" s="181" t="s">
        <v>4637</v>
      </c>
      <c r="W13" s="181">
        <v>60.0</v>
      </c>
      <c r="X13" s="181" t="s">
        <v>5250</v>
      </c>
      <c r="Y13" s="181" t="s">
        <v>5251</v>
      </c>
      <c r="Z13" s="181" t="s">
        <v>5245</v>
      </c>
      <c r="AA13" s="181">
        <v>3.0</v>
      </c>
      <c r="AB13" s="181">
        <v>100.0</v>
      </c>
      <c r="AC13" s="181">
        <v>5.0</v>
      </c>
    </row>
    <row r="14">
      <c r="A14" s="182" t="s">
        <v>5252</v>
      </c>
      <c r="B14" s="182" t="s">
        <v>5253</v>
      </c>
      <c r="C14" s="182" t="s">
        <v>5154</v>
      </c>
      <c r="D14" s="182" t="s">
        <v>5224</v>
      </c>
      <c r="E14" s="182" t="s">
        <v>5254</v>
      </c>
      <c r="F14" s="181"/>
      <c r="G14" s="181"/>
      <c r="H14" s="181"/>
      <c r="I14" s="181"/>
      <c r="J14" s="181"/>
      <c r="K14" s="181"/>
      <c r="L14" s="181"/>
      <c r="M14" s="181"/>
      <c r="N14" s="181"/>
      <c r="O14" s="181"/>
      <c r="P14" s="181"/>
      <c r="Q14" s="181"/>
      <c r="R14" s="181"/>
      <c r="S14" s="181"/>
      <c r="T14" s="182" t="s">
        <v>5255</v>
      </c>
      <c r="U14" s="182" t="s">
        <v>5256</v>
      </c>
      <c r="V14" s="181" t="s">
        <v>4635</v>
      </c>
      <c r="W14" s="181">
        <v>50.0</v>
      </c>
      <c r="X14" s="181" t="s">
        <v>5257</v>
      </c>
      <c r="Y14" s="181" t="s">
        <v>5251</v>
      </c>
      <c r="Z14" s="181" t="s">
        <v>5245</v>
      </c>
      <c r="AA14" s="181">
        <v>3.0</v>
      </c>
      <c r="AB14" s="181">
        <v>100.0</v>
      </c>
      <c r="AC14" s="181">
        <v>8.0</v>
      </c>
    </row>
    <row r="15">
      <c r="A15" s="182" t="s">
        <v>5258</v>
      </c>
      <c r="B15" s="182" t="s">
        <v>5253</v>
      </c>
      <c r="C15" s="182" t="s">
        <v>5154</v>
      </c>
      <c r="D15" s="182" t="s">
        <v>5224</v>
      </c>
      <c r="E15" s="182" t="s">
        <v>5259</v>
      </c>
      <c r="F15" s="181"/>
      <c r="G15" s="181"/>
      <c r="H15" s="181"/>
      <c r="I15" s="181"/>
      <c r="J15" s="181"/>
      <c r="K15" s="181"/>
      <c r="L15" s="181"/>
      <c r="M15" s="181"/>
      <c r="N15" s="181"/>
      <c r="O15" s="181"/>
      <c r="P15" s="181"/>
      <c r="Q15" s="181"/>
      <c r="R15" s="181"/>
      <c r="S15" s="181"/>
      <c r="T15" s="182" t="s">
        <v>5260</v>
      </c>
      <c r="U15" s="182" t="s">
        <v>5261</v>
      </c>
      <c r="V15" s="181" t="s">
        <v>5262</v>
      </c>
      <c r="W15" s="181">
        <v>70.0</v>
      </c>
      <c r="X15" s="181" t="s">
        <v>5263</v>
      </c>
      <c r="Y15" s="181" t="s">
        <v>5264</v>
      </c>
      <c r="Z15" s="181"/>
      <c r="AA15" s="181">
        <v>5.0</v>
      </c>
      <c r="AB15" s="181">
        <v>1.0</v>
      </c>
      <c r="AC15" s="181">
        <v>10.0</v>
      </c>
    </row>
    <row r="16">
      <c r="A16" s="182" t="s">
        <v>5265</v>
      </c>
      <c r="B16" s="182" t="s">
        <v>4134</v>
      </c>
      <c r="C16" s="182" t="s">
        <v>5154</v>
      </c>
      <c r="D16" s="182" t="s">
        <v>5266</v>
      </c>
      <c r="E16" s="182" t="s">
        <v>5267</v>
      </c>
      <c r="F16" s="182" t="s">
        <v>5157</v>
      </c>
      <c r="G16" s="181"/>
      <c r="H16" s="182" t="s">
        <v>5268</v>
      </c>
      <c r="I16" s="182" t="s">
        <v>5269</v>
      </c>
      <c r="J16" s="182" t="s">
        <v>5270</v>
      </c>
      <c r="K16" s="181"/>
      <c r="L16" s="182" t="s">
        <v>5271</v>
      </c>
      <c r="M16" s="181"/>
      <c r="N16" s="182" t="s">
        <v>5272</v>
      </c>
      <c r="O16" s="182">
        <v>15.0</v>
      </c>
      <c r="P16" s="182" t="b">
        <v>1</v>
      </c>
      <c r="Q16" s="182">
        <v>5.0</v>
      </c>
      <c r="R16" s="181"/>
      <c r="S16" s="181"/>
      <c r="T16" s="182" t="s">
        <v>5273</v>
      </c>
      <c r="U16" s="182" t="s">
        <v>5245</v>
      </c>
      <c r="V16" s="181" t="s">
        <v>5274</v>
      </c>
      <c r="W16" s="181"/>
      <c r="X16" s="181"/>
      <c r="Y16" s="181"/>
      <c r="Z16" s="181"/>
      <c r="AA16" s="181"/>
      <c r="AB16" s="181">
        <v>100.0</v>
      </c>
      <c r="AC16" s="181"/>
    </row>
    <row r="17">
      <c r="A17" s="182" t="s">
        <v>5275</v>
      </c>
      <c r="B17" s="182" t="s">
        <v>4134</v>
      </c>
      <c r="C17" s="182" t="s">
        <v>5154</v>
      </c>
      <c r="D17" s="182" t="s">
        <v>5266</v>
      </c>
      <c r="E17" s="182" t="s">
        <v>5276</v>
      </c>
      <c r="F17" s="182" t="s">
        <v>5157</v>
      </c>
      <c r="G17" s="181"/>
      <c r="H17" s="182" t="s">
        <v>5268</v>
      </c>
      <c r="I17" s="182" t="s">
        <v>5269</v>
      </c>
      <c r="J17" s="182" t="s">
        <v>5270</v>
      </c>
      <c r="K17" s="181"/>
      <c r="L17" s="182" t="s">
        <v>5271</v>
      </c>
      <c r="M17" s="181"/>
      <c r="N17" s="182" t="s">
        <v>5277</v>
      </c>
      <c r="O17" s="182">
        <v>15.0</v>
      </c>
      <c r="P17" s="182" t="b">
        <v>1</v>
      </c>
      <c r="Q17" s="182">
        <v>5.0</v>
      </c>
      <c r="R17" s="181"/>
      <c r="S17" s="181"/>
      <c r="T17" s="182" t="s">
        <v>5278</v>
      </c>
      <c r="U17" s="182" t="s">
        <v>5231</v>
      </c>
      <c r="V17" s="181" t="s">
        <v>5228</v>
      </c>
      <c r="W17" s="181"/>
      <c r="X17" s="181"/>
      <c r="Y17" s="181"/>
      <c r="Z17" s="181"/>
      <c r="AA17" s="181"/>
      <c r="AB17" s="181">
        <v>3.0</v>
      </c>
      <c r="AC17" s="181"/>
    </row>
    <row r="18">
      <c r="A18" s="182" t="s">
        <v>5279</v>
      </c>
      <c r="B18" s="182" t="s">
        <v>4134</v>
      </c>
      <c r="C18" s="182" t="s">
        <v>2049</v>
      </c>
      <c r="D18" s="182" t="s">
        <v>5155</v>
      </c>
      <c r="E18" s="182" t="s">
        <v>5280</v>
      </c>
      <c r="F18" s="182" t="s">
        <v>5281</v>
      </c>
      <c r="G18" s="182" t="s">
        <v>29</v>
      </c>
      <c r="H18" s="182" t="s">
        <v>5282</v>
      </c>
      <c r="I18" s="182" t="s">
        <v>5283</v>
      </c>
      <c r="J18" s="182" t="s">
        <v>5270</v>
      </c>
      <c r="K18" s="182" t="s">
        <v>5284</v>
      </c>
      <c r="L18" s="182" t="s">
        <v>5285</v>
      </c>
      <c r="M18" s="182" t="s">
        <v>5286</v>
      </c>
      <c r="N18" s="182" t="s">
        <v>5287</v>
      </c>
      <c r="O18" s="182" t="s">
        <v>29</v>
      </c>
      <c r="P18" s="182" t="b">
        <v>0</v>
      </c>
      <c r="Q18" s="182" t="s">
        <v>29</v>
      </c>
      <c r="R18" s="182" t="s">
        <v>29</v>
      </c>
      <c r="S18" s="182" t="s">
        <v>29</v>
      </c>
      <c r="T18" s="182" t="s">
        <v>5288</v>
      </c>
      <c r="U18" s="182" t="s">
        <v>5289</v>
      </c>
      <c r="V18" s="182" t="s">
        <v>29</v>
      </c>
      <c r="W18" s="182" t="s">
        <v>29</v>
      </c>
      <c r="X18" s="182" t="s">
        <v>29</v>
      </c>
      <c r="Y18" s="182" t="s">
        <v>29</v>
      </c>
      <c r="Z18" s="182" t="s">
        <v>29</v>
      </c>
      <c r="AA18" s="182" t="s">
        <v>29</v>
      </c>
      <c r="AB18" s="182" t="s">
        <v>29</v>
      </c>
      <c r="AC18" s="182" t="s">
        <v>29</v>
      </c>
    </row>
    <row r="19">
      <c r="A19" s="182" t="s">
        <v>5290</v>
      </c>
      <c r="B19" s="182" t="s">
        <v>4134</v>
      </c>
      <c r="C19" s="182" t="s">
        <v>2049</v>
      </c>
      <c r="D19" s="182" t="s">
        <v>5155</v>
      </c>
      <c r="E19" s="182" t="s">
        <v>5291</v>
      </c>
      <c r="F19" s="182" t="s">
        <v>5281</v>
      </c>
      <c r="G19" s="182" t="s">
        <v>29</v>
      </c>
      <c r="H19" s="182" t="s">
        <v>5282</v>
      </c>
      <c r="I19" s="182" t="s">
        <v>5283</v>
      </c>
      <c r="J19" s="182" t="s">
        <v>5270</v>
      </c>
      <c r="K19" s="182" t="s">
        <v>29</v>
      </c>
      <c r="L19" s="182" t="s">
        <v>5285</v>
      </c>
      <c r="M19" s="182" t="s">
        <v>5292</v>
      </c>
      <c r="N19" s="182" t="s">
        <v>5293</v>
      </c>
      <c r="O19" s="182" t="s">
        <v>29</v>
      </c>
      <c r="P19" s="182" t="b">
        <v>0</v>
      </c>
      <c r="Q19" s="182" t="s">
        <v>29</v>
      </c>
      <c r="R19" s="182" t="s">
        <v>29</v>
      </c>
      <c r="S19" s="182" t="s">
        <v>29</v>
      </c>
      <c r="T19" s="182" t="s">
        <v>5288</v>
      </c>
      <c r="U19" s="182" t="s">
        <v>5294</v>
      </c>
      <c r="V19" s="182" t="s">
        <v>29</v>
      </c>
      <c r="W19" s="182" t="s">
        <v>29</v>
      </c>
      <c r="X19" s="182" t="s">
        <v>29</v>
      </c>
      <c r="Y19" s="182" t="s">
        <v>29</v>
      </c>
      <c r="Z19" s="182" t="s">
        <v>29</v>
      </c>
      <c r="AA19" s="182">
        <v>16.0</v>
      </c>
      <c r="AB19" s="182" t="s">
        <v>29</v>
      </c>
      <c r="AC19" s="182" t="s">
        <v>29</v>
      </c>
    </row>
    <row r="20">
      <c r="A20" s="182" t="s">
        <v>5295</v>
      </c>
      <c r="B20" s="182" t="s">
        <v>4134</v>
      </c>
      <c r="C20" s="182" t="s">
        <v>2049</v>
      </c>
      <c r="D20" s="182" t="s">
        <v>5155</v>
      </c>
      <c r="E20" s="182" t="s">
        <v>5296</v>
      </c>
      <c r="F20" s="182" t="s">
        <v>5281</v>
      </c>
      <c r="G20" s="182" t="s">
        <v>29</v>
      </c>
      <c r="H20" s="182" t="s">
        <v>5282</v>
      </c>
      <c r="I20" s="182" t="s">
        <v>5283</v>
      </c>
      <c r="J20" s="182" t="s">
        <v>5270</v>
      </c>
      <c r="K20" s="182" t="s">
        <v>29</v>
      </c>
      <c r="L20" s="182" t="s">
        <v>5285</v>
      </c>
      <c r="M20" s="182" t="s">
        <v>5297</v>
      </c>
      <c r="N20" s="182" t="s">
        <v>5298</v>
      </c>
      <c r="O20" s="182" t="s">
        <v>29</v>
      </c>
      <c r="P20" s="182" t="b">
        <v>0</v>
      </c>
      <c r="Q20" s="182" t="s">
        <v>29</v>
      </c>
      <c r="R20" s="182" t="s">
        <v>29</v>
      </c>
      <c r="S20" s="182" t="s">
        <v>29</v>
      </c>
      <c r="T20" s="182" t="s">
        <v>5288</v>
      </c>
      <c r="U20" s="182" t="s">
        <v>5299</v>
      </c>
      <c r="V20" s="182" t="s">
        <v>29</v>
      </c>
      <c r="W20" s="182" t="s">
        <v>29</v>
      </c>
      <c r="X20" s="182" t="s">
        <v>29</v>
      </c>
      <c r="Y20" s="182" t="s">
        <v>29</v>
      </c>
      <c r="Z20" s="182" t="s">
        <v>29</v>
      </c>
      <c r="AA20" s="182">
        <v>3.0</v>
      </c>
      <c r="AB20" s="182" t="s">
        <v>29</v>
      </c>
      <c r="AC20" s="182" t="s">
        <v>29</v>
      </c>
    </row>
    <row r="21">
      <c r="A21" s="182" t="s">
        <v>5300</v>
      </c>
      <c r="B21" s="182" t="s">
        <v>4134</v>
      </c>
      <c r="C21" s="182" t="s">
        <v>5154</v>
      </c>
      <c r="D21" s="182" t="s">
        <v>5266</v>
      </c>
      <c r="E21" s="182" t="s">
        <v>5301</v>
      </c>
      <c r="F21" s="182" t="s">
        <v>5157</v>
      </c>
      <c r="G21" s="182" t="s">
        <v>29</v>
      </c>
      <c r="H21" s="182" t="s">
        <v>5268</v>
      </c>
      <c r="I21" s="182" t="s">
        <v>5269</v>
      </c>
      <c r="J21" s="182" t="s">
        <v>5270</v>
      </c>
      <c r="K21" s="182" t="s">
        <v>29</v>
      </c>
      <c r="L21" s="182" t="s">
        <v>5271</v>
      </c>
      <c r="M21" s="182" t="s">
        <v>29</v>
      </c>
      <c r="N21" s="182" t="s">
        <v>5302</v>
      </c>
      <c r="O21" s="182">
        <v>20.0</v>
      </c>
      <c r="P21" s="182" t="b">
        <v>1</v>
      </c>
      <c r="Q21" s="182">
        <v>5.0</v>
      </c>
      <c r="R21" s="182" t="s">
        <v>29</v>
      </c>
      <c r="S21" s="182" t="s">
        <v>29</v>
      </c>
      <c r="T21" s="182" t="s">
        <v>5303</v>
      </c>
      <c r="U21" s="182" t="s">
        <v>5304</v>
      </c>
      <c r="V21" s="182" t="s">
        <v>5305</v>
      </c>
      <c r="W21" s="182" t="s">
        <v>29</v>
      </c>
      <c r="X21" s="182" t="s">
        <v>29</v>
      </c>
      <c r="Y21" s="182" t="s">
        <v>29</v>
      </c>
      <c r="Z21" s="182" t="s">
        <v>29</v>
      </c>
      <c r="AA21" s="182">
        <v>1.0</v>
      </c>
      <c r="AB21" s="182" t="s">
        <v>29</v>
      </c>
      <c r="AC21" s="182" t="s">
        <v>29</v>
      </c>
    </row>
    <row r="22">
      <c r="A22" s="182" t="s">
        <v>5306</v>
      </c>
      <c r="B22" s="182" t="s">
        <v>4134</v>
      </c>
      <c r="C22" s="182" t="s">
        <v>5154</v>
      </c>
      <c r="D22" s="182" t="s">
        <v>5266</v>
      </c>
      <c r="E22" s="182" t="s">
        <v>5307</v>
      </c>
      <c r="F22" s="182" t="s">
        <v>5157</v>
      </c>
      <c r="G22" s="182" t="s">
        <v>29</v>
      </c>
      <c r="H22" s="182" t="s">
        <v>5268</v>
      </c>
      <c r="I22" s="182" t="s">
        <v>5269</v>
      </c>
      <c r="J22" s="182" t="s">
        <v>5270</v>
      </c>
      <c r="K22" s="182" t="s">
        <v>29</v>
      </c>
      <c r="L22" s="182" t="s">
        <v>5271</v>
      </c>
      <c r="M22" s="182" t="s">
        <v>29</v>
      </c>
      <c r="N22" s="182" t="s">
        <v>5308</v>
      </c>
      <c r="O22" s="182">
        <v>20.0</v>
      </c>
      <c r="P22" s="182" t="b">
        <v>1</v>
      </c>
      <c r="Q22" s="182">
        <v>5.0</v>
      </c>
      <c r="R22" s="182" t="s">
        <v>29</v>
      </c>
      <c r="S22" s="182" t="s">
        <v>29</v>
      </c>
      <c r="T22" s="182" t="s">
        <v>5303</v>
      </c>
      <c r="U22" s="182" t="s">
        <v>5309</v>
      </c>
      <c r="V22" s="182" t="s">
        <v>5310</v>
      </c>
      <c r="W22" s="182" t="s">
        <v>29</v>
      </c>
      <c r="X22" s="182" t="s">
        <v>29</v>
      </c>
      <c r="Y22" s="182" t="s">
        <v>29</v>
      </c>
      <c r="Z22" s="182" t="s">
        <v>29</v>
      </c>
      <c r="AA22" s="182">
        <v>3.0</v>
      </c>
      <c r="AB22" s="182" t="s">
        <v>29</v>
      </c>
      <c r="AC22" s="182" t="s">
        <v>29</v>
      </c>
    </row>
    <row r="23">
      <c r="A23" s="182" t="s">
        <v>5311</v>
      </c>
      <c r="B23" s="182" t="s">
        <v>4134</v>
      </c>
      <c r="C23" s="182" t="s">
        <v>5154</v>
      </c>
      <c r="D23" s="182" t="s">
        <v>5266</v>
      </c>
      <c r="E23" s="182" t="s">
        <v>5312</v>
      </c>
      <c r="F23" s="182" t="s">
        <v>5157</v>
      </c>
      <c r="G23" s="182" t="s">
        <v>29</v>
      </c>
      <c r="H23" s="182" t="s">
        <v>5268</v>
      </c>
      <c r="I23" s="182" t="s">
        <v>5269</v>
      </c>
      <c r="J23" s="182" t="s">
        <v>5270</v>
      </c>
      <c r="K23" s="182" t="s">
        <v>29</v>
      </c>
      <c r="L23" s="182" t="s">
        <v>5271</v>
      </c>
      <c r="M23" s="182" t="s">
        <v>29</v>
      </c>
      <c r="N23" s="182" t="s">
        <v>5313</v>
      </c>
      <c r="O23" s="182">
        <v>20.0</v>
      </c>
      <c r="P23" s="182" t="b">
        <v>1</v>
      </c>
      <c r="Q23" s="182">
        <v>5.0</v>
      </c>
      <c r="R23" s="182" t="s">
        <v>29</v>
      </c>
      <c r="S23" s="182" t="s">
        <v>29</v>
      </c>
      <c r="T23" s="182" t="s">
        <v>5303</v>
      </c>
      <c r="U23" s="182" t="s">
        <v>5314</v>
      </c>
      <c r="V23" s="182" t="s">
        <v>5315</v>
      </c>
      <c r="W23" s="182" t="s">
        <v>29</v>
      </c>
      <c r="X23" s="182" t="s">
        <v>29</v>
      </c>
      <c r="Y23" s="182" t="s">
        <v>29</v>
      </c>
      <c r="Z23" s="182" t="s">
        <v>29</v>
      </c>
      <c r="AA23" s="182">
        <v>1.0</v>
      </c>
      <c r="AB23" s="182" t="s">
        <v>29</v>
      </c>
      <c r="AC23" s="182" t="s">
        <v>29</v>
      </c>
    </row>
    <row r="24">
      <c r="A24" s="182" t="s">
        <v>5316</v>
      </c>
      <c r="B24" s="182" t="s">
        <v>4134</v>
      </c>
      <c r="C24" s="182" t="s">
        <v>5154</v>
      </c>
      <c r="D24" s="182" t="s">
        <v>5266</v>
      </c>
      <c r="E24" s="182" t="s">
        <v>5317</v>
      </c>
      <c r="F24" s="182" t="s">
        <v>5157</v>
      </c>
      <c r="G24" s="182" t="s">
        <v>29</v>
      </c>
      <c r="H24" s="182" t="s">
        <v>5268</v>
      </c>
      <c r="I24" s="182" t="s">
        <v>5269</v>
      </c>
      <c r="J24" s="182" t="s">
        <v>5270</v>
      </c>
      <c r="K24" s="182" t="s">
        <v>29</v>
      </c>
      <c r="L24" s="182" t="s">
        <v>5271</v>
      </c>
      <c r="M24" s="182" t="s">
        <v>29</v>
      </c>
      <c r="N24" s="182" t="s">
        <v>29</v>
      </c>
      <c r="O24" s="182" t="s">
        <v>29</v>
      </c>
      <c r="P24" s="182" t="b">
        <v>1</v>
      </c>
      <c r="Q24" s="182">
        <v>5.0</v>
      </c>
      <c r="R24" s="182">
        <v>5.0</v>
      </c>
      <c r="S24" s="182">
        <v>3.0</v>
      </c>
      <c r="T24" s="182" t="s">
        <v>5303</v>
      </c>
      <c r="U24" s="182" t="s">
        <v>5318</v>
      </c>
      <c r="V24" s="182" t="s">
        <v>5319</v>
      </c>
      <c r="W24" s="182" t="s">
        <v>29</v>
      </c>
      <c r="X24" s="182" t="s">
        <v>29</v>
      </c>
      <c r="Y24" s="182" t="s">
        <v>29</v>
      </c>
      <c r="Z24" s="182" t="s">
        <v>29</v>
      </c>
      <c r="AA24" s="182" t="s">
        <v>29</v>
      </c>
      <c r="AB24" s="182">
        <v>20.0</v>
      </c>
      <c r="AC24" s="182">
        <v>3.0</v>
      </c>
    </row>
  </sheetData>
  <autoFilter ref="$A$1:$U$100"/>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 customWidth="1" min="7" max="8" width="43.88"/>
    <col customWidth="1" min="13" max="13" width="41.38"/>
  </cols>
  <sheetData>
    <row r="1">
      <c r="A1" s="183" t="s">
        <v>3322</v>
      </c>
      <c r="B1" s="183" t="s">
        <v>3649</v>
      </c>
      <c r="C1" s="183" t="s">
        <v>5320</v>
      </c>
      <c r="D1" s="183" t="s">
        <v>5321</v>
      </c>
      <c r="E1" s="183" t="s">
        <v>2620</v>
      </c>
      <c r="F1" s="183" t="s">
        <v>5322</v>
      </c>
      <c r="G1" s="184" t="s">
        <v>5323</v>
      </c>
      <c r="H1" s="184" t="s">
        <v>5324</v>
      </c>
      <c r="I1" s="184" t="s">
        <v>5325</v>
      </c>
      <c r="J1" s="184" t="s">
        <v>5326</v>
      </c>
      <c r="K1" s="184" t="s">
        <v>5327</v>
      </c>
      <c r="L1" s="184" t="s">
        <v>5328</v>
      </c>
      <c r="M1" s="184" t="s">
        <v>5329</v>
      </c>
      <c r="N1" s="184" t="s">
        <v>5330</v>
      </c>
    </row>
    <row r="2">
      <c r="A2" s="126" t="s">
        <v>5331</v>
      </c>
      <c r="B2" s="126" t="s">
        <v>3283</v>
      </c>
      <c r="C2" s="126" t="s">
        <v>57</v>
      </c>
      <c r="D2" s="126" t="s">
        <v>58</v>
      </c>
      <c r="E2" s="126" t="s">
        <v>5332</v>
      </c>
      <c r="F2" s="126" t="s">
        <v>4938</v>
      </c>
      <c r="G2" s="106" t="s">
        <v>5333</v>
      </c>
      <c r="H2" s="106" t="s">
        <v>5334</v>
      </c>
      <c r="I2" s="106">
        <v>40.0</v>
      </c>
      <c r="J2" s="106">
        <v>2.0</v>
      </c>
      <c r="K2" s="106">
        <v>20.0</v>
      </c>
      <c r="L2" s="106">
        <v>5.0</v>
      </c>
      <c r="M2" s="106" t="s">
        <v>5335</v>
      </c>
      <c r="N2" s="106">
        <v>3.0</v>
      </c>
    </row>
    <row r="3">
      <c r="A3" s="126" t="s">
        <v>5336</v>
      </c>
      <c r="B3" s="126" t="s">
        <v>3285</v>
      </c>
      <c r="C3" s="126" t="s">
        <v>56</v>
      </c>
      <c r="D3" s="126" t="s">
        <v>54</v>
      </c>
      <c r="E3" s="126" t="s">
        <v>5337</v>
      </c>
      <c r="F3" s="126" t="s">
        <v>4938</v>
      </c>
      <c r="G3" s="106" t="s">
        <v>5338</v>
      </c>
      <c r="H3" s="106" t="s">
        <v>5339</v>
      </c>
      <c r="I3" s="106">
        <v>40.0</v>
      </c>
      <c r="J3" s="106">
        <v>2.0</v>
      </c>
      <c r="K3" s="106">
        <v>20.0</v>
      </c>
      <c r="L3" s="106">
        <v>5.0</v>
      </c>
      <c r="M3" s="106" t="s">
        <v>5335</v>
      </c>
      <c r="N3" s="106">
        <v>3.0</v>
      </c>
    </row>
    <row r="4">
      <c r="A4" s="126" t="s">
        <v>5340</v>
      </c>
      <c r="B4" s="126" t="s">
        <v>3287</v>
      </c>
      <c r="C4" s="126" t="s">
        <v>67</v>
      </c>
      <c r="D4" s="126" t="s">
        <v>57</v>
      </c>
      <c r="E4" s="126" t="s">
        <v>5341</v>
      </c>
      <c r="F4" s="126" t="s">
        <v>4938</v>
      </c>
      <c r="G4" s="106" t="s">
        <v>5342</v>
      </c>
      <c r="H4" s="106" t="s">
        <v>5343</v>
      </c>
      <c r="I4" s="106">
        <v>40.0</v>
      </c>
      <c r="J4" s="106">
        <v>2.0</v>
      </c>
      <c r="K4" s="106">
        <v>20.0</v>
      </c>
      <c r="L4" s="106">
        <v>5.0</v>
      </c>
      <c r="M4" s="106" t="s">
        <v>5335</v>
      </c>
      <c r="N4" s="106">
        <v>3.0</v>
      </c>
    </row>
    <row r="5">
      <c r="A5" s="126" t="s">
        <v>5344</v>
      </c>
      <c r="B5" s="126" t="s">
        <v>3289</v>
      </c>
      <c r="C5" s="126" t="s">
        <v>61</v>
      </c>
      <c r="D5" s="126" t="s">
        <v>60</v>
      </c>
      <c r="E5" s="126" t="s">
        <v>5345</v>
      </c>
      <c r="F5" s="126" t="s">
        <v>4938</v>
      </c>
      <c r="G5" s="106" t="s">
        <v>5346</v>
      </c>
      <c r="H5" s="106" t="s">
        <v>5347</v>
      </c>
      <c r="I5" s="106">
        <v>40.0</v>
      </c>
      <c r="J5" s="106">
        <v>2.0</v>
      </c>
      <c r="K5" s="106">
        <v>20.0</v>
      </c>
      <c r="L5" s="106">
        <v>5.0</v>
      </c>
      <c r="M5" s="106" t="s">
        <v>5335</v>
      </c>
      <c r="N5" s="106">
        <v>3.0</v>
      </c>
    </row>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4" width="8.38"/>
    <col customWidth="1" min="5" max="5" width="6.5"/>
    <col customWidth="1" min="6" max="6" width="8.38"/>
    <col customWidth="1" min="7" max="7" width="12.0"/>
    <col customWidth="1" min="8" max="8" width="26.63"/>
    <col customWidth="1" min="9" max="11" width="8.38"/>
    <col customWidth="1" min="12" max="12" width="12.0"/>
    <col customWidth="1" min="13" max="13" width="14.13"/>
    <col customWidth="1" min="14" max="17" width="17.63"/>
  </cols>
  <sheetData>
    <row r="1">
      <c r="A1" s="185" t="s">
        <v>2561</v>
      </c>
      <c r="B1" s="185" t="s">
        <v>3309</v>
      </c>
      <c r="C1" s="185" t="s">
        <v>3650</v>
      </c>
      <c r="D1" s="185" t="s">
        <v>5348</v>
      </c>
      <c r="E1" s="185" t="s">
        <v>5349</v>
      </c>
      <c r="F1" s="185" t="s">
        <v>5350</v>
      </c>
      <c r="G1" s="185" t="s">
        <v>5351</v>
      </c>
      <c r="H1" s="185" t="s">
        <v>5352</v>
      </c>
      <c r="I1" s="185" t="s">
        <v>5353</v>
      </c>
      <c r="J1" s="185" t="s">
        <v>5354</v>
      </c>
      <c r="K1" s="185" t="s">
        <v>5355</v>
      </c>
      <c r="L1" s="186" t="s">
        <v>3218</v>
      </c>
      <c r="M1" s="186" t="s">
        <v>3219</v>
      </c>
      <c r="N1" s="123" t="s">
        <v>3330</v>
      </c>
      <c r="O1" s="123" t="s">
        <v>3331</v>
      </c>
      <c r="P1" s="123" t="s">
        <v>5356</v>
      </c>
      <c r="Q1" s="123" t="s">
        <v>5357</v>
      </c>
    </row>
    <row r="2">
      <c r="A2" s="39" t="s">
        <v>5358</v>
      </c>
      <c r="B2" s="39" t="s">
        <v>5359</v>
      </c>
      <c r="C2" s="39" t="s">
        <v>4412</v>
      </c>
      <c r="D2" s="39" t="s">
        <v>29</v>
      </c>
      <c r="E2" s="39" t="s">
        <v>29</v>
      </c>
      <c r="F2" s="39" t="s">
        <v>29</v>
      </c>
      <c r="G2" s="39" t="s">
        <v>29</v>
      </c>
      <c r="H2" s="39" t="s">
        <v>29</v>
      </c>
      <c r="I2" s="39"/>
      <c r="J2" s="39"/>
      <c r="K2" s="39">
        <v>1.0</v>
      </c>
      <c r="L2" s="39" t="s">
        <v>3270</v>
      </c>
      <c r="M2" s="39">
        <v>0.0</v>
      </c>
      <c r="N2" s="39">
        <v>-5.0</v>
      </c>
      <c r="O2" s="39">
        <v>30.0</v>
      </c>
      <c r="P2" s="39">
        <v>50.0</v>
      </c>
      <c r="Q2" s="39"/>
    </row>
    <row r="3">
      <c r="A3" s="39" t="s">
        <v>5360</v>
      </c>
      <c r="B3" s="39" t="s">
        <v>5361</v>
      </c>
      <c r="C3" s="39" t="s">
        <v>4412</v>
      </c>
      <c r="D3" s="39" t="s">
        <v>29</v>
      </c>
      <c r="E3" s="39" t="s">
        <v>29</v>
      </c>
      <c r="F3" s="39" t="s">
        <v>29</v>
      </c>
      <c r="G3" s="39" t="s">
        <v>29</v>
      </c>
      <c r="H3" s="39" t="s">
        <v>29</v>
      </c>
      <c r="I3" s="39"/>
      <c r="J3" s="39"/>
      <c r="K3" s="39">
        <v>1.0</v>
      </c>
      <c r="L3" s="39" t="s">
        <v>3270</v>
      </c>
      <c r="M3" s="39">
        <v>0.0</v>
      </c>
      <c r="N3" s="39">
        <v>-5.0</v>
      </c>
      <c r="O3" s="39">
        <v>30.0</v>
      </c>
      <c r="P3" s="39">
        <v>30.0</v>
      </c>
      <c r="Q3" s="39"/>
    </row>
    <row r="4">
      <c r="A4" s="39" t="s">
        <v>5362</v>
      </c>
      <c r="B4" s="39" t="s">
        <v>56</v>
      </c>
      <c r="C4" s="39" t="s">
        <v>4412</v>
      </c>
      <c r="D4" s="39" t="s">
        <v>29</v>
      </c>
      <c r="E4" s="39" t="s">
        <v>29</v>
      </c>
      <c r="F4" s="39" t="s">
        <v>29</v>
      </c>
      <c r="G4" s="39" t="s">
        <v>29</v>
      </c>
      <c r="H4" s="39" t="s">
        <v>29</v>
      </c>
      <c r="I4" s="39"/>
      <c r="J4" s="39"/>
      <c r="K4" s="39">
        <v>1.0</v>
      </c>
      <c r="L4" s="39" t="s">
        <v>3270</v>
      </c>
      <c r="M4" s="39">
        <v>0.0</v>
      </c>
      <c r="N4" s="39">
        <v>18.0</v>
      </c>
      <c r="O4" s="39">
        <v>40.0</v>
      </c>
      <c r="P4" s="39">
        <v>55.0</v>
      </c>
      <c r="Q4" s="39"/>
    </row>
    <row r="5">
      <c r="A5" s="39" t="s">
        <v>5363</v>
      </c>
      <c r="B5" s="39" t="s">
        <v>5361</v>
      </c>
      <c r="C5" s="39" t="s">
        <v>4412</v>
      </c>
      <c r="D5" s="39"/>
      <c r="E5" s="39"/>
      <c r="F5" s="39"/>
      <c r="G5" s="39"/>
      <c r="H5" s="39"/>
      <c r="I5" s="39"/>
      <c r="J5" s="39"/>
      <c r="K5" s="39">
        <v>1.0</v>
      </c>
      <c r="L5" s="39" t="s">
        <v>3270</v>
      </c>
      <c r="M5" s="39">
        <v>0.0</v>
      </c>
      <c r="N5" s="39">
        <v>0.0</v>
      </c>
      <c r="O5" s="39">
        <v>28.0</v>
      </c>
      <c r="P5" s="39">
        <v>30.0</v>
      </c>
      <c r="Q5" s="39"/>
    </row>
    <row r="6">
      <c r="A6" s="39" t="s">
        <v>5364</v>
      </c>
      <c r="B6" s="39" t="s">
        <v>5365</v>
      </c>
      <c r="C6" s="39" t="s">
        <v>4412</v>
      </c>
      <c r="D6" s="39"/>
      <c r="E6" s="39"/>
      <c r="F6" s="39"/>
      <c r="G6" s="39"/>
      <c r="H6" s="39"/>
      <c r="I6" s="39"/>
      <c r="J6" s="39"/>
      <c r="K6" s="39">
        <v>1.0</v>
      </c>
      <c r="L6" s="39" t="s">
        <v>3270</v>
      </c>
      <c r="M6" s="39">
        <v>0.0</v>
      </c>
      <c r="N6" s="39">
        <v>10.0</v>
      </c>
      <c r="O6" s="39">
        <v>35.0</v>
      </c>
      <c r="P6" s="39">
        <v>35.0</v>
      </c>
      <c r="Q6" s="39"/>
    </row>
    <row r="7">
      <c r="A7" s="39" t="s">
        <v>5366</v>
      </c>
      <c r="B7" s="39" t="s">
        <v>5365</v>
      </c>
      <c r="C7" s="39" t="s">
        <v>4412</v>
      </c>
      <c r="D7" s="39" t="s">
        <v>29</v>
      </c>
      <c r="E7" s="39" t="s">
        <v>29</v>
      </c>
      <c r="F7" s="39" t="s">
        <v>29</v>
      </c>
      <c r="G7" s="39" t="s">
        <v>29</v>
      </c>
      <c r="H7" s="39" t="s">
        <v>29</v>
      </c>
      <c r="I7" s="39"/>
      <c r="J7" s="39"/>
      <c r="K7" s="39">
        <v>1.0</v>
      </c>
      <c r="L7" s="39" t="s">
        <v>3270</v>
      </c>
      <c r="M7" s="39">
        <v>0.0</v>
      </c>
      <c r="N7" s="39">
        <v>5.0</v>
      </c>
      <c r="O7" s="39">
        <v>35.0</v>
      </c>
      <c r="P7" s="39">
        <v>25.0</v>
      </c>
      <c r="Q7" s="39"/>
    </row>
    <row r="8">
      <c r="A8" s="39" t="s">
        <v>5367</v>
      </c>
      <c r="B8" s="39" t="s">
        <v>5368</v>
      </c>
      <c r="C8" s="39" t="s">
        <v>4412</v>
      </c>
      <c r="D8" s="39" t="s">
        <v>29</v>
      </c>
      <c r="E8" s="39" t="s">
        <v>29</v>
      </c>
      <c r="F8" s="39" t="s">
        <v>29</v>
      </c>
      <c r="G8" s="39" t="s">
        <v>29</v>
      </c>
      <c r="H8" s="39" t="s">
        <v>29</v>
      </c>
      <c r="I8" s="39"/>
      <c r="J8" s="39"/>
      <c r="K8" s="39">
        <v>1.0</v>
      </c>
      <c r="L8" s="39" t="s">
        <v>3270</v>
      </c>
      <c r="M8" s="39">
        <v>0.0</v>
      </c>
      <c r="N8" s="39">
        <v>-20.0</v>
      </c>
      <c r="O8" s="39">
        <v>35.0</v>
      </c>
      <c r="P8" s="39"/>
      <c r="Q8" s="39"/>
    </row>
    <row r="9">
      <c r="A9" s="39" t="s">
        <v>5369</v>
      </c>
      <c r="B9" s="39" t="s">
        <v>61</v>
      </c>
      <c r="C9" s="39" t="s">
        <v>4412</v>
      </c>
      <c r="D9" s="39"/>
      <c r="E9" s="39"/>
      <c r="F9" s="39"/>
      <c r="G9" s="39"/>
      <c r="H9" s="39"/>
      <c r="I9" s="39"/>
      <c r="J9" s="39"/>
      <c r="K9" s="39">
        <v>1.0</v>
      </c>
      <c r="L9" s="39" t="s">
        <v>3270</v>
      </c>
      <c r="M9" s="39">
        <v>0.0</v>
      </c>
      <c r="N9" s="39">
        <v>-5.0</v>
      </c>
      <c r="O9" s="39">
        <v>30.0</v>
      </c>
      <c r="P9" s="39"/>
      <c r="Q9" s="39"/>
    </row>
    <row r="10">
      <c r="A10" s="39" t="s">
        <v>5370</v>
      </c>
      <c r="B10" s="39" t="s">
        <v>61</v>
      </c>
      <c r="C10" s="39" t="s">
        <v>4412</v>
      </c>
      <c r="D10" s="39"/>
      <c r="E10" s="39"/>
      <c r="F10" s="39"/>
      <c r="G10" s="39"/>
      <c r="H10" s="39"/>
      <c r="I10" s="39"/>
      <c r="J10" s="39"/>
      <c r="K10" s="39">
        <v>1.0</v>
      </c>
      <c r="L10" s="39" t="s">
        <v>3270</v>
      </c>
      <c r="M10" s="39">
        <v>0.0</v>
      </c>
      <c r="N10" s="39">
        <v>0.0</v>
      </c>
      <c r="O10" s="39">
        <v>35.0</v>
      </c>
      <c r="P10" s="39"/>
      <c r="Q10" s="39"/>
    </row>
    <row r="11">
      <c r="A11" s="39" t="s">
        <v>5371</v>
      </c>
      <c r="B11" s="39" t="s">
        <v>5368</v>
      </c>
      <c r="C11" s="39" t="s">
        <v>4412</v>
      </c>
      <c r="D11" s="39"/>
      <c r="E11" s="39"/>
      <c r="F11" s="39"/>
      <c r="G11" s="39"/>
      <c r="H11" s="39"/>
      <c r="I11" s="39"/>
      <c r="J11" s="39"/>
      <c r="K11" s="39">
        <v>1.0</v>
      </c>
      <c r="L11" s="39" t="s">
        <v>3270</v>
      </c>
      <c r="M11" s="39">
        <v>0.0</v>
      </c>
      <c r="N11" s="39">
        <v>-10.0</v>
      </c>
      <c r="O11" s="39">
        <v>35.0</v>
      </c>
      <c r="P11" s="39"/>
      <c r="Q11" s="39"/>
    </row>
    <row r="12">
      <c r="A12" s="39" t="s">
        <v>5372</v>
      </c>
      <c r="B12" s="39" t="s">
        <v>5368</v>
      </c>
      <c r="C12" s="39" t="s">
        <v>4412</v>
      </c>
      <c r="D12" s="39"/>
      <c r="E12" s="39"/>
      <c r="F12" s="39"/>
      <c r="G12" s="39"/>
      <c r="H12" s="39"/>
      <c r="I12" s="39"/>
      <c r="J12" s="39"/>
      <c r="K12" s="39">
        <v>1.0</v>
      </c>
      <c r="L12" s="39" t="s">
        <v>3270</v>
      </c>
      <c r="M12" s="39">
        <v>0.0</v>
      </c>
      <c r="N12" s="39">
        <v>0.0</v>
      </c>
      <c r="O12" s="39">
        <v>35.0</v>
      </c>
      <c r="P12" s="39"/>
      <c r="Q12" s="39"/>
    </row>
    <row r="13">
      <c r="A13" s="39" t="s">
        <v>3196</v>
      </c>
      <c r="B13" s="39" t="s">
        <v>5373</v>
      </c>
      <c r="C13" s="39" t="s">
        <v>5103</v>
      </c>
      <c r="D13" s="39" t="s">
        <v>29</v>
      </c>
      <c r="E13" s="39" t="s">
        <v>29</v>
      </c>
      <c r="F13" s="39" t="s">
        <v>29</v>
      </c>
      <c r="G13" s="39" t="s">
        <v>29</v>
      </c>
      <c r="H13" s="39" t="s">
        <v>29</v>
      </c>
      <c r="I13" s="39"/>
      <c r="J13" s="39"/>
      <c r="K13" s="39">
        <v>1.0</v>
      </c>
      <c r="L13" s="39" t="s">
        <v>3272</v>
      </c>
      <c r="M13" s="39">
        <v>1.0</v>
      </c>
      <c r="N13" s="39"/>
      <c r="O13" s="39"/>
      <c r="P13" s="39"/>
      <c r="Q13" s="39"/>
    </row>
    <row r="14">
      <c r="A14" s="39" t="s">
        <v>3197</v>
      </c>
      <c r="B14" s="39" t="s">
        <v>5374</v>
      </c>
      <c r="C14" s="39" t="s">
        <v>4430</v>
      </c>
      <c r="D14" s="39">
        <v>5.0</v>
      </c>
      <c r="E14" s="39">
        <v>1.0</v>
      </c>
      <c r="F14" s="39" t="s">
        <v>4760</v>
      </c>
      <c r="G14" s="39">
        <v>0.2</v>
      </c>
      <c r="H14" s="39" t="s">
        <v>5375</v>
      </c>
      <c r="I14" s="39"/>
      <c r="J14" s="39"/>
      <c r="K14" s="39">
        <v>1.0</v>
      </c>
      <c r="L14" s="39" t="s">
        <v>3272</v>
      </c>
      <c r="M14" s="39">
        <v>2.0</v>
      </c>
      <c r="N14" s="39"/>
      <c r="O14" s="39"/>
      <c r="P14" s="39"/>
      <c r="Q14" s="39"/>
    </row>
    <row r="15">
      <c r="A15" s="41" t="s">
        <v>3202</v>
      </c>
      <c r="B15" s="39" t="s">
        <v>5376</v>
      </c>
      <c r="C15" s="39" t="s">
        <v>4430</v>
      </c>
      <c r="D15" s="39">
        <v>5.0</v>
      </c>
      <c r="E15" s="39">
        <v>1.0</v>
      </c>
      <c r="F15" s="39" t="s">
        <v>4760</v>
      </c>
      <c r="G15" s="39">
        <v>0.2</v>
      </c>
      <c r="H15" s="39" t="s">
        <v>5375</v>
      </c>
      <c r="I15" s="39"/>
      <c r="J15" s="39"/>
      <c r="K15" s="39">
        <v>1.0</v>
      </c>
      <c r="L15" s="39" t="s">
        <v>3272</v>
      </c>
      <c r="M15" s="39">
        <v>2.0</v>
      </c>
      <c r="N15" s="39"/>
      <c r="O15" s="39"/>
      <c r="P15" s="39"/>
      <c r="Q15" s="39"/>
    </row>
    <row r="16">
      <c r="A16" s="39" t="s">
        <v>3193</v>
      </c>
      <c r="B16" s="39" t="s">
        <v>56</v>
      </c>
      <c r="C16" s="39" t="s">
        <v>4430</v>
      </c>
      <c r="D16" s="39">
        <v>5.0</v>
      </c>
      <c r="E16" s="39">
        <v>1.0</v>
      </c>
      <c r="F16" s="39" t="s">
        <v>4901</v>
      </c>
      <c r="G16" s="39">
        <v>0.2</v>
      </c>
      <c r="H16" s="39" t="s">
        <v>5375</v>
      </c>
      <c r="I16" s="39"/>
      <c r="J16" s="39"/>
      <c r="K16" s="39">
        <v>1.0</v>
      </c>
      <c r="L16" s="39" t="s">
        <v>3270</v>
      </c>
      <c r="M16" s="39">
        <v>2.0</v>
      </c>
      <c r="N16" s="39"/>
      <c r="O16" s="39"/>
      <c r="P16" s="39"/>
      <c r="Q16" s="39"/>
    </row>
    <row r="17">
      <c r="A17" s="39" t="s">
        <v>3194</v>
      </c>
      <c r="B17" s="39" t="s">
        <v>56</v>
      </c>
      <c r="C17" s="39" t="s">
        <v>4430</v>
      </c>
      <c r="D17" s="39">
        <v>5.0</v>
      </c>
      <c r="E17" s="39">
        <v>1.0</v>
      </c>
      <c r="F17" s="39" t="s">
        <v>4901</v>
      </c>
      <c r="G17" s="39">
        <v>0.2</v>
      </c>
      <c r="H17" s="39" t="s">
        <v>5375</v>
      </c>
      <c r="I17" s="39"/>
      <c r="J17" s="39"/>
      <c r="K17" s="39">
        <v>1.0</v>
      </c>
      <c r="L17" s="39" t="s">
        <v>3270</v>
      </c>
      <c r="M17" s="39">
        <v>3.0</v>
      </c>
      <c r="N17" s="39"/>
      <c r="O17" s="39"/>
      <c r="P17" s="39"/>
      <c r="Q17" s="39"/>
    </row>
    <row r="18">
      <c r="A18" s="39" t="s">
        <v>3198</v>
      </c>
      <c r="B18" s="39" t="s">
        <v>5374</v>
      </c>
      <c r="C18" s="39" t="s">
        <v>4430</v>
      </c>
      <c r="D18" s="39">
        <v>5.0</v>
      </c>
      <c r="E18" s="39">
        <v>1.0</v>
      </c>
      <c r="F18" s="39" t="s">
        <v>4760</v>
      </c>
      <c r="G18" s="39">
        <v>0.2</v>
      </c>
      <c r="H18" s="39" t="s">
        <v>5375</v>
      </c>
      <c r="I18" s="39"/>
      <c r="J18" s="39"/>
      <c r="K18" s="39">
        <v>1.0</v>
      </c>
      <c r="L18" s="39" t="s">
        <v>3272</v>
      </c>
      <c r="M18" s="39">
        <v>3.0</v>
      </c>
      <c r="N18" s="39"/>
      <c r="O18" s="39"/>
      <c r="P18" s="39"/>
      <c r="Q18" s="39"/>
    </row>
    <row r="19">
      <c r="A19" s="39" t="s">
        <v>3199</v>
      </c>
      <c r="B19" s="39" t="s">
        <v>5374</v>
      </c>
      <c r="C19" s="39" t="s">
        <v>4430</v>
      </c>
      <c r="D19" s="39">
        <v>5.0</v>
      </c>
      <c r="E19" s="39">
        <v>1.0</v>
      </c>
      <c r="F19" s="39" t="s">
        <v>4760</v>
      </c>
      <c r="G19" s="39">
        <v>0.2</v>
      </c>
      <c r="H19" s="39" t="s">
        <v>5375</v>
      </c>
      <c r="I19" s="39"/>
      <c r="J19" s="39"/>
      <c r="K19" s="39">
        <v>1.0</v>
      </c>
      <c r="L19" s="39" t="s">
        <v>3272</v>
      </c>
      <c r="M19" s="39">
        <v>3.0</v>
      </c>
      <c r="N19" s="39"/>
      <c r="O19" s="39"/>
      <c r="P19" s="39"/>
      <c r="Q19" s="39"/>
    </row>
    <row r="20">
      <c r="A20" s="39" t="s">
        <v>3201</v>
      </c>
      <c r="B20" s="39" t="s">
        <v>5377</v>
      </c>
      <c r="C20" s="39" t="s">
        <v>4430</v>
      </c>
      <c r="D20" s="39">
        <v>5.0</v>
      </c>
      <c r="E20" s="39">
        <v>1.0</v>
      </c>
      <c r="F20" s="39" t="s">
        <v>4760</v>
      </c>
      <c r="G20" s="39">
        <v>0.2</v>
      </c>
      <c r="H20" s="39" t="s">
        <v>5375</v>
      </c>
      <c r="I20" s="39"/>
      <c r="J20" s="39"/>
      <c r="K20" s="39">
        <v>1.0</v>
      </c>
      <c r="L20" s="39" t="s">
        <v>3272</v>
      </c>
      <c r="M20" s="39">
        <v>1.0</v>
      </c>
      <c r="N20" s="39"/>
      <c r="O20" s="39"/>
      <c r="P20" s="39"/>
      <c r="Q20" s="39"/>
    </row>
    <row r="21">
      <c r="A21" s="39" t="s">
        <v>48</v>
      </c>
      <c r="B21" s="39" t="s">
        <v>5378</v>
      </c>
      <c r="C21" s="39" t="s">
        <v>48</v>
      </c>
      <c r="D21" s="39" t="s">
        <v>29</v>
      </c>
      <c r="E21" s="39" t="s">
        <v>29</v>
      </c>
      <c r="F21" s="39" t="s">
        <v>29</v>
      </c>
      <c r="G21" s="39" t="s">
        <v>29</v>
      </c>
      <c r="H21" s="39" t="s">
        <v>5379</v>
      </c>
      <c r="I21" s="39" t="s">
        <v>29</v>
      </c>
      <c r="J21" s="39" t="s">
        <v>29</v>
      </c>
      <c r="K21" s="39">
        <v>1.0</v>
      </c>
      <c r="L21" s="39" t="s">
        <v>3270</v>
      </c>
      <c r="M21" s="39">
        <v>1.0</v>
      </c>
      <c r="N21" s="39">
        <v>0.0</v>
      </c>
      <c r="O21" s="39">
        <v>30.0</v>
      </c>
      <c r="P21" s="39">
        <v>35.0</v>
      </c>
      <c r="Q21" s="39"/>
    </row>
  </sheetData>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87" t="s">
        <v>2561</v>
      </c>
      <c r="B1" s="187" t="s">
        <v>6</v>
      </c>
      <c r="C1" s="187" t="s">
        <v>5380</v>
      </c>
      <c r="D1" s="187" t="s">
        <v>5381</v>
      </c>
      <c r="E1" s="187" t="s">
        <v>5382</v>
      </c>
      <c r="F1" s="187" t="s">
        <v>5383</v>
      </c>
      <c r="G1" s="187" t="s">
        <v>5384</v>
      </c>
      <c r="H1" s="187" t="s">
        <v>5385</v>
      </c>
      <c r="I1" s="187" t="s">
        <v>5386</v>
      </c>
      <c r="J1" s="187" t="s">
        <v>5387</v>
      </c>
      <c r="K1" s="187" t="s">
        <v>8</v>
      </c>
      <c r="L1" s="187" t="s">
        <v>4991</v>
      </c>
      <c r="M1" s="187" t="s">
        <v>2620</v>
      </c>
    </row>
    <row r="2">
      <c r="A2" s="142" t="s">
        <v>48</v>
      </c>
      <c r="B2" s="142">
        <v>20.0</v>
      </c>
      <c r="C2" s="142">
        <v>0.0</v>
      </c>
      <c r="D2" s="142">
        <v>5.0</v>
      </c>
      <c r="E2" s="142">
        <v>6.0</v>
      </c>
      <c r="F2" s="142">
        <v>3.0</v>
      </c>
      <c r="G2" s="142" t="s">
        <v>29</v>
      </c>
      <c r="H2" s="142" t="s">
        <v>29</v>
      </c>
      <c r="I2" s="142">
        <v>1.0</v>
      </c>
      <c r="J2" s="142">
        <v>1.0</v>
      </c>
      <c r="K2" s="142" t="s">
        <v>849</v>
      </c>
      <c r="L2" s="142">
        <v>0.0</v>
      </c>
      <c r="M2" s="142" t="s">
        <v>5388</v>
      </c>
    </row>
    <row r="3">
      <c r="A3" s="142" t="s">
        <v>50</v>
      </c>
      <c r="B3" s="142">
        <v>20.0</v>
      </c>
      <c r="C3" s="142">
        <v>20.0</v>
      </c>
      <c r="D3" s="142">
        <v>5.0</v>
      </c>
      <c r="E3" s="142">
        <v>6.0</v>
      </c>
      <c r="F3" s="142">
        <v>3.0</v>
      </c>
      <c r="G3" s="142" t="s">
        <v>5389</v>
      </c>
      <c r="H3" s="142" t="s">
        <v>4671</v>
      </c>
      <c r="I3" s="142">
        <v>1.0</v>
      </c>
      <c r="J3" s="142">
        <v>1.0</v>
      </c>
      <c r="K3" s="142" t="s">
        <v>849</v>
      </c>
      <c r="L3" s="142">
        <v>0.0</v>
      </c>
      <c r="M3" s="142" t="s">
        <v>5390</v>
      </c>
    </row>
    <row r="4">
      <c r="A4" s="142" t="s">
        <v>52</v>
      </c>
      <c r="B4" s="142">
        <v>20.0</v>
      </c>
      <c r="C4" s="142">
        <v>80.0</v>
      </c>
      <c r="D4" s="142">
        <v>0.0</v>
      </c>
      <c r="E4" s="142">
        <v>0.0</v>
      </c>
      <c r="F4" s="142">
        <v>3.0</v>
      </c>
      <c r="G4" s="142" t="s">
        <v>5391</v>
      </c>
      <c r="H4" s="142" t="s">
        <v>4674</v>
      </c>
      <c r="I4" s="142">
        <v>1.0</v>
      </c>
      <c r="J4" s="142">
        <v>1.0</v>
      </c>
      <c r="K4" s="142" t="s">
        <v>849</v>
      </c>
      <c r="L4" s="142">
        <v>0.0</v>
      </c>
      <c r="M4" s="142" t="s">
        <v>5392</v>
      </c>
    </row>
    <row r="5">
      <c r="A5" s="142" t="s">
        <v>484</v>
      </c>
      <c r="B5" s="142">
        <v>20.0</v>
      </c>
      <c r="C5" s="142">
        <v>0.0</v>
      </c>
      <c r="D5" s="142">
        <v>0.0</v>
      </c>
      <c r="E5" s="142">
        <v>0.0</v>
      </c>
      <c r="F5" s="142">
        <v>3.0</v>
      </c>
      <c r="G5" s="142" t="s">
        <v>5389</v>
      </c>
      <c r="H5" s="142" t="s">
        <v>4635</v>
      </c>
      <c r="I5" s="142">
        <v>1.0</v>
      </c>
      <c r="J5" s="142">
        <v>1.0</v>
      </c>
      <c r="K5" s="142" t="s">
        <v>1845</v>
      </c>
      <c r="L5" s="142">
        <v>0.0</v>
      </c>
      <c r="M5" s="142" t="s">
        <v>5393</v>
      </c>
    </row>
    <row r="6">
      <c r="A6" s="142" t="s">
        <v>5394</v>
      </c>
      <c r="B6" s="142">
        <v>20.0</v>
      </c>
      <c r="C6" s="142">
        <v>0.0</v>
      </c>
      <c r="D6" s="142">
        <v>0.0</v>
      </c>
      <c r="E6" s="142">
        <v>3.0</v>
      </c>
      <c r="F6" s="142">
        <v>3.0</v>
      </c>
      <c r="G6" s="142" t="s">
        <v>5395</v>
      </c>
      <c r="H6" s="142" t="s">
        <v>4627</v>
      </c>
      <c r="I6" s="142">
        <v>1.0</v>
      </c>
      <c r="J6" s="142">
        <v>1.0</v>
      </c>
      <c r="K6" s="142" t="s">
        <v>4299</v>
      </c>
      <c r="L6" s="142">
        <v>10.0</v>
      </c>
      <c r="M6" s="142" t="s">
        <v>5396</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88" t="s">
        <v>13</v>
      </c>
      <c r="H1" s="165" t="s">
        <v>2620</v>
      </c>
      <c r="I1" s="166" t="s">
        <v>5397</v>
      </c>
      <c r="J1" s="166" t="s">
        <v>4464</v>
      </c>
      <c r="K1" s="166" t="s">
        <v>5398</v>
      </c>
      <c r="L1" s="167" t="s">
        <v>849</v>
      </c>
      <c r="M1" s="167" t="s">
        <v>4981</v>
      </c>
      <c r="N1" s="167" t="s">
        <v>1492</v>
      </c>
      <c r="O1" s="167" t="s">
        <v>4982</v>
      </c>
      <c r="P1" s="167" t="s">
        <v>4796</v>
      </c>
      <c r="Q1" s="167" t="s">
        <v>4983</v>
      </c>
      <c r="R1" s="167" t="s">
        <v>1452</v>
      </c>
      <c r="S1" s="167" t="s">
        <v>5096</v>
      </c>
      <c r="T1" s="167" t="s">
        <v>1782</v>
      </c>
      <c r="U1" s="167" t="s">
        <v>284</v>
      </c>
      <c r="V1" s="167" t="s">
        <v>370</v>
      </c>
      <c r="W1" s="167" t="s">
        <v>518</v>
      </c>
      <c r="X1" s="167" t="s">
        <v>644</v>
      </c>
      <c r="Y1" s="167" t="s">
        <v>783</v>
      </c>
      <c r="Z1" s="167" t="s">
        <v>716</v>
      </c>
      <c r="AA1" s="167" t="s">
        <v>5399</v>
      </c>
      <c r="AB1" s="167" t="s">
        <v>4984</v>
      </c>
      <c r="AC1" s="167" t="s">
        <v>1490</v>
      </c>
      <c r="AD1" s="167" t="s">
        <v>4985</v>
      </c>
      <c r="AE1" s="167" t="s">
        <v>4986</v>
      </c>
      <c r="AF1" s="167" t="s">
        <v>4987</v>
      </c>
      <c r="AG1" s="167" t="s">
        <v>4988</v>
      </c>
      <c r="AH1" s="167" t="s">
        <v>4989</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5400</v>
      </c>
      <c r="BU1" s="48" t="s">
        <v>4990</v>
      </c>
      <c r="BV1" s="48" t="s">
        <v>2587</v>
      </c>
      <c r="BW1" s="48" t="s">
        <v>2588</v>
      </c>
      <c r="BX1" s="48" t="s">
        <v>2589</v>
      </c>
      <c r="BY1" s="48" t="s">
        <v>2590</v>
      </c>
      <c r="BZ1" s="48" t="s">
        <v>2591</v>
      </c>
      <c r="CA1" s="48" t="s">
        <v>2592</v>
      </c>
      <c r="CB1" s="189" t="s">
        <v>1842</v>
      </c>
      <c r="CC1" s="168" t="s">
        <v>4991</v>
      </c>
      <c r="CD1" s="168" t="s">
        <v>4992</v>
      </c>
      <c r="CE1" s="168" t="s">
        <v>3090</v>
      </c>
      <c r="CF1" s="168" t="s">
        <v>4993</v>
      </c>
      <c r="CG1" s="168" t="s">
        <v>8</v>
      </c>
      <c r="CH1" s="168" t="s">
        <v>4360</v>
      </c>
      <c r="CI1" s="168" t="s">
        <v>4994</v>
      </c>
      <c r="CJ1" s="168" t="s">
        <v>4995</v>
      </c>
      <c r="CK1" s="168" t="s">
        <v>4996</v>
      </c>
      <c r="CL1" s="168" t="s">
        <v>4997</v>
      </c>
      <c r="CM1" s="168" t="s">
        <v>4998</v>
      </c>
      <c r="CN1" s="168" t="s">
        <v>4999</v>
      </c>
    </row>
    <row r="2" ht="18.75" customHeight="1" outlineLevel="1">
      <c r="B2" s="37">
        <v>2.0</v>
      </c>
      <c r="C2" s="37">
        <v>3.0</v>
      </c>
      <c r="D2" s="37">
        <v>4.0</v>
      </c>
      <c r="E2" s="37">
        <v>5.0</v>
      </c>
      <c r="F2" s="37">
        <v>6.0</v>
      </c>
      <c r="G2" s="122"/>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22"/>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22"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22"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22"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22"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22"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22"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22"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22" t="str">
        <f>IFERROR(LET(_xlpm.v,
VLOOKUP($A11,CS!$B:$N,COLUMN(CS!M$1),FALSE),
IF(_xlpm.v=0,"",_xlpm.v)
),"")</f>
        <v/>
      </c>
      <c r="H11" s="64" t="str">
        <f>IFERROR(LET(_xlpm.v,
VLOOKUP($A11,CS!$B:$H,COLUMN(CS!G$1),FALSE),
IF(_xlpm.v=0,"",_xlpm.v)
),"")</f>
        <v>攻撃手段:武器 物理+25 判定:攻撃</v>
      </c>
      <c r="I11" s="37" t="s">
        <v>3318</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22" t="str">
        <f>IFERROR(LET(_xlpm.v,
VLOOKUP($A12,CS!$B:$N,COLUMN(CS!M$1),FALSE),
IF(_xlpm.v=0,"",_xlpm.v)
),"")</f>
        <v/>
      </c>
      <c r="H12" s="64" t="str">
        <f>IFERROR(LET(_xlpm.v,
VLOOKUP($A12,CS!$B:$H,COLUMN(CS!G$1),FALSE),
IF(_xlpm.v=0,"",_xlpm.v)
),"")</f>
        <v>攻撃手段:武器 命中+10</v>
      </c>
      <c r="I12" s="37" t="s">
        <v>3318</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22" t="str">
        <f>IFERROR(LET(_xlpm.v,
VLOOKUP($A13,CS!$B:$N,COLUMN(CS!M$1),FALSE),
IF(_xlpm.v=0,"",_xlpm.v)
),"")</f>
        <v/>
      </c>
      <c r="H13" s="64" t="str">
        <f>IFERROR(LET(_xlpm.v,
VLOOKUP($A13,CS!$B:$H,COLUMN(CS!G$1),FALSE),
IF(_xlpm.v=0,"",_xlpm.v)
),"")</f>
        <v>攻撃手段:武器 ガード+25 判定:防御</v>
      </c>
      <c r="I13" s="37" t="s">
        <v>3318</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22"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5401</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22" t="str">
        <f>IFERROR(LET(_xlpm.v,
VLOOKUP($A15,CS!$B:$N,COLUMN(CS!M$1),FALSE),
IF(_xlpm.v=0,"",_xlpm.v)
),"")</f>
        <v/>
      </c>
      <c r="H15" s="64" t="str">
        <f>IFERROR(LET(_xlpm.v,
VLOOKUP($A15,CS!$B:$H,COLUMN(CS!G$1),FALSE),
IF(_xlpm.v=0,"",_xlpm.v)
),"")</f>
        <v>攻撃手段:武器 物理+2 命中+5</v>
      </c>
      <c r="I15" s="37" t="s">
        <v>3318</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22" t="str">
        <f>IFERROR(LET(_xlpm.v,
VLOOKUP($A16,CS!$B:$N,COLUMN(CS!M$1),FALSE),
IF(_xlpm.v=0,"",_xlpm.v)
),"")</f>
        <v/>
      </c>
      <c r="H16" s="64" t="str">
        <f>IFERROR(LET(_xlpm.v,
VLOOKUP($A16,CS!$B:$H,COLUMN(CS!G$1),FALSE),
IF(_xlpm.v=0,"",_xlpm.v)
),"")</f>
        <v>攻撃手段:武器 物理+15 命中+25 判定:攻撃</v>
      </c>
      <c r="I16" s="37" t="s">
        <v>3318</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22" t="str">
        <f>IFERROR(LET(_xlpm.v,
VLOOKUP($A17,CS!$B:$N,COLUMN(CS!M$1),FALSE),
IF(_xlpm.v=0,"",_xlpm.v)
),"")</f>
        <v/>
      </c>
      <c r="H17" s="64" t="str">
        <f>IFERROR(LET(_xlpm.v,
VLOOKUP($A17,CS!$B:$H,COLUMN(CS!G$1),FALSE),
IF(_xlpm.v=0,"",_xlpm.v)
),"")</f>
        <v>条件:ガード時 物理+3 </v>
      </c>
      <c r="J17" s="37" t="s">
        <v>5402</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22" t="str">
        <f>IFERROR(LET(_xlpm.v,
VLOOKUP($A18,CS!$B:$N,COLUMN(CS!M$1),FALSE),
IF(_xlpm.v=0,"",_xlpm.v)
),"")</f>
        <v/>
      </c>
      <c r="H18" s="64" t="str">
        <f>IFERROR(LET(_xlpm.v,
VLOOKUP($A18,CS!$B:$H,COLUMN(CS!G$1),FALSE),
IF(_xlpm.v=0,"",_xlpm.v)
),"")</f>
        <v>攻撃手段:武器 ガード+2 命中+5</v>
      </c>
      <c r="I18" s="37" t="s">
        <v>3318</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22" t="str">
        <f>IFERROR(LET(_xlpm.v,
VLOOKUP($A19,CS!$B:$N,COLUMN(CS!M$1),FALSE),
IF(_xlpm.v=0,"",_xlpm.v)
),"")</f>
        <v/>
      </c>
      <c r="H19" s="64" t="str">
        <f>IFERROR(LET(_xlpm.v,
VLOOKUP($A19,CS!$B:$H,COLUMN(CS!G$1),FALSE),
IF(_xlpm.v=0,"",_xlpm.v)
),"")</f>
        <v>攻撃手段:武器 物理+15 速度+25 判定:速度 </v>
      </c>
      <c r="I19" s="37" t="s">
        <v>3318</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22" t="str">
        <f>IFERROR(LET(_xlpm.v,
VLOOKUP($A20,CS!$B:$N,COLUMN(CS!M$1),FALSE),
IF(_xlpm.v=0,"",_xlpm.v)
),"")</f>
        <v/>
      </c>
      <c r="H20" s="64" t="str">
        <f>IFERROR(LET(_xlpm.v,
VLOOKUP($A20,CS!$B:$H,COLUMN(CS!G$1),FALSE),
IF(_xlpm.v=0,"",_xlpm.v)
),"")</f>
        <v>条件:不意打ち 物理+35 判定:命中 </v>
      </c>
      <c r="J20" s="37" t="s">
        <v>5403</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22"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22" t="str">
        <f>IFERROR(LET(_xlpm.v,
VLOOKUP($A22,CS!$B:$N,COLUMN(CS!M$1),FALSE),
IF(_xlpm.v=0,"",_xlpm.v)
),"")</f>
        <v/>
      </c>
      <c r="H22" s="64" t="str">
        <f>IFERROR(LET(_xlpm.v,
VLOOKUP($A22,CS!$B:$H,COLUMN(CS!G$1),FALSE),
IF(_xlpm.v=0,"",_xlpm.v)
),"")</f>
        <v>攻撃手段:武器 怯み+30 判定:命中</v>
      </c>
      <c r="I22" s="37" t="s">
        <v>3318</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22"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22"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5401</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22" t="str">
        <f>IFERROR(LET(_xlpm.v,
VLOOKUP($A25,CS!$B:$N,COLUMN(CS!M$1),FALSE),
IF(_xlpm.v=0,"",_xlpm.v)
),"")</f>
        <v/>
      </c>
      <c r="H25" s="64" t="str">
        <f>IFERROR(LET(_xlpm.v,
VLOOKUP($A25,CS!$B:$H,COLUMN(CS!G$1),FALSE),
IF(_xlpm.v=0,"",_xlpm.v)
),"")</f>
        <v>攻撃手段:素手 物理+15 炎+25 判定:攻撃</v>
      </c>
      <c r="I25" s="37" t="s">
        <v>5404</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22"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5405</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22"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5406</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22"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5407</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22" t="str">
        <f>IFERROR(LET(_xlpm.v,
VLOOKUP($A29,CS!$B:$N,COLUMN(CS!M$1),FALSE),
IF(_xlpm.v=0,"",_xlpm.v)
),"")</f>
        <v/>
      </c>
      <c r="H29" s="64" t="str">
        <f>IFERROR(LET(_xlpm.v,
VLOOKUP($A29,CS!$B:$H,COLUMN(CS!G$1),FALSE),
IF(_xlpm.v=0,"",_xlpm.v)
),"")</f>
        <v>攻撃手段:吐息 炎+45 射程:20 範囲:放射</v>
      </c>
      <c r="I29" s="37" t="s">
        <v>5408</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3075</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22" t="str">
        <f>IFERROR(LET(_xlpm.v,
VLOOKUP($A30,CS!$B:$N,COLUMN(CS!M$1),FALSE),
IF(_xlpm.v=0,"",_xlpm.v)
),"")</f>
        <v/>
      </c>
      <c r="H30" s="64" t="str">
        <f>IFERROR(LET(_xlpm.v,
VLOOKUP($A30,CS!$B:$H,COLUMN(CS!G$1),FALSE),
IF(_xlpm.v=0,"",_xlpm.v)
),"")</f>
        <v>攻撃手段:素手 物理+15 氷+25 判定:攻撃</v>
      </c>
      <c r="I30" s="37" t="s">
        <v>5404</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5409</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22"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5410</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22"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5411</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22" t="str">
        <f>IFERROR(LET(_xlpm.v,
VLOOKUP($A33,CS!$B:$N,COLUMN(CS!M$1),FALSE),
IF(_xlpm.v=0,"",_xlpm.v)
),"")</f>
        <v/>
      </c>
      <c r="H33" s="64" t="str">
        <f>IFERROR(LET(_xlpm.v,
VLOOKUP($A33,CS!$B:$H,COLUMN(CS!G$1),FALSE),
IF(_xlpm.v=0,"",_xlpm.v)
),"")</f>
        <v>攻撃手段:吐息 氷+45 射程:20 範囲:放射</v>
      </c>
      <c r="I33" s="37" t="s">
        <v>5408</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3075</v>
      </c>
    </row>
    <row r="34" ht="18.75" customHeight="1" outlineLevel="1">
      <c r="A34" s="1" t="s">
        <v>5412</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22" t="str">
        <f>IFERROR(LET(_xlpm.v,
VLOOKUP($A34,CS!$B:$N,COLUMN(CS!M$1),FALSE),
IF(_xlpm.v=0,"",_xlpm.v)
),"")</f>
        <v/>
      </c>
      <c r="H34" s="64" t="str">
        <f>IFERROR(LET(_xlpm.v,
VLOOKUP($A34,CS!$B:$H,COLUMN(CS!G$1),FALSE),
IF(_xlpm.v=0,"",_xlpm.v)
),"")</f>
        <v>攻撃手段:素手 物理+15 怯み+25 判定:攻撃</v>
      </c>
      <c r="I34" s="37" t="s">
        <v>5404</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5413</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22"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5414</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22"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5415</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22" t="str">
        <f>IFERROR(LET(_xlpm.v,
VLOOKUP($A37,CS!$B:$N,COLUMN(CS!M$1),FALSE),
IF(_xlpm.v=0,"",_xlpm.v)
),"")</f>
        <v/>
      </c>
      <c r="H37" s="64" t="str">
        <f>IFERROR(LET(_xlpm.v,
VLOOKUP($A37,CS!$B:$H,COLUMN(CS!G$1),FALSE),
IF(_xlpm.v=0,"",_xlpm.v)
),"")</f>
        <v>攻撃手段:吐息 怯み+45 射程:20 範囲:放射</v>
      </c>
      <c r="I37" s="37" t="s">
        <v>5408</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3075</v>
      </c>
    </row>
    <row r="38" ht="18.75" customHeight="1" outlineLevel="1">
      <c r="A38" s="1" t="s">
        <v>5416</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22" t="str">
        <f>IFERROR(LET(_xlpm.v,
VLOOKUP($A38,CS!$B:$N,COLUMN(CS!M$1),FALSE),
IF(_xlpm.v=0,"",_xlpm.v)
),"")</f>
        <v/>
      </c>
      <c r="H38" s="64" t="str">
        <f>IFERROR(LET(_xlpm.v,
VLOOKUP($A38,CS!$B:$H,COLUMN(CS!G$1),FALSE),
IF(_xlpm.v=0,"",_xlpm.v)
),"")</f>
        <v>攻撃手段:素手 物理+15 ガード+25 判定:攻撃</v>
      </c>
      <c r="I38" s="37" t="s">
        <v>5404</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5417</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22"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5418</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22"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5419</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22" t="str">
        <f>IFERROR(LET(_xlpm.v,
VLOOKUP($A41,CS!$B:$N,COLUMN(CS!M$1),FALSE),
IF(_xlpm.v=0,"",_xlpm.v)
),"")</f>
        <v/>
      </c>
      <c r="H41" s="64" t="str">
        <f>IFERROR(LET(_xlpm.v,
VLOOKUP($A41,CS!$B:$H,COLUMN(CS!G$1),FALSE),
IF(_xlpm.v=0,"",_xlpm.v)
),"")</f>
        <v>攻撃手段:吐息 物理+35 怯み+20 射程:20 範囲:放射</v>
      </c>
      <c r="I41" s="37" t="s">
        <v>5408</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3075</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22" t="str">
        <f>IFERROR(LET(_xlpm.v,
VLOOKUP($A42,CS!$B:$N,COLUMN(CS!M$1),FALSE),
IF(_xlpm.v=0,"",_xlpm.v)
),"")</f>
        <v/>
      </c>
      <c r="H42" s="64" t="str">
        <f>IFERROR(LET(_xlpm.v,
VLOOKUP($A42,CS!$B:$H,COLUMN(CS!G$1),FALSE),
IF(_xlpm.v=0,"",_xlpm.v)
),"")</f>
        <v>攻撃手段:魔法 光+25 盲目+20 射程:10 判定:魔力</v>
      </c>
      <c r="I42" s="37" t="s">
        <v>4796</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22" t="str">
        <f>IFERROR(LET(_xlpm.v,
VLOOKUP($A43,CS!$B:$N,COLUMN(CS!M$1),FALSE),
IF(_xlpm.v=0,"",_xlpm.v)
),"")</f>
        <v/>
      </c>
      <c r="H43" s="64" t="str">
        <f>IFERROR(LET(_xlpm.v,
VLOOKUP($A43,CS!$B:$H,COLUMN(CS!G$1),FALSE),
IF(_xlpm.v=0,"",_xlpm.v)
),"")</f>
        <v/>
      </c>
      <c r="I43" s="37" t="s">
        <v>4796</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22" t="str">
        <f>IFERROR(LET(_xlpm.v,
VLOOKUP($A44,CS!$B:$N,COLUMN(CS!M$1),FALSE),
IF(_xlpm.v=0,"",_xlpm.v)
),"")</f>
        <v/>
      </c>
      <c r="H44" s="64" t="str">
        <f>IFERROR(LET(_xlpm.v,
VLOOKUP($A44,CS!$B:$H,COLUMN(CS!G$1),FALSE),
IF(_xlpm.v=0,"",_xlpm.v)
),"")</f>
        <v>攻撃手段:魔法 物理+10 拘束+30 射程:20 判定:魔力</v>
      </c>
      <c r="I44" s="37" t="s">
        <v>4796</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22" t="str">
        <f>IFERROR(LET(_xlpm.v,
VLOOKUP($A45,CS!$B:$N,COLUMN(CS!M$1),FALSE),
IF(_xlpm.v=0,"",_xlpm.v)
),"")</f>
        <v/>
      </c>
      <c r="H45" s="64" t="str">
        <f>IFERROR(LET(_xlpm.v,
VLOOKUP($A45,CS!$B:$H,COLUMN(CS!G$1),FALSE),
IF(_xlpm.v=0,"",_xlpm.v)
),"")</f>
        <v>攻撃手段:魔法 炎+15 射程:10 炸裂:1 判定:魔力 追加威力:技術 </v>
      </c>
      <c r="I45" s="37" t="s">
        <v>4796</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22" t="str">
        <f>IFERROR(LET(_xlpm.v,
VLOOKUP($A46,CS!$B:$N,COLUMN(CS!M$1),FALSE),
IF(_xlpm.v=0,"",_xlpm.v)
),"")</f>
        <v/>
      </c>
      <c r="H46" s="64" t="str">
        <f>IFERROR(LET(_xlpm.v,
VLOOKUP($A46,CS!$B:$H,COLUMN(CS!G$1),FALSE),
IF(_xlpm.v=0,"",_xlpm.v)
),"")</f>
        <v>攻撃手段:魔法 特殊:攻撃 炎+35 射程:10 判定:魔力</v>
      </c>
      <c r="I46" s="37" t="s">
        <v>4796</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22" t="str">
        <f>IFERROR(LET(_xlpm.v,
VLOOKUP($A47,CS!$B:$N,COLUMN(CS!M$1),FALSE),
IF(_xlpm.v=0,"",_xlpm.v)
),"")</f>
        <v/>
      </c>
      <c r="H47" s="64" t="str">
        <f>IFERROR(LET(_xlpm.v,
VLOOKUP($A47,CS!$B:$H,COLUMN(CS!G$1),FALSE),
IF(_xlpm.v=0,"",_xlpm.v)
),"")</f>
        <v>攻撃手段:魔法 炎+12 攻撃回数4 射程:10 範囲:炸裂</v>
      </c>
      <c r="I47" s="37" t="s">
        <v>4796</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3079</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22" t="str">
        <f>IFERROR(LET(_xlpm.v,
VLOOKUP($A48,CS!$B:$N,COLUMN(CS!M$1),FALSE),
IF(_xlpm.v=0,"",_xlpm.v)
),"")</f>
        <v/>
      </c>
      <c r="H48" s="64" t="str">
        <f>IFERROR(LET(_xlpm.v,
VLOOKUP($A48,CS!$B:$H,COLUMN(CS!G$1),FALSE),
IF(_xlpm.v=0,"",_xlpm.v)
),"")</f>
        <v>攻撃手段:魔法 特殊:攻撃 炎+55 射程:20 範囲:周囲 判定:魔力</v>
      </c>
      <c r="I48" s="37" t="s">
        <v>4796</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22" t="str">
        <f>IFERROR(LET(_xlpm.v,
VLOOKUP($A49,CS!$B:$N,COLUMN(CS!M$1),FALSE),
IF(_xlpm.v=0,"",_xlpm.v)
),"")</f>
        <v/>
      </c>
      <c r="H49" s="64" t="str">
        <f>IFERROR(LET(_xlpm.v,
VLOOKUP($A49,CS!$B:$H,COLUMN(CS!G$1),FALSE),
IF(_xlpm.v=0,"",_xlpm.v)
),"")</f>
        <v>攻撃手段:魔法 特殊:攻撃 炎+60 射程:20 範囲:全体 判定:魔力</v>
      </c>
      <c r="I49" s="37" t="s">
        <v>4796</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22" t="str">
        <f>IFERROR(LET(_xlpm.v,
VLOOKUP($A50,CS!$B:$N,COLUMN(CS!M$1),FALSE),
IF(_xlpm.v=0,"",_xlpm.v)
),"")</f>
        <v/>
      </c>
      <c r="H50" s="64" t="str">
        <f>IFERROR(LET(_xlpm.v,
VLOOKUP($A50,CS!$B:$H,COLUMN(CS!G$1),FALSE),
IF(_xlpm.v=0,"",_xlpm.v)
),"")</f>
        <v>効果時間2t 攻撃手段:魔法 特殊:攻撃  炎+30 射程:20 範囲:ライン 判定:魔力</v>
      </c>
      <c r="I50" s="37" t="s">
        <v>4796</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3051</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22" t="str">
        <f>IFERROR(LET(_xlpm.v,
VLOOKUP($A51,CS!$B:$N,COLUMN(CS!M$1),FALSE),
IF(_xlpm.v=0,"",_xlpm.v)
),"")</f>
        <v/>
      </c>
      <c r="H51" s="64" t="str">
        <f>IFERROR(LET(_xlpm.v,
VLOOKUP($A51,CS!$B:$H,COLUMN(CS!G$1),FALSE),
IF(_xlpm.v=0,"",_xlpm.v)
),"")</f>
        <v/>
      </c>
      <c r="I51" s="37" t="s">
        <v>4796</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22" t="str">
        <f>IFERROR(LET(_xlpm.v,
VLOOKUP($A52,CS!$B:$N,COLUMN(CS!M$1),FALSE),
IF(_xlpm.v=0,"",_xlpm.v)
),"")</f>
        <v/>
      </c>
      <c r="H52" s="64" t="str">
        <f>IFERROR(LET(_xlpm.v,
VLOOKUP($A52,CS!$B:$H,COLUMN(CS!G$1),FALSE),
IF(_xlpm.v=0,"",_xlpm.v)
),"")</f>
        <v>攻撃手段:魔法 特殊:攻撃 炎+115 射程:3  範囲:縦 判定:魔力</v>
      </c>
      <c r="I52" s="37" t="s">
        <v>4796</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3083</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22" t="str">
        <f>IFERROR(LET(_xlpm.v,
VLOOKUP($A53,CS!$B:$N,COLUMN(CS!M$1),FALSE),
IF(_xlpm.v=0,"",_xlpm.v)
),"")</f>
        <v/>
      </c>
      <c r="H53" s="64" t="str">
        <f>IFERROR(LET(_xlpm.v,
VLOOKUP($A53,CS!$B:$H,COLUMN(CS!G$1),FALSE),
IF(_xlpm.v=0,"",_xlpm.v)
),"")</f>
        <v/>
      </c>
      <c r="I53" s="37" t="s">
        <v>4796</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3086</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22" t="str">
        <f>IFERROR(LET(_xlpm.v,
VLOOKUP($A54,CS!$B:$N,COLUMN(CS!M$1),FALSE),
IF(_xlpm.v=0,"",_xlpm.v)
),"")</f>
        <v/>
      </c>
      <c r="H54" s="64" t="str">
        <f>IFERROR(LET(_xlpm.v,
VLOOKUP($A54,CS!$B:$H,COLUMN(CS!G$1),FALSE),
IF(_xlpm.v=0,"",_xlpm.v)
),"")</f>
        <v/>
      </c>
      <c r="I54" s="37" t="s">
        <v>4796</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3086</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22" t="str">
        <f>IFERROR(LET(_xlpm.v,
VLOOKUP($A55,CS!$B:$N,COLUMN(CS!M$1),FALSE),
IF(_xlpm.v=0,"",_xlpm.v)
),"")</f>
        <v/>
      </c>
      <c r="H55" s="64" t="str">
        <f>IFERROR(LET(_xlpm.v,
VLOOKUP($A55,CS!$B:$H,COLUMN(CS!G$1),FALSE),
IF(_xlpm.v=0,"",_xlpm.v)
),"")</f>
        <v>攻撃手段:魔法 盲目+45 疲労+15 射程:10 範囲:炸裂 効果:設置</v>
      </c>
      <c r="I55" s="37" t="s">
        <v>4796</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3090</v>
      </c>
      <c r="CG55" s="37" t="s">
        <v>5420</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22" t="str">
        <f>IFERROR(LET(_xlpm.v,
VLOOKUP($A56,CS!$B:$N,COLUMN(CS!M$1),FALSE),
IF(_xlpm.v=0,"",_xlpm.v)
),"")</f>
        <v/>
      </c>
      <c r="H56" s="64" t="str">
        <f>IFERROR(LET(_xlpm.v,
VLOOKUP($A56,CS!$B:$H,COLUMN(CS!G$1),FALSE),
IF(_xlpm.v=0,"",_xlpm.v)
),"")</f>
        <v>攻撃手段:魔法 特殊:攻撃 炎+115 射程:4 範囲:全体 判定:魔力</v>
      </c>
      <c r="I56" s="37" t="s">
        <v>4796</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3055</v>
      </c>
      <c r="CK56" s="37" t="s">
        <v>2569</v>
      </c>
    </row>
    <row r="57" ht="18.75" customHeight="1" outlineLevel="1">
      <c r="A57" s="19" t="s">
        <v>5421</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22" t="str">
        <f>IFERROR(LET(_xlpm.v,
VLOOKUP($A57,CS!$B:$N,COLUMN(CS!M$1),FALSE),
IF(_xlpm.v=0,"",_xlpm.v)
),"")</f>
        <v/>
      </c>
      <c r="H57" s="64" t="str">
        <f>IFERROR(LET(_xlpm.v,
VLOOKUP($A57,CS!$B:$H,COLUMN(CS!G$1),FALSE),
IF(_xlpm.v=0,"",_xlpm.v)
),"")</f>
        <v/>
      </c>
      <c r="I57" s="37" t="s">
        <v>4796</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5422</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22" t="str">
        <f>IFERROR(LET(_xlpm.v,
VLOOKUP($A58,CS!$B:$N,COLUMN(CS!M$1),FALSE),
IF(_xlpm.v=0,"",_xlpm.v)
),"")</f>
        <v/>
      </c>
      <c r="H58" s="64" t="str">
        <f>IFERROR(LET(_xlpm.v,
VLOOKUP($A58,CS!$B:$H,COLUMN(CS!G$1),FALSE),
IF(_xlpm.v=0,"",_xlpm.v)
),"")</f>
        <v>攻撃手段:魔法 特殊:攻撃 回復+75 効果:蘇生 (死亡状態を回復する) 判定:魔力</v>
      </c>
      <c r="I58" s="37" t="s">
        <v>4796</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5423</v>
      </c>
    </row>
    <row r="59" ht="18.75" customHeight="1" outlineLevel="1">
      <c r="A59" s="19" t="s">
        <v>5424</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22" t="str">
        <f>IFERROR(LET(_xlpm.v,
VLOOKUP($A59,CS!$B:$N,COLUMN(CS!M$1),FALSE),
IF(_xlpm.v=0,"",_xlpm.v)
),"")</f>
        <v/>
      </c>
      <c r="H59" s="64" t="str">
        <f>IFERROR(LET(_xlpm.v,
VLOOKUP($A59,CS!$B:$H,COLUMN(CS!G$1),FALSE),
IF(_xlpm.v=0,"",_xlpm.v)
),"")</f>
        <v/>
      </c>
      <c r="I59" s="37" t="s">
        <v>4796</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5425</v>
      </c>
    </row>
    <row r="60" ht="18.75" customHeight="1" outlineLevel="1">
      <c r="A60" s="24" t="s">
        <v>5426</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22" t="str">
        <f>IFERROR(LET(_xlpm.v,
VLOOKUP($A60,CS!$B:$N,COLUMN(CS!M$1),FALSE),
IF(_xlpm.v=0,"",_xlpm.v)
),"")</f>
        <v/>
      </c>
      <c r="H60" s="64" t="str">
        <f>IFERROR(LET(_xlpm.v,
VLOOKUP($A60,CS!$B:$H,COLUMN(CS!G$1),FALSE),
IF(_xlpm.v=0,"",_xlpm.v)
),"")</f>
        <v>攻撃手段:魔法 効果:平地_変換 射程:20</v>
      </c>
      <c r="I60" s="37" t="s">
        <v>4796</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5427</v>
      </c>
    </row>
    <row r="61" ht="18.75" customHeight="1" outlineLevel="1">
      <c r="A61" s="24" t="s">
        <v>5428</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22" t="str">
        <f>IFERROR(LET(_xlpm.v,
VLOOKUP($A61,CS!$B:$N,COLUMN(CS!M$1),FALSE),
IF(_xlpm.v=0,"",_xlpm.v)
),"")</f>
        <v/>
      </c>
      <c r="H61" s="64" t="str">
        <f>IFERROR(LET(_xlpm.v,
VLOOKUP($A61,CS!$B:$H,COLUMN(CS!G$1),FALSE),
IF(_xlpm.v=0,"",_xlpm.v)
),"")</f>
        <v>攻撃手段:魔法 効果:森_変換 射程:20</v>
      </c>
      <c r="I61" s="37" t="s">
        <v>4796</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5429</v>
      </c>
    </row>
    <row r="62" ht="18.75" customHeight="1" outlineLevel="1">
      <c r="A62" s="24" t="s">
        <v>5430</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22" t="str">
        <f>IFERROR(LET(_xlpm.v,
VLOOKUP($A62,CS!$B:$N,COLUMN(CS!M$1),FALSE),
IF(_xlpm.v=0,"",_xlpm.v)
),"")</f>
        <v/>
      </c>
      <c r="H62" s="64" t="str">
        <f>IFERROR(LET(_xlpm.v,
VLOOKUP($A62,CS!$B:$H,COLUMN(CS!G$1),FALSE),
IF(_xlpm.v=0,"",_xlpm.v)
),"")</f>
        <v>攻撃手段:魔法 効果:山岳_変換 射程:20</v>
      </c>
      <c r="I62" s="37" t="s">
        <v>4796</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5431</v>
      </c>
    </row>
    <row r="63" ht="18.75" customHeight="1" outlineLevel="1">
      <c r="A63" s="24" t="s">
        <v>5432</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22" t="str">
        <f>IFERROR(LET(_xlpm.v,
VLOOKUP($A63,CS!$B:$N,COLUMN(CS!M$1),FALSE),
IF(_xlpm.v=0,"",_xlpm.v)
),"")</f>
        <v/>
      </c>
      <c r="H63" s="64" t="str">
        <f>IFERROR(LET(_xlpm.v,
VLOOKUP($A63,CS!$B:$H,COLUMN(CS!G$1),FALSE),
IF(_xlpm.v=0,"",_xlpm.v)
),"")</f>
        <v>攻撃手段:魔法 効果:丘陵_変換 射程:20</v>
      </c>
      <c r="I63" s="37" t="s">
        <v>4796</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5433</v>
      </c>
    </row>
    <row r="64" ht="18.75" customHeight="1" outlineLevel="1">
      <c r="A64" s="24" t="s">
        <v>5434</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22" t="str">
        <f>IFERROR(LET(_xlpm.v,
VLOOKUP($A64,CS!$B:$N,COLUMN(CS!M$1),FALSE),
IF(_xlpm.v=0,"",_xlpm.v)
),"")</f>
        <v/>
      </c>
      <c r="H64" s="64" t="str">
        <f>IFERROR(LET(_xlpm.v,
VLOOKUP($A64,CS!$B:$H,COLUMN(CS!G$1),FALSE),
IF(_xlpm.v=0,"",_xlpm.v)
),"")</f>
        <v>攻撃手段:魔法 効果:河川_変換 射程:20</v>
      </c>
      <c r="I64" s="37" t="s">
        <v>4796</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5435</v>
      </c>
    </row>
    <row r="65" ht="18.75" customHeight="1" outlineLevel="1">
      <c r="A65" s="24" t="s">
        <v>5436</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22" t="str">
        <f>IFERROR(LET(_xlpm.v,
VLOOKUP($A65,CS!$B:$N,COLUMN(CS!M$1),FALSE),
IF(_xlpm.v=0,"",_xlpm.v)
),"")</f>
        <v/>
      </c>
      <c r="H65" s="64" t="str">
        <f>IFERROR(LET(_xlpm.v,
VLOOKUP($A65,CS!$B:$H,COLUMN(CS!G$1),FALSE),
IF(_xlpm.v=0,"",_xlpm.v)
),"")</f>
        <v>攻撃手段:魔法 効果:湖_変換 射程:20 炸裂:10</v>
      </c>
      <c r="I65" s="37" t="s">
        <v>4796</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5437</v>
      </c>
    </row>
    <row r="66" ht="18.75" customHeight="1" outlineLevel="1">
      <c r="A66" s="24" t="s">
        <v>5438</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22" t="str">
        <f>IFERROR(LET(_xlpm.v,
VLOOKUP($A66,CS!$B:$N,COLUMN(CS!M$1),FALSE),
IF(_xlpm.v=0,"",_xlpm.v)
),"")</f>
        <v/>
      </c>
      <c r="H66" s="64" t="str">
        <f>IFERROR(LET(_xlpm.v,
VLOOKUP($A66,CS!$B:$H,COLUMN(CS!G$1),FALSE),
IF(_xlpm.v=0,"",_xlpm.v)
),"")</f>
        <v>攻撃手段:魔法 効果:海_変換 射程:20</v>
      </c>
      <c r="I66" s="37" t="s">
        <v>4796</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5439</v>
      </c>
    </row>
    <row r="67" ht="18.75" customHeight="1" outlineLevel="1">
      <c r="A67" s="24" t="s">
        <v>5440</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22" t="str">
        <f>IFERROR(LET(_xlpm.v,
VLOOKUP($A67,CS!$B:$N,COLUMN(CS!M$1),FALSE),
IF(_xlpm.v=0,"",_xlpm.v)
),"")</f>
        <v/>
      </c>
      <c r="H67" s="64" t="str">
        <f>IFERROR(LET(_xlpm.v,
VLOOKUP($A67,CS!$B:$H,COLUMN(CS!G$1),FALSE),
IF(_xlpm.v=0,"",_xlpm.v)
),"")</f>
        <v>攻撃手段:魔法 効果:砂漠_変換 射程:20</v>
      </c>
      <c r="I67" s="37" t="s">
        <v>4796</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5441</v>
      </c>
    </row>
    <row r="68" ht="18.75" customHeight="1" outlineLevel="1">
      <c r="A68" s="24" t="s">
        <v>5442</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22" t="str">
        <f>IFERROR(LET(_xlpm.v,
VLOOKUP($A68,CS!$B:$N,COLUMN(CS!M$1),FALSE),
IF(_xlpm.v=0,"",_xlpm.v)
),"")</f>
        <v/>
      </c>
      <c r="H68" s="64" t="str">
        <f>IFERROR(LET(_xlpm.v,
VLOOKUP($A68,CS!$B:$H,COLUMN(CS!G$1),FALSE),
IF(_xlpm.v=0,"",_xlpm.v)
),"")</f>
        <v>攻撃手段:魔法 効果:沼地_変換 射程:20</v>
      </c>
      <c r="I68" s="37" t="s">
        <v>4796</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5443</v>
      </c>
    </row>
    <row r="69" ht="18.75" customHeight="1" outlineLevel="1">
      <c r="A69" s="24" t="s">
        <v>5444</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22" t="str">
        <f>IFERROR(LET(_xlpm.v,
VLOOKUP($A69,CS!$B:$N,COLUMN(CS!M$1),FALSE),
IF(_xlpm.v=0,"",_xlpm.v)
),"")</f>
        <v/>
      </c>
      <c r="H69" s="64" t="str">
        <f>IFERROR(LET(_xlpm.v,
VLOOKUP($A69,CS!$B:$H,COLUMN(CS!G$1),FALSE),
IF(_xlpm.v=0,"",_xlpm.v)
),"")</f>
        <v>攻撃手段:魔法 効果:薬草繁茂_変換 射程:20</v>
      </c>
      <c r="I69" s="37" t="s">
        <v>4796</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5445</v>
      </c>
    </row>
    <row r="70" ht="18.75" customHeight="1" outlineLevel="1">
      <c r="A70" s="24" t="s">
        <v>5446</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22" t="str">
        <f>IFERROR(LET(_xlpm.v,
VLOOKUP($A70,CS!$B:$N,COLUMN(CS!M$1),FALSE),
IF(_xlpm.v=0,"",_xlpm.v)
),"")</f>
        <v/>
      </c>
      <c r="H70" s="64" t="str">
        <f>IFERROR(LET(_xlpm.v,
VLOOKUP($A70,CS!$B:$H,COLUMN(CS!G$1),FALSE),
IF(_xlpm.v=0,"",_xlpm.v)
),"")</f>
        <v>攻撃手段:魔法 効果:峡谷_変換 射程:20</v>
      </c>
      <c r="I70" s="37" t="s">
        <v>4796</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5447</v>
      </c>
    </row>
    <row r="71" ht="18.75" customHeight="1" outlineLevel="1">
      <c r="A71" s="24" t="s">
        <v>5448</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22" t="str">
        <f>IFERROR(LET(_xlpm.v,
VLOOKUP($A71,CS!$B:$N,COLUMN(CS!M$1),FALSE),
IF(_xlpm.v=0,"",_xlpm.v)
),"")</f>
        <v/>
      </c>
      <c r="H71" s="64" t="str">
        <f>IFERROR(LET(_xlpm.v,
VLOOKUP($A71,CS!$B:$H,COLUMN(CS!G$1),FALSE),
IF(_xlpm.v=0,"",_xlpm.v)
),"")</f>
        <v>攻撃手段:魔法 効果:洞窟_変換 射程:20</v>
      </c>
      <c r="I71" s="37" t="s">
        <v>4796</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5449</v>
      </c>
    </row>
    <row r="72" ht="18.75" customHeight="1" outlineLevel="1">
      <c r="A72" s="24" t="s">
        <v>5450</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22" t="str">
        <f>IFERROR(LET(_xlpm.v,
VLOOKUP($A72,CS!$B:$N,COLUMN(CS!M$1),FALSE),
IF(_xlpm.v=0,"",_xlpm.v)
),"")</f>
        <v/>
      </c>
      <c r="H72" s="64" t="str">
        <f>IFERROR(LET(_xlpm.v,
VLOOKUP($A72,CS!$B:$H,COLUMN(CS!G$1),FALSE),
IF(_xlpm.v=0,"",_xlpm.v)
),"")</f>
        <v>攻撃手段:魔法 効果:雪原_変換 射程:20</v>
      </c>
      <c r="I72" s="37" t="s">
        <v>4796</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5451</v>
      </c>
    </row>
    <row r="73" ht="18.75" customHeight="1" outlineLevel="1">
      <c r="A73" s="24" t="s">
        <v>5452</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22" t="str">
        <f>IFERROR(LET(_xlpm.v,
VLOOKUP($A73,CS!$B:$N,COLUMN(CS!M$1),FALSE),
IF(_xlpm.v=0,"",_xlpm.v)
),"")</f>
        <v/>
      </c>
      <c r="H73" s="64" t="str">
        <f>IFERROR(LET(_xlpm.v,
VLOOKUP($A73,CS!$B:$H,COLUMN(CS!G$1),FALSE),
IF(_xlpm.v=0,"",_xlpm.v)
),"")</f>
        <v>攻撃手段:魔法 効果:火山_変換 射程:20</v>
      </c>
      <c r="I73" s="37" t="s">
        <v>4796</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5453</v>
      </c>
    </row>
    <row r="74" ht="18.75" customHeight="1" outlineLevel="1">
      <c r="A74" s="24" t="s">
        <v>5454</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22" t="str">
        <f>IFERROR(LET(_xlpm.v,
VLOOKUP($A74,CS!$B:$N,COLUMN(CS!M$1),FALSE),
IF(_xlpm.v=0,"",_xlpm.v)
),"")</f>
        <v/>
      </c>
      <c r="H74" s="64" t="str">
        <f>IFERROR(LET(_xlpm.v,
VLOOKUP($A74,CS!$B:$H,COLUMN(CS!G$1),FALSE),
IF(_xlpm.v=0,"",_xlpm.v)
),"")</f>
        <v>攻撃手段:魔法 効果:溶岩_変換 射程:20</v>
      </c>
      <c r="I74" s="37" t="s">
        <v>4796</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5455</v>
      </c>
    </row>
    <row r="75" ht="18.75" customHeight="1" outlineLevel="1">
      <c r="A75" s="24" t="s">
        <v>5456</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22" t="str">
        <f>IFERROR(LET(_xlpm.v,
VLOOKUP($A75,CS!$B:$N,COLUMN(CS!M$1),FALSE),
IF(_xlpm.v=0,"",_xlpm.v)
),"")</f>
        <v/>
      </c>
      <c r="H75" s="64" t="str">
        <f>IFERROR(LET(_xlpm.v,
VLOOKUP($A75,CS!$B:$H,COLUMN(CS!G$1),FALSE),
IF(_xlpm.v=0,"",_xlpm.v)
),"")</f>
        <v>攻撃手段:魔法 効果:死の霧_変換 射程:20</v>
      </c>
      <c r="I75" s="37" t="s">
        <v>4796</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5457</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22"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22"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22"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22"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22"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22"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22"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22"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22"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22"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22"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22"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22"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22"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22"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22"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22"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22"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22"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22"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22"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22"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22"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22"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22"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22"/>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22"/>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22"/>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22"/>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22"/>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22"/>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22"/>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22"/>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22"/>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22"/>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22"/>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22"/>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22"/>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22"/>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22"/>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22"/>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22"/>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22"/>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22"/>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22"/>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22"/>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22"/>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22"/>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22"/>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22"/>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22"/>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22"/>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22"/>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22"/>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22"/>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22"/>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22"/>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22"/>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22"/>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22"/>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22"/>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22"/>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22"/>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22"/>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22"/>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22"/>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22"/>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22"/>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22"/>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22"/>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22"/>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22"/>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22"/>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22"/>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22"/>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22"/>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22"/>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22"/>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22"/>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22"/>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22"/>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22"/>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22"/>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22"/>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22"/>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22"/>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22"/>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22"/>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22"/>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22"/>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22"/>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22"/>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22"/>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22"/>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22"/>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22"/>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22"/>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22"/>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22"/>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22"/>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22"/>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22"/>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22"/>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22"/>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22"/>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22"/>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22"/>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22"/>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22"/>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22"/>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22"/>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22"/>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22"/>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22"/>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22"/>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22"/>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22"/>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22"/>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22"/>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22"/>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22"/>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22"/>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22"/>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22"/>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22"/>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22"/>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22"/>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22"/>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22"/>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22"/>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22"/>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22"/>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22"/>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22"/>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22"/>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22"/>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22"/>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22"/>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22"/>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22"/>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22"/>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22"/>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22"/>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22"/>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22"/>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22"/>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22"/>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22"/>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22"/>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22"/>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22"/>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22"/>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22"/>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22"/>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22"/>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22"/>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22"/>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22"/>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22"/>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22"/>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22"/>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22"/>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22"/>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22"/>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22"/>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22"/>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22"/>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22"/>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22"/>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22"/>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22"/>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22"/>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22"/>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22"/>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22"/>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22"/>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22"/>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22"/>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22"/>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22"/>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22"/>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22"/>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22"/>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22"/>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22"/>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22"/>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22"/>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22"/>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22"/>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22"/>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22"/>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22"/>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22"/>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22"/>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22"/>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22"/>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22"/>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22"/>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22"/>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22"/>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22"/>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22"/>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22"/>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22"/>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22"/>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22"/>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22"/>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22"/>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22"/>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22"/>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22"/>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22"/>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22"/>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22"/>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22"/>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22"/>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22"/>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22"/>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22"/>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22"/>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22"/>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22"/>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22"/>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22"/>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22"/>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22"/>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22"/>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22"/>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22"/>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22"/>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22"/>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22"/>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22"/>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22"/>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22"/>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22"/>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22"/>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22"/>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22"/>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22"/>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22"/>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22"/>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22"/>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22"/>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22"/>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22"/>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22"/>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22"/>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22"/>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22"/>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22"/>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22"/>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22"/>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22"/>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22"/>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22"/>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22"/>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22"/>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22"/>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22"/>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22"/>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22"/>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22"/>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22"/>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22"/>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22"/>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22"/>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22"/>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22"/>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22"/>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22"/>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22"/>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22"/>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22"/>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22"/>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22"/>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22"/>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22"/>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22"/>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22"/>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22"/>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22"/>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22"/>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22"/>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22"/>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22"/>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22"/>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22"/>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22"/>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22"/>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22"/>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22"/>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22"/>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22"/>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22"/>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22"/>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22"/>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22"/>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22"/>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22"/>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22"/>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22"/>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22"/>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22"/>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22"/>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22"/>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22"/>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22"/>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22"/>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22"/>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22"/>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22"/>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22"/>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22"/>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22"/>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22"/>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22"/>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22"/>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22"/>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22"/>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22"/>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22"/>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22"/>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22"/>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22"/>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22"/>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22"/>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22"/>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22"/>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22"/>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22"/>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22"/>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22"/>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22"/>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22"/>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22"/>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22"/>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22"/>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22"/>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22"/>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22"/>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22"/>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22"/>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22"/>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22"/>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22"/>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22"/>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22"/>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22"/>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22"/>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22"/>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22"/>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22"/>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22"/>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22"/>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22"/>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22"/>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22"/>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22"/>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22"/>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22"/>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22"/>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22"/>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22"/>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22"/>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22"/>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22"/>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22"/>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22"/>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22"/>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22"/>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22"/>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22"/>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22"/>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22"/>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22"/>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22"/>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22"/>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22"/>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22"/>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22"/>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22"/>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22"/>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22"/>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22"/>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22"/>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22"/>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22"/>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22"/>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22"/>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22"/>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22"/>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22"/>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22"/>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22"/>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22"/>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22"/>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22"/>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22"/>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22"/>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22"/>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22"/>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22"/>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22"/>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22"/>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22"/>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22"/>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22"/>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22"/>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22"/>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22"/>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22"/>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22"/>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22"/>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22"/>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22"/>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22"/>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22"/>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22"/>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22"/>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22"/>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22"/>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22"/>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22"/>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22"/>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22"/>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22"/>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22"/>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22"/>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22"/>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22"/>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22"/>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22"/>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22"/>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22"/>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22"/>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22"/>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22"/>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22"/>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22"/>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22"/>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22"/>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22"/>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22"/>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22"/>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22"/>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22"/>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22"/>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22"/>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22"/>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22"/>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22"/>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22"/>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22"/>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22"/>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22"/>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22"/>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22"/>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22"/>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22"/>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22"/>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22"/>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22"/>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22"/>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22"/>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22"/>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22"/>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22"/>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22"/>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22"/>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22"/>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22"/>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22"/>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22"/>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22"/>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22"/>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22"/>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22"/>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22"/>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22"/>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22"/>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22"/>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22"/>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22"/>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22"/>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22"/>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22"/>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22"/>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22"/>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22"/>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22"/>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22"/>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22"/>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22"/>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22"/>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22"/>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22"/>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22"/>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22"/>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22"/>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22"/>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22"/>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22"/>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22"/>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22"/>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22"/>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22"/>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22"/>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22"/>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22"/>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22"/>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22"/>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22"/>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22"/>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22"/>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22"/>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22"/>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22"/>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22"/>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22"/>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22"/>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22"/>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22"/>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22"/>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22"/>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22"/>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22"/>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22"/>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22"/>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22"/>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22"/>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22"/>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22"/>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22"/>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22"/>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22"/>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22"/>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22"/>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22"/>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22"/>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22"/>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22"/>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22"/>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22"/>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22"/>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22"/>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22"/>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22"/>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22"/>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22"/>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22"/>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22"/>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22"/>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22"/>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22"/>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22"/>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22"/>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22"/>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22"/>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22"/>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22"/>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22"/>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22"/>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22"/>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22"/>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22"/>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22"/>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22"/>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22"/>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22"/>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22"/>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22"/>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22"/>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22"/>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22"/>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22"/>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22"/>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22"/>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22"/>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22"/>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22"/>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22"/>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22"/>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22"/>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22"/>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22"/>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22"/>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22"/>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22"/>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22"/>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22"/>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22"/>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22"/>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22"/>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22"/>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22"/>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22"/>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22"/>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22"/>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22"/>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22"/>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22"/>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22"/>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22"/>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22"/>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22"/>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22"/>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22"/>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22"/>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22"/>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22"/>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22"/>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22"/>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22"/>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22"/>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22"/>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22"/>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22"/>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22"/>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22"/>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22"/>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22"/>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22"/>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22"/>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22"/>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22"/>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22"/>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22"/>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22"/>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22"/>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22"/>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22"/>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22"/>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22"/>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22"/>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22"/>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22"/>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22"/>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22"/>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22"/>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22"/>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22"/>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22"/>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22"/>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22"/>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22"/>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22"/>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22"/>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22"/>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22"/>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22"/>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22"/>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22"/>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22"/>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22"/>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22"/>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22"/>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22"/>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22"/>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22"/>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22"/>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22"/>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22"/>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22"/>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22"/>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22"/>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22"/>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22"/>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22"/>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22"/>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22"/>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22"/>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22"/>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22"/>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22"/>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22"/>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22"/>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22"/>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22"/>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22"/>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22"/>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22"/>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22"/>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22"/>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22"/>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22"/>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22"/>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22"/>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22"/>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22"/>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22"/>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22"/>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22"/>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22"/>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22"/>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22"/>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22"/>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22"/>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22"/>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22"/>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22"/>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22"/>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22"/>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22"/>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22"/>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22"/>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22"/>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22"/>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22"/>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22"/>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22"/>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22"/>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22"/>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22"/>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22"/>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22"/>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22"/>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22"/>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22"/>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22"/>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22"/>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22"/>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22"/>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22"/>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22"/>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22"/>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22"/>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22"/>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22"/>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22"/>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22"/>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22"/>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22"/>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22"/>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22"/>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22"/>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22"/>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22"/>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22"/>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22"/>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22"/>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22"/>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22"/>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22"/>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22"/>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22"/>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22"/>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22"/>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22"/>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22"/>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22"/>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22"/>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22"/>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22"/>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22"/>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22"/>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22"/>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22"/>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22"/>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22"/>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22"/>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22"/>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22"/>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22"/>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22"/>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22"/>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22"/>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22"/>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22"/>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22"/>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22"/>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22"/>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22"/>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22"/>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22"/>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22"/>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22"/>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22"/>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22"/>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22"/>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22"/>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22"/>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22"/>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22"/>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22"/>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22"/>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22"/>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22"/>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22"/>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22"/>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22"/>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22"/>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22"/>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22"/>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22"/>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22"/>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22"/>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22"/>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22"/>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22"/>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22"/>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22"/>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22"/>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22"/>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22"/>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22"/>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22"/>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22"/>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22"/>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22"/>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22"/>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22"/>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22"/>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22"/>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22"/>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22"/>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22"/>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22"/>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22"/>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22"/>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22"/>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22"/>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22"/>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22"/>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22"/>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22"/>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22"/>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22"/>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22"/>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22"/>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22"/>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22"/>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22"/>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22"/>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22"/>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22"/>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22"/>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22"/>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22"/>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22"/>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22"/>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22"/>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22"/>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22"/>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22"/>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22"/>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22"/>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22"/>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22"/>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22"/>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22"/>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22"/>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22"/>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22"/>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22"/>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22"/>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22"/>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22"/>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22"/>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22"/>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22"/>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22"/>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22"/>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22"/>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22"/>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22"/>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22"/>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22"/>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22"/>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22"/>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22"/>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22"/>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22"/>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22"/>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22"/>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22"/>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22"/>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22"/>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22"/>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22"/>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22"/>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22"/>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22"/>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22"/>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22"/>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22"/>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22"/>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22"/>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22"/>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22"/>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22"/>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22"/>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22"/>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22"/>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22"/>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22"/>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22"/>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22"/>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22"/>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22"/>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22"/>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22"/>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22"/>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22"/>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22"/>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22"/>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22"/>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22"/>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22"/>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22"/>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22"/>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22"/>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22"/>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22"/>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22"/>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22"/>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22"/>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22"/>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22"/>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22"/>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22"/>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22"/>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22"/>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22"/>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22"/>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90" t="s">
        <v>5458</v>
      </c>
      <c r="B1" s="190" t="s">
        <v>5459</v>
      </c>
      <c r="C1" s="190" t="s">
        <v>5460</v>
      </c>
      <c r="D1" s="190" t="s">
        <v>5461</v>
      </c>
      <c r="E1" s="190" t="s">
        <v>5462</v>
      </c>
      <c r="F1" s="190" t="s">
        <v>5463</v>
      </c>
      <c r="G1" s="190" t="s">
        <v>5464</v>
      </c>
      <c r="H1" s="190" t="s">
        <v>5465</v>
      </c>
      <c r="I1" s="190" t="s">
        <v>5466</v>
      </c>
      <c r="J1" s="190" t="s">
        <v>5467</v>
      </c>
      <c r="K1" s="190" t="s">
        <v>5468</v>
      </c>
      <c r="L1" s="190" t="s">
        <v>5469</v>
      </c>
      <c r="M1" s="190" t="s">
        <v>5470</v>
      </c>
      <c r="N1" s="190" t="s">
        <v>1921</v>
      </c>
      <c r="O1" s="190" t="s">
        <v>5471</v>
      </c>
      <c r="P1" s="190" t="s">
        <v>5472</v>
      </c>
      <c r="Q1" s="190" t="s">
        <v>5473</v>
      </c>
      <c r="R1" s="190" t="s">
        <v>5474</v>
      </c>
      <c r="S1" s="190" t="s">
        <v>5475</v>
      </c>
    </row>
    <row r="2">
      <c r="A2" s="106" t="s">
        <v>5476</v>
      </c>
      <c r="B2" s="106" t="s">
        <v>5477</v>
      </c>
      <c r="C2" s="106" t="s">
        <v>5478</v>
      </c>
      <c r="D2" s="106" t="s">
        <v>5479</v>
      </c>
      <c r="E2" s="106" t="s">
        <v>5480</v>
      </c>
      <c r="F2" s="106" t="s">
        <v>5481</v>
      </c>
      <c r="G2" s="106" t="s">
        <v>5482</v>
      </c>
      <c r="H2" s="106" t="s">
        <v>5483</v>
      </c>
      <c r="I2" s="106" t="s">
        <v>5484</v>
      </c>
      <c r="J2" s="106" t="s">
        <v>5485</v>
      </c>
      <c r="K2" s="106" t="s">
        <v>5486</v>
      </c>
      <c r="L2" s="106" t="s">
        <v>5487</v>
      </c>
      <c r="M2" s="106" t="s">
        <v>5488</v>
      </c>
      <c r="N2" s="106" t="s">
        <v>5489</v>
      </c>
      <c r="O2" s="106" t="s">
        <v>5490</v>
      </c>
      <c r="P2" s="106" t="s">
        <v>5491</v>
      </c>
      <c r="Q2" s="106" t="s">
        <v>5492</v>
      </c>
      <c r="R2" s="106" t="s">
        <v>5493</v>
      </c>
      <c r="S2" s="106" t="s">
        <v>5494</v>
      </c>
    </row>
    <row r="3">
      <c r="A3" s="106" t="s">
        <v>5495</v>
      </c>
      <c r="B3" s="106" t="s">
        <v>5477</v>
      </c>
      <c r="C3" s="106" t="s">
        <v>5496</v>
      </c>
      <c r="D3" s="106" t="s">
        <v>5497</v>
      </c>
      <c r="E3" s="106" t="s">
        <v>5498</v>
      </c>
      <c r="F3" s="106" t="s">
        <v>5499</v>
      </c>
      <c r="G3" s="106" t="s">
        <v>5500</v>
      </c>
      <c r="H3" s="106" t="s">
        <v>5501</v>
      </c>
      <c r="I3" s="106" t="s">
        <v>5502</v>
      </c>
      <c r="J3" s="106" t="s">
        <v>5503</v>
      </c>
      <c r="K3" s="106" t="s">
        <v>5504</v>
      </c>
      <c r="L3" s="106" t="s">
        <v>5505</v>
      </c>
      <c r="M3" s="106" t="s">
        <v>5506</v>
      </c>
      <c r="N3" s="106" t="s">
        <v>5507</v>
      </c>
      <c r="O3" s="106" t="s">
        <v>5508</v>
      </c>
      <c r="P3" s="106" t="s">
        <v>5509</v>
      </c>
      <c r="Q3" s="106" t="s">
        <v>5510</v>
      </c>
      <c r="R3" s="106" t="s">
        <v>5511</v>
      </c>
      <c r="S3" s="106" t="s">
        <v>5512</v>
      </c>
    </row>
    <row r="4">
      <c r="A4" s="106" t="s">
        <v>5513</v>
      </c>
      <c r="B4" s="106" t="s">
        <v>5477</v>
      </c>
      <c r="C4" s="106" t="s">
        <v>5478</v>
      </c>
      <c r="D4" s="106" t="s">
        <v>5514</v>
      </c>
      <c r="E4" s="106" t="s">
        <v>5515</v>
      </c>
      <c r="F4" s="106" t="s">
        <v>5516</v>
      </c>
      <c r="G4" s="106" t="s">
        <v>5517</v>
      </c>
      <c r="H4" s="106" t="s">
        <v>5518</v>
      </c>
      <c r="I4" s="106" t="s">
        <v>5519</v>
      </c>
      <c r="J4" s="106" t="s">
        <v>5520</v>
      </c>
      <c r="K4" s="106" t="s">
        <v>5521</v>
      </c>
      <c r="L4" s="106" t="s">
        <v>5522</v>
      </c>
      <c r="M4" s="106" t="s">
        <v>5523</v>
      </c>
      <c r="N4" s="106" t="s">
        <v>5524</v>
      </c>
      <c r="O4" s="106" t="s">
        <v>5525</v>
      </c>
      <c r="P4" s="106" t="s">
        <v>5526</v>
      </c>
      <c r="Q4" s="106" t="s">
        <v>5527</v>
      </c>
      <c r="R4" s="106" t="s">
        <v>5528</v>
      </c>
      <c r="S4" s="106" t="s">
        <v>5529</v>
      </c>
    </row>
    <row r="5">
      <c r="A5" s="106" t="s">
        <v>5530</v>
      </c>
      <c r="B5" s="106" t="s">
        <v>5531</v>
      </c>
      <c r="C5" s="106" t="s">
        <v>5532</v>
      </c>
      <c r="D5" s="106" t="s">
        <v>5533</v>
      </c>
      <c r="E5" s="106" t="s">
        <v>5534</v>
      </c>
      <c r="F5" s="106" t="s">
        <v>5535</v>
      </c>
      <c r="G5" s="106" t="s">
        <v>5536</v>
      </c>
      <c r="H5" s="106" t="s">
        <v>5537</v>
      </c>
      <c r="I5" s="106" t="s">
        <v>5538</v>
      </c>
      <c r="J5" s="106" t="s">
        <v>5539</v>
      </c>
      <c r="K5" s="106" t="s">
        <v>5540</v>
      </c>
      <c r="L5" s="106" t="s">
        <v>5541</v>
      </c>
      <c r="M5" s="106" t="s">
        <v>5542</v>
      </c>
      <c r="N5" s="106" t="s">
        <v>5543</v>
      </c>
      <c r="O5" s="106" t="s">
        <v>5544</v>
      </c>
      <c r="P5" s="106" t="s">
        <v>5545</v>
      </c>
      <c r="Q5" s="106" t="s">
        <v>5546</v>
      </c>
      <c r="R5" s="106" t="s">
        <v>5547</v>
      </c>
      <c r="S5" s="106" t="s">
        <v>5548</v>
      </c>
    </row>
    <row r="6">
      <c r="A6" s="106" t="s">
        <v>5549</v>
      </c>
      <c r="B6" s="106" t="s">
        <v>5477</v>
      </c>
      <c r="C6" s="106" t="s">
        <v>5478</v>
      </c>
      <c r="D6" s="106" t="s">
        <v>5550</v>
      </c>
      <c r="E6" s="106" t="s">
        <v>5551</v>
      </c>
      <c r="F6" s="106" t="s">
        <v>5552</v>
      </c>
      <c r="G6" s="106" t="s">
        <v>5553</v>
      </c>
      <c r="H6" s="106" t="s">
        <v>5554</v>
      </c>
      <c r="I6" s="106" t="s">
        <v>5555</v>
      </c>
      <c r="J6" s="106" t="s">
        <v>5556</v>
      </c>
      <c r="K6" s="106" t="s">
        <v>5557</v>
      </c>
      <c r="L6" s="106" t="s">
        <v>5558</v>
      </c>
      <c r="M6" s="106" t="s">
        <v>5559</v>
      </c>
      <c r="N6" s="106" t="s">
        <v>5560</v>
      </c>
      <c r="O6" s="106" t="s">
        <v>5561</v>
      </c>
      <c r="P6" s="106" t="s">
        <v>5562</v>
      </c>
      <c r="Q6" s="106" t="s">
        <v>5563</v>
      </c>
      <c r="R6" s="106" t="s">
        <v>5564</v>
      </c>
      <c r="S6" s="106" t="s">
        <v>5565</v>
      </c>
    </row>
    <row r="7">
      <c r="A7" s="106" t="s">
        <v>5566</v>
      </c>
      <c r="B7" s="106" t="s">
        <v>5567</v>
      </c>
      <c r="C7" s="106" t="s">
        <v>5478</v>
      </c>
      <c r="D7" s="106" t="s">
        <v>5568</v>
      </c>
      <c r="E7" s="106" t="s">
        <v>5569</v>
      </c>
      <c r="F7" s="106" t="s">
        <v>5570</v>
      </c>
      <c r="G7" s="106" t="s">
        <v>5571</v>
      </c>
      <c r="H7" s="106" t="s">
        <v>5572</v>
      </c>
      <c r="I7" s="106" t="s">
        <v>5573</v>
      </c>
      <c r="J7" s="106" t="s">
        <v>5574</v>
      </c>
      <c r="K7" s="106" t="s">
        <v>5575</v>
      </c>
      <c r="L7" s="106" t="s">
        <v>5576</v>
      </c>
      <c r="M7" s="106" t="s">
        <v>5577</v>
      </c>
      <c r="N7" s="106" t="s">
        <v>5578</v>
      </c>
      <c r="O7" s="106" t="s">
        <v>5579</v>
      </c>
      <c r="P7" s="106" t="s">
        <v>5580</v>
      </c>
      <c r="Q7" s="106" t="s">
        <v>5581</v>
      </c>
      <c r="R7" s="106" t="s">
        <v>5582</v>
      </c>
      <c r="S7" s="106" t="s">
        <v>5583</v>
      </c>
    </row>
    <row r="8">
      <c r="A8" s="106" t="s">
        <v>5584</v>
      </c>
      <c r="B8" s="106" t="s">
        <v>5531</v>
      </c>
      <c r="C8" s="106" t="s">
        <v>5496</v>
      </c>
      <c r="D8" s="106" t="s">
        <v>5585</v>
      </c>
      <c r="E8" s="106" t="s">
        <v>5586</v>
      </c>
      <c r="F8" s="106" t="s">
        <v>5587</v>
      </c>
      <c r="G8" s="106" t="s">
        <v>5588</v>
      </c>
      <c r="H8" s="106" t="s">
        <v>5589</v>
      </c>
      <c r="I8" s="106" t="s">
        <v>5590</v>
      </c>
      <c r="J8" s="106" t="s">
        <v>5591</v>
      </c>
      <c r="K8" s="106" t="s">
        <v>5592</v>
      </c>
      <c r="L8" s="106" t="s">
        <v>5593</v>
      </c>
      <c r="M8" s="106" t="s">
        <v>5594</v>
      </c>
      <c r="N8" s="106" t="s">
        <v>5595</v>
      </c>
      <c r="O8" s="106" t="s">
        <v>5596</v>
      </c>
      <c r="P8" s="106" t="s">
        <v>5597</v>
      </c>
      <c r="Q8" s="106" t="s">
        <v>5598</v>
      </c>
      <c r="R8" s="106" t="s">
        <v>5599</v>
      </c>
      <c r="S8" s="106" t="s">
        <v>5600</v>
      </c>
    </row>
    <row r="9">
      <c r="A9" s="106" t="s">
        <v>1263</v>
      </c>
      <c r="B9" s="106" t="s">
        <v>5477</v>
      </c>
      <c r="C9" s="106" t="s">
        <v>5478</v>
      </c>
      <c r="D9" s="106" t="s">
        <v>5601</v>
      </c>
      <c r="E9" s="106" t="s">
        <v>5602</v>
      </c>
      <c r="F9" s="106" t="s">
        <v>5603</v>
      </c>
      <c r="G9" s="106" t="s">
        <v>5604</v>
      </c>
      <c r="H9" s="106" t="s">
        <v>5605</v>
      </c>
      <c r="I9" s="106" t="s">
        <v>5606</v>
      </c>
      <c r="J9" s="106" t="s">
        <v>5607</v>
      </c>
      <c r="K9" s="106" t="s">
        <v>5608</v>
      </c>
      <c r="L9" s="106" t="s">
        <v>5609</v>
      </c>
      <c r="M9" s="106" t="s">
        <v>5610</v>
      </c>
      <c r="N9" s="106" t="s">
        <v>5611</v>
      </c>
      <c r="O9" s="106" t="s">
        <v>5612</v>
      </c>
      <c r="P9" s="106" t="s">
        <v>5613</v>
      </c>
      <c r="Q9" s="106" t="s">
        <v>5614</v>
      </c>
      <c r="R9" s="106" t="s">
        <v>5615</v>
      </c>
      <c r="S9" s="106" t="s">
        <v>5616</v>
      </c>
    </row>
    <row r="10">
      <c r="A10" s="106" t="s">
        <v>5617</v>
      </c>
      <c r="B10" s="106" t="s">
        <v>5531</v>
      </c>
      <c r="C10" s="106" t="s">
        <v>5532</v>
      </c>
      <c r="D10" s="106" t="s">
        <v>5618</v>
      </c>
      <c r="E10" s="106" t="s">
        <v>5619</v>
      </c>
      <c r="F10" s="106" t="s">
        <v>5620</v>
      </c>
      <c r="G10" s="106" t="s">
        <v>5621</v>
      </c>
      <c r="H10" s="106" t="s">
        <v>5622</v>
      </c>
      <c r="I10" s="106" t="s">
        <v>5623</v>
      </c>
      <c r="J10" s="106" t="s">
        <v>5624</v>
      </c>
      <c r="K10" s="106" t="s">
        <v>5625</v>
      </c>
      <c r="L10" s="106" t="s">
        <v>5626</v>
      </c>
      <c r="M10" s="106" t="s">
        <v>5627</v>
      </c>
      <c r="N10" s="106" t="s">
        <v>5628</v>
      </c>
      <c r="O10" s="106" t="s">
        <v>5629</v>
      </c>
      <c r="P10" s="106" t="s">
        <v>5630</v>
      </c>
      <c r="Q10" s="106" t="s">
        <v>5631</v>
      </c>
      <c r="R10" s="106" t="s">
        <v>5632</v>
      </c>
      <c r="S10" s="106" t="s">
        <v>5633</v>
      </c>
    </row>
    <row r="11">
      <c r="A11" s="106" t="s">
        <v>3312</v>
      </c>
      <c r="B11" s="106" t="s">
        <v>5531</v>
      </c>
      <c r="C11" s="106" t="s">
        <v>5532</v>
      </c>
      <c r="D11" s="106" t="s">
        <v>5634</v>
      </c>
      <c r="E11" s="106" t="s">
        <v>5635</v>
      </c>
      <c r="F11" s="106" t="s">
        <v>5636</v>
      </c>
      <c r="G11" s="106" t="s">
        <v>5637</v>
      </c>
      <c r="H11" s="106" t="s">
        <v>5638</v>
      </c>
      <c r="I11" s="106" t="s">
        <v>5639</v>
      </c>
      <c r="J11" s="106" t="s">
        <v>5640</v>
      </c>
      <c r="K11" s="106" t="s">
        <v>5641</v>
      </c>
      <c r="L11" s="106" t="s">
        <v>5642</v>
      </c>
      <c r="M11" s="106" t="s">
        <v>5643</v>
      </c>
      <c r="N11" s="106" t="s">
        <v>5644</v>
      </c>
      <c r="O11" s="106" t="s">
        <v>5645</v>
      </c>
      <c r="P11" s="106" t="s">
        <v>5646</v>
      </c>
      <c r="Q11" s="106" t="s">
        <v>5647</v>
      </c>
      <c r="R11" s="106" t="s">
        <v>5648</v>
      </c>
      <c r="S11" s="106" t="s">
        <v>5649</v>
      </c>
    </row>
    <row r="12">
      <c r="A12" s="109" t="s">
        <v>5650</v>
      </c>
      <c r="B12" s="109" t="s">
        <v>5651</v>
      </c>
      <c r="C12" s="109" t="s">
        <v>5652</v>
      </c>
      <c r="D12" s="109" t="s">
        <v>5653</v>
      </c>
      <c r="E12" s="106" t="s">
        <v>5654</v>
      </c>
      <c r="F12" s="106" t="s">
        <v>5655</v>
      </c>
      <c r="G12" s="109" t="s">
        <v>5656</v>
      </c>
      <c r="H12" s="106" t="s">
        <v>5657</v>
      </c>
      <c r="I12" s="109" t="s">
        <v>5658</v>
      </c>
      <c r="J12" s="106" t="s">
        <v>5659</v>
      </c>
      <c r="K12" s="109" t="s">
        <v>5660</v>
      </c>
      <c r="L12" s="109" t="s">
        <v>5661</v>
      </c>
      <c r="M12" s="106" t="s">
        <v>5662</v>
      </c>
      <c r="N12" s="106" t="s">
        <v>5663</v>
      </c>
      <c r="O12" s="109" t="s">
        <v>5664</v>
      </c>
      <c r="P12" s="106" t="s">
        <v>5665</v>
      </c>
      <c r="Q12" s="106" t="s">
        <v>5666</v>
      </c>
      <c r="R12" s="106" t="s">
        <v>5667</v>
      </c>
      <c r="S12" s="109" t="s">
        <v>5668</v>
      </c>
    </row>
    <row r="13">
      <c r="A13" s="109" t="s">
        <v>5669</v>
      </c>
      <c r="B13" s="109" t="s">
        <v>5670</v>
      </c>
      <c r="C13" s="109" t="s">
        <v>5652</v>
      </c>
      <c r="D13" s="106" t="s">
        <v>5671</v>
      </c>
      <c r="E13" s="109" t="s">
        <v>5672</v>
      </c>
      <c r="F13" s="106" t="s">
        <v>5673</v>
      </c>
      <c r="G13" s="106" t="s">
        <v>5674</v>
      </c>
      <c r="H13" s="106" t="s">
        <v>5675</v>
      </c>
      <c r="I13" s="106" t="s">
        <v>5676</v>
      </c>
      <c r="J13" s="109" t="s">
        <v>5677</v>
      </c>
      <c r="K13" s="106" t="s">
        <v>5678</v>
      </c>
      <c r="L13" s="109" t="s">
        <v>5679</v>
      </c>
      <c r="M13" s="106" t="s">
        <v>5680</v>
      </c>
      <c r="N13" s="106" t="s">
        <v>5681</v>
      </c>
      <c r="O13" s="106" t="s">
        <v>5682</v>
      </c>
      <c r="P13" s="106" t="s">
        <v>5683</v>
      </c>
      <c r="Q13" s="106" t="s">
        <v>5684</v>
      </c>
      <c r="R13" s="106" t="s">
        <v>5685</v>
      </c>
      <c r="S13" s="106" t="s">
        <v>5686</v>
      </c>
    </row>
    <row r="14">
      <c r="A14" s="109" t="s">
        <v>5687</v>
      </c>
      <c r="B14" s="109" t="s">
        <v>5477</v>
      </c>
      <c r="C14" s="109" t="s">
        <v>5532</v>
      </c>
      <c r="D14" s="109" t="s">
        <v>5688</v>
      </c>
      <c r="E14" s="109" t="s">
        <v>5689</v>
      </c>
      <c r="F14" s="109" t="s">
        <v>5690</v>
      </c>
      <c r="G14" s="109" t="s">
        <v>5691</v>
      </c>
      <c r="H14" s="109" t="s">
        <v>5692</v>
      </c>
      <c r="I14" s="109" t="s">
        <v>5693</v>
      </c>
      <c r="J14" s="109" t="s">
        <v>5694</v>
      </c>
      <c r="K14" s="109" t="s">
        <v>5695</v>
      </c>
      <c r="L14" s="109" t="s">
        <v>5696</v>
      </c>
      <c r="M14" s="109" t="s">
        <v>5697</v>
      </c>
      <c r="N14" s="109" t="s">
        <v>5698</v>
      </c>
      <c r="O14" s="109" t="s">
        <v>5699</v>
      </c>
      <c r="P14" s="109" t="s">
        <v>5700</v>
      </c>
      <c r="Q14" s="109" t="s">
        <v>5701</v>
      </c>
      <c r="R14" s="109" t="s">
        <v>5702</v>
      </c>
      <c r="S14" s="109" t="s">
        <v>5703</v>
      </c>
    </row>
    <row r="15">
      <c r="A15" s="109" t="s">
        <v>5704</v>
      </c>
      <c r="B15" s="109" t="s">
        <v>5651</v>
      </c>
      <c r="C15" s="109" t="s">
        <v>5705</v>
      </c>
      <c r="D15" s="109" t="s">
        <v>5706</v>
      </c>
      <c r="E15" s="109" t="s">
        <v>5707</v>
      </c>
      <c r="F15" s="109" t="s">
        <v>5708</v>
      </c>
      <c r="G15" s="109" t="s">
        <v>5709</v>
      </c>
      <c r="H15" s="109" t="s">
        <v>5710</v>
      </c>
      <c r="I15" s="109" t="s">
        <v>5711</v>
      </c>
      <c r="J15" s="109" t="s">
        <v>5712</v>
      </c>
      <c r="K15" s="109" t="s">
        <v>5713</v>
      </c>
      <c r="L15" s="109" t="s">
        <v>5714</v>
      </c>
      <c r="M15" s="109" t="s">
        <v>5715</v>
      </c>
      <c r="N15" s="106" t="s">
        <v>5716</v>
      </c>
      <c r="O15" s="106" t="s">
        <v>5717</v>
      </c>
      <c r="P15" s="109" t="s">
        <v>5718</v>
      </c>
      <c r="Q15" s="109" t="s">
        <v>5719</v>
      </c>
      <c r="R15" s="109" t="s">
        <v>5720</v>
      </c>
      <c r="S15" s="109" t="s">
        <v>5721</v>
      </c>
    </row>
    <row r="16">
      <c r="A16" s="109" t="s">
        <v>5722</v>
      </c>
      <c r="B16" s="109" t="s">
        <v>5723</v>
      </c>
      <c r="C16" s="109" t="s">
        <v>5724</v>
      </c>
      <c r="D16" s="109" t="s">
        <v>5725</v>
      </c>
      <c r="E16" s="109" t="s">
        <v>5726</v>
      </c>
      <c r="F16" s="109" t="s">
        <v>5727</v>
      </c>
      <c r="G16" s="109" t="s">
        <v>5728</v>
      </c>
      <c r="H16" s="106" t="s">
        <v>5729</v>
      </c>
      <c r="I16" s="109" t="s">
        <v>5730</v>
      </c>
      <c r="J16" s="109" t="s">
        <v>5731</v>
      </c>
      <c r="K16" s="109" t="s">
        <v>5732</v>
      </c>
      <c r="L16" s="109" t="s">
        <v>5733</v>
      </c>
      <c r="M16" s="109" t="s">
        <v>5734</v>
      </c>
      <c r="N16" s="106" t="s">
        <v>5735</v>
      </c>
      <c r="O16" s="106" t="s">
        <v>5736</v>
      </c>
      <c r="P16" s="109" t="s">
        <v>5737</v>
      </c>
      <c r="Q16" s="109" t="s">
        <v>5738</v>
      </c>
      <c r="R16" s="109" t="s">
        <v>5739</v>
      </c>
      <c r="S16" s="109" t="s">
        <v>5740</v>
      </c>
    </row>
    <row r="17">
      <c r="A17" s="109" t="s">
        <v>5741</v>
      </c>
      <c r="B17" s="109" t="s">
        <v>5531</v>
      </c>
      <c r="C17" s="109" t="s">
        <v>5652</v>
      </c>
      <c r="D17" s="106" t="s">
        <v>5742</v>
      </c>
      <c r="E17" s="109" t="s">
        <v>5743</v>
      </c>
      <c r="F17" s="106" t="s">
        <v>5744</v>
      </c>
      <c r="G17" s="106" t="s">
        <v>5745</v>
      </c>
      <c r="H17" s="106" t="s">
        <v>5746</v>
      </c>
      <c r="I17" s="109" t="s">
        <v>5747</v>
      </c>
      <c r="J17" s="106" t="s">
        <v>5748</v>
      </c>
      <c r="K17" s="106" t="s">
        <v>5749</v>
      </c>
      <c r="L17" s="106" t="s">
        <v>5750</v>
      </c>
      <c r="M17" s="106" t="s">
        <v>5751</v>
      </c>
      <c r="N17" s="106" t="s">
        <v>5752</v>
      </c>
      <c r="O17" s="109" t="s">
        <v>5753</v>
      </c>
      <c r="P17" s="109" t="s">
        <v>5754</v>
      </c>
      <c r="Q17" s="106" t="s">
        <v>5755</v>
      </c>
      <c r="R17" s="106" t="s">
        <v>5756</v>
      </c>
      <c r="S17" s="106" t="s">
        <v>5757</v>
      </c>
    </row>
    <row r="18">
      <c r="A18" s="109" t="s">
        <v>5758</v>
      </c>
      <c r="B18" s="109" t="s">
        <v>5567</v>
      </c>
      <c r="C18" s="109" t="s">
        <v>5496</v>
      </c>
      <c r="D18" s="109" t="s">
        <v>5759</v>
      </c>
      <c r="E18" s="109" t="s">
        <v>5760</v>
      </c>
      <c r="F18" s="109" t="s">
        <v>5761</v>
      </c>
      <c r="G18" s="109" t="s">
        <v>5762</v>
      </c>
      <c r="H18" s="109" t="s">
        <v>5763</v>
      </c>
      <c r="I18" s="109" t="s">
        <v>5764</v>
      </c>
      <c r="J18" s="109" t="s">
        <v>5765</v>
      </c>
      <c r="K18" s="109" t="s">
        <v>5766</v>
      </c>
      <c r="L18" s="109" t="s">
        <v>5767</v>
      </c>
      <c r="M18" s="109" t="s">
        <v>5768</v>
      </c>
      <c r="N18" s="109" t="s">
        <v>5769</v>
      </c>
      <c r="O18" s="106" t="s">
        <v>5770</v>
      </c>
      <c r="P18" s="109" t="s">
        <v>5771</v>
      </c>
      <c r="Q18" s="109" t="s">
        <v>5772</v>
      </c>
      <c r="R18" s="106" t="s">
        <v>5773</v>
      </c>
      <c r="S18" s="109" t="s">
        <v>5774</v>
      </c>
    </row>
    <row r="19">
      <c r="A19" s="109" t="s">
        <v>5775</v>
      </c>
      <c r="B19" s="109" t="s">
        <v>5477</v>
      </c>
      <c r="C19" s="109" t="s">
        <v>4993</v>
      </c>
      <c r="D19" s="109" t="s">
        <v>5776</v>
      </c>
      <c r="E19" s="109" t="s">
        <v>5777</v>
      </c>
      <c r="F19" s="109" t="s">
        <v>5778</v>
      </c>
      <c r="G19" s="109" t="s">
        <v>5779</v>
      </c>
      <c r="H19" s="109" t="s">
        <v>5780</v>
      </c>
      <c r="I19" s="109" t="s">
        <v>5781</v>
      </c>
      <c r="J19" s="109" t="s">
        <v>5782</v>
      </c>
      <c r="K19" s="109" t="s">
        <v>5783</v>
      </c>
      <c r="L19" s="109" t="s">
        <v>5784</v>
      </c>
      <c r="M19" s="109" t="s">
        <v>5785</v>
      </c>
      <c r="N19" s="106" t="s">
        <v>5786</v>
      </c>
      <c r="O19" s="109" t="s">
        <v>5787</v>
      </c>
      <c r="P19" s="109" t="s">
        <v>5788</v>
      </c>
      <c r="Q19" s="109" t="s">
        <v>5789</v>
      </c>
      <c r="R19" s="109" t="s">
        <v>5790</v>
      </c>
      <c r="S19" s="109" t="s">
        <v>5791</v>
      </c>
    </row>
  </sheetData>
  <drawing r:id="rId1"/>
</worksheet>
</file>