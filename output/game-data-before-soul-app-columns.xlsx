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 authorId="0" ref="BC57">
      <text>
        <t xml:space="preserve">2026-10-14: 武器なしでも爪攻撃を可能にする暫定値。身体武器Lv1相当（値÷10）。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 facilityDamageMultiplierは施設HP被害の威力倍率。未設定/0は施設被害なし、1で災害威力をそのまま使用。拠点防御・属性耐性・災害耐性で軽減し、HP0は修理可能な損壊。同Tの同一災害は再処理しない。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CF1">
      <text>
        <t xml:space="preserve">完成済みのこの壁を自勢力・同盟ユニットが越えるときの移動AP増加率（%）。25なら最終移動APを1.25倍。破壊済み・未完成は対象外。複数壁の重複は最大値のみ。</t>
      </text>
    </comment>
    <comment authorId="0" ref="CG1">
      <text>
        <t xml:space="preserve">両側が同じ拠点の住居マスである完成壁1辺あたりの幸福度目標低下量。外周壁・破壊済み・未完成は対象外。</t>
      </text>
    </comment>
    <comment authorId="0" ref="CH1">
      <text>
        <t xml:space="preserve">拠点全体の内壁による幸福度低下上限（正の値）。複数種の内壁がある場合は該当する壁定義の最大上限を採用し、総低下量を制限する。10なら最大-10。</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<sst xmlns="http://schemas.openxmlformats.org/spreadsheetml/2006/main" count="17957" uniqueCount="5802">
  <si>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</si>
  <si>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</si>
  <si>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</si>
  <si>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</si>
  <si>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</si>
  <si>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</si>
  <si>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</si>
  <si>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</si>
  <si>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</si>
  <si>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</si>
  <si>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</si>
  <si>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</si>
  <si>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</si>
  <si>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</si>
  <si>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</si>
  <si>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</si>
  <si>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</si>
  <si>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</si>
  <si>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</si>
  <si>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</si>
  <si>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</si>
  <si>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</si>
  <si>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</si>
  <si>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</si>
  <si>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</si>
  <si>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</si>
  <si>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</si>
  <si>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</si>
  <si>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</si>
  <si>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</si>
  <si>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</si>
  <si>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</si>
  <si>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</si>
  <si>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</si>
  <si>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</si>
  <si>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</si>
  <si>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</si>
  <si>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</si>
  <si>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</si>
  <si>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</si>
  <si>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</si>
  <si>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</si>
  <si>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</si>
  <si>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</si>
  <si>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</si>
  <si>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</si>
  <si>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</si>
  <si>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</si>
  <si>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</si>
  <si>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</si>
  <si>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</si>
  <si>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</si>
  <si>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</si>
  <si>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</si>
  <si>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</si>
  <si>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</si>
  <si>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</si>
  <si>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</si>
  <si>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</si>
  <si>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</si>
  <si>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</si>
  <si>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</si>
  <si>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</si>
  <si>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</si>
  <si>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</si>
  <si>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</si>
  <si>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</si>
  <si>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</si>
  <si>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</si>
  <si>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</si>
  <si>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</si>
  <si>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</si>
  <si>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</si>
  <si>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</si>
  <si>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</si>
  <si>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</si>
  <si>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</si>
  <si>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</si>
  <si>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</si>
  <si>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</si>
  <si>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</si>
  <si>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</si>
  <si>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</si>
  <si>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</si>
  <si>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</si>
  <si>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</si>
  <si>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</si>
  <si>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</si>
  <si>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</si>
  <si>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</si>
  <si>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</si>
  <si>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</si>
  <si>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</si>
  <si>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</si>
  <si>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</si>
  <si>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</si>
  <si>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</si>
  <si>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</si>
  <si>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</si>
  <si>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</si>
  <si>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</si>
  <si>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</si>
  <si>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</si>
  <si>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</si>
  <si>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</si>
  <si>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</si>
  <si>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</si>
  <si>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</si>
  <si>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</si>
  <si>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</si>
  <si>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</si>
  <si>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</si>
  <si>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</si>
  <si>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</si>
  <si>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</si>
  <si>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</si>
  <si>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</si>
  <si>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</si>
  <si>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</si>
  <si>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</si>
  <si>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</si>
  <si>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</si>
  <si>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</si>
  <si>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</si>
  <si>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</si>
  <si>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</si>
  <si>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</si>
  <si>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</si>
  <si>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</si>
  <si>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</si>
  <si>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</si>
  <si>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</si>
  <si>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</si>
  <si>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</si>
  <si>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</si>
  <si>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</si>
  <si>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</si>
  <si>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</si>
  <si>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</si>
  <si>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</si>
  <si>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</si>
  <si>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</si>
  <si>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</si>
  <si>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</si>
  <si>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</si>
  <si>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</si>
  <si>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</si>
  <si>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</si>
  <si>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</si>
  <si>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</si>
  <si>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</si>
  <si>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</si>
  <si>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</si>
  <si>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</si>
  <si>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</si>
  <si>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</si>
  <si>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</si>
  <si>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</si>
  <si>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</si>
  <si>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</si>
  <si>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</si>
  <si>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</si>
  <si>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</si>
  <si>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</si>
  <si>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</si>
  <si>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</si>
  <si>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</si>
  <si>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</si>
  <si>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</si>
  <si>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</si>
  <si>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</si>
  <si>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</si>
  <si>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</si>
  <si>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</si>
  <si>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</si>
  <si>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</si>
  <si>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</si>
  <si>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</si>
  <si>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</si>
  <si>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</si>
  <si>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</si>
  <si>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</si>
  <si>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</si>
  <si>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</si>
  <si>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</si>
  <si>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</si>
  <si>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</si>
  <si>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</si>
  <si>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</si>
  <si>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</si>
  <si>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</si>
  <si>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</si>
  <si>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</si>
  <si>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</si>
  <si>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</si>
  <si>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</si>
  <si>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</si>
  <si>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</si>
  <si>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</si>
  <si>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</si>
  <si>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</si>
  <si>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</si>
  <si>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</si>
  <si>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</si>
  <si>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</si>
  <si>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</si>
  <si>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</si>
  <si>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</si>
  <si>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</si>
  <si>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</si>
  <si>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</si>
  <si>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</si>
  <si>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</si>
  <si>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</si>
  <si>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</si>
  <si>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</si>
  <si>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</si>
  <si>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</si>
  <si>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</si>
  <si>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</si>
  <si>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</si>
  <si>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</si>
  <si>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</si>
  <si>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</si>
  <si>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</si>
  <si>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</si>
  <si>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</si>
  <si>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</si>
  <si>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</si>
  <si>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</si>
  <si>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</si>
  <si>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</si>
  <si>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</si>
  <si>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</si>
  <si>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</si>
  <si>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</si>
  <si>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</si>
  <si>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</si>
  <si>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</si>
  <si>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</si>
  <si>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</si>
  <si>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</si>
  <si>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</si>
  <si>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</si>
  <si>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</si>
  <si>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</si>
  <si>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</si>
  <si>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</si>
  <si>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</si>
  <si>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</si>
  <si>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</si>
  <si>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</si>
  <si>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</si>
  <si>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</si>
  <si>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</si>
  <si>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</si>
  <si>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</si>
  <si>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</si>
  <si>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</si>
  <si>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</si>
  <si>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</si>
  <si>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</si>
  <si>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</si>
  <si>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</si>
  <si>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</si>
  <si>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</si>
  <si>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</si>
  <si>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</si>
  <si>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</si>
  <si>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</si>
  <si>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</si>
  <si>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</si>
  <si>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</si>
  <si>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</si>
  <si>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</si>
  <si>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</si>
  <si>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</si>
  <si>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</si>
  <si>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</si>
  <si>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</si>
  <si>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</si>
  <si>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</si>
  <si>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</si>
  <si>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</si>
  <si>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</si>
  <si>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</si>
  <si>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</si>
  <si>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</si>
  <si>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</si>
  <si>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</si>
  <si>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</si>
  <si>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</si>
  <si>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</si>
  <si>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</si>
  <si>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</si>
  <si>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</si>
  <si>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</si>
  <si>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</si>
  <si>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</si>
  <si>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</si>
  <si>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</si>
  <si>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</si>
  <si>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</si>
  <si>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</si>
  <si>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</si>
  <si>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</si>
  <si>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</si>
  <si>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</si>
  <si>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</si>
  <si>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</si>
  <si>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</si>
  <si>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</si>
  <si>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</si>
  <si>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</si>
  <si>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</si>
  <si>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</si>
  <si>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</si>
  <si>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</si>
  <si>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</si>
  <si>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</si>
  <si>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</si>
  <si>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</si>
  <si>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</si>
  <si>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</si>
  <si>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</si>
  <si>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</si>
  <si>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</si>
  <si>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</si>
  <si>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</si>
  <si>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</si>
  <si>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</si>
  <si>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</si>
  <si>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</si>
  <si>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</si>
  <si>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</si>
  <si>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</si>
  <si>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</si>
  <si>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</si>
  <si>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</si>
  <si>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</si>
  <si>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</si>
  <si>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</si>
  <si>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</si>
  <si>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</si>
  <si>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</si>
  <si>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</si>
  <si>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</si>
  <si>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</si>
  <si>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</si>
  <si>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</si>
  <si>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</si>
  <si>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</si>
  <si>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</si>
  <si>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</si>
  <si>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</si>
  <si>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</si>
  <si>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</si>
  <si>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</si>
  <si>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</si>
  <si>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</si>
  <si>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</si>
  <si>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</si>
  <si>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</si>
  <si>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</si>
  <si>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</si>
  <si>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</si>
  <si>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</si>
  <si>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</si>
  <si>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</si>
  <si>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</si>
  <si>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</si>
  <si>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</si>
  <si>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</si>
  <si>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</si>
  <si>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</si>
  <si>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</si>
  <si>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</si>
  <si>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</si>
  <si>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</si>
  <si>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</si>
  <si>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</si>
  <si>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</si>
  <si>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</si>
  <si>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</si>
  <si>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</si>
  <si>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</si>
  <si>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</si>
  <si>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</si>
  <si>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</si>
  <si>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</si>
  <si>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</si>
  <si>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</si>
  <si>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</si>
  <si>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</si>
  <si>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</si>
  <si>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</si>
  <si>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</si>
  <si>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</si>
  <si>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</si>
  <si>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</si>
  <si>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</si>
  <si>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</si>
  <si>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</si>
  <si>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</si>
  <si>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</si>
  <si>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</si>
  <si>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</si>
  <si>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</si>
  <si>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</si>
  <si>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</si>
  <si>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</si>
  <si>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</si>
  <si>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</si>
  <si>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</si>
  <si>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</si>
  <si>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</si>
  <si>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</si>
  <si>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</si>
  <si>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</si>
  <si>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</si>
  <si>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</si>
  <si>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</si>
  <si>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</si>
  <si>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</si>
  <si>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</si>
  <si>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</si>
  <si>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</si>
  <si>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</si>
  <si>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</si>
  <si>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</si>
  <si>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</si>
  <si>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</si>
  <si>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</si>
  <si>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</si>
  <si>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</si>
  <si>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</si>
  <si>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</si>
  <si>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</si>
  <si>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</si>
  <si>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</si>
  <si>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</si>
  <si>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</si>
  <si>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</si>
  <si>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</si>
  <si>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</si>
  <si>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</si>
  <si>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</si>
  <si>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</si>
  <si>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</si>
  <si>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</si>
  <si>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</si>
  <si>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</si>
  <si>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</si>
  <si>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</si>
  <si>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</si>
  <si>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</si>
  <si>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</si>
  <si>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</si>
  <si>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</si>
  <si>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</si>
  <si>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</si>
  <si>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</si>
  <si>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</si>
  <si>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</si>
  <si>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</si>
  <si>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</si>
  <si>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</si>
  <si>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</si>
  <si>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</si>
  <si>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</si>
  <si>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</si>
  <si>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</si>
  <si>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</si>
  <si>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</si>
  <si>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</si>
  <si>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</si>
  <si>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</si>
  <si>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</si>
  <si>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</si>
  <si>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</si>
  <si>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</si>
  <si>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</si>
  <si>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</si>
  <si>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</si>
  <si>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</si>
  <si>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</si>
  <si>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</si>
  <si>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</si>
  <si>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</si>
  <si>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</si>
  <si>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</si>
  <si>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</si>
  <si>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</si>
  <si>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</si>
  <si>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</si>
  <si>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</si>
  <si>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</si>
  <si>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</si>
  <si>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</si>
  <si>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</si>
  <si>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</si>
  <si>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</si>
  <si>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</si>
  <si>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</si>
  <si>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</si>
  <si>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</si>
  <si>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</si>
  <si>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</si>
  <si>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</si>
  <si>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</si>
  <si>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</si>
  <si>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</si>
  <si>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</si>
  <si>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</si>
  <si>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</si>
  <si>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</si>
  <si>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</si>
  <si>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</si>
  <si>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</si>
  <si>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</si>
  <si>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</si>
  <si>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</si>
  <si>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</si>
  <si>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</si>
  <si>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</si>
  <si>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</si>
  <si>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</si>
  <si>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</si>
  <si>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</si>
  <si>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</si>
  <si>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</si>
  <si>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</si>
  <si>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</si>
  <si>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</si>
  <si>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</si>
  <si>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</si>
  <si>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</si>
  <si>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</si>
  <si>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</si>
  <si>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</si>
  <si>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</si>
  <si>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</si>
  <si>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</si>
  <si>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</si>
  <si>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</si>
  <si>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</si>
  <si>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</si>
  <si>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</si>
  <si>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</si>
  <si>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</si>
  <si>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</si>
  <si>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</si>
  <si>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</si>
  <si>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</si>
  <si>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</si>
  <si>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</si>
  <si>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</si>
  <si>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</si>
  <si>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</si>
  <si>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</si>
  <si>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</si>
  <si>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</si>
  <si>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</si>
  <si>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</si>
  <si>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</si>
  <si>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</si>
  <si>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</si>
  <si>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</si>
  <si>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</si>
  <si>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</si>
  <si>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</si>
  <si>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</si>
  <si>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</si>
  <si>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</si>
  <si>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</si>
  <si>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</si>
  <si>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</si>
  <si>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</si>
  <si>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</si>
  <si>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</si>
  <si>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</si>
  <si>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</si>
  <si>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</si>
  <si>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</si>
  <si>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</si>
  <si>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</si>
  <si>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</si>
  <si>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</si>
  <si>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</si>
  <si>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</si>
  <si>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</si>
  <si>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</si>
  <si>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</si>
  <si>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</si>
  <si>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</si>
  <si>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</si>
  <si>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</si>
  <si>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</si>
  <si>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</si>
  <si>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</si>
  <si>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</si>
  <si>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</si>
  <si>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</si>
  <si>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</si>
  <si>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</si>
  <si>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</si>
  <si>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</si>
  <si>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</si>
  <si>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</si>
  <si>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</si>
  <si>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</si>
  <si>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</si>
  <si>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</si>
  <si>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</si>
  <si>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</si>
  <si>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</si>
  <si>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</si>
  <si>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</si>
  <si>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</si>
  <si>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</si>
  <si>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</si>
  <si>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</si>
  <si>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</si>
  <si>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</si>
  <si>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</si>
  <si>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</si>
  <si>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</si>
  <si>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</si>
  <si>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</si>
  <si>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</si>
  <si>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</si>
  <si>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</si>
  <si>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</si>
  <si>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</si>
  <si>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</si>
  <si>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</si>
  <si>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</si>
  <si>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</si>
  <si>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</si>
  <si>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</si>
  <si>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</si>
  <si>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</si>
  <si>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</si>
  <si>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</si>
  <si>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</si>
  <si>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</si>
  <si>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</si>
  <si>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</si>
  <si>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</si>
  <si>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</si>
  <si>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</si>
  <si>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</si>
  <si>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</si>
  <si>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</si>
  <si>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</si>
  <si>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</si>
  <si>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</si>
  <si>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</si>
  <si>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</si>
  <si>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</si>
  <si>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</si>
  <si>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</si>
  <si>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</si>
  <si>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</si>
  <si>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</si>
  <si>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</si>
  <si>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</si>
  <si>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</si>
  <si>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</si>
  <si>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</si>
  <si>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</si>
  <si>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</si>
  <si>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</si>
  <si>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</si>
  <si>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</si>
  <si>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</si>
  <si>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</si>
  <si>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</si>
  <si>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</si>
  <si>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</si>
  <si>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</si>
  <si>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</si>
  <si>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</si>
  <si>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</si>
  <si>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</si>
  <si>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</si>
  <si>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</si>
  <si>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</si>
  <si>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</si>
  <si>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</si>
  <si>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</si>
  <si>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</si>
  <si>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</si>
  <si>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</si>
  <si>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</si>
  <si>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</si>
  <si>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</si>
  <si>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</si>
  <si>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</si>
  <si>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</si>
  <si>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</si>
  <si>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</si>
  <si>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</si>
  <si>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</si>
  <si>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</si>
  <si>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</si>
  <si>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</si>
  <si>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</si>
  <si>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</si>
  <si>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</si>
  <si>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</si>
  <si>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</si>
  <si>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</si>
  <si>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</si>
  <si>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</si>
  <si>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</si>
  <si>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</si>
  <si>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</si>
  <si>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</si>
  <si>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</si>
  <si>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</si>
  <si>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</si>
  <si>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</si>
  <si>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</si>
  <si>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</si>
  <si>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</si>
  <si>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</si>
  <si>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</si>
  <si>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</si>
  <si>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</si>
  <si>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</si>
  <si>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</si>
  <si>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</si>
  <si>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</si>
  <si>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</si>
  <si>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</si>
  <si>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</si>
  <si>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</si>
  <si>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</si>
  <si>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</si>
  <si>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</si>
  <si>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</si>
  <si>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</si>
  <si>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</si>
  <si>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</si>
  <si>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</si>
  <si>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</si>
  <si>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</si>
  <si>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</si>
  <si>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</si>
  <si>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</si>
  <si>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</si>
  <si>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</si>
  <si>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</si>
  <si>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</si>
  <si>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</si>
  <si>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</si>
  <si>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</si>
  <si>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</si>
  <si>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</si>
  <si>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</si>
  <si>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</si>
  <si>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</si>
  <si>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</si>
  <si>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</si>
  <si>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</si>
  <si>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</si>
  <si>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</si>
  <si>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</si>
  <si>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</si>
  <si>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</si>
  <si>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</si>
  <si>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</si>
  <si>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</si>
  <si>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</si>
  <si>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</si>
  <si>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</si>
  <si>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</si>
  <si>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</si>
  <si>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</si>
  <si>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</si>
  <si>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</si>
  <si>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</si>
  <si>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</si>
  <si>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</si>
  <si>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</si>
  <si>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</si>
  <si>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</si>
  <si>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</si>
  <si>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</si>
  <si>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</si>
  <si>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</si>
  <si>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</si>
  <si>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</si>
  <si>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</si>
  <si>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</si>
  <si>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</si>
  <si>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</si>
  <si>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</si>
  <si>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</si>
  <si>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</si>
  <si>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</si>
  <si>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</si>
  <si>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</si>
  <si>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</si>
  <si>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</si>
  <si>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</si>
  <si>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</si>
  <si>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</si>
  <si>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</si>
  <si>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</si>
  <si>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</si>
  <si>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</si>
  <si>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</si>
  <si>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</si>
  <si>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</si>
  <si>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</si>
  <si>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</si>
  <si>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</si>
  <si>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</si>
  <si>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</si>
  <si>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</si>
  <si>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</si>
  <si>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</si>
  <si>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</si>
  <si>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</si>
  <si>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</si>
  <si>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</si>
  <si>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</si>
  <si>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</si>
  <si>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</si>
  <si>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</si>
  <si>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</si>
  <si>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</si>
  <si>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</si>
  <si>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</si>
  <si>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</si>
  <si>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</si>
  <si>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</si>
  <si>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</si>
  <si>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</si>
  <si>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</si>
  <si>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</si>
  <si>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</si>
  <si>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</si>
  <si>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</si>
  <si>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</si>
  <si>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</si>
  <si>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</si>
  <si>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</si>
  <si>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</si>
  <si>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</si>
  <si>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</si>
  <si>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</si>
  <si>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</si>
  <si>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</si>
  <si>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</si>
  <si>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</si>
  <si>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</si>
  <si>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</si>
  <si>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</si>
  <si>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</si>
  <si>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</si>
  <si>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</si>
  <si>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</si>
  <si>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</si>
  <si>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</si>
  <si>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</si>
  <si>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</si>
  <si>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</si>
  <si>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</si>
  <si>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</si>
  <si>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</si>
  <si>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</si>
  <si>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</si>
  <si>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</si>
  <si>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</si>
  <si>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</si>
  <si>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</si>
  <si>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</si>
  <si>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</si>
  <si>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</si>
  <si>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</si>
  <si>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</si>
  <si>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</si>
  <si>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</si>
  <si>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</si>
  <si>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</si>
  <si>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</si>
  <si>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</si>
  <si>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</si>
  <si>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</si>
  <si>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</si>
  <si>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</si>
  <si>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</si>
  <si>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</si>
  <si>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</si>
  <si>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</si>
  <si>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</si>
  <si>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</si>
  <si>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</si>
  <si>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</si>
  <si>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</si>
  <si>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</si>
  <si>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</si>
  <si>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</si>
  <si>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</si>
  <si>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</si>
  <si>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</si>
  <si>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</si>
  <si>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</si>
  <si>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</si>
  <si>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</si>
  <si>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</si>
  <si>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</si>
  <si>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</si>
  <si>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</si>
  <si>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</si>
  <si>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</si>
  <si>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</si>
  <si>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</si>
  <si>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</si>
  <si>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</si>
  <si>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</si>
  <si>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</si>
  <si>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</si>
  <si>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</si>
  <si>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</si>
  <si>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</si>
  <si>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</si>
  <si>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</si>
  <si>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</si>
  <si>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</si>
  <si>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</si>
  <si>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</si>
  <si>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</si>
  <si>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</si>
  <si>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</si>
  <si>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</si>
  <si>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</si>
  <si>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</si>
  <si>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</si>
  <si>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</si>
  <si>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</si>
  <si>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</si>
  <si>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</si>
  <si>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</si>
  <si>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</si>
  <si>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</si>
  <si>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</si>
  <si>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</si>
  <si>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</si>
  <si>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</si>
  <si>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</si>
  <si>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</si>
  <si>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</si>
  <si>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</si>
  <si>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</si>
  <si>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</si>
  <si>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</si>
  <si>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</si>
  <si>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</si>
  <si>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</si>
  <si>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</si>
  <si>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</si>
  <si>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</si>
  <si>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</si>
  <si>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</si>
  <si>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</si>
  <si>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</si>
  <si>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</si>
  <si>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</si>
  <si>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</si>
  <si>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</si>
  <si>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</si>
  <si>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</si>
  <si>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</si>
  <si>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</si>
  <si>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</si>
  <si>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</si>
  <si>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</si>
  <si>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</si>
  <si>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</si>
  <si>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</si>
  <si>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</si>
  <si>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</si>
  <si>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</si>
  <si>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</si>
  <si>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</si>
  <si>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</si>
  <si>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</si>
  <si>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</si>
  <si>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</si>
  <si>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</si>
  <si>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</si>
  <si>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</si>
  <si>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</si>
  <si>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</si>
  <si>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</si>
  <si>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</si>
  <si>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</si>
  <si>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</si>
  <si>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</si>
  <si>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</si>
  <si>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</si>
  <si>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</si>
  <si>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</si>
  <si>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</si>
  <si>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</si>
  <si>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</si>
  <si>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</si>
  <si>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</si>
  <si>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</si>
  <si>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</si>
  <si>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</si>
  <si>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</si>
  <si>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</si>
  <si>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</si>
  <si>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</si>
  <si>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</si>
  <si>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</si>
  <si>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</si>
  <si>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</si>
  <si>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</si>
  <si>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</si>
  <si>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</si>
  <si>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</si>
  <si>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</si>
  <si>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</si>
  <si>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</si>
  <si>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</si>
  <si>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</si>
  <si>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</si>
  <si>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</si>
  <si>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</si>
  <si>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</si>
  <si>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</si>
  <si>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</si>
  <si>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</si>
  <si>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</si>
  <si>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</si>
  <si>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</si>
  <si>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</si>
  <si>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</si>
  <si>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</si>
  <si>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</si>
  <si>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</si>
  <si>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</si>
  <si>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</si>
  <si>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</si>
  <si>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</si>
  <si>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</si>
  <si>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</si>
  <si>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</si>
  <si>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</si>
  <si>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</si>
  <si>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</si>
  <si>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</si>
  <si>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</si>
  <si>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</si>
  <si>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</si>
  <si>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</si>
  <si>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</si>
  <si>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</si>
  <si>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</si>
  <si>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</si>
  <si>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</si>
  <si>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</si>
  <si>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</si>
  <si>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</si>
  <si>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</si>
  <si>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</si>
  <si>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</si>
  <si>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</si>
  <si>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</si>
  <si>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</si>
  <si>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</si>
  <si>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</si>
  <si>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</si>
  <si>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</si>
  <si>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</si>
  <si>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</si>
  <si>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</si>
  <si>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</si>
  <si>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</si>
  <si>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</si>
  <si>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</si>
  <si>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</si>
  <si>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</si>
  <si>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</si>
  <si>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</si>
  <si>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</si>
  <si>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</si>
  <si>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</si>
  <si>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</si>
  <si>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</si>
  <si>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</si>
  <si>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</si>
  <si>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</si>
  <si>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</si>
  <si>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</si>
  <si>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</si>
  <si>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</si>
  <si>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</si>
  <si>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</si>
  <si>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</si>
  <si>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</si>
  <si>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</si>
  <si>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</si>
  <si>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</si>
  <si>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</si>
  <si>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</si>
  <si>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</si>
  <si>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</si>
  <si>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</si>
  <si>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</si>
  <si>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</si>
  <si>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</si>
  <si>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</si>
  <si>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</si>
  <si>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</si>
  <si>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</si>
  <si>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</si>
  <si>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</si>
  <si>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</si>
  <si>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</si>
  <si>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</si>
  <si>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</si>
  <si>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</si>
  <si>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</si>
  <si>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</si>
  <si>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</si>
  <si>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</si>
  <si>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</si>
  <si>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</si>
  <si>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</si>
  <si>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</si>
  <si>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</si>
  <si>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</si>
  <si>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</si>
  <si>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</si>
  <si>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</si>
  <si>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</si>
  <si>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</si>
  <si>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</si>
  <si>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</si>
  <si>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</si>
  <si>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</si>
  <si>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</si>
  <si>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</si>
  <si>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</si>
  <si>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</si>
  <si>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</si>
  <si>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</si>
  <si>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</si>
  <si>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</si>
  <si>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</si>
  <si>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</si>
  <si>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</si>
  <si>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</si>
  <si>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</si>
  <si>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</si>
  <si>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</si>
  <si>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</si>
  <si>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</si>
  <si>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</si>
  <si>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</si>
  <si>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</si>
  <si>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</si>
  <si>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</si>
  <si>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</si>
  <si>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</si>
  <si>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</si>
  <si>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</si>
  <si>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</si>
  <si>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</si>
  <si>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</si>
  <si>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</si>
  <si>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</si>
  <si>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</si>
  <si>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</si>
  <si>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</si>
  <si>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</si>
  <si>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</si>
  <si>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</si>
  <si>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</si>
  <si>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</si>
  <si>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</si>
  <si>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</si>
  <si>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</si>
  <si>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</si>
  <si>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</si>
  <si>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</si>
  <si>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</si>
  <si>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</si>
  <si>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</si>
  <si>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</si>
  <si>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</si>
  <si>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</si>
  <si>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</si>
  <si>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</si>
  <si>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</si>
  <si>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</si>
  <si>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</si>
  <si>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</si>
  <si>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</si>
  <si>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</si>
  <si>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</si>
  <si>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</si>
  <si>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</si>
  <si>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</si>
  <si>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</si>
  <si>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</si>
  <si>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</si>
  <si>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</si>
  <si>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</si>
  <si>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</si>
  <si>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</si>
  <si>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</si>
  <si>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</si>
  <si>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</si>
  <si>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</si>
  <si>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</si>
  <si>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</si>
  <si>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</si>
  <si>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</si>
  <si>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</si>
  <si>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</si>
  <si>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</si>
  <si>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</si>
  <si>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</si>
  <si>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</si>
  <si>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</si>
  <si>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</si>
  <si>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</si>
  <si>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</si>
  <si>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</si>
  <si>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</si>
  <si>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</si>
  <si>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</si>
  <si>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</si>
  <si>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</si>
  <si>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</si>
  <si>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</si>
  <si>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</si>
  <si>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</si>
  <si>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</si>
  <si>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</si>
  <si>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</si>
  <si>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</si>
  <si>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</si>
  <si>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</si>
  <si>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</si>
  <si>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</si>
  <si>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</si>
  <si>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</si>
  <si>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</si>
  <si>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</si>
  <si>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</si>
  <si>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</si>
  <si>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</si>
  <si>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</si>
  <si>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</si>
  <si>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</si>
  <si>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</si>
  <si>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</si>
  <si>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</si>
  <si>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</si>
  <si>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</si>
  <si>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</si>
  <si>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</si>
  <si>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</si>
  <si>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</si>
  <si>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</si>
  <si>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</si>
  <si>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</si>
  <si>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</si>
  <si>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</si>
  <si>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</si>
  <si>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</si>
  <si>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</si>
  <si>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</si>
  <si>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</si>
  <si>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</si>
  <si>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</si>
  <si>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</si>
  <si>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</si>
  <si>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</si>
  <si>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</si>
  <si>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</si>
  <si>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</si>
  <si>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</si>
  <si>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</si>
  <si>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</si>
  <si>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</si>
  <si>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</si>
  <si>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</si>
  <si>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</si>
  <si>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</si>
  <si>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</si>
  <si>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</si>
  <si>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</si>
  <si>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</si>
  <si>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</si>
  <si>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</si>
  <si>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</si>
  <si>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</si>
  <si>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</si>
  <si>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</si>
  <si>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</si>
  <si>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</si>
  <si>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</si>
  <si>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</si>
  <si>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</si>
  <si>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</si>
  <si>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</si>
  <si>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</si>
  <si>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</si>
  <si>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</si>
  <si>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</si>
  <si>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</si>
  <si>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</si>
  <si>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</si>
  <si>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</si>
  <si>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</si>
  <si>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</si>
  <si>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</si>
  <si>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</si>
  <si>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</si>
  <si>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</si>
  <si>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</si>
  <si>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</si>
  <si>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</si>
  <si>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</si>
  <si>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</si>
  <si>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</si>
  <si>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</si>
  <si>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</si>
  <si>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</si>
  <si>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</si>
  <si>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</si>
  <si>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</si>
  <si>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</si>
  <si>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</si>
  <si>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</si>
  <si>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</si>
  <si>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</si>
  <si>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</si>
  <si>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</si>
  <si>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</si>
  <si>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</si>
  <si>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</si>
  <si>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</si>
  <si>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</si>
  <si>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</si>
  <si>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</si>
  <si>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</si>
  <si>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</si>
  <si>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</si>
  <si>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</si>
  <si>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</si>
  <si>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</si>
  <si>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</si>
  <si>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</si>
  <si>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</si>
  <si>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</si>
  <si>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</si>
  <si>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</si>
  <si>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</si>
  <si>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</si>
  <si>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</si>
  <si>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</si>
  <si>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</si>
  <si>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</si>
  <si>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</si>
  <si>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</si>
  <si>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</si>
  <si>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</si>
  <si>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</si>
  <si>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</si>
  <si>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</si>
  <si>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</si>
  <si>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</si>
  <si>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</si>
  <si>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</si>
  <si>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</si>
  <si>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</si>
  <si>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</si>
  <si>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</si>
  <si>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</si>
  <si>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</si>
  <si>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</si>
  <si>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</si>
  <si>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</si>
  <si>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</si>
  <si>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</si>
  <si>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</si>
  <si>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</si>
  <si>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</si>
  <si>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</si>
  <si>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</si>
  <si>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</si>
  <si>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</si>
  <si>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</si>
  <si>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</si>
  <si>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</si>
  <si>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</si>
  <si>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</si>
  <si>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</si>
  <si>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</si>
  <si>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</si>
  <si>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</si>
  <si>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</si>
  <si>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</si>
  <si>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</si>
  <si>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</si>
  <si>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</si>
  <si>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</si>
  <si>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</si>
  <si>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</si>
  <si>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</si>
  <si>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</si>
  <si>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</si>
  <si>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</si>
  <si>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</si>
  <si>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</si>
  <si>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</si>
  <si>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</si>
  <si>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</si>
  <si>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</si>
  <si>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</si>
  <si>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</si>
  <si>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</si>
  <si>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</si>
  <si>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</si>
  <si>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</si>
  <si>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</si>
  <si>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</si>
  <si>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</si>
  <si>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</si>
  <si>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</si>
  <si>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</si>
  <si>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</si>
  <si>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</si>
  <si>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</si>
  <si>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</si>
  <si>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</si>
  <si>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</si>
  <si>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</si>
  <si>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</si>
  <si>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</si>
  <si>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</si>
  <si>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</si>
  <si>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</si>
  <si>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</si>
  <si>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</si>
  <si>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</si>
  <si>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</si>
  <si>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</si>
  <si>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</si>
  <si>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</si>
  <si>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</si>
  <si>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</si>
  <si>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</si>
  <si>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</si>
  <si>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</si>
  <si>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</si>
  <si>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</si>
  <si>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</si>
  <si>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</si>
  <si>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</si>
  <si>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</si>
  <si>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</si>
  <si>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</si>
  <si>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</si>
  <si>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</si>
  <si>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</si>
  <si>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</si>
  <si>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</si>
  <si>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</si>
  <si>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</si>
  <si>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</si>
  <si>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</si>
  <si>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</si>
  <si>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</si>
  <si>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</si>
  <si>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</si>
  <si>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</si>
  <si>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</si>
  <si>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</si>
  <si>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</si>
  <si>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</si>
  <si>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</si>
  <si>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</si>
  <si>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</si>
  <si>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</si>
  <si>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</si>
  <si>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</si>
  <si>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</si>
  <si>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</si>
  <si>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</si>
  <si>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</si>
  <si>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</si>
  <si>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</si>
  <si>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</si>
  <si>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</si>
  <si>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</si>
  <si>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</si>
  <si>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</si>
  <si>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</si>
  <si>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</si>
  <si>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</si>
  <si>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</si>
  <si>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</si>
  <si>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</si>
  <si>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</si>
  <si>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</si>
  <si>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</si>
  <si>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</si>
  <si>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</si>
  <si>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</si>
  <si>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</si>
  <si>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</si>
  <si>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</si>
  <si>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</si>
  <si>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</si>
  <si>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</si>
  <si>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</si>
  <si>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</si>
  <si>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</si>
  <si>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</si>
  <si>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</si>
  <si>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</si>
  <si>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</si>
  <si>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</si>
  <si>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</si>
  <si>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</si>
  <si>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</si>
  <si>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</si>
  <si>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</si>
  <si>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</si>
  <si>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</si>
  <si>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</si>
  <si>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</si>
  <si>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</si>
  <si>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</si>
  <si>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</si>
  <si>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</si>
  <si>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</si>
  <si>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</si>
  <si>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</si>
  <si>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</si>
  <si>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</si>
  <si>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</si>
  <si>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</si>
  <si>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</si>
  <si>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</si>
  <si>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</si>
  <si>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</si>
  <si>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</si>
  <si>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</si>
  <si>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</si>
  <si>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</si>
  <si>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</si>
  <si>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</si>
  <si>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</si>
  <si>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</si>
  <si>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</si>
  <si>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</si>
  <si>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</si>
  <si>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</si>
  <si>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</si>
  <si>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</si>
  <si>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</si>
  <si>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</si>
  <si>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</si>
  <si>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</si>
  <si>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</si>
  <si>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</si>
  <si>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</si>
  <si>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</si>
  <si>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</si>
  <si>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</si>
  <si>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</si>
  <si>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</si>
  <si>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</si>
  <si>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</si>
  <si>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</si>
  <si>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</si>
  <si>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</si>
  <si>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</si>
  <si>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</si>
  <si>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</si>
  <si>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</si>
  <si>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</si>
  <si>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</si>
  <si>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</si>
  <si>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</si>
  <si>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</si>
  <si>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</si>
  <si>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</si>
  <si>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</si>
  <si>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</si>
  <si>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</si>
  <si>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</si>
  <si>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</si>
  <si>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</si>
  <si>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</si>
  <si>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</si>
  <si>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</si>
  <si>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</si>
  <si>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</si>
  <si>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</si>
  <si>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</si>
  <si>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</si>
  <si>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</si>
  <si>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</si>
  <si>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</si>
  <si>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</si>
  <si>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</si>
  <si>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</si>
  <si>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</si>
  <si>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</si>
  <si>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</si>
  <si>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</si>
  <si>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</si>
  <si>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</si>
  <si>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</si>
  <si>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</si>
  <si>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</si>
  <si>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</si>
  <si>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</si>
  <si>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</si>
  <si>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</si>
  <si>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</si>
  <si>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</si>
  <si>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</si>
  <si>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</si>
  <si>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</si>
  <si>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</si>
  <si>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</si>
  <si>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</si>
  <si>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</si>
  <si>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</si>
  <si>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</si>
  <si>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</si>
  <si>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</si>
  <si>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</si>
  <si>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</si>
  <si>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</si>
  <si>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</si>
  <si>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</si>
  <si>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</si>
  <si>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</si>
  <si>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</si>
  <si>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</si>
  <si>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</si>
  <si>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</si>
  <si>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</si>
  <si>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</si>
  <si>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</si>
  <si>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</si>
  <si>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</si>
  <si>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</si>
  <si>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</si>
  <si>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</si>
  <si>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</si>
  <si>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</si>
  <si>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</si>
  <si>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</si>
  <si>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</si>
  <si>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</si>
  <si>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</si>
  <si>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</si>
  <si>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</si>
  <si>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</si>
  <si>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</si>
  <si>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</si>
  <si>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</si>
  <si>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</si>
  <si>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</si>
  <si>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</si>
  <si>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</si>
  <si>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</si>
  <si>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</si>
  <si>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</si>
  <si>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</si>
  <si>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</si>
  <si>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</si>
  <si>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</si>
  <si>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</si>
  <si>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</si>
  <si>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</si>
  <si>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</si>
  <si>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</si>
  <si>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</si>
  <si>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</si>
  <si>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</si>
  <si>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</si>
  <si>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</si>
  <si>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</si>
  <si>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</si>
  <si>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</si>
  <si>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</si>
  <si>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</si>
  <si>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</si>
  <si>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</si>
  <si>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</si>
  <si>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</si>
  <si>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</si>
  <si>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</si>
  <si>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</si>
  <si>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</si>
  <si>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</si>
  <si>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</si>
  <si>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</si>
  <si>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</si>
  <si>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</si>
  <si>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</si>
  <si>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</si>
  <si>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</si>
  <si>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</si>
  <si>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</si>
  <si>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</si>
  <si>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</si>
  <si>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</si>
  <si>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</si>
  <si>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</si>
  <si>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</si>
  <si>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</si>
  <si>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</si>
  <si>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</si>
  <si>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</si>
  <si>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</si>
  <si>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</si>
  <si>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</si>
  <si>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</si>
  <si>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</si>
  <si>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</si>
  <si>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</si>
  <si>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</si>
  <si>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</si>
  <si>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</si>
  <si>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</si>
  <si>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</si>
  <si>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</si>
  <si>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</si>
  <si>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</si>
  <si>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</si>
  <si>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</si>
  <si>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</si>
  <si>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</si>
  <si>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</si>
  <si>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</si>
  <si>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</si>
  <si>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</si>
  <si>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</si>
  <si>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</si>
  <si>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</si>
  <si>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</si>
  <si>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</si>
  <si>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</si>
  <si>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</si>
  <si>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</si>
  <si>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</si>
  <si>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</si>
  <si>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</si>
  <si>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</si>
  <si>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</si>
  <si>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</si>
  <si>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</si>
  <si>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</si>
  <si>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</si>
  <si>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</si>
  <si>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</si>
  <si>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</si>
  <si>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</si>
  <si>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</si>
  <si>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</si>
  <si>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</si>
  <si>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</si>
  <si>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</si>
  <si>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</si>
  <si>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</si>
  <si>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</si>
  <si>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</si>
  <si>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</si>
  <si>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</si>
  <si>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</si>
  <si>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</si>
  <si>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</si>
  <si>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</si>
  <si>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</si>
  <si>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</si>
  <si>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</si>
  <si>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</si>
  <si>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</si>
  <si>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</si>
  <si>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</si>
  <si>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</si>
  <si>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</si>
  <si>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</si>
  <si>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</si>
  <si>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</si>
  <si>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</si>
  <si>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</si>
  <si>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</si>
  <si>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</si>
  <si>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</si>
  <si>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</si>
  <si>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</si>
  <si>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</si>
  <si>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</si>
  <si>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</si>
  <si>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</si>
  <si>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</si>
  <si>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</si>
  <si>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</si>
  <si>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</si>
  <si>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</si>
  <si>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</si>
  <si>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</si>
  <si>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</si>
  <si>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</si>
  <si>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</si>
  <si>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</si>
  <si>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</si>
  <si>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</si>
  <si>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</si>
  <si>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</si>
  <si>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</si>
  <si>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</si>
  <si>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</si>
  <si>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</si>
  <si>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</si>
  <si>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</si>
  <si>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</si>
  <si>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</si>
  <si>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</si>
  <si>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</si>
  <si>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</si>
  <si>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</si>
  <si>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</si>
  <si>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</si>
  <si>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</si>
  <si>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</si>
  <si>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</si>
  <si>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</si>
  <si>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</si>
  <si>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</si>
  <si>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</si>
  <si>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</si>
  <si>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</si>
  <si>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</si>
  <si>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</si>
  <si>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</si>
  <si>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</si>
  <si>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</si>
  <si>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</si>
  <si>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</si>
  <si>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</si>
  <si>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</si>
  <si>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</si>
  <si>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</si>
  <si>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</si>
  <si>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</si>
  <si>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</si>
  <si>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</si>
  <si>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</si>
  <si>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</si>
  <si>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</si>
  <si>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</si>
  <si>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</si>
  <si>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</si>
  <si>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</si>
  <si>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</si>
  <si>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</si>
  <si>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</si>
  <si>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</si>
  <si>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</si>
  <si>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</si>
  <si>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</si>
  <si>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</si>
  <si>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</si>
  <si>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</si>
  <si>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</si>
  <si>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</si>
  <si>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</si>
  <si>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</si>
  <si>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</si>
  <si>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</si>
  <si>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</si>
  <si>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</si>
  <si>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</si>
  <si>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</si>
  <si>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</si>
  <si>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</si>
  <si>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</si>
  <si>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</si>
  <si>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</si>
  <si>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</si>
  <si>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</si>
  <si>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</si>
  <si>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</si>
  <si>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</si>
  <si>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</si>
  <si>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</si>
  <si>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</si>
  <si>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</si>
  <si>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</si>
  <si>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</si>
  <si>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</si>
  <si>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</si>
  <si>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</si>
  <si>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</si>
  <si>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</si>
  <si>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</si>
  <si>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</si>
  <si>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</si>
  <si>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</si>
  <si>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</si>
  <si>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</si>
  <si>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</si>
  <si>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</si>
  <si>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</si>
  <si>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</si>
  <si>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</si>
  <si>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</si>
  <si>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</si>
  <si>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</si>
  <si>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</si>
  <si>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</si>
  <si>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</si>
  <si>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</si>
  <si>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</si>
  <si>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</si>
  <si>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</si>
  <si>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</si>
  <si>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</si>
  <si>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</si>
  <si>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</si>
  <si>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</si>
  <si>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</si>
  <si>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</si>
  <si>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</si>
  <si>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</si>
  <si>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</si>
  <si>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</si>
  <si>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</si>
  <si>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</si>
  <si>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</si>
  <si>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</si>
  <si>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</si>
  <si>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</si>
  <si>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</si>
  <si>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</si>
  <si>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</si>
  <si>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</si>
  <si>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</si>
  <si>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</si>
  <si>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</si>
  <si>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</si>
  <si>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</si>
  <si>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</si>
  <si>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</si>
  <si>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</si>
  <si>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</si>
  <si>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</si>
  <si>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</si>
  <si>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</si>
  <si>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</si>
  <si>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</si>
  <si>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</si>
  <si>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</si>
  <si>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</si>
  <si>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</si>
  <si>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</si>
  <si>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</si>
  <si>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</si>
  <si>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</si>
  <si>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</si>
  <si>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</si>
  <si>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</si>
  <si>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</si>
  <si>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</si>
  <si>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</si>
  <si>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</si>
  <si>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</si>
  <si>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</si>
  <si>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</si>
  <si>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</si>
  <si>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</si>
  <si>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</si>
  <si>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</si>
  <si>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</si>
  <si>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</si>
  <si>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</si>
  <si>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</si>
  <si>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</si>
  <si>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</si>
  <si>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</si>
  <si>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</si>
  <si>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</si>
  <si>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</si>
  <si>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</si>
  <si>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</si>
  <si>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</si>
  <si>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</si>
  <si>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</si>
  <si>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</si>
  <si>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</si>
  <si>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</si>
  <si>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</si>
  <si>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</si>
  <si>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</si>
  <si>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</si>
  <si>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</si>
  <si>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</si>
  <si>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</si>
  <si>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</si>
  <si>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</si>
  <si>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</si>
  <si>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</si>
  <si>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</si>
  <si>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</si>
  <si>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</si>
  <si>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</si>
  <si>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</si>
  <si>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</si>
  <si>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</si>
  <si>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</si>
  <si>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</si>
  <si>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</si>
  <si>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</si>
  <si>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</si>
  <si>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</si>
  <si>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</si>
  <si>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</si>
  <si>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</si>
  <si>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</si>
  <si>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</si>
  <si>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</si>
  <si>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</si>
  <si>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</si>
  <si>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</si>
  <si>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</si>
  <si>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</si>
  <si>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</si>
  <si>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</si>
  <si>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</si>
  <si>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</si>
  <si>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</si>
  <si>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</si>
  <si>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</si>
  <si>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</si>
  <si>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</si>
  <si>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</si>
  <si>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</si>
  <si>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</si>
  <si>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</si>
  <si>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</si>
  <si>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</si>
  <si>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</si>
  <si>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</si>
  <si>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</si>
  <si>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</si>
  <si>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</si>
  <si>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</si>
  <si>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</si>
  <si>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</si>
  <si>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</si>
  <si>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</si>
  <si>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</si>
  <si>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</si>
  <si>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</si>
  <si>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</si>
  <si>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</si>
  <si>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</si>
  <si>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</si>
  <si>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</si>
  <si>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</si>
  <si>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</si>
  <si>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</si>
  <si>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</si>
  <si>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</si>
  <si>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</si>
  <si>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</si>
  <si>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</si>
  <si>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</si>
  <si>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</si>
  <si>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</si>
  <si>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</si>
  <si>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</si>
  <si>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</si>
  <si>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</si>
  <si>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</si>
  <si>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</si>
  <si>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</si>
  <si>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</si>
  <si>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</si>
  <si>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</si>
  <si>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</si>
  <si>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</si>
  <si>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</si>
  <si>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</si>
  <si>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</si>
  <si>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</si>
  <si>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</si>
  <si>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</si>
  <si>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</si>
  <si>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</si>
  <si>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</si>
  <si>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</si>
  <si>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</si>
  <si>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</si>
  <si>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</si>
  <si>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</si>
  <si>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</si>
  <si>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</si>
  <si>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</si>
  <si>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</si>
  <si>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</si>
  <si>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</si>
  <si>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</si>
  <si>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</si>
  <si>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</si>
  <si>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</si>
  <si>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</si>
  <si>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</si>
  <si>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</si>
  <si>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</si>
  <si>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</si>
  <si>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</si>
  <si>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</si>
  <si>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</si>
  <si>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</si>
  <si>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</si>
  <si>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</si>
  <si>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</si>
  <si>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</si>
  <si>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</si>
  <si>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</si>
  <si>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</si>
  <si>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</si>
  <si>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</si>
  <si>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</si>
  <si>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</si>
  <si>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</si>
  <si>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</si>
  <si>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</si>
  <si>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</si>
  <si>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</si>
  <si>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</si>
  <si>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</si>
  <si>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</si>
  <si>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</si>
  <si>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</si>
  <si>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</si>
  <si>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</si>
  <si>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</si>
  <si>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</si>
  <si>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</si>
  <si>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</si>
  <si>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</si>
  <si>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</si>
  <si>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</si>
  <si>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</si>
  <si>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</si>
  <si>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</si>
  <si>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</si>
  <si>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</si>
  <si>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</si>
  <si>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</si>
  <si>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</si>
  <si>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</si>
  <si>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</si>
  <si>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</si>
  <si>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</si>
  <si>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</si>
  <si>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</si>
  <si>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</si>
  <si>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</si>
  <si>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</si>
  <si>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</si>
  <si>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</si>
  <si>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</si>
  <si>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</si>
  <si>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</si>
  <si>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</si>
  <si>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</si>
  <si>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</si>
  <si>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</si>
  <si>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</si>
  <si>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</si>
  <si>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</si>
  <si>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</si>
  <si>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</si>
  <si>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</si>
  <si>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</si>
  <si>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</si>
  <si>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</si>
  <si>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</si>
  <si>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</si>
  <si>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</si>
  <si>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</si>
  <si>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</si>
  <si>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</si>
  <si>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</si>
  <si>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</si>
  <si>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</si>
  <si>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</si>
  <si>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</si>
  <si>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</si>
  <si>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</si>
  <si>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</si>
  <si>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</si>
  <si>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</si>
  <si>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</si>
  <si>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</si>
  <si>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</si>
  <si>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</si>
  <si>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</si>
  <si>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</si>
  <si>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</si>
  <si>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</si>
  <si>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</si>
  <si>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</si>
  <si>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</si>
  <si>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</si>
  <si>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</si>
  <si>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</si>
  <si>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</si>
  <si>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</si>
  <si>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</si>
  <si>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</si>
  <si>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</si>
  <si>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</si>
  <si>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</si>
  <si>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</si>
  <si>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</si>
  <si>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</si>
  <si>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</si>
  <si>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</si>
  <si>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</si>
  <si>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</si>
  <si>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</si>
  <si>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</si>
  <si>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</si>
  <si>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</si>
  <si>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</si>
  <si>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</si>
  <si>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</si>
  <si>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</si>
  <si>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</si>
  <si>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</si>
  <si>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</si>
  <si>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</si>
  <si>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</si>
  <si>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</si>
  <si>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</si>
  <si>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</si>
  <si>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</si>
  <si>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</si>
  <si>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</si>
  <si>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</si>
  <si>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</si>
  <si>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</si>
  <si>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</si>
  <si>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</si>
  <si>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</si>
  <si>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</si>
  <si>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</si>
  <si>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</si>
  <si>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</si>
  <si>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</si>
  <si>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</si>
  <si>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</si>
  <si>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</si>
  <si>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</si>
  <si>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</si>
  <si>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</si>
  <si>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</si>
  <si>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</si>
  <si>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</si>
  <si>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</si>
  <si>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</si>
  <si>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</si>
  <si>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</si>
  <si>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</si>
  <si>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</si>
  <si>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</si>
  <si>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</si>
  <si>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</si>
  <si>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</si>
  <si>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</si>
  <si>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</si>
  <si>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</si>
  <si>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</si>
  <si>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</si>
  <si>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</si>
  <si>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</si>
  <si>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</si>
  <si>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</si>
  <si>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</si>
  <si>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</si>
  <si>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</si>
  <si>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</si>
  <si>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</si>
  <si>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</si>
  <si>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</si>
  <si>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</si>
  <si>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</si>
  <si>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</si>
  <si>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</si>
  <si>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</si>
  <si>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</si>
  <si>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</si>
  <si>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</si>
  <si>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</si>
  <si>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</si>
  <si>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</si>
  <si>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</si>
  <si>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</si>
  <si>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</si>
  <si>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</si>
  <si>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</si>
  <si>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</si>
  <si>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</si>
  <si>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</si>
  <si>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</si>
  <si>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</si>
  <si>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</si>
  <si>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</si>
  <si>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</si>
  <si>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</si>
  <si>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</si>
  <si>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</si>
  <si>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</si>
  <si>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</si>
  <si>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</si>
  <si>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</si>
  <si>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</si>
  <si>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</si>
  <si>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</si>
  <si>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</si>
  <si>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</si>
  <si>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</si>
  <si>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</si>
  <si>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</si>
  <si>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</si>
  <si>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</si>
  <si>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</si>
  <si>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</si>
  <si>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</si>
  <si>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</si>
  <si>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</si>
  <si>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</si>
  <si>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</si>
  <si>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</si>
  <si>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</si>
  <si>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</si>
  <si>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</si>
  <si>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</si>
  <si>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</si>
  <si>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</si>
  <si>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</si>
  <si>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</si>
  <si>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</si>
  <si>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</si>
  <si>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</si>
  <si>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</si>
  <si>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</si>
  <si>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</si>
  <si>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</si>
  <si>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</si>
  <si>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</si>
  <si>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</si>
  <si>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</si>
  <si>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</si>
  <si>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</si>
  <si>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</si>
  <si>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</si>
  <si>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</si>
  <si>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</si>
  <si>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</si>
  <si>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</si>
  <si>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</si>
  <si>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</si>
  <si>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</si>
  <si>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</si>
  <si>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</si>
  <si>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</si>
  <si>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</si>
  <si>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</si>
  <si>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</si>
  <si>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</si>
  <si>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</si>
  <si>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</si>
  <si>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</si>
  <si>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</si>
  <si>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</si>
  <si>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</si>
  <si>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</si>
  <si>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</si>
  <si>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</si>
  <si>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</si>
  <si>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</si>
  <si>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</si>
  <si>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</si>
  <si>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</si>
  <si>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</si>
  <si>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</si>
  <si>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</si>
  <si>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</si>
  <si>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</si>
  <si>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</si>
  <si>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</si>
  <si>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</si>
  <si>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</si>
  <si>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</si>
  <si>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</si>
  <si>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</si>
  <si>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</si>
  <si>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</si>
  <si>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</si>
  <si>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</si>
  <si>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</si>
  <si>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</si>
  <si>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</si>
  <si>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</si>
  <si>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</si>
  <si>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</si>
  <si>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</si>
  <si>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</si>
  <si>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</si>
  <si>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</si>
  <si>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</si>
  <si>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</si>
  <si>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</si>
  <si>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</si>
  <si>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</si>
  <si>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</si>
  <si>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</si>
  <si>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</si>
  <si>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</si>
  <si>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</si>
  <si>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</si>
  <si>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</si>
  <si>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</si>
  <si>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</si>
  <si>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</si>
  <si>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</si>
  <si>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</si>
  <si>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</si>
  <si>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</si>
  <si>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</si>
  <si>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</si>
  <si>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</si>
  <si>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</si>
  <si>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</si>
  <si>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</si>
  <si>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</si>
  <si>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</si>
  <si>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</si>
  <si>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</si>
  <si>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</si>
  <si>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</si>
  <si>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</si>
  <si>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</si>
  <si>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</si>
  <si>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</si>
  <si>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</si>
  <si>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</si>
  <si>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</si>
  <si>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</si>
  <si>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</si>
  <si>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</si>
  <si>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</si>
  <si>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</si>
  <si>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</si>
  <si>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</si>
  <si>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</si>
  <si>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</si>
  <si>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</si>
  <si>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</si>
  <si>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</si>
  <si>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</si>
  <si>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</si>
  <si>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</si>
  <si>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</si>
  <si>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</si>
  <si>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</si>
  <si>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</si>
  <si>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</si>
  <si>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</si>
  <si>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</si>
  <si>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</si>
  <si>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</si>
  <si>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</si>
  <si>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</si>
  <si>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</si>
  <si>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</si>
  <si>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</si>
  <si>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</si>
  <si>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</si>
  <si>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</si>
  <si>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</si>
  <si>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</si>
  <si>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</si>
  <si>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</si>
  <si>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</si>
  <si>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</si>
  <si>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</si>
  <si>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</si>
  <si>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</si>
  <si>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</si>
  <si>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</si>
  <si>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</si>
  <si>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</si>
  <si>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</si>
  <si>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</si>
  <si>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</si>
  <si>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</si>
  <si>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</si>
  <si>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</si>
  <si>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</si>
  <si>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</si>
  <si>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</si>
  <si>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</si>
  <si>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</si>
  <si>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</si>
  <si>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</si>
  <si>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</si>
  <si>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</si>
  <si>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</si>
  <si>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</si>
  <si>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</si>
  <si>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</si>
  <si>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</si>
  <si>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</si>
  <si>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</si>
  <si>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</si>
  <si>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</si>
  <si>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</si>
  <si>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</si>
  <si>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</si>
  <si>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</si>
  <si>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</si>
  <si>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</si>
  <si>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</si>
  <si>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</si>
  <si>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</si>
  <si>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</si>
  <si>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</si>
  <si>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</si>
  <si>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</si>
  <si>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</si>
  <si>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</si>
  <si>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</si>
  <si>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</si>
  <si>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</si>
  <si>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</si>
  <si>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</si>
  <si>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</si>
  <si>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</si>
  <si>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</si>
  <si>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</si>
  <si>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</si>
  <si>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</si>
  <si>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</si>
  <si>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</si>
  <si>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</si>
  <si>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</si>
  <si>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</si>
  <si>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</si>
  <si>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</si>
  <si>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</si>
  <si>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</si>
  <si>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</si>
  <si>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</si>
  <si>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</si>
  <si>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</si>
  <si>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</si>
  <si>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</si>
  <si>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</si>
  <si>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</si>
  <si>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</si>
  <si>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</si>
  <si>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</si>
  <si>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</si>
  <si>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</si>
  <si>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</si>
  <si>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</si>
  <si>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</si>
  <si>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</si>
  <si>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</si>
  <si>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</si>
  <si>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</si>
  <si>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</si>
  <si>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</si>
  <si>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</si>
  <si>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</si>
  <si>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</si>
  <si>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</si>
  <si>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</si>
  <si>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</si>
  <si>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</si>
  <si>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</si>
  <si>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</si>
  <si>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</si>
  <si>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</si>
  <si>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</si>
  <si>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</si>
  <si>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</si>
  <si>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</si>
  <si>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</si>
  <si>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</si>
  <si>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</si>
  <si>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</si>
  <si>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</si>
  <si>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</si>
  <si>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</si>
  <si>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</si>
  <si>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</si>
  <si>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</si>
  <si>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</si>
  <si>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</si>
  <si>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</si>
  <si>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</si>
  <si>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</si>
  <si>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</si>
  <si>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</si>
  <si>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</si>
  <si>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</si>
  <si>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</si>
  <si>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</si>
  <si>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</si>
  <si>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</si>
  <si>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</si>
  <si>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</si>
  <si>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</si>
  <si>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</si>
  <si>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</si>
  <si>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</si>
  <si>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</si>
  <si>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</si>
  <si>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</si>
  <si>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</si>
  <si>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</si>
  <si>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</si>
  <si>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</si>
  <si>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</si>
  <si>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</si>
  <si>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</si>
  <si>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</si>
  <si>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</si>
  <si>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</si>
  <si>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</si>
  <si>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</si>
  <si>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</si>
  <si>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</si>
  <si>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</si>
  <si>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</si>
  <si>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</si>
  <si>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</si>
  <si>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</si>
  <si>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</si>
  <si>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</si>
  <si>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</si>
  <si>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</si>
  <si>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</si>
  <si>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</si>
  <si>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</si>
  <si>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</si>
  <si>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</si>
  <si>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</si>
  <si>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</si>
  <si>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</si>
  <si>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</si>
  <si>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</si>
  <si>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</si>
  <si>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</si>
  <si>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</si>
  <si>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</si>
  <si>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</si>
  <si>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</si>
  <si>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</si>
  <si>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アークデヴィル</t>
  </si>
  <si>
    <t>デヴィル_10</t>
  </si>
  <si>
    <t>アーチデヴィル</t>
  </si>
  <si>
    <t>アークデヴィル_10</t>
  </si>
  <si>
    <t>ヘルザーデヴィル</t>
  </si>
  <si>
    <t>アーチデヴィル_10</t>
  </si>
  <si>
    <t>デヴィル派生。性能は基礎デヴィル値を暫定継承。専用スキル・詳細階層は未調整。</t>
  </si>
  <si>
    <t>フレイムデヴィル</t>
  </si>
  <si>
    <t>ヘルフレイムデヴィル</t>
  </si>
  <si>
    <t>ヘルフロストデヴィル</t>
  </si>
  <si>
    <t>ブラッドデヴィル</t>
  </si>
  <si>
    <t>武装生成</t>
  </si>
  <si>
    <t>デヴィル専用系統。性能は基礎デヴィル値を暫定継承。専用スキル・正式な階層は未調整。</t>
  </si>
  <si>
    <t>変身</t>
  </si>
  <si>
    <t>空間操作</t>
  </si>
  <si>
    <t>-=========== 天使 ===========-</t>
  </si>
  <si>
    <t>天使</t>
  </si>
  <si>
    <t>["死の霧"]</t>
  </si>
  <si>
    <t>アークエンジェル</t>
  </si>
  <si>
    <t>アーチエンジェル</t>
  </si>
  <si>
    <t>ヘヴンエンジェル</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</si>
  <si>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</si>
  <si>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</si>
  <si>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</si>
  <si>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</si>
  <si>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</si>
  <si>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</si>
  <si>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</si>
  <si>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</si>
  <si>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</si>
  <si>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</si>
  <si>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</si>
  <si>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</si>
  <si>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</si>
  <si>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</si>
  <si>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</si>
  <si>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</si>
  <si>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</si>
  <si>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</si>
  <si>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</si>
  <si>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</si>
  <si>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</si>
  <si>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</si>
  <si>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</si>
  <si>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</si>
  <si>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</si>
  <si>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</si>
  <si>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</si>
  <si>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</si>
  <si>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</si>
  <si>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</si>
  <si>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</si>
  <si>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</si>
  <si>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</si>
  <si>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</si>
  <si>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</si>
  <si>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</si>
  <si>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</si>
  <si>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</si>
  <si>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</si>
  <si>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</si>
  <si>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</si>
  <si>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</si>
  <si>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</si>
  <si>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</si>
  <si>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</si>
  <si>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</si>
  <si>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</si>
  <si>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</si>
  <si>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</si>
  <si>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</si>
  <si>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</si>
  <si>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</si>
  <si>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</si>
  <si>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</si>
  <si>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</si>
  <si>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</si>
  <si>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</si>
  <si>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</si>
  <si>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</si>
  <si>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</si>
  <si>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</si>
  <si>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</si>
  <si>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</si>
  <si>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</si>
  <si>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</si>
  <si>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</si>
  <si>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</si>
  <si>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</si>
  <si>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</si>
  <si>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</si>
  <si>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</si>
  <si>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</si>
  <si>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</si>
  <si>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</si>
  <si>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</si>
  <si>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</si>
  <si>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</si>
  <si>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</si>
  <si>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</si>
  <si>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</si>
  <si>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</si>
  <si>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</si>
  <si>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</si>
  <si>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</si>
  <si>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</si>
  <si>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</si>
  <si>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</si>
  <si>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</si>
  <si>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</si>
  <si>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</si>
  <si>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</si>
  <si>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</si>
  <si>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</si>
  <si>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</si>
  <si>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</si>
  <si>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</si>
  <si>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</si>
  <si>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</si>
  <si>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</si>
  <si>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</si>
  <si>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</si>
  <si>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</si>
  <si>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</si>
  <si>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</si>
  <si>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</si>
  <si>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</si>
  <si>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</si>
  <si>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</si>
  <si>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</si>
  <si>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</si>
  <si>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</si>
  <si>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</si>
  <si>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</si>
  <si>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</si>
  <si>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</si>
  <si>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</si>
  <si>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</si>
  <si>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</si>
  <si>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</si>
  <si>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</si>
  <si>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</si>
  <si>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</si>
  <si>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</si>
  <si>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</si>
  <si>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</si>
  <si>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</si>
  <si>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</si>
  <si>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</si>
  <si>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</si>
  <si>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</si>
  <si>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</si>
  <si>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</si>
  <si>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</si>
  <si>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</si>
  <si>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</si>
  <si>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</si>
  <si>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</si>
  <si>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</si>
  <si>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</si>
  <si>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</si>
  <si>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</si>
  <si>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</si>
  <si>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</si>
  <si>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</si>
  <si>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</si>
  <si>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</si>
  <si>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</si>
  <si>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</si>
  <si>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</si>
  <si>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</si>
  <si>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</si>
  <si>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</si>
  <si>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</si>
  <si>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</si>
  <si>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</si>
  <si>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</si>
  <si>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</si>
  <si>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</si>
  <si>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</si>
  <si>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</si>
  <si>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</si>
  <si>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</si>
  <si>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</si>
  <si>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</si>
  <si>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</si>
  <si>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</si>
  <si>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</si>
  <si>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</si>
  <si>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</si>
  <si>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</si>
  <si>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</si>
  <si>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</si>
  <si>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</si>
  <si>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</si>
  <si>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</si>
  <si>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</si>
  <si>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</si>
  <si>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</si>
  <si>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</si>
  <si>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</si>
  <si>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</si>
  <si>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</si>
  <si>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</si>
  <si>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</si>
  <si>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</si>
  <si>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</si>
  <si>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</si>
  <si>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</si>
  <si>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</si>
  <si>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</si>
  <si>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</si>
  <si>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</si>
  <si>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</si>
  <si>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</si>
  <si>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</si>
  <si>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</si>
  <si>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</si>
  <si>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</si>
  <si>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</si>
  <si>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</si>
  <si>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</si>
  <si>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</si>
  <si>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</si>
  <si>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</si>
  <si>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</si>
  <si>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</si>
  <si>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</si>
  <si>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</si>
  <si>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</si>
  <si>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</si>
  <si>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</si>
  <si>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</si>
  <si>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</si>
  <si>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</si>
  <si>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</si>
  <si>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</si>
  <si>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</si>
  <si>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</si>
  <si>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</si>
  <si>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</si>
  <si>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</si>
  <si>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</si>
  <si>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</si>
  <si>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</si>
  <si>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</si>
  <si>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</si>
  <si>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</si>
  <si>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</si>
  <si>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</si>
  <si>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</si>
  <si>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</si>
  <si>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</si>
  <si>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</si>
  <si>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</si>
  <si>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</si>
  <si>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</si>
  <si>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</si>
  <si>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</si>
  <si>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</si>
  <si>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</si>
  <si>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</si>
  <si>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</si>
  <si>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</si>
  <si>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</si>
  <si>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</si>
  <si>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</si>
  <si>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</si>
  <si>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</si>
  <si>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</si>
  <si>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</si>
  <si>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</si>
  <si>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</si>
  <si>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</si>
  <si>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</si>
  <si>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</si>
  <si>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</si>
  <si>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</si>
  <si>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</si>
  <si>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</si>
  <si>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</si>
  <si>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</si>
  <si>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</si>
  <si>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</si>
  <si>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</si>
  <si>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</si>
  <si>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</si>
  <si>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</si>
  <si>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</si>
  <si>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</si>
  <si>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</si>
  <si>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</si>
  <si>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</si>
  <si>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</si>
  <si>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</si>
  <si>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</si>
  <si>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</si>
  <si>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</si>
  <si>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</si>
  <si>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</si>
  <si>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</si>
  <si>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</si>
  <si>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</si>
  <si>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</si>
  <si>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</si>
  <si>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</si>
  <si>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</si>
  <si>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</si>
  <si>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</si>
  <si>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</si>
  <si>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</si>
  <si>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</si>
  <si>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</si>
  <si>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</si>
  <si>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</si>
  <si>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</si>
  <si>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</si>
  <si>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</si>
  <si>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</si>
  <si>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</si>
  <si>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</si>
  <si>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</si>
  <si>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</si>
  <si>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</si>
  <si>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</si>
  <si>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</si>
  <si>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</si>
  <si>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</si>
  <si>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</si>
  <si>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</si>
  <si>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</si>
  <si>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</si>
  <si>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</si>
  <si>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</si>
  <si>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</si>
  <si>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</si>
  <si>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</si>
  <si>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</si>
  <si>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</si>
  <si>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</si>
  <si>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</si>
  <si>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</si>
  <si>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</si>
  <si>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</si>
  <si>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</si>
  <si>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</si>
  <si>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</si>
  <si>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</si>
  <si>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</si>
  <si>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</si>
  <si>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</si>
  <si>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</si>
  <si>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</si>
  <si>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</si>
  <si>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</si>
  <si>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</si>
  <si>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</si>
  <si>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</si>
  <si>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</si>
  <si>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</si>
  <si>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</si>
  <si>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</si>
  <si>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</si>
  <si>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</si>
  <si>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</si>
  <si>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</si>
  <si>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</si>
  <si>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</si>
  <si>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</si>
  <si>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</si>
  <si>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</si>
  <si>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</si>
  <si>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</si>
  <si>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</si>
  <si>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</si>
  <si>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</si>
  <si>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</si>
  <si>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</si>
  <si>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</si>
  <si>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</si>
  <si>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</si>
  <si>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</si>
  <si>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</si>
  <si>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</si>
  <si>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</si>
  <si>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</si>
  <si>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</si>
  <si>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</si>
  <si>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</si>
  <si>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</si>
  <si>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</si>
  <si>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</si>
  <si>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</si>
  <si>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</si>
  <si>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</si>
  <si>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</si>
  <si>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</si>
  <si>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</si>
  <si>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</si>
  <si>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</si>
  <si>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</si>
  <si>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</si>
  <si>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</si>
  <si>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</si>
  <si>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</si>
  <si>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</si>
  <si>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</si>
  <si>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</si>
  <si>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</si>
  <si>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</si>
  <si>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</si>
  <si>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</si>
  <si>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</si>
  <si>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</si>
  <si>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</si>
  <si>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</si>
  <si>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</si>
  <si>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</si>
  <si>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</si>
  <si>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</si>
  <si>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</si>
  <si>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</si>
  <si>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</si>
  <si>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</si>
  <si>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</si>
  <si>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</si>
  <si>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</si>
  <si>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</si>
  <si>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</si>
  <si>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</si>
  <si>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</si>
  <si>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</si>
  <si>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</si>
  <si>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</si>
  <si>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</si>
  <si>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</si>
  <si>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</si>
  <si>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</si>
  <si>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</si>
  <si>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</si>
  <si>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</si>
  <si>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</si>
  <si>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</si>
  <si>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</si>
  <si>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</si>
  <si>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</si>
  <si>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</si>
  <si>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</si>
  <si>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</si>
  <si>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</si>
  <si>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</si>
  <si>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</si>
  <si>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</si>
  <si>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</si>
  <si>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</si>
  <si>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</si>
  <si>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</si>
  <si>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</si>
  <si>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</si>
  <si>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</si>
  <si>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</si>
  <si>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</si>
  <si>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</si>
  <si>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</si>
  <si>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</si>
  <si>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</si>
  <si>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</si>
  <si>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</si>
  <si>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</si>
  <si>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</si>
  <si>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</si>
  <si>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</si>
  <si>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</si>
  <si>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</si>
  <si>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</si>
  <si>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</si>
  <si>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</si>
  <si>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</si>
  <si>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</si>
  <si>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</si>
  <si>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</si>
  <si>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</si>
  <si>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</si>
  <si>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</si>
  <si>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</si>
  <si>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</si>
  <si>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</si>
  <si>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</si>
  <si>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</si>
  <si>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</si>
  <si>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</si>
  <si>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</si>
  <si>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</si>
  <si>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</si>
  <si>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</si>
  <si>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</si>
  <si>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</si>
  <si>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</si>
  <si>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</si>
  <si>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</si>
  <si>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</si>
  <si>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</si>
  <si>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</si>
  <si>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</si>
  <si>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</si>
  <si>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</si>
  <si>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</si>
  <si>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</si>
  <si>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</si>
  <si>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</si>
  <si>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</si>
  <si>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</si>
  <si>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</si>
  <si>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</si>
  <si>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</si>
  <si>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</si>
  <si>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</si>
  <si>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</si>
  <si>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</si>
  <si>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</si>
  <si>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</si>
  <si>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</si>
  <si>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</si>
  <si>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</si>
  <si>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</si>
  <si>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</si>
  <si>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</si>
  <si>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</si>
  <si>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</si>
  <si>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</si>
  <si>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</si>
  <si>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</si>
  <si>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</si>
  <si>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</si>
  <si>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</si>
  <si>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</si>
  <si>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</si>
  <si>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</si>
  <si>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</si>
  <si>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</si>
  <si>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</si>
  <si>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</si>
  <si>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</si>
  <si>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</si>
  <si>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</si>
  <si>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</si>
  <si>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</si>
  <si>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</si>
  <si>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</si>
  <si>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</si>
  <si>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</si>
  <si>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</si>
  <si>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</si>
  <si>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</si>
  <si>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</si>
  <si>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</si>
  <si>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</si>
  <si>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</si>
  <si>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</si>
  <si>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</si>
  <si>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</si>
  <si>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</si>
  <si>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</si>
  <si>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</si>
  <si>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</si>
  <si>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</si>
  <si>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</si>
  <si>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</si>
  <si>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</si>
  <si>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</si>
  <si>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</si>
  <si>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</si>
  <si>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</si>
  <si>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</si>
  <si>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</si>
  <si>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</si>
  <si>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</si>
  <si>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</si>
  <si>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</si>
  <si>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</si>
  <si>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</si>
  <si>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</si>
  <si>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</si>
  <si>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</si>
  <si>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</si>
  <si>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</si>
  <si>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</si>
  <si>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</si>
  <si>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</si>
  <si>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</si>
  <si>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</si>
  <si>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</si>
  <si>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</si>
  <si>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</si>
  <si>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</si>
  <si>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</si>
  <si>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</si>
  <si>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</si>
  <si>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</si>
  <si>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</si>
  <si>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</si>
  <si>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</si>
  <si>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</si>
  <si>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</si>
  <si>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</si>
  <si>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</si>
  <si>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</si>
  <si>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</si>
  <si>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</si>
  <si>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</si>
  <si>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</si>
  <si>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</si>
  <si>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</si>
  <si>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</si>
  <si>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</si>
  <si>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</si>
  <si>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</si>
  <si>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</si>
  <si>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</si>
  <si>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</si>
  <si>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</si>
  <si>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</si>
  <si>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</si>
  <si>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</si>
  <si>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</si>
  <si>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</si>
  <si>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</si>
  <si>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</si>
  <si>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</si>
  <si>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</si>
  <si>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</si>
  <si>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</si>
  <si>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</si>
  <si>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</si>
  <si>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</si>
  <si>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</si>
  <si>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</si>
  <si>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</si>
  <si>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</si>
  <si>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</si>
  <si>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</si>
  <si>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</si>
  <si>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</si>
  <si>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</si>
  <si>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</si>
  <si>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</si>
  <si>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</si>
  <si>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</si>
  <si>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</si>
  <si>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</si>
  <si>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</si>
  <si>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</si>
  <si>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</si>
  <si>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</si>
  <si>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</si>
  <si>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</si>
  <si>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</si>
  <si>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</si>
  <si>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</si>
  <si>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</si>
  <si>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</si>
  <si>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</si>
  <si>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</si>
  <si>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</si>
  <si>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</si>
  <si>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</si>
  <si>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</si>
  <si>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</si>
  <si>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</si>
  <si>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</si>
  <si>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</si>
  <si>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</si>
  <si>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</si>
  <si>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</si>
  <si>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</si>
  <si>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</si>
  <si>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</si>
  <si>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</si>
  <si>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</si>
  <si>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</si>
  <si>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</si>
  <si>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</si>
  <si>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</si>
  <si>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</si>
  <si>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</si>
  <si>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</si>
  <si>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</si>
  <si>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</si>
  <si>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</si>
  <si>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</si>
  <si>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</si>
  <si>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</si>
  <si>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</si>
  <si>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</si>
  <si>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</si>
  <si>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</si>
  <si>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</si>
  <si>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</si>
  <si>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</si>
  <si>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</si>
  <si>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</si>
  <si>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</si>
  <si>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</si>
  <si>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</si>
  <si>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</si>
  <si>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</si>
  <si>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</si>
  <si>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</si>
  <si>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</si>
  <si>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</si>
  <si>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</si>
  <si>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</si>
  <si>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</si>
  <si>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</si>
  <si>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</si>
  <si>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</si>
  <si>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</si>
  <si>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</si>
  <si>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</si>
  <si>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</si>
  <si>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</si>
  <si>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</si>
  <si>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</si>
  <si>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</si>
  <si>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</si>
  <si>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</si>
  <si>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</si>
  <si>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</si>
  <si>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</si>
  <si>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</si>
  <si>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</si>
  <si>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</si>
  <si>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</si>
  <si>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</si>
  <si>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</si>
  <si>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</si>
  <si>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</si>
  <si>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</si>
  <si>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</si>
  <si>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</si>
  <si>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</si>
  <si>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</si>
  <si>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</si>
  <si>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</si>
  <si>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</si>
  <si>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</si>
  <si>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</si>
  <si>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</si>
  <si>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</si>
  <si>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</si>
  <si>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</si>
  <si>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</si>
  <si>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</si>
  <si>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</si>
  <si>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</si>
  <si>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</si>
  <si>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</si>
  <si>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</si>
  <si>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</si>
  <si>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</si>
  <si>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</si>
  <si>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</si>
  <si>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</si>
  <si>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</si>
  <si>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</si>
  <si>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</si>
  <si>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</si>
  <si>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</si>
  <si>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</si>
  <si>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</si>
  <si>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</si>
  <si>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</si>
  <si>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</si>
  <si>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</si>
  <si>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</si>
  <si>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</si>
  <si>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</si>
  <si>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</si>
  <si>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</si>
  <si>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</si>
  <si>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</si>
  <si>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</si>
  <si>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</si>
  <si>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</si>
  <si>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</si>
  <si>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</si>
  <si>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</si>
  <si>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</si>
  <si>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</si>
  <si>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</si>
  <si>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</si>
  <si>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</si>
  <si>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</si>
  <si>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</si>
  <si>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</si>
  <si>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</si>
  <si>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</si>
  <si>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</si>
  <si>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</si>
  <si>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</si>
  <si>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</si>
  <si>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</si>
  <si>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</si>
  <si>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</si>
  <si>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</si>
  <si>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</si>
  <si>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</si>
  <si>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</si>
  <si>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</si>
  <si>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</si>
  <si>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</si>
  <si>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</si>
  <si>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</si>
  <si>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</si>
  <si>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</si>
  <si>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</si>
  <si>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</si>
  <si>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</si>
  <si>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</si>
  <si>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</si>
  <si>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</si>
  <si>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</si>
  <si>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</si>
  <si>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</si>
  <si>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</si>
  <si>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</si>
  <si>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</si>
  <si>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</si>
  <si>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</si>
  <si>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</si>
  <si>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</si>
  <si>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</si>
  <si>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</si>
  <si>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</si>
  <si>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</si>
  <si>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</si>
  <si>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</si>
  <si>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</si>
  <si>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</si>
  <si>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</si>
  <si>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</si>
  <si>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</si>
  <si>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</si>
  <si>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</si>
  <si>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</si>
  <si>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</si>
  <si>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</si>
  <si>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</si>
  <si>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</si>
  <si>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</si>
  <si>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</si>
  <si>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</si>
  <si>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</si>
  <si>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</si>
  <si>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</si>
  <si>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</si>
  <si>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</si>
  <si>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</si>
  <si>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</si>
  <si>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</si>
  <si>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</si>
  <si>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</si>
  <si>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</si>
  <si>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</si>
  <si>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</si>
  <si>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</si>
  <si>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</si>
  <si>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</si>
  <si>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</si>
  <si>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</si>
  <si>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</si>
  <si>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</si>
  <si>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</si>
  <si>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</si>
  <si>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</si>
  <si>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</si>
  <si>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</si>
  <si>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</si>
  <si>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</si>
  <si>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</si>
  <si>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</si>
  <si>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</si>
  <si>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</si>
  <si>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</si>
  <si>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</si>
  <si>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</si>
  <si>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</si>
  <si>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</si>
  <si>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</si>
  <si>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</si>
  <si>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</si>
  <si>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</si>
  <si>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</si>
  <si>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</si>
  <si>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</si>
  <si>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</si>
  <si>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</si>
  <si>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</si>
  <si>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</si>
  <si>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</si>
  <si>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</si>
  <si>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</si>
  <si>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</si>
  <si>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</si>
  <si>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</si>
  <si>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</si>
  <si>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</si>
  <si>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</si>
  <si>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</si>
  <si>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</si>
  <si>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</si>
  <si>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</si>
  <si>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</si>
  <si>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</si>
  <si>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</si>
  <si>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</si>
  <si>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</si>
  <si>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</si>
  <si>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</si>
  <si>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</si>
  <si>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</si>
  <si>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</si>
  <si>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</si>
  <si>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</si>
  <si>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</si>
  <si>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</si>
  <si>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</si>
  <si>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</si>
  <si>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</si>
  <si>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</si>
  <si>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</si>
  <si>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</si>
  <si>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</si>
  <si>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</si>
  <si>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</si>
  <si>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</si>
  <si>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</si>
  <si>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</si>
  <si>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</si>
  <si>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</si>
  <si>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</si>
  <si>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</si>
  <si>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</si>
  <si>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</si>
  <si>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</si>
  <si>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</si>
  <si>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</si>
  <si>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</si>
  <si>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</si>
  <si>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</si>
  <si>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</si>
  <si>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</si>
  <si>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</si>
  <si>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</si>
  <si>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</si>
  <si>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</si>
  <si>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</si>
  <si>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</si>
  <si>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</si>
  <si>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</si>
  <si>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</si>
  <si>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</si>
  <si>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</si>
  <si>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</si>
  <si>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</si>
  <si>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</si>
  <si>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</si>
  <si>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</si>
  <si>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</si>
  <si>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</si>
  <si>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</si>
  <si>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</si>
  <si>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</si>
  <si>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</si>
  <si>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</si>
  <si>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</si>
  <si>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</si>
  <si>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</si>
  <si>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</si>
  <si>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</si>
  <si>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</si>
  <si>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</si>
  <si>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</si>
  <si>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</si>
  <si>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</si>
  <si>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</si>
  <si>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</si>
  <si>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</si>
  <si>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</si>
  <si>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</si>
  <si>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</si>
  <si>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</si>
  <si>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</si>
  <si>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</si>
  <si>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</si>
  <si>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</si>
  <si>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</si>
  <si>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</si>
  <si>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</si>
  <si>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</si>
  <si>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</si>
  <si>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</si>
  <si>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</si>
  <si>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</si>
  <si>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</si>
  <si>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</si>
  <si>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</si>
  <si>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</si>
  <si>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</si>
  <si>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</si>
  <si>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</si>
  <si>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</si>
  <si>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</si>
  <si>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</si>
  <si>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</si>
  <si>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</si>
  <si>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</si>
  <si>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</si>
  <si>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</si>
  <si>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</si>
  <si>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</si>
  <si>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</si>
  <si>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</si>
  <si>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</si>
  <si>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</si>
  <si>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</si>
  <si>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</si>
  <si>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</si>
  <si>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</si>
  <si>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</si>
  <si>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</si>
  <si>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</si>
  <si>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</si>
  <si>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</si>
  <si>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</si>
  <si>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</si>
  <si>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</si>
  <si>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</si>
  <si>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</si>
  <si>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</si>
  <si>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</si>
  <si>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</si>
  <si>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</si>
  <si>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</si>
  <si>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</si>
  <si>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</si>
  <si>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</si>
  <si>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</si>
  <si>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</si>
  <si>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</si>
  <si>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</si>
  <si>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</si>
  <si>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</si>
  <si>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</si>
  <si>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</si>
  <si>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</si>
  <si>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</si>
  <si>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</si>
  <si>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</si>
  <si>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</si>
  <si>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</si>
  <si>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</si>
  <si>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</si>
  <si>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</si>
  <si>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</si>
  <si>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</si>
  <si>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</si>
  <si>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</si>
  <si>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</si>
  <si>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</si>
  <si>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</si>
  <si>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</si>
  <si>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</si>
  <si>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</si>
  <si>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</si>
  <si>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</si>
  <si>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</si>
  <si>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</si>
  <si>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</si>
  <si>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</si>
  <si>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</si>
  <si>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</si>
  <si>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</si>
  <si>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</si>
  <si>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</si>
  <si>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</si>
  <si>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</si>
  <si>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</si>
  <si>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</si>
  <si>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</si>
  <si>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</si>
  <si>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</si>
  <si>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</si>
  <si>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</si>
  <si>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</si>
  <si>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</si>
  <si>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</si>
  <si>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</si>
  <si>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</si>
  <si>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</si>
  <si>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</si>
  <si>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</si>
  <si>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</si>
  <si>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</si>
  <si>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</si>
  <si>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</si>
  <si>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</si>
  <si>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</si>
  <si>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</si>
  <si>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</si>
  <si>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</si>
  <si>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</si>
  <si>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</si>
  <si>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</si>
  <si>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</si>
  <si>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</si>
  <si>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</si>
  <si>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</si>
  <si>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</si>
  <si>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</si>
  <si>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</si>
  <si>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</si>
  <si>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</si>
  <si>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</si>
  <si>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</si>
  <si>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</si>
  <si>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</si>
  <si>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</si>
  <si>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</si>
  <si>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</si>
  <si>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</si>
  <si>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</si>
  <si>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</si>
  <si>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</si>
  <si>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</si>
  <si>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</si>
  <si>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</si>
  <si>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</si>
  <si>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</si>
  <si>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</si>
  <si>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</si>
  <si>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</si>
  <si>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</si>
  <si>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</si>
  <si>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</si>
  <si>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</si>
  <si>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</si>
  <si>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</si>
  <si>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</si>
  <si>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</si>
  <si>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</si>
  <si>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</si>
  <si>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</si>
  <si>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</si>
  <si>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</si>
  <si>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</si>
  <si>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</si>
  <si>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</si>
  <si>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</si>
  <si>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</si>
  <si>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</si>
  <si>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</si>
  <si>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</si>
  <si>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</si>
  <si>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</si>
  <si>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</si>
  <si>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</si>
  <si>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</si>
  <si>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</si>
  <si>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</si>
  <si>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</si>
  <si>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</si>
  <si>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</si>
  <si>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</si>
  <si>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</si>
  <si>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</si>
  <si>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</si>
  <si>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</si>
  <si>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</si>
  <si>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</si>
  <si>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</si>
  <si>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</si>
  <si>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</si>
  <si>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</si>
  <si>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</si>
  <si>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</si>
  <si>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</si>
  <si>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</si>
  <si>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</si>
  <si>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</si>
  <si>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</si>
  <si>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</si>
  <si>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</si>
  <si>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</si>
  <si>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</si>
  <si>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</si>
  <si>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</si>
  <si>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</si>
  <si>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</si>
  <si>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</si>
  <si>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</si>
  <si>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</si>
  <si>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</si>
  <si>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</si>
  <si>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</si>
  <si>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</si>
  <si>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</si>
  <si>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</si>
  <si>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</si>
  <si>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</si>
  <si>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</si>
  <si>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</si>
  <si>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</si>
  <si>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</si>
  <si>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</si>
  <si>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</si>
  <si>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</si>
  <si>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</si>
  <si>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</si>
  <si>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</si>
  <si>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</si>
  <si>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</si>
  <si>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</si>
  <si>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</si>
  <si>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</si>
  <si>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</si>
  <si>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</si>
  <si>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</si>
  <si>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</si>
  <si>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</si>
  <si>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</si>
  <si>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</si>
  <si>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</si>
  <si>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</si>
  <si>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</si>
  <si>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</si>
  <si>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</si>
  <si>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</si>
  <si>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</si>
  <si>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</si>
  <si>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</si>
  <si>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</si>
  <si>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</si>
  <si>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</si>
  <si>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</si>
  <si>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</si>
  <si>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</si>
  <si>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</si>
  <si>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</si>
  <si>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</si>
  <si>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</si>
  <si>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</si>
  <si>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</si>
  <si>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</si>
  <si>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</si>
  <si>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</si>
  <si>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</si>
  <si>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</si>
  <si>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</si>
  <si>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</si>
  <si>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</si>
  <si>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</si>
  <si>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</si>
  <si>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</si>
  <si>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</si>
  <si>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</si>
  <si>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</si>
  <si>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</si>
  <si>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</si>
  <si>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</si>
  <si>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</si>
  <si>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</si>
  <si>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</si>
  <si>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</si>
  <si>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</si>
  <si>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</si>
  <si>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</si>
  <si>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</si>
  <si>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</si>
  <si>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</si>
  <si>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</si>
  <si>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</si>
  <si>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</si>
  <si>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</si>
  <si>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</si>
  <si>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</si>
  <si>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</si>
  <si>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</si>
  <si>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</si>
  <si>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</si>
  <si>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</si>
  <si>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</si>
  <si>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</si>
  <si>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</si>
  <si>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</si>
  <si>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</si>
  <si>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</si>
  <si>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</si>
  <si>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</si>
  <si>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</si>
  <si>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</si>
  <si>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</si>
  <si>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</si>
  <si>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</si>
  <si>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</si>
  <si>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</si>
  <si>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</si>
  <si>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</si>
  <si>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</si>
  <si>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</si>
  <si>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</si>
  <si>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</si>
  <si>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</si>
  <si>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</si>
  <si>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</si>
  <si>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</si>
  <si>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</si>
  <si>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</si>
  <si>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</si>
  <si>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</si>
  <si>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</si>
  <si>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</si>
  <si>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</si>
  <si>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</si>
  <si>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</si>
  <si>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</si>
  <si>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</si>
  <si>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</si>
  <si>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</si>
  <si>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</si>
  <si>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</si>
  <si>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</si>
  <si>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</si>
  <si>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</si>
  <si>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</si>
  <si>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</si>
  <si>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</si>
  <si>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</si>
  <si>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</si>
  <si>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</si>
  <si>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</si>
  <si>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</si>
  <si>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</si>
  <si>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</si>
  <si>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</si>
  <si>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</si>
  <si>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</si>
  <si>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</si>
  <si>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</si>
  <si>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</si>
  <si>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</si>
  <si>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</si>
  <si>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</si>
  <si>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</si>
  <si>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</si>
  <si>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</si>
  <si>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</si>
  <si>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</si>
  <si>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</si>
  <si>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</si>
  <si>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</si>
  <si>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</si>
  <si>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</si>
  <si>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</si>
  <si>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</si>
  <si>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</si>
  <si>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</si>
  <si>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</si>
  <si>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</si>
  <si>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</si>
  <si>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</si>
  <si>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</si>
  <si>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</si>
  <si>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</si>
  <si>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</si>
  <si>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</si>
  <si>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</si>
  <si>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</si>
  <si>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</si>
  <si>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</si>
  <si>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</si>
  <si>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</si>
  <si>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</si>
  <si>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</si>
  <si>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</si>
  <si>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</si>
  <si>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</si>
  <si>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</si>
  <si>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</si>
  <si>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</si>
  <si>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</si>
  <si>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</si>
  <si>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</si>
  <si>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</si>
  <si>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</si>
  <si>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</si>
  <si>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</si>
  <si>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</si>
  <si>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</si>
  <si>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</si>
  <si>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</si>
  <si>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</si>
  <si>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</si>
  <si>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</si>
  <si>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</si>
  <si>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</si>
  <si>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</si>
  <si>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</si>
  <si>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</si>
  <si>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</si>
  <si>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</si>
  <si>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</si>
  <si>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</si>
  <si>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</si>
  <si>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</si>
  <si>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</si>
  <si>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</si>
  <si>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</si>
  <si>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</si>
  <si>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</si>
  <si>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</si>
  <si>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</si>
  <si>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</si>
  <si>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</si>
  <si>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</si>
  <si>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</si>
  <si>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</si>
  <si>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</si>
  <si>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</si>
  <si>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</si>
  <si>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</si>
  <si>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</si>
  <si>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</si>
  <si>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</si>
  <si>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</si>
  <si>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</si>
  <si>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</si>
  <si>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</si>
  <si>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</si>
  <si>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</si>
  <si>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</si>
  <si>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</si>
  <si>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</si>
  <si>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</si>
  <si>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</si>
  <si>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</si>
  <si>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</si>
  <si>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</si>
  <si>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</si>
  <si>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</si>
  <si>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</si>
  <si>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</si>
  <si>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</si>
  <si>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</si>
  <si>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</si>
  <si>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</si>
  <si>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</si>
  <si>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</si>
  <si>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</si>
  <si>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</si>
  <si>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</si>
  <si>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</si>
  <si>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</si>
  <si>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</si>
  <si>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</si>
  <si>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</si>
  <si>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</si>
  <si>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</si>
  <si>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</si>
  <si>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</si>
  <si>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</si>
  <si>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</si>
  <si>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</si>
  <si>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</si>
  <si>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</si>
  <si>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</si>
  <si>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</si>
  <si>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</si>
  <si>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</si>
  <si>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</si>
  <si>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</si>
  <si>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</si>
  <si>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</si>
  <si>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</si>
  <si>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</si>
  <si>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</si>
  <si>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</si>
  <si>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</si>
  <si>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</si>
  <si>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</si>
  <si>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</si>
  <si>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</si>
  <si>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</si>
  <si>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</si>
  <si>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</si>
  <si>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</si>
  <si>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</si>
  <si>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</si>
  <si>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</si>
  <si>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</si>
  <si>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</si>
  <si>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</si>
  <si>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</si>
  <si>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</si>
  <si>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</si>
  <si>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</si>
  <si>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</si>
  <si>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</si>
  <si>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</si>
  <si>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</si>
  <si>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</si>
  <si>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</si>
  <si>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</si>
  <si>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</si>
  <si>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</si>
  <si>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</si>
  <si>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</si>
  <si>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</si>
  <si>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</si>
  <si>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</si>
  <si>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</si>
  <si>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</si>
  <si>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</si>
  <si>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</si>
  <si>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</si>
  <si>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</si>
  <si>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</si>
  <si>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</si>
  <si>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</si>
  <si>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</si>
  <si>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</si>
  <si>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</si>
  <si>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</si>
  <si>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</si>
  <si>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</si>
  <si>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</si>
  <si>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</si>
  <si>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</si>
  <si>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</si>
  <si>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</si>
  <si>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</si>
  <si>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</si>
  <si>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</si>
  <si>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</si>
  <si>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</si>
  <si>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</si>
  <si>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</si>
  <si>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</si>
  <si>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</si>
  <si>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</si>
  <si>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</si>
  <si>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</si>
  <si>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</si>
  <si>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</si>
  <si>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</si>
  <si>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</si>
  <si>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</si>
  <si>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</si>
  <si>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</si>
  <si>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</si>
  <si>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</si>
  <si>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</si>
  <si>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</si>
  <si>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</si>
  <si>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</si>
  <si>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</si>
  <si>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</si>
  <si>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</si>
  <si>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</si>
  <si>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</si>
  <si>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</si>
  <si>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</si>
  <si>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</si>
  <si>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</si>
  <si>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</si>
  <si>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</si>
  <si>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</si>
  <si>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</si>
  <si>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</si>
  <si>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</si>
  <si>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</si>
  <si>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</si>
  <si>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</si>
  <si>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</si>
  <si>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</si>
  <si>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</si>
  <si>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</si>
  <si>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</si>
  <si>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</si>
  <si>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</si>
  <si>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</si>
  <si>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</si>
  <si>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</si>
  <si>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</si>
  <si>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</si>
  <si>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</si>
  <si>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</si>
  <si>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</si>
  <si>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</si>
  <si>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</si>
  <si>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</si>
  <si>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</si>
  <si>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</si>
  <si>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</si>
  <si>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</si>
  <si>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</si>
  <si>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</si>
  <si>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</si>
  <si>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</si>
  <si>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</si>
  <si>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</si>
  <si>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</si>
  <si>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</si>
  <si>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</si>
  <si>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</si>
  <si>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</si>
  <si>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</si>
  <si>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</si>
  <si>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</si>
  <si>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</si>
  <si>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</si>
  <si>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</si>
  <si>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</si>
  <si>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</si>
  <si>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</si>
  <si>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</si>
  <si>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</si>
  <si>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</si>
  <si>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</si>
  <si>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</si>
  <si>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</si>
  <si>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</si>
  <si>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</si>
  <si>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</si>
  <si>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</si>
  <si>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</si>
  <si>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</si>
  <si>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</si>
  <si>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</si>
  <si>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</si>
  <si>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</si>
  <si>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</si>
  <si>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</si>
  <si>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</si>
  <si>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</si>
  <si>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</si>
  <si>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</si>
  <si>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</si>
  <si>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</si>
  <si>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</si>
  <si>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</si>
  <si>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</si>
  <si>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</si>
  <si>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</si>
  <si>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</si>
  <si>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</si>
  <si>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</si>
  <si>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</si>
  <si>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</si>
  <si>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</si>
  <si>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</si>
  <si>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</si>
  <si>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</si>
  <si>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</si>
  <si>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</si>
  <si>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</si>
  <si>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</si>
  <si>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</si>
  <si>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</si>
  <si>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近海の地震を条件に沿岸で発生。低地へ進み、打撃被害を与える。影響範囲内の完成施設にも威力に応じたHP被害を与え、拠点の防御・打撃耐性・災害耐性で軽減する。施設HP0は損壊し、修理で復旧する。</t>
  </si>
  <si>
    <t>災害:津波</t>
  </si>
  <si>
    <t>{"movement":"coast","stepsPerTurn":1,"maximumHeight":1,"triggerDisaster":"災害:地震","triggerRadius":6,"facilityDamageMultiplier":1}</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</si>
  <si>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</si>
  <si>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</si>
  <si>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</si>
  <si>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</si>
  <si>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</si>
  <si>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</si>
  <si>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</si>
  <si>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</si>
  <si>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</si>
  <si>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</si>
  <si>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</si>
  <si>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</si>
  <si>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</si>
  <si>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</si>
  <si>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</si>
  <si>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</si>
  <si>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</si>
  <si>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</si>
  <si>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</si>
  <si>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</si>
  <si>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</si>
  <si>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</si>
  <si>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</si>
  <si>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</si>
  <si>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</si>
  <si>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</si>
  <si>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</si>
  <si>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</si>
  <si>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</si>
  <si>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</si>
  <si>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</si>
  <si>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</si>
  <si>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</si>
  <si>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</si>
  <si>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</si>
  <si>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</si>
  <si>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</si>
  <si>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</si>
  <si>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</si>
  <si>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</si>
  <si>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</si>
  <si>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</si>
  <si>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</si>
  <si>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</si>
  <si>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</si>
  <si>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</si>
  <si>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</si>
  <si>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</si>
  <si>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</si>
  <si>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</si>
  <si>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</si>
  <si>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</si>
  <si>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</si>
  <si>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</si>
  <si>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</si>
  <si>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</si>
  <si>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</si>
  <si>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</si>
  <si>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</si>
  <si>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</si>
  <si>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</si>
  <si>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</si>
  <si>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</si>
  <si>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</si>
  <si>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</si>
  <si>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</si>
  <si>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</si>
  <si>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</si>
  <si>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</si>
  <si>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</si>
  <si>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</si>
  <si>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</si>
  <si>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</si>
  <si>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</si>
  <si>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</si>
  <si>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</si>
  <si>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</si>
  <si>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</si>
  <si>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</si>
  <si>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</si>
  <si>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</si>
  <si>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</si>
  <si>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</si>
  <si>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</si>
  <si>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</si>
  <si>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</si>
  <si>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</si>
  <si>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</si>
  <si>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</si>
  <si>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</si>
  <si>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</si>
  <si>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</si>
  <si>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</si>
  <si>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</si>
  <si>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</si>
  <si>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</si>
  <si>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</si>
  <si>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</si>
  <si>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</si>
  <si>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</si>
  <si>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</si>
  <si>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</si>
  <si>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</si>
  <si>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</si>
  <si>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</si>
  <si>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</si>
  <si>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</si>
  <si>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</si>
  <si>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</si>
  <si>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</si>
  <si>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</si>
  <si>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</si>
  <si>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</si>
  <si>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</si>
  <si>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</si>
  <si>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</si>
  <si>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</si>
  <si>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</si>
  <si>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</si>
  <si>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</si>
  <si>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</si>
  <si>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</si>
  <si>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</si>
  <si>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</si>
  <si>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</si>
  <si>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</si>
  <si>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</si>
  <si>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</si>
  <si>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</si>
  <si>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</si>
  <si>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</si>
  <si>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</si>
  <si>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</si>
  <si>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</si>
  <si>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</si>
  <si>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</si>
  <si>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</si>
  <si>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</si>
  <si>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</si>
  <si>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</si>
  <si>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</si>
  <si>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</si>
  <si>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</si>
  <si>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</si>
  <si>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</si>
  <si>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</si>
  <si>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</si>
  <si>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</si>
  <si>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</si>
  <si>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</si>
  <si>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</si>
  <si>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</si>
  <si>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</si>
  <si>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</si>
  <si>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</si>
  <si>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</si>
  <si>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</si>
  <si>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</si>
  <si>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</si>
  <si>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</si>
  <si>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</si>
  <si>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</si>
  <si>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</si>
  <si>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</si>
  <si>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</si>
  <si>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</si>
  <si>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</si>
  <si>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</si>
  <si>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</si>
  <si>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</si>
  <si>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</si>
  <si>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</si>
  <si>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</si>
  <si>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</si>
  <si>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</si>
  <si>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</si>
  <si>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</si>
  <si>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</si>
  <si>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</si>
  <si>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</si>
  <si>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</si>
  <si>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</si>
  <si>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</si>
  <si>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</si>
  <si>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</si>
  <si>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</si>
  <si>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</si>
  <si>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</si>
  <si>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</si>
  <si>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</si>
  <si>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</si>
  <si>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</si>
  <si>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</si>
  <si>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</si>
  <si>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</si>
  <si>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</si>
  <si>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</si>
  <si>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</si>
  <si>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</si>
  <si>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</si>
  <si>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</si>
  <si>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</si>
  <si>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</si>
  <si>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</si>
  <si>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</si>
  <si>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</si>
  <si>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</si>
  <si>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</si>
  <si>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</si>
  <si>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</si>
  <si>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</si>
  <si>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</si>
  <si>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</si>
  <si>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</si>
  <si>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</si>
  <si>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</si>
  <si>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</si>
  <si>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</si>
  <si>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</si>
  <si>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</si>
  <si>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</si>
  <si>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</si>
  <si>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</si>
  <si>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</si>
  <si>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味方通行AP増加率</t>
  </si>
  <si>
    <t>内壁幸福度低下</t>
  </si>
  <si>
    <t>内壁幸福度低下上限</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</si>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</sst>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IF(OR(COUNTIF('クラス'!$A$1:$A$1267,$B4)&gt;0,$B4="",$M4=""),"",True)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IF(OR(COUNTIF('クラス'!$A$1:$A$1267,$B5)&gt;0,$B5="",$M5=""),"",True)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IF(OR(COUNTIF('クラス'!$A$1:$A$1267,$B6)&gt;0,$B6="",$M6=""),"",True)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IF(OR(COUNTIF('クラス'!$A$1:$A$1267,$B7)&gt;0,$B7="",$M7=""),"",True)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IF(OR(COUNTIF('クラス'!$A$1:$A$1267,$B8)&gt;0,$B8="",$M8=""),"",True)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IF(OR(COUNTIF('クラス'!$A$1:$A$1267,$B9)&gt;0,$B9="",$M9=""),"",True)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IF(OR(COUNTIF('クラス'!$A$1:$A$1267,$B10)&gt;0,$B10="",$M10=""),"",True)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IF(OR(COUNTIF('クラス'!$A$1:$A$1267,$B11)&gt;0,$B11="",$M11=""),"",True)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IF(OR(COUNTIF('クラス'!$A$1:$A$1267,$B12)&gt;0,$B12="",$M12=""),"",True)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IF(OR(COUNTIF('クラス'!$A$1:$A$1267,$B13)&gt;0,$B13="",$M13=""),"",True)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IF(OR(COUNTIF('クラス'!$A$1:$A$1267,$B14)&gt;0,$B14="",$M14=""),"",True)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IF(OR(COUNTIF('クラス'!$A$1:$A$1267,$B15)&gt;0,$B15="",$M15=""),"",True)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IF(OR(COUNTIF('クラス'!$A$1:$A$1267,$B16)&gt;0,$B16="",$M16=""),"",True)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IF(OR(COUNTIF('クラス'!$A$1:$A$1267,$B17)&gt;0,$B17="",$M17=""),"",True)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IF(OR(COUNTIF('クラス'!$A$1:$A$1267,$B18)&gt;0,$B18="",$M18=""),"",True)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IF(OR(COUNTIF('クラス'!$A$1:$A$1267,$B19)&gt;0,$B19="",$M19=""),"",True)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IF(OR(COUNTIF('クラス'!$A$1:$A$1267,$B20)&gt;0,$B20="",$M20=""),"",True)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IF(OR(COUNTIF('クラス'!$A$1:$A$1267,$B21)&gt;0,$B21="",$M21=""),"",True)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IF(OR(COUNTIF('クラス'!$A$1:$A$1267,$B22)&gt;0,$B22="",$M22=""),"",True)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IF(OR(COUNTIF('クラス'!$A$1:$A$1267,$B23)&gt;0,$B23="",$M23=""),"",True)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IF(OR(COUNTIF('クラス'!$A$1:$A$1267,$B24)&gt;0,$B24="",$M24=""),"",True)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IF(OR(COUNTIF('クラス'!$A$1:$A$1267,$B25)&gt;0,$B25="",$M25=""),"",True)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IF(OR(COUNTIF('クラス'!$A$1:$A$1267,$B26)&gt;0,$B26="",$M26=""),"",True)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IF(OR(COUNTIF('クラス'!$A$1:$A$1267,$B27)&gt;0,$B27="",$M27=""),"",True)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IF(OR(COUNTIF('クラス'!$A$1:$A$1267,$B28)&gt;0,$B28="",$M28=""),"",True)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IF(OR(COUNTIF('クラス'!$A$1:$A$1267,$B29)&gt;0,$B29="",$M29=""),"",True)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IF(OR(COUNTIF('クラス'!$A$1:$A$1267,$B30)&gt;0,$B30="",$M30=""),"",True)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IF(OR(COUNTIF('クラス'!$A$1:$A$1267,$B31)&gt;0,$B31="",$M31=""),"",True)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IF(OR(COUNTIF('クラス'!$A$1:$A$1267,$B32)&gt;0,$B32="",$M32=""),"",True)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IF(OR(COUNTIF('クラス'!$A$1:$A$1267,$B33)&gt;0,$B33="",$M33=""),"",True)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IF(OR(COUNTIF('クラス'!$A$1:$A$1267,$B34)&gt;0,$B34="",$M34=""),"",True)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IF(OR(COUNTIF('クラス'!$A$1:$A$1267,$B35)&gt;0,$B35="",$M35=""),"",True)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IF(OR(COUNTIF('クラス'!$A$1:$A$1267,$B36)&gt;0,$B36="",$M36=""),"",True)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IF(OR(COUNTIF('クラス'!$A$1:$A$1267,$B37)&gt;0,$B37="",$M37=""),"",True)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IF(OR(COUNTIF('クラス'!$A$1:$A$1267,$B38)&gt;0,$B38="",$M38=""),"",True)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IF(OR(COUNTIF('クラス'!$A$1:$A$1267,$B39)&gt;0,$B39="",$M39=""),"",True)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IF(OR(COUNTIF('クラス'!$A$1:$A$1267,$B40)&gt;0,$B40="",$M40=""),"",True)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IF(OR(COUNTIF('クラス'!$A$1:$A$1267,$B41)&gt;0,$B41="",$M41=""),"",True)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IF(OR(COUNTIF('クラス'!$A$1:$A$1267,$B42)&gt;0,$B42="",$M42=""),"",True)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IF(OR(COUNTIF('クラス'!$A$1:$A$1267,$B43)&gt;0,$B43="",$M43=""),"",True)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IF(OR(COUNTIF('クラス'!$A$1:$A$1267,$B44)&gt;0,$B44="",$M44=""),"",True)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IF(OR(COUNTIF('クラス'!$A$1:$A$1267,$B45)&gt;0,$B45="",$M45=""),"",True)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IF(OR(COUNTIF('クラス'!$A$1:$A$1267,$B46)&gt;0,$B46="",$M46=""),"",True)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IF(OR(COUNTIF('クラス'!$A$1:$A$1267,$B47)&gt;0,$B47="",$M47=""),"",True)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IF(OR(COUNTIF('クラス'!$A$1:$A$1267,$B48)&gt;0,$B48="",$M48=""),"",True)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IF(OR(COUNTIF('クラス'!$A$1:$A$1267,$B49)&gt;0,$B49="",$M49=""),"",True)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IF(OR(COUNTIF('クラス'!$A$1:$A$1267,$B50)&gt;0,$B50="",$M50=""),"",True)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IF(OR(COUNTIF('クラス'!$A$1:$A$1267,$B51)&gt;0,$B51="",$M51=""),"",True)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IF(OR(COUNTIF('クラス'!$A$1:$A$1267,$B52)&gt;0,$B52="",$M52=""),"",True)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IF(OR(COUNTIF('クラス'!$A$1:$A$1267,$B53)&gt;0,$B53="",$M53=""),"",True)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IF(OR(COUNTIF('クラス'!$A$1:$A$1267,$B54)&gt;0,$B54="",$M54=""),"",True)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IF(OR(COUNTIF('クラス'!$A$1:$A$1267,$B55)&gt;0,$B55="",$M55=""),"",True)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IF(OR(COUNTIF('クラス'!$A$1:$A$1267,$B56)&gt;0,$B56="",$M56=""),"",True)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IF(OR(COUNTIF('クラス'!$A$1:$A$1267,$B57)&gt;0,$B57="",$M57=""),"",True)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IF(OR(COUNTIF('クラス'!$A$1:$A$1267,$B58)&gt;0,$B58="",$M58=""),"",True)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IF(OR(COUNTIF('クラス'!$A$1:$A$1267,$B59)&gt;0,$B59="",$M59=""),"",True)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IF(OR(COUNTIF('クラス'!$A$1:$A$1267,$B60)&gt;0,$B60="",$M60=""),"",True)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IF(OR(COUNTIF('クラス'!$A$1:$A$1267,$B61)&gt;0,$B61="",$M61=""),"",True)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IF(OR(COUNTIF('クラス'!$A$1:$A$1267,$B62)&gt;0,$B62="",$M62=""),"",True)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IF(OR(COUNTIF('クラス'!$A$1:$A$1267,$B63)&gt;0,$B63="",$M63=""),"",True)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IF(OR(COUNTIF('クラス'!$A$1:$A$1267,$B64)&gt;0,$B64="",$M64=""),"",True)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IF(OR(COUNTIF('クラス'!$A$1:$A$1267,$B65)&gt;0,$B65="",$M65=""),"",True)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IF(OR(COUNTIF('クラス'!$A$1:$A$1267,$B66)&gt;0,$B66="",$M66=""),"",True)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IF(OR(COUNTIF('クラス'!$A$1:$A$1267,$B67)&gt;0,$B67="",$M67=""),"",True)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IF(OR(COUNTIF('クラス'!$A$1:$A$1267,$B68)&gt;0,$B68="",$M68=""),"",True)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IF(OR(COUNTIF('クラス'!$A$1:$A$1267,$B69)&gt;0,$B69="",$M69=""),"",True)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IF(OR(COUNTIF('クラス'!$A$1:$A$1267,$B70)&gt;0,$B70="",$M70=""),"",True)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IF(OR(COUNTIF('クラス'!$A$1:$A$1267,$B71)&gt;0,$B71="",$M71=""),"",True)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IF(OR(COUNTIF('クラス'!$A$1:$A$1267,$B72)&gt;0,$B72="",$M72=""),"",True)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IF(OR(COUNTIF('クラス'!$A$1:$A$1267,$B73)&gt;0,$B73="",$M73=""),"",True)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IF(OR(COUNTIF('クラス'!$A$1:$A$1267,$B74)&gt;0,$B74="",$M74=""),"",True)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IF(OR(COUNTIF('クラス'!$A$1:$A$1267,$B75)&gt;0,$B75="",$M75=""),"",True)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IF(OR(COUNTIF('クラス'!$A$1:$A$1267,$B76)&gt;0,$B76="",$M76=""),"",True)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IF(OR(COUNTIF('クラス'!$A$1:$A$1267,$B77)&gt;0,$B77="",$M77=""),"",True)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IF(OR(COUNTIF('クラス'!$A$1:$A$1267,$B78)&gt;0,$B78="",$M78=""),"",True)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IF(OR(COUNTIF('クラス'!$A$1:$A$1267,$B79)&gt;0,$B79="",$M79=""),"",True)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IF(OR(COUNTIF('クラス'!$A$1:$A$1267,$B80)&gt;0,$B80="",$M80=""),"",True)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IF(OR(COUNTIF('クラス'!$A$1:$A$1267,$B81)&gt;0,$B81="",$M81=""),"",True)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IF(OR(COUNTIF('クラス'!$A$1:$A$1267,$B82)&gt;0,$B82="",$M82=""),"",True)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IF(OR(COUNTIF('クラス'!$A$1:$A$1267,$B83)&gt;0,$B83="",$M83=""),"",True)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IF(OR(COUNTIF('クラス'!$A$1:$A$1267,$B84)&gt;0,$B84="",$M84=""),"",True)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IF(OR(COUNTIF('クラス'!$A$1:$A$1267,$B85)&gt;0,$B85="",$M85=""),"",True)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IF(OR(COUNTIF('クラス'!$A$1:$A$1267,$B86)&gt;0,$B86="",$M86=""),"",True)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IF(OR(COUNTIF('クラス'!$A$1:$A$1267,$B87)&gt;0,$B87="",$M87=""),"",True)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IF(OR(COUNTIF('クラス'!$A$1:$A$1267,$B88)&gt;0,$B88="",$M88=""),"",True)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IF(OR(COUNTIF('クラス'!$A$1:$A$1267,$B89)&gt;0,$B89="",$M89=""),"",True)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IF(OR(COUNTIF('クラス'!$A$1:$A$1267,$B90)&gt;0,$B90="",$M90=""),"",True)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IF(OR(COUNTIF('クラス'!$A$1:$A$1267,$B91)&gt;0,$B91="",$M91=""),"",True)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IF(OR(COUNTIF('クラス'!$A$1:$A$1267,$B92)&gt;0,$B92="",$M92=""),"",True)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IF(OR(COUNTIF('クラス'!$A$1:$A$1267,$B93)&gt;0,$B93="",$M93=""),"",True)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IF(OR(COUNTIF('クラス'!$A$1:$A$1267,$B94)&gt;0,$B94="",$M94=""),"",True)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IF(OR(COUNTIF('クラス'!$A$1:$A$1267,$B95)&gt;0,$B95="",$M95=""),"",True)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IF(OR(COUNTIF('クラス'!$A$1:$A$1267,$B96)&gt;0,$B96="",$M96=""),"",True)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IF(OR(COUNTIF('クラス'!$A$1:$A$1267,$B97)&gt;0,$B97="",$M97=""),"",True)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IF(OR(COUNTIF('クラス'!$A$1:$A$1267,$B98)&gt;0,$B98="",$M98=""),"",True)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IF(OR(COUNTIF('クラス'!$A$1:$A$1267,$B99)&gt;0,$B99="",$M99=""),"",True)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IF(OR(COUNTIF('クラス'!$A$1:$A$1267,$B100)&gt;0,$B100="",$M100=""),"",True)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IF(OR(COUNTIF('クラス'!$A$1:$A$1267,$B101)&gt;0,$B101="",$M101=""),"",True)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IF(OR(COUNTIF('クラス'!$A$1:$A$1267,$B102)&gt;0,$B102="",$M102=""),"",True)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IF(OR(COUNTIF('クラス'!$A$1:$A$1267,$B103)&gt;0,$B103="",$M103=""),"",True)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IF(OR(COUNTIF('クラス'!$A$1:$A$1267,$B104)&gt;0,$B104="",$M104=""),"",True)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IF(OR(COUNTIF('クラス'!$A$1:$A$1267,$B105)&gt;0,$B105="",$M105=""),"",True)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IF(OR(COUNTIF('クラス'!$A$1:$A$1267,$B106)&gt;0,$B106="",$M106=""),"",True)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IF(OR(COUNTIF('クラス'!$A$1:$A$1267,$B107)&gt;0,$B107="",$M107=""),"",True)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IF(OR(COUNTIF('クラス'!$A$1:$A$1267,$B108)&gt;0,$B108="",$M108=""),"",True)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IF(OR(COUNTIF('クラス'!$A$1:$A$1267,$B109)&gt;0,$B109="",$M109=""),"",True)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IF(OR(COUNTIF('クラス'!$A$1:$A$1267,$B110)&gt;0,$B110="",$M110=""),"",True)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IF(OR(COUNTIF('クラス'!$A$1:$A$1267,$B111)&gt;0,$B111="",$M111=""),"",True)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IF(OR(COUNTIF('クラス'!$A$1:$A$1267,$B112)&gt;0,$B112="",$M112=""),"",True)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IF(OR(COUNTIF('クラス'!$A$1:$A$1267,$B113)&gt;0,$B113="",$M113=""),"",True)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IF(OR(COUNTIF('クラス'!$A$1:$A$1267,$B114)&gt;0,$B114="",$M114=""),"",True)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IF(OR(COUNTIF('クラス'!$A$1:$A$1267,$B115)&gt;0,$B115="",$M115=""),"",True)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IF(OR(COUNTIF('クラス'!$A$1:$A$1267,$B116)&gt;0,$B116="",$M116=""),"",True)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IF(OR(COUNTIF('クラス'!$A$1:$A$1267,$B117)&gt;0,$B117="",$M117=""),"",True)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IF(OR(COUNTIF('クラス'!$A$1:$A$1267,$B118)&gt;0,$B118="",$M118=""),"",True)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IF(OR(COUNTIF('クラス'!$A$1:$A$1267,$B119)&gt;0,$B119="",$M119=""),"",True)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IF(OR(COUNTIF('クラス'!$A$1:$A$1267,$B120)&gt;0,$B120="",$M120=""),"",True)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IF(OR(COUNTIF('クラス'!$A$1:$A$1267,$B121)&gt;0,$B121="",$M121=""),"",True)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IF(OR(COUNTIF('クラス'!$A$1:$A$1267,$B122)&gt;0,$B122="",$M122=""),"",True)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IF(OR(COUNTIF('クラス'!$A$1:$A$1267,$B123)&gt;0,$B123="",$M123=""),"",True)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IF(OR(COUNTIF('クラス'!$A$1:$A$1267,$B124)&gt;0,$B124="",$M124=""),"",True)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IF(OR(COUNTIF('クラス'!$A$1:$A$1267,$B125)&gt;0,$B125="",$M125=""),"",True)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IF(OR(COUNTIF('クラス'!$A$1:$A$1267,$B126)&gt;0,$B126="",$M126=""),"",True)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IF(OR(COUNTIF('クラス'!$A$1:$A$1267,$B127)&gt;0,$B127="",$M127=""),"",True)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IF(OR(COUNTIF('クラス'!$A$1:$A$1267,$B128)&gt;0,$B128="",$M128=""),"",True)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IF(OR(COUNTIF('クラス'!$A$1:$A$1267,$B129)&gt;0,$B129="",$M129=""),"",True)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IF(OR(COUNTIF('クラス'!$A$1:$A$1267,$B130)&gt;0,$B130="",$M130=""),"",True)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IF(OR(COUNTIF('クラス'!$A$1:$A$1267,$B131)&gt;0,$B131="",$M131=""),"",True)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IF(OR(COUNTIF('クラス'!$A$1:$A$1267,$B132)&gt;0,$B132="",$M132=""),"",True)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IF(OR(COUNTIF('クラス'!$A$1:$A$1267,$B133)&gt;0,$B133="",$M133=""),"",True)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IF(OR(COUNTIF('クラス'!$A$1:$A$1267,$B134)&gt;0,$B134="",$M134=""),"",True)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IF(OR(COUNTIF('クラス'!$A$1:$A$1267,$B135)&gt;0,$B135="",$M135=""),"",True)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IF(OR(COUNTIF('クラス'!$A$1:$A$1267,$B136)&gt;0,$B136="",$M136=""),"",True)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IF(OR(COUNTIF('クラス'!$A$1:$A$1267,$B137)&gt;0,$B137="",$M137=""),"",True)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IF(OR(COUNTIF('クラス'!$A$1:$A$1267,$B138)&gt;0,$B138="",$M138=""),"",True)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IF(OR(COUNTIF('クラス'!$A$1:$A$1267,$B139)&gt;0,$B139="",$M139=""),"",True)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IF(OR(COUNTIF('クラス'!$A$1:$A$1267,$B140)&gt;0,$B140="",$M140=""),"",True)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IF(OR(COUNTIF('クラス'!$A$1:$A$1267,$B141)&gt;0,$B141="",$M141=""),"",True)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IF(OR(COUNTIF('クラス'!$A$1:$A$1267,$B142)&gt;0,$B142="",$M142=""),"",True)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IF(OR(COUNTIF('クラス'!$A$1:$A$1267,$B143)&gt;0,$B143="",$M143=""),"",True)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IF(OR(COUNTIF('クラス'!$A$1:$A$1267,$B144)&gt;0,$B144="",$M144=""),"",True)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IF(OR(COUNTIF('クラス'!$A$1:$A$1267,$B145)&gt;0,$B145="",$M145=""),"",True)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IF(OR(COUNTIF('クラス'!$A$1:$A$1267,$B146)&gt;0,$B146="",$M146=""),"",True)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IF(OR(COUNTIF('クラス'!$A$1:$A$1267,$B147)&gt;0,$B147="",$M147=""),"",True)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IF(OR(COUNTIF('クラス'!$A$1:$A$1267,$B148)&gt;0,$B148="",$M148=""),"",True)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IF(OR(COUNTIF('クラス'!$A$1:$A$1267,$B149)&gt;0,$B149="",$M149=""),"",True)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IF(OR(COUNTIF('クラス'!$A$1:$A$1267,$B150)&gt;0,$B150="",$M150=""),"",True)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IF(OR(COUNTIF('クラス'!$A$1:$A$1267,$B151)&gt;0,$B151="",$M151=""),"",True)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IF(OR(COUNTIF('クラス'!$A$1:$A$1267,$B152)&gt;0,$B152="",$M152=""),"",True)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IF(OR(COUNTIF('クラス'!$A$1:$A$1267,$B153)&gt;0,$B153="",$M153=""),"",True)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IF(OR(COUNTIF('クラス'!$A$1:$A$1267,$B154)&gt;0,$B154="",$M154=""),"",True)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IF(OR(COUNTIF('クラス'!$A$1:$A$1267,$B155)&gt;0,$B155="",$M155=""),"",True)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IF(OR(COUNTIF('クラス'!$A$1:$A$1267,$B156)&gt;0,$B156="",$M156=""),"",True)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IF(OR(COUNTIF('クラス'!$A$1:$A$1267,$B157)&gt;0,$B157="",$M157=""),"",True)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IF(OR(COUNTIF('クラス'!$A$1:$A$1267,$B158)&gt;0,$B158="",$M158=""),"",True)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IF(OR(COUNTIF('クラス'!$A$1:$A$1267,$B159)&gt;0,$B159="",$M159=""),"",True)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IF(OR(COUNTIF('クラス'!$A$1:$A$1267,$B160)&gt;0,$B160="",$M160=""),"",True)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IF(OR(COUNTIF('クラス'!$A$1:$A$1267,$B161)&gt;0,$B161="",$M161=""),"",True)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IF(OR(COUNTIF('クラス'!$A$1:$A$1267,$B162)&gt;0,$B162="",$M162=""),"",True)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IF(OR(COUNTIF('クラス'!$A$1:$A$1267,$B163)&gt;0,$B163="",$M163=""),"",True)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IF(OR(COUNTIF('クラス'!$A$1:$A$1267,$B164)&gt;0,$B164="",$M164=""),"",True)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IF(OR(COUNTIF('クラス'!$A$1:$A$1267,$B165)&gt;0,$B165="",$M165=""),"",True)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IF(OR(COUNTIF('クラス'!$A$1:$A$1267,$B166)&gt;0,$B166="",$M166=""),"",True)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IF(OR(COUNTIF('クラス'!$A$1:$A$1267,$B167)&gt;0,$B167="",$M167=""),"",True)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IF(OR(COUNTIF('クラス'!$A$1:$A$1267,$B168)&gt;0,$B168="",$M168=""),"",True)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IF(OR(COUNTIF('クラス'!$A$1:$A$1267,$B169)&gt;0,$B169="",$M169=""),"",True)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IF(OR(COUNTIF('クラス'!$A$1:$A$1267,$B170)&gt;0,$B170="",$M170=""),"",True)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IF(OR(COUNTIF('クラス'!$A$1:$A$1267,$B171)&gt;0,$B171="",$M171=""),"",True)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IF(OR(COUNTIF('クラス'!$A$1:$A$1267,$B172)&gt;0,$B172="",$M172=""),"",True)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IF(OR(COUNTIF('クラス'!$A$1:$A$1267,$B173)&gt;0,$B173="",$M173=""),"",True)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IF(OR(COUNTIF('クラス'!$A$1:$A$1267,$B174)&gt;0,$B174="",$M174=""),"",True)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IF(OR(COUNTIF('クラス'!$A$1:$A$1267,$B175)&gt;0,$B175="",$M175=""),"",True)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IF(OR(COUNTIF('クラス'!$A$1:$A$1267,$B176)&gt;0,$B176="",$M176=""),"",True)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IF(OR(COUNTIF('クラス'!$A$1:$A$1267,$B177)&gt;0,$B177="",$M177=""),"",True)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IF(OR(COUNTIF('クラス'!$A$1:$A$1267,$B178)&gt;0,$B178="",$M178=""),"",True)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IF(OR(COUNTIF('クラス'!$A$1:$A$1267,$B179)&gt;0,$B179="",$M179=""),"",True)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IF(OR(COUNTIF('クラス'!$A$1:$A$1267,$B180)&gt;0,$B180="",$M180=""),"",True)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IF(OR(COUNTIF('クラス'!$A$1:$A$1267,$B181)&gt;0,$B181="",$M181=""),"",True)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IF(OR(COUNTIF('クラス'!$A$1:$A$1267,$B182)&gt;0,$B182="",$M182=""),"",True)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IF(OR(COUNTIF('クラス'!$A$1:$A$1267,$B183)&gt;0,$B183="",$M183=""),"",True)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IF(OR(COUNTIF('クラス'!$A$1:$A$1267,$B184)&gt;0,$B184="",$M184=""),"",True)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IF(OR(COUNTIF('クラス'!$A$1:$A$1267,$B185)&gt;0,$B185="",$M185=""),"",True)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IF(OR(COUNTIF('クラス'!$A$1:$A$1267,$B186)&gt;0,$B186="",$M186=""),"",True)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IF(OR(COUNTIF('クラス'!$A$1:$A$1267,$B187)&gt;0,$B187="",$M187=""),"",True)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IF(OR(COUNTIF('クラス'!$A$1:$A$1267,$B188)&gt;0,$B188="",$M188=""),"",True)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IF(OR(COUNTIF('クラス'!$A$1:$A$1267,$B189)&gt;0,$B189="",$M189=""),"",True)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IF(OR(COUNTIF('クラス'!$A$1:$A$1267,$B190)&gt;0,$B190="",$M190=""),"",True)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IF(OR(COUNTIF('クラス'!$A$1:$A$1267,$B191)&gt;0,$B191="",$M191=""),"",True)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IF(OR(COUNTIF('クラス'!$A$1:$A$1267,$B192)&gt;0,$B192="",$M192=""),"",True)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IF(OR(COUNTIF('クラス'!$A$1:$A$1267,$B193)&gt;0,$B193="",$M193=""),"",True)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IF(OR(COUNTIF('クラス'!$A$1:$A$1267,$B194)&gt;0,$B194="",$M194=""),"",True)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IF(OR(COUNTIF('クラス'!$A$1:$A$1267,$B195)&gt;0,$B195="",$M195=""),"",True)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IF(OR(COUNTIF('クラス'!$A$1:$A$1267,$B196)&gt;0,$B196="",$M196=""),"",True)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IF(OR(COUNTIF('クラス'!$A$1:$A$1267,$B197)&gt;0,$B197="",$M197=""),"",True)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IF(OR(COUNTIF('クラス'!$A$1:$A$1267,$B198)&gt;0,$B198="",$M198=""),"",True)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IF(OR(COUNTIF('クラス'!$A$1:$A$1267,$B199)&gt;0,$B199="",$M199=""),"",True)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IF(OR(COUNTIF('クラス'!$A$1:$A$1267,$B200)&gt;0,$B200="",$M200=""),"",True)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IF(OR(COUNTIF('クラス'!$A$1:$A$1267,$B201)&gt;0,$B201="",$M201=""),"",True)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IF(OR(COUNTIF('クラス'!$A$1:$A$1267,$B202)&gt;0,$B202="",$M202=""),"",True)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IF(OR(COUNTIF('クラス'!$A$1:$A$1267,$B203)&gt;0,$B203="",$M203=""),"",True)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IF(OR(COUNTIF('クラス'!$A$1:$A$1267,$B204)&gt;0,$B204="",$M204=""),"",True)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IF(OR(COUNTIF('クラス'!$A$1:$A$1267,$B205)&gt;0,$B205="",$M205=""),"",True)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IF(OR(COUNTIF('クラス'!$A$1:$A$1267,$B206)&gt;0,$B206="",$M206=""),"",True)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IF(OR(COUNTIF('クラス'!$A$1:$A$1267,$B207)&gt;0,$B207="",$M207=""),"",True)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IF(OR(COUNTIF('クラス'!$A$1:$A$1267,$B208)&gt;0,$B208="",$M208=""),"",True)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IF(OR(COUNTIF('クラス'!$A$1:$A$1267,$B209)&gt;0,$B209="",$M209=""),"",True)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IF(OR(COUNTIF('クラス'!$A$1:$A$1267,$B210)&gt;0,$B210="",$M210=""),"",True)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IF(OR(COUNTIF('クラス'!$A$1:$A$1267,$B211)&gt;0,$B211="",$M211=""),"",True)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IF(OR(COUNTIF('クラス'!$A$1:$A$1267,$B212)&gt;0,$B212="",$M212=""),"",True)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IF(OR(COUNTIF('クラス'!$A$1:$A$1267,$B213)&gt;0,$B213="",$M213=""),"",True)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IF(OR(COUNTIF('クラス'!$A$1:$A$1267,$B214)&gt;0,$B214="",$M214=""),"",True)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IF(OR(COUNTIF('クラス'!$A$1:$A$1267,$B215)&gt;0,$B215="",$M215=""),"",True)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IF(OR(COUNTIF('クラス'!$A$1:$A$1267,$B216)&gt;0,$B216="",$M216=""),"",True)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IF(OR(COUNTIF('クラス'!$A$1:$A$1267,$B217)&gt;0,$B217="",$M217=""),"",True)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IF(OR(COUNTIF('クラス'!$A$1:$A$1267,$B218)&gt;0,$B218="",$M218=""),"",True)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IF(OR(COUNTIF('クラス'!$A$1:$A$1267,$B219)&gt;0,$B219="",$M219=""),"",True)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IF(OR(COUNTIF('クラス'!$A$1:$A$1267,$B220)&gt;0,$B220="",$M220=""),"",True)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IF(OR(COUNTIF('クラス'!$A$1:$A$1267,$B221)&gt;0,$B221="",$M221=""),"",True)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IF(OR(COUNTIF('クラス'!$A$1:$A$1267,$B222)&gt;0,$B222="",$M222=""),"",True)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IF(OR(COUNTIF('クラス'!$A$1:$A$1267,$B223)&gt;0,$B223="",$M223=""),"",True)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IF(OR(COUNTIF('クラス'!$A$1:$A$1267,$B224)&gt;0,$B224="",$M224=""),"",True)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IF(OR(COUNTIF('クラス'!$A$1:$A$1267,$B225)&gt;0,$B225="",$M225=""),"",True)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IF(OR(COUNTIF('クラス'!$A$1:$A$1267,$B226)&gt;0,$B226="",$M226=""),"",True)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IF(OR(COUNTIF('クラス'!$A$1:$A$1267,$B227)&gt;0,$B227="",$M227=""),"",True)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IF(OR(COUNTIF('クラス'!$A$1:$A$1267,$B228)&gt;0,$B228="",$M228=""),"",True)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IF(OR(COUNTIF('クラス'!$A$1:$A$1267,$B229)&gt;0,$B229="",$M229=""),"",True)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IF(OR(COUNTIF('クラス'!$A$1:$A$1267,$B230)&gt;0,$B230="",$M230=""),"",True)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IF(OR(COUNTIF('クラス'!$A$1:$A$1267,$B231)&gt;0,$B231="",$M231=""),"",True)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IF(OR(COUNTIF('クラス'!$A$1:$A$1267,$B232)&gt;0,$B232="",$M232=""),"",True)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IF(OR(COUNTIF('クラス'!$A$1:$A$1267,$B233)&gt;0,$B233="",$M233=""),"",True)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IF(OR(COUNTIF('クラス'!$A$1:$A$1267,$B234)&gt;0,$B234="",$M234=""),"",True)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IF(OR(COUNTIF('クラス'!$A$1:$A$1267,$B235)&gt;0,$B235="",$M235=""),"",True)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IF(OR(COUNTIF('クラス'!$A$1:$A$1267,$B236)&gt;0,$B236="",$M236=""),"",True)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IF(OR(COUNTIF('クラス'!$A$1:$A$1267,$B237)&gt;0,$B237="",$M237=""),"",True)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IF(OR(COUNTIF('クラス'!$A$1:$A$1267,$B238)&gt;0,$B238="",$M238=""),"",True)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IF(OR(COUNTIF('クラス'!$A$1:$A$1267,$B239)&gt;0,$B239="",$M239=""),"",True)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IF(OR(COUNTIF('クラス'!$A$1:$A$1267,$B240)&gt;0,$B240="",$M240=""),"",True)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IF(OR(COUNTIF('クラス'!$A$1:$A$1267,$B241)&gt;0,$B241="",$M241=""),"",True)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IF(OR(COUNTIF('クラス'!$A$1:$A$1267,$B242)&gt;0,$B242="",$M242=""),"",True)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IF(OR(COUNTIF('クラス'!$A$1:$A$1267,$B243)&gt;0,$B243="",$M243=""),"",True)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IF(OR(COUNTIF('クラス'!$A$1:$A$1267,$B244)&gt;0,$B244="",$M244=""),"",True)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IF(OR(COUNTIF('クラス'!$A$1:$A$1267,$B245)&gt;0,$B245="",$M245=""),"",True)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IF(OR(COUNTIF('クラス'!$A$1:$A$1267,$B246)&gt;0,$B246="",$M246=""),"",True)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IF(OR(COUNTIF('クラス'!$A$1:$A$1267,$B247)&gt;0,$B247="",$M247=""),"",True)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IF(OR(COUNTIF('クラス'!$A$1:$A$1267,$B248)&gt;0,$B248="",$M248=""),"",True)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IF(OR(COUNTIF('クラス'!$A$1:$A$1267,$B249)&gt;0,$B249="",$M249=""),"",True)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IF(OR(COUNTIF('クラス'!$A$1:$A$1267,$B250)&gt;0,$B250="",$M250=""),"",True)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IF(OR(COUNTIF('クラス'!$A$1:$A$1267,$B251)&gt;0,$B251="",$M251=""),"",True)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IF(OR(COUNTIF('クラス'!$A$1:$A$1267,$B252)&gt;0,$B252="",$M252=""),"",True)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IF(OR(COUNTIF('クラス'!$A$1:$A$1267,$B253)&gt;0,$B253="",$M253=""),"",True)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IF(OR(COUNTIF('クラス'!$A$1:$A$1267,$B254)&gt;0,$B254="",$M254=""),"",True)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IF(OR(COUNTIF('クラス'!$A$1:$A$1267,$B255)&gt;0,$B255="",$M255=""),"",True)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IF(OR(COUNTIF('クラス'!$A$1:$A$1267,$B256)&gt;0,$B256="",$M256=""),"",True)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IF(OR(COUNTIF('クラス'!$A$1:$A$1267,$B257)&gt;0,$B257="",$M257=""),"",True)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IF(OR(COUNTIF('クラス'!$A$1:$A$1267,$B258)&gt;0,$B258="",$M258=""),"",True)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IF(OR(COUNTIF('クラス'!$A$1:$A$1267,$B259)&gt;0,$B259="",$M259=""),"",True)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IF(OR(COUNTIF('クラス'!$A$1:$A$1267,$B260)&gt;0,$B260="",$M260=""),"",True)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IF(OR(COUNTIF('クラス'!$A$1:$A$1267,$B261)&gt;0,$B261="",$M261=""),"",True)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IF(OR(COUNTIF('クラス'!$A$1:$A$1267,$B262)&gt;0,$B262="",$M262=""),"",True)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IF(OR(COUNTIF('クラス'!$A$1:$A$1267,$B263)&gt;0,$B263="",$M263=""),"",True)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IF(OR(COUNTIF('クラス'!$A$1:$A$1267,$B264)&gt;0,$B264="",$M264=""),"",True)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IF(OR(COUNTIF('クラス'!$A$1:$A$1267,$B265)&gt;0,$B265="",$M265=""),"",True)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IF(OR(COUNTIF('クラス'!$A$1:$A$1267,$B266)&gt;0,$B266="",$M266=""),"",True)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IF(OR(COUNTIF('クラス'!$A$1:$A$1267,$B267)&gt;0,$B267="",$M267=""),"",True)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IF(OR(COUNTIF('クラス'!$A$1:$A$1267,$B268)&gt;0,$B268="",$M268=""),"",True)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IF(OR(COUNTIF('クラス'!$A$1:$A$1267,$B269)&gt;0,$B269="",$M269=""),"",True)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IF(OR(COUNTIF('クラス'!$A$1:$A$1267,$B270)&gt;0,$B270="",$M270=""),"",True)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IF(OR(COUNTIF('クラス'!$A$1:$A$1267,$B271)&gt;0,$B271="",$M271=""),"",True)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IF(OR(COUNTIF('クラス'!$A$1:$A$1267,$B272)&gt;0,$B272="",$M272=""),"",True)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IF(OR(COUNTIF('クラス'!$A$1:$A$1267,$B273)&gt;0,$B273="",$M273=""),"",True)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IF(OR(COUNTIF('クラス'!$A$1:$A$1267,$B274)&gt;0,$B274="",$M274=""),"",True)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IF(OR(COUNTIF('クラス'!$A$1:$A$1267,$B275)&gt;0,$B275="",$M275=""),"",True)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IF(OR(COUNTIF('クラス'!$A$1:$A$1267,$B276)&gt;0,$B276="",$M276=""),"",True)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IF(OR(COUNTIF('クラス'!$A$1:$A$1267,$B277)&gt;0,$B277="",$M277=""),"",True)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IF(OR(COUNTIF('クラス'!$A$1:$A$1267,$B278)&gt;0,$B278="",$M278=""),"",True)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IF(OR(COUNTIF('クラス'!$A$1:$A$1267,$B279)&gt;0,$B279="",$M279=""),"",True)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IF(OR(COUNTIF('クラス'!$A$1:$A$1267,$B280)&gt;0,$B280="",$M280=""),"",True)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IF(OR(COUNTIF('クラス'!$A$1:$A$1267,$B281)&gt;0,$B281="",$M281=""),"",True)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IF(OR(COUNTIF('クラス'!$A$1:$A$1267,$B282)&gt;0,$B282="",$M282=""),"",True)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IF(OR(COUNTIF('クラス'!$A$1:$A$1267,$B283)&gt;0,$B283="",$M283=""),"",True)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IF(OR(COUNTIF('クラス'!$A$1:$A$1267,$B284)&gt;0,$B284="",$M284=""),"",True)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IF(OR(COUNTIF('クラス'!$A$1:$A$1267,$B285)&gt;0,$B285="",$M285=""),"",True)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IF(OR(COUNTIF('クラス'!$A$1:$A$1267,$B286)&gt;0,$B286="",$M286=""),"",True)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IF(OR(COUNTIF('クラス'!$A$1:$A$1267,$B287)&gt;0,$B287="",$M287=""),"",True)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IF(OR(COUNTIF('クラス'!$A$1:$A$1267,$B288)&gt;0,$B288="",$M288=""),"",True)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IF(OR(COUNTIF('クラス'!$A$1:$A$1267,$B289)&gt;0,$B289="",$M289=""),"",True)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IF(OR(COUNTIF('クラス'!$A$1:$A$1267,$B290)&gt;0,$B290="",$M290=""),"",True)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IF(OR(COUNTIF('クラス'!$A$1:$A$1267,$B291)&gt;0,$B291="",$M291=""),"",True)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IF(OR(COUNTIF('クラス'!$A$1:$A$1267,$B292)&gt;0,$B292="",$M292=""),"",True)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IF(OR(COUNTIF('クラス'!$A$1:$A$1267,$B293)&gt;0,$B293="",$M293=""),"",True)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IF(OR(COUNTIF('クラス'!$A$1:$A$1267,$B294)&gt;0,$B294="",$M294=""),"",True)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IF(OR(COUNTIF('クラス'!$A$1:$A$1267,$B295)&gt;0,$B295="",$M295=""),"",True)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IF(OR(COUNTIF('クラス'!$A$1:$A$1267,$B296)&gt;0,$B296="",$M296=""),"",True)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IF(OR(COUNTIF('クラス'!$A$1:$A$1267,$B297)&gt;0,$B297="",$M297=""),"",True)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IF(OR(COUNTIF('クラス'!$A$1:$A$1267,$B298)&gt;0,$B298="",$M298=""),"",True)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IF(OR(COUNTIF('クラス'!$A$1:$A$1267,$B299)&gt;0,$B299="",$M299=""),"",True)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IF(OR(COUNTIF('クラス'!$A$1:$A$1267,$B300)&gt;0,$B300="",$M300=""),"",True)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IF(OR(COUNTIF('クラス'!$A$1:$A$1267,$B301)&gt;0,$B301="",$M301=""),"",True)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IF(OR(COUNTIF('クラス'!$A$1:$A$1267,$B302)&gt;0,$B302="",$M302=""),"",True)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IF(OR(COUNTIF('クラス'!$A$1:$A$1267,$B303)&gt;0,$B303="",$M303=""),"",True)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IF(OR(COUNTIF('クラス'!$A$1:$A$1267,$B304)&gt;0,$B304="",$M304=""),"",True)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IF(OR(COUNTIF('クラス'!$A$1:$A$1267,$B305)&gt;0,$B305="",$M305=""),"",True)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IF(OR(COUNTIF('クラス'!$A$1:$A$1267,$B306)&gt;0,$B306="",$M306=""),"",True)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IF(OR(COUNTIF('クラス'!$A$1:$A$1267,$B307)&gt;0,$B307="",$M307=""),"",True)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IF(OR(COUNTIF('クラス'!$A$1:$A$1267,$B308)&gt;0,$B308="",$M308=""),"",True)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IF(OR(COUNTIF('クラス'!$A$1:$A$1267,$B309)&gt;0,$B309="",$M309=""),"",True)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IF(OR(COUNTIF('クラス'!$A$1:$A$1267,$B310)&gt;0,$B310="",$M310=""),"",True)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IF(OR(COUNTIF('クラス'!$A$1:$A$1267,$B311)&gt;0,$B311="",$M311=""),"",True)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IF(OR(COUNTIF('クラス'!$A$1:$A$1267,$B312)&gt;0,$B312="",$M312=""),"",True)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IF(OR(COUNTIF('クラス'!$A$1:$A$1267,$B313)&gt;0,$B313="",$M313=""),"",True)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IF(OR(COUNTIF('クラス'!$A$1:$A$1267,$B314)&gt;0,$B314="",$M314=""),"",True)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IF(OR(COUNTIF('クラス'!$A$1:$A$1267,$B315)&gt;0,$B315="",$M315=""),"",True)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IF(OR(COUNTIF('クラス'!$A$1:$A$1267,$B316)&gt;0,$B316="",$M316=""),"",True)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IF(OR(COUNTIF('クラス'!$A$1:$A$1267,$B317)&gt;0,$B317="",$M317=""),"",True)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IF(OR(COUNTIF('クラス'!$A$1:$A$1267,$B318)&gt;0,$B318="",$M318=""),"",True)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IF(OR(COUNTIF('クラス'!$A$1:$A$1267,$B319)&gt;0,$B319="",$M319=""),"",True)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IF(OR(COUNTIF('クラス'!$A$1:$A$1267,$B320)&gt;0,$B320="",$M320=""),"",True)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IF(OR(COUNTIF('クラス'!$A$1:$A$1267,$B321)&gt;0,$B321="",$M321=""),"",True)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IF(OR(COUNTIF('クラス'!$A$1:$A$1267,$B322)&gt;0,$B322="",$M322=""),"",True)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IF(OR(COUNTIF('クラス'!$A$1:$A$1267,$B323)&gt;0,$B323="",$M323=""),"",True)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IF(OR(COUNTIF('クラス'!$A$1:$A$1267,$B324)&gt;0,$B324="",$M324=""),"",True)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IF(OR(COUNTIF('クラス'!$A$1:$A$1267,$B325)&gt;0,$B325="",$M325=""),"",True)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IF(OR(COUNTIF('クラス'!$A$1:$A$1267,$B326)&gt;0,$B326="",$M326=""),"",True)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IF(OR(COUNTIF('クラス'!$A$1:$A$1267,$B327)&gt;0,$B327="",$M327=""),"",True)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IF(OR(COUNTIF('クラス'!$A$1:$A$1267,$B328)&gt;0,$B328="",$M328=""),"",True)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IF(OR(COUNTIF('クラス'!$A$1:$A$1267,$B329)&gt;0,$B329="",$M329=""),"",True)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IF(OR(COUNTIF('クラス'!$A$1:$A$1267,$B330)&gt;0,$B330="",$M330=""),"",True)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IF(OR(COUNTIF('クラス'!$A$1:$A$1267,$B331)&gt;0,$B331="",$M331=""),"",True)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IF(OR(COUNTIF('クラス'!$A$1:$A$1267,$B332)&gt;0,$B332="",$M332=""),"",True)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IF(OR(COUNTIF('クラス'!$A$1:$A$1267,$B333)&gt;0,$B333="",$M333=""),"",True)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IF(OR(COUNTIF('クラス'!$A$1:$A$1267,$B334)&gt;0,$B334="",$M334=""),"",True)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IF(OR(COUNTIF('クラス'!$A$1:$A$1267,$B335)&gt;0,$B335="",$M335=""),"",True)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IF(OR(COUNTIF('クラス'!$A$1:$A$1267,$B336)&gt;0,$B336="",$M336=""),"",True)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IF(OR(COUNTIF('クラス'!$A$1:$A$1267,$B337)&gt;0,$B337="",$M337=""),"",True)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IF(OR(COUNTIF('クラス'!$A$1:$A$1267,$B338)&gt;0,$B338="",$M338=""),"",True)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IF(OR(COUNTIF('クラス'!$A$1:$A$1267,$B339)&gt;0,$B339="",$M339=""),"",True)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IF(OR(COUNTIF('クラス'!$A$1:$A$1267,$B340)&gt;0,$B340="",$M340=""),"",True)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IF(OR(COUNTIF('クラス'!$A$1:$A$1267,$B341)&gt;0,$B341="",$M341=""),"",True)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IF(OR(COUNTIF('クラス'!$A$1:$A$1267,$B342)&gt;0,$B342="",$M342=""),"",True)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IF(OR(COUNTIF('クラス'!$A$1:$A$1267,$B343)&gt;0,$B343="",$M343=""),"",True)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IF(OR(COUNTIF('クラス'!$A$1:$A$1267,$B344)&gt;0,$B344="",$M344=""),"",True)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IF(OR(COUNTIF('クラス'!$A$1:$A$1267,$B345)&gt;0,$B345="",$M345=""),"",True)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IF(OR(COUNTIF('クラス'!$A$1:$A$1267,$B346)&gt;0,$B346="",$M346=""),"",True)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IF(OR(COUNTIF('クラス'!$A$1:$A$1267,$B347)&gt;0,$B347="",$M347=""),"",True)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IF(OR(COUNTIF('クラス'!$A$1:$A$1267,$B348)&gt;0,$B348="",$M348=""),"",True)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IF(OR(COUNTIF('クラス'!$A$1:$A$1267,$B349)&gt;0,$B349="",$M349=""),"",True)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IF(OR(COUNTIF('クラス'!$A$1:$A$1267,$B350)&gt;0,$B350="",$M350=""),"",True)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IF(OR(COUNTIF('クラス'!$A$1:$A$1267,$B351)&gt;0,$B351="",$M351=""),"",True)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IF(OR(COUNTIF('クラス'!$A$1:$A$1267,$B352)&gt;0,$B352="",$M352=""),"",True)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IF(OR(COUNTIF('クラス'!$A$1:$A$1267,$B353)&gt;0,$B353="",$M353=""),"",True)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IF(OR(COUNTIF('クラス'!$A$1:$A$1267,$B354)&gt;0,$B354="",$M354=""),"",True)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IF(OR(COUNTIF('クラス'!$A$1:$A$1267,$B355)&gt;0,$B355="",$M355=""),"",True)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IF(OR(COUNTIF('クラス'!$A$1:$A$1267,$B356)&gt;0,$B356="",$M356=""),"",True)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IF(OR(COUNTIF('クラス'!$A$1:$A$1267,$B357)&gt;0,$B357="",$M357=""),"",True)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IF(OR(COUNTIF('クラス'!$A$1:$A$1267,$B358)&gt;0,$B358="",$M358=""),"",True)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IF(OR(COUNTIF('クラス'!$A$1:$A$1267,$B359)&gt;0,$B359="",$M359=""),"",True)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IF(OR(COUNTIF('クラス'!$A$1:$A$1267,$B360)&gt;0,$B360="",$M360=""),"",True)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IF(OR(COUNTIF('クラス'!$A$1:$A$1267,$B361)&gt;0,$B361="",$M361=""),"",True)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IF(OR(COUNTIF('クラス'!$A$1:$A$1267,$B362)&gt;0,$B362="",$M362=""),"",True)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IF(OR(COUNTIF('クラス'!$A$1:$A$1267,$B363)&gt;0,$B363="",$M363=""),"",True)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IF(OR(COUNTIF('クラス'!$A$1:$A$1267,$B364)&gt;0,$B364="",$M364=""),"",True)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IF(OR(COUNTIF('クラス'!$A$1:$A$1267,$B365)&gt;0,$B365="",$M365=""),"",True)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IF(OR(COUNTIF('クラス'!$A$1:$A$1267,$B366)&gt;0,$B366="",$M366=""),"",True)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IF(OR(COUNTIF('クラス'!$A$1:$A$1267,$B367)&gt;0,$B367="",$M367=""),"",True)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IF(OR(COUNTIF('クラス'!$A$1:$A$1267,$B368)&gt;0,$B368="",$M368=""),"",True)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IF(OR(COUNTIF('クラス'!$A$1:$A$1267,$B369)&gt;0,$B369="",$M369=""),"",True)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IF(OR(COUNTIF('クラス'!$A$1:$A$1267,$B370)&gt;0,$B370="",$M370=""),"",True)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IF(OR(COUNTIF('クラス'!$A$1:$A$1267,$B371)&gt;0,$B371="",$M371=""),"",True)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IF(OR(COUNTIF('クラス'!$A$1:$A$1267,$B372)&gt;0,$B372="",$M372=""),"",True)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IF(OR(COUNTIF('クラス'!$A$1:$A$1267,$B373)&gt;0,$B373="",$M373=""),"",True)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IF(OR(COUNTIF('クラス'!$A$1:$A$1267,$B374)&gt;0,$B374="",$M374=""),"",True)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IF(OR(COUNTIF('クラス'!$A$1:$A$1267,$B375)&gt;0,$B375="",$M375=""),"",True)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IF(OR(COUNTIF('クラス'!$A$1:$A$1267,$B376)&gt;0,$B376="",$M376=""),"",True)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IF(OR(COUNTIF('クラス'!$A$1:$A$1267,$B377)&gt;0,$B377="",$M377=""),"",True)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IF(OR(COUNTIF('クラス'!$A$1:$A$1267,$B378)&gt;0,$B378="",$M378=""),"",True)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IF(OR(COUNTIF('クラス'!$A$1:$A$1267,$B379)&gt;0,$B379="",$M379=""),"",True)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IF(OR(COUNTIF('クラス'!$A$1:$A$1267,$B380)&gt;0,$B380="",$M380=""),"",True)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IF(OR(COUNTIF('クラス'!$A$1:$A$1267,$B381)&gt;0,$B381="",$M381=""),"",True)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IF(OR(COUNTIF('クラス'!$A$1:$A$1267,$B382)&gt;0,$B382="",$M382=""),"",True)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IF(OR(COUNTIF('クラス'!$A$1:$A$1267,$B383)&gt;0,$B383="",$M383=""),"",True)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IF(OR(COUNTIF('クラス'!$A$1:$A$1267,$B384)&gt;0,$B384="",$M384=""),"",True)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IF(OR(COUNTIF('クラス'!$A$1:$A$1267,$B385)&gt;0,$B385="",$M385=""),"",True)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IF(OR(COUNTIF('クラス'!$A$1:$A$1267,$B386)&gt;0,$B386="",$M386=""),"",True)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IF(OR(COUNTIF('クラス'!$A$1:$A$1267,$B387)&gt;0,$B387="",$M387=""),"",True)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IF(OR(COUNTIF('クラス'!$A$1:$A$1267,$B388)&gt;0,$B388="",$M388=""),"",True)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IF(OR(COUNTIF('クラス'!$A$1:$A$1267,$B389)&gt;0,$B389="",$M389=""),"",True)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IF(OR(COUNTIF('クラス'!$A$1:$A$1267,$B390)&gt;0,$B390="",$M390=""),"",True)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IF(OR(COUNTIF('クラス'!$A$1:$A$1267,$B391)&gt;0,$B391="",$M391=""),"",True)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IF(OR(COUNTIF('クラス'!$A$1:$A$1267,$B392)&gt;0,$B392="",$M392=""),"",True)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IF(OR(COUNTIF('クラス'!$A$1:$A$1267,$B393)&gt;0,$B393="",$M393=""),"",True)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IF(OR(COUNTIF('クラス'!$A$1:$A$1267,$B394)&gt;0,$B394="",$M394=""),"",True)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IF(OR(COUNTIF('クラス'!$A$1:$A$1267,$B395)&gt;0,$B395="",$M395=""),"",True)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IF(OR(COUNTIF('クラス'!$A$1:$A$1267,$B396)&gt;0,$B396="",$M396=""),"",True)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IF(OR(COUNTIF('クラス'!$A$1:$A$1267,$B397)&gt;0,$B397="",$M397=""),"",True)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IF(OR(COUNTIF('クラス'!$A$1:$A$1267,$B398)&gt;0,$B398="",$M398=""),"",True)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IF(OR(COUNTIF('クラス'!$A$1:$A$1267,$B399)&gt;0,$B399="",$M399=""),"",True)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IF(OR(COUNTIF('クラス'!$A$1:$A$1267,$B400)&gt;0,$B400="",$M400=""),"",True)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IF(OR(COUNTIF('クラス'!$A$1:$A$1267,$B401)&gt;0,$B401="",$M401=""),"",True)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IF(OR(COUNTIF('クラス'!$A$1:$A$1267,$B402)&gt;0,$B402="",$M402=""),"",True)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IF(OR(COUNTIF('クラス'!$A$1:$A$1267,$B403)&gt;0,$B403="",$M403=""),"",True)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IF(OR(COUNTIF('クラス'!$A$1:$A$1267,$B404)&gt;0,$B404="",$M404=""),"",True)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IF(OR(COUNTIF('クラス'!$A$1:$A$1267,$B405)&gt;0,$B405="",$M405=""),"",True)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IF(OR(COUNTIF('クラス'!$A$1:$A$1267,$B406)&gt;0,$B406="",$M406=""),"",True)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IF(OR(COUNTIF('クラス'!$A$1:$A$1267,$B407)&gt;0,$B407="",$M407=""),"",True)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IF(OR(COUNTIF('クラス'!$A$1:$A$1267,$B408)&gt;0,$B408="",$M408=""),"",True)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IF(OR(COUNTIF('クラス'!$A$1:$A$1267,$B409)&gt;0,$B409="",$M409=""),"",True)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IF(OR(COUNTIF('クラス'!$A$1:$A$1267,$B410)&gt;0,$B410="",$M410=""),"",True)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IF(OR(COUNTIF('クラス'!$A$1:$A$1267,$B411)&gt;0,$B411="",$M411=""),"",True)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IF(OR(COUNTIF('クラス'!$A$1:$A$1267,$B412)&gt;0,$B412="",$M412=""),"",True)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IF(OR(COUNTIF('クラス'!$A$1:$A$1267,$B413)&gt;0,$B413="",$M413=""),"",True)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IF(OR(COUNTIF('クラス'!$A$1:$A$1267,$B414)&gt;0,$B414="",$M414=""),"",True)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IF(OR(COUNTIF('クラス'!$A$1:$A$1267,$B415)&gt;0,$B415="",$M415=""),"",True)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IF(OR(COUNTIF('クラス'!$A$1:$A$1267,$B416)&gt;0,$B416="",$M416=""),"",True)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IF(OR(COUNTIF('クラス'!$A$1:$A$1267,$B417)&gt;0,$B417="",$M417=""),"",True)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IF(OR(COUNTIF('クラス'!$A$1:$A$1267,$B418)&gt;0,$B418="",$M418=""),"",True)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IF(OR(COUNTIF('クラス'!$A$1:$A$1267,$B419)&gt;0,$B419="",$M419=""),"",True)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IF(OR(COUNTIF('クラス'!$A$1:$A$1267,$B420)&gt;0,$B420="",$M420=""),"",True)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IF(OR(COUNTIF('クラス'!$A$1:$A$1267,$B421)&gt;0,$B421="",$M421=""),"",True)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IF(OR(COUNTIF('クラス'!$A$1:$A$1267,$B422)&gt;0,$B422="",$M422=""),"",True)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IF(OR(COUNTIF('クラス'!$A$1:$A$1267,$B423)&gt;0,$B423="",$M423=""),"",True)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IF(OR(COUNTIF('クラス'!$A$1:$A$1267,$B424)&gt;0,$B424="",$M424=""),"",True)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IF(OR(COUNTIF('クラス'!$A$1:$A$1267,$B425)&gt;0,$B425="",$M425=""),"",True)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IF(OR(COUNTIF('クラス'!$A$1:$A$1267,$B426)&gt;0,$B426="",$M426=""),"",True)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IF(OR(COUNTIF('クラス'!$A$1:$A$1267,$B427)&gt;0,$B427="",$M427=""),"",True)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IF(OR(COUNTIF('クラス'!$A$1:$A$1267,$B428)&gt;0,$B428="",$M428=""),"",True)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IF(OR(COUNTIF('クラス'!$A$1:$A$1267,$B429)&gt;0,$B429="",$M429=""),"",True)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IF(OR(COUNTIF('クラス'!$A$1:$A$1267,$B430)&gt;0,$B430="",$M430=""),"",True)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IF(OR(COUNTIF('クラス'!$A$1:$A$1267,$B431)&gt;0,$B431="",$M431=""),"",True)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IF(OR(COUNTIF('クラス'!$A$1:$A$1267,$B432)&gt;0,$B432="",$M432=""),"",True)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IF(OR(COUNTIF('クラス'!$A$1:$A$1267,$B433)&gt;0,$B433="",$M433=""),"",True)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IF(OR(COUNTIF('クラス'!$A$1:$A$1267,$B434)&gt;0,$B434="",$M434=""),"",True)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IF(OR(COUNTIF('クラス'!$A$1:$A$1267,$B435)&gt;0,$B435="",$M435=""),"",True)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IF(OR(COUNTIF('クラス'!$A$1:$A$1267,$B436)&gt;0,$B436="",$M436=""),"",True)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IF(OR(COUNTIF('クラス'!$A$1:$A$1267,$B437)&gt;0,$B437="",$M437=""),"",True)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IF(OR(COUNTIF('クラス'!$A$1:$A$1267,$B438)&gt;0,$B438="",$M438=""),"",True)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IF(OR(COUNTIF('クラス'!$A$1:$A$1267,$B439)&gt;0,$B439="",$M439=""),"",True)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IF(OR(COUNTIF('クラス'!$A$1:$A$1267,$B440)&gt;0,$B440="",$M440=""),"",True)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IF(OR(COUNTIF('クラス'!$A$1:$A$1267,$B441)&gt;0,$B441="",$M441=""),"",True)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IF(OR(COUNTIF('クラス'!$A$1:$A$1267,$B442)&gt;0,$B442="",$M442=""),"",True)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IF(OR(COUNTIF('クラス'!$A$1:$A$1267,$B443)&gt;0,$B443="",$M443=""),"",True)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IF(OR(COUNTIF('クラス'!$A$1:$A$1267,$B444)&gt;0,$B444="",$M444=""),"",True)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IF(OR(COUNTIF('クラス'!$A$1:$A$1267,$B445)&gt;0,$B445="",$M445=""),"",True)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IF(OR(COUNTIF('クラス'!$A$1:$A$1267,$B446)&gt;0,$B446="",$M446=""),"",True)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IF(OR(COUNTIF('クラス'!$A$1:$A$1267,$B447)&gt;0,$B447="",$M447=""),"",True)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IF(OR(COUNTIF('クラス'!$A$1:$A$1267,$B448)&gt;0,$B448="",$M448=""),"",True)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IF(OR(COUNTIF('クラス'!$A$1:$A$1267,$B449)&gt;0,$B449="",$M449=""),"",True)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IF(OR(COUNTIF('クラス'!$A$1:$A$1267,$B450)&gt;0,$B450="",$M450=""),"",True)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IF(OR(COUNTIF('クラス'!$A$1:$A$1267,$B451)&gt;0,$B451="",$M451=""),"",True)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IF(OR(COUNTIF('クラス'!$A$1:$A$1267,$B452)&gt;0,$B452="",$M452=""),"",True)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IF(OR(COUNTIF('クラス'!$A$1:$A$1267,$B453)&gt;0,$B453="",$M453=""),"",True)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IF(OR(COUNTIF('クラス'!$A$1:$A$1267,$B454)&gt;0,$B454="",$M454=""),"",True)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IF(OR(COUNTIF('クラス'!$A$1:$A$1267,$B455)&gt;0,$B455="",$M455=""),"",True)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IF(OR(COUNTIF('クラス'!$A$1:$A$1267,$B456)&gt;0,$B456="",$M456=""),"",True)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IF(OR(COUNTIF('クラス'!$A$1:$A$1267,$B457)&gt;0,$B457="",$M457=""),"",True)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IF(OR(COUNTIF('クラス'!$A$1:$A$1267,$B458)&gt;0,$B458="",$M458=""),"",True)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IF(OR(COUNTIF('クラス'!$A$1:$A$1267,$B459)&gt;0,$B459="",$M459=""),"",True)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IF(OR(COUNTIF('クラス'!$A$1:$A$1267,$B460)&gt;0,$B460="",$M460=""),"",True)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IF(OR(COUNTIF('クラス'!$A$1:$A$1267,$B461)&gt;0,$B461="",$M461=""),"",True)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IF(OR(COUNTIF('クラス'!$A$1:$A$1267,$B462)&gt;0,$B462="",$M462=""),"",True)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IF(OR(COUNTIF('クラス'!$A$1:$A$1267,$B463)&gt;0,$B463="",$M463=""),"",True)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IF(OR(COUNTIF('クラス'!$A$1:$A$1267,$B464)&gt;0,$B464="",$M464=""),"",True)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IF(OR(COUNTIF('クラス'!$A$1:$A$1267,$B465)&gt;0,$B465="",$M465=""),"",True)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IF(OR(COUNTIF('クラス'!$A$1:$A$1267,$B466)&gt;0,$B466="",$M466=""),"",True)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IF(OR(COUNTIF('クラス'!$A$1:$A$1267,$B467)&gt;0,$B467="",$M467=""),"",True)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IF(OR(COUNTIF('クラス'!$A$1:$A$1267,$B468)&gt;0,$B468="",$M468=""),"",True)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IF(OR(COUNTIF('クラス'!$A$1:$A$1267,$B469)&gt;0,$B469="",$M469=""),"",True)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IF(OR(COUNTIF('クラス'!$A$1:$A$1267,$B470)&gt;0,$B470="",$M470=""),"",True)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IF(OR(COUNTIF('クラス'!$A$1:$A$1267,$B471)&gt;0,$B471="",$M471=""),"",True)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IF(OR(COUNTIF('クラス'!$A$1:$A$1267,$B472)&gt;0,$B472="",$M472=""),"",True)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IF(OR(COUNTIF('クラス'!$A$1:$A$1267,$B473)&gt;0,$B473="",$M473=""),"",True)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IF(OR(COUNTIF('クラス'!$A$1:$A$1267,$B474)&gt;0,$B474="",$M474=""),"",True)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IF(OR(COUNTIF('クラス'!$A$1:$A$1267,$B475)&gt;0,$B475="",$M475=""),"",True)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IF(OR(COUNTIF('クラス'!$A$1:$A$1267,$B476)&gt;0,$B476="",$M476=""),"",True)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IF(OR(COUNTIF('クラス'!$A$1:$A$1267,$B477)&gt;0,$B477="",$M477=""),"",True)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IF(OR(COUNTIF('クラス'!$A$1:$A$1267,$B478)&gt;0,$B478="",$M478=""),"",True)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IF(OR(COUNTIF('クラス'!$A$1:$A$1267,$B479)&gt;0,$B479="",$M479=""),"",True)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IF(OR(COUNTIF('クラス'!$A$1:$A$1267,$B480)&gt;0,$B480="",$M480=""),"",True)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IF(OR(COUNTIF('クラス'!$A$1:$A$1267,$B481)&gt;0,$B481="",$M481=""),"",True)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IF(OR(COUNTIF('クラス'!$A$1:$A$1267,$B482)&gt;0,$B482="",$M482=""),"",True)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IF(OR(COUNTIF('クラス'!$A$1:$A$1267,$B483)&gt;0,$B483="",$M483=""),"",True)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IF(OR(COUNTIF('クラス'!$A$1:$A$1267,$B484)&gt;0,$B484="",$M484=""),"",True)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IF(OR(COUNTIF('クラス'!$A$1:$A$1267,$B485)&gt;0,$B485="",$M485=""),"",True)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IF(OR(COUNTIF('クラス'!$A$1:$A$1267,$B486)&gt;0,$B486="",$M486=""),"",True)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IF(OR(COUNTIF('クラス'!$A$1:$A$1267,$B487)&gt;0,$B487="",$M487=""),"",True)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IF(OR(COUNTIF('クラス'!$A$1:$A$1267,$B488)&gt;0,$B488="",$M488=""),"",True)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IF(OR(COUNTIF('クラス'!$A$1:$A$1267,$B489)&gt;0,$B489="",$M489=""),"",True)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IF(OR(COUNTIF('クラス'!$A$1:$A$1267,$B490)&gt;0,$B490="",$M490=""),"",True)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IF(OR(COUNTIF('クラス'!$A$1:$A$1267,$B491)&gt;0,$B491="",$M491=""),"",True)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IF(OR(COUNTIF('クラス'!$A$1:$A$1267,$B492)&gt;0,$B492="",$M492=""),"",True)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IF(OR(COUNTIF('クラス'!$A$1:$A$1267,$B493)&gt;0,$B493="",$M493=""),"",True)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IF(OR(COUNTIF('クラス'!$A$1:$A$1267,$B494)&gt;0,$B494="",$M494=""),"",True)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IF(OR(COUNTIF('クラス'!$A$1:$A$1267,$B495)&gt;0,$B495="",$M495=""),"",True)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IF(OR(COUNTIF('クラス'!$A$1:$A$1267,$B496)&gt;0,$B496="",$M496=""),"",True)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IF(OR(COUNTIF('クラス'!$A$1:$A$1267,$B497)&gt;0,$B497="",$M497=""),"",True)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IF(OR(COUNTIF('クラス'!$A$1:$A$1267,$B498)&gt;0,$B498="",$M498=""),"",True)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IF(OR(COUNTIF('クラス'!$A$1:$A$1267,$B499)&gt;0,$B499="",$M499=""),"",True)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IF(OR(COUNTIF('クラス'!$A$1:$A$1267,$B500)&gt;0,$B500="",$M500=""),"",True)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IF(OR(COUNTIF('クラス'!$A$1:$A$1267,$B501)&gt;0,$B501="",$M501=""),"",True)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IF(OR(COUNTIF('クラス'!$A$1:$A$1267,$B502)&gt;0,$B502="",$M502=""),"",True)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IF(OR(COUNTIF('クラス'!$A$1:$A$1267,$B503)&gt;0,$B503="",$M503=""),"",True)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IF(OR(COUNTIF('クラス'!$A$1:$A$1267,$B504)&gt;0,$B504="",$M504=""),"",True)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IF(OR(COUNTIF('クラス'!$A$1:$A$1267,$B505)&gt;0,$B505="",$M505=""),"",True)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IF(OR(COUNTIF('クラス'!$A$1:$A$1267,$B506)&gt;0,$B506="",$M506=""),"",True)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IF(OR(COUNTIF('クラス'!$A$1:$A$1267,$B507)&gt;0,$B507="",$M507=""),"",True)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IF(OR(COUNTIF('クラス'!$A$1:$A$1267,$B508)&gt;0,$B508="",$M508=""),"",True)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IF(OR(COUNTIF('クラス'!$A$1:$A$1267,$B509)&gt;0,$B509="",$M509=""),"",True)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IF(OR(COUNTIF('クラス'!$A$1:$A$1267,$B510)&gt;0,$B510="",$M510=""),"",True)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IF(OR(COUNTIF('クラス'!$A$1:$A$1267,$B511)&gt;0,$B511="",$M511=""),"",True)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IF(OR(COUNTIF('クラス'!$A$1:$A$1267,$B512)&gt;0,$B512="",$M512=""),"",True)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IF(OR(COUNTIF('クラス'!$A$1:$A$1267,$B513)&gt;0,$B513="",$M513=""),"",True)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IF(OR(COUNTIF('クラス'!$A$1:$A$1267,$B514)&gt;0,$B514="",$M514=""),"",True)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IF(OR(COUNTIF('クラス'!$A$1:$A$1267,$B515)&gt;0,$B515="",$M515=""),"",True)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IF(OR(COUNTIF('クラス'!$A$1:$A$1267,$B516)&gt;0,$B516="",$M516=""),"",True)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IF(OR(COUNTIF('クラス'!$A$1:$A$1267,$B517)&gt;0,$B517="",$M517=""),"",True)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IF(OR(COUNTIF('クラス'!$A$1:$A$1267,$B518)&gt;0,$B518="",$M518=""),"",True)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IF(OR(COUNTIF('クラス'!$A$1:$A$1267,$B519)&gt;0,$B519="",$M519=""),"",True)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IF(OR(COUNTIF('クラス'!$A$1:$A$1267,$B520)&gt;0,$B520="",$M520=""),"",True)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IF(OR(COUNTIF('クラス'!$A$1:$A$1267,$B521)&gt;0,$B521="",$M521=""),"",True)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IF(OR(COUNTIF('クラス'!$A$1:$A$1267,$B522)&gt;0,$B522="",$M522=""),"",True)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IF(OR(COUNTIF('クラス'!$A$1:$A$1267,$B523)&gt;0,$B523="",$M523=""),"",True)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IF(OR(COUNTIF('クラス'!$A$1:$A$1267,$B524)&gt;0,$B524="",$M524=""),"",True)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IF(OR(COUNTIF('クラス'!$A$1:$A$1267,$B525)&gt;0,$B525="",$M525=""),"",True)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IF(OR(COUNTIF('クラス'!$A$1:$A$1267,$B526)&gt;0,$B526="",$M526=""),"",True)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IF(OR(COUNTIF('クラス'!$A$1:$A$1267,$B527)&gt;0,$B527="",$M527=""),"",True)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IF(OR(COUNTIF('クラス'!$A$1:$A$1267,$B528)&gt;0,$B528="",$M528=""),"",True)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IF(OR(COUNTIF('クラス'!$A$1:$A$1267,$B529)&gt;0,$B529="",$M529=""),"",True)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IF(OR(COUNTIF('クラス'!$A$1:$A$1267,$B530)&gt;0,$B530="",$M530=""),"",True)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IF(OR(COUNTIF('クラス'!$A$1:$A$1267,$B531)&gt;0,$B531="",$M531=""),"",True)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IF(OR(COUNTIF('クラス'!$A$1:$A$1267,$B532)&gt;0,$B532="",$M532=""),"",True)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IF(OR(COUNTIF('クラス'!$A$1:$A$1267,$B533)&gt;0,$B533="",$M533=""),"",True)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IF(OR(COUNTIF('クラス'!$A$1:$A$1267,$B534)&gt;0,$B534="",$M534=""),"",True)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IF(OR(COUNTIF('クラス'!$A$1:$A$1267,$B535)&gt;0,$B535="",$M535=""),"",True)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IF(OR(COUNTIF('クラス'!$A$1:$A$1267,$B536)&gt;0,$B536="",$M536=""),"",True)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IF(OR(COUNTIF('クラス'!$A$1:$A$1267,$B537)&gt;0,$B537="",$M537=""),"",True)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IF(OR(COUNTIF('クラス'!$A$1:$A$1267,$B538)&gt;0,$B538="",$M538=""),"",True)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IF(OR(COUNTIF('クラス'!$A$1:$A$1267,$B539)&gt;0,$B539="",$M539=""),"",True)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IF(OR(COUNTIF('クラス'!$A$1:$A$1267,$B540)&gt;0,$B540="",$M540=""),"",True)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IF(OR(COUNTIF('クラス'!$A$1:$A$1267,$B541)&gt;0,$B541="",$M541=""),"",True)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IF(OR(COUNTIF('クラス'!$A$1:$A$1267,$B542)&gt;0,$B542="",$M542=""),"",True)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IF(OR(COUNTIF('クラス'!$A$1:$A$1267,$B543)&gt;0,$B543="",$M543=""),"",True)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IF(OR(COUNTIF('クラス'!$A$1:$A$1267,$B544)&gt;0,$B544="",$M544=""),"",True)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IF(OR(COUNTIF('クラス'!$A$1:$A$1267,$B545)&gt;0,$B545="",$M545=""),"",True)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IF(OR(COUNTIF('クラス'!$A$1:$A$1267,$B546)&gt;0,$B546="",$M546=""),"",True)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IF(OR(COUNTIF('クラス'!$A$1:$A$1267,$B547)&gt;0,$B547="",$M547=""),"",True)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IF(OR(COUNTIF('クラス'!$A$1:$A$1267,$B548)&gt;0,$B548="",$M548=""),"",True)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IF(OR(COUNTIF('クラス'!$A$1:$A$1267,$B549)&gt;0,$B549="",$M549=""),"",True)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IF(OR(COUNTIF('クラス'!$A$1:$A$1267,$B550)&gt;0,$B550="",$M550=""),"",True)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IF(OR(COUNTIF('クラス'!$A$1:$A$1267,$B551)&gt;0,$B551="",$M551=""),"",True)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IF(OR(COUNTIF('クラス'!$A$1:$A$1267,$B552)&gt;0,$B552="",$M552=""),"",True)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IF(OR(COUNTIF('クラス'!$A$1:$A$1267,$B553)&gt;0,$B553="",$M553=""),"",True)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IF(OR(COUNTIF('クラス'!$A$1:$A$1267,$B554)&gt;0,$B554="",$M554=""),"",True)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IF(OR(COUNTIF('クラス'!$A$1:$A$1267,$B555)&gt;0,$B555="",$M555=""),"",True)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IF(OR(COUNTIF('クラス'!$A$1:$A$1267,$B556)&gt;0,$B556="",$M556=""),"",True)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IF(OR(COUNTIF('クラス'!$A$1:$A$1267,$B557)&gt;0,$B557="",$M557=""),"",True)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IF(OR(COUNTIF('クラス'!$A$1:$A$1267,$B558)&gt;0,$B558="",$M558=""),"",True)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IF(OR(COUNTIF('クラス'!$A$1:$A$1267,$B559)&gt;0,$B559="",$M559=""),"",True)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IF(OR(COUNTIF('クラス'!$A$1:$A$1267,$B560)&gt;0,$B560="",$M560=""),"",True)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IF(OR(COUNTIF('クラス'!$A$1:$A$1267,$B561)&gt;0,$B561="",$M561=""),"",True)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IF(OR(COUNTIF('クラス'!$A$1:$A$1267,$B562)&gt;0,$B562="",$M562=""),"",True)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IF(OR(COUNTIF('クラス'!$A$1:$A$1267,$B563)&gt;0,$B563="",$M563=""),"",True)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IF(OR(COUNTIF('クラス'!$A$1:$A$1267,$B564)&gt;0,$B564="",$M564=""),"",True)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IF(OR(COUNTIF('クラス'!$A$1:$A$1267,$B565)&gt;0,$B565="",$M565=""),"",True)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IF(OR(COUNTIF('クラス'!$A$1:$A$1267,$B566)&gt;0,$B566="",$M566=""),"",True)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IF(OR(COUNTIF('クラス'!$A$1:$A$1267,$B567)&gt;0,$B567="",$M567=""),"",True)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IF(OR(COUNTIF('クラス'!$A$1:$A$1267,$B568)&gt;0,$B568="",$M568=""),"",True)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IF(OR(COUNTIF('クラス'!$A$1:$A$1267,$B569)&gt;0,$B569="",$M569=""),"",True)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IF(OR(COUNTIF('クラス'!$A$1:$A$1267,$B570)&gt;0,$B570="",$M570=""),"",True)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IF(OR(COUNTIF('クラス'!$A$1:$A$1267,$B571)&gt;0,$B571="",$M571=""),"",True)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IF(OR(COUNTIF('クラス'!$A$1:$A$1267,$B572)&gt;0,$B572="",$M572=""),"",True)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IF(OR(COUNTIF('クラス'!$A$1:$A$1267,$B573)&gt;0,$B573="",$M573=""),"",True)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IF(OR(COUNTIF('クラス'!$A$1:$A$1267,$B574)&gt;0,$B574="",$M574=""),"",True)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IF(OR(COUNTIF('クラス'!$A$1:$A$1267,$B575)&gt;0,$B575="",$M575=""),"",True)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IF(OR(COUNTIF('クラス'!$A$1:$A$1267,$B576)&gt;0,$B576="",$M576=""),"",True)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IF(OR(COUNTIF('クラス'!$A$1:$A$1267,$B577)&gt;0,$B577="",$M577=""),"",True)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IF(OR(COUNTIF('クラス'!$A$1:$A$1267,$B578)&gt;0,$B578="",$M578=""),"",True)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IF(OR(COUNTIF('クラス'!$A$1:$A$1267,$B579)&gt;0,$B579="",$M579=""),"",True)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IF(OR(COUNTIF('クラス'!$A$1:$A$1267,$B580)&gt;0,$B580="",$M580=""),"",True)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IF(OR(COUNTIF('クラス'!$A$1:$A$1267,$B581)&gt;0,$B581="",$M581=""),"",True)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IF(OR(COUNTIF('クラス'!$A$1:$A$1267,$B582)&gt;0,$B582="",$M582=""),"",True)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IF(OR(COUNTIF('クラス'!$A$1:$A$1267,$B583)&gt;0,$B583="",$M583=""),"",True)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IF(OR(COUNTIF('クラス'!$A$1:$A$1267,$B584)&gt;0,$B584="",$M584=""),"",True)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IF(OR(COUNTIF('クラス'!$A$1:$A$1267,$B585)&gt;0,$B585="",$M585=""),"",True)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IF(OR(COUNTIF('クラス'!$A$1:$A$1267,$B586)&gt;0,$B586="",$M586=""),"",True)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IF(OR(COUNTIF('クラス'!$A$1:$A$1267,$B587)&gt;0,$B587="",$M587=""),"",True)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IF(OR(COUNTIF('クラス'!$A$1:$A$1267,$B588)&gt;0,$B588="",$M588=""),"",True)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IF(OR(COUNTIF('クラス'!$A$1:$A$1267,$B589)&gt;0,$B589="",$M589=""),"",True)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IF(OR(COUNTIF('クラス'!$A$1:$A$1267,$B590)&gt;0,$B590="",$M590=""),"",True)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IF(OR(COUNTIF('クラス'!$A$1:$A$1267,$B591)&gt;0,$B591="",$M591=""),"",True)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IF(OR(COUNTIF('クラス'!$A$1:$A$1267,$B592)&gt;0,$B592="",$M592=""),"",True)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IF(OR(COUNTIF('クラス'!$A$1:$A$1267,$B593)&gt;0,$B593="",$M593=""),"",True)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IF(OR(COUNTIF('クラス'!$A$1:$A$1267,$B594)&gt;0,$B594="",$M594=""),"",True)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IF(OR(COUNTIF('クラス'!$A$1:$A$1267,$B595)&gt;0,$B595="",$M595=""),"",True)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IF(OR(COUNTIF('クラス'!$A$1:$A$1267,$B596)&gt;0,$B596="",$M596=""),"",True)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IF(OR(COUNTIF('クラス'!$A$1:$A$1267,$B597)&gt;0,$B597="",$M597=""),"",True)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IF(OR(COUNTIF('クラス'!$A$1:$A$1267,$B598)&gt;0,$B598="",$M598=""),"",True)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IF(OR(COUNTIF('クラス'!$A$1:$A$1267,$B599)&gt;0,$B599="",$M599=""),"",True)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IF(OR(COUNTIF('クラス'!$A$1:$A$1267,$B600)&gt;0,$B600="",$M600=""),"",True)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IF(OR(COUNTIF('クラス'!$A$1:$A$1267,$B601)&gt;0,$B601="",$M601=""),"",True)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IF(OR(COUNTIF('クラス'!$A$1:$A$1267,$B602)&gt;0,$B602="",$M602=""),"",True)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IF(OR(COUNTIF('クラス'!$A$1:$A$1267,$B603)&gt;0,$B603="",$M603=""),"",True)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IF(OR(COUNTIF('クラス'!$A$1:$A$1267,$B604)&gt;0,$B604="",$M604=""),"",True)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IF(OR(COUNTIF('クラス'!$A$1:$A$1267,$B605)&gt;0,$B605="",$M605=""),"",True)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IF(OR(COUNTIF('クラス'!$A$1:$A$1267,$B606)&gt;0,$B606="",$M606=""),"",True)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IF(OR(COUNTIF('クラス'!$A$1:$A$1267,$B607)&gt;0,$B607="",$M607=""),"",True)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IF(OR(COUNTIF('クラス'!$A$1:$A$1267,$B608)&gt;0,$B608="",$M608=""),"",True)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IF(OR(COUNTIF('クラス'!$A$1:$A$1267,$B609)&gt;0,$B609="",$M609=""),"",True)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IF(OR(COUNTIF('クラス'!$A$1:$A$1267,$B610)&gt;0,$B610="",$M610=""),"",True)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IF(OR(COUNTIF('クラス'!$A$1:$A$1267,$B611)&gt;0,$B611="",$M611=""),"",True)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IF(OR(COUNTIF('クラス'!$A$1:$A$1267,$B612)&gt;0,$B612="",$M612=""),"",True)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IF(OR(COUNTIF('クラス'!$A$1:$A$1267,$B613)&gt;0,$B613="",$M613=""),"",True)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IF(OR(COUNTIF('クラス'!$A$1:$A$1267,$B614)&gt;0,$B614="",$M614=""),"",True)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IF(OR(COUNTIF('クラス'!$A$1:$A$1267,$B615)&gt;0,$B615="",$M615=""),"",True)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IF(OR(COUNTIF('クラス'!$A$1:$A$1267,$B616)&gt;0,$B616="",$M616=""),"",True)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IF(OR(COUNTIF('クラス'!$A$1:$A$1267,$B617)&gt;0,$B617="",$M617=""),"",True)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IF(OR(COUNTIF('クラス'!$A$1:$A$1267,$B618)&gt;0,$B618="",$M618=""),"",True)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IF(OR(COUNTIF('クラス'!$A$1:$A$1267,$B619)&gt;0,$B619="",$M619=""),"",True)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IF(OR(COUNTIF('クラス'!$A$1:$A$1267,$B620)&gt;0,$B620="",$M620=""),"",True)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IF(OR(COUNTIF('クラス'!$A$1:$A$1267,$B621)&gt;0,$B621="",$M621=""),"",True)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IF(OR(COUNTIF('クラス'!$A$1:$A$1267,$B622)&gt;0,$B622="",$M622=""),"",True)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IF(OR(COUNTIF('クラス'!$A$1:$A$1267,$B623)&gt;0,$B623="",$M623=""),"",True)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IF(OR(COUNTIF('クラス'!$A$1:$A$1267,$B624)&gt;0,$B624="",$M624=""),"",True)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IF(OR(COUNTIF('クラス'!$A$1:$A$1267,$B625)&gt;0,$B625="",$M625=""),"",True)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IF(OR(COUNTIF('クラス'!$A$1:$A$1267,$B626)&gt;0,$B626="",$M626=""),"",True)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IF(OR(COUNTIF('クラス'!$A$1:$A$1267,$B627)&gt;0,$B627="",$M627=""),"",True)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IF(OR(COUNTIF('クラス'!$A$1:$A$1267,$B628)&gt;0,$B628="",$M628=""),"",True)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IF(OR(COUNTIF('クラス'!$A$1:$A$1267,$B629)&gt;0,$B629="",$M629=""),"",True)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IF(OR(COUNTIF('クラス'!$A$1:$A$1267,$B630)&gt;0,$B630="",$M630=""),"",True)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IF(OR(COUNTIF('クラス'!$A$1:$A$1267,$B631)&gt;0,$B631="",$M631=""),"",True)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IF(OR(COUNTIF('クラス'!$A$1:$A$1267,$B632)&gt;0,$B632="",$M632=""),"",True)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IF(OR(COUNTIF('クラス'!$A$1:$A$1267,$B633)&gt;0,$B633="",$M633=""),"",True)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IF(OR(COUNTIF('クラス'!$A$1:$A$1267,$B634)&gt;0,$B634="",$M634=""),"",True)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IF(OR(COUNTIF('クラス'!$A$1:$A$1267,$B635)&gt;0,$B635="",$M635=""),"",True)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IF(OR(COUNTIF('クラス'!$A$1:$A$1267,$B636)&gt;0,$B636="",$M636=""),"",True)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IF(OR(COUNTIF('クラス'!$A$1:$A$1267,$B637)&gt;0,$B637="",$M637=""),"",True)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IF(OR(COUNTIF('クラス'!$A$1:$A$1267,$B638)&gt;0,$B638="",$M638=""),"",True)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IF(OR(COUNTIF('クラス'!$A$1:$A$1267,$B639)&gt;0,$B639="",$M639=""),"",True)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IF(OR(COUNTIF('クラス'!$A$1:$A$1267,$B640)&gt;0,$B640="",$M640=""),"",True)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IF(OR(COUNTIF('クラス'!$A$1:$A$1267,$B641)&gt;0,$B641="",$M641=""),"",True)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IF(OR(COUNTIF('クラス'!$A$1:$A$1267,$B642)&gt;0,$B642="",$M642=""),"",True)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IF(OR(COUNTIF('クラス'!$A$1:$A$1267,$B643)&gt;0,$B643="",$M643=""),"",True)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IF(OR(COUNTIF('クラス'!$A$1:$A$1267,$B644)&gt;0,$B644="",$M644=""),"",True)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IF(OR(COUNTIF('クラス'!$A$1:$A$1267,$B645)&gt;0,$B645="",$M645=""),"",True)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IF(OR(COUNTIF('クラス'!$A$1:$A$1267,$B646)&gt;0,$B646="",$M646=""),"",True)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IF(OR(COUNTIF('クラス'!$A$1:$A$1267,$B647)&gt;0,$B647="",$M647=""),"",True)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IF(OR(COUNTIF('クラス'!$A$1:$A$1267,$B648)&gt;0,$B648="",$M648=""),"",True)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IF(OR(COUNTIF('クラス'!$A$1:$A$1267,$B649)&gt;0,$B649="",$M649=""),"",True)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IF(OR(COUNTIF('クラス'!$A$1:$A$1267,$B650)&gt;0,$B650="",$M650=""),"",True)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IF(OR(COUNTIF('クラス'!$A$1:$A$1267,$B651)&gt;0,$B651="",$M651=""),"",True)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IF(OR(COUNTIF('クラス'!$A$1:$A$1267,$B652)&gt;0,$B652="",$M652=""),"",True)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IF(OR(COUNTIF('クラス'!$A$1:$A$1267,$B653)&gt;0,$B653="",$M653=""),"",True)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IF(OR(COUNTIF('クラス'!$A$1:$A$1267,$B654)&gt;0,$B654="",$M654=""),"",True)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IF(OR(COUNTIF('クラス'!$A$1:$A$1267,$B655)&gt;0,$B655="",$M655=""),"",True)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IF(OR(COUNTIF('クラス'!$A$1:$A$1267,$B656)&gt;0,$B656="",$M656=""),"",True)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IF(OR(COUNTIF('クラス'!$A$1:$A$1267,$B657)&gt;0,$B657="",$M657=""),"",True)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IF(OR(COUNTIF('クラス'!$A$1:$A$1267,$B658)&gt;0,$B658="",$M658=""),"",True)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IF(OR(COUNTIF('クラス'!$A$1:$A$1267,$B659)&gt;0,$B659="",$M659=""),"",True)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IF(OR(COUNTIF('クラス'!$A$1:$A$1267,$B660)&gt;0,$B660="",$M660=""),"",True)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IF(OR(COUNTIF('クラス'!$A$1:$A$1267,$B661)&gt;0,$B661="",$M661=""),"",True)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IF(OR(COUNTIF('クラス'!$A$1:$A$1267,$B662)&gt;0,$B662="",$M662=""),"",True)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IF(OR(COUNTIF('クラス'!$A$1:$A$1267,$B663)&gt;0,$B663="",$M663=""),"",True)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IF(OR(COUNTIF('クラス'!$A$1:$A$1267,$B664)&gt;0,$B664="",$M664=""),"",True)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IF(OR(COUNTIF('クラス'!$A$1:$A$1267,$B665)&gt;0,$B665="",$M665=""),"",True)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IF(OR(COUNTIF('クラス'!$A$1:$A$1267,$B666)&gt;0,$B666="",$M666=""),"",True)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IF(OR(COUNTIF('クラス'!$A$1:$A$1267,$B667)&gt;0,$B667="",$M667=""),"",True)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IF(OR(COUNTIF('クラス'!$A$1:$A$1267,$B668)&gt;0,$B668="",$M668=""),"",True)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IF(OR(COUNTIF('クラス'!$A$1:$A$1267,$B669)&gt;0,$B669="",$M669=""),"",True)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IF(OR(COUNTIF('クラス'!$A$1:$A$1267,$B670)&gt;0,$B670="",$M670=""),"",True)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IF(OR(COUNTIF('クラス'!$A$1:$A$1267,$B671)&gt;0,$B671="",$M671=""),"",True)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IF(OR(COUNTIF('クラス'!$A$1:$A$1267,$B672)&gt;0,$B672="",$M672=""),"",True)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IF(OR(COUNTIF('クラス'!$A$1:$A$1267,$B673)&gt;0,$B673="",$M673=""),"",True)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IF(OR(COUNTIF('クラス'!$A$1:$A$1267,$B674)&gt;0,$B674="",$M674=""),"",True)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IF(OR(COUNTIF('クラス'!$A$1:$A$1267,$B675)&gt;0,$B675="",$M675=""),"",True)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IF(OR(COUNTIF('クラス'!$A$1:$A$1267,$B676)&gt;0,$B676="",$M676=""),"",True)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IF(OR(COUNTIF('クラス'!$A$1:$A$1267,$B677)&gt;0,$B677="",$M677=""),"",True)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IF(OR(COUNTIF('クラス'!$A$1:$A$1267,$B678)&gt;0,$B678="",$M678=""),"",True)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IF(OR(COUNTIF('クラス'!$A$1:$A$1267,$B679)&gt;0,$B679="",$M679=""),"",True)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IF(OR(COUNTIF('クラス'!$A$1:$A$1267,$B680)&gt;0,$B680="",$M680=""),"",True)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IF(OR(COUNTIF('クラス'!$A$1:$A$1267,$B681)&gt;0,$B681="",$M681=""),"",True)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IF(OR(COUNTIF('クラス'!$A$1:$A$1267,$B682)&gt;0,$B682="",$M682=""),"",True)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IF(OR(COUNTIF('クラス'!$A$1:$A$1267,$B683)&gt;0,$B683="",$M683=""),"",True)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IF(OR(COUNTIF('クラス'!$A$1:$A$1267,$B684)&gt;0,$B684="",$M684=""),"",True)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IF(OR(COUNTIF('クラス'!$A$1:$A$1267,$B685)&gt;0,$B685="",$M685=""),"",True)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IF(OR(COUNTIF('クラス'!$A$1:$A$1267,$B686)&gt;0,$B686="",$M686=""),"",True)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IF(OR(COUNTIF('クラス'!$A$1:$A$1267,$B687)&gt;0,$B687="",$M687=""),"",True)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IF(OR(COUNTIF('クラス'!$A$1:$A$1267,$B688)&gt;0,$B688="",$M688=""),"",True)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IF(OR(COUNTIF('クラス'!$A$1:$A$1267,$B689)&gt;0,$B689="",$M689=""),"",True)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IF(OR(COUNTIF('クラス'!$A$1:$A$1267,$B690)&gt;0,$B690="",$M690=""),"",True)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IF(OR(COUNTIF('クラス'!$A$1:$A$1267,$B691)&gt;0,$B691="",$M691=""),"",True)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IF(OR(COUNTIF('クラス'!$A$1:$A$1267,$B692)&gt;0,$B692="",$M692=""),"",True)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IF(OR(COUNTIF('クラス'!$A$1:$A$1267,$B693)&gt;0,$B693="",$M693=""),"",True)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IF(OR(COUNTIF('クラス'!$A$1:$A$1267,$B694)&gt;0,$B694="",$M694=""),"",True)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IF(OR(COUNTIF('クラス'!$A$1:$A$1267,$B695)&gt;0,$B695="",$M695=""),"",True)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IF(OR(COUNTIF('クラス'!$A$1:$A$1267,$B696)&gt;0,$B696="",$M696=""),"",True)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IF(OR(COUNTIF('クラス'!$A$1:$A$1267,$B697)&gt;0,$B697="",$M697=""),"",True)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IF(OR(COUNTIF('クラス'!$A$1:$A$1267,$B698)&gt;0,$B698="",$M698=""),"",True)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IF(OR(COUNTIF('クラス'!$A$1:$A$1267,$B699)&gt;0,$B699="",$M699=""),"",True)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IF(OR(COUNTIF('クラス'!$A$1:$A$1267,$B700)&gt;0,$B700="",$M700=""),"",True)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IF(OR(COUNTIF('クラス'!$A$1:$A$1267,$B701)&gt;0,$B701="",$M701=""),"",True)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IF(OR(COUNTIF('クラス'!$A$1:$A$1267,$B702)&gt;0,$B702="",$M702=""),"",True)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IF(OR(COUNTIF('クラス'!$A$1:$A$1267,$B703)&gt;0,$B703="",$M703=""),"",True)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IF(OR(COUNTIF('クラス'!$A$1:$A$1267,$B704)&gt;0,$B704="",$M704=""),"",True)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IF(OR(COUNTIF('クラス'!$A$1:$A$1267,$B705)&gt;0,$B705="",$M705=""),"",True)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IF(OR(COUNTIF('クラス'!$A$1:$A$1267,$B706)&gt;0,$B706="",$M706=""),"",True)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IF(OR(COUNTIF('クラス'!$A$1:$A$1267,$B707)&gt;0,$B707="",$M707=""),"",True)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IF(OR(COUNTIF('クラス'!$A$1:$A$1267,$B708)&gt;0,$B708="",$M708=""),"",True)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IF(OR(COUNTIF('クラス'!$A$1:$A$1267,$B709)&gt;0,$B709="",$M709=""),"",True)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IF(OR(COUNTIF('クラス'!$A$1:$A$1267,$B710)&gt;0,$B710="",$M710=""),"",True)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IF(OR(COUNTIF('クラス'!$A$1:$A$1267,$B711)&gt;0,$B711="",$M711=""),"",True)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IF(OR(COUNTIF('クラス'!$A$1:$A$1267,$B712)&gt;0,$B712="",$M712=""),"",True)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IF(OR(COUNTIF('クラス'!$A$1:$A$1267,$B713)&gt;0,$B713="",$M713=""),"",True)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IF(OR(COUNTIF('クラス'!$A$1:$A$1267,$B714)&gt;0,$B714="",$M714=""),"",True)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IF(OR(COUNTIF('クラス'!$A$1:$A$1267,$B715)&gt;0,$B715="",$M715=""),"",True)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IF(OR(COUNTIF('クラス'!$A$1:$A$1267,$B716)&gt;0,$B716="",$M716=""),"",True)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IF(OR(COUNTIF('クラス'!$A$1:$A$1267,$B717)&gt;0,$B717="",$M717=""),"",True)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IF(OR(COUNTIF('クラス'!$A$1:$A$1267,$B718)&gt;0,$B718="",$M718=""),"",True)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IF(OR(COUNTIF('クラス'!$A$1:$A$1267,$B719)&gt;0,$B719="",$M719=""),"",True)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IF(OR(COUNTIF('クラス'!$A$1:$A$1267,$B720)&gt;0,$B720="",$M720=""),"",True)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IF(OR(COUNTIF('クラス'!$A$1:$A$1267,$B721)&gt;0,$B721="",$M721=""),"",True)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IF(OR(COUNTIF('クラス'!$A$1:$A$1267,$B722)&gt;0,$B722="",$M722=""),"",True)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IF(OR(COUNTIF('クラス'!$A$1:$A$1267,$B723)&gt;0,$B723="",$M723=""),"",True)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IF(OR(COUNTIF('クラス'!$A$1:$A$1267,$B724)&gt;0,$B724="",$M724=""),"",True)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IF(OR(COUNTIF('クラス'!$A$1:$A$1267,$B725)&gt;0,$B725="",$M725=""),"",True)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IF(OR(COUNTIF('クラス'!$A$1:$A$1267,$B726)&gt;0,$B726="",$M726=""),"",True)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IF(OR(COUNTIF('クラス'!$A$1:$A$1267,$B727)&gt;0,$B727="",$M727=""),"",True)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IF(OR(COUNTIF('クラス'!$A$1:$A$1267,$B728)&gt;0,$B728="",$M728=""),"",True)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IF(OR(COUNTIF('クラス'!$A$1:$A$1267,$B729)&gt;0,$B729="",$M729=""),"",True)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IF(OR(COUNTIF('クラス'!$A$1:$A$1267,$B730)&gt;0,$B730="",$M730=""),"",True)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IF(OR(COUNTIF('クラス'!$A$1:$A$1267,$B731)&gt;0,$B731="",$M731=""),"",True)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IF(OR(COUNTIF('クラス'!$A$1:$A$1267,$B732)&gt;0,$B732="",$M732=""),"",True)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IF(OR(COUNTIF('クラス'!$A$1:$A$1267,$B733)&gt;0,$B733="",$M733=""),"",True)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IF(OR(COUNTIF('クラス'!$A$1:$A$1267,$B734)&gt;0,$B734="",$M734=""),"",True)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IF(OR(COUNTIF('クラス'!$A$1:$A$1267,$B735)&gt;0,$B735="",$M735=""),"",True)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IF(OR(COUNTIF('クラス'!$A$1:$A$1267,$B736)&gt;0,$B736="",$M736=""),"",True)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IF(OR(COUNTIF('クラス'!$A$1:$A$1267,$B737)&gt;0,$B737="",$M737=""),"",True)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IF(OR(COUNTIF('クラス'!$A$1:$A$1267,$B738)&gt;0,$B738="",$M738=""),"",True)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IF(OR(COUNTIF('クラス'!$A$1:$A$1267,$B739)&gt;0,$B739="",$M739=""),"",True)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IF(OR(COUNTIF('クラス'!$A$1:$A$1267,$B740)&gt;0,$B740="",$M740=""),"",True)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IF(OR(COUNTIF('クラス'!$A$1:$A$1267,$B741)&gt;0,$B741="",$M741=""),"",True)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IF(OR(COUNTIF('クラス'!$A$1:$A$1267,$B742)&gt;0,$B742="",$M742=""),"",True)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IF(OR(COUNTIF('クラス'!$A$1:$A$1267,$B743)&gt;0,$B743="",$M743=""),"",True)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IF(OR(COUNTIF('クラス'!$A$1:$A$1267,$B744)&gt;0,$B744="",$M744=""),"",True)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IF(OR(COUNTIF('クラス'!$A$1:$A$1267,$B745)&gt;0,$B745="",$M745=""),"",True)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IF(OR(COUNTIF('クラス'!$A$1:$A$1267,$B746)&gt;0,$B746="",$M746=""),"",True)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IF(OR(COUNTIF('クラス'!$A$1:$A$1267,$B747)&gt;0,$B747="",$M747=""),"",True)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IF(OR(COUNTIF('クラス'!$A$1:$A$1267,$B748)&gt;0,$B748="",$M748=""),"",True)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IF(OR(COUNTIF('クラス'!$A$1:$A$1267,$B749)&gt;0,$B749="",$M749=""),"",True)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IF(OR(COUNTIF('クラス'!$A$1:$A$1267,$B750)&gt;0,$B750="",$M750=""),"",True)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IF(OR(COUNTIF('クラス'!$A$1:$A$1267,$B751)&gt;0,$B751="",$M751=""),"",True)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IF(OR(COUNTIF('クラス'!$A$1:$A$1267,$B752)&gt;0,$B752="",$M752=""),"",True)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IF(OR(COUNTIF('クラス'!$A$1:$A$1267,$B753)&gt;0,$B753="",$M753=""),"",True)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IF(OR(COUNTIF('クラス'!$A$1:$A$1267,$B754)&gt;0,$B754="",$M754=""),"",True)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IF(OR(COUNTIF('クラス'!$A$1:$A$1267,$B755)&gt;0,$B755="",$M755=""),"",True)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IF(OR(COUNTIF('クラス'!$A$1:$A$1267,$B756)&gt;0,$B756="",$M756=""),"",True)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IF(OR(COUNTIF('クラス'!$A$1:$A$1267,$B757)&gt;0,$B757="",$M757=""),"",True)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IF(OR(COUNTIF('クラス'!$A$1:$A$1267,$B758)&gt;0,$B758="",$M758=""),"",True)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IF(OR(COUNTIF('クラス'!$A$1:$A$1267,$B759)&gt;0,$B759="",$M759=""),"",True)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IF(OR(COUNTIF('クラス'!$A$1:$A$1267,$B760)&gt;0,$B760="",$M760=""),"",True)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IF(OR(COUNTIF('クラス'!$A$1:$A$1267,$B761)&gt;0,$B761="",$M761=""),"",True)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IF(OR(COUNTIF('クラス'!$A$1:$A$1267,$B762)&gt;0,$B762="",$M762=""),"",True)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IF(OR(COUNTIF('クラス'!$A$1:$A$1267,$B763)&gt;0,$B763="",$M763=""),"",True)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IF(OR(COUNTIF('クラス'!$A$1:$A$1267,$B764)&gt;0,$B764="",$M764=""),"",True)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IF(OR(COUNTIF('クラス'!$A$1:$A$1267,$B765)&gt;0,$B765="",$M765=""),"",True)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IF(OR(COUNTIF('クラス'!$A$1:$A$1267,$B766)&gt;0,$B766="",$M766=""),"",True)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IF(OR(COUNTIF('クラス'!$A$1:$A$1267,$B767)&gt;0,$B767="",$M767=""),"",True)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IF(OR(COUNTIF('クラス'!$A$1:$A$1267,$B768)&gt;0,$B768="",$M768=""),"",True)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IF(OR(COUNTIF('クラス'!$A$1:$A$1267,$B769)&gt;0,$B769="",$M769=""),"",True)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IF(OR(COUNTIF('クラス'!$A$1:$A$1267,$B770)&gt;0,$B770="",$M770=""),"",True)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IF(OR(COUNTIF('クラス'!$A$1:$A$1267,$B771)&gt;0,$B771="",$M771=""),"",True)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IF(OR(COUNTIF('クラス'!$A$1:$A$1267,$B772)&gt;0,$B772="",$M772=""),"",True)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IF(OR(COUNTIF('クラス'!$A$1:$A$1267,$B773)&gt;0,$B773="",$M773=""),"",True)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IF(OR(COUNTIF('クラス'!$A$1:$A$1267,$B774)&gt;0,$B774="",$M774=""),"",True)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IF(OR(COUNTIF('クラス'!$A$1:$A$1267,$B775)&gt;0,$B775="",$M775=""),"",True)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IF(OR(COUNTIF('クラス'!$A$1:$A$1267,$B776)&gt;0,$B776="",$M776=""),"",True)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IF(OR(COUNTIF('クラス'!$A$1:$A$1267,$B777)&gt;0,$B777="",$M777=""),"",True)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IF(OR(COUNTIF('クラス'!$A$1:$A$1267,$B778)&gt;0,$B778="",$M778=""),"",True)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IF(OR(COUNTIF('クラス'!$A$1:$A$1267,$B779)&gt;0,$B779="",$M779=""),"",True)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IF(OR(COUNTIF('クラス'!$A$1:$A$1267,$B780)&gt;0,$B780="",$M780=""),"",True)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IF(OR(COUNTIF('クラス'!$A$1:$A$1267,$B781)&gt;0,$B781="",$M781=""),"",True)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IF(OR(COUNTIF('クラス'!$A$1:$A$1267,$B782)&gt;0,$B782="",$M782=""),"",True)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IF(OR(COUNTIF('クラス'!$A$1:$A$1267,$B783)&gt;0,$B783="",$M783=""),"",True)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IF(OR(COUNTIF('クラス'!$A$1:$A$1267,$B784)&gt;0,$B784="",$M784=""),"",True)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IF(OR(COUNTIF('クラス'!$A$1:$A$1267,$B785)&gt;0,$B785="",$M785=""),"",True)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IF(OR(COUNTIF('クラス'!$A$1:$A$1267,$B786)&gt;0,$B786="",$M786=""),"",True)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IF(OR(COUNTIF('クラス'!$A$1:$A$1267,$B787)&gt;0,$B787="",$M787=""),"",True)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IF(OR(COUNTIF('クラス'!$A$1:$A$1267,$B788)&gt;0,$B788="",$M788=""),"",True)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IF(OR(COUNTIF('クラス'!$A$1:$A$1267,$B789)&gt;0,$B789="",$M789=""),"",True)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IF(OR(COUNTIF('クラス'!$A$1:$A$1267,$B790)&gt;0,$B790="",$M790=""),"",True)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IF(OR(COUNTIF('クラス'!$A$1:$A$1267,$B791)&gt;0,$B791="",$M791=""),"",True)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IF(OR(COUNTIF('クラス'!$A$1:$A$1267,$B792)&gt;0,$B792="",$M792=""),"",True)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IF(OR(COUNTIF('クラス'!$A$1:$A$1267,$B793)&gt;0,$B793="",$M793=""),"",True)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IF(OR(COUNTIF('クラス'!$A$1:$A$1267,$B794)&gt;0,$B794="",$M794=""),"",True)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IF(OR(COUNTIF('クラス'!$A$1:$A$1267,$B795)&gt;0,$B795="",$M795=""),"",True)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IF(OR(COUNTIF('クラス'!$A$1:$A$1267,$B796)&gt;0,$B796="",$M796=""),"",True)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IF(OR(COUNTIF('クラス'!$A$1:$A$1267,$B797)&gt;0,$B797="",$M797=""),"",True)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IF(OR(COUNTIF('クラス'!$A$1:$A$1267,$B798)&gt;0,$B798="",$M798=""),"",True)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IF(OR(COUNTIF('クラス'!$A$1:$A$1267,$B799)&gt;0,$B799="",$M799=""),"",True)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IF(OR(COUNTIF('クラス'!$A$1:$A$1267,$B800)&gt;0,$B800="",$M800=""),"",True)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IF(OR(COUNTIF('クラス'!$A$1:$A$1267,$B801)&gt;0,$B801="",$M801=""),"",True)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IF(OR(COUNTIF('クラス'!$A$1:$A$1267,$B802)&gt;0,$B802="",$M802=""),"",True)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IF(OR(COUNTIF('クラス'!$A$1:$A$1267,$B803)&gt;0,$B803="",$M803=""),"",True)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IF(OR(COUNTIF('クラス'!$A$1:$A$1267,$B804)&gt;0,$B804="",$M804=""),"",True)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IF(OR(COUNTIF('クラス'!$A$1:$A$1267,$B805)&gt;0,$B805="",$M805=""),"",True)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IF(OR(COUNTIF('クラス'!$A$1:$A$1267,$B806)&gt;0,$B806="",$M806=""),"",True)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IF(OR(COUNTIF('クラス'!$A$1:$A$1267,$B807)&gt;0,$B807="",$M807=""),"",True)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IF(OR(COUNTIF('クラス'!$A$1:$A$1267,$B808)&gt;0,$B808="",$M808=""),"",True)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IF(OR(COUNTIF('クラス'!$A$1:$A$1267,$B809)&gt;0,$B809="",$M809=""),"",True)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IF(OR(COUNTIF('クラス'!$A$1:$A$1267,$B810)&gt;0,$B810="",$M810=""),"",True)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IF(OR(COUNTIF('クラス'!$A$1:$A$1267,$B811)&gt;0,$B811="",$M811=""),"",True)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IF(OR(COUNTIF('クラス'!$A$1:$A$1267,$B812)&gt;0,$B812="",$M812=""),"",True)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IF(OR(COUNTIF('クラス'!$A$1:$A$1267,$B813)&gt;0,$B813="",$M813=""),"",True)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IF(OR(COUNTIF('クラス'!$A$1:$A$1267,$B814)&gt;0,$B814="",$M814=""),"",True)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IF(OR(COUNTIF('クラス'!$A$1:$A$1267,$B815)&gt;0,$B815="",$M815=""),"",True)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IF(OR(COUNTIF('クラス'!$A$1:$A$1267,$B816)&gt;0,$B816="",$M816=""),"",True)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IF(OR(COUNTIF('クラス'!$A$1:$A$1267,$B817)&gt;0,$B817="",$M817=""),"",True)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IF(OR(COUNTIF('クラス'!$A$1:$A$1267,$B818)&gt;0,$B818="",$M818=""),"",True)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IF(OR(COUNTIF('クラス'!$A$1:$A$1267,$B819)&gt;0,$B819="",$M819=""),"",True)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IF(OR(COUNTIF('クラス'!$A$1:$A$1267,$B820)&gt;0,$B820="",$M820=""),"",True)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IF(OR(COUNTIF('クラス'!$A$1:$A$1267,$B821)&gt;0,$B821="",$M821=""),"",True)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IF(OR(COUNTIF('クラス'!$A$1:$A$1267,$B822)&gt;0,$B822="",$M822=""),"",True)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IF(OR(COUNTIF('クラス'!$A$1:$A$1267,$B823)&gt;0,$B823="",$M823=""),"",True)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IF(OR(COUNTIF('クラス'!$A$1:$A$1267,$B824)&gt;0,$B824="",$M824=""),"",True)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IF(OR(COUNTIF('クラス'!$A$1:$A$1267,$B825)&gt;0,$B825="",$M825=""),"",True)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IF(OR(COUNTIF('クラス'!$A$1:$A$1267,$B826)&gt;0,$B826="",$M826=""),"",True)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IF(OR(COUNTIF('クラス'!$A$1:$A$1267,$B827)&gt;0,$B827="",$M827=""),"",True)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IF(OR(COUNTIF('クラス'!$A$1:$A$1267,$B828)&gt;0,$B828="",$M828=""),"",True)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IF(OR(COUNTIF('クラス'!$A$1:$A$1267,$B829)&gt;0,$B829="",$M829=""),"",True)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IF(OR(COUNTIF('クラス'!$A$1:$A$1267,$B830)&gt;0,$B830="",$M830=""),"",True)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IF(OR(COUNTIF('クラス'!$A$1:$A$1267,$B831)&gt;0,$B831="",$M831=""),"",True)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IF(OR(COUNTIF('クラス'!$A$1:$A$1267,$B832)&gt;0,$B832="",$M832=""),"",True)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IF(OR(COUNTIF('クラス'!$A$1:$A$1267,$B833)&gt;0,$B833="",$M833=""),"",True)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IF(OR(COUNTIF('クラス'!$A$1:$A$1267,$B834)&gt;0,$B834="",$M834=""),"",True)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IF(OR(COUNTIF('クラス'!$A$1:$A$1267,$B835)&gt;0,$B835="",$M835=""),"",True)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IF(OR(COUNTIF('クラス'!$A$1:$A$1267,$B836)&gt;0,$B836="",$M836=""),"",True)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IF(OR(COUNTIF('クラス'!$A$1:$A$1267,$B837)&gt;0,$B837="",$M837=""),"",True)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IF(OR(COUNTIF('クラス'!$A$1:$A$1267,$B838)&gt;0,$B838="",$M838=""),"",True)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IF(OR(COUNTIF('クラス'!$A$1:$A$1267,$B839)&gt;0,$B839="",$M839=""),"",True)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IF(OR(COUNTIF('クラス'!$A$1:$A$1267,$B840)&gt;0,$B840="",$M840=""),"",True)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IF(OR(COUNTIF('クラス'!$A$1:$A$1267,$B841)&gt;0,$B841="",$M841=""),"",True)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IF(OR(COUNTIF('クラス'!$A$1:$A$1267,$B842)&gt;0,$B842="",$M842=""),"",True)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IF(OR(COUNTIF('クラス'!$A$1:$A$1267,$B843)&gt;0,$B843="",$M843=""),"",True)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IF(OR(COUNTIF('クラス'!$A$1:$A$1267,$B844)&gt;0,$B844="",$M844=""),"",True)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IF(OR(COUNTIF('クラス'!$A$1:$A$1267,$B845)&gt;0,$B845="",$M845=""),"",True)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IF(OR(COUNTIF('クラス'!$A$1:$A$1267,$B846)&gt;0,$B846="",$M846=""),"",True)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IF(OR(COUNTIF('クラス'!$A$1:$A$1267,$B847)&gt;0,$B847="",$M847=""),"",True)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IF(OR(COUNTIF('クラス'!$A$1:$A$1267,$B848)&gt;0,$B848="",$M848=""),"",True)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IF(OR(COUNTIF('クラス'!$A$1:$A$1267,$B849)&gt;0,$B849="",$M849=""),"",True)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IF(OR(COUNTIF('クラス'!$A$1:$A$1267,$B850)&gt;0,$B850="",$M850=""),"",True)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IF(OR(COUNTIF('クラス'!$A$1:$A$1267,$B851)&gt;0,$B851="",$M851=""),"",True)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IF(OR(COUNTIF('クラス'!$A$1:$A$1267,$B852)&gt;0,$B852="",$M852=""),"",True)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IF(OR(COUNTIF('クラス'!$A$1:$A$1267,$B853)&gt;0,$B853="",$M853=""),"",True)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IF(OR(COUNTIF('クラス'!$A$1:$A$1267,$B854)&gt;0,$B854="",$M854=""),"",True)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IF(OR(COUNTIF('クラス'!$A$1:$A$1267,$B855)&gt;0,$B855="",$M855=""),"",True)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IF(OR(COUNTIF('クラス'!$A$1:$A$1267,$B856)&gt;0,$B856="",$M856=""),"",True)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IF(OR(COUNTIF('クラス'!$A$1:$A$1267,$B857)&gt;0,$B857="",$M857=""),"",True)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IF(OR(COUNTIF('クラス'!$A$1:$A$1267,$B858)&gt;0,$B858="",$M858=""),"",True)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IF(OR(COUNTIF('クラス'!$A$1:$A$1267,$B859)&gt;0,$B859="",$M859=""),"",True)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IF(OR(COUNTIF('クラス'!$A$1:$A$1267,$B860)&gt;0,$B860="",$M860=""),"",True)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IF(OR(COUNTIF('クラス'!$A$1:$A$1267,$B861)&gt;0,$B861="",$M861=""),"",True)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IF(OR(COUNTIF('クラス'!$A$1:$A$1267,$B862)&gt;0,$B862="",$M862=""),"",True)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IF(OR(COUNTIF('クラス'!$A$1:$A$1267,$B863)&gt;0,$B863="",$M863=""),"",True)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IF(OR(COUNTIF('クラス'!$A$1:$A$1267,$B864)&gt;0,$B864="",$M864=""),"",True)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IF(OR(COUNTIF('クラス'!$A$1:$A$1267,$B865)&gt;0,$B865="",$M865=""),"",True)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IF(OR(COUNTIF('クラス'!$A$1:$A$1267,$B866)&gt;0,$B866="",$M866=""),"",True)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IF(OR(COUNTIF('クラス'!$A$1:$A$1267,$B867)&gt;0,$B867="",$M867=""),"",True)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IF(OR(COUNTIF('クラス'!$A$1:$A$1267,$B868)&gt;0,$B868="",$M868=""),"",True)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IF(OR(COUNTIF('クラス'!$A$1:$A$1267,$B869)&gt;0,$B869="",$M869=""),"",True)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IF(OR(COUNTIF('クラス'!$A$1:$A$1267,$B870)&gt;0,$B870="",$M870=""),"",True)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IF(OR(COUNTIF('クラス'!$A$1:$A$1267,$B871)&gt;0,$B871="",$M871=""),"",True)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IF(OR(COUNTIF('クラス'!$A$1:$A$1267,$B872)&gt;0,$B872="",$M872=""),"",True)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IF(OR(COUNTIF('クラス'!$A$1:$A$1267,$B873)&gt;0,$B873="",$M873=""),"",True)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IF(OR(COUNTIF('クラス'!$A$1:$A$1267,$B874)&gt;0,$B874="",$M874=""),"",True)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IF(OR(COUNTIF('クラス'!$A$1:$A$1267,$B875)&gt;0,$B875="",$M875=""),"",True)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IF(OR(COUNTIF('クラス'!$A$1:$A$1267,$B876)&gt;0,$B876="",$M876=""),"",True)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IF(OR(COUNTIF('クラス'!$A$1:$A$1267,$B877)&gt;0,$B877="",$M877=""),"",True)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IF(OR(COUNTIF('クラス'!$A$1:$A$1267,$B878)&gt;0,$B878="",$M878=""),"",True)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IF(OR(COUNTIF('クラス'!$A$1:$A$1267,$B879)&gt;0,$B879="",$M879=""),"",True)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IF(OR(COUNTIF('クラス'!$A$1:$A$1267,$B880)&gt;0,$B880="",$M880=""),"",True)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IF(OR(COUNTIF('クラス'!$A$1:$A$1267,$B881)&gt;0,$B881="",$M881=""),"",True)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IF(OR(COUNTIF('クラス'!$A$1:$A$1267,$B882)&gt;0,$B882="",$M882=""),"",True)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IF(OR(COUNTIF('クラス'!$A$1:$A$1267,$B883)&gt;0,$B883="",$M883=""),"",True)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IF(OR(COUNTIF('クラス'!$A$1:$A$1267,$B884)&gt;0,$B884="",$M884=""),"",True)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IF(OR(COUNTIF('クラス'!$A$1:$A$1267,$B885)&gt;0,$B885="",$M885=""),"",True)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IF(OR(COUNTIF('クラス'!$A$1:$A$1267,$B886)&gt;0,$B886="",$M886=""),"",True)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IF(OR(COUNTIF('クラス'!$A$1:$A$1267,$B887)&gt;0,$B887="",$M887=""),"",True)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IF(OR(COUNTIF('クラス'!$A$1:$A$1267,$B888)&gt;0,$B888="",$M888=""),"",True)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IF(OR(COUNTIF('クラス'!$A$1:$A$1267,$B889)&gt;0,$B889="",$M889=""),"",True)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IF(OR(COUNTIF('クラス'!$A$1:$A$1267,$B890)&gt;0,$B890="",$M890=""),"",True)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IF(OR(COUNTIF('クラス'!$A$1:$A$1267,$B891)&gt;0,$B891="",$M891=""),"",True)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IF(OR(COUNTIF('クラス'!$A$1:$A$1267,$B892)&gt;0,$B892="",$M892=""),"",True)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IF(OR(COUNTIF('クラス'!$A$1:$A$1267,$B893)&gt;0,$B893="",$M893=""),"",True)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IF(OR(COUNTIF('クラス'!$A$1:$A$1267,$B894)&gt;0,$B894="",$M894=""),"",True)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IF(OR(COUNTIF('クラス'!$A$1:$A$1267,$B895)&gt;0,$B895="",$M895=""),"",True)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IF(OR(COUNTIF('クラス'!$A$1:$A$1267,$B896)&gt;0,$B896="",$M896=""),"",True)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IF(OR(COUNTIF('クラス'!$A$1:$A$1267,$B897)&gt;0,$B897="",$M897=""),"",True)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IF(OR(COUNTIF('クラス'!$A$1:$A$1267,$B898)&gt;0,$B898="",$M898=""),"",True)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IF(OR(COUNTIF('クラス'!$A$1:$A$1267,$B899)&gt;0,$B899="",$M899=""),"",True)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IF(OR(COUNTIF('クラス'!$A$1:$A$1267,$B900)&gt;0,$B900="",$M900=""),"",True)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IF(OR(COUNTIF('クラス'!$A$1:$A$1267,$B901)&gt;0,$B901="",$M901=""),"",True)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IF(OR(COUNTIF('クラス'!$A$1:$A$1267,$B902)&gt;0,$B902="",$M902=""),"",True)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IF(OR(COUNTIF('クラス'!$A$1:$A$1267,$B903)&gt;0,$B903="",$M903=""),"",True)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IF(OR(COUNTIF('クラス'!$A$1:$A$1267,$B904)&gt;0,$B904="",$M904=""),"",True)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IF(OR(COUNTIF('クラス'!$A$1:$A$1267,$B905)&gt;0,$B905="",$M905=""),"",True)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IF(OR(COUNTIF('クラス'!$A$1:$A$1267,$B906)&gt;0,$B906="",$M906=""),"",True)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IF(OR(COUNTIF('クラス'!$A$1:$A$1267,$B907)&gt;0,$B907="",$M907=""),"",True)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IF(OR(COUNTIF('クラス'!$A$1:$A$1267,$B908)&gt;0,$B908="",$M908=""),"",True)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IF(OR(COUNTIF('クラス'!$A$1:$A$1267,$B909)&gt;0,$B909="",$M909=""),"",True)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IF(OR(COUNTIF('クラス'!$A$1:$A$1267,$B910)&gt;0,$B910="",$M910=""),"",True)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IF(OR(COUNTIF('クラス'!$A$1:$A$1267,$B911)&gt;0,$B911="",$M911=""),"",True)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IF(OR(COUNTIF('クラス'!$A$1:$A$1267,$B912)&gt;0,$B912="",$M912=""),"",True)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IF(OR(COUNTIF('クラス'!$A$1:$A$1267,$B913)&gt;0,$B913="",$M913=""),"",True)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IF(OR(COUNTIF('クラス'!$A$1:$A$1267,$B914)&gt;0,$B914="",$M914=""),"",True)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IF(OR(COUNTIF('クラス'!$A$1:$A$1267,$B915)&gt;0,$B915="",$M915=""),"",True)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IF(OR(COUNTIF('クラス'!$A$1:$A$1267,$B916)&gt;0,$B916="",$M916=""),"",True)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IF(OR(COUNTIF('クラス'!$A$1:$A$1267,$B917)&gt;0,$B917="",$M917=""),"",True)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IF(OR(COUNTIF('クラス'!$A$1:$A$1267,$B918)&gt;0,$B918="",$M918=""),"",True)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IF(OR(COUNTIF('クラス'!$A$1:$A$1267,$B919)&gt;0,$B919="",$M919=""),"",True)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IF(OR(COUNTIF('クラス'!$A$1:$A$1267,$B920)&gt;0,$B920="",$M920=""),"",True)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IF(OR(COUNTIF('クラス'!$A$1:$A$1267,$B921)&gt;0,$B921="",$M921=""),"",True)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IF(OR(COUNTIF('クラス'!$A$1:$A$1267,$B922)&gt;0,$B922="",$M922=""),"",True)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IF(OR(COUNTIF('クラス'!$A$1:$A$1267,$B923)&gt;0,$B923="",$M923=""),"",True)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IF(OR(COUNTIF('クラス'!$A$1:$A$1267,$B924)&gt;0,$B924="",$M924=""),"",True)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IF(OR(COUNTIF('クラス'!$A$1:$A$1267,$B925)&gt;0,$B925="",$M925=""),"",True)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IF(OR(COUNTIF('クラス'!$A$1:$A$1267,$B926)&gt;0,$B926="",$M926=""),"",True)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IF(OR(COUNTIF('クラス'!$A$1:$A$1267,$B927)&gt;0,$B927="",$M927=""),"",True)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IF(OR(COUNTIF('クラス'!$A$1:$A$1267,$B928)&gt;0,$B928="",$M928=""),"",True)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IF(OR(COUNTIF('クラス'!$A$1:$A$1267,$B929)&gt;0,$B929="",$M929=""),"",True)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IF(OR(COUNTIF('クラス'!$A$1:$A$1267,$B930)&gt;0,$B930="",$M930=""),"",True)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IF(OR(COUNTIF('クラス'!$A$1:$A$1267,$B931)&gt;0,$B931="",$M931=""),"",True)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IF(OR(COUNTIF('クラス'!$A$1:$A$1267,$B932)&gt;0,$B932="",$M932=""),"",True)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IF(OR(COUNTIF('クラス'!$A$1:$A$1267,$B933)&gt;0,$B933="",$M933=""),"",True)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IF(OR(COUNTIF('クラス'!$A$1:$A$1267,$B934)&gt;0,$B934="",$M934=""),"",True)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IF(OR(COUNTIF('クラス'!$A$1:$A$1267,$B935)&gt;0,$B935="",$M935=""),"",True)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IF(OR(COUNTIF('クラス'!$A$1:$A$1267,$B936)&gt;0,$B936="",$M936=""),"",True)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IF(OR(COUNTIF('クラス'!$A$1:$A$1267,$B937)&gt;0,$B937="",$M937=""),"",True)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IF(OR(COUNTIF('クラス'!$A$1:$A$1267,$B938)&gt;0,$B938="",$M938=""),"",True)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IF(OR(COUNTIF('クラス'!$A$1:$A$1267,$B939)&gt;0,$B939="",$M939=""),"",True)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IF(OR(COUNTIF('クラス'!$A$1:$A$1267,$B940)&gt;0,$B940="",$M940=""),"",True)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IF(OR(COUNTIF('クラス'!$A$1:$A$1267,$B941)&gt;0,$B941="",$M941=""),"",True)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IF(OR(COUNTIF('クラス'!$A$1:$A$1267,$B942)&gt;0,$B942="",$M942=""),"",True)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IF(OR(COUNTIF('クラス'!$A$1:$A$1267,$B943)&gt;0,$B943="",$M943=""),"",True)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IF(OR(COUNTIF('クラス'!$A$1:$A$1267,$B944)&gt;0,$B944="",$M944=""),"",True)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IF(OR(COUNTIF('クラス'!$A$1:$A$1267,$B945)&gt;0,$B945="",$M945=""),"",True)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IF(OR(COUNTIF('クラス'!$A$1:$A$1267,$B946)&gt;0,$B946="",$M946=""),"",True)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IF(OR(COUNTIF('クラス'!$A$1:$A$1267,$B947)&gt;0,$B947="",$M947=""),"",True)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IF(OR(COUNTIF('クラス'!$A$1:$A$1267,$B948)&gt;0,$B948="",$M948=""),"",True)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IF(OR(COUNTIF('クラス'!$A$1:$A$1267,$B949)&gt;0,$B949="",$M949=""),"",True)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IF(OR(COUNTIF('クラス'!$A$1:$A$1267,$B950)&gt;0,$B950="",$M950=""),"",True)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IF(OR(COUNTIF('クラス'!$A$1:$A$1267,$B951)&gt;0,$B951="",$M951=""),"",True)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IF(OR(COUNTIF('クラス'!$A$1:$A$1267,$B952)&gt;0,$B952="",$M952=""),"",True)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IF(OR(COUNTIF('クラス'!$A$1:$A$1267,$B953)&gt;0,$B953="",$M953=""),"",True)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IF(OR(COUNTIF('クラス'!$A$1:$A$1267,$B954)&gt;0,$B954="",$M954=""),"",True)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IF(OR(COUNTIF('クラス'!$A$1:$A$1267,$B955)&gt;0,$B955="",$M955=""),"",True)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IF(OR(COUNTIF('クラス'!$A$1:$A$1267,$B956)&gt;0,$B956="",$M956=""),"",True)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IF(OR(COUNTIF('クラス'!$A$1:$A$1267,$B957)&gt;0,$B957="",$M957=""),"",True)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IF(OR(COUNTIF('クラス'!$A$1:$A$1267,$B958)&gt;0,$B958="",$M958=""),"",True)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IF(OR(COUNTIF('クラス'!$A$1:$A$1267,$B959)&gt;0,$B959="",$M959=""),"",True)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IF(OR(COUNTIF('クラス'!$A$1:$A$1267,$B960)&gt;0,$B960="",$M960=""),"",True)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IF(OR(COUNTIF('クラス'!$A$1:$A$1267,$B961)&gt;0,$B961="",$M961=""),"",True)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IF(OR(COUNTIF('クラス'!$A$1:$A$1267,$B962)&gt;0,$B962="",$M962=""),"",True)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IF(OR(COUNTIF('クラス'!$A$1:$A$1267,$B963)&gt;0,$B963="",$M963=""),"",True)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IF(OR(COUNTIF('クラス'!$A$1:$A$1267,$B964)&gt;0,$B964="",$M964=""),"",True)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IF(OR(COUNTIF('クラス'!$A$1:$A$1267,$B965)&gt;0,$B965="",$M965=""),"",True)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IF(OR(COUNTIF('クラス'!$A$1:$A$1267,$B966)&gt;0,$B966="",$M966=""),"",True)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IF(OR(COUNTIF('クラス'!$A$1:$A$1267,$B967)&gt;0,$B967="",$M967=""),"",True)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IF(OR(COUNTIF('クラス'!$A$1:$A$1267,$B968)&gt;0,$B968="",$M968=""),"",True)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IF(OR(COUNTIF('クラス'!$A$1:$A$1267,$B969)&gt;0,$B969="",$M969=""),"",True)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IF(OR(COUNTIF('クラス'!$A$1:$A$1267,$B970)&gt;0,$B970="",$M970=""),"",True)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IF(OR(COUNTIF('クラス'!$A$1:$A$1267,$B971)&gt;0,$B971="",$M971=""),"",True)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IF(OR(COUNTIF('クラス'!$A$1:$A$1267,$B972)&gt;0,$B972="",$M972=""),"",True)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IF(OR(COUNTIF('クラス'!$A$1:$A$1267,$B973)&gt;0,$B973="",$M973=""),"",True)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IF(OR(COUNTIF('クラス'!$A$1:$A$1267,$B974)&gt;0,$B974="",$M974=""),"",True)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IF(OR(COUNTIF('クラス'!$A$1:$A$1267,$B975)&gt;0,$B975="",$M975=""),"",True)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IF(OR(COUNTIF('クラス'!$A$1:$A$1267,$B976)&gt;0,$B976="",$M976=""),"",True)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IF(OR(COUNTIF('クラス'!$A$1:$A$1267,$B977)&gt;0,$B977="",$M977=""),"",True)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IF(OR(COUNTIF('クラス'!$A$1:$A$1267,$B978)&gt;0,$B978="",$M978=""),"",True)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IF(OR(COUNTIF('クラス'!$A$1:$A$1267,$B979)&gt;0,$B979="",$M979=""),"",True)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IF(OR(COUNTIF('クラス'!$A$1:$A$1267,$B980)&gt;0,$B980="",$M980=""),"",True)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IF(OR(COUNTIF('クラス'!$A$1:$A$1267,$B981)&gt;0,$B981="",$M981=""),"",True)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IF(OR(COUNTIF('クラス'!$A$1:$A$1267,$B982)&gt;0,$B982="",$M982=""),"",True)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IF(OR(COUNTIF('クラス'!$A$1:$A$1267,$B983)&gt;0,$B983="",$M983=""),"",True)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IF(OR(COUNTIF('クラス'!$A$1:$A$1267,$B984)&gt;0,$B984="",$M984=""),"",True)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IF(OR(COUNTIF('クラス'!$A$1:$A$1267,$B985)&gt;0,$B985="",$M985=""),"",True)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IF(OR(COUNTIF('クラス'!$A$1:$A$1267,$B986)&gt;0,$B986="",$M986=""),"",True)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IF(OR(COUNTIF('クラス'!$A$1:$A$1267,$B987)&gt;0,$B987="",$M987=""),"",True)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IF(OR(COUNTIF('クラス'!$A$1:$A$1267,$B988)&gt;0,$B988="",$M988=""),"",True)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IF(OR(COUNTIF('クラス'!$A$1:$A$1267,$B989)&gt;0,$B989="",$M989=""),"",True)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IF(OR(COUNTIF('クラス'!$A$1:$A$1267,$B990)&gt;0,$B990="",$M990=""),"",True)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IF(OR(COUNTIF('クラス'!$A$1:$A$1267,$B991)&gt;0,$B991="",$M991=""),"",True)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IF(OR(COUNTIF('クラス'!$A$1:$A$1267,$B992)&gt;0,$B992="",$M992=""),"",True)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IF(OR(COUNTIF('クラス'!$A$1:$A$1267,$B993)&gt;0,$B993="",$M993=""),"",True)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IF(OR(COUNTIF('クラス'!$A$1:$A$1267,$B994)&gt;0,$B994="",$M994=""),"",True)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IF(OR(COUNTIF('クラス'!$A$1:$A$1267,$B995)&gt;0,$B995="",$M995=""),"",True)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IF(OR(COUNTIF('クラス'!$A$1:$A$1267,$B996)&gt;0,$B996="",$M996=""),"",True)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IF(OR(COUNTIF('クラス'!$A$1:$A$1267,$B997)&gt;0,$B997="",$M997=""),"",True)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IF(OR(COUNTIF('クラス'!$A$1:$A$1267,$B998)&gt;0,$B998="",$M998=""),"",True)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IF(OR(COUNTIF('クラス'!$A$1:$A$1267,$B999)&gt;0,$B999="",$M999=""),"",True)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IF(OR(COUNTIF('クラス'!$A$1:$A$1267,$B1000)&gt;0,$B1000="",$M1000=""),"",True)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IF(OR(COUNTIF('クラス'!$A$1:$A$1267,$B1001)&gt;0,$B1001="",$M1001=""),"",True)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IF(OR(COUNTIF('クラス'!$A$1:$A$1267,$B1002)&gt;0,$B1002="",$M1002=""),"",True)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IF(OR(COUNTIF('クラス'!$A$1:$A$1267,$B1003)&gt;0,$B1003="",$M1003=""),"",True)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IF(OR(COUNTIF('クラス'!$A$1:$A$1267,$B1004)&gt;0,$B1004="",$M1004=""),"",True)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IF(OR(COUNTIF('クラス'!$A$1:$A$1267,$B1005)&gt;0,$B1005="",$M1005=""),"",True)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IF(OR(COUNTIF('クラス'!$A$1:$A$1267,$B1006)&gt;0,$B1006="",$M1006=""),"",True)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IF(OR(COUNTIF('クラス'!$A$1:$A$1267,$B1007)&gt;0,$B1007="",$M1007=""),"",True)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IF(OR(COUNTIF('クラス'!$A$1:$A$1267,$B1008)&gt;0,$B1008="",$M1008=""),"",True)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IF(OR(COUNTIF('クラス'!$A$1:$A$1267,$B1009)&gt;0,$B1009="",$M1009=""),"",True)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IF(OR(COUNTIF('クラス'!$A$1:$A$1267,$B1010)&gt;0,$B1010="",$M1010=""),"",True)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IF(OR(COUNTIF('クラス'!$A$1:$A$1267,$B1011)&gt;0,$B1011="",$M1011=""),"",True)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IF(OR(COUNTIF('クラス'!$A$1:$A$1267,$B1012)&gt;0,$B1012="",$M1012=""),"",True)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IF(OR(COUNTIF('クラス'!$A$1:$A$1267,$B1013)&gt;0,$B1013="",$M1013=""),"",True)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IF(OR(COUNTIF('クラス'!$A$1:$A$1267,$B1014)&gt;0,$B1014="",$M1014=""),"",True)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IF(OR(COUNTIF('クラス'!$A$1:$A$1267,$B1015)&gt;0,$B1015="",$M1015=""),"",True)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IF(OR(COUNTIF('クラス'!$A$1:$A$1267,$B1016)&gt;0,$B1016="",$M1016=""),"",True)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IF(OR(COUNTIF('クラス'!$A$1:$A$1267,$B1017)&gt;0,$B1017="",$M1017=""),"",True)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IF(OR(COUNTIF('クラス'!$A$1:$A$1267,$B1018)&gt;0,$B1018="",$M1018=""),"",True)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IF(OR(COUNTIF('クラス'!$A$1:$A$1267,$B1019)&gt;0,$B1019="",$M1019=""),"",True)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IF(OR(COUNTIF('クラス'!$A$1:$A$1267,$B1020)&gt;0,$B1020="",$M1020=""),"",True)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IF(OR(COUNTIF('クラス'!$A$1:$A$1267,$B1021)&gt;0,$B1021="",$M1021=""),"",True)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IF(OR(COUNTIF('クラス'!$A$1:$A$1267,$B1022)&gt;0,$B1022="",$M1022=""),"",True)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IF(OR(COUNTIF('クラス'!$A$1:$A$1267,$B1023)&gt;0,$B1023="",$M1023=""),"",True)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IF(OR(COUNTIF('クラス'!$A$1:$A$1267,$B1024)&gt;0,$B1024="",$M1024=""),"",True)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IF(OR(COUNTIF('クラス'!$A$1:$A$1267,$B1025)&gt;0,$B1025="",$M1025=""),"",True)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IF(OR(COUNTIF('クラス'!$A$1:$A$1267,$B1026)&gt;0,$B1026="",$M1026=""),"",True)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IF(OR(COUNTIF('クラス'!$A$1:$A$1267,$B1027)&gt;0,$B1027="",$M1027=""),"",True)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IF(OR(COUNTIF('クラス'!$A$1:$A$1267,$B1028)&gt;0,$B1028="",$M1028=""),"",True)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IF(OR(COUNTIF('クラス'!$A$1:$A$1267,$B1029)&gt;0,$B1029="",$M1029=""),"",True)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IF(OR(COUNTIF('クラス'!$A$1:$A$1267,$B1030)&gt;0,$B1030="",$M1030=""),"",True)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IF(OR(COUNTIF('クラス'!$A$1:$A$1267,$B1031)&gt;0,$B1031="",$M1031=""),"",True)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IF(OR(COUNTIF('クラス'!$A$1:$A$1267,$B1032)&gt;0,$B1032="",$M1032=""),"",True)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IF(OR(COUNTIF('クラス'!$A$1:$A$1267,$B1033)&gt;0,$B1033="",$M1033=""),"",True)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IF(OR(COUNTIF('クラス'!$A$1:$A$1267,$B1034)&gt;0,$B1034="",$M1034=""),"",True)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IF(OR(COUNTIF('クラス'!$A$1:$A$1267,$B1035)&gt;0,$B1035="",$M1035=""),"",True)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IF(OR(COUNTIF('クラス'!$A$1:$A$1267,$B1036)&gt;0,$B1036="",$M1036=""),"",True)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IF(OR(COUNTIF('クラス'!$A$1:$A$1267,$B1037)&gt;0,$B1037="",$M1037=""),"",True)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IF(OR(COUNTIF('クラス'!$A$1:$A$1267,$B1038)&gt;0,$B1038="",$M1038=""),"",True)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IF(OR(COUNTIF('クラス'!$A$1:$A$1267,$B1039)&gt;0,$B1039="",$M1039=""),"",True)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IF(OR(COUNTIF('クラス'!$A$1:$A$1267,$B1040)&gt;0,$B1040="",$M1040=""),"",True)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IF(OR(COUNTIF('クラス'!$A$1:$A$1267,$B1041)&gt;0,$B1041="",$M1041=""),"",True)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IF(OR(COUNTIF('クラス'!$A$1:$A$1267,$B1042)&gt;0,$B1042="",$M1042=""),"",True)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IF(OR(COUNTIF('クラス'!$A$1:$A$1267,$B1043)&gt;0,$B1043="",$M1043=""),"",True)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IF(OR(COUNTIF('クラス'!$A$1:$A$1267,$B1044)&gt;0,$B1044="",$M1044=""),"",True)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IF(OR(COUNTIF('クラス'!$A$1:$A$1267,$B1045)&gt;0,$B1045="",$M1045=""),"",True)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IF(OR(COUNTIF('クラス'!$A$1:$A$1267,$B1046)&gt;0,$B1046="",$M1046=""),"",True)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IF(OR(COUNTIF('クラス'!$A$1:$A$1267,$B1047)&gt;0,$B1047="",$M1047=""),"",True)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IF(OR(COUNTIF('クラス'!$A$1:$A$1267,$B1048)&gt;0,$B1048="",$M1048=""),"",True)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IF(OR(COUNTIF('クラス'!$A$1:$A$1267,$B1049)&gt;0,$B1049="",$M1049=""),"",True)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IF(OR(COUNTIF('クラス'!$A$1:$A$1267,$B1050)&gt;0,$B1050="",$M1050=""),"",True)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IF(OR(COUNTIF('クラス'!$A$1:$A$1267,$B1051)&gt;0,$B1051="",$M1051=""),"",True)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IF(OR(COUNTIF('クラス'!$A$1:$A$1267,$B1052)&gt;0,$B1052="",$M1052=""),"",True)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IF(OR(COUNTIF('クラス'!$A$1:$A$1267,$B1053)&gt;0,$B1053="",$M1053=""),"",True)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IF(OR(COUNTIF('クラス'!$A$1:$A$1267,$B1054)&gt;0,$B1054="",$M1054=""),"",True)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IF(OR(COUNTIF('クラス'!$A$1:$A$1267,$B1055)&gt;0,$B1055="",$M1055=""),"",True)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IF(OR(COUNTIF('クラス'!$A$1:$A$1267,$B1056)&gt;0,$B1056="",$M1056=""),"",True)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IF(OR(COUNTIF('クラス'!$A$1:$A$1267,$B1057)&gt;0,$B1057="",$M1057=""),"",True)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IF(OR(COUNTIF('クラス'!$A$1:$A$1267,$B1058)&gt;0,$B1058="",$M1058=""),"",True)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IF(OR(COUNTIF('クラス'!$A$1:$A$1267,$B1059)&gt;0,$B1059="",$M1059=""),"",True)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IF(OR(COUNTIF('クラス'!$A$1:$A$1267,$B1060)&gt;0,$B1060="",$M1060=""),"",True)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IF(OR(COUNTIF('クラス'!$A$1:$A$1267,$B1061)&gt;0,$B1061="",$M1061=""),"",True)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IF(OR(COUNTIF('クラス'!$A$1:$A$1267,$B1062)&gt;0,$B1062="",$M1062=""),"",True)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IF(OR(COUNTIF('クラス'!$A$1:$A$1267,$B1063)&gt;0,$B1063="",$M1063=""),"",True)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IF(OR(COUNTIF('クラス'!$A$1:$A$1267,$B1064)&gt;0,$B1064="",$M1064=""),"",True)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IF(OR(COUNTIF('クラス'!$A$1:$A$1267,$B1065)&gt;0,$B1065="",$M1065=""),"",True)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IF(OR(COUNTIF('クラス'!$A$1:$A$1267,$B1066)&gt;0,$B1066="",$M1066=""),"",True)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IF(OR(COUNTIF('クラス'!$A$1:$A$1267,$B1067)&gt;0,$B1067="",$M1067=""),"",True)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IF(OR(COUNTIF('クラス'!$A$1:$A$1267,$B1068)&gt;0,$B1068="",$M1068=""),"",True)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IF(OR(COUNTIF('クラス'!$A$1:$A$1267,$B1069)&gt;0,$B1069="",$M1069=""),"",True)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IF(OR(COUNTIF('クラス'!$A$1:$A$1267,$B1070)&gt;0,$B1070="",$M1070=""),"",True)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IF(OR(COUNTIF('クラス'!$A$1:$A$1267,$B1071)&gt;0,$B1071="",$M1071=""),"",True)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IF(OR(COUNTIF('クラス'!$A$1:$A$1267,$B1072)&gt;0,$B1072="",$M1072=""),"",True)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IF(OR(COUNTIF('クラス'!$A$1:$A$1267,$B1073)&gt;0,$B1073="",$M1073=""),"",True)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IF(OR(COUNTIF('クラス'!$A$1:$A$1267,$B1074)&gt;0,$B1074="",$M1074=""),"",True)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IF(OR(COUNTIF('クラス'!$A$1:$A$1267,$B1075)&gt;0,$B1075="",$M1075=""),"",True)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IF(OR(COUNTIF('クラス'!$A$1:$A$1267,$B1076)&gt;0,$B1076="",$M1076=""),"",True)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IF(OR(COUNTIF('クラス'!$A$1:$A$1267,$B1077)&gt;0,$B1077="",$M1077=""),"",True)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IF(OR(COUNTIF('クラス'!$A$1:$A$1267,$B1078)&gt;0,$B1078="",$M1078=""),"",True)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IF(OR(COUNTIF('クラス'!$A$1:$A$1267,$B1079)&gt;0,$B1079="",$M1079=""),"",True)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IF(OR(COUNTIF('クラス'!$A$1:$A$1267,$B1080)&gt;0,$B1080="",$M1080=""),"",True)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IF(OR(COUNTIF('クラス'!$A$1:$A$1267,$B1081)&gt;0,$B1081="",$M1081=""),"",True)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IF(OR(COUNTIF('クラス'!$A$1:$A$1267,$B1082)&gt;0,$B1082="",$M1082=""),"",True)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IF(OR(COUNTIF('クラス'!$A$1:$A$1267,$B1083)&gt;0,$B1083="",$M1083=""),"",True)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IF(OR(COUNTIF('クラス'!$A$1:$A$1267,$B1084)&gt;0,$B1084="",$M1084=""),"",True)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IF(OR(COUNTIF('クラス'!$A$1:$A$1267,$B1085)&gt;0,$B1085="",$M1085=""),"",True)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IF(OR(COUNTIF('クラス'!$A$1:$A$1267,$B1086)&gt;0,$B1086="",$M1086=""),"",True)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IF(OR(COUNTIF('クラス'!$A$1:$A$1267,$B1087)&gt;0,$B1087="",$M1087=""),"",True)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IF(OR(COUNTIF('クラス'!$A$1:$A$1267,$B1088)&gt;0,$B1088="",$M1088=""),"",True)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IF(OR(COUNTIF('クラス'!$A$1:$A$1267,$B1089)&gt;0,$B1089="",$M1089=""),"",True)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IF(OR(COUNTIF('クラス'!$A$1:$A$1267,$B1090)&gt;0,$B1090="",$M1090=""),"",True)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IF(OR(COUNTIF('クラス'!$A$1:$A$1267,$B1091)&gt;0,$B1091="",$M1091=""),"",True)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IF(OR(COUNTIF('クラス'!$A$1:$A$1267,$B1092)&gt;0,$B1092="",$M1092=""),"",True)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IF(OR(COUNTIF('クラス'!$A$1:$A$1267,$B1093)&gt;0,$B1093="",$M1093=""),"",True)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IF(OR(COUNTIF('クラス'!$A$1:$A$1267,$B1094)&gt;0,$B1094="",$M1094=""),"",True)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IF(OR(COUNTIF('クラス'!$A$1:$A$1267,$B1095)&gt;0,$B1095="",$M1095=""),"",True)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IF(OR(COUNTIF('クラス'!$A$1:$A$1267,$B1096)&gt;0,$B1096="",$M1096=""),"",True)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IF(OR(COUNTIF('クラス'!$A$1:$A$1267,$B1097)&gt;0,$B1097="",$M1097=""),"",True)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IF(OR(COUNTIF('クラス'!$A$1:$A$1267,$B1098)&gt;0,$B1098="",$M1098=""),"",True)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IF(OR(COUNTIF('クラス'!$A$1:$A$1267,$B1099)&gt;0,$B1099="",$M1099=""),"",True)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IF(OR(COUNTIF('クラス'!$A$1:$A$1267,$B1100)&gt;0,$B1100="",$M1100=""),"",True)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IF(OR(COUNTIF('クラス'!$A$1:$A$1267,$B1101)&gt;0,$B1101="",$M1101=""),"",True)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IF(OR(COUNTIF('クラス'!$A$1:$A$1267,$B1102)&gt;0,$B1102="",$M1102=""),"",True)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IF(OR(COUNTIF('クラス'!$A$1:$A$1267,$B1103)&gt;0,$B1103="",$M1103=""),"",True)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IF(OR(COUNTIF('クラス'!$A$1:$A$1267,$B1104)&gt;0,$B1104="",$M1104=""),"",True)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IF(OR(COUNTIF('クラス'!$A$1:$A$1267,$B1105)&gt;0,$B1105="",$M1105=""),"",True)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IF(OR(COUNTIF('クラス'!$A$1:$A$1267,$B1106)&gt;0,$B1106="",$M1106=""),"",True)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IF(OR(COUNTIF('クラス'!$A$1:$A$1267,$B1107)&gt;0,$B1107="",$M1107=""),"",True)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IF(OR(COUNTIF('クラス'!$A$1:$A$1267,$B1108)&gt;0,$B1108="",$M1108=""),"",True)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IF(OR(COUNTIF('クラス'!$A$1:$A$1267,$B1109)&gt;0,$B1109="",$M1109=""),"",True)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IF(OR(COUNTIF('クラス'!$A$1:$A$1267,$B1110)&gt;0,$B1110="",$M1110=""),"",True)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IF(OR(COUNTIF('クラス'!$A$1:$A$1267,$B1111)&gt;0,$B1111="",$M1111=""),"",True)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IF(OR(COUNTIF('クラス'!$A$1:$A$1267,$B1112)&gt;0,$B1112="",$M1112=""),"",True)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IF(OR(COUNTIF('クラス'!$A$1:$A$1267,$B1113)&gt;0,$B1113="",$M1113=""),"",True)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IF(OR(COUNTIF('クラス'!$A$1:$A$1267,$B1114)&gt;0,$B1114="",$M1114=""),"",True)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IF(OR(COUNTIF('クラス'!$A$1:$A$1267,$B1115)&gt;0,$B1115="",$M1115=""),"",True)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IF(OR(COUNTIF('クラス'!$A$1:$A$1267,$B1116)&gt;0,$B1116="",$M1116=""),"",True)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IF(OR(COUNTIF('クラス'!$A$1:$A$1267,$B1117)&gt;0,$B1117="",$M1117=""),"",True)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IF(OR(COUNTIF('クラス'!$A$1:$A$1267,$B1118)&gt;0,$B1118="",$M1118=""),"",True)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IF(OR(COUNTIF('クラス'!$A$1:$A$1267,$B1119)&gt;0,$B1119="",$M1119=""),"",True)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IF(OR(COUNTIF('クラス'!$A$1:$A$1267,$B1120)&gt;0,$B1120="",$M1120=""),"",True)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IF(OR(COUNTIF('クラス'!$A$1:$A$1267,$B1121)&gt;0,$B1121="",$M1121=""),"",True)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IF(OR(COUNTIF('クラス'!$A$1:$A$1267,$B1122)&gt;0,$B1122="",$M1122=""),"",True)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IF(OR(COUNTIF('クラス'!$A$1:$A$1267,$B1123)&gt;0,$B1123="",$M1123=""),"",True)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IF(OR(COUNTIF('クラス'!$A$1:$A$1267,$B1124)&gt;0,$B1124="",$M1124=""),"",True)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IF(OR(COUNTIF('クラス'!$A$1:$A$1267,$B1125)&gt;0,$B1125="",$M1125=""),"",True)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IF(OR(COUNTIF('クラス'!$A$1:$A$1267,$B1126)&gt;0,$B1126="",$M1126=""),"",True)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IF(OR(COUNTIF('クラス'!$A$1:$A$1267,$B1127)&gt;0,$B1127="",$M1127=""),"",True)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IF(OR(COUNTIF('クラス'!$A$1:$A$1267,$B1128)&gt;0,$B1128="",$M1128=""),"",True)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IF(OR(COUNTIF('クラス'!$A$1:$A$1267,$B1129)&gt;0,$B1129="",$M1129=""),"",True)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IF(OR(COUNTIF('クラス'!$A$1:$A$1267,$B1130)&gt;0,$B1130="",$M1130=""),"",True)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IF(OR(COUNTIF('クラス'!$A$1:$A$1267,$B1131)&gt;0,$B1131="",$M1131=""),"",True)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IF(OR(COUNTIF('クラス'!$A$1:$A$1267,$B1132)&gt;0,$B1132="",$M1132=""),"",True)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IF(OR(COUNTIF('クラス'!$A$1:$A$1267,$B1133)&gt;0,$B1133="",$M1133=""),"",True)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IF(OR(COUNTIF('クラス'!$A$1:$A$1267,$B1134)&gt;0,$B1134="",$M1134=""),"",True)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IF(OR(COUNTIF('クラス'!$A$1:$A$1267,$B1135)&gt;0,$B1135="",$M1135=""),"",True)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IF(OR(COUNTIF('クラス'!$A$1:$A$1267,$B1136)&gt;0,$B1136="",$M1136=""),"",True)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IF(OR(COUNTIF('クラス'!$A$1:$A$1267,$B1137)&gt;0,$B1137="",$M1137=""),"",True)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IF(OR(COUNTIF('クラス'!$A$1:$A$1267,$B1138)&gt;0,$B1138="",$M1138=""),"",True)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IF(OR(COUNTIF('クラス'!$A$1:$A$1267,$B1139)&gt;0,$B1139="",$M1139=""),"",True)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IF(OR(COUNTIF('クラス'!$A$1:$A$1267,$B1140)&gt;0,$B1140="",$M1140=""),"",True)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IF(OR(COUNTIF('クラス'!$A$1:$A$1267,$B1141)&gt;0,$B1141="",$M1141=""),"",True)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IF(OR(COUNTIF('クラス'!$A$1:$A$1267,$B1142)&gt;0,$B1142="",$M1142=""),"",True)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IF(OR(COUNTIF('クラス'!$A$1:$A$1267,$B1143)&gt;0,$B1143="",$M1143=""),"",True)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IF(OR(COUNTIF('クラス'!$A$1:$A$1267,$B1144)&gt;0,$B1144="",$M1144=""),"",True)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IF(OR(COUNTIF('クラス'!$A$1:$A$1267,$B1145)&gt;0,$B1145="",$M1145=""),"",True)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IF(OR(COUNTIF('クラス'!$A$1:$A$1267,$B1146)&gt;0,$B1146="",$M1146=""),"",True)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IF(OR(COUNTIF('クラス'!$A$1:$A$1267,$B1147)&gt;0,$B1147="",$M1147=""),"",True)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IF(OR(COUNTIF('クラス'!$A$1:$A$1267,$B1148)&gt;0,$B1148="",$M1148=""),"",True)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IF(OR(COUNTIF('クラス'!$A$1:$A$1267,$B1149)&gt;0,$B1149="",$M1149=""),"",True)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IF(OR(COUNTIF('クラス'!$A$1:$A$1267,$B1150)&gt;0,$B1150="",$M1150=""),"",True)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IF(OR(COUNTIF('クラス'!$A$1:$A$1267,$B1255)&gt;0,$B1255="",$M1255=""),"",True)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IF(OR(COUNTIF('クラス'!$A$1:$A$1267,$B1256)&gt;0,$B1256="",$M1256=""),"",True)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IF(OR(COUNTIF('クラス'!$A$1:$A$1267,$B1257)&gt;0,$B1257="",$M1257=""),"",True)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IF(OR(COUNTIF('クラス'!$A$1:$A$1267,$B1258)&gt;0,$B1258="",$M1258=""),"",True)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IF(OR(COUNTIF('クラス'!$A$1:$A$1267,$B1259)&gt;0,$B1259="",$M1259=""),"",True)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IF(OR(COUNTIF('クラス'!$A$1:$A$1267,$B1260)&gt;0,$B1260="",$M1260=""),"",True)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IF(OR(COUNTIF('クラス'!$A$1:$A$1267,$B1261)&gt;0,$B1261="",$M1261=""),"",True)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IF(OR(COUNTIF('クラス'!$A$1:$A$1267,$B1262)&gt;0,$B1262="",$M1262=""),"",True)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IF(OR(COUNTIF('クラス'!$A$1:$A$1267,$B1263)&gt;0,$B1263="",$M1263=""),"",True)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IF(OR(COUNTIF('クラス'!$A$1:$A$1267,$B1264)&gt;0,$B1264="",$M1264=""),"",True)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IF(OR(COUNTIF('クラス'!$A$1:$A$1267,$B1265)&gt;0,$B1265="",$M1265=""),"",True)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IF(OR(COUNTIF('クラス'!$A$1:$A$1267,$B1266)&gt;0,$B1266="",$M1266=""),"",True)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IF(OR(COUNTIF('クラス'!$A$1:$A$1267,$B1267)&gt;0,$B1267="",$M1267=""),"",True)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IF(OR(COUNTIF('クラス'!$A$1:$A$1267,$B1268)&gt;0,$B1268="",$M1268=""),"",True)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IF(OR(COUNTIF('クラス'!$A$1:$A$1267,$B1269)&gt;0,$B1269="",$M1269=""),"",True)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IF(OR(COUNTIF('クラス'!$A$1:$A$1267,$B1270)&gt;0,$B1270="",$M1270=""),"",True)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IF(OR(COUNTIF('クラス'!$A$1:$A$1267,$B1271)&gt;0,$B1271="",$M1271=""),"",True)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IF(OR(COUNTIF('クラス'!$A$1:$A$1267,$B1272)&gt;0,$B1272="",$M1272=""),"",True)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IF(OR(COUNTIF('クラス'!$A$1:$A$1267,$B1273)&gt;0,$B1273="",$M1273=""),"",True)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IF(OR(COUNTIF('クラス'!$A$1:$A$1267,$B1274)&gt;0,$B1274="",$M1274=""),"",True)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IF(OR(COUNTIF('クラス'!$A$1:$A$1267,$B1275)&gt;0,$B1275="",$M1275=""),"",True)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IF(OR(COUNTIF('クラス'!$A$1:$A$1267,$B1276)&gt;0,$B1276="",$M1276=""),"",True)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IF(OR(COUNTIF('クラス'!$A$1:$A$1267,$B1277)&gt;0,$B1277="",$M1277=""),"",True)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IF(OR(COUNTIF('クラス'!$A$1:$A$1267,$B1278)&gt;0,$B1278="",$M1278=""),"",True)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IF(OR(COUNTIF('クラス'!$A$1:$A$1267,$B1279)&gt;0,$B1279="",$M1279=""),"",True)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IF(OR(COUNTIF('クラス'!$A$1:$A$1267,$B1280)&gt;0,$B1280="",$M1280=""),"",True)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IF(OR(COUNTIF('クラス'!$A$1:$A$1267,$B1281)&gt;0,$B1281="",$M1281=""),"",True)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IF(OR(COUNTIF('クラス'!$A$1:$A$1267,$B1282)&gt;0,$B1282="",$M1282=""),"",True)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IF(OR(COUNTIF('クラス'!$A$1:$A$1267,$B1283)&gt;0,$B1283="",$M1283=""),"",True)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IF(OR(COUNTIF('クラス'!$A$1:$A$1267,$B1284)&gt;0,$B1284="",$M1284=""),"",True)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IF(OR(COUNTIF('クラス'!$A$1:$A$1267,$B1285)&gt;0,$B1285="",$M1285=""),"",True)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IF(OR(COUNTIF('クラス'!$A$1:$A$1267,$B1286)&gt;0,$B1286="",$M1286=""),"",True)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IF(OR(COUNTIF('クラス'!$A$1:$A$1267,$B1287)&gt;0,$B1287="",$M1287=""),"",True)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IF(OR(COUNTIF('クラス'!$A$1:$A$1267,$B1288)&gt;0,$B1288="",$M1288=""),"",True)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IF(OR(COUNTIF('クラス'!$A$1:$A$1267,$B1289)&gt;0,$B1289="",$M1289=""),"",True)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IF(OR(COUNTIF('クラス'!$A$1:$A$1267,$B1290)&gt;0,$B1290="",$M1290=""),"",True)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IF(OR(COUNTIF('クラス'!$A$1:$A$1267,$B1291)&gt;0,$B1291="",$M1291=""),"",True)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IF(OR(COUNTIF('クラス'!$A$1:$A$1267,$B1292)&gt;0,$B1292="",$M1292=""),"",True)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IF(OR(COUNTIF('クラス'!$A$1:$A$1267,$B1293)&gt;0,$B1293="",$M1293=""),"",True)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IF(OR(COUNTIF('クラス'!$A$1:$A$1267,$B1294)&gt;0,$B1294="",$M1294=""),"",True)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IF(OR(COUNTIF('クラス'!$A$1:$A$1267,$B1295)&gt;0,$B1295="",$M1295=""),"",True)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IF(OR(COUNTIF('クラス'!$A$1:$A$1267,$B1296)&gt;0,$B1296="",$M1296=""),"",True)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IF(OR(COUNTIF('クラス'!$A$1:$A$1267,$B1297)&gt;0,$B1297="",$M1297=""),"",True)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IF(OR(COUNTIF('クラス'!$A$1:$A$1267,$B1298)&gt;0,$B1298="",$M1298=""),"",True)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IF(OR(COUNTIF('クラス'!$A$1:$A$1267,$B1299)&gt;0,$B1299="",$M1299=""),"",True)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IF(OR(COUNTIF('クラス'!$A$1:$A$1267,$B1300)&gt;0,$B1300="",$M1300=""),"",True)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IF(OR(COUNTIF('クラス'!$A$1:$A$1267,$B1301)&gt;0,$B1301="",$M1301=""),"",True)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IF(OR(COUNTIF('クラス'!$A$1:$A$1267,$B1302)&gt;0,$B1302="",$M1302=""),"",True)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IF(OR(COUNTIF('クラス'!$A$1:$A$1267,$B1303)&gt;0,$B1303="",$M1303=""),"",True)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IF(OR(COUNTIF('クラス'!$A$1:$A$1267,$B1304)&gt;0,$B1304="",$M1304=""),"",True)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IF(OR(COUNTIF('クラス'!$A$1:$A$1267,$B1305)&gt;0,$B1305="",$M1305=""),"",True)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IF(OR(COUNTIF('クラス'!$A$1:$A$1267,$B1306)&gt;0,$B1306="",$M1306=""),"",True)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IF(OR(COUNTIF('クラス'!$A$1:$A$1267,$B1307)&gt;0,$B1307="",$M1307=""),"",True)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IF(OR(COUNTIF('クラス'!$A$1:$A$1267,$B1308)&gt;0,$B1308="",$M1308=""),"",True)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IF(OR(COUNTIF('クラス'!$A$1:$A$1267,$B1309)&gt;0,$B1309="",$M1309=""),"",True)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IF(OR(COUNTIF('クラス'!$A$1:$A$1267,$B1310)&gt;0,$B1310="",$M1310=""),"",True)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IF(OR(COUNTIF('クラス'!$A$1:$A$1267,$B1311)&gt;0,$B1311="",$M1311=""),"",True)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IF(OR(COUNTIF('クラス'!$A$1:$A$1267,$B1312)&gt;0,$B1312="",$M1312=""),"",True)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IF(OR(COUNTIF('クラス'!$A$1:$A$1267,$B1313)&gt;0,$B1313="",$M1313=""),"",True)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IF(OR(COUNTIF('クラス'!$A$1:$A$1267,$B1314)&gt;0,$B1314="",$M1314=""),"",True)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IF(OR(COUNTIF('クラス'!$A$1:$A$1267,$B1315)&gt;0,$B1315="",$M1315=""),"",True)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IF(OR(COUNTIF('クラス'!$A$1:$A$1267,$B1316)&gt;0,$B1316="",$M1316=""),"",True)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IF(OR(COUNTIF('クラス'!$A$1:$A$1267,$B1317)&gt;0,$B1317="",$M1317=""),"",True)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IF(OR(COUNTIF('クラス'!$A$1:$A$1267,$B1318)&gt;0,$B1318="",$M1318=""),"",True)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IF(OR(COUNTIF('クラス'!$A$1:$A$1267,$B1319)&gt;0,$B1319="",$M1319=""),"",True)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IF(OR(COUNTIF('クラス'!$A$1:$A$1267,$B1320)&gt;0,$B1320="",$M1320=""),"",True)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IF(OR(COUNTIF('クラス'!$A$1:$A$1267,$B1321)&gt;0,$B1321="",$M1321=""),"",True)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IF(OR(COUNTIF('クラス'!$A$1:$A$1267,$B1322)&gt;0,$B1322="",$M1322=""),"",True)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IF(OR(COUNTIF('クラス'!$A$1:$A$1267,$B1323)&gt;0,$B1323="",$M1323=""),"",True)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IF(OR(COUNTIF('クラス'!$A$1:$A$1267,$B1324)&gt;0,$B1324="",$M1324=""),"",True)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IF(OR(COUNTIF('クラス'!$A$1:$A$1267,$B1325)&gt;0,$B1325="",$M1325=""),"",True)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IF(OR(COUNTIF('クラス'!$A$1:$A$1267,$B1326)&gt;0,$B1326="",$M1326=""),"",True)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IF(OR(COUNTIF('クラス'!$A$1:$A$1267,$B1327)&gt;0,$B1327="",$M1327=""),"",True)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IF(OR(COUNTIF('クラス'!$A$1:$A$1267,$B1328)&gt;0,$B1328="",$M1328=""),"",True)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IF(OR(COUNTIF('クラス'!$A$1:$A$1267,$B1329)&gt;0,$B1329="",$M1329=""),"",True)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IF(OR(COUNTIF('クラス'!$A$1:$A$1267,$B1330)&gt;0,$B1330="",$M1330=""),"",True)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IF(OR(COUNTIF('クラス'!$A$1:$A$1267,$B1331)&gt;0,$B1331="",$M1331=""),"",True)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IF(OR(COUNTIF('クラス'!$A$1:$A$1267,$B1332)&gt;0,$B1332="",$M1332=""),"",True)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IF(OR(COUNTIF('クラス'!$A$1:$A$1267,$B1333)&gt;0,$B1333="",$M1333=""),"",True)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IF(OR(COUNTIF('クラス'!$A$1:$A$1267,$B1334)&gt;0,$B1334="",$M1334=""),"",True)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IF(OR(COUNTIF('クラス'!$A$1:$A$1267,$B1335)&gt;0,$B1335="",$M1335=""),"",True)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IF(OR(COUNTIF('クラス'!$A$1:$A$1267,$B1336)&gt;0,$B1336="",$M1336=""),"",True)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IF(OR(COUNTIF('クラス'!$A$1:$A$1267,$B1337)&gt;0,$B1337="",$M1337=""),"",True)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IF(OR(COUNTIF('クラス'!$A$1:$A$1267,$B1338)&gt;0,$B1338="",$M1338=""),"",True)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IF(OR(COUNTIF('クラス'!$A$1:$A$1267,$B1339)&gt;0,$B1339="",$M1339=""),"",True)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IF(OR(COUNTIF('クラス'!$A$1:$A$1267,$B1340)&gt;0,$B1340="",$M1340=""),"",True)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IF(OR(COUNTIF('クラス'!$A$1:$A$1267,$B1341)&gt;0,$B1341="",$M1341=""),"",True)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IF(OR(COUNTIF('クラス'!$A$1:$A$1267,$B1342)&gt;0,$B1342="",$M1342=""),"",True)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IF(OR(COUNTIF('クラス'!$A$1:$A$1267,$B1343)&gt;0,$B1343="",$M1343=""),"",True)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IF(OR(COUNTIF('クラス'!$A$1:$A$1267,$B1344)&gt;0,$B1344="",$M1344=""),"",True)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IF(OR(COUNTIF('クラス'!$A$1:$A$1267,$B1345)&gt;0,$B1345="",$M1345=""),"",True)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IF(OR(COUNTIF('クラス'!$A$1:$A$1267,$B1346)&gt;0,$B1346="",$M1346=""),"",True)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IF(OR(COUNTIF('クラス'!$A$1:$A$1267,$B1347)&gt;0,$B1347="",$M1347=""),"",True)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IF(OR(COUNTIF('クラス'!$A$1:$A$1267,$B1348)&gt;0,$B1348="",$M1348=""),"",True)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IF(OR(COUNTIF('クラス'!$A$1:$A$1267,$B1349)&gt;0,$B1349="",$M1349=""),"",True)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IF(OR(COUNTIF('クラス'!$A$1:$A$1267,$B1350)&gt;0,$B1350="",$M1350=""),"",True)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IF(OR(COUNTIF('クラス'!$A$1:$A$1267,$B1351)&gt;0,$B1351="",$M1351=""),"",True)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IF(OR(COUNTIF('クラス'!$A$1:$A$1267,$B1352)&gt;0,$B1352="",$M1352=""),"",True)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IF(OR(COUNTIF('クラス'!$A$1:$A$1267,$B1353)&gt;0,$B1353="",$M1353=""),"",True)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IF(OR(COUNTIF('クラス'!$A$1:$A$1267,$B1354)&gt;0,$B1354="",$M1354=""),"",True)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IF(OR(COUNTIF('クラス'!$A$1:$A$1267,$B1355)&gt;0,$B1355="",$M1355=""),"",True)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IF(OR(COUNTIF('クラス'!$A$1:$A$1267,$B1356)&gt;0,$B1356="",$M1356=""),"",True)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IF(OR(COUNTIF('クラス'!$A$1:$A$1267,$B1357)&gt;0,$B1357="",$M1357=""),"",True)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IF(OR(COUNTIF('クラス'!$A$1:$A$1267,$B1358)&gt;0,$B1358="",$M1358=""),"",True)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IF(OR(COUNTIF('クラス'!$A$1:$A$1267,$B1359)&gt;0,$B1359="",$M1359=""),"",True)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IF(OR(COUNTIF('クラス'!$A$1:$A$1267,$B1360)&gt;0,$B1360="",$M1360=""),"",True)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IF(OR(COUNTIF('クラス'!$A$1:$A$1267,$B1361)&gt;0,$B1361="",$M1361=""),"",True)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IF(OR(COUNTIF('クラス'!$A$1:$A$1267,$B1362)&gt;0,$B1362="",$M1362=""),"",True)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IF(OR(COUNTIF('クラス'!$A$1:$A$1267,$B1363)&gt;0,$B1363="",$M1363=""),"",True)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IF(OR(COUNTIF('クラス'!$A$1:$A$1267,$B1364)&gt;0,$B1364="",$M1364=""),"",True)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IF(OR(COUNTIF('クラス'!$A$1:$A$1267,$B1365)&gt;0,$B1365="",$M1365=""),"",True)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IF(OR(COUNTIF('クラス'!$A$1:$A$1267,$B1366)&gt;0,$B1366="",$M1366=""),"",True)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IF(OR(COUNTIF('クラス'!$A$1:$A$1267,$B1367)&gt;0,$B1367="",$M1367=""),"",True)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IF(OR(COUNTIF('クラス'!$A$1:$A$1267,$B1368)&gt;0,$B1368="",$M1368=""),"",True)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IF(OR(COUNTIF('クラス'!$A$1:$A$1267,$B1369)&gt;0,$B1369="",$M1369=""),"",True)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IF(OR(COUNTIF('クラス'!$A$1:$A$1267,$B1370)&gt;0,$B1370="",$M1370=""),"",True)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IF(OR(COUNTIF('クラス'!$A$1:$A$1267,$B1371)&gt;0,$B1371="",$M1371=""),"",True)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IF(OR(COUNTIF('クラス'!$A$1:$A$1267,$B1372)&gt;0,$B1372="",$M1372=""),"",True)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IF(OR(COUNTIF('クラス'!$A$1:$A$1267,$B1373)&gt;0,$B1373="",$M1373=""),"",True)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IF(OR(COUNTIF('クラス'!$A$1:$A$1267,$B1374)&gt;0,$B1374="",$M1374=""),"",True)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IF(OR(COUNTIF('クラス'!$A$1:$A$1267,$B1375)&gt;0,$B1375="",$M1375=""),"",True)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IF(OR(COUNTIF('クラス'!$A$1:$A$1267,$B1376)&gt;0,$B1376="",$M1376=""),"",True)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IF(OR(COUNTIF('クラス'!$A$1:$A$1267,$B1377)&gt;0,$B1377="",$M1377=""),"",True)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IF(OR(COUNTIF('クラス'!$A$1:$A$1267,$B1378)&gt;0,$B1378="",$M1378=""),"",True)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IF(OR(COUNTIF('クラス'!$A$1:$A$1267,$B1379)&gt;0,$B1379="",$M1379=""),"",True)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IF(OR(COUNTIF('クラス'!$A$1:$A$1267,$B1380)&gt;0,$B1380="",$M1380=""),"",True)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IF(OR(COUNTIF('クラス'!$A$1:$A$1267,$B1381)&gt;0,$B1381="",$M1381=""),"",True)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IF(OR(COUNTIF('クラス'!$A$1:$A$1267,$B1382)&gt;0,$B1382="",$M1382=""),"",True)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IF(OR(COUNTIF('クラス'!$A$1:$A$1267,$B1383)&gt;0,$B1383="",$M1383=""),"",True)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IF(OR(COUNTIF('クラス'!$A$1:$A$1267,$B1384)&gt;0,$B1384="",$M1384=""),"",True)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IF(OR(COUNTIF('クラス'!$A$1:$A$1267,$B1385)&gt;0,$B1385="",$M1385=""),"",True)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IF(OR(COUNTIF('クラス'!$A$1:$A$1267,$B1386)&gt;0,$B1386="",$M1386=""),"",True)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IF(OR(COUNTIF('クラス'!$A$1:$A$1267,$B1387)&gt;0,$B1387="",$M1387=""),"",True)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IF(OR(COUNTIF('クラス'!$A$1:$A$1267,$B1388)&gt;0,$B1388="",$M1388=""),"",True)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IF(OR(COUNTIF('クラス'!$A$1:$A$1267,$B1389)&gt;0,$B1389="",$M1389=""),"",True)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IF(OR(COUNTIF('クラス'!$A$1:$A$1267,$B1390)&gt;0,$B1390="",$M1390=""),"",True)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IF(OR(COUNTIF('クラス'!$A$1:$A$1267,$B1391)&gt;0,$B1391="",$M1391=""),"",True)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IF(OR(COUNTIF('クラス'!$A$1:$A$1267,$B1392)&gt;0,$B1392="",$M1392=""),"",True)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IF(OR(COUNTIF('クラス'!$A$1:$A$1267,$B1393)&gt;0,$B1393="",$M1393=""),"",True)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IF(OR(COUNTIF('クラス'!$A$1:$A$1267,$B1394)&gt;0,$B1394="",$M1394=""),"",True)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IF(OR(COUNTIF('クラス'!$A$1:$A$1267,$B1395)&gt;0,$B1395="",$M1395=""),"",True)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IF(OR(COUNTIF('クラス'!$A$1:$A$1267,$B1396)&gt;0,$B1396="",$M1396=""),"",True)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IF(OR(COUNTIF('クラス'!$A$1:$A$1267,$B1397)&gt;0,$B1397="",$M1397=""),"",True)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IF(OR(COUNTIF('クラス'!$A$1:$A$1267,$B1398)&gt;0,$B1398="",$M1398=""),"",True)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IF(OR(COUNTIF('クラス'!$A$1:$A$1267,$B1399)&gt;0,$B1399="",$M1399=""),"",True)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IF(OR(COUNTIF('クラス'!$A$1:$A$1267,$B1400)&gt;0,$B1400="",$M1400=""),"",True)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IF(OR(COUNTIF('クラス'!$A$1:$A$1267,$B1401)&gt;0,$B1401="",$M1401=""),"",True)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IF(OR(COUNTIF('クラス'!$A$1:$A$1267,$B1402)&gt;0,$B1402="",$M1402=""),"",True)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IF(OR(COUNTIF('クラス'!$A$1:$A$1267,$B1403)&gt;0,$B1403="",$M1403=""),"",True)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IF(OR(COUNTIF('クラス'!$A$1:$A$1267,$B1404)&gt;0,$B1404="",$M1404=""),"",True)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IF(OR(COUNTIF('クラス'!$A$1:$A$1267,$B1405)&gt;0,$B1405="",$M1405=""),"",True)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IF(OR(COUNTIF('クラス'!$A$1:$A$1267,$B1406)&gt;0,$B1406="",$M1406=""),"",True)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IF(OR(COUNTIF('クラス'!$A$1:$A$1267,$B1407)&gt;0,$B1407="",$M1407=""),"",True)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IF(OR(COUNTIF('クラス'!$A$1:$A$1267,$B1408)&gt;0,$B1408="",$M1408=""),"",True)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IF(OR(COUNTIF('クラス'!$A$1:$A$1267,$B1409)&gt;0,$B1409="",$M1409=""),"",True)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IF(OR(COUNTIF('クラス'!$A$1:$A$1267,$B1410)&gt;0,$B1410="",$M1410=""),"",True)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IF(OR(COUNTIF('クラス'!$A$1:$A$1267,$B1411)&gt;0,$B1411="",$M1411=""),"",True)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IF(OR(COUNTIF('クラス'!$A$1:$A$1267,$B1412)&gt;0,$B1412="",$M1412=""),"",True)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IF(OR(COUNTIF('クラス'!$A$1:$A$1267,$B1413)&gt;0,$B1413="",$M1413=""),"",True)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IF(OR(COUNTIF('クラス'!$A$1:$A$1267,$B1414)&gt;0,$B1414="",$M1414=""),"",True)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IF(OR(COUNTIF('クラス'!$A$1:$A$1267,$B1415)&gt;0,$B1415="",$M1415=""),"",True)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IF(OR(COUNTIF('クラス'!$A$1:$A$1267,$B1416)&gt;0,$B1416="",$M1416=""),"",True)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IF(OR(COUNTIF('クラス'!$A$1:$A$1267,$B1417)&gt;0,$B1417="",$M1417=""),"",True)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IF(OR(COUNTIF('クラス'!$A$1:$A$1267,$B1418)&gt;0,$B1418="",$M1418=""),"",True)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IF(OR(COUNTIF('クラス'!$A$1:$A$1267,$B1419)&gt;0,$B1419="",$M1419=""),"",True)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IF(OR(COUNTIF('クラス'!$A$1:$A$1267,$B1420)&gt;0,$B1420="",$M1420=""),"",True)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IF(OR(COUNTIF('クラス'!$A$1:$A$1267,$B1421)&gt;0,$B1421="",$M1421=""),"",True)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IF(OR(COUNTIF('クラス'!$A$1:$A$1267,$B1422)&gt;0,$B1422="",$M1422=""),"",True)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IF(OR(COUNTIF('クラス'!$A$1:$A$1267,$B1423)&gt;0,$B1423="",$M1423=""),"",True)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IF(OR(COUNTIF('クラス'!$A$1:$A$1267,$B1424)&gt;0,$B1424="",$M1424=""),"",True)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IF(OR(COUNTIF('クラス'!$A$1:$A$1267,$B1425)&gt;0,$B1425="",$M1425=""),"",True)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IF(OR(COUNTIF('クラス'!$A$1:$A$1267,$B1426)&gt;0,$B1426="",$M1426=""),"",True)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IF(OR(COUNTIF('クラス'!$A$1:$A$1267,$B1427)&gt;0,$B1427="",$M1427=""),"",True)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IF(OR(COUNTIF('クラス'!$A$1:$A$1267,$B1428)&gt;0,$B1428="",$M1428=""),"",True)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IF(OR(COUNTIF('クラス'!$A$1:$A$1267,$B1429)&gt;0,$B1429="",$M1429=""),"",True)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IF(OR(COUNTIF('クラス'!$A$1:$A$1267,$B1430)&gt;0,$B1430="",$M1430=""),"",True)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IF(OR(COUNTIF('クラス'!$A$1:$A$1267,$B1431)&gt;0,$B1431="",$M1431=""),"",True)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IF(OR(COUNTIF('クラス'!$A$1:$A$1267,$B1432)&gt;0,$B1432="",$M1432=""),"",True)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IF(OR(COUNTIF('クラス'!$A$1:$A$1267,$B1433)&gt;0,$B1433="",$M1433=""),"",True)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IF(OR(COUNTIF('クラス'!$A$1:$A$1267,$B1434)&gt;0,$B1434="",$M1434=""),"",True)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IF(OR(COUNTIF('クラス'!$A$1:$A$1267,$B1435)&gt;0,$B1435="",$M1435=""),"",True)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IF(OR(COUNTIF('クラス'!$A$1:$A$1267,$B1436)&gt;0,$B1436="",$M1436=""),"",True)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IF(OR(COUNTIF('クラス'!$A$1:$A$1267,$B1437)&gt;0,$B1437="",$M1437=""),"",True)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IF(OR(COUNTIF('クラス'!$A$1:$A$1267,$B1438)&gt;0,$B1438="",$M1438=""),"",True)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IF(OR(COUNTIF('クラス'!$A$1:$A$1267,$B1439)&gt;0,$B1439="",$M1439=""),"",True)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IF(OR(COUNTIF('クラス'!$A$1:$A$1267,$B1440)&gt;0,$B1440="",$M1440=""),"",True)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IF(OR(COUNTIF('クラス'!$A$1:$A$1267,$B1441)&gt;0,$B1441="",$M1441=""),"",True)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IF(OR(COUNTIF('クラス'!$A$1:$A$1267,$B1442)&gt;0,$B1442="",$M1442=""),"",True)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IF(OR(COUNTIF('クラス'!$A$1:$A$1267,$B1443)&gt;0,$B1443="",$M1443=""),"",True)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IF(OR(COUNTIF('クラス'!$A$1:$A$1267,$B1444)&gt;0,$B1444="",$M1444=""),"",True)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IF(OR(COUNTIF('クラス'!$A$1:$A$1267,$B1445)&gt;0,$B1445="",$M1445=""),"",True)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IF(OR(COUNTIF('クラス'!$A$1:$A$1267,$B1446)&gt;0,$B1446="",$M1446=""),"",True)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IF(OR(COUNTIF('クラス'!$A$1:$A$1267,$B1447)&gt;0,$B1447="",$M1447=""),"",True)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IF(OR(COUNTIF('クラス'!$A$1:$A$1267,$B1448)&gt;0,$B1448="",$M1448=""),"",True)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IF(OR(COUNTIF('クラス'!$A$1:$A$1267,$B1449)&gt;0,$B1449="",$M1449=""),"",True)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IF(OR(COUNTIF('クラス'!$A$1:$A$1267,$B1450)&gt;0,$B1450="",$M1450=""),"",True)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IF(OR(COUNTIF('クラス'!$A$1:$A$1267,$B1451)&gt;0,$B1451="",$M1451=""),"",True)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IF(OR(COUNTIF('クラス'!$A$1:$A$1267,$B1452)&gt;0,$B1452="",$M1452=""),"",True)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IF(OR(COUNTIF('クラス'!$A$1:$A$1267,$B1453)&gt;0,$B1453="",$M1453=""),"",True)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IF(OR(COUNTIF('クラス'!$A$1:$A$1267,$B1454)&gt;0,$B1454="",$M1454=""),"",True)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IF(OR(COUNTIF('クラス'!$A$1:$A$1267,$B1455)&gt;0,$B1455="",$M1455=""),"",True)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IF(OR(COUNTIF('クラス'!$A$1:$A$1267,$B1456)&gt;0,$B1456="",$M1456=""),"",True)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IF(OR(COUNTIF('クラス'!$A$1:$A$1267,$B1457)&gt;0,$B1457="",$M1457=""),"",True)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IF(OR(COUNTIF('クラス'!$A$1:$A$1267,$B1458)&gt;0,$B1458="",$M1458=""),"",True)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IF(OR(COUNTIF('クラス'!$A$1:$A$1267,$B1459)&gt;0,$B1459="",$M1459=""),"",True)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IF(OR(COUNTIF('クラス'!$A$1:$A$1267,$B1460)&gt;0,$B1460="",$M1460=""),"",True)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IF(OR(COUNTIF('クラス'!$A$1:$A$1267,$B1461)&gt;0,$B1461="",$M1461=""),"",True)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IF(OR(COUNTIF('クラス'!$A$1:$A$1267,$B1462)&gt;0,$B1462="",$M1462=""),"",True)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IF(OR(COUNTIF('クラス'!$A$1:$A$1267,$B1463)&gt;0,$B1463="",$M1463=""),"",True)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IF(OR(COUNTIF('クラス'!$A$1:$A$1267,$B1464)&gt;0,$B1464="",$M1464=""),"",True)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IF(OR(COUNTIF('クラス'!$A$1:$A$1267,$B1465)&gt;0,$B1465="",$M1465=""),"",True)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IF(OR(COUNTIF('クラス'!$A$1:$A$1267,$B1466)&gt;0,$B1466="",$M1466=""),"",True)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IF(OR(COUNTIF('クラス'!$A$1:$A$1267,$B1467)&gt;0,$B1467="",$M1467=""),"",True)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IF(OR(COUNTIF('クラス'!$A$1:$A$1267,$B1468)&gt;0,$B1468="",$M1468=""),"",True)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IF(OR(COUNTIF('クラス'!$A$1:$A$1267,$B1469)&gt;0,$B1469="",$M1469=""),"",True)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IF(OR(COUNTIF('クラス'!$A$1:$A$1267,$B1470)&gt;0,$B1470="",$M1470=""),"",True)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IF(OR(COUNTIF('クラス'!$A$1:$A$1267,$B1471)&gt;0,$B1471="",$M1471=""),"",True)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IF(OR(COUNTIF('クラス'!$A$1:$A$1267,$B1472)&gt;0,$B1472="",$M1472=""),"",True)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IF(OR(COUNTIF('クラス'!$A$1:$A$1267,$B1473)&gt;0,$B1473="",$M1473=""),"",True)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IF(OR(COUNTIF('クラス'!$A$1:$A$1267,$B1474)&gt;0,$B1474="",$M1474=""),"",True)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IF(OR(COUNTIF('クラス'!$A$1:$A$1267,$B1475)&gt;0,$B1475="",$M1475=""),"",True)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IF(OR(COUNTIF('クラス'!$A$1:$A$1267,$B1476)&gt;0,$B1476="",$M1476=""),"",True)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IF(OR(COUNTIF('クラス'!$A$1:$A$1267,$B1477)&gt;0,$B1477="",$M1477=""),"",True)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IF(OR(COUNTIF('クラス'!$A$1:$A$1267,$B1478)&gt;0,$B1478="",$M1478=""),"",True)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IF(OR(COUNTIF('クラス'!$A$1:$A$1267,$B1479)&gt;0,$B1479="",$M1479=""),"",True)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IF(OR(COUNTIF('クラス'!$A$1:$A$1267,$B1480)&gt;0,$B1480="",$M1480=""),"",True)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IF(OR(COUNTIF('クラス'!$A$1:$A$1267,$B1481)&gt;0,$B1481="",$M1481=""),"",True)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IF(OR(COUNTIF('クラス'!$A$1:$A$1267,$B1482)&gt;0,$B1482="",$M1482=""),"",True)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IF(OR(COUNTIF('クラス'!$A$1:$A$1267,$B1483)&gt;0,$B1483="",$M1483=""),"",True)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IF(OR(COUNTIF('クラス'!$A$1:$A$1267,$B1484)&gt;0,$B1484="",$M1484=""),"",True)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IF(OR(COUNTIF('クラス'!$A$1:$A$1267,$B1485)&gt;0,$B1485="",$M1485=""),"",True)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IF(OR(COUNTIF('クラス'!$A$1:$A$1267,$B1486)&gt;0,$B1486="",$M1486=""),"",True)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IF(OR(COUNTIF('クラス'!$A$1:$A$1267,$B1487)&gt;0,$B1487="",$M1487=""),"",True)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IF(OR(COUNTIF('クラス'!$A$1:$A$1267,$B1488)&gt;0,$B1488="",$M1488=""),"",True)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IF(OR(COUNTIF('クラス'!$A$1:$A$1267,$B1489)&gt;0,$B1489="",$M1489=""),"",True)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IF(OR(COUNTIF('クラス'!$A$1:$A$1267,$B1490)&gt;0,$B1490="",$M1490=""),"",True)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IF(OR(COUNTIF('クラス'!$A$1:$A$1267,$B1491)&gt;0,$B1491="",$M1491=""),"",True)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IF(OR(COUNTIF('クラス'!$A$1:$A$1267,$B1492)&gt;0,$B1492="",$M1492=""),"",True)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IF(OR(COUNTIF('クラス'!$A$1:$A$1267,$B1493)&gt;0,$B1493="",$M1493=""),"",True)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IF(OR(COUNTIF('クラス'!$A$1:$A$1267,$B1494)&gt;0,$B1494="",$M1494=""),"",True)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IF(OR(COUNTIF('クラス'!$A$1:$A$1267,$B1495)&gt;0,$B1495="",$M1495=""),"",True)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IF(OR(COUNTIF('クラス'!$A$1:$A$1267,$B1496)&gt;0,$B1496="",$M1496=""),"",True)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IF(OR(COUNTIF('クラス'!$A$1:$A$1267,$B1497)&gt;0,$B1497="",$M1497=""),"",True)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IF(OR(COUNTIF('クラス'!$A$1:$A$1267,$B1498)&gt;0,$B1498="",$M1498=""),"",True)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IF(OR(COUNTIF('クラス'!$A$1:$A$1267,$B1499)&gt;0,$B1499="",$M1499=""),"",True)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IF(OR(COUNTIF('クラス'!$A$1:$A$1267,$B1500)&gt;0,$B1500="",$M1500=""),"",True)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IF(OR(COUNTIF('クラス'!$A$1:$A$1267,$B1501)&gt;0,$B1501="",$M1501=""),"",True)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IF(OR(COUNTIF('クラス'!$A$1:$A$1267,$B1502)&gt;0,$B1502="",$M1502=""),"",True)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IF(OR(COUNTIF('クラス'!$A$1:$A$1267,$B1503)&gt;0,$B1503="",$M1503=""),"",True)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IF(OR(COUNTIF('クラス'!$A$1:$A$1267,$B1504)&gt;0,$B1504="",$M1504=""),"",True)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IF(OR(COUNTIF('クラス'!$A$1:$A$1267,$B1505)&gt;0,$B1505="",$M1505=""),"",True)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IF(OR(COUNTIF('クラス'!$A$1:$A$1267,$B1506)&gt;0,$B1506="",$M1506=""),"",True)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IF(OR(COUNTIF('クラス'!$A$1:$A$1267,$B1507)&gt;0,$B1507="",$M1507=""),"",True)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IF(OR(COUNTIF('クラス'!$A$1:$A$1267,$B1508)&gt;0,$B1508="",$M1508=""),"",True)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IF(OR(COUNTIF('クラス'!$A$1:$A$1267,$B1509)&gt;0,$B1509="",$M1509=""),"",True)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IF(OR(COUNTIF('クラス'!$A$1:$A$1267,$B1510)&gt;0,$B1510="",$M1510=""),"",True)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IF(OR(COUNTIF('クラス'!$A$1:$A$1267,$B1511)&gt;0,$B1511="",$M1511=""),"",True)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IF(OR(COUNTIF('クラス'!$A$1:$A$1267,$B1512)&gt;0,$B1512="",$M1512=""),"",True)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IF(OR(COUNTIF('クラス'!$A$1:$A$1267,$B1513)&gt;0,$B1513="",$M1513=""),"",True)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IF(OR(COUNTIF('クラス'!$A$1:$A$1267,$B1514)&gt;0,$B1514="",$M1514=""),"",True)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IF(OR(COUNTIF('クラス'!$A$1:$A$1267,$B1515)&gt;0,$B1515="",$M1515=""),"",True)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IF(OR(COUNTIF('クラス'!$A$1:$A$1267,$B1516)&gt;0,$B1516="",$M1516=""),"",True)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IF(OR(COUNTIF('クラス'!$A$1:$A$1267,$B1517)&gt;0,$B1517="",$M1517=""),"",True)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IF(OR(COUNTIF('クラス'!$A$1:$A$1267,$B1518)&gt;0,$B1518="",$M1518=""),"",True)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IF(OR(COUNTIF('クラス'!$A$1:$A$1267,$B1519)&gt;0,$B1519="",$M1519=""),"",True)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IF(OR(COUNTIF('クラス'!$A$1:$A$1267,$B1520)&gt;0,$B1520="",$M1520=""),"",True)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IF(OR(COUNTIF('クラス'!$A$1:$A$1267,$B1521)&gt;0,$B1521="",$M1521=""),"",True)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IF(OR(COUNTIF('クラス'!$A$1:$A$1267,$B1522)&gt;0,$B1522="",$M1522=""),"",True)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IF(OR(COUNTIF('クラス'!$A$1:$A$1267,$B1523)&gt;0,$B1523="",$M1523=""),"",True)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IF(OR(COUNTIF('クラス'!$A$1:$A$1267,$B1524)&gt;0,$B1524="",$M1524=""),"",True)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IF(OR(COUNTIF('クラス'!$A$1:$A$1267,$B1525)&gt;0,$B1525="",$M1525=""),"",True)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IF(OR(COUNTIF('クラス'!$A$1:$A$1267,$B1526)&gt;0,$B1526="",$M1526=""),"",True)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IF(OR(COUNTIF('クラス'!$A$1:$A$1267,$B1527)&gt;0,$B1527="",$M1527=""),"",True)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IF(OR(COUNTIF('クラス'!$A$1:$A$1267,$B1528)&gt;0,$B1528="",$M1528=""),"",True)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IF(OR(COUNTIF('クラス'!$A$1:$A$1267,$B1529)&gt;0,$B1529="",$M1529=""),"",True)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IF(OR(COUNTIF('クラス'!$A$1:$A$1267,$B1530)&gt;0,$B1530="",$M1530=""),"",True)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IF(OR(COUNTIF('クラス'!$A$1:$A$1267,$B1635)&gt;0,$B1635="",$M1635=""),"",True)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IF(OR(COUNTIF('クラス'!$A$1:$A$1267,$B1649)&gt;0,$B1649="",$M1649=""),"",True)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IF(OR(COUNTIF('クラス'!$A$1:$A$1267,$B1650)&gt;0,$B1650="",$M1650=""),"",True)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IF(OR(COUNTIF('クラス'!$A$1:$A$1267,$B1651)&gt;0,$B1651="",$M1651=""),"",True)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IF(OR(COUNTIF('クラス'!$A$1:$A$1267,$B1652)&gt;0,$B1652="",$M1652=""),"",True)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IF(OR(COUNTIF('クラス'!$A$1:$A$1267,$B1653)&gt;0,$B1653="",$M1653=""),"",True)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IF(OR(COUNTIF('クラス'!$A$1:$A$1267,$B1654)&gt;0,$B1654="",$M1654=""),"",True)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IF(OR(COUNTIF('クラス'!$A$1:$A$1267,$B1655)&gt;0,$B1655="",$M1655=""),"",True)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IF(OR(COUNTIF('クラス'!$A$1:$A$1267,$B1656)&gt;0,$B1656="",$M1656=""),"",True)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IF(OR(COUNTIF('クラス'!$A$1:$A$1267,$B1657)&gt;0,$B1657="",$M1657=""),"",True)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IF(OR(COUNTIF('クラス'!$A$1:$A$1267,$B1658)&gt;0,$B1658="",$M1658=""),"",True)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IF(OR(COUNTIF('クラス'!$A$1:$A$1267,$B1659)&gt;0,$B1659="",$M1659=""),"",True)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IF(OR(COUNTIF('クラス'!$A$1:$A$1267,$B1660)&gt;0,$B1660="",$M1660=""),"",True)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IF(OR(COUNTIF('クラス'!$A$1:$A$1267,$B1661)&gt;0,$B1661="",$M1661=""),"",True)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IF(OR(COUNTIF('クラス'!$A$1:$A$1267,$B1662)&gt;0,$B1662="",$M1662=""),"",True)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IF(OR(COUNTIF('クラス'!$A$1:$A$1267,$B1663)&gt;0,$B1663="",$M1663=""),"",True)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IF(OR(COUNTIF('クラス'!$A$1:$A$1267,$B1664)&gt;0,$B1664="",$M1664=""),"",True)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IF(OR(COUNTIF('クラス'!$A$1:$A$1267,$B1665)&gt;0,$B1665="",$M1665=""),"",True)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IF(OR(COUNTIF('クラス'!$A$1:$A$1267,$B1666)&gt;0,$B1666="",$M1666=""),"",True)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IF(OR(COUNTIF('クラス'!$A$1:$A$1267,$B1667)&gt;0,$B1667="",$M1667=""),"",True)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IF(OR(COUNTIF('クラス'!$A$1:$A$1267,$B1668)&gt;0,$B1668="",$M1668=""),"",True)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IF(OR(COUNTIF('クラス'!$A$1:$A$1267,$B1669)&gt;0,$B1669="",$M1669=""),"",True)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IF(OR(COUNTIF('クラス'!$A$1:$A$1267,$B1670)&gt;0,$B1670="",$M1670=""),"",True)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IF(OR(COUNTIF('クラス'!$A$1:$A$1267,$B1671)&gt;0,$B1671="",$M1671=""),"",True)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IF(OR(COUNTIF('クラス'!$A$1:$A$1267,$B1672)&gt;0,$B1672="",$M1672=""),"",True)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IF(OR(COUNTIF('クラス'!$A$1:$A$1267,$B1673)&gt;0,$B1673="",$M1673=""),"",True)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IF(OR(COUNTIF('クラス'!$A$1:$A$1267,$B1674)&gt;0,$B1674="",$M1674=""),"",True)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IF(OR(COUNTIF('クラス'!$A$1:$A$1267,$B1675)&gt;0,$B1675="",$M1675=""),"",True)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IF(OR(COUNTIF('クラス'!$A$1:$A$1267,$B1676)&gt;0,$B1676="",$M1676=""),"",True)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IF(OR(COUNTIF('クラス'!$A$1:$A$1267,$B1677)&gt;0,$B1677="",$M1677=""),"",True)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IF(OR(COUNTIF('クラス'!$A$1:$A$1267,$B1678)&gt;0,$B1678="",$M1678=""),"",True)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IF(OR(COUNTIF('クラス'!$A$1:$A$1267,$B1679)&gt;0,$B1679="",$M1679=""),"",True)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IF(OR(COUNTIF('クラス'!$A$1:$A$1267,$B1680)&gt;0,$B1680="",$M1680=""),"",True)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IF(OR(COUNTIF('クラス'!$A$1:$A$1267,$B1681)&gt;0,$B1681="",$M1681=""),"",True)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IF(OR(COUNTIF('クラス'!$A$1:$A$1267,$B1682)&gt;0,$B1682="",$M1682=""),"",True)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IF(OR(COUNTIF('クラス'!$A$1:$A$1267,$B1683)&gt;0,$B1683="",$M1683=""),"",True)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IF(OR(COUNTIF('クラス'!$A$1:$A$1267,$B1684)&gt;0,$B1684="",$M1684=""),"",True)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IF(OR(COUNTIF('クラス'!$A$1:$A$1267,$B1685)&gt;0,$B1685="",$M1685=""),"",True)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IF(OR(COUNTIF('クラス'!$A$1:$A$1267,$B1686)&gt;0,$B1686="",$M1686=""),"",True)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IF(OR(COUNTIF('クラス'!$A$1:$A$1267,$B1687)&gt;0,$B1687="",$M1687=""),"",True)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IF(OR(COUNTIF('クラス'!$A$1:$A$1267,$B1688)&gt;0,$B1688="",$M1688=""),"",True)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IF(OR(COUNTIF('クラス'!$A$1:$A$1267,$B1689)&gt;0,$B1689="",$M1689=""),"",True)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IF(OR(COUNTIF('クラス'!$A$1:$A$1267,$B1690)&gt;0,$B1690="",$M1690=""),"",True)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IF(OR(COUNTIF('クラス'!$A$1:$A$1267,$B1691)&gt;0,$B1691="",$M1691=""),"",True)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IF(OR(COUNTIF('クラス'!$A$1:$A$1267,$B1692)&gt;0,$B1692="",$M1692=""),"",True)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IF(OR(COUNTIF('クラス'!$A$1:$A$1267,$B1693)&gt;0,$B1693="",$M1693=""),"",True)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IF(OR(COUNTIF('クラス'!$A$1:$A$1267,$B1694)&gt;0,$B1694="",$M1694=""),"",True)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IF(OR(COUNTIF('クラス'!$A$1:$A$1267,$B1695)&gt;0,$B1695="",$M1695=""),"",True)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IF(OR(COUNTIF('クラス'!$A$1:$A$1267,$B1696)&gt;0,$B1696="",$M1696=""),"",True)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IF(OR(COUNTIF('クラス'!$A$1:$A$1267,$B1697)&gt;0,$B1697="",$M1697=""),"",True)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IF(OR(COUNTIF('クラス'!$A$1:$A$1267,$B1698)&gt;0,$B1698="",$M1698=""),"",True)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IF(OR(COUNTIF('クラス'!$A$1:$A$1267,$B1699)&gt;0,$B1699="",$M1699=""),"",True)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IF(OR(COUNTIF('クラス'!$A$1:$A$1267,$B1700)&gt;0,$B1700="",$M1700=""),"",True)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IF(OR(COUNTIF('クラス'!$A$1:$A$1267,$B1701)&gt;0,$B1701="",$M1701=""),"",True)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IF(OR(COUNTIF('クラス'!$A$1:$A$1267,$B1702)&gt;0,$B1702="",$M1702=""),"",True)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IF(OR(COUNTIF('クラス'!$A$1:$A$1267,$B1703)&gt;0,$B1703="",$M1703=""),"",True)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IF(OR(COUNTIF('クラス'!$A$1:$A$1267,$B1704)&gt;0,$B1704="",$M1704=""),"",True)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IF(OR(COUNTIF('クラス'!$A$1:$A$1267,$B1705)&gt;0,$B1705="",$M1705=""),"",True)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IF(OR(COUNTIF('クラス'!$A$1:$A$1267,$B1706)&gt;0,$B1706="",$M1706=""),"",True)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IF(OR(COUNTIF('クラス'!$A$1:$A$1267,$B1707)&gt;0,$B1707="",$M1707=""),"",True)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IF(OR(COUNTIF('クラス'!$A$1:$A$1267,$B1708)&gt;0,$B1708="",$M1708=""),"",True)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IF(OR(COUNTIF('クラス'!$A$1:$A$1267,$B1709)&gt;0,$B1709="",$M1709=""),"",True)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IF(OR(COUNTIF('クラス'!$A$1:$A$1267,$B1710)&gt;0,$B1710="",$M1710=""),"",True)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IF(OR(COUNTIF('クラス'!$A$1:$A$1267,$B1711)&gt;0,$B1711="",$M1711=""),"",True)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IF(OR(COUNTIF('クラス'!$A$1:$A$1267,$B1712)&gt;0,$B1712="",$M1712=""),"",True)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IF(OR(COUNTIF('クラス'!$A$1:$A$1267,$B1713)&gt;0,$B1713="",$M1713=""),"",True)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IF(OR(COUNTIF('クラス'!$A$1:$A$1267,$B1714)&gt;0,$B1714="",$M1714=""),"",True)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IF(OR(COUNTIF('クラス'!$A$1:$A$1267,$B1715)&gt;0,$B1715="",$M1715=""),"",True)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IF(OR(COUNTIF('クラス'!$A$1:$A$1267,$B1716)&gt;0,$B1716="",$M1716=""),"",True)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IF(OR(COUNTIF('クラス'!$A$1:$A$1267,$B1717)&gt;0,$B1717="",$M1717=""),"",True)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IF(OR(COUNTIF('クラス'!$A$1:$A$1267,$B1718)&gt;0,$B1718="",$M1718=""),"",True)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IF(OR(COUNTIF('クラス'!$A$1:$A$1267,$B1719)&gt;0,$B1719="",$M1719=""),"",True)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IF(OR(COUNTIF('クラス'!$A$1:$A$1267,$B1720)&gt;0,$B1720="",$M1720=""),"",True)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IF(OR(COUNTIF('クラス'!$A$1:$A$1267,$B1721)&gt;0,$B1721="",$M1721=""),"",True)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IF(OR(COUNTIF('クラス'!$A$1:$A$1267,$B1722)&gt;0,$B1722="",$M1722=""),"",True)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IF(OR(COUNTIF('クラス'!$A$1:$A$1267,$B1723)&gt;0,$B1723="",$M1723=""),"",True)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IF(OR(COUNTIF('クラス'!$A$1:$A$1267,$B1724)&gt;0,$B1724="",$M1724=""),"",True)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IF(OR(COUNTIF('クラス'!$A$1:$A$1267,$B1725)&gt;0,$B1725="",$M1725=""),"",True)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IF(OR(COUNTIF('クラス'!$A$1:$A$1267,$B1726)&gt;0,$B1726="",$M1726=""),"",True)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IF(OR(COUNTIF('クラス'!$A$1:$A$1267,$B1727)&gt;0,$B1727="",$M1727=""),"",True)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IF(OR(COUNTIF('クラス'!$A$1:$A$1267,$B1728)&gt;0,$B1728="",$M1728=""),"",True)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IF(OR(COUNTIF('クラス'!$A$1:$A$1267,$B1729)&gt;0,$B1729="",$M1729=""),"",True)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IF(OR(COUNTIF('クラス'!$A$1:$A$1267,$B1730)&gt;0,$B1730="",$M1730=""),"",True)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IF(OR(COUNTIF('クラス'!$A$1:$A$1267,$B1731)&gt;0,$B1731="",$M1731=""),"",True)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IF(OR(COUNTIF('クラス'!$A$1:$A$1267,$B1732)&gt;0,$B1732="",$M1732=""),"",True)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IF(OR(COUNTIF('クラス'!$A$1:$A$1267,$B1733)&gt;0,$B1733="",$M1733=""),"",True)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IF(OR(COUNTIF('クラス'!$A$1:$A$1267,$B1734)&gt;0,$B1734="",$M1734=""),"",True)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IF(OR(COUNTIF('クラス'!$A$1:$A$1267,$B1735)&gt;0,$B1735="",$M1735=""),"",True)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IF(OR(COUNTIF('クラス'!$A$1:$A$1267,$B1736)&gt;0,$B1736="",$M1736=""),"",True)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IF(OR(COUNTIF('クラス'!$A$1:$A$1267,$B1737)&gt;0,$B1737="",$M1737=""),"",True)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IF(OR(COUNTIF('クラス'!$A$1:$A$1267,$B1738)&gt;0,$B1738="",$M1738=""),"",True)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IF(OR(COUNTIF('クラス'!$A$1:$A$1267,$B1739)&gt;0,$B1739="",$M1739=""),"",True)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IF(OR(COUNTIF('クラス'!$A$1:$A$1267,$B1740)&gt;0,$B1740="",$M1740=""),"",True)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IF(OR(COUNTIF('クラス'!$A$1:$A$1267,$B1741)&gt;0,$B1741="",$M1741=""),"",True)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IF(OR(COUNTIF('クラス'!$A$1:$A$1267,$B1742)&gt;0,$B1742="",$M1742=""),"",True)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IF(OR(COUNTIF('クラス'!$A$1:$A$1267,$B1743)&gt;0,$B1743="",$M1743=""),"",True)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IF(OR(COUNTIF('クラス'!$A$1:$A$1267,$B1744)&gt;0,$B1744="",$M1744=""),"",True)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IF(OR(COUNTIF('クラス'!$A$1:$A$1267,$B1745)&gt;0,$B1745="",$M1745=""),"",True)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IF(OR(COUNTIF('クラス'!$A$1:$A$1267,$B1746)&gt;0,$B1746="",$M1746=""),"",True)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IF(OR(COUNTIF('クラス'!$A$1:$A$1267,$B1747)&gt;0,$B1747="",$M1747=""),"",True)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IF(OR(COUNTIF('クラス'!$A$1:$A$1267,$B1748)&gt;0,$B1748="",$M1748=""),"",True)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IF(OR(COUNTIF('クラス'!$A$1:$A$1267,$B1749)&gt;0,$B1749="",$M1749=""),"",True)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IF(OR(COUNTIF('クラス'!$A$1:$A$1267,$B1750)&gt;0,$B1750="",$M1750=""),"",True)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IF(OR(COUNTIF('クラス'!$A$1:$A$1267,$B1751)&gt;0,$B1751="",$M1751=""),"",True)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IF(OR(COUNTIF('クラス'!$A$1:$A$1267,$B1752)&gt;0,$B1752="",$M1752=""),"",True)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IF(OR(COUNTIF('クラス'!$A$1:$A$1267,$B1753)&gt;0,$B1753="",$M1753=""),"",True)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IF(OR(COUNTIF('クラス'!$A$1:$A$1267,$B1754)&gt;0,$B1754="",$M1754=""),"",True)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IF(OR(COUNTIF('クラス'!$A$1:$A$1267,$B1755)&gt;0,$B1755="",$M1755=""),"",True)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IF(OR(COUNTIF('クラス'!$A$1:$A$1267,$B1756)&gt;0,$B1756="",$M1756=""),"",True)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IF(OR(COUNTIF('クラス'!$A$1:$A$1267,$B1757)&gt;0,$B1757="",$M1757=""),"",True)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IF(OR(COUNTIF('クラス'!$A$1:$A$1267,$B1758)&gt;0,$B1758="",$M1758=""),"",True)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IF(OR(COUNTIF('クラス'!$A$1:$A$1267,$B1759)&gt;0,$B1759="",$M1759=""),"",True)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IF(OR(COUNTIF('クラス'!$A$1:$A$1267,$B1760)&gt;0,$B1760="",$M1760=""),"",True)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IF(OR(COUNTIF('クラス'!$A$1:$A$1267,$B1761)&gt;0,$B1761="",$M1761=""),"",True)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IF(OR(COUNTIF('クラス'!$A$1:$A$1267,$B1762)&gt;0,$B1762="",$M1762=""),"",True)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IF(OR(COUNTIF('クラス'!$A$1:$A$1267,$B1763)&gt;0,$B1763="",$M1763=""),"",True)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IF(OR(COUNTIF('クラス'!$A$1:$A$1267,$B1764)&gt;0,$B1764="",$M1764=""),"",True)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IF(OR(COUNTIF('クラス'!$A$1:$A$1267,$B1765)&gt;0,$B1765="",$M1765=""),"",True)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IF(OR(COUNTIF('クラス'!$A$1:$A$1267,$B1766)&gt;0,$B1766="",$M1766=""),"",True)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IF(OR(COUNTIF('クラス'!$A$1:$A$1267,$B1767)&gt;0,$B1767="",$M1767=""),"",True)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IF(OR(COUNTIF('クラス'!$A$1:$A$1267,$B1768)&gt;0,$B1768="",$M1768=""),"",True)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IF(OR(COUNTIF('クラス'!$A$1:$A$1267,$B1769)&gt;0,$B1769="",$M1769=""),"",True)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IF(OR(COUNTIF('クラス'!$A$1:$A$1267,$B1770)&gt;0,$B1770="",$M1770=""),"",True)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IF(OR(COUNTIF('クラス'!$A$1:$A$1267,$B1771)&gt;0,$B1771="",$M1771=""),"",True)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IF(OR(COUNTIF('クラス'!$A$1:$A$1267,$B1772)&gt;0,$B1772="",$M1772=""),"",True)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IF(OR(COUNTIF('クラス'!$A$1:$A$1267,$B1773)&gt;0,$B1773="",$M1773=""),"",True)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IF(OR(COUNTIF('クラス'!$A$1:$A$1267,$B1774)&gt;0,$B1774="",$M1774=""),"",True)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IF(OR(COUNTIF('クラス'!$A$1:$A$1267,$B1775)&gt;0,$B1775="",$M1775=""),"",True)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IF(OR(COUNTIF('クラス'!$A$1:$A$1267,$B1776)&gt;0,$B1776="",$M1776=""),"",True)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IF(OR(COUNTIF('クラス'!$A$1:$A$1267,$B1777)&gt;0,$B1777="",$M1777=""),"",True)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IF(OR(COUNTIF('クラス'!$A$1:$A$1267,$B1778)&gt;0,$B1778="",$M1778=""),"",True)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IF(OR(COUNTIF('クラス'!$A$1:$A$1267,$B1779)&gt;0,$B1779="",$M1779=""),"",True)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IF(OR(COUNTIF('クラス'!$A$1:$A$1267,$B1780)&gt;0,$B1780="",$M1780=""),"",True)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IF(OR(COUNTIF('クラス'!$A$1:$A$1267,$B1781)&gt;0,$B1781="",$M1781=""),"",True)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IF(OR(COUNTIF('クラス'!$A$1:$A$1267,$B1782)&gt;0,$B1782="",$M1782=""),"",True)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IF(OR(COUNTIF('クラス'!$A$1:$A$1267,$B1783)&gt;0,$B1783="",$M1783=""),"",True)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IF(OR(COUNTIF('クラス'!$A$1:$A$1267,$B1784)&gt;0,$B1784="",$M1784=""),"",True)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IF(OR(COUNTIF('クラス'!$A$1:$A$1267,$B1785)&gt;0,$B1785="",$M1785=""),"",True)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IF(OR(COUNTIF('クラス'!$A$1:$A$1267,$B1786)&gt;0,$B1786="",$M1786=""),"",True)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IF(OR(COUNTIF('クラス'!$A$1:$A$1267,$B1787)&gt;0,$B1787="",$M1787=""),"",True)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IF(OR(COUNTIF('クラス'!$A$1:$A$1267,$B1788)&gt;0,$B1788="",$M1788=""),"",True)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IF(OR(COUNTIF('クラス'!$A$1:$A$1267,$B1789)&gt;0,$B1789="",$M1789=""),"",True)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IF(OR(COUNTIF('クラス'!$A$1:$A$1267,$B1790)&gt;0,$B1790="",$M1790=""),"",True)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IF(OR(COUNTIF('クラス'!$A$1:$A$1267,$B1791)&gt;0,$B1791="",$M1791=""),"",True)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IF(OR(COUNTIF('クラス'!$A$1:$A$1267,$B1792)&gt;0,$B1792="",$M1792=""),"",True)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IF(OR(COUNTIF('クラス'!$A$1:$A$1267,$B1793)&gt;0,$B1793="",$M1793=""),"",True)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IF(OR(COUNTIF('クラス'!$A$1:$A$1267,$B1794)&gt;0,$B1794="",$M1794=""),"",True)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IF(OR(COUNTIF('クラス'!$A$1:$A$1267,$B1795)&gt;0,$B1795="",$M1795=""),"",True)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IF(OR(COUNTIF('クラス'!$A$1:$A$1267,$B1796)&gt;0,$B1796="",$M1796=""),"",True)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IF(OR(COUNTIF('クラス'!$A$1:$A$1267,$B1797)&gt;0,$B1797="",$M1797=""),"",True)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IF(OR(COUNTIF('クラス'!$A$1:$A$1267,$B1798)&gt;0,$B1798="",$M1798=""),"",True)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IF(OR(COUNTIF('クラス'!$A$1:$A$1267,$B1799)&gt;0,$B1799="",$M1799=""),"",True)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IF(OR(COUNTIF('クラス'!$A$1:$A$1267,$B1800)&gt;0,$B1800="",$M1800=""),"",True)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IF(OR(COUNTIF('クラス'!$A$1:$A$1267,$B1801)&gt;0,$B1801="",$M1801=""),"",True)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IF(OR(COUNTIF('クラス'!$A$1:$A$1267,$B1802)&gt;0,$B1802="",$M1802=""),"",True)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IF(OR(COUNTIF('クラス'!$A$1:$A$1267,$B1803)&gt;0,$B1803="",$M1803=""),"",True)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IF(OR(COUNTIF('クラス'!$A$1:$A$1267,$B1804)&gt;0,$B1804="",$M1804=""),"",True)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IF(OR(COUNTIF('クラス'!$A$1:$A$1267,$B1805)&gt;0,$B1805="",$M1805=""),"",True)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IF(OR(COUNTIF('クラス'!$A$1:$A$1267,$B1806)&gt;0,$B1806="",$M1806=""),"",True)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IF(OR(COUNTIF('クラス'!$A$1:$A$1267,$B1807)&gt;0,$B1807="",$M1807=""),"",True)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IF(OR(COUNTIF('クラス'!$A$1:$A$1267,$B1808)&gt;0,$B1808="",$M1808=""),"",True)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IF(OR(COUNTIF('クラス'!$A$1:$A$1267,$B1809)&gt;0,$B1809="",$M1809=""),"",True)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IF(OR(COUNTIF('クラス'!$A$1:$A$1267,$B1810)&gt;0,$B1810="",$M1810=""),"",True)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IF(OR(COUNTIF('クラス'!$A$1:$A$1267,$B1811)&gt;0,$B1811="",$M1811=""),"",True)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IF(OR(COUNTIF('クラス'!$A$1:$A$1267,$B1812)&gt;0,$B1812="",$M1812=""),"",True)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IF(OR(COUNTIF('クラス'!$A$1:$A$1267,$B1813)&gt;0,$B1813="",$M1813=""),"",True)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IF(OR(COUNTIF('クラス'!$A$1:$A$1267,$B1814)&gt;0,$B1814="",$M1814=""),"",True)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IF(OR(COUNTIF('クラス'!$A$1:$A$1267,$B1815)&gt;0,$B1815="",$M1815=""),"",True)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IF(OR(COUNTIF('クラス'!$A$1:$A$1267,$B1816)&gt;0,$B1816="",$M1816=""),"",True)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IF(OR(COUNTIF('クラス'!$A$1:$A$1267,$B1817)&gt;0,$B1817="",$M1817=""),"",True)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IF(OR(COUNTIF('クラス'!$A$1:$A$1267,$B1818)&gt;0,$B1818="",$M1818=""),"",True)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IF(OR(COUNTIF('クラス'!$A$1:$A$1267,$B1819)&gt;0,$B1819="",$M1819=""),"",True)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IF(OR(COUNTIF('クラス'!$A$1:$A$1267,$B1820)&gt;0,$B1820="",$M1820=""),"",True)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IF(OR(COUNTIF('クラス'!$A$1:$A$1267,$B1821)&gt;0,$B1821="",$M1821=""),"",True)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IF(OR(COUNTIF('クラス'!$A$1:$A$1267,$B1822)&gt;0,$B1822="",$M1822=""),"",True)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IF(OR(COUNTIF('クラス'!$A$1:$A$1267,$B1823)&gt;0,$B1823="",$M1823=""),"",True)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IF(OR(COUNTIF('クラス'!$A$1:$A$1267,$B1824)&gt;0,$B1824="",$M1824=""),"",True)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IF(OR(COUNTIF('クラス'!$A$1:$A$1267,$B1825)&gt;0,$B1825="",$M1825=""),"",True)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IF(OR(COUNTIF('クラス'!$A$1:$A$1267,$B1826)&gt;0,$B1826="",$M1826=""),"",True)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IF(OR(COUNTIF('クラス'!$A$1:$A$1267,$B1827)&gt;0,$B1827="",$M1827=""),"",True)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IF(OR(COUNTIF('クラス'!$A$1:$A$1267,$B1828)&gt;0,$B1828="",$M1828=""),"",True)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IF(OR(COUNTIF('クラス'!$A$1:$A$1267,$B1829)&gt;0,$B1829="",$M1829=""),"",True)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IF(OR(COUNTIF('クラス'!$A$1:$A$1267,$B1830)&gt;0,$B1830="",$M1830=""),"",True)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IF(OR(COUNTIF('クラス'!$A$1:$A$1267,$B1831)&gt;0,$B1831="",$M1831=""),"",True)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IF(OR(COUNTIF('クラス'!$A$1:$A$1267,$B1832)&gt;0,$B1832="",$M1832=""),"",True)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IF(OR(COUNTIF('クラス'!$A$1:$A$1267,$B1833)&gt;0,$B1833="",$M1833=""),"",True)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IF(OR(COUNTIF('クラス'!$A$1:$A$1267,$B1834)&gt;0,$B1834="",$M1834=""),"",True)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IF(OR(COUNTIF('クラス'!$A$1:$A$1267,$B1835)&gt;0,$B1835="",$M1835=""),"",True)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IF(OR(COUNTIF('クラス'!$A$1:$A$1267,$B1836)&gt;0,$B1836="",$M1836=""),"",True)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IF(OR(COUNTIF('クラス'!$A$1:$A$1267,$B1837)&gt;0,$B1837="",$M1837=""),"",True)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IF(OR(COUNTIF('クラス'!$A$1:$A$1267,$B1838)&gt;0,$B1838="",$M1838=""),"",True)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IF(OR(COUNTIF('クラス'!$A$1:$A$1267,$B1839)&gt;0,$B1839="",$M1839=""),"",True)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IF(OR(COUNTIF('クラス'!$A$1:$A$1267,$B1840)&gt;0,$B1840="",$M1840=""),"",True)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IF(OR(COUNTIF('クラス'!$A$1:$A$1267,$B1841)&gt;0,$B1841="",$M1841=""),"",True)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IF(OR(COUNTIF('クラス'!$A$1:$A$1267,$B1842)&gt;0,$B1842="",$M1842=""),"",True)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IF(OR(COUNTIF('クラス'!$A$1:$A$1267,$B1843)&gt;0,$B1843="",$M1843=""),"",True)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IF(OR(COUNTIF('クラス'!$A$1:$A$1267,$B1844)&gt;0,$B1844="",$M1844=""),"",True)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IF(OR(COUNTIF('クラス'!$A$1:$A$1267,$B1845)&gt;0,$B1845="",$M1845=""),"",True)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IF(OR(COUNTIF('クラス'!$A$1:$A$1267,$B1846)&gt;0,$B1846="",$M1846=""),"",True)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IF(OR(COUNTIF('クラス'!$A$1:$A$1267,$B1847)&gt;0,$B1847="",$M1847=""),"",True)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IF(OR(COUNTIF('クラス'!$A$1:$A$1267,$B1848)&gt;0,$B1848="",$M1848=""),"",True)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IF(OR(COUNTIF('クラス'!$A$1:$A$1267,$B1849)&gt;0,$B1849="",$M1849=""),"",True)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IF(OR(COUNTIF('クラス'!$A$1:$A$1267,$B1850)&gt;0,$B1850="",$M1850=""),"",True)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IF(OR(COUNTIF('クラス'!$A$1:$A$1267,$B1851)&gt;0,$B1851="",$M1851=""),"",True)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IF(OR(COUNTIF('クラス'!$A$1:$A$1267,$B1852)&gt;0,$B1852="",$M1852=""),"",True)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IF(OR(COUNTIF('クラス'!$A$1:$A$1267,$B1853)&gt;0,$B1853="",$M1853=""),"",True)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IF(OR(COUNTIF('クラス'!$A$1:$A$1267,$B1854)&gt;0,$B1854="",$M1854=""),"",True)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IF(OR(COUNTIF('クラス'!$A$1:$A$1267,$B1855)&gt;0,$B1855="",$M1855=""),"",True)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IF(OR(COUNTIF('クラス'!$A$1:$A$1267,$B1856)&gt;0,$B1856="",$M1856=""),"",True)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IF(OR(COUNTIF('クラス'!$A$1:$A$1267,$B1857)&gt;0,$B1857="",$M1857=""),"",True)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IF(OR(COUNTIF('クラス'!$A$1:$A$1267,$B1858)&gt;0,$B1858="",$M1858=""),"",True)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IF(OR(COUNTIF('クラス'!$A$1:$A$1267,$B1859)&gt;0,$B1859="",$M1859=""),"",True)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IF(OR(COUNTIF('クラス'!$A$1:$A$1267,$B1860)&gt;0,$B1860="",$M1860=""),"",True)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IF(OR(COUNTIF('クラス'!$A$1:$A$1267,$B1861)&gt;0,$B1861="",$M1861=""),"",True)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IF(OR(COUNTIF('クラス'!$A$1:$A$1267,$B1862)&gt;0,$B1862="",$M1862=""),"",True)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IF(OR(COUNTIF('クラス'!$A$1:$A$1267,$B1863)&gt;0,$B1863="",$M1863=""),"",True)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IF(OR(COUNTIF('クラス'!$A$1:$A$1267,$B1864)&gt;0,$B1864="",$M1864=""),"",True)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IF(OR(COUNTIF('クラス'!$A$1:$A$1267,$B1865)&gt;0,$B1865="",$M1865=""),"",True)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IF(OR(COUNTIF('クラス'!$A$1:$A$1267,$B1866)&gt;0,$B1866="",$M1866=""),"",True)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IF(OR(COUNTIF('クラス'!$A$1:$A$1267,$B1867)&gt;0,$B1867="",$M1867=""),"",True)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IF(OR(COUNTIF('クラス'!$A$1:$A$1267,$B1868)&gt;0,$B1868="",$M1868=""),"",True)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IF(OR(COUNTIF('クラス'!$A$1:$A$1267,$B1869)&gt;0,$B1869="",$M1869=""),"",True)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IF(OR(COUNTIF('クラス'!$A$1:$A$1267,$B1870)&gt;0,$B1870="",$M1870=""),"",True)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IF(OR(COUNTIF('クラス'!$A$1:$A$1267,$B1871)&gt;0,$B1871="",$M1871=""),"",True)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IF(OR(COUNTIF('クラス'!$A$1:$A$1267,$B1872)&gt;0,$B1872="",$M1872=""),"",True)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IF(OR(COUNTIF('クラス'!$A$1:$A$1267,$B1873)&gt;0,$B1873="",$M1873=""),"",True)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IF(OR(COUNTIF('クラス'!$A$1:$A$1267,$B1874)&gt;0,$B1874="",$M1874=""),"",True)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IF(OR(COUNTIF('クラス'!$A$1:$A$1267,$B1875)&gt;0,$B1875="",$M1875=""),"",True)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IF(OR(COUNTIF('クラス'!$A$1:$A$1267,$B1876)&gt;0,$B1876="",$M1876=""),"",True)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IF(OR(COUNTIF('クラス'!$A$1:$A$1267,$B1877)&gt;0,$B1877="",$M1877=""),"",True)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IF(OR(COUNTIF('クラス'!$A$1:$A$1267,$B1878)&gt;0,$B1878="",$M1878=""),"",True)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IF(OR(COUNTIF('クラス'!$A$1:$A$1267,$B1879)&gt;0,$B1879="",$M1879=""),"",True)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IF(OR(COUNTIF('クラス'!$A$1:$A$1267,$B1880)&gt;0,$B1880="",$M1880=""),"",True)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IF(OR(COUNTIF('クラス'!$A$1:$A$1267,$B1881)&gt;0,$B1881="",$M1881=""),"",True)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IF(OR(COUNTIF('クラス'!$A$1:$A$1267,$B1882)&gt;0,$B1882="",$M1882=""),"",True)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IF(OR(COUNTIF('クラス'!$A$1:$A$1267,$B1883)&gt;0,$B1883="",$M1883=""),"",True)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IF(OR(COUNTIF('クラス'!$A$1:$A$1267,$B1884)&gt;0,$B1884="",$M1884=""),"",True)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IF(OR(COUNTIF('クラス'!$A$1:$A$1267,$B1885)&gt;0,$B1885="",$M1885=""),"",True)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IF(OR(COUNTIF('クラス'!$A$1:$A$1267,$B1886)&gt;0,$B1886="",$M1886=""),"",True)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IF(OR(COUNTIF('クラス'!$A$1:$A$1267,$B1887)&gt;0,$B1887="",$M1887=""),"",True)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IF(OR(COUNTIF('クラス'!$A$1:$A$1267,$B1888)&gt;0,$B1888="",$M1888=""),"",True)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IF(OR(COUNTIF('クラス'!$A$1:$A$1267,$B1889)&gt;0,$B1889="",$M1889=""),"",True)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IF(OR(COUNTIF('クラス'!$A$1:$A$1267,$B1890)&gt;0,$B1890="",$M1890=""),"",True)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IF(OR(COUNTIF('クラス'!$A$1:$A$1267,$B1891)&gt;0,$B1891="",$M1891=""),"",True)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IF(OR(COUNTIF('クラス'!$A$1:$A$1267,$B1892)&gt;0,$B1892="",$M1892=""),"",True)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IF(OR(COUNTIF('クラス'!$A$1:$A$1267,$B1893)&gt;0,$B1893="",$M1893=""),"",True)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IF(OR(COUNTIF('クラス'!$A$1:$A$1267,$B1894)&gt;0,$B1894="",$M1894=""),"",True)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IF(OR(COUNTIF('クラス'!$A$1:$A$1267,$B1895)&gt;0,$B1895="",$M1895=""),"",True)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IF(OR(COUNTIF('クラス'!$A$1:$A$1267,$B1896)&gt;0,$B1896="",$M1896=""),"",True)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IF(OR(COUNTIF('クラス'!$A$1:$A$1267,$B1897)&gt;0,$B1897="",$M1897=""),"",True)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IF(OR(COUNTIF('クラス'!$A$1:$A$1267,$B1898)&gt;0,$B1898="",$M1898=""),"",True)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IF(OR(COUNTIF('クラス'!$A$1:$A$1267,$B1899)&gt;0,$B1899="",$M1899=""),"",True)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IF(OR(COUNTIF('クラス'!$A$1:$A$1267,$B1900)&gt;0,$B1900="",$M1900=""),"",True)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IF(OR(COUNTIF('クラス'!$A$1:$A$1267,$B1901)&gt;0,$B1901="",$M1901=""),"",True)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IF(OR(COUNTIF('クラス'!$A$1:$A$1267,$B1902)&gt;0,$B1902="",$M1902=""),"",True)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IF(OR(COUNTIF('クラス'!$A$1:$A$1267,$B1903)&gt;0,$B1903="",$M1903=""),"",True)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IF(OR(COUNTIF('クラス'!$A$1:$A$1267,$B1904)&gt;0,$B1904="",$M1904=""),"",True)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IF(OR(COUNTIF('クラス'!$A$1:$A$1267,$B1905)&gt;0,$B1905="",$M1905=""),"",True)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IF(OR(COUNTIF('クラス'!$A$1:$A$1267,$B1906)&gt;0,$B1906="",$M1906=""),"",True)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IF(OR(COUNTIF('クラス'!$A$1:$A$1267,$B1907)&gt;0,$B1907="",$M1907=""),"",True)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IF(OR(COUNTIF('クラス'!$A$1:$A$1267,$B1908)&gt;0,$B1908="",$M1908=""),"",True)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IF(OR(COUNTIF('クラス'!$A$1:$A$1267,$B1909)&gt;0,$B1909="",$M1909=""),"",True)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IF(OR(COUNTIF('クラス'!$A$1:$A$1267,$B1910)&gt;0,$B1910="",$M1910=""),"",True)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IF(OR(COUNTIF('クラス'!$A$1:$A$1267,$B1911)&gt;0,$B1911="",$M1911=""),"",True)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IF(OR(COUNTIF('クラス'!$A$1:$A$1267,$B1912)&gt;0,$B1912="",$M1912=""),"",True)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IF(OR(COUNTIF('クラス'!$A$1:$A$1267,$B1913)&gt;0,$B1913="",$M1913=""),"",True)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IF(OR(COUNTIF('クラス'!$A$1:$A$1267,$B1914)&gt;0,$B1914="",$M1914=""),"",True)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IF(OR(COUNTIF('クラス'!$A$1:$A$1267,$B1915)&gt;0,$B1915="",$M1915=""),"",True)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IF(OR(COUNTIF('クラス'!$A$1:$A$1267,$B1916)&gt;0,$B1916="",$M1916=""),"",True)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IF(OR(COUNTIF('クラス'!$A$1:$A$1267,$B1917)&gt;0,$B1917="",$M1917=""),"",True)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IF(OR(COUNTIF('クラス'!$A$1:$A$1267,$B1918)&gt;0,$B1918="",$M1918=""),"",True)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IF(OR(COUNTIF('クラス'!$A$1:$A$1267,$B1919)&gt;0,$B1919="",$M1919=""),"",True)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IF(OR(COUNTIF('クラス'!$A$1:$A$1267,$B1920)&gt;0,$B1920="",$M1920=""),"",True)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IF(OR(COUNTIF('クラス'!$A$1:$A$1267,$B1921)&gt;0,$B1921="",$M1921=""),"",True)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IF(OR(COUNTIF('クラス'!$A$1:$A$1267,$B1922)&gt;0,$B1922="",$M1922=""),"",True)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IF(OR(COUNTIF('クラス'!$A$1:$A$1267,$B1923)&gt;0,$B1923="",$M1923=""),"",True)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IF(OR(COUNTIF('クラス'!$A$1:$A$1267,$B1924)&gt;0,$B1924="",$M1924=""),"",True)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IF(OR(COUNTIF('クラス'!$A$1:$A$1267,$B1925)&gt;0,$B1925="",$M1925=""),"",True)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IF(OR(COUNTIF('クラス'!$A$1:$A$1267,$B1926)&gt;0,$B1926="",$M1926=""),"",True)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IF(OR(COUNTIF('クラス'!$A$1:$A$1267,$B1927)&gt;0,$B1927="",$M1927=""),"",True)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IF(OR(COUNTIF('クラス'!$A$1:$A$1267,$B1928)&gt;0,$B1928="",$M1928=""),"",True)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IF(OR(COUNTIF('クラス'!$A$1:$A$1267,$B1929)&gt;0,$B1929="",$M1929=""),"",True)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IF(OR(COUNTIF('クラス'!$A$1:$A$1267,$B1930)&gt;0,$B1930="",$M1930=""),"",True)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IF(OR(COUNTIF('クラス'!$A$1:$A$1267,$B1931)&gt;0,$B1931="",$M1931=""),"",True)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IF(OR(COUNTIF('クラス'!$A$1:$A$1267,$B1932)&gt;0,$B1932="",$M1932=""),"",True)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IF(OR(COUNTIF('クラス'!$A$1:$A$1267,$B1933)&gt;0,$B1933="",$M1933=""),"",True)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IF(OR(COUNTIF('クラス'!$A$1:$A$1267,$B1934)&gt;0,$B1934="",$M1934=""),"",True)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IF(OR(COUNTIF('クラス'!$A$1:$A$1267,$B1935)&gt;0,$B1935="",$M1935=""),"",True)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IF(OR(COUNTIF('クラス'!$A$1:$A$1267,$B1936)&gt;0,$B1936="",$M1936=""),"",True)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IF(OR(COUNTIF('クラス'!$A$1:$A$1267,$B1937)&gt;0,$B1937="",$M1937=""),"",True)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IF(OR(COUNTIF('クラス'!$A$1:$A$1267,$B1938)&gt;0,$B1938="",$M1938=""),"",True)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IF(OR(COUNTIF('クラス'!$A$1:$A$1267,$B1939)&gt;0,$B1939="",$M1939=""),"",True)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IF(OR(COUNTIF('クラス'!$A$1:$A$1267,$B1940)&gt;0,$B1940="",$M1940=""),"",True)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IF(OR(COUNTIF('クラス'!$A$1:$A$1267,$B1941)&gt;0,$B1941="",$M1941=""),"",True)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IF(OR(COUNTIF('クラス'!$A$1:$A$1267,$B1942)&gt;0,$B1942="",$M1942=""),"",True)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IF(OR(COUNTIF('クラス'!$A$1:$A$1267,$B1943)&gt;0,$B1943="",$M1943=""),"",True)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IF(OR(COUNTIF('クラス'!$A$1:$A$1267,$B1944)&gt;0,$B1944="",$M1944=""),"",True)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IF(OR(COUNTIF('クラス'!$A$1:$A$1267,$B1945)&gt;0,$B1945="",$M1945=""),"",True)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IF(OR(COUNTIF('クラス'!$A$1:$A$1267,$B1946)&gt;0,$B1946="",$M1946=""),"",True)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IF(OR(COUNTIF('クラス'!$A$1:$A$1267,$B1947)&gt;0,$B1947="",$M1947=""),"",True)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IF(OR(COUNTIF('クラス'!$A$1:$A$1267,$B1948)&gt;0,$B1948="",$M1948=""),"",True)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IF(OR(COUNTIF('クラス'!$A$1:$A$1267,$B1949)&gt;0,$B1949="",$M1949=""),"",True)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IF(OR(COUNTIF('クラス'!$A$1:$A$1267,$B1950)&gt;0,$B1950="",$M1950=""),"",True)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IF(OR(COUNTIF('クラス'!$A$1:$A$1267,$B1951)&gt;0,$B1951="",$M1951=""),"",True)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IF(OR(COUNTIF('クラス'!$A$1:$A$1267,$B1952)&gt;0,$B1952="",$M1952=""),"",True)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IF(OR(COUNTIF('クラス'!$A$1:$A$1267,$B1953)&gt;0,$B1953="",$M1953=""),"",True)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IF(OR(COUNTIF('クラス'!$A$1:$A$1267,$B1954)&gt;0,$B1954="",$M1954=""),"",True)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IF(OR(COUNTIF('クラス'!$A$1:$A$1267,$B1955)&gt;0,$B1955="",$M1955=""),"",True)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IF(OR(COUNTIF('クラス'!$A$1:$A$1267,$B1956)&gt;0,$B1956="",$M1956=""),"",True)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IF(OR(COUNTIF('クラス'!$A$1:$A$1267,$B1957)&gt;0,$B1957="",$M1957=""),"",True)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IF(OR(COUNTIF('クラス'!$A$1:$A$1267,$B1958)&gt;0,$B1958="",$M1958=""),"",True)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IF(OR(COUNTIF('クラス'!$A$1:$A$1267,$B1959)&gt;0,$B1959="",$M1959=""),"",True)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IF(OR(COUNTIF('クラス'!$A$1:$A$1267,$B1960)&gt;0,$B1960="",$M1960=""),"",True)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IF(OR(COUNTIF('クラス'!$A$1:$A$1267,$B1961)&gt;0,$B1961="",$M1961=""),"",True)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IF(OR(COUNTIF('クラス'!$A$1:$A$1267,$B1962)&gt;0,$B1962="",$M1962=""),"",True)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IF(OR(COUNTIF('クラス'!$A$1:$A$1267,$B1963)&gt;0,$B1963="",$M1963=""),"",True)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IF(OR(COUNTIF('クラス'!$A$1:$A$1267,$B1964)&gt;0,$B1964="",$M1964=""),"",True)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IF(OR(COUNTIF('クラス'!$A$1:$A$1267,$B1965)&gt;0,$B1965="",$M1965=""),"",True)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IF(OR(COUNTIF('クラス'!$A$1:$A$1267,$B1966)&gt;0,$B1966="",$M1966=""),"",True)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IF(OR(COUNTIF('クラス'!$A$1:$A$1267,$B1967)&gt;0,$B1967="",$M1967=""),"",True)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IF(OR(COUNTIF('クラス'!$A$1:$A$1267,$B1968)&gt;0,$B1968="",$M1968=""),"",True)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IF(OR(COUNTIF('クラス'!$A$1:$A$1267,$B1969)&gt;0,$B1969="",$M1969=""),"",True)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IF(OR(COUNTIF('クラス'!$A$1:$A$1267,$B1970)&gt;0,$B1970="",$M1970=""),"",True)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IF(OR(COUNTIF('クラス'!$A$1:$A$1267,$B1971)&gt;0,$B1971="",$M1971=""),"",True)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IF(OR(COUNTIF('クラス'!$A$1:$A$1267,$B1972)&gt;0,$B1972="",$M1972=""),"",True)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IF(OR(COUNTIF('クラス'!$A$1:$A$1267,$B1973)&gt;0,$B1973="",$M1973=""),"",True)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IF(OR(COUNTIF('クラス'!$A$1:$A$1267,$B1974)&gt;0,$B1974="",$M1974=""),"",True)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IF(OR(COUNTIF('クラス'!$A$1:$A$1267,$B1975)&gt;0,$B1975="",$M1975=""),"",True)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IF(OR(COUNTIF('クラス'!$A$1:$A$1267,$B1976)&gt;0,$B1976="",$M1976=""),"",True)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IF(OR(COUNTIF('クラス'!$A$1:$A$1267,$B1977)&gt;0,$B1977="",$M1977=""),"",True)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IF(OR(COUNTIF('クラス'!$A$1:$A$1267,$B1978)&gt;0,$B1978="",$M1978=""),"",True)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IF(OR(COUNTIF('クラス'!$A$1:$A$1267,$B1979)&gt;0,$B1979="",$M1979=""),"",True)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IF(OR(COUNTIF('クラス'!$A$1:$A$1267,$B1980)&gt;0,$B1980="",$M1980=""),"",True)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IF(OR(COUNTIF('クラス'!$A$1:$A$1267,$B1981)&gt;0,$B1981="",$M1981=""),"",True)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IF(OR(COUNTIF('クラス'!$A$1:$A$1267,$B1982)&gt;0,$B1982="",$M1982=""),"",True)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IF(OR(COUNTIF('クラス'!$A$1:$A$1267,$B1983)&gt;0,$B1983="",$M1983=""),"",True)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IF(OR(COUNTIF('クラス'!$A$1:$A$1267,$B1984)&gt;0,$B1984="",$M1984=""),"",True)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IF(OR(COUNTIF('クラス'!$A$1:$A$1267,$B1985)&gt;0,$B1985="",$M1985=""),"",True)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IF(OR(COUNTIF('クラス'!$A$1:$A$1267,$B1986)&gt;0,$B1986="",$M1986=""),"",True)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IF(OR(COUNTIF('クラス'!$A$1:$A$1267,$B1987)&gt;0,$B1987="",$M1987=""),"",True)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IF(OR(COUNTIF('クラス'!$A$1:$A$1267,$B1988)&gt;0,$B1988="",$M1988=""),"",True)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IF(OR(COUNTIF('クラス'!$A$1:$A$1267,$B1989)&gt;0,$B1989="",$M1989=""),"",True)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IF(OR(COUNTIF('クラス'!$A$1:$A$1267,$B1990)&gt;0,$B1990="",$M1990=""),"",True)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IF(OR(COUNTIF('クラス'!$A$1:$A$1267,$B1991)&gt;0,$B1991="",$M1991=""),"",True)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IF(OR(COUNTIF('クラス'!$A$1:$A$1267,$B1992)&gt;0,$B1992="",$M1992=""),"",True)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IF(OR(COUNTIF('クラス'!$A$1:$A$1267,$B1993)&gt;0,$B1993="",$M1993=""),"",True)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IF(OR(COUNTIF('クラス'!$A$1:$A$1267,$B1994)&gt;0,$B1994="",$M1994=""),"",True)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IF(OR(COUNTIF('クラス'!$A$1:$A$1267,$B1995)&gt;0,$B1995="",$M1995=""),"",True)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IF(OR(COUNTIF('クラス'!$A$1:$A$1267,$B1996)&gt;0,$B1996="",$M1996=""),"",True)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IF(OR(COUNTIF('クラス'!$A$1:$A$1267,$B1997)&gt;0,$B1997="",$M1997=""),"",True)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IF(OR(COUNTIF('クラス'!$A$1:$A$1267,$B1998)&gt;0,$B1998="",$M1998=""),"",True)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IF(OR(COUNTIF('クラス'!$A$1:$A$1267,$B1999)&gt;0,$B1999="",$M1999=""),"",True)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IF(OR(COUNTIF('クラス'!$A$1:$A$1267,$B2000)&gt;0,$B2000="",$M2000=""),"",True)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IF(OR(COUNTIF('クラス'!$A$1:$A$1267,$B2001)&gt;0,$B2001="",$M2001=""),"",True)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IF(OR(COUNTIF('クラス'!$A$1:$A$1267,$B2002)&gt;0,$B2002="",$M2002=""),"",True)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IF(OR(COUNTIF('クラス'!$A$1:$A$1267,$B2003)&gt;0,$B2003="",$M2003=""),"",True)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IF(OR(COUNTIF('クラス'!$A$1:$A$1267,$B2004)&gt;0,$B2004="",$M2004=""),"",True)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IF(OR(COUNTIF('クラス'!$A$1:$A$1267,$B2005)&gt;0,$B2005="",$M2005=""),"",True)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IF(OR(COUNTIF('クラス'!$A$1:$A$1267,$B2006)&gt;0,$B2006="",$M2006=""),"",True)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IF(OR(COUNTIF('クラス'!$A$1:$A$1267,$B2007)&gt;0,$B2007="",$M2007=""),"",True)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IF(OR(COUNTIF('クラス'!$A$1:$A$1267,$B2008)&gt;0,$B2008="",$M2008=""),"",True)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IF(OR(COUNTIF('クラス'!$A$1:$A$1267,$B2009)&gt;0,$B2009="",$M2009=""),"",True)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IF(OR(COUNTIF('クラス'!$A$1:$A$1267,$B2010)&gt;0,$B2010="",$M2010=""),"",True)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IF(OR(COUNTIF('クラス'!$A$1:$A$1267,$B2011)&gt;0,$B2011="",$M2011=""),"",True)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IF(OR(COUNTIF('クラス'!$A$1:$A$1267,$B2012)&gt;0,$B2012="",$M2012=""),"",True)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IF(OR(COUNTIF('クラス'!$A$1:$A$1267,$B2013)&gt;0,$B2013="",$M2013=""),"",True)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IF(OR(COUNTIF('クラス'!$A$1:$A$1267,$B2014)&gt;0,$B2014="",$M2014=""),"",True)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IF(OR(COUNTIF('クラス'!$A$1:$A$1267,$B2015)&gt;0,$B2015="",$M2015=""),"",True)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IF(OR(COUNTIF('クラス'!$A$1:$A$1267,$B2016)&gt;0,$B2016="",$M2016=""),"",True)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IF(OR(COUNTIF('クラス'!$A$1:$A$1267,$B2017)&gt;0,$B2017="",$M2017=""),"",True)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IF(OR(COUNTIF('クラス'!$A$1:$A$1267,$B2018)&gt;0,$B2018="",$M2018=""),"",True)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IF(OR(COUNTIF('クラス'!$A$1:$A$1267,$B2019)&gt;0,$B2019="",$M2019=""),"",True)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IF(OR(COUNTIF('クラス'!$A$1:$A$1267,$B2020)&gt;0,$B2020="",$M2020=""),"",True)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IF(OR(COUNTIF('クラス'!$A$1:$A$1267,$B2021)&gt;0,$B2021="",$M2021=""),"",True)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IF(OR(COUNTIF('クラス'!$A$1:$A$1267,$B2022)&gt;0,$B2022="",$M2022=""),"",True)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IF(OR(COUNTIF('クラス'!$A$1:$A$1267,$B2023)&gt;0,$B2023="",$M2023=""),"",True)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IF(OR(COUNTIF('クラス'!$A$1:$A$1267,$B2024)&gt;0,$B2024="",$M2024=""),"",True)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IF(OR(COUNTIF('クラス'!$A$1:$A$1267,$B2025)&gt;0,$B2025="",$M2025=""),"",True)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IF(OR(COUNTIF('クラス'!$A$1:$A$1267,$B2026)&gt;0,$B2026="",$M2026=""),"",True)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IF(OR(COUNTIF('クラス'!$A$1:$A$1267,$B2027)&gt;0,$B2027="",$M2027=""),"",True)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IF(OR(COUNTIF('クラス'!$A$1:$A$1267,$B2028)&gt;0,$B2028="",$M2028=""),"",True)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IF(OR(COUNTIF('クラス'!$A$1:$A$1267,$B2029)&gt;0,$B2029="",$M2029=""),"",True)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IF(OR(COUNTIF('クラス'!$A$1:$A$1267,$B2030)&gt;0,$B2030="",$M2030=""),"",True)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IF(OR(COUNTIF('クラス'!$A$1:$A$1267,$B2031)&gt;0,$B2031="",$M2031=""),"",True)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IF(OR(COUNTIF('クラス'!$A$1:$A$1267,$B2032)&gt;0,$B2032="",$M2032=""),"",True)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IF(OR(COUNTIF('クラス'!$A$1:$A$1267,$B2033)&gt;0,$B2033="",$M2033=""),"",True)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IF(OR(COUNTIF('クラス'!$A$1:$A$1267,$B2034)&gt;0,$B2034="",$M2034=""),"",True)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IF(OR(COUNTIF('クラス'!$A$1:$A$1267,$B2035)&gt;0,$B2035="",$M2035=""),"",True)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IF(OR(COUNTIF('クラス'!$A$1:$A$1267,$B2036)&gt;0,$B2036="",$M2036=""),"",True)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IF(OR(COUNTIF('クラス'!$A$1:$A$1267,$B2037)&gt;0,$B2037="",$M2037=""),"",True)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IF(OR(COUNTIF('クラス'!$A$1:$A$1267,$B2038)&gt;0,$B2038="",$M2038=""),"",True)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IF(OR(COUNTIF('クラス'!$A$1:$A$1267,$B2039)&gt;0,$B2039="",$M2039=""),"",True)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IF(OR(COUNTIF('クラス'!$A$1:$A$1267,$B2040)&gt;0,$B2040="",$M2040=""),"",True)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IF(OR(COUNTIF('クラス'!$A$1:$A$1267,$B2041)&gt;0,$B2041="",$M2041=""),"",True)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IF(OR(COUNTIF('クラス'!$A$1:$A$1267,$B2042)&gt;0,$B2042="",$M2042=""),"",True)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IF(OR(COUNTIF('クラス'!$A$1:$A$1267,$B2043)&gt;0,$B2043="",$M2043=""),"",True)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IF(OR(COUNTIF('クラス'!$A$1:$A$1267,$B2044)&gt;0,$B2044="",$M2044=""),"",True)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IF(OR(COUNTIF('クラス'!$A$1:$A$1267,$B2045)&gt;0,$B2045="",$M2045=""),"",True)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IF(OR(COUNTIF('クラス'!$A$1:$A$1267,$B2046)&gt;0,$B2046="",$M2046=""),"",True)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IF(OR(COUNTIF('クラス'!$A$1:$A$1267,$B2047)&gt;0,$B2047="",$M2047=""),"",True)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IF(OR(COUNTIF('クラス'!$A$1:$A$1267,$B2048)&gt;0,$B2048="",$M2048=""),"",True)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IF(OR(COUNTIF('クラス'!$A$1:$A$1267,$B2049)&gt;0,$B2049="",$M2049=""),"",True)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IF(OR(COUNTIF('クラス'!$A$1:$A$1267,$B2050)&gt;0,$B2050="",$M2050=""),"",True)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IF(OR(COUNTIF('クラス'!$A$1:$A$1267,$B2051)&gt;0,$B2051="",$M2051=""),"",True)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IF(OR(COUNTIF('クラス'!$A$1:$A$1267,$B2052)&gt;0,$B2052="",$M2052=""),"",True)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IF(OR(COUNTIF('クラス'!$A$1:$A$1267,$B2053)&gt;0,$B2053="",$M2053=""),"",True)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IF(OR(COUNTIF('クラス'!$A$1:$A$1267,$B2054)&gt;0,$B2054="",$M2054=""),"",True)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IF(OR(COUNTIF('クラス'!$A$1:$A$1267,$B2055)&gt;0,$B2055="",$M2055=""),"",True)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IF(OR(COUNTIF('クラス'!$A$1:$A$1267,$B2056)&gt;0,$B2056="",$M2056=""),"",True)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IF(OR(COUNTIF('クラス'!$A$1:$A$1267,$B2057)&gt;0,$B2057="",$M2057=""),"",True)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IF(OR(COUNTIF('クラス'!$A$1:$A$1267,$B2058)&gt;0,$B2058="",$M2058=""),"",True)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IF(OR(COUNTIF('クラス'!$A$1:$A$1267,$B2059)&gt;0,$B2059="",$M2059=""),"",True)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IF(OR(COUNTIF('クラス'!$A$1:$A$1267,$B2060)&gt;0,$B2060="",$M2060=""),"",True)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IF(OR(COUNTIF('クラス'!$A$1:$A$1267,$B2061)&gt;0,$B2061="",$M2061=""),"",True)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IF(OR(COUNTIF('クラス'!$A$1:$A$1267,$B2062)&gt;0,$B2062="",$M2062=""),"",True)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IF(OR(COUNTIF('クラス'!$A$1:$A$1267,$B2063)&gt;0,$B2063="",$M2063=""),"",True)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IF(OR(COUNTIF('クラス'!$A$1:$A$1267,$B2064)&gt;0,$B2064="",$M2064=""),"",True)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IF(OR(COUNTIF('クラス'!$A$1:$A$1267,$B2065)&gt;0,$B2065="",$M2065=""),"",True)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IF(OR(COUNTIF('クラス'!$A$1:$A$1267,$B2066)&gt;0,$B2066="",$M2066=""),"",True)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IF(OR(COUNTIF('クラス'!$A$1:$A$1267,$B2067)&gt;0,$B2067="",$M2067=""),"",True)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IF(OR(COUNTIF('クラス'!$A$1:$A$1267,$B2068)&gt;0,$B2068="",$M2068=""),"",True)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IF(OR(COUNTIF('クラス'!$A$1:$A$1267,$B2069)&gt;0,$B2069="",$M2069=""),"",True)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IF(OR(COUNTIF('クラス'!$A$1:$A$1267,$B2070)&gt;0,$B2070="",$M2070=""),"",True)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IF(OR(COUNTIF('クラス'!$A$1:$A$1267,$B2071)&gt;0,$B2071="",$M2071=""),"",True)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IF(OR(COUNTIF('クラス'!$A$1:$A$1267,$B2072)&gt;0,$B2072="",$M2072=""),"",True)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IF(OR(COUNTIF('クラス'!$A$1:$A$1267,$B2073)&gt;0,$B2073="",$M2073=""),"",True)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IF(OR(COUNTIF('クラス'!$A$1:$A$1267,$B2074)&gt;0,$B2074="",$M2074=""),"",True)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IF(OR(COUNTIF('クラス'!$A$1:$A$1267,$B2075)&gt;0,$B2075="",$M2075=""),"",True)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IF(OR(COUNTIF('クラス'!$A$1:$A$1267,$B2076)&gt;0,$B2076="",$M2076=""),"",True)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IF(OR(COUNTIF('クラス'!$A$1:$A$1267,$B2077)&gt;0,$B2077="",$M2077=""),"",True)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IF(OR(COUNTIF('クラス'!$A$1:$A$1267,$B2078)&gt;0,$B2078="",$M2078=""),"",True)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IF(OR(COUNTIF('クラス'!$A$1:$A$1267,$B2079)&gt;0,$B2079="",$M2079=""),"",True)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IF(OR(COUNTIF('クラス'!$A$1:$A$1267,$B2080)&gt;0,$B2080="",$M2080=""),"",True)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IF(OR(COUNTIF('クラス'!$A$1:$A$1267,$B2081)&gt;0,$B2081="",$M2081=""),"",True)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IF(OR(COUNTIF('クラス'!$A$1:$A$1267,$B2082)&gt;0,$B2082="",$M2082=""),"",True)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IF(OR(COUNTIF('クラス'!$A$1:$A$1267,$B2083)&gt;0,$B2083="",$M2083=""),"",True)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IF(OR(COUNTIF('クラス'!$A$1:$A$1267,$B2084)&gt;0,$B2084="",$M2084=""),"",True)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IF(OR(COUNTIF('クラス'!$A$1:$A$1267,$B2085)&gt;0,$B2085="",$M2085=""),"",True)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IF(OR(COUNTIF('クラス'!$A$1:$A$1267,$B2086)&gt;0,$B2086="",$M2086=""),"",True)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IF(OR(COUNTIF('クラス'!$A$1:$A$1267,$B2087)&gt;0,$B2087="",$M2087=""),"",True)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IF(OR(COUNTIF('クラス'!$A$1:$A$1267,$B2088)&gt;0,$B2088="",$M2088=""),"",True)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IF(OR(COUNTIF('クラス'!$A$1:$A$1267,$B2089)&gt;0,$B2089="",$M2089=""),"",True)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IF(OR(COUNTIF('クラス'!$A$1:$A$1267,$B2090)&gt;0,$B2090="",$M2090=""),"",True)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IF(OR(COUNTIF('クラス'!$A$1:$A$1267,$B2091)&gt;0,$B2091="",$M2091=""),"",True)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IF(OR(COUNTIF('クラス'!$A$1:$A$1267,$B2092)&gt;0,$B2092="",$M2092=""),"",True)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IF(OR(COUNTIF('クラス'!$A$1:$A$1267,$B2093)&gt;0,$B2093="",$M2093=""),"",True)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IF(OR(COUNTIF('クラス'!$A$1:$A$1267,$B2094)&gt;0,$B2094="",$M2094=""),"",True)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IF(OR(COUNTIF('クラス'!$A$1:$A$1267,$B2095)&gt;0,$B2095="",$M2095=""),"",True)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IF(OR(COUNTIF('クラス'!$A$1:$A$1267,$B2096)&gt;0,$B2096="",$M2096=""),"",True)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IF(OR(COUNTIF('クラス'!$A$1:$A$1267,$B2097)&gt;0,$B2097="",$M2097=""),"",True)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IF(OR(COUNTIF('クラス'!$A$1:$A$1267,$B2098)&gt;0,$B2098="",$M2098=""),"",True)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IF(OR(COUNTIF('クラス'!$A$1:$A$1267,$B2099)&gt;0,$B2099="",$M2099=""),"",True)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IF(OR(COUNTIF('クラス'!$A$1:$A$1267,$B2100)&gt;0,$B2100="",$M2100=""),"",True)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IF(OR(COUNTIF('クラス'!$A$1:$A$1267,$B2101)&gt;0,$B2101="",$M2101=""),"",True)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IF(OR(COUNTIF('クラス'!$A$1:$A$1267,$B2102)&gt;0,$B2102="",$M2102=""),"",True)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IF(OR(COUNTIF('クラス'!$A$1:$A$1267,$B2103)&gt;0,$B2103="",$M2103=""),"",True)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IF(OR(COUNTIF('クラス'!$A$1:$A$1267,$B2104)&gt;0,$B2104="",$M2104=""),"",True)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IF(OR(COUNTIF('クラス'!$A$1:$A$1267,$B2105)&gt;0,$B2105="",$M2105=""),"",True)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IF(OR(COUNTIF('クラス'!$A$1:$A$1267,$B2106)&gt;0,$B2106="",$M2106=""),"",True)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IF(OR(COUNTIF('クラス'!$A$1:$A$1267,$B2107)&gt;0,$B2107="",$M2107=""),"",True)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IF(OR(COUNTIF('クラス'!$A$1:$A$1267,$B2108)&gt;0,$B2108="",$M2108=""),"",True)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IF(OR(COUNTIF('クラス'!$A$1:$A$1267,$B2109)&gt;0,$B2109="",$M2109=""),"",True)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IF(OR(COUNTIF('クラス'!$A$1:$A$1267,$B2110)&gt;0,$B2110="",$M2110=""),"",True)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IF(OR(COUNTIF('クラス'!$A$1:$A$1267,$B2111)&gt;0,$B2111="",$M2111=""),"",True)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IF(OR(COUNTIF('クラス'!$A$1:$A$1267,$B2112)&gt;0,$B2112="",$M2112=""),"",True)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IF(OR(COUNTIF('クラス'!$A$1:$A$1267,$B2113)&gt;0,$B2113="",$M2113=""),"",True)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IF(OR(COUNTIF('クラス'!$A$1:$A$1267,$B2114)&gt;0,$B2114="",$M2114=""),"",True)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IF(OR(COUNTIF('クラス'!$A$1:$A$1267,$B2115)&gt;0,$B2115="",$M2115=""),"",True)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IF(OR(COUNTIF('クラス'!$A$1:$A$1267,$B2116)&gt;0,$B2116="",$M2116=""),"",True)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IF(OR(COUNTIF('クラス'!$A$1:$A$1267,$B2117)&gt;0,$B2117="",$M2117=""),"",True)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IF(OR(COUNTIF('クラス'!$A$1:$A$1267,$B2118)&gt;0,$B2118="",$M2118=""),"",True)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IF(OR(COUNTIF('クラス'!$A$1:$A$1267,$B2119)&gt;0,$B2119="",$M2119=""),"",True)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IF(OR(COUNTIF('クラス'!$A$1:$A$1267,$B2120)&gt;0,$B2120="",$M2120=""),"",True)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IF(OR(COUNTIF('クラス'!$A$1:$A$1267,$B2121)&gt;0,$B2121="",$M2121=""),"",True)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IF(OR(COUNTIF('クラス'!$A$1:$A$1267,$B2122)&gt;0,$B2122="",$M2122=""),"",True)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IF(OR(COUNTIF('クラス'!$A$1:$A$1267,$B2123)&gt;0,$B2123="",$M2123=""),"",True)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IF(OR(COUNTIF('クラス'!$A$1:$A$1267,$B2124)&gt;0,$B2124="",$M2124=""),"",True)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IF(OR(COUNTIF('クラス'!$A$1:$A$1267,$B2125)&gt;0,$B2125="",$M2125=""),"",True)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IF(OR(COUNTIF('クラス'!$A$1:$A$1267,$B2126)&gt;0,$B2126="",$M2126=""),"",True)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IF(OR(COUNTIF('クラス'!$A$1:$A$1267,$B2127)&gt;0,$B2127="",$M2127=""),"",True)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IF(OR(COUNTIF('クラス'!$A$1:$A$1267,$B2128)&gt;0,$B2128="",$M2128=""),"",True)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IF(OR(COUNTIF('クラス'!$A$1:$A$1267,$B2129)&gt;0,$B2129="",$M2129=""),"",True)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IF(OR(COUNTIF('クラス'!$A$1:$A$1267,$B2130)&gt;0,$B2130="",$M2130=""),"",True)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IF(OR(COUNTIF('クラス'!$A$1:$A$1267,$B2131)&gt;0,$B2131="",$M2131=""),"",True)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IF(OR(COUNTIF('クラス'!$A$1:$A$1267,$B2132)&gt;0,$B2132="",$M2132=""),"",True)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IF(OR(COUNTIF('クラス'!$A$1:$A$1267,$B2133)&gt;0,$B2133="",$M2133=""),"",True)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IF(OR(COUNTIF('クラス'!$A$1:$A$1267,$B2134)&gt;0,$B2134="",$M2134=""),"",True)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IF(OR(COUNTIF('クラス'!$A$1:$A$1267,$B2135)&gt;0,$B2135="",$M2135=""),"",True)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IF(OR(COUNTIF('クラス'!$A$1:$A$1267,$B2136)&gt;0,$B2136="",$M2136=""),"",True)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IF(OR(COUNTIF('クラス'!$A$1:$A$1267,$B2137)&gt;0,$B2137="",$M2137=""),"",True)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IF(OR(COUNTIF('クラス'!$A$1:$A$1267,$B2138)&gt;0,$B2138="",$M2138=""),"",True)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IF(OR(COUNTIF('クラス'!$A$1:$A$1267,$B2139)&gt;0,$B2139="",$M2139=""),"",True)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IF(OR(COUNTIF('クラス'!$A$1:$A$1267,$B2140)&gt;0,$B2140="",$M2140=""),"",True)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IF(OR(COUNTIF('クラス'!$A$1:$A$1267,$B2141)&gt;0,$B2141="",$M2141=""),"",True)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IF(OR(COUNTIF('クラス'!$A$1:$A$1267,$B2142)&gt;0,$B2142="",$M2142=""),"",True)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IF(OR(COUNTIF('クラス'!$A$1:$A$1267,$B2143)&gt;0,$B2143="",$M2143=""),"",True)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IF(OR(COUNTIF('クラス'!$A$1:$A$1267,$B2144)&gt;0,$B2144="",$M2144=""),"",True)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IF(OR(COUNTIF('クラス'!$A$1:$A$1267,$B2145)&gt;0,$B2145="",$M2145=""),"",True)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IF(OR(COUNTIF('クラス'!$A$1:$A$1267,$B2146)&gt;0,$B2146="",$M2146=""),"",True)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IF(OR(COUNTIF('クラス'!$A$1:$A$1267,$B2147)&gt;0,$B2147="",$M2147=""),"",True)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IF(OR(COUNTIF('クラス'!$A$1:$A$1267,$B2148)&gt;0,$B2148="",$M2148=""),"",True)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IF(OR(COUNTIF('クラス'!$A$1:$A$1267,$B2149)&gt;0,$B2149="",$M2149=""),"",True)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IF(OR(COUNTIF('クラス'!$A$1:$A$1267,$B2150)&gt;0,$B2150="",$M2150=""),"",True)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IF(OR(COUNTIF('クラス'!$A$1:$A$1267,$B2151)&gt;0,$B2151="",$M2151=""),"",True)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IF(OR(COUNTIF('クラス'!$A$1:$A$1267,$B2152)&gt;0,$B2152="",$M2152=""),"",True)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IF(OR(COUNTIF('クラス'!$A$1:$A$1267,$B2153)&gt;0,$B2153="",$M2153=""),"",True)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IF(OR(COUNTIF('クラス'!$A$1:$A$1267,$B2154)&gt;0,$B2154="",$M2154=""),"",True)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IF(OR(COUNTIF('クラス'!$A$1:$A$1267,$B2155)&gt;0,$B2155="",$M2155=""),"",True)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IF(OR(COUNTIF('クラス'!$A$1:$A$1267,$B2156)&gt;0,$B2156="",$M2156=""),"",True)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IF(OR(COUNTIF('クラス'!$A$1:$A$1267,$B2157)&gt;0,$B2157="",$M2157=""),"",True)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IF(OR(COUNTIF('クラス'!$A$1:$A$1267,$B2158)&gt;0,$B2158="",$M2158=""),"",True)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IF(OR(COUNTIF('クラス'!$A$1:$A$1267,$B2159)&gt;0,$B2159="",$M2159=""),"",True)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IF(OR(COUNTIF('クラス'!$A$1:$A$1267,$B2160)&gt;0,$B2160="",$M2160=""),"",True)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IF(OR(COUNTIF('クラス'!$A$1:$A$1267,$B2161)&gt;0,$B2161="",$M2161=""),"",True)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IF(OR(COUNTIF('クラス'!$A$1:$A$1267,$B2162)&gt;0,$B2162="",$M2162=""),"",True)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IF(OR(COUNTIF('クラス'!$A$1:$A$1267,$B2163)&gt;0,$B2163="",$M2163=""),"",True)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IF(OR(COUNTIF('クラス'!$A$1:$A$1267,$B2164)&gt;0,$B2164="",$M2164=""),"",True)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IF(OR(COUNTIF('クラス'!$A$1:$A$1267,$B2165)&gt;0,$B2165="",$M2165=""),"",True)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IF(OR(COUNTIF('クラス'!$A$1:$A$1267,$B2166)&gt;0,$B2166="",$M2166=""),"",True)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IF(OR(COUNTIF('クラス'!$A$1:$A$1267,$B2167)&gt;0,$B2167="",$M2167=""),"",True)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IF(OR(COUNTIF('クラス'!$A$1:$A$1267,$B2168)&gt;0,$B2168="",$M2168=""),"",True)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IF(OR(COUNTIF('クラス'!$A$1:$A$1267,$B2169)&gt;0,$B2169="",$M2169=""),"",True)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IF(OR(COUNTIF('クラス'!$A$1:$A$1267,$B2170)&gt;0,$B2170="",$M2170=""),"",True)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IF(OR(COUNTIF('クラス'!$A$1:$A$1267,$B2171)&gt;0,$B2171="",$M2171=""),"",True)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IF(OR(COUNTIF('クラス'!$A$1:$A$1267,$B2172)&gt;0,$B2172="",$M2172=""),"",True)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IF(OR(COUNTIF('クラス'!$A$1:$A$1267,$B2173)&gt;0,$B2173="",$M2173=""),"",True)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IF(OR(COUNTIF('クラス'!$A$1:$A$1267,$B2174)&gt;0,$B2174="",$M2174=""),"",True)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IF(OR(COUNTIF('クラス'!$A$1:$A$1267,$B2175)&gt;0,$B2175="",$M2175=""),"",True)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IF(OR(COUNTIF('クラス'!$A$1:$A$1267,$B2176)&gt;0,$B2176="",$M2176=""),"",True)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IF(OR(COUNTIF('クラス'!$A$1:$A$1267,$B2177)&gt;0,$B2177="",$M2177=""),"",True)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IF(OR(COUNTIF('クラス'!$A$1:$A$1267,$B2178)&gt;0,$B2178="",$M2178=""),"",True)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IF(OR(COUNTIF('クラス'!$A$1:$A$1267,$B2179)&gt;0,$B2179="",$M2179=""),"",True)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IF(OR(COUNTIF('クラス'!$A$1:$A$1267,$B2180)&gt;0,$B2180="",$M2180=""),"",True)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IF(OR(COUNTIF('クラス'!$A$1:$A$1267,$B2181)&gt;0,$B2181="",$M2181=""),"",True)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IF(OR(COUNTIF('クラス'!$A$1:$A$1267,$B2182)&gt;0,$B2182="",$M2182=""),"",True)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IF(OR(COUNTIF('クラス'!$A$1:$A$1267,$B2183)&gt;0,$B2183="",$M2183=""),"",True)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IF(OR(COUNTIF('クラス'!$A$1:$A$1267,$B2184)&gt;0,$B2184="",$M2184=""),"",True)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IF(OR(COUNTIF('クラス'!$A$1:$A$1267,$B2185)&gt;0,$B2185="",$M2185=""),"",True)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IF(OR(COUNTIF('クラス'!$A$1:$A$1267,$B2186)&gt;0,$B2186="",$M2186=""),"",True)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IF(OR(COUNTIF('クラス'!$A$1:$A$1267,$B2187)&gt;0,$B2187="",$M2187=""),"",True)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IF(OR(COUNTIF('クラス'!$A$1:$A$1267,$B2188)&gt;0,$B2188="",$M2188=""),"",True)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IF(OR(COUNTIF('クラス'!$A$1:$A$1267,$B2189)&gt;0,$B2189="",$M2189=""),"",True)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IF(OR(COUNTIF('クラス'!$A$1:$A$1267,$B2190)&gt;0,$B2190="",$M2190=""),"",True)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IF(OR(COUNTIF('クラス'!$A$1:$A$1267,$B2191)&gt;0,$B2191="",$M2191=""),"",True)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IF(OR(COUNTIF('クラス'!$A$1:$A$1267,$B2192)&gt;0,$B2192="",$M2192=""),"",True)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IF(OR(COUNTIF('クラス'!$A$1:$A$1267,$B2193)&gt;0,$B2193="",$M2193=""),"",True)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IF(OR(COUNTIF('クラス'!$A$1:$A$1267,$B2194)&gt;0,$B2194="",$M2194=""),"",True)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IF(OR(COUNTIF('クラス'!$A$1:$A$1267,$B2195)&gt;0,$B2195="",$M2195=""),"",True)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IF(OR(COUNTIF('クラス'!$A$1:$A$1267,$B2196)&gt;0,$B2196="",$M2196=""),"",True)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IF(OR(COUNTIF('クラス'!$A$1:$A$1267,$B2197)&gt;0,$B2197="",$M2197=""),"",True)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IF(OR(COUNTIF('クラス'!$A$1:$A$1267,$B2198)&gt;0,$B2198="",$M2198=""),"",True)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IF(OR(COUNTIF('クラス'!$A$1:$A$1267,$B2199)&gt;0,$B2199="",$M2199=""),"",True)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IF(OR(COUNTIF('クラス'!$A$1:$A$1267,$B2200)&gt;0,$B2200="",$M2200=""),"",True)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IF(OR(COUNTIF('クラス'!$A$1:$A$1267,$B2201)&gt;0,$B2201="",$M2201=""),"",True)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IF(OR(COUNTIF('クラス'!$A$1:$A$1267,$B2202)&gt;0,$B2202="",$M2202=""),"",True)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IF(OR(COUNTIF('クラス'!$A$1:$A$1267,$B2203)&gt;0,$B2203="",$M2203=""),"",True)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IF(OR(COUNTIF('クラス'!$A$1:$A$1267,$B2204)&gt;0,$B2204="",$M2204=""),"",True)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IF(OR(COUNTIF('クラス'!$A$1:$A$1267,$B2205)&gt;0,$B2205="",$M2205=""),"",True)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IF(OR(COUNTIF('クラス'!$A$1:$A$1267,$B2206)&gt;0,$B2206="",$M2206=""),"",True)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IF(OR(COUNTIF('クラス'!$A$1:$A$1267,$B2207)&gt;0,$B2207="",$M2207=""),"",True)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IF(OR(COUNTIF('クラス'!$A$1:$A$1267,$B2208)&gt;0,$B2208="",$M2208=""),"",True)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IF(OR(COUNTIF('クラス'!$A$1:$A$1267,$B2209)&gt;0,$B2209="",$M2209=""),"",True)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IF(OR(COUNTIF('クラス'!$A$1:$A$1267,$B2210)&gt;0,$B2210="",$M2210=""),"",True)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IF(OR(COUNTIF('クラス'!$A$1:$A$1267,$B2211)&gt;0,$B2211="",$M2211=""),"",True)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IF(OR(COUNTIF('クラス'!$A$1:$A$1267,$B2212)&gt;0,$B2212="",$M2212=""),"",True)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IF(OR(COUNTIF('クラス'!$A$1:$A$1267,$B2213)&gt;0,$B2213="",$M2213=""),"",True)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IF(OR(COUNTIF('クラス'!$A$1:$A$1267,$B2214)&gt;0,$B2214="",$M2214=""),"",True)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IF(OR(COUNTIF('クラス'!$A$1:$A$1267,$B2215)&gt;0,$B2215="",$M2215=""),"",True)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IF(OR(COUNTIF('クラス'!$A$1:$A$1267,$B2216)&gt;0,$B2216="",$M2216=""),"",True)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IF(OR(COUNTIF('クラス'!$A$1:$A$1267,$B2217)&gt;0,$B2217="",$M2217=""),"",True)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IF(OR(COUNTIF('クラス'!$A$1:$A$1267,$B2218)&gt;0,$B2218="",$M2218=""),"",True)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IF(OR(COUNTIF('クラス'!$A$1:$A$1267,$B2219)&gt;0,$B2219="",$M2219=""),"",True)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IF(OR(COUNTIF('クラス'!$A$1:$A$1267,$B2220)&gt;0,$B2220="",$M2220=""),"",True)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IF(OR(COUNTIF('クラス'!$A$1:$A$1267,$B2221)&gt;0,$B2221="",$M2221=""),"",True)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IF(OR(COUNTIF('クラス'!$A$1:$A$1267,$B2222)&gt;0,$B2222="",$M2222=""),"",True)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IF(OR(COUNTIF('クラス'!$A$1:$A$1267,$B2223)&gt;0,$B2223="",$M2223=""),"",True)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IF(OR(COUNTIF('クラス'!$A$1:$A$1267,$B2224)&gt;0,$B2224="",$M2224=""),"",True)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IF(OR(COUNTIF('クラス'!$A$1:$A$1267,$B2225)&gt;0,$B2225="",$M2225=""),"",True)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IF(OR(COUNTIF('クラス'!$A$1:$A$1267,$B2226)&gt;0,$B2226="",$M2226=""),"",True)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IF(OR(COUNTIF('クラス'!$A$1:$A$1267,$B2227)&gt;0,$B2227="",$M2227=""),"",True)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IF(OR(COUNTIF('クラス'!$A$1:$A$1267,$B2228)&gt;0,$B2228="",$M2228=""),"",True)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IF(OR(COUNTIF('クラス'!$A$1:$A$1267,$B2229)&gt;0,$B2229="",$M2229=""),"",True)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IF(OR(COUNTIF('クラス'!$A$1:$A$1267,$B2230)&gt;0,$B2230="",$M2230=""),"",True)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IF(OR(COUNTIF('クラス'!$A$1:$A$1267,$B2231)&gt;0,$B2231="",$M2231=""),"",True)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IF(OR(COUNTIF('クラス'!$A$1:$A$1267,$B2232)&gt;0,$B2232="",$M2232=""),"",True)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IF(OR(COUNTIF('クラス'!$A$1:$A$1267,$B2233)&gt;0,$B2233="",$M2233=""),"",True)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IF(OR(COUNTIF('クラス'!$A$1:$A$1267,$B2234)&gt;0,$B2234="",$M2234=""),"",True)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IF(OR(COUNTIF('クラス'!$A$1:$A$1267,$B2235)&gt;0,$B2235="",$M2235=""),"",True)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IF(OR(COUNTIF('クラス'!$A$1:$A$1267,$B2236)&gt;0,$B2236="",$M2236=""),"",True)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IF(OR(COUNTIF('クラス'!$A$1:$A$1267,$B2237)&gt;0,$B2237="",$M2237=""),"",True)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IF(OR(COUNTIF('クラス'!$A$1:$A$1267,$B2238)&gt;0,$B2238="",$M2238=""),"",True)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IF(OR(COUNTIF('クラス'!$A$1:$A$1267,$B2239)&gt;0,$B2239="",$M2239=""),"",True)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IF(OR(COUNTIF('クラス'!$A$1:$A$1267,$B2240)&gt;0,$B2240="",$M2240=""),"",True)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IF(OR(COUNTIF('クラス'!$A$1:$A$1267,$B2241)&gt;0,$B2241="",$M2241=""),"",True)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IF(OR(COUNTIF('クラス'!$A$1:$A$1267,$B2242)&gt;0,$B2242="",$M2242=""),"",True)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IF(OR(COUNTIF('クラス'!$A$1:$A$1267,$B2243)&gt;0,$B2243="",$M2243=""),"",True)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IF(OR(COUNTIF('クラス'!$A$1:$A$1267,$B2244)&gt;0,$B2244="",$M2244=""),"",True)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IF(OR(COUNTIF('クラス'!$A$1:$A$1267,$B2245)&gt;0,$B2245="",$M2245=""),"",True)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IF(OR(COUNTIF('クラス'!$A$1:$A$1267,$B2246)&gt;0,$B2246="",$M2246=""),"",True)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IF(OR(COUNTIF('クラス'!$A$1:$A$1267,$B2247)&gt;0,$B2247="",$M2247=""),"",True)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IF(OR(COUNTIF('クラス'!$A$1:$A$1267,$B2248)&gt;0,$B2248="",$M2248=""),"",True)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IF(OR(COUNTIF('クラス'!$A$1:$A$1267,$B2249)&gt;0,$B2249="",$M2249=""),"",True)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IF(OR(COUNTIF('クラス'!$A$1:$A$1267,$B2250)&gt;0,$B2250="",$M2250=""),"",True)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IF(OR(COUNTIF('クラス'!$A$1:$A$1267,$B2251)&gt;0,$B2251="",$M2251=""),"",True)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IF(OR(COUNTIF('クラス'!$A$1:$A$1267,$B2252)&gt;0,$B2252="",$M2252=""),"",True)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IF(OR(COUNTIF('クラス'!$A$1:$A$1267,$B2253)&gt;0,$B2253="",$M2253=""),"",True)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IF(OR(COUNTIF('クラス'!$A$1:$A$1267,$B2254)&gt;0,$B2254="",$M2254=""),"",True)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IF(OR(COUNTIF('クラス'!$A$1:$A$1267,$B2255)&gt;0,$B2255="",$M2255=""),"",True)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IF(OR(COUNTIF('クラス'!$A$1:$A$1267,$B2256)&gt;0,$B2256="",$M2256=""),"",True)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IF(OR(COUNTIF('クラス'!$A$1:$A$1267,$B2257)&gt;0,$B2257="",$M2257=""),"",True)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IF(OR(COUNTIF('クラス'!$A$1:$A$1267,$B2258)&gt;0,$B2258="",$M2258=""),"",True)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IF(OR(COUNTIF('クラス'!$A$1:$A$1267,$B2259)&gt;0,$B2259="",$M2259=""),"",True)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IF(OR(COUNTIF('クラス'!$A$1:$A$1267,$B2260)&gt;0,$B2260="",$M2260=""),"",True)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IF(OR(COUNTIF('クラス'!$A$1:$A$1267,$B2261)&gt;0,$B2261="",$M2261=""),"",True)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IF(OR(COUNTIF('クラス'!$A$1:$A$1267,$B2262)&gt;0,$B2262="",$M2262=""),"",True)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IF(OR(COUNTIF('クラス'!$A$1:$A$1267,$B2263)&gt;0,$B2263="",$M2263=""),"",True)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IF(OR(COUNTIF('クラス'!$A$1:$A$1267,$B2264)&gt;0,$B2264="",$M2264=""),"",True)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IF(OR(COUNTIF('クラス'!$A$1:$A$1267,$B2265)&gt;0,$B2265="",$M2265=""),"",True)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IF(OR(COUNTIF('クラス'!$A$1:$A$1267,$B2266)&gt;0,$B2266="",$M2266=""),"",True)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IF(OR(COUNTIF('クラス'!$A$1:$A$1267,$B2267)&gt;0,$B2267="",$M2267=""),"",True)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IF(OR(COUNTIF('クラス'!$A$1:$A$1267,$B2268)&gt;0,$B2268="",$M2268=""),"",True)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IF(OR(COUNTIF('クラス'!$A$1:$A$1267,$B2269)&gt;0,$B2269="",$M2269=""),"",True)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IF(OR(COUNTIF('クラス'!$A$1:$A$1267,$B2270)&gt;0,$B2270="",$M2270=""),"",True)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IF(OR(COUNTIF('クラス'!$A$1:$A$1267,$B2271)&gt;0,$B2271="",$M2271=""),"",True)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IF(OR(COUNTIF('クラス'!$A$1:$A$1267,$B2272)&gt;0,$B2272="",$M2272=""),"",True)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IF(OR(COUNTIF('クラス'!$A$1:$A$1267,$B2273)&gt;0,$B2273="",$M2273=""),"",True)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IF(OR(COUNTIF('クラス'!$A$1:$A$1267,$B2274)&gt;0,$B2274="",$M2274=""),"",True)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IF(OR(COUNTIF('クラス'!$A$1:$A$1267,$B2275)&gt;0,$B2275="",$M2275=""),"",True)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IF(OR(COUNTIF('クラス'!$A$1:$A$1267,$B2276)&gt;0,$B2276="",$M2276=""),"",True)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IF(OR(COUNTIF('クラス'!$A$1:$A$1267,$B2277)&gt;0,$B2277="",$M2277=""),"",True)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IF(OR(COUNTIF('クラス'!$A$1:$A$1267,$B2278)&gt;0,$B2278="",$M2278=""),"",True)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IF(OR(COUNTIF('クラス'!$A$1:$A$1267,$B2279)&gt;0,$B2279="",$M2279=""),"",True)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IF(OR(COUNTIF('クラス'!$A$1:$A$1267,$B2280)&gt;0,$B2280="",$M2280=""),"",True)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IF(OR(COUNTIF('クラス'!$A$1:$A$1267,$B2281)&gt;0,$B2281="",$M2281=""),"",True)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IF(OR(COUNTIF('クラス'!$A$1:$A$1267,$B2282)&gt;0,$B2282="",$M2282=""),"",True)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IF(OR(COUNTIF('クラス'!$A$1:$A$1267,$B2283)&gt;0,$B2283="",$M2283=""),"",True)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IF(OR(COUNTIF('クラス'!$A$1:$A$1267,$B2284)&gt;0,$B2284="",$M2284=""),"",True)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IF(OR(COUNTIF('クラス'!$A$1:$A$1267,$B2285)&gt;0,$B2285="",$M2285=""),"",True)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IF(OR(COUNTIF('クラス'!$A$1:$A$1267,$B2286)&gt;0,$B2286="",$M2286=""),"",True)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IF(OR(COUNTIF('クラス'!$A$1:$A$1267,$B2287)&gt;0,$B2287="",$M2287=""),"",True)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IF(OR(COUNTIF('クラス'!$A$1:$A$1267,$B2288)&gt;0,$B2288="",$M2288=""),"",True)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IF(OR(COUNTIF('クラス'!$A$1:$A$1267,$B2289)&gt;0,$B2289="",$M2289=""),"",True)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IF(OR(COUNTIF('クラス'!$A$1:$A$1267,$B2290)&gt;0,$B2290="",$M2290=""),"",True)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IF(OR(COUNTIF('クラス'!$A$1:$A$1267,$B2291)&gt;0,$B2291="",$M2291=""),"",True)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IF(OR(COUNTIF('クラス'!$A$1:$A$1267,$B2292)&gt;0,$B2292="",$M2292=""),"",True)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IF(OR(COUNTIF('クラス'!$A$1:$A$1267,$B2293)&gt;0,$B2293="",$M2293=""),"",True)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IF(OR(COUNTIF('クラス'!$A$1:$A$1267,$B2294)&gt;0,$B2294="",$M2294=""),"",True)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IF(OR(COUNTIF('クラス'!$A$1:$A$1267,$B2295)&gt;0,$B2295="",$M2295=""),"",True)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IF(OR(COUNTIF('クラス'!$A$1:$A$1267,$B2296)&gt;0,$B2296="",$M2296=""),"",True)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IF(OR(COUNTIF('クラス'!$A$1:$A$1267,$B2297)&gt;0,$B2297="",$M2297=""),"",True)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IF(OR(COUNTIF('クラス'!$A$1:$A$1267,$B2298)&gt;0,$B2298="",$M2298=""),"",True)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IF(OR(COUNTIF('クラス'!$A$1:$A$1267,$B2299)&gt;0,$B2299="",$M2299=""),"",True)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IF(OR(COUNTIF('クラス'!$A$1:$A$1267,$B2300)&gt;0,$B2300="",$M2300=""),"",True)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IF(OR(COUNTIF('クラス'!$A$1:$A$1267,$B2301)&gt;0,$B2301="",$M2301=""),"",True)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IF(OR(COUNTIF('クラス'!$A$1:$A$1267,$B2302)&gt;0,$B2302="",$M2302=""),"",True)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IF(OR(COUNTIF('クラス'!$A$1:$A$1267,$B2303)&gt;0,$B2303="",$M2303=""),"",True)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IF(OR(COUNTIF('クラス'!$A$1:$A$1267,$B2304)&gt;0,$B2304="",$M2304=""),"",True)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IF(OR(COUNTIF('クラス'!$A$1:$A$1267,$B2305)&gt;0,$B2305="",$M2305=""),"",True)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IF(OR(COUNTIF('クラス'!$A$1:$A$1267,$B2306)&gt;0,$B2306="",$M2306=""),"",True)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IF(OR(COUNTIF('クラス'!$A$1:$A$1267,$B2307)&gt;0,$B2307="",$M2307=""),"",True)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IF(OR(COUNTIF('クラス'!$A$1:$A$1267,$B2308)&gt;0,$B2308="",$M2308=""),"",True)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IF(OR(COUNTIF('クラス'!$A$1:$A$1267,$B2309)&gt;0,$B2309="",$M2309=""),"",True)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IF(OR(COUNTIF('クラス'!$A$1:$A$1267,$B2310)&gt;0,$B2310="",$M2310=""),"",True)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IF(OR(COUNTIF('クラス'!$A$1:$A$1267,$B2311)&gt;0,$B2311="",$M2311=""),"",True)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IF(OR(COUNTIF('クラス'!$A$1:$A$1267,$B2312)&gt;0,$B2312="",$M2312=""),"",True)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IF(OR(COUNTIF('クラス'!$A$1:$A$1267,$B2313)&gt;0,$B2313="",$M2313=""),"",True)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IF(OR(COUNTIF('クラス'!$A$1:$A$1267,$B2314)&gt;0,$B2314="",$M2314=""),"",True)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IF(OR(COUNTIF('クラス'!$A$1:$A$1267,$B2315)&gt;0,$B2315="",$M2315=""),"",True)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IF(OR(COUNTIF('クラス'!$A$1:$A$1267,$B2316)&gt;0,$B2316="",$M2316=""),"",True)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IF(OR(COUNTIF('クラス'!$A$1:$A$1267,$B2317)&gt;0,$B2317="",$M2317=""),"",True)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IF(OR(COUNTIF('クラス'!$A$1:$A$1267,$B2318)&gt;0,$B2318="",$M2318=""),"",True)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IF(OR(COUNTIF('クラス'!$A$1:$A$1267,$B2319)&gt;0,$B2319="",$M2319=""),"",True)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IF(OR(COUNTIF('クラス'!$A$1:$A$1267,$B2320)&gt;0,$B2320="",$M2320=""),"",True)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IF(OR(COUNTIF('クラス'!$A$1:$A$1267,$B2321)&gt;0,$B2321="",$M2321=""),"",True)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IF(OR(COUNTIF('クラス'!$A$1:$A$1267,$B2322)&gt;0,$B2322="",$M2322=""),"",True)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IF(OR(COUNTIF('クラス'!$A$1:$A$1267,$B2323)&gt;0,$B2323="",$M2323=""),"",True)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IF(OR(COUNTIF('クラス'!$A$1:$A$1267,$B2324)&gt;0,$B2324="",$M2324=""),"",True)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IF(OR(COUNTIF('クラス'!$A$1:$A$1267,$B2325)&gt;0,$B2325="",$M2325=""),"",True)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IF(OR(COUNTIF('クラス'!$A$1:$A$1267,$B2326)&gt;0,$B2326="",$M2326=""),"",True)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IF(OR(COUNTIF('クラス'!$A$1:$A$1267,$B2327)&gt;0,$B2327="",$M2327=""),"",True)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IF(OR(COUNTIF('クラス'!$A$1:$A$1267,$B2328)&gt;0,$B2328="",$M2328=""),"",True)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IF(OR(COUNTIF('クラス'!$A$1:$A$1267,$B2329)&gt;0,$B2329="",$M2329=""),"",True)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IF(OR(COUNTIF('クラス'!$A$1:$A$1267,$B2330)&gt;0,$B2330="",$M2330=""),"",True)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IF(OR(COUNTIF('クラス'!$A$1:$A$1267,$B2331)&gt;0,$B2331="",$M2331=""),"",True)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IF(OR(COUNTIF('クラス'!$A$1:$A$1267,$B2332)&gt;0,$B2332="",$M2332=""),"",True)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IF(OR(COUNTIF('クラス'!$A$1:$A$1267,$B2333)&gt;0,$B2333="",$M2333=""),"",True)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IF(OR(COUNTIF('クラス'!$A$1:$A$1267,$B2334)&gt;0,$B2334="",$M2334=""),"",True)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IF(OR(COUNTIF('クラス'!$A$1:$A$1267,$B2335)&gt;0,$B2335="",$M2335=""),"",True)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IF(OR(COUNTIF('クラス'!$A$1:$A$1267,$B2336)&gt;0,$B2336="",$M2336=""),"",True)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IF(OR(COUNTIF('クラス'!$A$1:$A$1267,$B2337)&gt;0,$B2337="",$M2337=""),"",True)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IF(OR(COUNTIF('クラス'!$A$1:$A$1267,$B2338)&gt;0,$B2338="",$M2338=""),"",True)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IF(OR(COUNTIF('クラス'!$A$1:$A$1267,$B2339)&gt;0,$B2339="",$M2339=""),"",True)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IF(OR(COUNTIF('クラス'!$A$1:$A$1267,$B2340)&gt;0,$B2340="",$M2340=""),"",True)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IF(OR(COUNTIF('クラス'!$A$1:$A$1267,$B2341)&gt;0,$B2341="",$M2341=""),"",True)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IF(OR(COUNTIF('クラス'!$A$1:$A$1267,$B2342)&gt;0,$B2342="",$M2342=""),"",True)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IF(OR(COUNTIF('クラス'!$A$1:$A$1267,$B2343)&gt;0,$B2343="",$M2343=""),"",True)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IF(OR(COUNTIF('クラス'!$A$1:$A$1267,$B2344)&gt;0,$B2344="",$M2344=""),"",True)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IF(OR(COUNTIF('クラス'!$A$1:$A$1267,$B2345)&gt;0,$B2345="",$M2345=""),"",True)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IF(OR(COUNTIF('クラス'!$A$1:$A$1267,$B2346)&gt;0,$B2346="",$M2346=""),"",True)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IF(OR(COUNTIF('クラス'!$A$1:$A$1267,$B2347)&gt;0,$B2347="",$M2347=""),"",True)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IF(OR(COUNTIF('クラス'!$A$1:$A$1267,$B2348)&gt;0,$B2348="",$M2348=""),"",True)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IF(OR(COUNTIF('クラス'!$A$1:$A$1267,$B2349)&gt;0,$B2349="",$M2349=""),"",True)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IF(OR(COUNTIF('クラス'!$A$1:$A$1267,$B2350)&gt;0,$B2350="",$M2350=""),"",True)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IF(OR(COUNTIF('クラス'!$A$1:$A$1267,$B2351)&gt;0,$B2351="",$M2351=""),"",True)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IF(OR(COUNTIF('クラス'!$A$1:$A$1267,$B2352)&gt;0,$B2352="",$M2352=""),"",True)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IF(OR(COUNTIF('クラス'!$A$1:$A$1267,$B2353)&gt;0,$B2353="",$M2353=""),"",True)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IF(OR(COUNTIF('クラス'!$A$1:$A$1267,$B2354)&gt;0,$B2354="",$M2354=""),"",True)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IF(OR(COUNTIF('クラス'!$A$1:$A$1267,$B2355)&gt;0,$B2355="",$M2355=""),"",True)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IF(OR(COUNTIF('クラス'!$A$1:$A$1267,$B2356)&gt;0,$B2356="",$M2356=""),"",True)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IF(OR(COUNTIF('クラス'!$A$1:$A$1267,$B2357)&gt;0,$B2357="",$M2357=""),"",True)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IF(OR(COUNTIF('クラス'!$A$1:$A$1267,$B2358)&gt;0,$B2358="",$M2358=""),"",True)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IF(OR(COUNTIF('クラス'!$A$1:$A$1267,$B2359)&gt;0,$B2359="",$M2359=""),"",True)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IF(OR(COUNTIF('クラス'!$A$1:$A$1267,$B2360)&gt;0,$B2360="",$M2360=""),"",True)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IF(OR(COUNTIF('クラス'!$A$1:$A$1267,$B2361)&gt;0,$B2361="",$M2361=""),"",True)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IF(OR(COUNTIF('クラス'!$A$1:$A$1267,$B2362)&gt;0,$B2362="",$M2362=""),"",True)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IF(OR(COUNTIF('クラス'!$A$1:$A$1267,$B2363)&gt;0,$B2363="",$M2363=""),"",True)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IF(OR(COUNTIF('クラス'!$A$1:$A$1267,$B2364)&gt;0,$B2364="",$M2364=""),"",True)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IF(OR(COUNTIF('クラス'!$A$1:$A$1267,$B2365)&gt;0,$B2365="",$M2365=""),"",True)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IF(OR(COUNTIF('クラス'!$A$1:$A$1267,$B2366)&gt;0,$B2366="",$M2366=""),"",True)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IF(OR(COUNTIF('クラス'!$A$1:$A$1267,$B2367)&gt;0,$B2367="",$M2367=""),"",True)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IF(OR(COUNTIF('クラス'!$A$1:$A$1267,$B2368)&gt;0,$B2368="",$M2368=""),"",True)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IF(OR(COUNTIF('クラス'!$A$1:$A$1267,$B2369)&gt;0,$B2369="",$M2369=""),"",True)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IF(OR(COUNTIF('クラス'!$A$1:$A$1267,$B2370)&gt;0,$B2370="",$M2370=""),"",True)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IF(OR(COUNTIF('クラス'!$A$1:$A$1267,$B2371)&gt;0,$B2371="",$M2371=""),"",True)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IF(OR(COUNTIF('クラス'!$A$1:$A$1267,$B2372)&gt;0,$B2372="",$M2372=""),"",True)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IF(OR(COUNTIF('クラス'!$A$1:$A$1267,$B2373)&gt;0,$B2373="",$M2373=""),"",True)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IF(OR(COUNTIF('クラス'!$A$1:$A$1267,$B2374)&gt;0,$B2374="",$M2374=""),"",True)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IF(OR(COUNTIF('クラス'!$A$1:$A$1267,$B2375)&gt;0,$B2375="",$M2375=""),"",True)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IF(OR(COUNTIF('クラス'!$A$1:$A$1267,$B2376)&gt;0,$B2376="",$M2376=""),"",True)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IF(OR(COUNTIF('クラス'!$A$1:$A$1267,$B2377)&gt;0,$B2377="",$M2377=""),"",True)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IF(OR(COUNTIF('クラス'!$A$1:$A$1267,$B2378)&gt;0,$B2378="",$M2378=""),"",True)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IF(OR(COUNTIF('クラス'!$A$1:$A$1267,$B2379)&gt;0,$B2379="",$M2379=""),"",True)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IF(OR(COUNTIF('クラス'!$A$1:$A$1267,$B2380)&gt;0,$B2380="",$M2380=""),"",True)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IF(OR(COUNTIF('クラス'!$A$1:$A$1267,$B2381)&gt;0,$B2381="",$M2381=""),"",True)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IF(OR(COUNTIF('クラス'!$A$1:$A$1267,$B2382)&gt;0,$B2382="",$M2382=""),"",True)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IF(OR(COUNTIF('クラス'!$A$1:$A$1267,$B2383)&gt;0,$B2383="",$M2383=""),"",True)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IF(OR(COUNTIF('クラス'!$A$1:$A$1267,$B2384)&gt;0,$B2384="",$M2384=""),"",True)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IF(OR(COUNTIF('クラス'!$A$1:$A$1267,$B2385)&gt;0,$B2385="",$M2385=""),"",True)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IF(OR(COUNTIF('クラス'!$A$1:$A$1267,$B2386)&gt;0,$B2386="",$M2386=""),"",True)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IF(OR(COUNTIF('クラス'!$A$1:$A$1267,$B2387)&gt;0,$B2387="",$M2387=""),"",True)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IF(OR(COUNTIF('クラス'!$A$1:$A$1267,$B2388)&gt;0,$B2388="",$M2388=""),"",True)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IF(OR(COUNTIF('クラス'!$A$1:$A$1267,$B2389)&gt;0,$B2389="",$M2389=""),"",True)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IF(OR(COUNTIF('クラス'!$A$1:$A$1267,$B2390)&gt;0,$B2390="",$M2390=""),"",True)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IF(OR(COUNTIF('クラス'!$A$1:$A$1267,$B2391)&gt;0,$B2391="",$M2391=""),"",True)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IF(OR(COUNTIF('クラス'!$A$1:$A$1267,$B2392)&gt;0,$B2392="",$M2392=""),"",True)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IF(OR(COUNTIF('クラス'!$A$1:$A$1267,$B2393)&gt;0,$B2393="",$M2393=""),"",True)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IF(OR(COUNTIF('クラス'!$A$1:$A$1267,$B2394)&gt;0,$B2394="",$M2394=""),"",True)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IF(OR(COUNTIF('クラス'!$A$1:$A$1267,$B2395)&gt;0,$B2395="",$M2395=""),"",True)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IF(OR(COUNTIF('クラス'!$A$1:$A$1267,$B2396)&gt;0,$B2396="",$M2396=""),"",True)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IF(OR(COUNTIF('クラス'!$A$1:$A$1267,$B2397)&gt;0,$B2397="",$M2397=""),"",True)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IF(OR(COUNTIF('クラス'!$A$1:$A$1267,$B2398)&gt;0,$B2398="",$M2398=""),"",True)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IF(OR(COUNTIF('クラス'!$A$1:$A$1267,$B2399)&gt;0,$B2399="",$M2399=""),"",True)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IF(OR(COUNTIF('クラス'!$A$1:$A$1267,$B2400)&gt;0,$B2400="",$M2400=""),"",True)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IF(OR(COUNTIF('クラス'!$A$1:$A$1267,$B2401)&gt;0,$B2401="",$M2401=""),"",True)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IF(OR(COUNTIF('クラス'!$A$1:$A$1267,$B2402)&gt;0,$B2402="",$M2402=""),"",True)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IF(OR(COUNTIF('クラス'!$A$1:$A$1267,$B2403)&gt;0,$B2403="",$M2403=""),"",True)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IF(OR(COUNTIF('クラス'!$A$1:$A$1267,$B2404)&gt;0,$B2404="",$M2404=""),"",True)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IF(OR(COUNTIF('クラス'!$A$1:$A$1267,$B2405)&gt;0,$B2405="",$M2405=""),"",True)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IF(OR(COUNTIF('クラス'!$A$1:$A$1267,$B2406)&gt;0,$B2406="",$M2406=""),"",True)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IF(OR(COUNTIF('クラス'!$A$1:$A$1267,$B2407)&gt;0,$B2407="",$M2407=""),"",True)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IF(OR(COUNTIF('クラス'!$A$1:$A$1267,$B2408)&gt;0,$B2408="",$M2408=""),"",True)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IF(OR(COUNTIF('クラス'!$A$1:$A$1267,$B2409)&gt;0,$B2409="",$M2409=""),"",True)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IF(OR(COUNTIF('クラス'!$A$1:$A$1267,$B2410)&gt;0,$B2410="",$M2410=""),"",True)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IF(OR(COUNTIF('クラス'!$A$1:$A$1267,$B2411)&gt;0,$B2411="",$M2411=""),"",True)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IF(OR(COUNTIF('クラス'!$A$1:$A$1267,$B2412)&gt;0,$B2412="",$M2412=""),"",True)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IF(OR(COUNTIF('クラス'!$A$1:$A$1267,$B2413)&gt;0,$B2413="",$M2413=""),"",True)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IF(OR(COUNTIF('クラス'!$A$1:$A$1267,$B2414)&gt;0,$B2414="",$M2414=""),"",True)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IF(OR(COUNTIF('クラス'!$A$1:$A$1267,$B2415)&gt;0,$B2415="",$M2415=""),"",True)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IF(OR(COUNTIF('クラス'!$A$1:$A$1267,$B2416)&gt;0,$B2416="",$M2416=""),"",True)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IF(OR(COUNTIF('クラス'!$A$1:$A$1267,$B2417)&gt;0,$B2417="",$M2417=""),"",True)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IF(OR(COUNTIF('クラス'!$A$1:$A$1267,$B2418)&gt;0,$B2418="",$M2418=""),"",True)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IF(OR(COUNTIF('クラス'!$A$1:$A$1267,$B2419)&gt;0,$B2419="",$M2419=""),"",True)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IF(OR(COUNTIF('クラス'!$A$1:$A$1267,$B2420)&gt;0,$B2420="",$M2420=""),"",True)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IF(OR(COUNTIF('クラス'!$A$1:$A$1267,$B2421)&gt;0,$B2421="",$M2421=""),"",True)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IF(OR(COUNTIF('クラス'!$A$1:$A$1267,$B2422)&gt;0,$B2422="",$M2422=""),"",True)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IF(OR(COUNTIF('クラス'!$A$1:$A$1267,$B2423)&gt;0,$B2423="",$M2423=""),"",True)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IF(OR(COUNTIF('クラス'!$A$1:$A$1267,$B2424)&gt;0,$B2424="",$M2424=""),"",True)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IF(OR(COUNTIF('クラス'!$A$1:$A$1267,$B2425)&gt;0,$B2425="",$M2425=""),"",True)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IF(OR(COUNTIF('クラス'!$A$1:$A$1267,$B2426)&gt;0,$B2426="",$M2426=""),"",True)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IF(OR(COUNTIF('クラス'!$A$1:$A$1267,$B2427)&gt;0,$B2427="",$M2427=""),"",True)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IF(OR(COUNTIF('クラス'!$A$1:$A$1267,$B2428)&gt;0,$B2428="",$M2428=""),"",True)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IF(OR(COUNTIF('クラス'!$A$1:$A$1267,$B2429)&gt;0,$B2429="",$M2429=""),"",True)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IF(OR(COUNTIF('クラス'!$A$1:$A$1267,$B2430)&gt;0,$B2430="",$M2430=""),"",True)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IF(OR(COUNTIF('クラス'!$A$1:$A$1267,$B2431)&gt;0,$B2431="",$M2431=""),"",True)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IF(OR(COUNTIF('クラス'!$A$1:$A$1267,$B2432)&gt;0,$B2432="",$M2432=""),"",True)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IF(OR(COUNTIF('クラス'!$A$1:$A$1267,$B2433)&gt;0,$B2433="",$M2433=""),"",True)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IF(OR(COUNTIF('クラス'!$A$1:$A$1267,$B2434)&gt;0,$B2434="",$M2434=""),"",True)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IF(OR(COUNTIF('クラス'!$A$1:$A$1267,$B2435)&gt;0,$B2435="",$M2435=""),"",True)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IF(OR(COUNTIF('クラス'!$A$1:$A$1267,$B2436)&gt;0,$B2436="",$M2436=""),"",True)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IF(OR(COUNTIF('クラス'!$A$1:$A$1267,$B2437)&gt;0,$B2437="",$M2437=""),"",True)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IF(OR(COUNTIF('クラス'!$A$1:$A$1267,$B2438)&gt;0,$B2438="",$M2438=""),"",True)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IF(OR(COUNTIF('クラス'!$A$1:$A$1267,$B2439)&gt;0,$B2439="",$M2439=""),"",True)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IF(OR(COUNTIF('クラス'!$A$1:$A$1267,$B2440)&gt;0,$B2440="",$M2440=""),"",True)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IF(OR(COUNTIF('クラス'!$A$1:$A$1267,$B2441)&gt;0,$B2441="",$M2441=""),"",True)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IF(OR(COUNTIF('クラス'!$A$1:$A$1267,$B2442)&gt;0,$B2442="",$M2442=""),"",True)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IF(OR(COUNTIF('クラス'!$A$1:$A$1267,$B2443)&gt;0,$B2443="",$M2443=""),"",True)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IF(OR(COUNTIF('クラス'!$A$1:$A$1267,$B2444)&gt;0,$B2444="",$M2444=""),"",True)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IF(OR(COUNTIF('クラス'!$A$1:$A$1267,$B2445)&gt;0,$B2445="",$M2445=""),"",True)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IF(OR(COUNTIF('クラス'!$A$1:$A$1267,$B2446)&gt;0,$B2446="",$M2446=""),"",True)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IF(OR(COUNTIF('クラス'!$A$1:$A$1267,$B2447)&gt;0,$B2447="",$M2447=""),"",True)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IF(OR(COUNTIF('クラス'!$A$1:$A$1267,$B2448)&gt;0,$B2448="",$M2448=""),"",True)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IF(OR(COUNTIF('クラス'!$A$1:$A$1267,$B2449)&gt;0,$B2449="",$M2449=""),"",True)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IF(OR(COUNTIF('クラス'!$A$1:$A$1267,$B2450)&gt;0,$B2450="",$M2450=""),"",True)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IF(OR(COUNTIF('クラス'!$A$1:$A$1267,$B2451)&gt;0,$B2451="",$M2451=""),"",True)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IF(OR(COUNTIF('クラス'!$A$1:$A$1267,$B2452)&gt;0,$B2452="",$M2452=""),"",True)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IF(OR(COUNTIF('クラス'!$A$1:$A$1267,$B2453)&gt;0,$B2453="",$M2453=""),"",True)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IF(OR(COUNTIF('クラス'!$A$1:$A$1267,$B2454)&gt;0,$B2454="",$M2454=""),"",True)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IF(OR(COUNTIF('クラス'!$A$1:$A$1267,$B2455)&gt;0,$B2455="",$M2455=""),"",True)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IF(OR(COUNTIF('クラス'!$A$1:$A$1267,$B2456)&gt;0,$B2456="",$M2456=""),"",True)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IF(OR(COUNTIF('クラス'!$A$1:$A$1267,$B2457)&gt;0,$B2457="",$M2457=""),"",True)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IF(OR(COUNTIF('クラス'!$A$1:$A$1267,$B2458)&gt;0,$B2458="",$M2458=""),"",True)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IF(OR(COUNTIF('クラス'!$A$1:$A$1267,$B2459)&gt;0,$B2459="",$M2459=""),"",True)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IF(OR(COUNTIF('クラス'!$A$1:$A$1267,$B2460)&gt;0,$B2460="",$M2460=""),"",True)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IF(OR(COUNTIF('クラス'!$A$1:$A$1267,$B2461)&gt;0,$B2461="",$M2461=""),"",True)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IF(OR(COUNTIF('クラス'!$A$1:$A$1267,$B2462)&gt;0,$B2462="",$M2462=""),"",True)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IF(OR(COUNTIF('クラス'!$A$1:$A$1267,$B2463)&gt;0,$B2463="",$M2463=""),"",True)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IF(OR(COUNTIF('クラス'!$A$1:$A$1267,$B2464)&gt;0,$B2464="",$M2464=""),"",True)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IF(OR(COUNTIF('クラス'!$A$1:$A$1267,$B2465)&gt;0,$B2465="",$M2465=""),"",True)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IF(OR(COUNTIF('クラス'!$A$1:$A$1267,$B2466)&gt;0,$B2466="",$M2466=""),"",True)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IF(OR(COUNTIF('クラス'!$A$1:$A$1267,$B2467)&gt;0,$B2467="",$M2467=""),"",True)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IF(OR(COUNTIF('クラス'!$A$1:$A$1267,$B2468)&gt;0,$B2468="",$M2468=""),"",True)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IF(OR(COUNTIF('クラス'!$A$1:$A$1267,$B2469)&gt;0,$B2469="",$M2469=""),"",True)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IF(OR(COUNTIF('クラス'!$A$1:$A$1267,$B2470)&gt;0,$B2470="",$M2470=""),"",True)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IF(OR(COUNTIF('クラス'!$A$1:$A$1267,$B2471)&gt;0,$B2471="",$M2471=""),"",True)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IF(OR(COUNTIF('クラス'!$A$1:$A$1267,$B2472)&gt;0,$B2472="",$M2472=""),"",True)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IF(OR(COUNTIF('クラス'!$A$1:$A$1267,$B2473)&gt;0,$B2473="",$M2473=""),"",True)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IF(OR(COUNTIF('クラス'!$A$1:$A$1267,$B2474)&gt;0,$B2474="",$M2474=""),"",True)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IF(OR(COUNTIF('クラス'!$A$1:$A$1267,$B2475)&gt;0,$B2475="",$M2475=""),"",True)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IF(OR(COUNTIF('クラス'!$A$1:$A$1267,$B2476)&gt;0,$B2476="",$M2476=""),"",True)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IF(OR(COUNTIF('クラス'!$A$1:$A$1267,$B2477)&gt;0,$B2477="",$M2477=""),"",True)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IF(OR(COUNTIF('クラス'!$A$1:$A$1267,$B2478)&gt;0,$B2478="",$M2478=""),"",True)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IF(OR(COUNTIF('クラス'!$A$1:$A$1267,$B2479)&gt;0,$B2479="",$M2479=""),"",True)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IF(OR(COUNTIF('クラス'!$A$1:$A$1267,$B2480)&gt;0,$B2480="",$M2480=""),"",True)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IF(OR(COUNTIF('クラス'!$A$1:$A$1267,$B2481)&gt;0,$B2481="",$M2481=""),"",True)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IF(OR(COUNTIF('クラス'!$A$1:$A$1267,$B2482)&gt;0,$B2482="",$M2482=""),"",True)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IF(OR(COUNTIF('クラス'!$A$1:$A$1267,$B2483)&gt;0,$B2483="",$M2483=""),"",True)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IF(OR(COUNTIF('クラス'!$A$1:$A$1267,$B2484)&gt;0,$B2484="",$M2484=""),"",True)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IF(OR(COUNTIF('クラス'!$A$1:$A$1267,$B2485)&gt;0,$B2485="",$M2485=""),"",True)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IF(OR(COUNTIF('クラス'!$A$1:$A$1267,$B2486)&gt;0,$B2486="",$M2486=""),"",True)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IF(OR(COUNTIF('クラス'!$A$1:$A$1267,$B2487)&gt;0,$B2487="",$M2487=""),"",True)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IF(OR(COUNTIF('クラス'!$A$1:$A$1267,$B2488)&gt;0,$B2488="",$M2488=""),"",True)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IF(OR(COUNTIF('クラス'!$A$1:$A$1267,$B2489)&gt;0,$B2489="",$M2489=""),"",True)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IF(OR(COUNTIF('クラス'!$A$1:$A$1267,$B2490)&gt;0,$B2490="",$M2490=""),"",True)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IF(OR(COUNTIF('クラス'!$A$1:$A$1267,$B2491)&gt;0,$B2491="",$M2491=""),"",True)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IF(OR(COUNTIF('クラス'!$A$1:$A$1267,$B2492)&gt;0,$B2492="",$M2492=""),"",True)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IF(OR(COUNTIF('クラス'!$A$1:$A$1267,$B2493)&gt;0,$B2493="",$M2493=""),"",True)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IF(OR(COUNTIF('クラス'!$A$1:$A$1267,$B2494)&gt;0,$B2494="",$M2494=""),"",True)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IF(OR(COUNTIF('クラス'!$A$1:$A$1267,$B2495)&gt;0,$B2495="",$M2495=""),"",True)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IF(OR(COUNTIF('クラス'!$A$1:$A$1267,$B2496)&gt;0,$B2496="",$M2496=""),"",True)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IF(OR(COUNTIF('クラス'!$A$1:$A$1267,$B2497)&gt;0,$B2497="",$M2497=""),"",True)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IF(OR(COUNTIF('クラス'!$A$1:$A$1267,$B2498)&gt;0,$B2498="",$M2498=""),"",True)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IF(OR(COUNTIF('クラス'!$A$1:$A$1267,$B2499)&gt;0,$B2499="",$M2499=""),"",True)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IF(OR(COUNTIF('クラス'!$A$1:$A$1267,$B2500)&gt;0,$B2500="",$M2500=""),"",True)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IF(OR(COUNTIF('クラス'!$A$1:$A$1267,$B2501)&gt;0,$B2501="",$M2501=""),"",True)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IF(OR(COUNTIF('クラス'!$A$1:$A$1267,$B2502)&gt;0,$B2502="",$M2502=""),"",True)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IF(OR(COUNTIF('クラス'!$A$1:$A$1267,$B2503)&gt;0,$B2503="",$M2503=""),"",True)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IF(OR(COUNTIF('クラス'!$A$1:$A$1267,$B2504)&gt;0,$B2504="",$M2504=""),"",True)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IF(OR(COUNTIF('クラス'!$A$1:$A$1267,$B2505)&gt;0,$B2505="",$M2505=""),"",True)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IF(OR(COUNTIF('クラス'!$A$1:$A$1267,$B2506)&gt;0,$B2506="",$M2506=""),"",True)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IF(OR(COUNTIF('クラス'!$A$1:$A$1267,$B2507)&gt;0,$B2507="",$M2507=""),"",True)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IF(OR(COUNTIF('クラス'!$A$1:$A$1267,$B2508)&gt;0,$B2508="",$M2508=""),"",True)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IF(OR(COUNTIF('クラス'!$A$1:$A$1267,$B2509)&gt;0,$B2509="",$M2509=""),"",True)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IF(OR(COUNTIF('クラス'!$A$1:$A$1267,$B2510)&gt;0,$B2510="",$M2510=""),"",True)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IF(OR(COUNTIF('クラス'!$A$1:$A$1267,$B2511)&gt;0,$B2511="",$M2511=""),"",True)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IF(OR(COUNTIF('クラス'!$A$1:$A$1267,$B2512)&gt;0,$B2512="",$M2512=""),"",True)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IF(OR(COUNTIF('クラス'!$A$1:$A$1267,$B2513)&gt;0,$B2513="",$M2513=""),"",True)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IF(OR(COUNTIF('クラス'!$A$1:$A$1267,$B2514)&gt;0,$B2514="",$M2514=""),"",True)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IF(OR(COUNTIF('クラス'!$A$1:$A$1267,$B2515)&gt;0,$B2515="",$M2515=""),"",True)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IF(OR(COUNTIF('クラス'!$A$1:$A$1267,$B2516)&gt;0,$B2516="",$M2516=""),"",True)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IF(OR(COUNTIF('クラス'!$A$1:$A$1267,$B2517)&gt;0,$B2517="",$M2517=""),"",True)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IF(OR(COUNTIF('クラス'!$A$1:$A$1267,$B2518)&gt;0,$B2518="",$M2518=""),"",True)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IF(OR(COUNTIF('クラス'!$A$1:$A$1267,$B2519)&gt;0,$B2519="",$M2519=""),"",True)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IF(OR(COUNTIF('クラス'!$A$1:$A$1267,$B2520)&gt;0,$B2520="",$M2520=""),"",True)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IF(OR(COUNTIF('クラス'!$A$1:$A$1267,$B2521)&gt;0,$B2521="",$M2521=""),"",True)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IF(OR(COUNTIF('クラス'!$A$1:$A$1267,$B2522)&gt;0,$B2522="",$M2522=""),"",True)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IF(OR(COUNTIF('クラス'!$A$1:$A$1267,$B2523)&gt;0,$B2523="",$M2523=""),"",True)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IF(OR(COUNTIF('クラス'!$A$1:$A$1267,$B2524)&gt;0,$B2524="",$M2524=""),"",True)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IF(OR(COUNTIF('クラス'!$A$1:$A$1267,$B2525)&gt;0,$B2525="",$M2525=""),"",True)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IF(OR(COUNTIF('クラス'!$A$1:$A$1267,$B2526)&gt;0,$B2526="",$M2526=""),"",True)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IF(OR(COUNTIF('クラス'!$A$1:$A$1267,$B2527)&gt;0,$B2527="",$M2527=""),"",True)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IF(OR(COUNTIF('クラス'!$A$1:$A$1267,$B2528)&gt;0,$B2528="",$M2528=""),"",True)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IF(OR(COUNTIF('クラス'!$A$1:$A$1267,$B2529)&gt;0,$B2529="",$M2529=""),"",True)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IF(OR(COUNTIF('クラス'!$A$1:$A$1267,$B2530)&gt;0,$B2530="",$M2530=""),"",True)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IF(OR(COUNTIF('クラス'!$A$1:$A$1267,$B2531)&gt;0,$B2531="",$M2531=""),"",True)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IF(OR(COUNTIF('クラス'!$A$1:$A$1267,$B2532)&gt;0,$B2532="",$M2532=""),"",True)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IF(OR(COUNTIF('クラス'!$A$1:$A$1267,$B2533)&gt;0,$B2533="",$M2533=""),"",True)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IF(OR(COUNTIF('クラス'!$A$1:$A$1267,$B2534)&gt;0,$B2534="",$M2534=""),"",True)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IF(OR(COUNTIF('クラス'!$A$1:$A$1267,$B2535)&gt;0,$B2535="",$M2535=""),"",True)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IF(OR(COUNTIF('クラス'!$A$1:$A$1267,$B2536)&gt;0,$B2536="",$M2536=""),"",True)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IF(OR(COUNTIF('クラス'!$A$1:$A$1267,$B2537)&gt;0,$B2537="",$M2537=""),"",True)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IF(OR(COUNTIF('クラス'!$A$1:$A$1267,$B2538)&gt;0,$B2538="",$M2538=""),"",True)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IF(OR(COUNTIF('クラス'!$A$1:$A$1267,$B2539)&gt;0,$B2539="",$M2539=""),"",True)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IF(OR(COUNTIF('クラス'!$A$1:$A$1267,$B2540)&gt;0,$B2540="",$M2540=""),"",True)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IF(OR(COUNTIF('クラス'!$A$1:$A$1267,$B2541)&gt;0,$B2541="",$M2541=""),"",True)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IF(OR(COUNTIF('クラス'!$A$1:$A$1267,$B2542)&gt;0,$B2542="",$M2542=""),"",True)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IF(OR(COUNTIF('クラス'!$A$1:$A$1267,$B2543)&gt;0,$B2543="",$M2543=""),"",True)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IF(OR(COUNTIF('クラス'!$A$1:$A$1267,$B2544)&gt;0,$B2544="",$M2544=""),"",True)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IF(OR(COUNTIF('クラス'!$A$1:$A$1267,$B2545)&gt;0,$B2545="",$M2545=""),"",True)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IF(OR(COUNTIF('クラス'!$A$1:$A$1267,$B2546)&gt;0,$B2546="",$M2546=""),"",True)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IF(OR(COUNTIF('クラス'!$A$1:$A$1267,$B2547)&gt;0,$B2547="",$M2547=""),"",True)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IF(OR(COUNTIF('クラス'!$A$1:$A$1267,$B2548)&gt;0,$B2548="",$M2548=""),"",True)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IF(OR(COUNTIF('クラス'!$A$1:$A$1267,$B2549)&gt;0,$B2549="",$M2549=""),"",True)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IF(OR(COUNTIF('クラス'!$A$1:$A$1267,$B2550)&gt;0,$B2550="",$M2550=""),"",True)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IF(OR(COUNTIF('クラス'!$A$1:$A$1267,$B2551)&gt;0,$B2551="",$M2551=""),"",True)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IF(OR(COUNTIF('クラス'!$A$1:$A$1267,$B2552)&gt;0,$B2552="",$M2552=""),"",True)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IF(OR(COUNTIF('クラス'!$A$1:$A$1267,$B2553)&gt;0,$B2553="",$M2553=""),"",True)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IF(OR(COUNTIF('クラス'!$A$1:$A$1267,$B2554)&gt;0,$B2554="",$M2554=""),"",True)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IF(OR(COUNTIF('クラス'!$A$1:$A$1267,$B2555)&gt;0,$B2555="",$M2555=""),"",True)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IF(OR(COUNTIF('クラス'!$A$1:$A$1267,$B2556)&gt;0,$B2556="",$M2556=""),"",True)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IF(OR(COUNTIF('クラス'!$A$1:$A$1267,$B2557)&gt;0,$B2557="",$M2557=""),"",True)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IF(OR(COUNTIF('クラス'!$A$1:$A$1267,$B2558)&gt;0,$B2558="",$M2558=""),"",True)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IF(OR(COUNTIF('クラス'!$A$1:$A$1267,$B2559)&gt;0,$B2559="",$M2559=""),"",True)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IF(OR(COUNTIF('クラス'!$A$1:$A$1267,$B2560)&gt;0,$B2560="",$M2560=""),"",True)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IF(OR(COUNTIF('クラス'!$A$1:$A$1267,$B2561)&gt;0,$B2561="",$M2561=""),"",True)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IF(OR(COUNTIF('クラス'!$A$1:$A$1267,$B2562)&gt;0,$B2562="",$M2562=""),"",True)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IF(OR(COUNTIF('クラス'!$A$1:$A$1267,$B2563)&gt;0,$B2563="",$M2563=""),"",True)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IF(OR(COUNTIF('クラス'!$A$1:$A$1267,$B2564)&gt;0,$B2564="",$M2564=""),"",True)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IF(OR(COUNTIF('クラス'!$A$1:$A$1267,$B2565)&gt;0,$B2565="",$M2565=""),"",True)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IF(OR(COUNTIF('クラス'!$A$1:$A$1267,$B2566)&gt;0,$B2566="",$M2566=""),"",True)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IF(OR(COUNTIF('クラス'!$A$1:$A$1267,$B2567)&gt;0,$B2567="",$M2567=""),"",True)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IF(OR(COUNTIF('クラス'!$A$1:$A$1267,$B2568)&gt;0,$B2568="",$M2568=""),"",True)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IF(OR(COUNTIF('クラス'!$A$1:$A$1267,$B2569)&gt;0,$B2569="",$M2569=""),"",True)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IF(OR(COUNTIF('クラス'!$A$1:$A$1267,$B2570)&gt;0,$B2570="",$M2570=""),"",True)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IF(OR(COUNTIF('クラス'!$A$1:$A$1267,$B2571)&gt;0,$B2571="",$M2571=""),"",True)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IF(OR(COUNTIF('クラス'!$A$1:$A$1267,$B2572)&gt;0,$B2572="",$M2572=""),"",True)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IF(OR(COUNTIF('クラス'!$A$1:$A$1267,$B2573)&gt;0,$B2573="",$M2573=""),"",True)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IF(OR(COUNTIF('クラス'!$A$1:$A$1267,$B2574)&gt;0,$B2574="",$M2574=""),"",True)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IF(OR(COUNTIF('クラス'!$A$1:$A$1267,$B2575)&gt;0,$B2575="",$M2575=""),"",True)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IF(OR(COUNTIF('クラス'!$A$1:$A$1267,$B2576)&gt;0,$B2576="",$M2576=""),"",True)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IF(OR(COUNTIF('クラス'!$A$1:$A$1267,$B2577)&gt;0,$B2577="",$M2577=""),"",True)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IF(OR(COUNTIF('クラス'!$A$1:$A$1267,$B2578)&gt;0,$B2578="",$M2578=""),"",True)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IF(OR(COUNTIF('クラス'!$A$1:$A$1267,$B2579)&gt;0,$B2579="",$M2579=""),"",True)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IF(OR(COUNTIF('クラス'!$A$1:$A$1267,$B2580)&gt;0,$B2580="",$M2580=""),"",True)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IF(OR(COUNTIF('クラス'!$A$1:$A$1267,$B2581)&gt;0,$B2581="",$M2581=""),"",True)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IF(OR(COUNTIF('クラス'!$A$1:$A$1267,$B2582)&gt;0,$B2582="",$M2582=""),"",True)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IF(OR(COUNTIF('クラス'!$A$1:$A$1267,$B2583)&gt;0,$B2583="",$M2583=""),"",True)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IF(OR(COUNTIF('クラス'!$A$1:$A$1267,$B2584)&gt;0,$B2584="",$M2584=""),"",True)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IF(OR(COUNTIF('クラス'!$A$1:$A$1267,$B2585)&gt;0,$B2585="",$M2585=""),"",True)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IF(OR(COUNTIF('クラス'!$A$1:$A$1267,$B2586)&gt;0,$B2586="",$M2586=""),"",True)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IF(OR(COUNTIF('クラス'!$A$1:$A$1267,$B2587)&gt;0,$B2587="",$M2587=""),"",True)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IF(OR(COUNTIF('クラス'!$A$1:$A$1267,$B2588)&gt;0,$B2588="",$M2588=""),"",True)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IF(OR(COUNTIF('クラス'!$A$1:$A$1267,$B2589)&gt;0,$B2589="",$M2589=""),"",True)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IF(OR(COUNTIF('クラス'!$A$1:$A$1267,$B2590)&gt;0,$B2590="",$M2590=""),"",True)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IF(OR(COUNTIF('クラス'!$A$1:$A$1267,$B2591)&gt;0,$B2591="",$M2591=""),"",True)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IF(OR(COUNTIF('クラス'!$A$1:$A$1267,$B2592)&gt;0,$B2592="",$M2592=""),"",True)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IF(OR(COUNTIF('クラス'!$A$1:$A$1267,$B2593)&gt;0,$B2593="",$M2593=""),"",True)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IF(OR(COUNTIF('クラス'!$A$1:$A$1267,$B2594)&gt;0,$B2594="",$M2594=""),"",True)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IF(OR(COUNTIF('クラス'!$A$1:$A$1267,$B2595)&gt;0,$B2595="",$M2595=""),"",True)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IF(OR(COUNTIF('クラス'!$A$1:$A$1267,$B2596)&gt;0,$B2596="",$M2596=""),"",True)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IF(OR(COUNTIF('クラス'!$A$1:$A$1267,$B2597)&gt;0,$B2597="",$M2597=""),"",True)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IF(OR(COUNTIF('クラス'!$A$1:$A$1267,$B2598)&gt;0,$B2598="",$M2598=""),"",True)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IF(OR(COUNTIF('クラス'!$A$1:$A$1267,$B2599)&gt;0,$B2599="",$M2599=""),"",True)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IF(OR(COUNTIF('クラス'!$A$1:$A$1267,$B2600)&gt;0,$B2600="",$M2600=""),"",True)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IF(OR(COUNTIF('クラス'!$A$1:$A$1267,$B2601)&gt;0,$B2601="",$M2601=""),"",True)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IF(OR(COUNTIF('クラス'!$A$1:$A$1267,$B2602)&gt;0,$B2602="",$M2602=""),"",True)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IF(OR(COUNTIF('クラス'!$A$1:$A$1267,$B2603)&gt;0,$B2603="",$M2603=""),"",True)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IF(OR(COUNTIF('クラス'!$A$1:$A$1267,$B2604)&gt;0,$B2604="",$M2604=""),"",True)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IF(OR(COUNTIF('クラス'!$A$1:$A$1267,$B2605)&gt;0,$B2605="",$M2605=""),"",True)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IF(OR(COUNTIF('クラス'!$A$1:$A$1267,$B2606)&gt;0,$B2606="",$M2606=""),"",True)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IF(OR(COUNTIF('クラス'!$A$1:$A$1267,$B2607)&gt;0,$B2607="",$M2607=""),"",True)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IF(OR(COUNTIF('クラス'!$A$1:$A$1267,$B2608)&gt;0,$B2608="",$M2608=""),"",True)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IF(OR(COUNTIF('クラス'!$A$1:$A$1267,$B2609)&gt;0,$B2609="",$M2609=""),"",True)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IF(OR(COUNTIF('クラス'!$A$1:$A$1267,$B2610)&gt;0,$B2610="",$M2610=""),"",True)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IF(OR(COUNTIF('クラス'!$A$1:$A$1267,$B2611)&gt;0,$B2611="",$M2611=""),"",True)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IF(OR(COUNTIF('クラス'!$A$1:$A$1267,$B2612)&gt;0,$B2612="",$M2612=""),"",True)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IF(OR(COUNTIF('クラス'!$A$1:$A$1267,$B2613)&gt;0,$B2613="",$M2613=""),"",True)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IF(OR(COUNTIF('クラス'!$A$1:$A$1267,$B2614)&gt;0,$B2614="",$M2614=""),"",True)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IF(OR(COUNTIF('クラス'!$A$1:$A$1267,$B2615)&gt;0,$B2615="",$M2615=""),"",True)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IF(OR(COUNTIF('クラス'!$A$1:$A$1267,$B2616)&gt;0,$B2616="",$M2616=""),"",True)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IF(OR(COUNTIF('クラス'!$A$1:$A$1267,$B2617)&gt;0,$B2617="",$M2617=""),"",True)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IF(OR(COUNTIF('クラス'!$A$1:$A$1267,$B2618)&gt;0,$B2618="",$M2618=""),"",True)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IF(OR(COUNTIF('クラス'!$A$1:$A$1267,$B2619)&gt;0,$B2619="",$M2619=""),"",True)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IF(OR(COUNTIF('クラス'!$A$1:$A$1267,$B2620)&gt;0,$B2620="",$M2620=""),"",True)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IF(OR(COUNTIF('クラス'!$A$1:$A$1267,$B2621)&gt;0,$B2621="",$M2621=""),"",True)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IF(OR(COUNTIF('クラス'!$A$1:$A$1267,$B2622)&gt;0,$B2622="",$M2622=""),"",True)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IF(OR(COUNTIF('クラス'!$A$1:$A$1267,$B2623)&gt;0,$B2623="",$M2623=""),"",True)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IF(OR(COUNTIF('クラス'!$A$1:$A$1267,$B2624)&gt;0,$B2624="",$M2624=""),"",True)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IF(OR(COUNTIF('クラス'!$A$1:$A$1267,$B2625)&gt;0,$B2625="",$M2625=""),"",True)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IF(OR(COUNTIF('クラス'!$A$1:$A$1267,$B2626)&gt;0,$B2626="",$M2626=""),"",True)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IF(OR(COUNTIF('クラス'!$A$1:$A$1267,$B2627)&gt;0,$B2627="",$M2627=""),"",True)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IF(OR(COUNTIF('クラス'!$A$1:$A$1267,$B2628)&gt;0,$B2628="",$M2628=""),"",True)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IF(OR(COUNTIF('クラス'!$A$1:$A$1267,$B2629)&gt;0,$B2629="",$M2629=""),"",True)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IF(OR(COUNTIF('クラス'!$A$1:$A$1267,$B2630)&gt;0,$B2630="",$M2630=""),"",True)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IF(OR(COUNTIF('クラス'!$A$1:$A$1267,$B2631)&gt;0,$B2631="",$M2631=""),"",True)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IF(OR(COUNTIF('クラス'!$A$1:$A$1267,$B2632)&gt;0,$B2632="",$M2632=""),"",True)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IF(OR(COUNTIF('クラス'!$A$1:$A$1267,$B2633)&gt;0,$B2633="",$M2633=""),"",True)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IF(OR(COUNTIF('クラス'!$A$1:$A$1267,$B2634)&gt;0,$B2634="",$M2634=""),"",True)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IF(OR(COUNTIF('クラス'!$A$1:$A$1267,$B2635)&gt;0,$B2635="",$M2635=""),"",True)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IF(OR(COUNTIF('クラス'!$A$1:$A$1267,$B2636)&gt;0,$B2636="",$M2636=""),"",True)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IF(OR(COUNTIF('クラス'!$A$1:$A$1267,$B2637)&gt;0,$B2637="",$M2637=""),"",True)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IF(OR(COUNTIF('クラス'!$A$1:$A$1267,$B2638)&gt;0,$B2638="",$M2638=""),"",True)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IF(OR(COUNTIF('クラス'!$A$1:$A$1267,$B2639)&gt;0,$B2639="",$M2639=""),"",True)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IF(OR(COUNTIF('クラス'!$A$1:$A$1267,$B2640)&gt;0,$B2640="",$M2640=""),"",True)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IF(OR(COUNTIF('クラス'!$A$1:$A$1267,$B2641)&gt;0,$B2641="",$M2641=""),"",True)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IF(OR(COUNTIF('クラス'!$A$1:$A$1267,$B2642)&gt;0,$B2642="",$M2642=""),"",True)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IF(OR(COUNTIF('クラス'!$A$1:$A$1267,$B2643)&gt;0,$B2643="",$M2643=""),"",True)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IF(OR(COUNTIF('クラス'!$A$1:$A$1267,$B2644)&gt;0,$B2644="",$M2644=""),"",True)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IF(OR(COUNTIF('クラス'!$A$1:$A$1267,$B2645)&gt;0,$B2645="",$M2645=""),"",True)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IF(OR(COUNTIF('クラス'!$A$1:$A$1267,$B2646)&gt;0,$B2646="",$M2646=""),"",True)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IF(OR(COUNTIF('クラス'!$A$1:$A$1267,$B2647)&gt;0,$B2647="",$M2647=""),"",True)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IF(OR(COUNTIF('クラス'!$A$1:$A$1267,$B2648)&gt;0,$B2648="",$M2648=""),"",True)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IF(OR(COUNTIF('クラス'!$A$1:$A$1267,$B2649)&gt;0,$B2649="",$M2649=""),"",True)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IF(OR(COUNTIF('クラス'!$A$1:$A$1267,$B2650)&gt;0,$B2650="",$M2650=""),"",True)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IF(OR(COUNTIF('クラス'!$A$1:$A$1267,$B2651)&gt;0,$B2651="",$M2651=""),"",True)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IF(OR(COUNTIF('クラス'!$A$1:$A$1267,$B2652)&gt;0,$B2652="",$M2652=""),"",True)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IF(OR(COUNTIF('クラス'!$A$1:$A$1267,$B2653)&gt;0,$B2653="",$M2653=""),"",True)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IF(OR(COUNTIF('クラス'!$A$1:$A$1267,$B2654)&gt;0,$B2654="",$M2654=""),"",True)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IF(OR(COUNTIF('クラス'!$A$1:$A$1267,$B2655)&gt;0,$B2655="",$M2655=""),"",True)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IF(OR(COUNTIF('クラス'!$A$1:$A$1267,$B2656)&gt;0,$B2656="",$M2656=""),"",True)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IF(OR(COUNTIF('クラス'!$A$1:$A$1267,$B2657)&gt;0,$B2657="",$M2657=""),"",True)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IF(OR(COUNTIF('クラス'!$A$1:$A$1267,$B2658)&gt;0,$B2658="",$M2658=""),"",True)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IF(OR(COUNTIF('クラス'!$A$1:$A$1267,$B2659)&gt;0,$B2659="",$M2659=""),"",True)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IF(OR(COUNTIF('クラス'!$A$1:$A$1267,$B2660)&gt;0,$B2660="",$M2660=""),"",True)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IF(OR(COUNTIF('クラス'!$A$1:$A$1267,$B2661)&gt;0,$B2661="",$M2661=""),"",True)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IF(OR(COUNTIF('クラス'!$A$1:$A$1267,$B2662)&gt;0,$B2662="",$M2662=""),"",True)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IF(OR(COUNTIF('クラス'!$A$1:$A$1267,$B2663)&gt;0,$B2663="",$M2663=""),"",True)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IF(OR(COUNTIF('クラス'!$A$1:$A$1267,$B2664)&gt;0,$B2664="",$M2664=""),"",True)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IF(OR(COUNTIF('クラス'!$A$1:$A$1267,$B2665)&gt;0,$B2665="",$M2665=""),"",True)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IF(OR(COUNTIF('クラス'!$A$1:$A$1267,$B2666)&gt;0,$B2666="",$M2666=""),"",True)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IF(OR(COUNTIF('クラス'!$A$1:$A$1267,$B2667)&gt;0,$B2667="",$M2667=""),"",True)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IF(OR(COUNTIF('クラス'!$A$1:$A$1267,$B2668)&gt;0,$B2668="",$M2668=""),"",True)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IF(OR(COUNTIF('クラス'!$A$1:$A$1267,$B2669)&gt;0,$B2669="",$M2669=""),"",True)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IF(OR(COUNTIF('クラス'!$A$1:$A$1267,$B2670)&gt;0,$B2670="",$M2670=""),"",True)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IF(OR(COUNTIF('クラス'!$A$1:$A$1267,$B2671)&gt;0,$B2671="",$M2671=""),"",True)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IF(OR(COUNTIF('クラス'!$A$1:$A$1267,$B2672)&gt;0,$B2672="",$M2672=""),"",True)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IF(OR(COUNTIF('クラス'!$A$1:$A$1267,$B2673)&gt;0,$B2673="",$M2673=""),"",True)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IF(OR(COUNTIF('クラス'!$A$1:$A$1267,$B2674)&gt;0,$B2674="",$M2674=""),"",True)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IF(OR(COUNTIF('クラス'!$A$1:$A$1267,$B2675)&gt;0,$B2675="",$M2675=""),"",True)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IF(OR(COUNTIF('クラス'!$A$1:$A$1267,$B2676)&gt;0,$B2676="",$M2676=""),"",True)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IF(OR(COUNTIF('クラス'!$A$1:$A$1267,$B2677)&gt;0,$B2677="",$M2677=""),"",True)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IF(OR(COUNTIF('クラス'!$A$1:$A$1267,$B2678)&gt;0,$B2678="",$M2678=""),"",True)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IF(OR(COUNTIF('クラス'!$A$1:$A$1267,$B2679)&gt;0,$B2679="",$M2679=""),"",True)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IF(OR(COUNTIF('クラス'!$A$1:$A$1267,$B2680)&gt;0,$B2680="",$M2680=""),"",True)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IF(OR(COUNTIF('クラス'!$A$1:$A$1267,$B2681)&gt;0,$B2681="",$M2681=""),"",True)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IF(OR(COUNTIF('クラス'!$A$1:$A$1267,$B2682)&gt;0,$B2682="",$M2682=""),"",True)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IF(OR(COUNTIF('クラス'!$A$1:$A$1267,$B2683)&gt;0,$B2683="",$M2683=""),"",True)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IF(OR(COUNTIF('クラス'!$A$1:$A$1267,$B2684)&gt;0,$B2684="",$M2684=""),"",True)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IF(OR(COUNTIF('クラス'!$A$1:$A$1267,$B2685)&gt;0,$B2685="",$M2685=""),"",True)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IF(OR(COUNTIF('クラス'!$A$1:$A$1267,$B2686)&gt;0,$B2686="",$M2686=""),"",True)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IF(OR(COUNTIF('クラス'!$A$1:$A$1267,$B2687)&gt;0,$B2687="",$M2687=""),"",True)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IF(OR(COUNTIF('クラス'!$A$1:$A$1267,$B2688)&gt;0,$B2688="",$M2688=""),"",True)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IF(OR(COUNTIF('クラス'!$A$1:$A$1267,$B2689)&gt;0,$B2689="",$M2689=""),"",True)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IF(OR(COUNTIF('クラス'!$A$1:$A$1267,$B2690)&gt;0,$B2690="",$M2690=""),"",True)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IF(OR(COUNTIF('クラス'!$A$1:$A$1267,$B2691)&gt;0,$B2691="",$M2691=""),"",True)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IF(OR(COUNTIF('クラス'!$A$1:$A$1267,$B2692)&gt;0,$B2692="",$M2692=""),"",True)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IF(OR(COUNTIF('クラス'!$A$1:$A$1267,$B2693)&gt;0,$B2693="",$M2693=""),"",True)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IF(OR(COUNTIF('クラス'!$A$1:$A$1267,$B2694)&gt;0,$B2694="",$M2694=""),"",True)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IF(OR(COUNTIF('クラス'!$A$1:$A$1267,$B2695)&gt;0,$B2695="",$M2695=""),"",True)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IF(OR(COUNTIF('クラス'!$A$1:$A$1267,$B2696)&gt;0,$B2696="",$M2696=""),"",True)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IF(OR(COUNTIF('クラス'!$A$1:$A$1267,$B2697)&gt;0,$B2697="",$M2697=""),"",True)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IF(OR(COUNTIF('クラス'!$A$1:$A$1267,$B2698)&gt;0,$B2698="",$M2698=""),"",True)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IF(OR(COUNTIF('クラス'!$A$1:$A$1267,$B2699)&gt;0,$B2699="",$M2699=""),"",True)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IF(OR(COUNTIF('クラス'!$A$1:$A$1267,$B2700)&gt;0,$B2700="",$M2700=""),"",True)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IF(OR(COUNTIF('クラス'!$A$1:$A$1267,$B2701)&gt;0,$B2701="",$M2701=""),"",True)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IF(OR(COUNTIF('クラス'!$A$1:$A$1267,$B2702)&gt;0,$B2702="",$M2702=""),"",True)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IF(OR(COUNTIF('クラス'!$A$1:$A$1267,$B2703)&gt;0,$B2703="",$M2703=""),"",True)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IF(OR(COUNTIF('クラス'!$A$1:$A$1267,$B2704)&gt;0,$B2704="",$M2704=""),"",True)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IF(OR(COUNTIF('クラス'!$A$1:$A$1267,$B2705)&gt;0,$B2705="",$M2705=""),"",True)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IF(OR(COUNTIF('クラス'!$A$1:$A$1267,$B2706)&gt;0,$B2706="",$M2706=""),"",True)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IF(OR(COUNTIF('クラス'!$A$1:$A$1267,$B2707)&gt;0,$B2707="",$M2707=""),"",True)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IF(OR(COUNTIF('クラス'!$A$1:$A$1267,$B2708)&gt;0,$B2708="",$M2708=""),"",True)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IF(OR(COUNTIF('クラス'!$A$1:$A$1267,$B2709)&gt;0,$B2709="",$M2709=""),"",True)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IF(OR(COUNTIF('クラス'!$A$1:$A$1267,$B2710)&gt;0,$B2710="",$M2710=""),"",True)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IF(OR(COUNTIF('クラス'!$A$1:$A$1267,$B2711)&gt;0,$B2711="",$M2711=""),"",True)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IF(OR(COUNTIF('クラス'!$A$1:$A$1267,$B2712)&gt;0,$B2712="",$M2712=""),"",True)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IF(OR(COUNTIF('クラス'!$A$1:$A$1267,$B2713)&gt;0,$B2713="",$M2713=""),"",True)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IF(OR(COUNTIF('クラス'!$A$1:$A$1267,$B2714)&gt;0,$B2714="",$M2714=""),"",True)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IF(OR(COUNTIF('クラス'!$A$1:$A$1267,$B2715)&gt;0,$B2715="",$M2715=""),"",True)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IF(OR(COUNTIF('クラス'!$A$1:$A$1267,$B2716)&gt;0,$B2716="",$M2716=""),"",True)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IF(OR(COUNTIF('クラス'!$A$1:$A$1267,$B2717)&gt;0,$B2717="",$M2717=""),"",True)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IF(OR(COUNTIF('クラス'!$A$1:$A$1267,$B2718)&gt;0,$B2718="",$M2718=""),"",True)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IF(OR(COUNTIF('クラス'!$A$1:$A$1267,$B2719)&gt;0,$B2719="",$M2719=""),"",True)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IF(OR(COUNTIF('クラス'!$A$1:$A$1267,$B2720)&gt;0,$B2720="",$M2720=""),"",True)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IF(OR(COUNTIF('クラス'!$A$1:$A$1267,$B2721)&gt;0,$B2721="",$M2721=""),"",True)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IF(OR(COUNTIF('クラス'!$A$1:$A$1267,$B2722)&gt;0,$B2722="",$M2722=""),"",True)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IF(OR(COUNTIF('クラス'!$A$1:$A$1267,$B2723)&gt;0,$B2723="",$M2723=""),"",True)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IF(OR(COUNTIF('クラス'!$A$1:$A$1267,$B2724)&gt;0,$B2724="",$M2724=""),"",True)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IF(OR(COUNTIF('クラス'!$A$1:$A$1267,$B2725)&gt;0,$B2725="",$M2725=""),"",True)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IF(OR(COUNTIF('クラス'!$A$1:$A$1267,$B2726)&gt;0,$B2726="",$M2726=""),"",True)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IF(OR(COUNTIF('クラス'!$A$1:$A$1267,$B2727)&gt;0,$B2727="",$M2727=""),"",True)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IF(OR(COUNTIF('クラス'!$A$1:$A$1267,$B2728)&gt;0,$B2728="",$M2728=""),"",True)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IF(OR(COUNTIF('クラス'!$A$1:$A$1267,$B2729)&gt;0,$B2729="",$M2729=""),"",True)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IF(OR(COUNTIF('クラス'!$A$1:$A$1267,$B2730)&gt;0,$B2730="",$M2730=""),"",True)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IF(OR(COUNTIF('クラス'!$A$1:$A$1267,$B2731)&gt;0,$B2731="",$M2731=""),"",True)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IF(OR(COUNTIF('クラス'!$A$1:$A$1267,$B2732)&gt;0,$B2732="",$M2732=""),"",True)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IF(OR(COUNTIF('クラス'!$A$1:$A$1267,$B2733)&gt;0,$B2733="",$M2733=""),"",True)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IF(OR(COUNTIF('クラス'!$A$1:$A$1267,$B2734)&gt;0,$B2734="",$M2734=""),"",True)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IF(OR(COUNTIF('クラス'!$A$1:$A$1267,$B2735)&gt;0,$B2735="",$M2735=""),"",True)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IF(OR(COUNTIF('クラス'!$A$1:$A$1267,$B2736)&gt;0,$B2736="",$M2736=""),"",True)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IF(OR(COUNTIF('クラス'!$A$1:$A$1267,$B2737)&gt;0,$B2737="",$M2737=""),"",True)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IF(OR(COUNTIF('クラス'!$A$1:$A$1267,$B2738)&gt;0,$B2738="",$M2738=""),"",True)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IF(OR(COUNTIF('クラス'!$A$1:$A$1267,$B2739)&gt;0,$B2739="",$M2739=""),"",True)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IF(OR(COUNTIF('クラス'!$A$1:$A$1267,$B2740)&gt;0,$B2740="",$M2740=""),"",True)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IF(OR(COUNTIF('クラス'!$A$1:$A$1267,$B2741)&gt;0,$B2741="",$M2741=""),"",True)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IF(OR(COUNTIF('クラス'!$A$1:$A$1267,$B2742)&gt;0,$B2742="",$M2742=""),"",True)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IF(OR(COUNTIF('クラス'!$A$1:$A$1267,$B2743)&gt;0,$B2743="",$M2743=""),"",True)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IF(OR(COUNTIF('クラス'!$A$1:$A$1267,$B2744)&gt;0,$B2744="",$M2744=""),"",True)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IF(OR(COUNTIF('クラス'!$A$1:$A$1267,$B2745)&gt;0,$B2745="",$M2745=""),"",True)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IF(OR(COUNTIF('クラス'!$A$1:$A$1267,$B2746)&gt;0,$B2746="",$M2746=""),"",True)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IF(OR(COUNTIF('クラス'!$A$1:$A$1267,$B2747)&gt;0,$B2747="",$M2747=""),"",True)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IF(OR(COUNTIF('クラス'!$A$1:$A$1267,$B2748)&gt;0,$B2748="",$M2748=""),"",True)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IF(OR(COUNTIF('クラス'!$A$1:$A$1267,$B2749)&gt;0,$B2749="",$M2749=""),"",True)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IF(OR(COUNTIF('クラス'!$A$1:$A$1267,$B2750)&gt;0,$B2750="",$M2750=""),"",True)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IF(OR(COUNTIF('クラス'!$A$1:$A$1267,$B2751)&gt;0,$B2751="",$M2751=""),"",True)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IF(OR(COUNTIF('クラス'!$A$1:$A$1267,$B2752)&gt;0,$B2752="",$M2752=""),"",True)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IF(OR(COUNTIF('クラス'!$A$1:$A$1267,$B2753)&gt;0,$B2753="",$M2753=""),"",True)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IF(OR(COUNTIF('クラス'!$A$1:$A$1267,$B2754)&gt;0,$B2754="",$M2754=""),"",True)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IF(OR(COUNTIF('クラス'!$A$1:$A$1267,$B2755)&gt;0,$B2755="",$M2755=""),"",True)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IF(OR(COUNTIF('クラス'!$A$1:$A$1267,$B2756)&gt;0,$B2756="",$M2756=""),"",True)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IF(OR(COUNTIF('クラス'!$A$1:$A$1267,$B2757)&gt;0,$B2757="",$M2757=""),"",True)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IF(OR(COUNTIF('クラス'!$A$1:$A$1267,$B2758)&gt;0,$B2758="",$M2758=""),"",True)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IF(OR(COUNTIF('クラス'!$A$1:$A$1267,$B2759)&gt;0,$B2759="",$M2759=""),"",True)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IF(OR(COUNTIF('クラス'!$A$1:$A$1267,$B2760)&gt;0,$B2760="",$M2760=""),"",True)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IF(OR(COUNTIF('クラス'!$A$1:$A$1267,$B2761)&gt;0,$B2761="",$M2761=""),"",True)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IF(OR(COUNTIF('クラス'!$A$1:$A$1267,$B2762)&gt;0,$B2762="",$M2762=""),"",True)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IF(OR(COUNTIF('クラス'!$A$1:$A$1267,$B2763)&gt;0,$B2763="",$M2763=""),"",True)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IF(OR(COUNTIF('クラス'!$A$1:$A$1267,$B2764)&gt;0,$B2764="",$M2764=""),"",True)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IF(OR(COUNTIF('クラス'!$A$1:$A$1267,$B2765)&gt;0,$B2765="",$M2765=""),"",True)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IF(OR(COUNTIF('クラス'!$A$1:$A$1267,$B2766)&gt;0,$B2766="",$M2766=""),"",True)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IF(OR(COUNTIF('クラス'!$A$1:$A$1267,$B2767)&gt;0,$B2767="",$M2767=""),"",True)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IF(OR(COUNTIF('クラス'!$A$1:$A$1267,$B2768)&gt;0,$B2768="",$M2768=""),"",True)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IF(OR(COUNTIF('クラス'!$A$1:$A$1267,$B2769)&gt;0,$B2769="",$M2769=""),"",True)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IF(OR(COUNTIF('クラス'!$A$1:$A$1267,$B2770)&gt;0,$B2770="",$M2770=""),"",True)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IF(OR(COUNTIF('クラス'!$A$1:$A$1267,$B2771)&gt;0,$B2771="",$M2771=""),"",True)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IF(OR(COUNTIF('クラス'!$A$1:$A$1267,$B2772)&gt;0,$B2772="",$M2772=""),"",True)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IF(OR(COUNTIF('クラス'!$A$1:$A$1267,$B2773)&gt;0,$B2773="",$M2773=""),"",True)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IF(OR(COUNTIF('クラス'!$A$1:$A$1267,$B2774)&gt;0,$B2774="",$M2774=""),"",True)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IF(OR(COUNTIF('クラス'!$A$1:$A$1267,$B2775)&gt;0,$B2775="",$M2775=""),"",True)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IF(OR(COUNTIF('クラス'!$A$1:$A$1267,$B2776)&gt;0,$B2776="",$M2776=""),"",True)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IF(OR(COUNTIF('クラス'!$A$1:$A$1267,$B2777)&gt;0,$B2777="",$M2777=""),"",True)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IF(OR(COUNTIF('クラス'!$A$1:$A$1267,$B2778)&gt;0,$B2778="",$M2778=""),"",True)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IF(OR(COUNTIF('クラス'!$A$1:$A$1267,$B2779)&gt;0,$B2779="",$M2779=""),"",True)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IF(OR(COUNTIF('クラス'!$A$1:$A$1267,$B2780)&gt;0,$B2780="",$M2780=""),"",True)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IF(OR(COUNTIF('クラス'!$A$1:$A$1267,$B2781)&gt;0,$B2781="",$M2781=""),"",True)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IF(OR(COUNTIF('クラス'!$A$1:$A$1267,$B2782)&gt;0,$B2782="",$M2782=""),"",True)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IF(OR(COUNTIF('クラス'!$A$1:$A$1267,$B2783)&gt;0,$B2783="",$M2783=""),"",True)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IF(OR(COUNTIF('クラス'!$A$1:$A$1267,$B2784)&gt;0,$B2784="",$M2784=""),"",True)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IF(OR(COUNTIF('クラス'!$A$1:$A$1267,$B2785)&gt;0,$B2785="",$M2785=""),"",True)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IF(OR(COUNTIF('クラス'!$A$1:$A$1267,$B2786)&gt;0,$B2786="",$M2786=""),"",True)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IF(OR(COUNTIF('クラス'!$A$1:$A$1267,$B2787)&gt;0,$B2787="",$M2787=""),"",True)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IF(OR(COUNTIF('クラス'!$A$1:$A$1267,$B2788)&gt;0,$B2788="",$M2788=""),"",True)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IF(OR(COUNTIF('クラス'!$A$1:$A$1267,$B2789)&gt;0,$B2789="",$M2789=""),"",True)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IF(OR(COUNTIF('クラス'!$A$1:$A$1267,$B2790)&gt;0,$B2790="",$M2790=""),"",True)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IF(OR(COUNTIF('クラス'!$A$1:$A$1267,$B2791)&gt;0,$B2791="",$M2791=""),"",True)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IF(OR(COUNTIF('クラス'!$A$1:$A$1267,$B2792)&gt;0,$B2792="",$M2792=""),"",True)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IF(OR(COUNTIF('クラス'!$A$1:$A$1267,$B2793)&gt;0,$B2793="",$M2793=""),"",True)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IF(OR(COUNTIF('クラス'!$A$1:$A$1267,$B2794)&gt;0,$B2794="",$M2794=""),"",True)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IF(OR(COUNTIF('クラス'!$A$1:$A$1267,$B2795)&gt;0,$B2795="",$M2795=""),"",True)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IF(OR(COUNTIF('クラス'!$A$1:$A$1267,$B2796)&gt;0,$B2796="",$M2796=""),"",True)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IF(OR(COUNTIF('クラス'!$A$1:$A$1267,$B2797)&gt;0,$B2797="",$M2797=""),"",True)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IF(OR(COUNTIF('クラス'!$A$1:$A$1267,$B2798)&gt;0,$B2798="",$M2798=""),"",True)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IF(OR(COUNTIF('クラス'!$A$1:$A$1267,$B2799)&gt;0,$B2799="",$M2799=""),"",True)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IF(OR(COUNTIF('クラス'!$A$1:$A$1267,$B2800)&gt;0,$B2800="",$M2800=""),"",True)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IF(OR(COUNTIF('クラス'!$A$1:$A$1267,$B2801)&gt;0,$B2801="",$M2801=""),"",True)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IF(OR(COUNTIF('クラス'!$A$1:$A$1267,$B2802)&gt;0,$B2802="",$M2802=""),"",True)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IF(OR(COUNTIF('クラス'!$A$1:$A$1267,$B2803)&gt;0,$B2803="",$M2803=""),"",True)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IF(OR(COUNTIF('クラス'!$A$1:$A$1267,$B2804)&gt;0,$B2804="",$M2804=""),"",True)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IF(OR(COUNTIF('クラス'!$A$1:$A$1267,$B2805)&gt;0,$B2805="",$M2805=""),"",True)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IF(OR(COUNTIF('クラス'!$A$1:$A$1267,$B2806)&gt;0,$B2806="",$M2806=""),"",True)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IF(OR(COUNTIF('クラス'!$A$1:$A$1267,$B2807)&gt;0,$B2807="",$M2807=""),"",True)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IF(OR(COUNTIF('クラス'!$A$1:$A$1267,$B2808)&gt;0,$B2808="",$M2808=""),"",True)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IF(OR(COUNTIF('クラス'!$A$1:$A$1267,$B2809)&gt;0,$B2809="",$M2809=""),"",True)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IF(OR(COUNTIF('クラス'!$A$1:$A$1267,$B2810)&gt;0,$B2810="",$M2810=""),"",True)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IF(OR(COUNTIF('クラス'!$A$1:$A$1267,$B2811)&gt;0,$B2811="",$M2811=""),"",True)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IF(OR(COUNTIF('クラス'!$A$1:$A$1267,$B2812)&gt;0,$B2812="",$M2812=""),"",True)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IF(OR(COUNTIF('クラス'!$A$1:$A$1267,$B2813)&gt;0,$B2813="",$M2813=""),"",True)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IF(OR(COUNTIF('クラス'!$A$1:$A$1267,$B2814)&gt;0,$B2814="",$M2814=""),"",True)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IF(OR(COUNTIF('クラス'!$A$1:$A$1267,$B2815)&gt;0,$B2815="",$M2815=""),"",True)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IF(OR(COUNTIF('クラス'!$A$1:$A$1267,$B2816)&gt;0,$B2816="",$M2816=""),"",True)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IF(OR(COUNTIF('クラス'!$A$1:$A$1267,$B2817)&gt;0,$B2817="",$M2817=""),"",True)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IF(OR(COUNTIF('クラス'!$A$1:$A$1267,$B2818)&gt;0,$B2818="",$M2818=""),"",True)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IF(OR(COUNTIF('クラス'!$A$1:$A$1267,$B2819)&gt;0,$B2819="",$M2819=""),"",True)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IF(OR(COUNTIF('クラス'!$A$1:$A$1267,$B2820)&gt;0,$B2820="",$M2820=""),"",True)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IF(OR(COUNTIF('クラス'!$A$1:$A$1267,$B2821)&gt;0,$B2821="",$M2821=""),"",True)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IF(OR(COUNTIF('クラス'!$A$1:$A$1267,$B2822)&gt;0,$B2822="",$M2822=""),"",True)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IF(OR(COUNTIF('クラス'!$A$1:$A$1267,$B2823)&gt;0,$B2823="",$M2823=""),"",True)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IF(OR(COUNTIF('クラス'!$A$1:$A$1267,$B2824)&gt;0,$B2824="",$M2824=""),"",True)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IF(OR(COUNTIF('クラス'!$A$1:$A$1267,$B2825)&gt;0,$B2825="",$M2825=""),"",True)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IF(OR(COUNTIF('クラス'!$A$1:$A$1267,$B2826)&gt;0,$B2826="",$M2826=""),"",True)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IF(OR(COUNTIF('クラス'!$A$1:$A$1267,$B2827)&gt;0,$B2827="",$M2827=""),"",True)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IF(OR(COUNTIF('クラス'!$A$1:$A$1267,$B2828)&gt;0,$B2828="",$M2828=""),"",True)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IF(OR(COUNTIF('クラス'!$A$1:$A$1267,$B2829)&gt;0,$B2829="",$M2829=""),"",True)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IF(OR(COUNTIF('クラス'!$A$1:$A$1267,$B2830)&gt;0,$B2830="",$M2830=""),"",True)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IF(OR(COUNTIF('クラス'!$A$1:$A$1267,$B2831)&gt;0,$B2831="",$M2831=""),"",True)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IF(OR(COUNTIF('クラス'!$A$1:$A$1267,$B2832)&gt;0,$B2832="",$M2832=""),"",True)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IF(OR(COUNTIF('クラス'!$A$1:$A$1267,$B2833)&gt;0,$B2833="",$M2833=""),"",True)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IF(OR(COUNTIF('クラス'!$A$1:$A$1267,$B2834)&gt;0,$B2834="",$M2834=""),"",True)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IF(OR(COUNTIF('クラス'!$A$1:$A$1267,$B2835)&gt;0,$B2835="",$M2835=""),"",True)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IF(OR(COUNTIF('クラス'!$A$1:$A$1267,$B2836)&gt;0,$B2836="",$M2836=""),"",True)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IF(OR(COUNTIF('クラス'!$A$1:$A$1267,$B2837)&gt;0,$B2837="",$M2837=""),"",True)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IF(OR(COUNTIF('クラス'!$A$1:$A$1267,$B2838)&gt;0,$B2838="",$M2838=""),"",True)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IF(OR(COUNTIF('クラス'!$A$1:$A$1267,$B2839)&gt;0,$B2839="",$M2839=""),"",True)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IF(OR(COUNTIF('クラス'!$A$1:$A$1267,$B2840)&gt;0,$B2840="",$M2840=""),"",True)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IF(OR(COUNTIF('クラス'!$A$1:$A$1267,$B2841)&gt;0,$B2841="",$M2841=""),"",True)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IF(OR(COUNTIF('クラス'!$A$1:$A$1267,$B2842)&gt;0,$B2842="",$M2842=""),"",True)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IF(OR(COUNTIF('クラス'!$A$1:$A$1267,$B2843)&gt;0,$B2843="",$M2843=""),"",True)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IF(OR(COUNTIF('クラス'!$A$1:$A$1267,$B2844)&gt;0,$B2844="",$M2844=""),"",True)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IF(OR(COUNTIF('クラス'!$A$1:$A$1267,$B2845)&gt;0,$B2845="",$M2845=""),"",True)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IF(OR(COUNTIF('クラス'!$A$1:$A$1267,$B2846)&gt;0,$B2846="",$M2846=""),"",True)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IF(OR(COUNTIF('クラス'!$A$1:$A$1267,$B2847)&gt;0,$B2847="",$M2847=""),"",True)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IF(OR(COUNTIF('クラス'!$A$1:$A$1267,$B2848)&gt;0,$B2848="",$M2848=""),"",True)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IF(OR(COUNTIF('クラス'!$A$1:$A$1267,$B2849)&gt;0,$B2849="",$M2849=""),"",True)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IF(OR(COUNTIF('クラス'!$A$1:$A$1267,$B2850)&gt;0,$B2850="",$M2850=""),"",True)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IF(OR(COUNTIF('クラス'!$A$1:$A$1267,$B2851)&gt;0,$B2851="",$M2851=""),"",True)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IF(OR(COUNTIF('クラス'!$A$1:$A$1267,$B2852)&gt;0,$B2852="",$M2852=""),"",True)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IF(OR(COUNTIF('クラス'!$A$1:$A$1267,$B2853)&gt;0,$B2853="",$M2853=""),"",True)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IF(OR(COUNTIF('クラス'!$A$1:$A$1267,$B2854)&gt;0,$B2854="",$M2854=""),"",True)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IF(OR(COUNTIF('クラス'!$A$1:$A$1267,$B2855)&gt;0,$B2855="",$M2855=""),"",True)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IF(OR(COUNTIF('クラス'!$A$1:$A$1267,$B2856)&gt;0,$B2856="",$M2856=""),"",True)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IF(OR(COUNTIF('クラス'!$A$1:$A$1267,$B2857)&gt;0,$B2857="",$M2857=""),"",True)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IF(OR(COUNTIF('クラス'!$A$1:$A$1267,$B2858)&gt;0,$B2858="",$M2858=""),"",True)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IF(OR(COUNTIF('クラス'!$A$1:$A$1267,$B2859)&gt;0,$B2859="",$M2859=""),"",True)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IF(OR(COUNTIF('クラス'!$A$1:$A$1267,$B2860)&gt;0,$B2860="",$M2860=""),"",True)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IF(OR(COUNTIF('クラス'!$A$1:$A$1267,$B2861)&gt;0,$B2861="",$M2861=""),"",True)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IF(OR(COUNTIF('クラス'!$A$1:$A$1267,$B2862)&gt;0,$B2862="",$M2862=""),"",True)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IF(OR(COUNTIF('クラス'!$A$1:$A$1267,$B2863)&gt;0,$B2863="",$M2863=""),"",True)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IF(OR(COUNTIF('クラス'!$A$1:$A$1267,$B2864)&gt;0,$B2864="",$M2864=""),"",True)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IF(OR(COUNTIF('クラス'!$A$1:$A$1267,$B2865)&gt;0,$B2865="",$M2865=""),"",True)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IF(OR(COUNTIF('クラス'!$A$1:$A$1267,$B2866)&gt;0,$B2866="",$M2866=""),"",True)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IF(OR(COUNTIF('クラス'!$A$1:$A$1267,$B2867)&gt;0,$B2867="",$M2867=""),"",True)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IF(OR(COUNTIF('クラス'!$A$1:$A$1267,$B2868)&gt;0,$B2868="",$M2868=""),"",True)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IF(OR(COUNTIF('クラス'!$A$1:$A$1267,$B2869)&gt;0,$B2869="",$M2869=""),"",True)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IF(OR(COUNTIF('クラス'!$A$1:$A$1267,$B2870)&gt;0,$B2870="",$M2870=""),"",True)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IF(OR(COUNTIF('クラス'!$A$1:$A$1267,$B2871)&gt;0,$B2871="",$M2871=""),"",True)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IF(OR(COUNTIF('クラス'!$A$1:$A$1267,$B2872)&gt;0,$B2872="",$M2872=""),"",True)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IF(OR(COUNTIF('クラス'!$A$1:$A$1267,$B2873)&gt;0,$B2873="",$M2873=""),"",True)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IF(OR(COUNTIF('クラス'!$A$1:$A$1267,$B2874)&gt;0,$B2874="",$M2874=""),"",True)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IF(OR(COUNTIF('クラス'!$A$1:$A$1267,$B2875)&gt;0,$B2875="",$M2875=""),"",True)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IF(OR(COUNTIF('クラス'!$A$1:$A$1267,$B2876)&gt;0,$B2876="",$M2876=""),"",True)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IF(OR(COUNTIF('クラス'!$A$1:$A$1267,$B2877)&gt;0,$B2877="",$M2877=""),"",True)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IF(OR(COUNTIF('クラス'!$A$1:$A$1267,$B2878)&gt;0,$B2878="",$M2878=""),"",True)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IF(OR(COUNTIF('クラス'!$A$1:$A$1267,$B2879)&gt;0,$B2879="",$M2879=""),"",True)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IF(OR(COUNTIF('クラス'!$A$1:$A$1267,$B2880)&gt;0,$B2880="",$M2880=""),"",True)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IF(OR(COUNTIF('クラス'!$A$1:$A$1267,$B2881)&gt;0,$B2881="",$M2881=""),"",True)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IF(OR(COUNTIF('クラス'!$A$1:$A$1267,$B2882)&gt;0,$B2882="",$M2882=""),"",True)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IF(OR(COUNTIF('クラス'!$A$1:$A$1267,$B2883)&gt;0,$B2883="",$M2883=""),"",True)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IF(OR(COUNTIF('クラス'!$A$1:$A$1267,$B2884)&gt;0,$B2884="",$M2884=""),"",True)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IF(OR(COUNTIF('クラス'!$A$1:$A$1267,$B2885)&gt;0,$B2885="",$M2885=""),"",True)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IF(OR(COUNTIF('クラス'!$A$1:$A$1267,$B2886)&gt;0,$B2886="",$M2886=""),"",True)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IF(OR(COUNTIF('クラス'!$A$1:$A$1267,$B2887)&gt;0,$B2887="",$M2887=""),"",True)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IF(OR(COUNTIF('クラス'!$A$1:$A$1267,$B2888)&gt;0,$B2888="",$M2888=""),"",True)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IF(OR(COUNTIF('クラス'!$A$1:$A$1267,$B2889)&gt;0,$B2889="",$M2889=""),"",True)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IF(OR(COUNTIF('クラス'!$A$1:$A$1267,$B2890)&gt;0,$B2890="",$M2890=""),"",True)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IF(OR(COUNTIF('クラス'!$A$1:$A$1267,$B2891)&gt;0,$B2891="",$M2891=""),"",True)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IF(OR(COUNTIF('クラス'!$A$1:$A$1267,$B2892)&gt;0,$B2892="",$M2892=""),"",True)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IF(OR(COUNTIF('クラス'!$A$1:$A$1267,$B2893)&gt;0,$B2893="",$M2893=""),"",True)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IF(OR(COUNTIF('クラス'!$A$1:$A$1267,$B2894)&gt;0,$B2894="",$M2894=""),"",True)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IF(OR(COUNTIF('クラス'!$A$1:$A$1267,$B2895)&gt;0,$B2895="",$M2895=""),"",True)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IF(OR(COUNTIF('クラス'!$A$1:$A$1267,$B2896)&gt;0,$B2896="",$M2896=""),"",True)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IF(OR(COUNTIF('クラス'!$A$1:$A$1267,$B2897)&gt;0,$B2897="",$M2897=""),"",True)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IF(OR(COUNTIF('クラス'!$A$1:$A$1267,$B2898)&gt;0,$B2898="",$M2898=""),"",True)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IF(OR(COUNTIF('クラス'!$A$1:$A$1267,$B2899)&gt;0,$B2899="",$M2899=""),"",True)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IF(OR(COUNTIF('クラス'!$A$1:$A$1267,$B2900)&gt;0,$B2900="",$M2900=""),"",True)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IF(OR(COUNTIF('クラス'!$A$1:$A$1267,$B2901)&gt;0,$B2901="",$M2901=""),"",True)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IF(OR(COUNTIF('クラス'!$A$1:$A$1267,$B2902)&gt;0,$B2902="",$M2902=""),"",True)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IF(OR(COUNTIF('クラス'!$A$1:$A$1267,$B2903)&gt;0,$B2903="",$M2903=""),"",True)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IF(OR(COUNTIF('クラス'!$A$1:$A$1267,$B2904)&gt;0,$B2904="",$M2904=""),"",True)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IF(OR(COUNTIF('クラス'!$A$1:$A$1267,$B2905)&gt;0,$B2905="",$M2905=""),"",True)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IF(OR(COUNTIF('クラス'!$A$1:$A$1267,$B2906)&gt;0,$B2906="",$M2906=""),"",True)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IF(OR(COUNTIF('クラス'!$A$1:$A$1267,$B2907)&gt;0,$B2907="",$M2907=""),"",True)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IF(OR(COUNTIF('クラス'!$A$1:$A$1267,$B2908)&gt;0,$B2908="",$M2908=""),"",True)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IF(OR(COUNTIF('クラス'!$A$1:$A$1267,$B2909)&gt;0,$B2909="",$M2909=""),"",True)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IF(OR(COUNTIF('クラス'!$A$1:$A$1267,$B2910)&gt;0,$B2910="",$M2910=""),"",True)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IF(OR(COUNTIF('クラス'!$A$1:$A$1267,$B2911)&gt;0,$B2911="",$M2911=""),"",True)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IF(OR(COUNTIF('クラス'!$A$1:$A$1267,$B2912)&gt;0,$B2912="",$M2912=""),"",True)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IF(OR(COUNTIF('クラス'!$A$1:$A$1267,$B2913)&gt;0,$B2913="",$M2913=""),"",True)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IF(OR(COUNTIF('クラス'!$A$1:$A$1267,$B2914)&gt;0,$B2914="",$M2914=""),"",True)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IF(OR(COUNTIF('クラス'!$A$1:$A$1267,$B2915)&gt;0,$B2915="",$M2915=""),"",True)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IF(OR(COUNTIF('クラス'!$A$1:$A$1267,$B2916)&gt;0,$B2916="",$M2916=""),"",True)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IF(OR(COUNTIF('クラス'!$A$1:$A$1267,$B2917)&gt;0,$B2917="",$M2917=""),"",True)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IF(OR(COUNTIF('クラス'!$A$1:$A$1267,$B2918)&gt;0,$B2918="",$M2918=""),"",True)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IF(OR(COUNTIF('クラス'!$A$1:$A$1267,$B2919)&gt;0,$B2919="",$M2919=""),"",True)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IF(OR(COUNTIF('クラス'!$A$1:$A$1267,$B2920)&gt;0,$B2920="",$M2920=""),"",True)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IF(OR(COUNTIF('クラス'!$A$1:$A$1267,$B2921)&gt;0,$B2921="",$M2921=""),"",True)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IF(OR(COUNTIF('クラス'!$A$1:$A$1267,$B2922)&gt;0,$B2922="",$M2922=""),"",True)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IF(OR(COUNTIF('クラス'!$A$1:$A$1267,$B2923)&gt;0,$B2923="",$M2923=""),"",True)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IF(OR(COUNTIF('クラス'!$A$1:$A$1267,$B2924)&gt;0,$B2924="",$M2924=""),"",True)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IF(OR(COUNTIF('クラス'!$A$1:$A$1267,$B2925)&gt;0,$B2925="",$M2925=""),"",True)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IF(OR(COUNTIF('クラス'!$A$1:$A$1267,$B2926)&gt;0,$B2926="",$M2926=""),"",True)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IF(OR(COUNTIF('クラス'!$A$1:$A$1267,$B2927)&gt;0,$B2927="",$M2927=""),"",True)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IF(OR(COUNTIF('クラス'!$A$1:$A$1267,$B2928)&gt;0,$B2928="",$M2928=""),"",True)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IF(OR(COUNTIF('クラス'!$A$1:$A$1267,$B2929)&gt;0,$B2929="",$M2929=""),"",True)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IF(OR(COUNTIF('クラス'!$A$1:$A$1267,$B2930)&gt;0,$B2930="",$M2930=""),"",True)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IF(OR(COUNTIF('クラス'!$A$1:$A$1267,$B2931)&gt;0,$B2931="",$M2931=""),"",True)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IF(OR(COUNTIF('クラス'!$A$1:$A$1267,$B2932)&gt;0,$B2932="",$M2932=""),"",True)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IF(OR(COUNTIF('クラス'!$A$1:$A$1267,$B2933)&gt;0,$B2933="",$M2933=""),"",True)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IF(OR(COUNTIF('クラス'!$A$1:$A$1267,$B2934)&gt;0,$B2934="",$M2934=""),"",True)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IF(OR(COUNTIF('クラス'!$A$1:$A$1267,$B2935)&gt;0,$B2935="",$M2935=""),"",True)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IF(OR(COUNTIF('クラス'!$A$1:$A$1267,$B2936)&gt;0,$B2936="",$M2936=""),"",True)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IF(OR(COUNTIF('クラス'!$A$1:$A$1267,$B2937)&gt;0,$B2937="",$M2937=""),"",True)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IF(OR(COUNTIF('クラス'!$A$1:$A$1267,$B2938)&gt;0,$B2938="",$M2938=""),"",True)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IF(OR(COUNTIF('クラス'!$A$1:$A$1267,$B2939)&gt;0,$B2939="",$M2939=""),"",True)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IF(OR(COUNTIF('クラス'!$A$1:$A$1267,$B2940)&gt;0,$B2940="",$M2940=""),"",True)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IF(OR(COUNTIF('クラス'!$A$1:$A$1267,$B2941)&gt;0,$B2941="",$M2941=""),"",True)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IF(OR(COUNTIF('クラス'!$A$1:$A$1267,$B2942)&gt;0,$B2942="",$M2942=""),"",True)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IF(OR(COUNTIF('クラス'!$A$1:$A$1267,$B2943)&gt;0,$B2943="",$M2943=""),"",True)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IF(OR(COUNTIF('クラス'!$A$1:$A$1267,$B2944)&gt;0,$B2944="",$M2944=""),"",True)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IF(OR(COUNTIF('クラス'!$A$1:$A$1267,$B2945)&gt;0,$B2945="",$M2945=""),"",True)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IF(OR(COUNTIF('クラス'!$A$1:$A$1267,$B2946)&gt;0,$B2946="",$M2946=""),"",True)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IF(OR(COUNTIF('クラス'!$A$1:$A$1267,$B2947)&gt;0,$B2947="",$M2947=""),"",True)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IF(OR(COUNTIF('クラス'!$A$1:$A$1267,$B2948)&gt;0,$B2948="",$M2948=""),"",True)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IF(OR(COUNTIF('クラス'!$A$1:$A$1267,$B2949)&gt;0,$B2949="",$M2949=""),"",True)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IF(OR(COUNTIF('クラス'!$A$1:$A$1267,$B2950)&gt;0,$B2950="",$M2950=""),"",True)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IF(OR(COUNTIF('クラス'!$A$1:$A$1267,$B2951)&gt;0,$B2951="",$M2951=""),"",True)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IF(OR(COUNTIF('クラス'!$A$1:$A$1267,$B2952)&gt;0,$B2952="",$M2952=""),"",True)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IF(OR(COUNTIF('クラス'!$A$1:$A$1267,$B2953)&gt;0,$B2953="",$M2953=""),"",True)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IF(OR(COUNTIF('クラス'!$A$1:$A$1267,$B2954)&gt;0,$B2954="",$M2954=""),"",True)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IF(OR(COUNTIF('クラス'!$A$1:$A$1267,$B2955)&gt;0,$B2955="",$M2955=""),"",True)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IF(OR(COUNTIF('クラス'!$A$1:$A$1267,$B2956)&gt;0,$B2956="",$M2956=""),"",True)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IF(OR(COUNTIF('クラス'!$A$1:$A$1267,$B2957)&gt;0,$B2957="",$M2957=""),"",True)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IF(OR(COUNTIF('クラス'!$A$1:$A$1267,$B2958)&gt;0,$B2958="",$M2958=""),"",True)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IF(OR(COUNTIF('クラス'!$A$1:$A$1267,$B2959)&gt;0,$B2959="",$M2959=""),"",True)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IF(OR(COUNTIF('クラス'!$A$1:$A$1267,$B2960)&gt;0,$B2960="",$M2960=""),"",True)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IF(OR(COUNTIF('クラス'!$A$1:$A$1267,$B2961)&gt;0,$B2961="",$M2961=""),"",True)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IF(OR(COUNTIF('クラス'!$A$1:$A$1267,$B2962)&gt;0,$B2962="",$M2962=""),"",True)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IF(OR(COUNTIF('クラス'!$A$1:$A$1267,$B2963)&gt;0,$B2963="",$M2963=""),"",True)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IF(OR(COUNTIF('クラス'!$A$1:$A$1267,$B2964)&gt;0,$B2964="",$M2964=""),"",True)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IF(OR(COUNTIF('クラス'!$A$1:$A$1267,$B2965)&gt;0,$B2965="",$M2965=""),"",True)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IF(OR(COUNTIF('クラス'!$A$1:$A$1267,$B2966)&gt;0,$B2966="",$M2966=""),"",True)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IF(OR(COUNTIF('クラス'!$A$1:$A$1267,$B2967)&gt;0,$B2967="",$M2967=""),"",True)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IF(OR(COUNTIF('クラス'!$A$1:$A$1267,$B2968)&gt;0,$B2968="",$M2968=""),"",True)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IF(OR(COUNTIF('クラス'!$A$1:$A$1267,$B2969)&gt;0,$B2969="",$M2969=""),"",True)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IF(OR(COUNTIF('クラス'!$A$1:$A$1267,$B2970)&gt;0,$B2970="",$M2970=""),"",True)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IF(OR(COUNTIF('クラス'!$A$1:$A$1267,$B2971)&gt;0,$B2971="",$M2971=""),"",True)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IF(OR(COUNTIF('クラス'!$A$1:$A$1267,$B2972)&gt;0,$B2972="",$M2972=""),"",True)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IF(OR(COUNTIF('クラス'!$A$1:$A$1267,$B2973)&gt;0,$B2973="",$M2973=""),"",True)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IF(OR(COUNTIF('クラス'!$A$1:$A$1267,$B2974)&gt;0,$B2974="",$M2974=""),"",True)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IF(OR(COUNTIF('クラス'!$A$1:$A$1267,$B2975)&gt;0,$B2975="",$M2975=""),"",True)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IF(OR(COUNTIF('クラス'!$A$1:$A$1267,$B2976)&gt;0,$B2976="",$M2976=""),"",True)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IF(OR(COUNTIF('クラス'!$A$1:$A$1267,$B2977)&gt;0,$B2977="",$M2977=""),"",True)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IF(OR(COUNTIF('クラス'!$A$1:$A$1267,$B2978)&gt;0,$B2978="",$M2978=""),"",True)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IF(OR(COUNTIF('クラス'!$A$1:$A$1267,$B2979)&gt;0,$B2979="",$M2979=""),"",True)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IF(OR(COUNTIF('クラス'!$A$1:$A$1267,$B2980)&gt;0,$B2980="",$M2980=""),"",True)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IF(OR(COUNTIF('クラス'!$A$1:$A$1267,$B2981)&gt;0,$B2981="",$M2981=""),"",True)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IF(OR(COUNTIF('クラス'!$A$1:$A$1267,$B2982)&gt;0,$B2982="",$M2982=""),"",True)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IF(OR(COUNTIF('クラス'!$A$1:$A$1267,$B2983)&gt;0,$B2983="",$M2983=""),"",True)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IF(OR(COUNTIF('クラス'!$A$1:$A$1267,$B2984)&gt;0,$B2984="",$M2984=""),"",True)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IF(OR(COUNTIF('クラス'!$A$1:$A$1267,$B2985)&gt;0,$B2985="",$M2985=""),"",True)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IF(OR(COUNTIF('クラス'!$A$1:$A$1267,$B2986)&gt;0,$B2986="",$M2986=""),"",True)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IF(OR(COUNTIF('クラス'!$A$1:$A$1267,$B2987)&gt;0,$B2987="",$M2987=""),"",True)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IF(OR(COUNTIF('クラス'!$A$1:$A$1267,$B2988)&gt;0,$B2988="",$M2988=""),"",True)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IF(OR(COUNTIF('クラス'!$A$1:$A$1267,$B2989)&gt;0,$B2989="",$M2989=""),"",True)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IF(OR(COUNTIF('クラス'!$A$1:$A$1267,$B2990)&gt;0,$B2990="",$M2990=""),"",True)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IF(OR(COUNTIF('クラス'!$A$1:$A$1267,$B2991)&gt;0,$B2991="",$M2991=""),"",True)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IF(OR(COUNTIF('クラス'!$A$1:$A$1267,$B2992)&gt;0,$B2992="",$M2992=""),"",True)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IF(OR(COUNTIF('クラス'!$A$1:$A$1267,$B2993)&gt;0,$B2993="",$M2993=""),"",True)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IF(OR(COUNTIF('クラス'!$A$1:$A$1267,$B2994)&gt;0,$B2994="",$M2994=""),"",True)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IF(OR(COUNTIF('クラス'!$A$1:$A$1267,$B2995)&gt;0,$B2995="",$M2995=""),"",True)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IF(OR(COUNTIF('クラス'!$A$1:$A$1267,$B2996)&gt;0,$B2996="",$M2996=""),"",True)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IF(OR(COUNTIF('クラス'!$A$1:$A$1267,$B2997)&gt;0,$B2997="",$M2997=""),"",True)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IF(OR(COUNTIF('クラス'!$A$1:$A$1267,$B2998)&gt;0,$B2998="",$M2998=""),"",True)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IF(OR(COUNTIF('クラス'!$A$1:$A$1267,$B2999)&gt;0,$B2999="",$M2999=""),"",True)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IF(OR(COUNTIF('クラス'!$A$1:$A$1267,$B3000)&gt;0,$B3000="",$M3000=""),"",True)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IF(OR(COUNTIF('クラス'!$A$1:$A$1267,$B3001)&gt;0,$B3001="",$M3001=""),"",True)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IF(OR(COUNTIF('クラス'!$A$1:$A$1267,$B3002)&gt;0,$B3002="",$M3002=""),"",True)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IF(OR(COUNTIF('クラス'!$A$1:$A$1267,$B3003)&gt;0,$B3003="",$M3003=""),"",True)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IF(OR(COUNTIF('クラス'!$A$1:$A$1267,$B3004)&gt;0,$B3004="",$M3004=""),"",True)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IF(OR(COUNTIF('クラス'!$A$1:$A$1267,$B3005)&gt;0,$B3005="",$M3005=""),"",True)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IF(OR(COUNTIF('クラス'!$A$1:$A$1267,$B3006)&gt;0,$B3006="",$M3006=""),"",True)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IF(OR(COUNTIF('クラス'!$A$1:$A$1267,$B3007)&gt;0,$B3007="",$M3007=""),"",True)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IF(OR(COUNTIF('クラス'!$A$1:$A$1267,$B3008)&gt;0,$B3008="",$M3008=""),"",True)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IF(OR(COUNTIF('クラス'!$A$1:$A$1267,$B3009)&gt;0,$B3009="",$M3009=""),"",True)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IF(OR(COUNTIF('クラス'!$A$1:$A$1267,$B3010)&gt;0,$B3010="",$M3010=""),"",True)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IF(OR(COUNTIF('クラス'!$A$1:$A$1267,$B3011)&gt;0,$B3011="",$M3011=""),"",True)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IF(OR(COUNTIF('クラス'!$A$1:$A$1267,$B3012)&gt;0,$B3012="",$M3012=""),"",True)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IF(OR(COUNTIF('クラス'!$A$1:$A$1267,$B3013)&gt;0,$B3013="",$M3013=""),"",True)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IF(OR(COUNTIF('クラス'!$A$1:$A$1267,$B3014)&gt;0,$B3014="",$M3014=""),"",True)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IF(OR(COUNTIF('クラス'!$A$1:$A$1267,$B3015)&gt;0,$B3015="",$M3015=""),"",True)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IF(OR(COUNTIF('クラス'!$A$1:$A$1267,$B3016)&gt;0,$B3016="",$M3016=""),"",True)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IF(OR(COUNTIF('クラス'!$A$1:$A$1267,$B3017)&gt;0,$B3017="",$M3017=""),"",True)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IF(OR(COUNTIF('クラス'!$A$1:$A$1267,$B3018)&gt;0,$B3018="",$M3018=""),"",True)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IF(OR(COUNTIF('クラス'!$A$1:$A$1267,$B3019)&gt;0,$B3019="",$M3019=""),"",True)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IF(OR(COUNTIF('クラス'!$A$1:$A$1267,$B3020)&gt;0,$B3020="",$M3020=""),"",True)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IF(OR(COUNTIF('クラス'!$A$1:$A$1267,$B3021)&gt;0,$B3021="",$M3021=""),"",True)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IF(OR(COUNTIF('クラス'!$A$1:$A$1267,$B3022)&gt;0,$B3022="",$M3022=""),"",True)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IF(OR(COUNTIF('クラス'!$A$1:$A$1267,$B3023)&gt;0,$B3023="",$M3023=""),"",True)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IF(OR(COUNTIF('クラス'!$A$1:$A$1267,$B3024)&gt;0,$B3024="",$M3024=""),"",True)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IF(OR(COUNTIF('クラス'!$A$1:$A$1267,$B3025)&gt;0,$B3025="",$M3025=""),"",True)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IF(OR(COUNTIF('クラス'!$A$1:$A$1267,$B3026)&gt;0,$B3026="",$M3026=""),"",True)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IF(OR(COUNTIF('クラス'!$A$1:$A$1267,$B3027)&gt;0,$B3027="",$M3027=""),"",True)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IF(OR(COUNTIF('クラス'!$A$1:$A$1267,$B3028)&gt;0,$B3028="",$M3028=""),"",True)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IF(OR(COUNTIF('クラス'!$A$1:$A$1267,$B3029)&gt;0,$B3029="",$M3029=""),"",True)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IF(OR(COUNTIF('クラス'!$A$1:$A$1267,$B3030)&gt;0,$B3030="",$M3030=""),"",True)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IF(OR(COUNTIF('クラス'!$A$1:$A$1267,$B3031)&gt;0,$B3031="",$M3031=""),"",True)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IF(OR(COUNTIF('クラス'!$A$1:$A$1267,$B3032)&gt;0,$B3032="",$M3032=""),"",True)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IF(OR(COUNTIF('クラス'!$A$1:$A$1267,$B3033)&gt;0,$B3033="",$M3033=""),"",True)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IF(OR(COUNTIF('クラス'!$A$1:$A$1267,$B3034)&gt;0,$B3034="",$M3034=""),"",True)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IF(OR(COUNTIF('クラス'!$A$1:$A$1267,$B3035)&gt;0,$B3035="",$M3035=""),"",True)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IF(OR(COUNTIF('クラス'!$A$1:$A$1267,$B3036)&gt;0,$B3036="",$M3036=""),"",True)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IF(OR(COUNTIF('クラス'!$A$1:$A$1267,$B3037)&gt;0,$B3037="",$M3037=""),"",True)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IF(OR(COUNTIF('クラス'!$A$1:$A$1267,$B3038)&gt;0,$B3038="",$M3038=""),"",True)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IF(OR(COUNTIF('クラス'!$A$1:$A$1267,$B3039)&gt;0,$B3039="",$M3039=""),"",True)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IF(OR(COUNTIF('クラス'!$A$1:$A$1267,$B3040)&gt;0,$B3040="",$M3040=""),"",True)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IF(OR(COUNTIF('クラス'!$A$1:$A$1267,$B3041)&gt;0,$B3041="",$M3041=""),"",True)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IF(OR(COUNTIF('クラス'!$A$1:$A$1267,$B3042)&gt;0,$B3042="",$M3042=""),"",True)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IF(OR(COUNTIF('クラス'!$A$1:$A$1267,$B3043)&gt;0,$B3043="",$M3043=""),"",True)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IF(OR(COUNTIF('クラス'!$A$1:$A$1267,$B3044)&gt;0,$B3044="",$M3044=""),"",True)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IF(OR(COUNTIF('クラス'!$A$1:$A$1267,$B3045)&gt;0,$B3045="",$M3045=""),"",True)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IF(OR(COUNTIF('クラス'!$A$1:$A$1267,$B3046)&gt;0,$B3046="",$M3046=""),"",True)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IF(OR(COUNTIF('クラス'!$A$1:$A$1267,$B3047)&gt;0,$B3047="",$M3047=""),"",True)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IF(OR(COUNTIF('クラス'!$A$1:$A$1267,$B3048)&gt;0,$B3048="",$M3048=""),"",True)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IF(OR(COUNTIF('クラス'!$A$1:$A$1267,$B3049)&gt;0,$B3049="",$M3049=""),"",True)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IF(OR(COUNTIF('クラス'!$A$1:$A$1267,$B3050)&gt;0,$B3050="",$M3050=""),"",True)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IF(OR(COUNTIF('クラス'!$A$1:$A$1267,$B3051)&gt;0,$B3051="",$M3051=""),"",True)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IF(OR(COUNTIF('クラス'!$A$1:$A$1267,$B3052)&gt;0,$B3052="",$M3052=""),"",True)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IF(OR(COUNTIF('クラス'!$A$1:$A$1267,$B3053)&gt;0,$B3053="",$M3053=""),"",True)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IF(OR(COUNTIF('クラス'!$A$1:$A$1267,$B3054)&gt;0,$B3054="",$M3054=""),"",True)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IF(OR(COUNTIF('クラス'!$A$1:$A$1267,$B3055)&gt;0,$B3055="",$M3055=""),"",True)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IF(OR(COUNTIF('クラス'!$A$1:$A$1267,$B3056)&gt;0,$B3056="",$M3056=""),"",True)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IF(OR(COUNTIF('クラス'!$A$1:$A$1267,$B3057)&gt;0,$B3057="",$M3057=""),"",True)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IF(OR(COUNTIF('クラス'!$A$1:$A$1267,$B3058)&gt;0,$B3058="",$M3058=""),"",True)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IF(OR(COUNTIF('クラス'!$A$1:$A$1267,$B3059)&gt;0,$B3059="",$M3059=""),"",True)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IF(OR(COUNTIF('クラス'!$A$1:$A$1267,$B3060)&gt;0,$B3060="",$M3060=""),"",True)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IF(OR(COUNTIF('クラス'!$A$1:$A$1267,$B3061)&gt;0,$B3061="",$M3061=""),"",True)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IF(OR(COUNTIF('クラス'!$A$1:$A$1267,$B3062)&gt;0,$B3062="",$M3062=""),"",True)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IF(OR(COUNTIF('クラス'!$A$1:$A$1267,$B3063)&gt;0,$B3063="",$M3063=""),"",True)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IF(OR(COUNTIF('クラス'!$A$1:$A$1267,$B3064)&gt;0,$B3064="",$M3064=""),"",True)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IF(OR(COUNTIF('クラス'!$A$1:$A$1267,$B3065)&gt;0,$B3065="",$M3065=""),"",True)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IF(OR(COUNTIF('クラス'!$A$1:$A$1267,$B3066)&gt;0,$B3066="",$M3066=""),"",True)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IF(OR(COUNTIF('クラス'!$A$1:$A$1267,$B3067)&gt;0,$B3067="",$M3067=""),"",True)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IF(OR(COUNTIF('クラス'!$A$1:$A$1267,$B3068)&gt;0,$B3068="",$M3068=""),"",True)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IF(OR(COUNTIF('クラス'!$A$1:$A$1267,$B3069)&gt;0,$B3069="",$M3069=""),"",True)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IF(OR(COUNTIF('クラス'!$A$1:$A$1267,$B3070)&gt;0,$B3070="",$M3070=""),"",True)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IF(OR(COUNTIF('クラス'!$A$1:$A$1267,$B3071)&gt;0,$B3071="",$M3071=""),"",True)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IF(OR(COUNTIF('クラス'!$A$1:$A$1267,$B3072)&gt;0,$B3072="",$M3072=""),"",True)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IF(OR(COUNTIF('クラス'!$A$1:$A$1267,$B3073)&gt;0,$B3073="",$M3073=""),"",True)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IF(OR(COUNTIF('クラス'!$A$1:$A$1267,$B3074)&gt;0,$B3074="",$M3074=""),"",True)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IF(OR(COUNTIF('クラス'!$A$1:$A$1267,$B3075)&gt;0,$B3075="",$M3075=""),"",True)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IF(OR(COUNTIF('クラス'!$A$1:$A$1267,$B3076)&gt;0,$B3076="",$M3076=""),"",True)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IF(OR(COUNTIF('クラス'!$A$1:$A$1267,$B3077)&gt;0,$B3077="",$M3077=""),"",True)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IF(OR(COUNTIF('クラス'!$A$1:$A$1267,$B3078)&gt;0,$B3078="",$M3078=""),"",True)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IF(OR(COUNTIF('クラス'!$A$1:$A$1267,$B3079)&gt;0,$B3079="",$M3079=""),"",True)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IF(OR(COUNTIF('クラス'!$A$1:$A$1267,$B3080)&gt;0,$B3080="",$M3080=""),"",True)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IF(OR(COUNTIF('クラス'!$A$1:$A$1267,$B3081)&gt;0,$B3081="",$M3081=""),"",True)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IF(OR(COUNTIF('クラス'!$A$1:$A$1267,$B3082)&gt;0,$B3082="",$M3082=""),"",True)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IF(OR(COUNTIF('クラス'!$A$1:$A$1267,$B3083)&gt;0,$B3083="",$M3083=""),"",True)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IF(OR(COUNTIF('クラス'!$A$1:$A$1267,$B3084)&gt;0,$B3084="",$M3084=""),"",True)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12"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41" t="s">
        <v>2687</v>
      </c>
      <c r="B31" s="71"/>
      <c r="C31" s="37" t="s">
        <v>2684</v>
      </c>
      <c r="D31" s="72" t="str">
        <f t="shared" si="1"/>
        <v>710/515/195</v>
      </c>
      <c r="E31" s="41">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G31" s="37" t="str">
        <f t="array" ref="BG31">IF($A31="","", INDEX(CS!$B$1:$B$15025,MATCH($A31,CS!$B:$B,0)+COLUMN(A$1),1))</f>
        <v>#N/A</v>
      </c>
      <c r="BH31" s="37" t="str">
        <f t="array" ref="BH31">IF($A31="","", INDEX(CS!$B$1:$B$15025,MATCH($A31,CS!$B:$B,0)+COLUMN(B$1),1))</f>
        <v>#N/A</v>
      </c>
      <c r="BI31" s="37" t="str">
        <f t="array" ref="BI31">IF($A31="","", INDEX(CS!$B$1:$B$15025,MATCH($A31,CS!$B:$B,0)+COLUMN(C$1),1))</f>
        <v>#N/A</v>
      </c>
      <c r="BJ31" s="37" t="str">
        <f t="array" ref="BJ31">IF($A31="","", INDEX(CS!$B$1:$B$15025,MATCH($A31,CS!$B:$B,0)+COLUMN(D$1),1))</f>
        <v>#N/A</v>
      </c>
      <c r="BK31" s="37" t="str">
        <f t="array" ref="BK31">IF($A31="","", INDEX(CS!$B$1:$B$15025,MATCH($A31,CS!$B:$B,0)+COLUMN(E$1),1))</f>
        <v>#N/A</v>
      </c>
      <c r="BL31" s="37" t="str">
        <f t="array" ref="BL31">IF($A31="","", INDEX(CS!$B$1:$B$15025,MATCH($A31,CS!$B:$B,0)+COLUMN(F$1),1))</f>
        <v>#N/A</v>
      </c>
      <c r="BM31" s="37" t="str">
        <f t="array" ref="BM31">IF($A31="","", INDEX(CS!$B$1:$B$15025,MATCH($A31,CS!$B:$B,0)+COLUMN(G$1),1))</f>
        <v>#N/A</v>
      </c>
      <c r="BN31" s="37" t="str">
        <f t="array" ref="BN31">IF($A31="","", INDEX(CS!$B$1:$B$15025,MATCH($A31,CS!$B:$B,0)+COLUMN(H$1),1))</f>
        <v>#N/A</v>
      </c>
      <c r="BO31" s="37" t="str">
        <f t="array" ref="BO31">IF($A31="","", INDEX(CS!$B$1:$B$15025,MATCH($A31,CS!$B:$B,0)+COLUMN(I$1),1))</f>
        <v>#N/A</v>
      </c>
      <c r="BP31" s="37" t="str">
        <f t="array" ref="BP31">IF($A31="","", INDEX(CS!$B$1:$B$15025,MATCH($A31,CS!$B:$B,0)+COLUMN(J$1),1))</f>
        <v>#N/A</v>
      </c>
      <c r="BQ31" s="41">
        <v>20.0</v>
      </c>
      <c r="BR31" s="39" t="s">
        <v>2688</v>
      </c>
      <c r="BS31" s="74"/>
      <c r="BW31" s="57"/>
      <c r="BX31" s="75">
        <v>0.0</v>
      </c>
      <c r="BY31" s="75">
        <v>0.0</v>
      </c>
      <c r="BZ31" s="84">
        <v>35.0</v>
      </c>
      <c r="CA31" s="84">
        <v>15.0</v>
      </c>
      <c r="CB31" s="75">
        <v>10.0</v>
      </c>
      <c r="CD31" s="75">
        <v>2.0</v>
      </c>
      <c r="CE31" s="75"/>
      <c r="CN31" s="37" t="s">
        <v>2685</v>
      </c>
      <c r="CO31" s="39" t="s">
        <v>2686</v>
      </c>
      <c r="CP31" s="39" t="s">
        <v>2673</v>
      </c>
    </row>
    <row r="32" ht="18.75" customHeight="1" outlineLevel="1">
      <c r="A32" s="41" t="s">
        <v>2689</v>
      </c>
      <c r="B32" s="71"/>
      <c r="C32" s="37" t="s">
        <v>2684</v>
      </c>
      <c r="D32" s="72" t="str">
        <f t="shared" si="1"/>
        <v>710/515/195</v>
      </c>
      <c r="E32" s="41">
        <v>3.0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G32" s="37" t="str">
        <f t="array" ref="BG32">IF($A32="","", INDEX(CS!$B$1:$B$15025,MATCH($A32,CS!$B:$B,0)+COLUMN(A$1),1))</f>
        <v>#N/A</v>
      </c>
      <c r="BH32" s="37" t="str">
        <f t="array" ref="BH32">IF($A32="","", INDEX(CS!$B$1:$B$15025,MATCH($A32,CS!$B:$B,0)+COLUMN(B$1),1))</f>
        <v>#N/A</v>
      </c>
      <c r="BI32" s="37" t="str">
        <f t="array" ref="BI32">IF($A32="","", INDEX(CS!$B$1:$B$15025,MATCH($A32,CS!$B:$B,0)+COLUMN(C$1),1))</f>
        <v>#N/A</v>
      </c>
      <c r="BJ32" s="37" t="str">
        <f t="array" ref="BJ32">IF($A32="","", INDEX(CS!$B$1:$B$15025,MATCH($A32,CS!$B:$B,0)+COLUMN(D$1),1))</f>
        <v>#N/A</v>
      </c>
      <c r="BK32" s="37" t="str">
        <f t="array" ref="BK32">IF($A32="","", INDEX(CS!$B$1:$B$15025,MATCH($A32,CS!$B:$B,0)+COLUMN(E$1),1))</f>
        <v>#N/A</v>
      </c>
      <c r="BL32" s="37" t="str">
        <f t="array" ref="BL32">IF($A32="","", INDEX(CS!$B$1:$B$15025,MATCH($A32,CS!$B:$B,0)+COLUMN(F$1),1))</f>
        <v>#N/A</v>
      </c>
      <c r="BM32" s="37" t="str">
        <f t="array" ref="BM32">IF($A32="","", INDEX(CS!$B$1:$B$15025,MATCH($A32,CS!$B:$B,0)+COLUMN(G$1),1))</f>
        <v>#N/A</v>
      </c>
      <c r="BN32" s="37" t="str">
        <f t="array" ref="BN32">IF($A32="","", INDEX(CS!$B$1:$B$15025,MATCH($A32,CS!$B:$B,0)+COLUMN(H$1),1))</f>
        <v>#N/A</v>
      </c>
      <c r="BO32" s="37" t="str">
        <f t="array" ref="BO32">IF($A32="","", INDEX(CS!$B$1:$B$15025,MATCH($A32,CS!$B:$B,0)+COLUMN(I$1),1))</f>
        <v>#N/A</v>
      </c>
      <c r="BP32" s="37" t="str">
        <f t="array" ref="BP32">IF($A32="","", INDEX(CS!$B$1:$B$15025,MATCH($A32,CS!$B:$B,0)+COLUMN(J$1),1))</f>
        <v>#N/A</v>
      </c>
      <c r="BQ32" s="41">
        <v>30.0</v>
      </c>
      <c r="BR32" s="41" t="s">
        <v>2690</v>
      </c>
      <c r="BS32" s="74"/>
      <c r="BW32" s="57"/>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41">
        <v>4.0</v>
      </c>
      <c r="F33" s="37">
        <v>90.0</v>
      </c>
      <c r="I33" s="37">
        <v>80.0</v>
      </c>
      <c r="J33" s="37">
        <v>70.0</v>
      </c>
      <c r="K33" s="73">
        <v>80.0</v>
      </c>
      <c r="L33" s="37">
        <v>60.0</v>
      </c>
      <c r="M33" s="37">
        <v>70.0</v>
      </c>
      <c r="N33" s="37">
        <v>65.0</v>
      </c>
      <c r="O33" s="37">
        <v>170.0</v>
      </c>
      <c r="P33" s="39">
        <v>-100.0</v>
      </c>
      <c r="Q33" s="64"/>
      <c r="R33" s="64"/>
      <c r="S33" s="64"/>
      <c r="T33" s="64"/>
      <c r="U33" s="64"/>
      <c r="V33" s="64"/>
      <c r="W33" s="64"/>
      <c r="X33" s="64"/>
      <c r="Y33" s="64"/>
      <c r="Z33" s="64"/>
      <c r="AA33" s="64"/>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Q33" s="41">
        <v>40.0</v>
      </c>
      <c r="BR33" s="41" t="s">
        <v>2692</v>
      </c>
      <c r="BS33" s="74"/>
      <c r="BU33" s="39" t="s">
        <v>2693</v>
      </c>
      <c r="BW33" s="57"/>
      <c r="BX33" s="75">
        <v>0.0</v>
      </c>
      <c r="BY33" s="75">
        <v>0.0</v>
      </c>
      <c r="BZ33" s="84">
        <v>35.0</v>
      </c>
      <c r="CA33" s="84">
        <v>15.0</v>
      </c>
      <c r="CB33" s="75">
        <v>10.0</v>
      </c>
      <c r="CD33" s="75">
        <v>2.0</v>
      </c>
      <c r="CE33" s="75"/>
      <c r="CN33" s="37" t="s">
        <v>2685</v>
      </c>
      <c r="CO33" s="39" t="s">
        <v>2686</v>
      </c>
      <c r="CP33" s="39" t="s">
        <v>2673</v>
      </c>
    </row>
    <row r="34" ht="18.75" customHeight="1" outlineLevel="1">
      <c r="A34" s="39" t="s">
        <v>2694</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c r="R34" s="64"/>
      <c r="S34" s="64"/>
      <c r="T34" s="64"/>
      <c r="U34" s="64"/>
      <c r="V34" s="64"/>
      <c r="W34" s="64"/>
      <c r="X34" s="64"/>
      <c r="Y34" s="64"/>
      <c r="Z34" s="64"/>
      <c r="AA34" s="64"/>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2693</v>
      </c>
      <c r="BW34" s="57"/>
      <c r="BX34" s="75">
        <v>0.0</v>
      </c>
      <c r="BY34" s="75">
        <v>0.0</v>
      </c>
      <c r="BZ34" s="84">
        <v>35.0</v>
      </c>
      <c r="CA34" s="84">
        <v>15.0</v>
      </c>
      <c r="CB34" s="75">
        <v>10.0</v>
      </c>
      <c r="CD34" s="75">
        <v>2.0</v>
      </c>
      <c r="CE34" s="75"/>
      <c r="CN34" s="37" t="s">
        <v>2685</v>
      </c>
      <c r="CO34" s="39" t="s">
        <v>2686</v>
      </c>
      <c r="CP34" s="39" t="s">
        <v>2673</v>
      </c>
    </row>
    <row r="35" ht="18.75" customHeight="1" outlineLevel="1">
      <c r="A35" s="39" t="s">
        <v>2695</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c r="R35" s="64"/>
      <c r="S35" s="64"/>
      <c r="T35" s="64"/>
      <c r="U35" s="64"/>
      <c r="V35" s="64"/>
      <c r="W35" s="64"/>
      <c r="X35" s="64"/>
      <c r="Y35" s="64"/>
      <c r="Z35" s="64"/>
      <c r="AA35" s="64"/>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2693</v>
      </c>
      <c r="BW35" s="57"/>
      <c r="BX35" s="75">
        <v>0.0</v>
      </c>
      <c r="BY35" s="75">
        <v>0.0</v>
      </c>
      <c r="BZ35" s="84">
        <v>35.0</v>
      </c>
      <c r="CA35" s="84">
        <v>15.0</v>
      </c>
      <c r="CB35" s="75">
        <v>10.0</v>
      </c>
      <c r="CD35" s="75">
        <v>2.0</v>
      </c>
      <c r="CE35" s="75"/>
      <c r="CN35" s="37" t="s">
        <v>2685</v>
      </c>
      <c r="CO35" s="39" t="s">
        <v>2686</v>
      </c>
      <c r="CP35" s="39" t="s">
        <v>2673</v>
      </c>
    </row>
    <row r="36" ht="18.75" customHeight="1" outlineLevel="1">
      <c r="A36" s="39" t="s">
        <v>2696</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c r="R36" s="64"/>
      <c r="S36" s="64"/>
      <c r="T36" s="64"/>
      <c r="U36" s="64"/>
      <c r="V36" s="64"/>
      <c r="W36" s="64"/>
      <c r="X36" s="64"/>
      <c r="Y36" s="64"/>
      <c r="Z36" s="64"/>
      <c r="AA36" s="64"/>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2693</v>
      </c>
      <c r="BW36" s="57"/>
      <c r="BX36" s="75">
        <v>0.0</v>
      </c>
      <c r="BY36" s="75">
        <v>0.0</v>
      </c>
      <c r="BZ36" s="84">
        <v>35.0</v>
      </c>
      <c r="CA36" s="84">
        <v>15.0</v>
      </c>
      <c r="CB36" s="75">
        <v>10.0</v>
      </c>
      <c r="CD36" s="75">
        <v>2.0</v>
      </c>
      <c r="CE36" s="75"/>
      <c r="CN36" s="37" t="s">
        <v>2685</v>
      </c>
      <c r="CO36" s="39" t="s">
        <v>2686</v>
      </c>
      <c r="CP36" s="39" t="s">
        <v>2673</v>
      </c>
    </row>
    <row r="37" ht="18.75" customHeight="1" outlineLevel="1">
      <c r="A37" s="39" t="s">
        <v>2697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c r="R37" s="64"/>
      <c r="S37" s="64"/>
      <c r="T37" s="64"/>
      <c r="U37" s="64"/>
      <c r="V37" s="64"/>
      <c r="W37" s="64"/>
      <c r="X37" s="64"/>
      <c r="Y37" s="64"/>
      <c r="Z37" s="64"/>
      <c r="AA37" s="64"/>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2693</v>
      </c>
      <c r="BW37" s="57"/>
      <c r="BX37" s="75">
        <v>0.0</v>
      </c>
      <c r="BY37" s="75">
        <v>0.0</v>
      </c>
      <c r="BZ37" s="84">
        <v>35.0</v>
      </c>
      <c r="CA37" s="84">
        <v>15.0</v>
      </c>
      <c r="CB37" s="75">
        <v>10.0</v>
      </c>
      <c r="CD37" s="75">
        <v>2.0</v>
      </c>
      <c r="CE37" s="75"/>
      <c r="CN37" s="37" t="s">
        <v>2685</v>
      </c>
      <c r="CO37" s="39" t="s">
        <v>2686</v>
      </c>
      <c r="CP37" s="39" t="s">
        <v>2673</v>
      </c>
    </row>
    <row r="38" ht="18.75" customHeight="1" outlineLevel="1">
      <c r="A38" s="39" t="s">
        <v>2698</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c r="R38" s="64"/>
      <c r="S38" s="64"/>
      <c r="T38" s="64"/>
      <c r="U38" s="64"/>
      <c r="V38" s="64"/>
      <c r="W38" s="64"/>
      <c r="X38" s="64"/>
      <c r="Y38" s="64"/>
      <c r="Z38" s="64"/>
      <c r="AA38" s="64"/>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2699</v>
      </c>
      <c r="BW38" s="57"/>
      <c r="BX38" s="75">
        <v>0.0</v>
      </c>
      <c r="BY38" s="75">
        <v>0.0</v>
      </c>
      <c r="BZ38" s="84">
        <v>35.0</v>
      </c>
      <c r="CA38" s="84">
        <v>15.0</v>
      </c>
      <c r="CB38" s="75">
        <v>10.0</v>
      </c>
      <c r="CD38" s="75">
        <v>2.0</v>
      </c>
      <c r="CE38" s="75"/>
      <c r="CN38" s="37" t="s">
        <v>2685</v>
      </c>
      <c r="CO38" s="39" t="s">
        <v>2686</v>
      </c>
      <c r="CP38" s="39" t="s">
        <v>2673</v>
      </c>
    </row>
    <row r="39" ht="18.75" customHeight="1" outlineLevel="1">
      <c r="A39" s="39" t="s">
        <v>147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c r="R39" s="64"/>
      <c r="S39" s="64"/>
      <c r="T39" s="64"/>
      <c r="U39" s="64"/>
      <c r="V39" s="64"/>
      <c r="W39" s="64"/>
      <c r="X39" s="64"/>
      <c r="Y39" s="64"/>
      <c r="Z39" s="64"/>
      <c r="AA39" s="64"/>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2699</v>
      </c>
      <c r="BW39" s="57"/>
      <c r="BX39" s="75">
        <v>0.0</v>
      </c>
      <c r="BY39" s="75">
        <v>0.0</v>
      </c>
      <c r="BZ39" s="84">
        <v>35.0</v>
      </c>
      <c r="CA39" s="84">
        <v>15.0</v>
      </c>
      <c r="CB39" s="75">
        <v>10.0</v>
      </c>
      <c r="CD39" s="75">
        <v>2.0</v>
      </c>
      <c r="CE39" s="75"/>
      <c r="CN39" s="37" t="s">
        <v>2685</v>
      </c>
      <c r="CO39" s="39" t="s">
        <v>2686</v>
      </c>
      <c r="CP39" s="39" t="s">
        <v>2673</v>
      </c>
    </row>
    <row r="40" ht="18.75" customHeight="1" outlineLevel="1">
      <c r="A40" s="39" t="s">
        <v>2700</v>
      </c>
      <c r="B40" s="71"/>
      <c r="C40" s="37" t="s">
        <v>2684</v>
      </c>
      <c r="D40" s="72" t="str">
        <f t="shared" si="1"/>
        <v>710/515/195</v>
      </c>
      <c r="E40" s="39">
        <v>2.0</v>
      </c>
      <c r="F40" s="37">
        <v>90.0</v>
      </c>
      <c r="I40" s="37">
        <v>80.0</v>
      </c>
      <c r="J40" s="37">
        <v>70.0</v>
      </c>
      <c r="K40" s="73">
        <v>80.0</v>
      </c>
      <c r="L40" s="37">
        <v>60.0</v>
      </c>
      <c r="M40" s="37">
        <v>70.0</v>
      </c>
      <c r="N40" s="37">
        <v>65.0</v>
      </c>
      <c r="O40" s="37">
        <v>170.0</v>
      </c>
      <c r="P40" s="39">
        <v>-100.0</v>
      </c>
      <c r="Q40" s="64"/>
      <c r="R40" s="64"/>
      <c r="S40" s="64"/>
      <c r="T40" s="64"/>
      <c r="U40" s="64"/>
      <c r="V40" s="64"/>
      <c r="W40" s="64"/>
      <c r="X40" s="64"/>
      <c r="Y40" s="64"/>
      <c r="Z40" s="64"/>
      <c r="AA40" s="64"/>
      <c r="AJ40" s="41">
        <v>50.0</v>
      </c>
      <c r="AK40" s="41">
        <v>50.0</v>
      </c>
      <c r="AL40" s="41">
        <v>35.0</v>
      </c>
      <c r="AM40" s="41">
        <v>15.0</v>
      </c>
      <c r="AN40" s="39">
        <v>0.0</v>
      </c>
      <c r="AO40" s="41">
        <v>0.0</v>
      </c>
      <c r="AP40" s="41">
        <v>0.0</v>
      </c>
      <c r="AQ40" s="41">
        <v>35.0</v>
      </c>
      <c r="AR40" s="41">
        <v>35.0</v>
      </c>
      <c r="AS40" s="41">
        <v>-25.0</v>
      </c>
      <c r="AT40" s="41">
        <v>-25.0</v>
      </c>
      <c r="AU40" s="41">
        <v>-25.0</v>
      </c>
      <c r="AV40" s="41">
        <v>-25.0</v>
      </c>
      <c r="AW40" s="39">
        <v>0.0</v>
      </c>
      <c r="AX40" s="39">
        <v>0.0</v>
      </c>
      <c r="AY40" s="41">
        <v>75.0</v>
      </c>
      <c r="AZ40" s="39">
        <v>0.0</v>
      </c>
      <c r="BA40" s="39">
        <v>0.0</v>
      </c>
      <c r="BB40" s="39">
        <v>100.0</v>
      </c>
      <c r="BC40" s="39">
        <v>100.0</v>
      </c>
      <c r="BD40" s="39">
        <v>0.0</v>
      </c>
      <c r="BE40" s="39">
        <v>0.0</v>
      </c>
      <c r="BF40" s="39">
        <v>50.0</v>
      </c>
      <c r="BR40" s="39" t="s">
        <v>2688</v>
      </c>
      <c r="BS40" s="74"/>
      <c r="BU40" s="39" t="s">
        <v>2699</v>
      </c>
      <c r="BW40" s="57"/>
      <c r="BX40" s="75">
        <v>0.0</v>
      </c>
      <c r="BY40" s="75">
        <v>0.0</v>
      </c>
      <c r="BZ40" s="84">
        <v>35.0</v>
      </c>
      <c r="CA40" s="84">
        <v>15.0</v>
      </c>
      <c r="CB40" s="75">
        <v>10.0</v>
      </c>
      <c r="CD40" s="75">
        <v>2.0</v>
      </c>
      <c r="CE40" s="75"/>
      <c r="CN40" s="37" t="s">
        <v>2685</v>
      </c>
      <c r="CO40" s="39" t="s">
        <v>2686</v>
      </c>
      <c r="CP40" s="39" t="s">
        <v>2673</v>
      </c>
    </row>
    <row r="41" ht="18.75" customHeight="1" outlineLevel="1">
      <c r="A41" s="39" t="s">
        <v>2701</v>
      </c>
      <c r="B41" s="71"/>
      <c r="C41" s="37" t="s">
        <v>2684</v>
      </c>
      <c r="D41" s="72" t="str">
        <f t="shared" si="1"/>
        <v>710/515/195</v>
      </c>
      <c r="E41" s="39">
        <v>2.0</v>
      </c>
      <c r="F41" s="37">
        <v>90.0</v>
      </c>
      <c r="I41" s="37">
        <v>80.0</v>
      </c>
      <c r="J41" s="37">
        <v>70.0</v>
      </c>
      <c r="K41" s="73">
        <v>80.0</v>
      </c>
      <c r="L41" s="37">
        <v>60.0</v>
      </c>
      <c r="M41" s="37">
        <v>70.0</v>
      </c>
      <c r="N41" s="37">
        <v>65.0</v>
      </c>
      <c r="O41" s="37">
        <v>170.0</v>
      </c>
      <c r="P41" s="39">
        <v>-100.0</v>
      </c>
      <c r="Q41" s="64"/>
      <c r="R41" s="64"/>
      <c r="S41" s="64"/>
      <c r="T41" s="64"/>
      <c r="U41" s="64"/>
      <c r="V41" s="64"/>
      <c r="W41" s="64"/>
      <c r="X41" s="64"/>
      <c r="Y41" s="64"/>
      <c r="Z41" s="64"/>
      <c r="AA41" s="64"/>
      <c r="AJ41" s="41">
        <v>50.0</v>
      </c>
      <c r="AK41" s="41">
        <v>50.0</v>
      </c>
      <c r="AL41" s="41">
        <v>35.0</v>
      </c>
      <c r="AM41" s="41">
        <v>15.0</v>
      </c>
      <c r="AN41" s="39">
        <v>0.0</v>
      </c>
      <c r="AO41" s="41">
        <v>0.0</v>
      </c>
      <c r="AP41" s="41">
        <v>0.0</v>
      </c>
      <c r="AQ41" s="41">
        <v>35.0</v>
      </c>
      <c r="AR41" s="41">
        <v>35.0</v>
      </c>
      <c r="AS41" s="41">
        <v>-25.0</v>
      </c>
      <c r="AT41" s="41">
        <v>-25.0</v>
      </c>
      <c r="AU41" s="41">
        <v>-25.0</v>
      </c>
      <c r="AV41" s="41">
        <v>-25.0</v>
      </c>
      <c r="AW41" s="39">
        <v>0.0</v>
      </c>
      <c r="AX41" s="39">
        <v>0.0</v>
      </c>
      <c r="AY41" s="41">
        <v>75.0</v>
      </c>
      <c r="AZ41" s="39">
        <v>0.0</v>
      </c>
      <c r="BA41" s="39">
        <v>0.0</v>
      </c>
      <c r="BB41" s="39">
        <v>100.0</v>
      </c>
      <c r="BC41" s="39">
        <v>100.0</v>
      </c>
      <c r="BD41" s="39">
        <v>0.0</v>
      </c>
      <c r="BE41" s="39">
        <v>0.0</v>
      </c>
      <c r="BF41" s="39">
        <v>50.0</v>
      </c>
      <c r="BR41" s="39" t="s">
        <v>2688</v>
      </c>
      <c r="BS41" s="74"/>
      <c r="BU41" s="39" t="s">
        <v>2699</v>
      </c>
      <c r="BW41" s="57"/>
      <c r="BX41" s="75">
        <v>0.0</v>
      </c>
      <c r="BY41" s="75">
        <v>0.0</v>
      </c>
      <c r="BZ41" s="84">
        <v>35.0</v>
      </c>
      <c r="CA41" s="84">
        <v>15.0</v>
      </c>
      <c r="CB41" s="75">
        <v>10.0</v>
      </c>
      <c r="CD41" s="75">
        <v>2.0</v>
      </c>
      <c r="CE41" s="75"/>
      <c r="CN41" s="37" t="s">
        <v>2685</v>
      </c>
      <c r="CO41" s="39" t="s">
        <v>2686</v>
      </c>
      <c r="CP41" s="39" t="s">
        <v>2673</v>
      </c>
    </row>
    <row r="42" ht="18.75" customHeight="1" outlineLevel="1">
      <c r="A42" s="39"/>
      <c r="B42" s="71"/>
      <c r="C42" s="39"/>
      <c r="D42" s="72" t="str">
        <f t="shared" si="1"/>
        <v>0/0/0</v>
      </c>
      <c r="E42" s="37">
        <v>1.0</v>
      </c>
      <c r="K42" s="73"/>
      <c r="P42" s="37" t="s">
        <v>29</v>
      </c>
      <c r="Q42" s="64"/>
      <c r="R42" s="64"/>
      <c r="S42" s="64"/>
      <c r="T42" s="64"/>
      <c r="U42" s="64"/>
      <c r="V42" s="64"/>
      <c r="W42" s="64"/>
      <c r="X42" s="64"/>
      <c r="Y42" s="64"/>
      <c r="Z42" s="64"/>
      <c r="AA42" s="64"/>
      <c r="BG42" s="37" t="str">
        <f t="array" ref="BG42">IF($A42="","", INDEX(CS!$B$1:$B$15025,MATCH($A42,CS!$B:$B,0)+COLUMN(A$1),1))</f>
        <v/>
      </c>
      <c r="BH42" s="37" t="str">
        <f t="array" ref="BH42">IF($A42="","", INDEX(CS!$B$1:$B$15025,MATCH($A42,CS!$B:$B,0)+COLUMN(B$1),1))</f>
        <v/>
      </c>
      <c r="BI42" s="37" t="str">
        <f t="array" ref="BI42">IF($A42="","", INDEX(CS!$B$1:$B$15025,MATCH($A42,CS!$B:$B,0)+COLUMN(C$1),1))</f>
        <v/>
      </c>
      <c r="BJ42" s="37" t="str">
        <f t="array" ref="BJ42">IF($A42="","", INDEX(CS!$B$1:$B$15025,MATCH($A42,CS!$B:$B,0)+COLUMN(D$1),1))</f>
        <v/>
      </c>
      <c r="BK42" s="37" t="str">
        <f t="array" ref="BK42">IF($A42="","", INDEX(CS!$B$1:$B$15025,MATCH($A42,CS!$B:$B,0)+COLUMN(E$1),1))</f>
        <v/>
      </c>
      <c r="BL42" s="37" t="str">
        <f t="array" ref="BL42">IF($A42="","", INDEX(CS!$B$1:$B$15025,MATCH($A42,CS!$B:$B,0)+COLUMN(F$1),1))</f>
        <v/>
      </c>
      <c r="BM42" s="37" t="str">
        <f t="array" ref="BM42">IF($A42="","", INDEX(CS!$B$1:$B$15025,MATCH($A42,CS!$B:$B,0)+COLUMN(G$1),1))</f>
        <v/>
      </c>
      <c r="BN42" s="37" t="str">
        <f t="array" ref="BN42">IF($A42="","", INDEX(CS!$B$1:$B$15025,MATCH($A42,CS!$B:$B,0)+COLUMN(H$1),1))</f>
        <v/>
      </c>
      <c r="BO42" s="37" t="str">
        <f t="array" ref="BO42">IF($A42="","", INDEX(CS!$B$1:$B$15025,MATCH($A42,CS!$B:$B,0)+COLUMN(I$1),1))</f>
        <v/>
      </c>
      <c r="BP42" s="37" t="str">
        <f t="array" ref="BP42">IF($A42="","", INDEX(CS!$B$1:$B$15025,MATCH($A42,CS!$B:$B,0)+COLUMN(J$1),1))</f>
        <v/>
      </c>
      <c r="BS42" s="74"/>
      <c r="BW42" s="57"/>
      <c r="BX42" s="75"/>
      <c r="BY42" s="75"/>
      <c r="BZ42" s="75"/>
      <c r="CA42" s="75"/>
    </row>
    <row r="43" ht="18.75" customHeight="1" outlineLevel="1">
      <c r="A43" s="79"/>
      <c r="B43" s="78" t="s">
        <v>2702</v>
      </c>
      <c r="C43" s="79"/>
      <c r="D43" s="80" t="str">
        <f t="shared" si="1"/>
        <v>0/0/0</v>
      </c>
      <c r="E43" s="79"/>
      <c r="F43" s="79"/>
      <c r="G43" s="79"/>
      <c r="H43" s="79"/>
      <c r="I43" s="79"/>
      <c r="J43" s="79"/>
      <c r="K43" s="81"/>
      <c r="L43" s="79"/>
      <c r="M43" s="79"/>
      <c r="N43" s="79"/>
      <c r="O43" s="79"/>
      <c r="P43" s="79" t="s">
        <v>29</v>
      </c>
      <c r="Q43" s="82"/>
      <c r="R43" s="82"/>
      <c r="S43" s="82"/>
      <c r="T43" s="82"/>
      <c r="U43" s="82"/>
      <c r="V43" s="82"/>
      <c r="W43" s="82"/>
      <c r="X43" s="82"/>
      <c r="Y43" s="82"/>
      <c r="Z43" s="82"/>
      <c r="AA43" s="82"/>
      <c r="AB43" s="82"/>
      <c r="AC43" s="79"/>
      <c r="AD43" s="79"/>
      <c r="AE43" s="79"/>
      <c r="AF43" s="79"/>
      <c r="AG43" s="79"/>
      <c r="AH43" s="79"/>
      <c r="AI43" s="79"/>
      <c r="AJ43" s="77"/>
      <c r="AK43" s="79"/>
      <c r="AL43" s="79"/>
      <c r="AM43" s="77"/>
      <c r="AN43" s="77"/>
      <c r="AO43" s="77"/>
      <c r="AP43" s="77"/>
      <c r="AQ43" s="77"/>
      <c r="AR43" s="77"/>
      <c r="AS43" s="77"/>
      <c r="AT43" s="77"/>
      <c r="AU43" s="77"/>
      <c r="AV43" s="77"/>
      <c r="AW43" s="79"/>
      <c r="AX43" s="79"/>
      <c r="AY43" s="79"/>
      <c r="AZ43" s="77"/>
      <c r="BA43" s="79"/>
      <c r="BB43" s="79"/>
      <c r="BC43" s="79"/>
      <c r="BD43" s="79"/>
      <c r="BE43" s="79"/>
      <c r="BF43" s="79"/>
      <c r="BG43" s="79" t="str">
        <f t="array" ref="BG43">IF($A43="","", INDEX(CS!$B$1:$B$15025,MATCH($A43,CS!$B:$B,0)+COLUMN(A$1),1))</f>
        <v/>
      </c>
      <c r="BH43" s="79" t="str">
        <f t="array" ref="BH43">IF($A43="","", INDEX(CS!$B$1:$B$15025,MATCH($A43,CS!$B:$B,0)+COLUMN(B$1),1))</f>
        <v/>
      </c>
      <c r="BI43" s="79" t="str">
        <f t="array" ref="BI43">IF($A43="","", INDEX(CS!$B$1:$B$15025,MATCH($A43,CS!$B:$B,0)+COLUMN(C$1),1))</f>
        <v/>
      </c>
      <c r="BJ43" s="79" t="str">
        <f t="array" ref="BJ43">IF($A43="","", INDEX(CS!$B$1:$B$15025,MATCH($A43,CS!$B:$B,0)+COLUMN(D$1),1))</f>
        <v/>
      </c>
      <c r="BK43" s="79" t="str">
        <f t="array" ref="BK43">IF($A43="","", INDEX(CS!$B$1:$B$15025,MATCH($A43,CS!$B:$B,0)+COLUMN(E$1),1))</f>
        <v/>
      </c>
      <c r="BL43" s="79" t="str">
        <f t="array" ref="BL43">IF($A43="","", INDEX(CS!$B$1:$B$15025,MATCH($A43,CS!$B:$B,0)+COLUMN(F$1),1))</f>
        <v/>
      </c>
      <c r="BM43" s="79" t="str">
        <f t="array" ref="BM43">IF($A43="","", INDEX(CS!$B$1:$B$15025,MATCH($A43,CS!$B:$B,0)+COLUMN(G$1),1))</f>
        <v/>
      </c>
      <c r="BN43" s="79" t="str">
        <f t="array" ref="BN43">IF($A43="","", INDEX(CS!$B$1:$B$15025,MATCH($A43,CS!$B:$B,0)+COLUMN(H$1),1))</f>
        <v/>
      </c>
      <c r="BO43" s="79" t="str">
        <f t="array" ref="BO43">IF($A43="","", INDEX(CS!$B$1:$B$15025,MATCH($A43,CS!$B:$B,0)+COLUMN(I$1),1))</f>
        <v/>
      </c>
      <c r="BP43" s="79" t="str">
        <f t="array" ref="BP43">IF($A43="","", INDEX(CS!$B$1:$B$15025,MATCH($A43,CS!$B:$B,0)+COLUMN(J$1),1))</f>
        <v/>
      </c>
      <c r="BQ43" s="79"/>
      <c r="BR43" s="79"/>
      <c r="BS43" s="83"/>
      <c r="BT43" s="79"/>
      <c r="BU43" s="79"/>
      <c r="BV43" s="79"/>
      <c r="BW43" s="82"/>
      <c r="BX43" s="77"/>
      <c r="BY43" s="77"/>
      <c r="BZ43" s="77"/>
      <c r="CA43" s="77"/>
      <c r="CB43" s="82"/>
      <c r="CC43" s="79"/>
      <c r="CD43" s="82"/>
      <c r="CE43" s="82"/>
      <c r="CF43" s="79"/>
      <c r="CG43" s="79"/>
      <c r="CH43" s="79"/>
      <c r="CI43" s="79"/>
      <c r="CJ43" s="79"/>
      <c r="CK43" s="79"/>
      <c r="CL43" s="79"/>
      <c r="CM43" s="79"/>
      <c r="CN43" s="79"/>
      <c r="CO43" s="79"/>
      <c r="CP43" s="79"/>
    </row>
    <row r="44" ht="18.75" customHeight="1" outlineLevel="1">
      <c r="A44" s="37" t="s">
        <v>1295</v>
      </c>
      <c r="B44" s="71"/>
      <c r="C44" s="37" t="s">
        <v>2684</v>
      </c>
      <c r="D44" s="72" t="str">
        <f t="shared" si="1"/>
        <v>710/515/195</v>
      </c>
      <c r="E44" s="37">
        <v>1.0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G44" s="37" t="str">
        <f t="array" ref="BG44">IF($A44="","", INDEX(CS!$B$1:$B$15025,MATCH($A44,CS!$B:$B,0)+COLUMN(A$1),1))</f>
        <v>浮遊</v>
      </c>
      <c r="BH44" s="37" t="str">
        <f t="array" ref="BH44">IF($A44="","", INDEX(CS!$B$1:$B$15025,MATCH($A44,CS!$B:$B,0)+COLUMN(B$1),1))</f>
        <v/>
      </c>
      <c r="BI44" s="37" t="str">
        <f t="array" ref="BI44">IF($A44="","", INDEX(CS!$B$1:$B$15025,MATCH($A44,CS!$B:$B,0)+COLUMN(C$1),1))</f>
        <v>光粒</v>
      </c>
      <c r="BJ44" s="37" t="str">
        <f t="array" ref="BJ44">IF($A44="","", INDEX(CS!$B$1:$B$15025,MATCH($A44,CS!$B:$B,0)+COLUMN(D$1),1))</f>
        <v/>
      </c>
      <c r="BK44" s="37" t="str">
        <f t="array" ref="BK44">IF($A44="","", INDEX(CS!$B$1:$B$15025,MATCH($A44,CS!$B:$B,0)+COLUMN(E$1),1))</f>
        <v>天使の矢</v>
      </c>
      <c r="BL44" s="37" t="str">
        <f t="array" ref="BL44">IF($A44="","", INDEX(CS!$B$1:$B$15025,MATCH($A44,CS!$B:$B,0)+COLUMN(F$1),1))</f>
        <v/>
      </c>
      <c r="BM44" s="37" t="str">
        <f t="array" ref="BM44">IF($A44="","", INDEX(CS!$B$1:$B$15025,MATCH($A44,CS!$B:$B,0)+COLUMN(G$1),1))</f>
        <v>軽回復</v>
      </c>
      <c r="BN44" s="37" t="str">
        <f t="array" ref="BN44">IF($A44="","", INDEX(CS!$B$1:$B$15025,MATCH($A44,CS!$B:$B,0)+COLUMN(H$1),1))</f>
        <v/>
      </c>
      <c r="BO44" s="37" t="str">
        <f t="array" ref="BO44">IF($A44="","", INDEX(CS!$B$1:$B$15025,MATCH($A44,CS!$B:$B,0)+COLUMN(I$1),1))</f>
        <v>聖光</v>
      </c>
      <c r="BP44" s="37" t="str">
        <f t="array" ref="BP44">IF($A44="","", INDEX(CS!$B$1:$B$15025,MATCH($A44,CS!$B:$B,0)+COLUMN(J$1),1))</f>
        <v>天使の祝福</v>
      </c>
      <c r="BS44" s="74"/>
      <c r="BV44" s="37" t="s">
        <v>2627</v>
      </c>
      <c r="BW44" s="57">
        <v>30.0</v>
      </c>
      <c r="BX44" s="84">
        <v>5.0</v>
      </c>
      <c r="BY44" s="84">
        <v>25.0</v>
      </c>
      <c r="BZ44" s="84">
        <v>5.0</v>
      </c>
      <c r="CA44" s="84">
        <v>5.0</v>
      </c>
      <c r="CB44" s="75">
        <v>10.0</v>
      </c>
      <c r="CD44" s="75">
        <v>2.0</v>
      </c>
      <c r="CE44" s="75"/>
      <c r="CN44" s="37" t="s">
        <v>2703</v>
      </c>
      <c r="CO44" s="39" t="s">
        <v>2677</v>
      </c>
      <c r="CP44" s="39" t="s">
        <v>2704</v>
      </c>
    </row>
    <row r="45" ht="18.75" customHeight="1" outlineLevel="1">
      <c r="A45" s="41" t="s">
        <v>2705</v>
      </c>
      <c r="B45" s="71"/>
      <c r="C45" s="37" t="s">
        <v>2684</v>
      </c>
      <c r="D45" s="72" t="str">
        <f t="shared" si="1"/>
        <v>710/515/195</v>
      </c>
      <c r="E45" s="41">
        <v>2.0</v>
      </c>
      <c r="F45" s="37">
        <v>75.0</v>
      </c>
      <c r="I45" s="37">
        <v>70.0</v>
      </c>
      <c r="J45" s="37">
        <v>80.0</v>
      </c>
      <c r="K45" s="73">
        <v>80.0</v>
      </c>
      <c r="L45" s="37">
        <v>80.0</v>
      </c>
      <c r="M45" s="37">
        <v>65.0</v>
      </c>
      <c r="N45" s="37">
        <v>65.0</v>
      </c>
      <c r="O45" s="37">
        <v>170.0</v>
      </c>
      <c r="P45" s="39">
        <v>100.0</v>
      </c>
      <c r="Q45" s="64"/>
      <c r="R45" s="64"/>
      <c r="S45" s="64"/>
      <c r="T45" s="64"/>
      <c r="U45" s="64"/>
      <c r="V45" s="64"/>
      <c r="W45" s="64"/>
      <c r="X45" s="64"/>
      <c r="Y45" s="64"/>
      <c r="Z45" s="64"/>
      <c r="AA45" s="64"/>
      <c r="AB45" s="64"/>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G45" s="37" t="str">
        <f t="array" ref="BG45">IF($A45="","", INDEX(CS!$B$1:$B$15025,MATCH($A45,CS!$B:$B,0)+COLUMN(A$1),1))</f>
        <v>#N/A</v>
      </c>
      <c r="BH45" s="37" t="str">
        <f t="array" ref="BH45">IF($A45="","", INDEX(CS!$B$1:$B$15025,MATCH($A45,CS!$B:$B,0)+COLUMN(B$1),1))</f>
        <v>#N/A</v>
      </c>
      <c r="BI45" s="37" t="str">
        <f t="array" ref="BI45">IF($A45="","", INDEX(CS!$B$1:$B$15025,MATCH($A45,CS!$B:$B,0)+COLUMN(C$1),1))</f>
        <v>#N/A</v>
      </c>
      <c r="BJ45" s="37" t="str">
        <f t="array" ref="BJ45">IF($A45="","", INDEX(CS!$B$1:$B$15025,MATCH($A45,CS!$B:$B,0)+COLUMN(D$1),1))</f>
        <v>#N/A</v>
      </c>
      <c r="BK45" s="37" t="str">
        <f t="array" ref="BK45">IF($A45="","", INDEX(CS!$B$1:$B$15025,MATCH($A45,CS!$B:$B,0)+COLUMN(E$1),1))</f>
        <v>#N/A</v>
      </c>
      <c r="BL45" s="37" t="str">
        <f t="array" ref="BL45">IF($A45="","", INDEX(CS!$B$1:$B$15025,MATCH($A45,CS!$B:$B,0)+COLUMN(F$1),1))</f>
        <v>#N/A</v>
      </c>
      <c r="BM45" s="37" t="str">
        <f t="array" ref="BM45">IF($A45="","", INDEX(CS!$B$1:$B$15025,MATCH($A45,CS!$B:$B,0)+COLUMN(G$1),1))</f>
        <v>#N/A</v>
      </c>
      <c r="BN45" s="37" t="str">
        <f t="array" ref="BN45">IF($A45="","", INDEX(CS!$B$1:$B$15025,MATCH($A45,CS!$B:$B,0)+COLUMN(H$1),1))</f>
        <v>#N/A</v>
      </c>
      <c r="BO45" s="37" t="str">
        <f t="array" ref="BO45">IF($A45="","", INDEX(CS!$B$1:$B$15025,MATCH($A45,CS!$B:$B,0)+COLUMN(I$1),1))</f>
        <v>#N/A</v>
      </c>
      <c r="BP45" s="37" t="str">
        <f t="array" ref="BP45">IF($A45="","", INDEX(CS!$B$1:$B$15025,MATCH($A45,CS!$B:$B,0)+COLUMN(J$1),1))</f>
        <v>#N/A</v>
      </c>
      <c r="BS45" s="74"/>
      <c r="BW45" s="57"/>
      <c r="BX45" s="84">
        <v>5.0</v>
      </c>
      <c r="BY45" s="84">
        <v>25.0</v>
      </c>
      <c r="BZ45" s="84">
        <v>5.0</v>
      </c>
      <c r="CA45" s="84">
        <v>5.0</v>
      </c>
      <c r="CB45" s="75">
        <v>10.0</v>
      </c>
      <c r="CD45" s="75">
        <v>2.0</v>
      </c>
      <c r="CE45" s="75"/>
      <c r="CN45" s="37" t="s">
        <v>2703</v>
      </c>
      <c r="CO45" s="39" t="s">
        <v>2677</v>
      </c>
      <c r="CP45" s="39" t="s">
        <v>2704</v>
      </c>
    </row>
    <row r="46" ht="18.75" customHeight="1" outlineLevel="1">
      <c r="A46" s="41" t="s">
        <v>2706</v>
      </c>
      <c r="B46" s="71"/>
      <c r="C46" s="37" t="s">
        <v>2684</v>
      </c>
      <c r="D46" s="72" t="str">
        <f t="shared" si="1"/>
        <v>710/515/195</v>
      </c>
      <c r="E46" s="41">
        <v>3.0</v>
      </c>
      <c r="F46" s="37">
        <v>75.0</v>
      </c>
      <c r="I46" s="37">
        <v>70.0</v>
      </c>
      <c r="J46" s="37">
        <v>80.0</v>
      </c>
      <c r="K46" s="73">
        <v>80.0</v>
      </c>
      <c r="L46" s="37">
        <v>80.0</v>
      </c>
      <c r="M46" s="37">
        <v>65.0</v>
      </c>
      <c r="N46" s="37">
        <v>65.0</v>
      </c>
      <c r="O46" s="37">
        <v>170.0</v>
      </c>
      <c r="P46" s="39">
        <v>100.0</v>
      </c>
      <c r="Q46" s="64"/>
      <c r="R46" s="64"/>
      <c r="S46" s="64"/>
      <c r="T46" s="64"/>
      <c r="U46" s="64"/>
      <c r="V46" s="64"/>
      <c r="W46" s="64"/>
      <c r="X46" s="64"/>
      <c r="Y46" s="64"/>
      <c r="Z46" s="64"/>
      <c r="AA46" s="64"/>
      <c r="AB46" s="64"/>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G46" s="37" t="str">
        <f t="array" ref="BG46">IF($A46="","", INDEX(CS!$B$1:$B$15025,MATCH($A46,CS!$B:$B,0)+COLUMN(A$1),1))</f>
        <v>#N/A</v>
      </c>
      <c r="BH46" s="37" t="str">
        <f t="array" ref="BH46">IF($A46="","", INDEX(CS!$B$1:$B$15025,MATCH($A46,CS!$B:$B,0)+COLUMN(B$1),1))</f>
        <v>#N/A</v>
      </c>
      <c r="BI46" s="37" t="str">
        <f t="array" ref="BI46">IF($A46="","", INDEX(CS!$B$1:$B$15025,MATCH($A46,CS!$B:$B,0)+COLUMN(C$1),1))</f>
        <v>#N/A</v>
      </c>
      <c r="BJ46" s="37" t="str">
        <f t="array" ref="BJ46">IF($A46="","", INDEX(CS!$B$1:$B$15025,MATCH($A46,CS!$B:$B,0)+COLUMN(D$1),1))</f>
        <v>#N/A</v>
      </c>
      <c r="BK46" s="37" t="str">
        <f t="array" ref="BK46">IF($A46="","", INDEX(CS!$B$1:$B$15025,MATCH($A46,CS!$B:$B,0)+COLUMN(E$1),1))</f>
        <v>#N/A</v>
      </c>
      <c r="BL46" s="37" t="str">
        <f t="array" ref="BL46">IF($A46="","", INDEX(CS!$B$1:$B$15025,MATCH($A46,CS!$B:$B,0)+COLUMN(F$1),1))</f>
        <v>#N/A</v>
      </c>
      <c r="BM46" s="37" t="str">
        <f t="array" ref="BM46">IF($A46="","", INDEX(CS!$B$1:$B$15025,MATCH($A46,CS!$B:$B,0)+COLUMN(G$1),1))</f>
        <v>#N/A</v>
      </c>
      <c r="BN46" s="37" t="str">
        <f t="array" ref="BN46">IF($A46="","", INDEX(CS!$B$1:$B$15025,MATCH($A46,CS!$B:$B,0)+COLUMN(H$1),1))</f>
        <v>#N/A</v>
      </c>
      <c r="BO46" s="37" t="str">
        <f t="array" ref="BO46">IF($A46="","", INDEX(CS!$B$1:$B$15025,MATCH($A46,CS!$B:$B,0)+COLUMN(I$1),1))</f>
        <v>#N/A</v>
      </c>
      <c r="BP46" s="37" t="str">
        <f t="array" ref="BP46">IF($A46="","", INDEX(CS!$B$1:$B$15025,MATCH($A46,CS!$B:$B,0)+COLUMN(J$1),1))</f>
        <v>#N/A</v>
      </c>
      <c r="BS46" s="74"/>
      <c r="BW46" s="57"/>
      <c r="BX46" s="84">
        <v>5.0</v>
      </c>
      <c r="BY46" s="84">
        <v>25.0</v>
      </c>
      <c r="BZ46" s="84">
        <v>5.0</v>
      </c>
      <c r="CA46" s="84">
        <v>5.0</v>
      </c>
      <c r="CB46" s="75">
        <v>10.0</v>
      </c>
      <c r="CD46" s="75">
        <v>2.0</v>
      </c>
      <c r="CE46" s="75"/>
      <c r="CN46" s="37" t="s">
        <v>2703</v>
      </c>
      <c r="CO46" s="39" t="s">
        <v>2677</v>
      </c>
      <c r="CP46" s="39" t="s">
        <v>2704</v>
      </c>
    </row>
    <row r="47" ht="18.75" customHeight="1" outlineLevel="1">
      <c r="A47" s="41" t="s">
        <v>2707</v>
      </c>
      <c r="B47" s="71"/>
      <c r="C47" s="37" t="s">
        <v>2684</v>
      </c>
      <c r="D47" s="72" t="str">
        <f t="shared" si="1"/>
        <v>710/515/195</v>
      </c>
      <c r="E47" s="41">
        <v>4.0</v>
      </c>
      <c r="F47" s="37">
        <v>75.0</v>
      </c>
      <c r="I47" s="37">
        <v>70.0</v>
      </c>
      <c r="J47" s="37">
        <v>80.0</v>
      </c>
      <c r="K47" s="73">
        <v>80.0</v>
      </c>
      <c r="L47" s="37">
        <v>80.0</v>
      </c>
      <c r="M47" s="37">
        <v>65.0</v>
      </c>
      <c r="N47" s="37">
        <v>65.0</v>
      </c>
      <c r="O47" s="37">
        <v>170.0</v>
      </c>
      <c r="P47" s="39">
        <v>100.0</v>
      </c>
      <c r="Q47" s="64"/>
      <c r="R47" s="64"/>
      <c r="S47" s="64"/>
      <c r="T47" s="64"/>
      <c r="U47" s="64"/>
      <c r="V47" s="64"/>
      <c r="W47" s="64"/>
      <c r="X47" s="64"/>
      <c r="Y47" s="64"/>
      <c r="Z47" s="64"/>
      <c r="AA47" s="64"/>
      <c r="AB47" s="64"/>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G47" s="37" t="str">
        <f t="array" ref="BG47">IF($A47="","", INDEX(CS!$B$1:$B$15025,MATCH($A47,CS!$B:$B,0)+COLUMN(A$1),1))</f>
        <v>#N/A</v>
      </c>
      <c r="BH47" s="37" t="str">
        <f t="array" ref="BH47">IF($A47="","", INDEX(CS!$B$1:$B$15025,MATCH($A47,CS!$B:$B,0)+COLUMN(B$1),1))</f>
        <v>#N/A</v>
      </c>
      <c r="BI47" s="37" t="str">
        <f t="array" ref="BI47">IF($A47="","", INDEX(CS!$B$1:$B$15025,MATCH($A47,CS!$B:$B,0)+COLUMN(C$1),1))</f>
        <v>#N/A</v>
      </c>
      <c r="BJ47" s="37" t="str">
        <f t="array" ref="BJ47">IF($A47="","", INDEX(CS!$B$1:$B$15025,MATCH($A47,CS!$B:$B,0)+COLUMN(D$1),1))</f>
        <v>#N/A</v>
      </c>
      <c r="BK47" s="37" t="str">
        <f t="array" ref="BK47">IF($A47="","", INDEX(CS!$B$1:$B$15025,MATCH($A47,CS!$B:$B,0)+COLUMN(E$1),1))</f>
        <v>#N/A</v>
      </c>
      <c r="BL47" s="37" t="str">
        <f t="array" ref="BL47">IF($A47="","", INDEX(CS!$B$1:$B$15025,MATCH($A47,CS!$B:$B,0)+COLUMN(F$1),1))</f>
        <v>#N/A</v>
      </c>
      <c r="BM47" s="37" t="str">
        <f t="array" ref="BM47">IF($A47="","", INDEX(CS!$B$1:$B$15025,MATCH($A47,CS!$B:$B,0)+COLUMN(G$1),1))</f>
        <v>#N/A</v>
      </c>
      <c r="BN47" s="37" t="str">
        <f t="array" ref="BN47">IF($A47="","", INDEX(CS!$B$1:$B$15025,MATCH($A47,CS!$B:$B,0)+COLUMN(H$1),1))</f>
        <v>#N/A</v>
      </c>
      <c r="BO47" s="37" t="str">
        <f t="array" ref="BO47">IF($A47="","", INDEX(CS!$B$1:$B$15025,MATCH($A47,CS!$B:$B,0)+COLUMN(I$1),1))</f>
        <v>#N/A</v>
      </c>
      <c r="BP47" s="37" t="str">
        <f t="array" ref="BP47">IF($A47="","", INDEX(CS!$B$1:$B$15025,MATCH($A47,CS!$B:$B,0)+COLUMN(J$1),1))</f>
        <v>#N/A</v>
      </c>
      <c r="BS47" s="74"/>
      <c r="BW47" s="57"/>
      <c r="BX47" s="84">
        <v>5.0</v>
      </c>
      <c r="BY47" s="84">
        <v>25.0</v>
      </c>
      <c r="BZ47" s="84">
        <v>5.0</v>
      </c>
      <c r="CA47" s="84">
        <v>5.0</v>
      </c>
      <c r="CB47" s="75">
        <v>10.0</v>
      </c>
      <c r="CD47" s="75">
        <v>2.0</v>
      </c>
      <c r="CE47" s="75"/>
      <c r="CN47" s="37" t="s">
        <v>2703</v>
      </c>
      <c r="CO47" s="39" t="s">
        <v>2677</v>
      </c>
      <c r="CP47" s="39" t="s">
        <v>2704</v>
      </c>
    </row>
    <row r="48" ht="18.75" customHeight="1" outlineLevel="1">
      <c r="A48" s="39" t="s">
        <v>2708</v>
      </c>
      <c r="B48" s="71"/>
      <c r="C48" s="37" t="s">
        <v>2684</v>
      </c>
      <c r="D48" s="72" t="str">
        <f t="shared" si="1"/>
        <v>710/515/195</v>
      </c>
      <c r="E48" s="39">
        <v>2.0</v>
      </c>
      <c r="F48" s="37">
        <v>75.0</v>
      </c>
      <c r="I48" s="37">
        <v>70.0</v>
      </c>
      <c r="J48" s="37">
        <v>80.0</v>
      </c>
      <c r="K48" s="73">
        <v>80.0</v>
      </c>
      <c r="L48" s="37">
        <v>80.0</v>
      </c>
      <c r="M48" s="37">
        <v>65.0</v>
      </c>
      <c r="N48" s="37">
        <v>65.0</v>
      </c>
      <c r="O48" s="37">
        <v>170.0</v>
      </c>
      <c r="P48" s="39">
        <v>100.0</v>
      </c>
      <c r="Q48" s="64"/>
      <c r="R48" s="64"/>
      <c r="S48" s="64"/>
      <c r="T48" s="64"/>
      <c r="U48" s="64"/>
      <c r="V48" s="64"/>
      <c r="W48" s="64"/>
      <c r="X48" s="64"/>
      <c r="Y48" s="64"/>
      <c r="Z48" s="64"/>
      <c r="AA48" s="64"/>
      <c r="AB48" s="64"/>
      <c r="AJ48" s="41">
        <v>50.0</v>
      </c>
      <c r="AK48" s="39">
        <v>0.0</v>
      </c>
      <c r="AL48" s="39">
        <v>75.0</v>
      </c>
      <c r="AM48" s="41">
        <v>0.0</v>
      </c>
      <c r="AN48" s="41">
        <v>25.0</v>
      </c>
      <c r="AO48" s="41">
        <v>0.0</v>
      </c>
      <c r="AP48" s="41">
        <v>0.0</v>
      </c>
      <c r="AQ48" s="41">
        <v>35.0</v>
      </c>
      <c r="AR48" s="41">
        <v>35.0</v>
      </c>
      <c r="AS48" s="41">
        <v>-25.0</v>
      </c>
      <c r="AT48" s="41">
        <v>-25.0</v>
      </c>
      <c r="AU48" s="41">
        <v>-25.0</v>
      </c>
      <c r="AV48" s="41">
        <v>-25.0</v>
      </c>
      <c r="AW48" s="39">
        <v>0.0</v>
      </c>
      <c r="AX48" s="39">
        <v>0.0</v>
      </c>
      <c r="AY48" s="39">
        <v>0.0</v>
      </c>
      <c r="AZ48" s="41">
        <v>75.0</v>
      </c>
      <c r="BA48" s="39">
        <v>0.0</v>
      </c>
      <c r="BB48" s="39">
        <v>0.0</v>
      </c>
      <c r="BC48" s="39">
        <v>0.0</v>
      </c>
      <c r="BD48" s="39">
        <v>0.0</v>
      </c>
      <c r="BE48" s="39">
        <v>0.0</v>
      </c>
      <c r="BF48" s="39">
        <v>20.0</v>
      </c>
      <c r="BR48" s="39" t="s">
        <v>2709</v>
      </c>
      <c r="BS48" s="74"/>
      <c r="BU48" s="39" t="s">
        <v>2710</v>
      </c>
      <c r="BW48" s="57"/>
      <c r="BX48" s="84">
        <v>5.0</v>
      </c>
      <c r="BY48" s="84">
        <v>25.0</v>
      </c>
      <c r="BZ48" s="84">
        <v>5.0</v>
      </c>
      <c r="CA48" s="84">
        <v>5.0</v>
      </c>
      <c r="CB48" s="75">
        <v>10.0</v>
      </c>
      <c r="CD48" s="75">
        <v>2.0</v>
      </c>
      <c r="CE48" s="75"/>
      <c r="CN48" s="37" t="s">
        <v>2703</v>
      </c>
      <c r="CO48" s="39" t="s">
        <v>2677</v>
      </c>
      <c r="CP48" s="39" t="s">
        <v>2704</v>
      </c>
    </row>
    <row r="49" ht="18.75" customHeight="1" outlineLevel="1">
      <c r="A49" s="39" t="s">
        <v>2711</v>
      </c>
      <c r="B49" s="71"/>
      <c r="C49" s="37" t="s">
        <v>2684</v>
      </c>
      <c r="D49" s="72" t="str">
        <f t="shared" si="1"/>
        <v>710/515/195</v>
      </c>
      <c r="E49" s="39">
        <v>3.0</v>
      </c>
      <c r="F49" s="37">
        <v>75.0</v>
      </c>
      <c r="I49" s="37">
        <v>70.0</v>
      </c>
      <c r="J49" s="37">
        <v>80.0</v>
      </c>
      <c r="K49" s="73">
        <v>80.0</v>
      </c>
      <c r="L49" s="37">
        <v>80.0</v>
      </c>
      <c r="M49" s="37">
        <v>65.0</v>
      </c>
      <c r="N49" s="37">
        <v>65.0</v>
      </c>
      <c r="O49" s="37">
        <v>170.0</v>
      </c>
      <c r="P49" s="39">
        <v>100.0</v>
      </c>
      <c r="Q49" s="64"/>
      <c r="R49" s="64"/>
      <c r="S49" s="64"/>
      <c r="T49" s="64"/>
      <c r="U49" s="64"/>
      <c r="V49" s="64"/>
      <c r="W49" s="64"/>
      <c r="X49" s="64"/>
      <c r="Y49" s="64"/>
      <c r="Z49" s="64"/>
      <c r="AA49" s="64"/>
      <c r="AB49" s="64"/>
      <c r="AJ49" s="41">
        <v>50.0</v>
      </c>
      <c r="AK49" s="39">
        <v>0.0</v>
      </c>
      <c r="AL49" s="39">
        <v>75.0</v>
      </c>
      <c r="AM49" s="41">
        <v>0.0</v>
      </c>
      <c r="AN49" s="41">
        <v>25.0</v>
      </c>
      <c r="AO49" s="41">
        <v>0.0</v>
      </c>
      <c r="AP49" s="41">
        <v>0.0</v>
      </c>
      <c r="AQ49" s="41">
        <v>35.0</v>
      </c>
      <c r="AR49" s="41">
        <v>35.0</v>
      </c>
      <c r="AS49" s="41">
        <v>-25.0</v>
      </c>
      <c r="AT49" s="41">
        <v>-25.0</v>
      </c>
      <c r="AU49" s="41">
        <v>-25.0</v>
      </c>
      <c r="AV49" s="41">
        <v>-25.0</v>
      </c>
      <c r="AW49" s="39">
        <v>0.0</v>
      </c>
      <c r="AX49" s="39">
        <v>0.0</v>
      </c>
      <c r="AY49" s="39">
        <v>0.0</v>
      </c>
      <c r="AZ49" s="41">
        <v>75.0</v>
      </c>
      <c r="BA49" s="39">
        <v>0.0</v>
      </c>
      <c r="BB49" s="39">
        <v>0.0</v>
      </c>
      <c r="BC49" s="39">
        <v>0.0</v>
      </c>
      <c r="BD49" s="39">
        <v>0.0</v>
      </c>
      <c r="BE49" s="39">
        <v>0.0</v>
      </c>
      <c r="BF49" s="39">
        <v>20.0</v>
      </c>
      <c r="BR49" s="39" t="s">
        <v>2712</v>
      </c>
      <c r="BS49" s="74"/>
      <c r="BU49" s="39" t="s">
        <v>2713</v>
      </c>
      <c r="BW49" s="57"/>
      <c r="BX49" s="84">
        <v>5.0</v>
      </c>
      <c r="BY49" s="84">
        <v>25.0</v>
      </c>
      <c r="BZ49" s="84">
        <v>5.0</v>
      </c>
      <c r="CA49" s="84">
        <v>5.0</v>
      </c>
      <c r="CB49" s="75">
        <v>10.0</v>
      </c>
      <c r="CD49" s="75">
        <v>2.0</v>
      </c>
      <c r="CE49" s="75"/>
      <c r="CN49" s="37" t="s">
        <v>2703</v>
      </c>
      <c r="CO49" s="39" t="s">
        <v>2677</v>
      </c>
      <c r="CP49" s="39" t="s">
        <v>2704</v>
      </c>
    </row>
    <row r="50" ht="18.75" customHeight="1" outlineLevel="1">
      <c r="A50" s="39" t="s">
        <v>2714</v>
      </c>
      <c r="B50" s="71"/>
      <c r="C50" s="37" t="s">
        <v>2684</v>
      </c>
      <c r="D50" s="72" t="str">
        <f t="shared" si="1"/>
        <v>710/515/195</v>
      </c>
      <c r="E50" s="39">
        <v>4.0</v>
      </c>
      <c r="F50" s="37">
        <v>75.0</v>
      </c>
      <c r="I50" s="37">
        <v>70.0</v>
      </c>
      <c r="J50" s="37">
        <v>80.0</v>
      </c>
      <c r="K50" s="73">
        <v>80.0</v>
      </c>
      <c r="L50" s="37">
        <v>80.0</v>
      </c>
      <c r="M50" s="37">
        <v>65.0</v>
      </c>
      <c r="N50" s="37">
        <v>65.0</v>
      </c>
      <c r="O50" s="37">
        <v>170.0</v>
      </c>
      <c r="P50" s="39">
        <v>100.0</v>
      </c>
      <c r="Q50" s="64"/>
      <c r="R50" s="64"/>
      <c r="S50" s="64"/>
      <c r="T50" s="64"/>
      <c r="U50" s="64"/>
      <c r="V50" s="64"/>
      <c r="W50" s="64"/>
      <c r="X50" s="64"/>
      <c r="Y50" s="64"/>
      <c r="Z50" s="64"/>
      <c r="AA50" s="64"/>
      <c r="AB50" s="64"/>
      <c r="AJ50" s="41">
        <v>50.0</v>
      </c>
      <c r="AK50" s="39">
        <v>0.0</v>
      </c>
      <c r="AL50" s="39">
        <v>75.0</v>
      </c>
      <c r="AM50" s="41">
        <v>0.0</v>
      </c>
      <c r="AN50" s="41">
        <v>25.0</v>
      </c>
      <c r="AO50" s="41">
        <v>0.0</v>
      </c>
      <c r="AP50" s="41">
        <v>0.0</v>
      </c>
      <c r="AQ50" s="41">
        <v>35.0</v>
      </c>
      <c r="AR50" s="41">
        <v>35.0</v>
      </c>
      <c r="AS50" s="41">
        <v>-25.0</v>
      </c>
      <c r="AT50" s="41">
        <v>-25.0</v>
      </c>
      <c r="AU50" s="41">
        <v>-25.0</v>
      </c>
      <c r="AV50" s="41">
        <v>-25.0</v>
      </c>
      <c r="AW50" s="39">
        <v>0.0</v>
      </c>
      <c r="AX50" s="39">
        <v>0.0</v>
      </c>
      <c r="AY50" s="39">
        <v>0.0</v>
      </c>
      <c r="AZ50" s="41">
        <v>75.0</v>
      </c>
      <c r="BA50" s="39">
        <v>0.0</v>
      </c>
      <c r="BB50" s="39">
        <v>0.0</v>
      </c>
      <c r="BC50" s="39">
        <v>0.0</v>
      </c>
      <c r="BD50" s="39">
        <v>0.0</v>
      </c>
      <c r="BE50" s="39">
        <v>0.0</v>
      </c>
      <c r="BF50" s="39">
        <v>20.0</v>
      </c>
      <c r="BR50" s="39" t="s">
        <v>2715</v>
      </c>
      <c r="BS50" s="74"/>
      <c r="BU50" s="39" t="s">
        <v>2716</v>
      </c>
      <c r="BW50" s="57"/>
      <c r="BX50" s="84">
        <v>5.0</v>
      </c>
      <c r="BY50" s="84">
        <v>25.0</v>
      </c>
      <c r="BZ50" s="84">
        <v>5.0</v>
      </c>
      <c r="CA50" s="84">
        <v>5.0</v>
      </c>
      <c r="CB50" s="75">
        <v>10.0</v>
      </c>
      <c r="CD50" s="75">
        <v>2.0</v>
      </c>
      <c r="CE50" s="75"/>
      <c r="CN50" s="37" t="s">
        <v>2703</v>
      </c>
      <c r="CO50" s="39" t="s">
        <v>2677</v>
      </c>
      <c r="CP50" s="39" t="s">
        <v>2704</v>
      </c>
    </row>
    <row r="51" ht="18.75" customHeight="1" outlineLevel="1">
      <c r="A51" s="39" t="s">
        <v>2717</v>
      </c>
      <c r="B51" s="71"/>
      <c r="C51" s="37" t="s">
        <v>2684</v>
      </c>
      <c r="D51" s="72" t="str">
        <f t="shared" si="1"/>
        <v>710/515/195</v>
      </c>
      <c r="E51" s="39">
        <v>5.0</v>
      </c>
      <c r="F51" s="37">
        <v>75.0</v>
      </c>
      <c r="I51" s="37">
        <v>70.0</v>
      </c>
      <c r="J51" s="37">
        <v>80.0</v>
      </c>
      <c r="K51" s="73">
        <v>80.0</v>
      </c>
      <c r="L51" s="37">
        <v>80.0</v>
      </c>
      <c r="M51" s="37">
        <v>65.0</v>
      </c>
      <c r="N51" s="37">
        <v>65.0</v>
      </c>
      <c r="O51" s="37">
        <v>170.0</v>
      </c>
      <c r="P51" s="39">
        <v>100.0</v>
      </c>
      <c r="Q51" s="64"/>
      <c r="R51" s="64"/>
      <c r="S51" s="64"/>
      <c r="T51" s="64"/>
      <c r="U51" s="64"/>
      <c r="V51" s="64"/>
      <c r="W51" s="64"/>
      <c r="X51" s="64"/>
      <c r="Y51" s="64"/>
      <c r="Z51" s="64"/>
      <c r="AA51" s="64"/>
      <c r="AB51" s="64"/>
      <c r="AJ51" s="41">
        <v>50.0</v>
      </c>
      <c r="AK51" s="39">
        <v>0.0</v>
      </c>
      <c r="AL51" s="39">
        <v>75.0</v>
      </c>
      <c r="AM51" s="41">
        <v>0.0</v>
      </c>
      <c r="AN51" s="41">
        <v>25.0</v>
      </c>
      <c r="AO51" s="41">
        <v>0.0</v>
      </c>
      <c r="AP51" s="41">
        <v>0.0</v>
      </c>
      <c r="AQ51" s="41">
        <v>35.0</v>
      </c>
      <c r="AR51" s="41">
        <v>35.0</v>
      </c>
      <c r="AS51" s="41">
        <v>-25.0</v>
      </c>
      <c r="AT51" s="41">
        <v>-25.0</v>
      </c>
      <c r="AU51" s="41">
        <v>-25.0</v>
      </c>
      <c r="AV51" s="41">
        <v>-25.0</v>
      </c>
      <c r="AW51" s="39">
        <v>0.0</v>
      </c>
      <c r="AX51" s="39">
        <v>0.0</v>
      </c>
      <c r="AY51" s="39">
        <v>0.0</v>
      </c>
      <c r="AZ51" s="41">
        <v>75.0</v>
      </c>
      <c r="BA51" s="39">
        <v>0.0</v>
      </c>
      <c r="BB51" s="39">
        <v>0.0</v>
      </c>
      <c r="BC51" s="39">
        <v>0.0</v>
      </c>
      <c r="BD51" s="39">
        <v>0.0</v>
      </c>
      <c r="BE51" s="39">
        <v>0.0</v>
      </c>
      <c r="BF51" s="39">
        <v>20.0</v>
      </c>
      <c r="BR51" s="39" t="s">
        <v>2718</v>
      </c>
      <c r="BS51" s="74"/>
      <c r="BU51" s="39" t="s">
        <v>2719</v>
      </c>
      <c r="BW51" s="57"/>
      <c r="BX51" s="84">
        <v>5.0</v>
      </c>
      <c r="BY51" s="84">
        <v>25.0</v>
      </c>
      <c r="BZ51" s="84">
        <v>5.0</v>
      </c>
      <c r="CA51" s="84">
        <v>5.0</v>
      </c>
      <c r="CB51" s="75">
        <v>10.0</v>
      </c>
      <c r="CD51" s="75">
        <v>2.0</v>
      </c>
      <c r="CE51" s="75"/>
      <c r="CN51" s="37" t="s">
        <v>2703</v>
      </c>
      <c r="CO51" s="39" t="s">
        <v>2677</v>
      </c>
      <c r="CP51" s="39" t="s">
        <v>2704</v>
      </c>
    </row>
    <row r="52" ht="18.75" customHeight="1" outlineLevel="1">
      <c r="A52" s="39" t="s">
        <v>2720</v>
      </c>
      <c r="B52" s="71"/>
      <c r="C52" s="37" t="s">
        <v>2684</v>
      </c>
      <c r="D52" s="72" t="str">
        <f t="shared" si="1"/>
        <v>710/515/195</v>
      </c>
      <c r="E52" s="39">
        <v>6.0</v>
      </c>
      <c r="F52" s="37">
        <v>75.0</v>
      </c>
      <c r="I52" s="37">
        <v>70.0</v>
      </c>
      <c r="J52" s="37">
        <v>80.0</v>
      </c>
      <c r="K52" s="73">
        <v>80.0</v>
      </c>
      <c r="L52" s="37">
        <v>80.0</v>
      </c>
      <c r="M52" s="37">
        <v>65.0</v>
      </c>
      <c r="N52" s="37">
        <v>65.0</v>
      </c>
      <c r="O52" s="37">
        <v>170.0</v>
      </c>
      <c r="P52" s="39">
        <v>100.0</v>
      </c>
      <c r="Q52" s="64"/>
      <c r="R52" s="64"/>
      <c r="S52" s="64"/>
      <c r="T52" s="64"/>
      <c r="U52" s="64"/>
      <c r="V52" s="64"/>
      <c r="W52" s="64"/>
      <c r="X52" s="64"/>
      <c r="Y52" s="64"/>
      <c r="Z52" s="64"/>
      <c r="AA52" s="64"/>
      <c r="AB52" s="64"/>
      <c r="AJ52" s="41">
        <v>50.0</v>
      </c>
      <c r="AK52" s="39">
        <v>0.0</v>
      </c>
      <c r="AL52" s="39">
        <v>75.0</v>
      </c>
      <c r="AM52" s="41">
        <v>0.0</v>
      </c>
      <c r="AN52" s="41">
        <v>25.0</v>
      </c>
      <c r="AO52" s="41">
        <v>0.0</v>
      </c>
      <c r="AP52" s="41">
        <v>0.0</v>
      </c>
      <c r="AQ52" s="41">
        <v>35.0</v>
      </c>
      <c r="AR52" s="41">
        <v>35.0</v>
      </c>
      <c r="AS52" s="41">
        <v>-25.0</v>
      </c>
      <c r="AT52" s="41">
        <v>-25.0</v>
      </c>
      <c r="AU52" s="41">
        <v>-25.0</v>
      </c>
      <c r="AV52" s="41">
        <v>-25.0</v>
      </c>
      <c r="AW52" s="39">
        <v>0.0</v>
      </c>
      <c r="AX52" s="39">
        <v>0.0</v>
      </c>
      <c r="AY52" s="39">
        <v>0.0</v>
      </c>
      <c r="AZ52" s="41">
        <v>75.0</v>
      </c>
      <c r="BA52" s="39">
        <v>0.0</v>
      </c>
      <c r="BB52" s="39">
        <v>0.0</v>
      </c>
      <c r="BC52" s="39">
        <v>0.0</v>
      </c>
      <c r="BD52" s="39">
        <v>0.0</v>
      </c>
      <c r="BE52" s="39">
        <v>0.0</v>
      </c>
      <c r="BF52" s="39">
        <v>20.0</v>
      </c>
      <c r="BR52" s="39" t="s">
        <v>2721</v>
      </c>
      <c r="BS52" s="74"/>
      <c r="BU52" s="39" t="s">
        <v>2722</v>
      </c>
      <c r="BW52" s="57"/>
      <c r="BX52" s="84">
        <v>5.0</v>
      </c>
      <c r="BY52" s="84">
        <v>25.0</v>
      </c>
      <c r="BZ52" s="84">
        <v>5.0</v>
      </c>
      <c r="CA52" s="84">
        <v>5.0</v>
      </c>
      <c r="CB52" s="75">
        <v>10.0</v>
      </c>
      <c r="CD52" s="75">
        <v>2.0</v>
      </c>
      <c r="CE52" s="75"/>
      <c r="CN52" s="37" t="s">
        <v>2703</v>
      </c>
      <c r="CO52" s="39" t="s">
        <v>2677</v>
      </c>
      <c r="CP52" s="39" t="s">
        <v>2704</v>
      </c>
    </row>
    <row r="53" ht="18.75" customHeight="1" outlineLevel="1">
      <c r="A53" s="39"/>
      <c r="B53" s="71"/>
      <c r="C53" s="39"/>
      <c r="D53" s="72" t="str">
        <f t="shared" si="1"/>
        <v>0/0/0</v>
      </c>
      <c r="E53" s="37">
        <v>1.0</v>
      </c>
      <c r="K53" s="73"/>
      <c r="P53" s="37" t="s">
        <v>29</v>
      </c>
      <c r="Q53" s="64"/>
      <c r="R53" s="64"/>
      <c r="S53" s="64"/>
      <c r="T53" s="64"/>
      <c r="U53" s="64"/>
      <c r="V53" s="64"/>
      <c r="W53" s="64"/>
      <c r="X53" s="64"/>
      <c r="Y53" s="64"/>
      <c r="Z53" s="64"/>
      <c r="AA53" s="64"/>
      <c r="BG53" s="37" t="str">
        <f t="array" ref="BG53">IF($A53="","", INDEX(CS!$B$1:$B$15025,MATCH($A53,CS!$B:$B,0)+COLUMN(A$1),1))</f>
        <v/>
      </c>
      <c r="BH53" s="37" t="str">
        <f t="array" ref="BH53">IF($A53="","", INDEX(CS!$B$1:$B$15025,MATCH($A53,CS!$B:$B,0)+COLUMN(B$1),1))</f>
        <v/>
      </c>
      <c r="BI53" s="37" t="str">
        <f t="array" ref="BI53">IF($A53="","", INDEX(CS!$B$1:$B$15025,MATCH($A53,CS!$B:$B,0)+COLUMN(C$1),1))</f>
        <v/>
      </c>
      <c r="BJ53" s="37" t="str">
        <f t="array" ref="BJ53">IF($A53="","", INDEX(CS!$B$1:$B$15025,MATCH($A53,CS!$B:$B,0)+COLUMN(D$1),1))</f>
        <v/>
      </c>
      <c r="BK53" s="37" t="str">
        <f t="array" ref="BK53">IF($A53="","", INDEX(CS!$B$1:$B$15025,MATCH($A53,CS!$B:$B,0)+COLUMN(E$1),1))</f>
        <v/>
      </c>
      <c r="BL53" s="37" t="str">
        <f t="array" ref="BL53">IF($A53="","", INDEX(CS!$B$1:$B$15025,MATCH($A53,CS!$B:$B,0)+COLUMN(F$1),1))</f>
        <v/>
      </c>
      <c r="BM53" s="37" t="str">
        <f t="array" ref="BM53">IF($A53="","", INDEX(CS!$B$1:$B$15025,MATCH($A53,CS!$B:$B,0)+COLUMN(G$1),1))</f>
        <v/>
      </c>
      <c r="BN53" s="37" t="str">
        <f t="array" ref="BN53">IF($A53="","", INDEX(CS!$B$1:$B$15025,MATCH($A53,CS!$B:$B,0)+COLUMN(H$1),1))</f>
        <v/>
      </c>
      <c r="BO53" s="37" t="str">
        <f t="array" ref="BO53">IF($A53="","", INDEX(CS!$B$1:$B$15025,MATCH($A53,CS!$B:$B,0)+COLUMN(I$1),1))</f>
        <v/>
      </c>
      <c r="BP53" s="37" t="str">
        <f t="array" ref="BP53">IF($A53="","", INDEX(CS!$B$1:$B$15025,MATCH($A53,CS!$B:$B,0)+COLUMN(J$1),1))</f>
        <v/>
      </c>
      <c r="BS53" s="74"/>
      <c r="BW53" s="57"/>
      <c r="BX53" s="75"/>
      <c r="BY53" s="75"/>
      <c r="BZ53" s="75"/>
      <c r="CA53" s="75"/>
    </row>
    <row r="54" ht="18.75" customHeight="1" outlineLevel="1">
      <c r="B54" s="85" t="s">
        <v>2723</v>
      </c>
      <c r="D54" s="72" t="str">
        <f t="shared" si="1"/>
        <v>0/0/0</v>
      </c>
      <c r="K54" s="73"/>
      <c r="P54" s="37" t="s">
        <v>29</v>
      </c>
      <c r="Q54" s="64"/>
      <c r="R54" s="64"/>
      <c r="S54" s="64"/>
      <c r="T54" s="64"/>
      <c r="U54" s="64"/>
      <c r="V54" s="64"/>
      <c r="W54" s="64"/>
      <c r="X54" s="64"/>
      <c r="Y54" s="64"/>
      <c r="Z54" s="64"/>
      <c r="AA54" s="64"/>
      <c r="BG54" s="37" t="str">
        <f t="array" ref="BG54">IF($A54="","", INDEX(CS!$B$1:$B$15025,MATCH($A54,CS!$B:$B,0)+COLUMN(A$1),1))</f>
        <v/>
      </c>
      <c r="BH54" s="37" t="str">
        <f t="array" ref="BH54">IF($A54="","", INDEX(CS!$B$1:$B$15025,MATCH($A54,CS!$B:$B,0)+COLUMN(B$1),1))</f>
        <v/>
      </c>
      <c r="BI54" s="37" t="str">
        <f t="array" ref="BI54">IF($A54="","", INDEX(CS!$B$1:$B$15025,MATCH($A54,CS!$B:$B,0)+COLUMN(C$1),1))</f>
        <v/>
      </c>
      <c r="BJ54" s="37" t="str">
        <f t="array" ref="BJ54">IF($A54="","", INDEX(CS!$B$1:$B$15025,MATCH($A54,CS!$B:$B,0)+COLUMN(D$1),1))</f>
        <v/>
      </c>
      <c r="BK54" s="37" t="str">
        <f t="array" ref="BK54">IF($A54="","", INDEX(CS!$B$1:$B$15025,MATCH($A54,CS!$B:$B,0)+COLUMN(E$1),1))</f>
        <v/>
      </c>
      <c r="BL54" s="37" t="str">
        <f t="array" ref="BL54">IF($A54="","", INDEX(CS!$B$1:$B$15025,MATCH($A54,CS!$B:$B,0)+COLUMN(F$1),1))</f>
        <v/>
      </c>
      <c r="BM54" s="37" t="str">
        <f t="array" ref="BM54">IF($A54="","", INDEX(CS!$B$1:$B$15025,MATCH($A54,CS!$B:$B,0)+COLUMN(G$1),1))</f>
        <v/>
      </c>
      <c r="BN54" s="37" t="str">
        <f t="array" ref="BN54">IF($A54="","", INDEX(CS!$B$1:$B$15025,MATCH($A54,CS!$B:$B,0)+COLUMN(H$1),1))</f>
        <v/>
      </c>
      <c r="BO54" s="37" t="str">
        <f t="array" ref="BO54">IF($A54="","", INDEX(CS!$B$1:$B$15025,MATCH($A54,CS!$B:$B,0)+COLUMN(I$1),1))</f>
        <v/>
      </c>
      <c r="BP54" s="37" t="str">
        <f t="array" ref="BP54">IF($A54="","", INDEX(CS!$B$1:$B$15025,MATCH($A54,CS!$B:$B,0)+COLUMN(J$1),1))</f>
        <v/>
      </c>
      <c r="BS54" s="74"/>
    </row>
    <row r="55" ht="18.75" customHeight="1" outlineLevel="1">
      <c r="A55" s="37" t="s">
        <v>1302</v>
      </c>
      <c r="B55" s="71"/>
      <c r="C55" s="37" t="s">
        <v>2684</v>
      </c>
      <c r="D55" s="72" t="str">
        <f t="shared" si="1"/>
        <v>710/515/195</v>
      </c>
      <c r="E55" s="37">
        <v>1.0</v>
      </c>
      <c r="F55" s="37">
        <v>90.0</v>
      </c>
      <c r="I55" s="37">
        <v>80.0</v>
      </c>
      <c r="J55" s="37">
        <v>60.0</v>
      </c>
      <c r="K55" s="73">
        <v>80.0</v>
      </c>
      <c r="L55" s="37">
        <v>60.0</v>
      </c>
      <c r="M55" s="37">
        <v>80.0</v>
      </c>
      <c r="N55" s="37">
        <v>65.0</v>
      </c>
      <c r="O55" s="37">
        <v>170.0</v>
      </c>
      <c r="P55" s="39">
        <v>-75.0</v>
      </c>
      <c r="Q55" s="64">
        <v>15.0</v>
      </c>
      <c r="R55" s="64"/>
      <c r="S55" s="64"/>
      <c r="T55" s="64"/>
      <c r="U55" s="64"/>
      <c r="V55" s="64"/>
      <c r="W55" s="64">
        <v>-30.0</v>
      </c>
      <c r="X55" s="64"/>
      <c r="Y55" s="64"/>
      <c r="Z55" s="64">
        <v>100.0</v>
      </c>
      <c r="AA55" s="64">
        <v>-30.0</v>
      </c>
      <c r="AC55" s="37">
        <v>100.0</v>
      </c>
      <c r="AE55" s="37">
        <v>25.0</v>
      </c>
      <c r="AJ55" s="41">
        <v>50.0</v>
      </c>
      <c r="AK55" s="39">
        <v>45.0</v>
      </c>
      <c r="AL55" s="39">
        <v>50.0</v>
      </c>
      <c r="AM55" s="39">
        <v>0.0</v>
      </c>
      <c r="AN55" s="39">
        <v>0.0</v>
      </c>
      <c r="AO55" s="39">
        <v>0.0</v>
      </c>
      <c r="AP55" s="39">
        <v>0.0</v>
      </c>
      <c r="AQ55" s="39">
        <v>50.0</v>
      </c>
      <c r="AR55" s="39">
        <v>50.0</v>
      </c>
      <c r="AS55" s="41">
        <v>-25.0</v>
      </c>
      <c r="AT55" s="41">
        <v>-25.0</v>
      </c>
      <c r="AU55" s="41">
        <v>-25.0</v>
      </c>
      <c r="AV55" s="41">
        <v>-25.0</v>
      </c>
      <c r="AW55" s="39">
        <v>0.0</v>
      </c>
      <c r="AX55" s="39">
        <v>0.0</v>
      </c>
      <c r="AY55" s="41">
        <v>50.0</v>
      </c>
      <c r="AZ55" s="39">
        <v>0.0</v>
      </c>
      <c r="BA55" s="39">
        <v>0.0</v>
      </c>
      <c r="BB55" s="39">
        <v>100.0</v>
      </c>
      <c r="BC55" s="39">
        <v>0.0</v>
      </c>
      <c r="BD55" s="39">
        <v>0.0</v>
      </c>
      <c r="BE55" s="39">
        <v>0.0</v>
      </c>
      <c r="BF55" s="39">
        <v>20.0</v>
      </c>
      <c r="BG55" s="37" t="str">
        <f t="array" ref="BG55">IF($A55="","", INDEX(CS!$B$1:$B$15025,MATCH($A55,CS!$B:$B,0)+COLUMN(A$1),1))</f>
        <v>吸血</v>
      </c>
      <c r="BH55" s="37" t="str">
        <f t="array" ref="BH55">IF($A55="","", INDEX(CS!$B$1:$B$15025,MATCH($A55,CS!$B:$B,0)+COLUMN(B$1),1))</f>
        <v/>
      </c>
      <c r="BI55" s="37" t="str">
        <f t="array" ref="BI55">IF($A55="","", INDEX(CS!$B$1:$B$15025,MATCH($A55,CS!$B:$B,0)+COLUMN(C$1),1))</f>
        <v>夜の狩人</v>
      </c>
      <c r="BJ55" s="37" t="str">
        <f t="array" ref="BJ55">IF($A55="","", INDEX(CS!$B$1:$B$15025,MATCH($A55,CS!$B:$B,0)+COLUMN(D$1),1))</f>
        <v/>
      </c>
      <c r="BK55" s="37" t="str">
        <f t="array" ref="BK55">IF($A55="","", INDEX(CS!$B$1:$B$15025,MATCH($A55,CS!$B:$B,0)+COLUMN(E$1),1))</f>
        <v>眷族化-ゾンビ</v>
      </c>
      <c r="BL55" s="37" t="str">
        <f t="array" ref="BL55">IF($A55="","", INDEX(CS!$B$1:$B$15025,MATCH($A55,CS!$B:$B,0)+COLUMN(F$1),1))</f>
        <v/>
      </c>
      <c r="BM55" s="37" t="str">
        <f t="array" ref="BM55">IF($A55="","", INDEX(CS!$B$1:$B$15025,MATCH($A55,CS!$B:$B,0)+COLUMN(G$1),1))</f>
        <v>不死の肉体</v>
      </c>
      <c r="BN55" s="37" t="str">
        <f t="array" ref="BN55">IF($A55="","", INDEX(CS!$B$1:$B$15025,MATCH($A55,CS!$B:$B,0)+COLUMN(H$1),1))</f>
        <v/>
      </c>
      <c r="BO55" s="37" t="str">
        <f t="array" ref="BO55">IF($A55="","", INDEX(CS!$B$1:$B$15025,MATCH($A55,CS!$B:$B,0)+COLUMN(I$1),1))</f>
        <v>霧化</v>
      </c>
      <c r="BP55" s="37" t="str">
        <f t="array" ref="BP55">IF($A55="","", INDEX(CS!$B$1:$B$15025,MATCH($A55,CS!$B:$B,0)+COLUMN(J$1),1))</f>
        <v>眷族化-グール</v>
      </c>
      <c r="BS55" s="74"/>
      <c r="BV55" s="37" t="s">
        <v>2628</v>
      </c>
      <c r="BW55" s="57">
        <v>50.0</v>
      </c>
      <c r="BX55" s="75">
        <v>0.0</v>
      </c>
      <c r="BY55" s="75">
        <v>0.0</v>
      </c>
      <c r="BZ55" s="84">
        <v>10.0</v>
      </c>
      <c r="CA55" s="84">
        <v>5.0</v>
      </c>
      <c r="CB55" s="75">
        <v>0.0</v>
      </c>
      <c r="CC55" s="84">
        <v>35.0</v>
      </c>
      <c r="CD55" s="75">
        <v>2.0</v>
      </c>
      <c r="CE55" s="75"/>
      <c r="CN55" s="37" t="s">
        <v>2724</v>
      </c>
      <c r="CO55" s="39" t="s">
        <v>2725</v>
      </c>
      <c r="CP55" s="39" t="s">
        <v>2726</v>
      </c>
    </row>
    <row r="56" ht="18.75" customHeight="1" outlineLevel="1">
      <c r="A56" s="37" t="s">
        <v>1317</v>
      </c>
      <c r="B56" s="71"/>
      <c r="C56" s="37" t="s">
        <v>2684</v>
      </c>
      <c r="D56" s="72" t="str">
        <f t="shared" si="1"/>
        <v>540/465/75</v>
      </c>
      <c r="E56" s="39">
        <v>1.0</v>
      </c>
      <c r="F56" s="37">
        <v>110.0</v>
      </c>
      <c r="I56" s="37">
        <v>110.0</v>
      </c>
      <c r="J56" s="41">
        <v>50.0</v>
      </c>
      <c r="K56" s="73">
        <v>50.0</v>
      </c>
      <c r="L56" s="37">
        <v>50.0</v>
      </c>
      <c r="M56" s="41">
        <v>35.0</v>
      </c>
      <c r="N56" s="37">
        <v>60.0</v>
      </c>
      <c r="O56" s="37">
        <v>170.0</v>
      </c>
      <c r="P56" s="39">
        <v>-50.0</v>
      </c>
      <c r="Q56" s="64"/>
      <c r="R56" s="64"/>
      <c r="S56" s="64"/>
      <c r="T56" s="64"/>
      <c r="U56" s="64"/>
      <c r="V56" s="64"/>
      <c r="W56" s="64">
        <v>-25.0</v>
      </c>
      <c r="X56" s="64"/>
      <c r="Y56" s="64"/>
      <c r="Z56" s="86">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A56" s="39">
        <v>0.0</v>
      </c>
      <c r="BB56" s="41">
        <v>100.0</v>
      </c>
      <c r="BC56" s="41">
        <v>100.0</v>
      </c>
      <c r="BD56" s="39">
        <v>0.0</v>
      </c>
      <c r="BE56" s="39">
        <v>0.0</v>
      </c>
      <c r="BF56" s="39">
        <v>20.0</v>
      </c>
      <c r="BG56" s="37" t="str">
        <f t="array" ref="BG56">IF($A56="","", INDEX(CS!$B$1:$B$15025,MATCH($A56,CS!$B:$B,0)+COLUMN(A$1),1))</f>
        <v>屍者の肉体</v>
      </c>
      <c r="BH56" s="37" t="str">
        <f t="array" ref="BH56">IF($A56="","", INDEX(CS!$B$1:$B$15025,MATCH($A56,CS!$B:$B,0)+COLUMN(B$1),1))</f>
        <v/>
      </c>
      <c r="BI56" s="37" t="str">
        <f t="array" ref="BI56">IF($A56="","", INDEX(CS!$B$1:$B$15025,MATCH($A56,CS!$B:$B,0)+COLUMN(C$1),1))</f>
        <v>痛覚鈍化</v>
      </c>
      <c r="BJ56" s="37" t="str">
        <f t="array" ref="BJ56">IF($A56="","", INDEX(CS!$B$1:$B$15025,MATCH($A56,CS!$B:$B,0)+COLUMN(D$1),1))</f>
        <v/>
      </c>
      <c r="BK56" s="37" t="str">
        <f t="array" ref="BK56">IF($A56="","", INDEX(CS!$B$1:$B$15025,MATCH($A56,CS!$B:$B,0)+COLUMN(E$1),1))</f>
        <v>腐敗打撃</v>
      </c>
      <c r="BL56" s="37" t="str">
        <f t="array" ref="BL56">IF($A56="","", INDEX(CS!$B$1:$B$15025,MATCH($A56,CS!$B:$B,0)+COLUMN(F$1),1))</f>
        <v/>
      </c>
      <c r="BM56" s="37" t="str">
        <f t="array" ref="BM56">IF($A56="","", INDEX(CS!$B$1:$B$15025,MATCH($A56,CS!$B:$B,0)+COLUMN(G$1),1))</f>
        <v>死体喰らい</v>
      </c>
      <c r="BN56" s="37" t="str">
        <f t="array" ref="BN56">IF($A56="","", INDEX(CS!$B$1:$B$15025,MATCH($A56,CS!$B:$B,0)+COLUMN(H$1),1))</f>
        <v/>
      </c>
      <c r="BO56" s="37" t="str">
        <f t="array" ref="BO56">IF($A56="","", INDEX(CS!$B$1:$B$15025,MATCH($A56,CS!$B:$B,0)+COLUMN(I$1),1))</f>
        <v>死者の執念</v>
      </c>
      <c r="BP56" s="37" t="str">
        <f t="array" ref="BP56">IF($A56="","", INDEX(CS!$B$1:$B$15025,MATCH($A56,CS!$B:$B,0)+COLUMN(J$1),1))</f>
        <v>不死者</v>
      </c>
      <c r="BS56" s="74"/>
      <c r="BU56" s="39" t="s">
        <v>2727</v>
      </c>
      <c r="BV56" s="37" t="s">
        <v>2628</v>
      </c>
      <c r="BW56" s="57">
        <v>50.0</v>
      </c>
      <c r="BZ56" s="75">
        <v>75.0</v>
      </c>
      <c r="CD56" s="75">
        <v>2.0</v>
      </c>
      <c r="CE56" s="75"/>
      <c r="CN56" s="37" t="s">
        <v>2728</v>
      </c>
    </row>
    <row r="57" ht="18.75" customHeight="1" outlineLevel="1">
      <c r="A57" s="37" t="s">
        <v>1331</v>
      </c>
      <c r="B57" s="71"/>
      <c r="C57" s="37" t="s">
        <v>2684</v>
      </c>
      <c r="D57" s="72" t="str">
        <f t="shared" si="1"/>
        <v>655/505/150</v>
      </c>
      <c r="E57" s="39">
        <v>1.0</v>
      </c>
      <c r="F57" s="37">
        <v>80.0</v>
      </c>
      <c r="I57" s="37">
        <v>75.0</v>
      </c>
      <c r="J57" s="37">
        <v>75.0</v>
      </c>
      <c r="K57" s="73">
        <v>50.0</v>
      </c>
      <c r="L57" s="37">
        <v>75.0</v>
      </c>
      <c r="M57" s="37">
        <v>75.0</v>
      </c>
      <c r="N57" s="37">
        <v>75.0</v>
      </c>
      <c r="O57" s="37">
        <v>170.0</v>
      </c>
      <c r="P57" s="39">
        <v>-50.0</v>
      </c>
      <c r="Q57" s="64">
        <v>10.0</v>
      </c>
      <c r="R57" s="64"/>
      <c r="S57" s="64"/>
      <c r="T57" s="64"/>
      <c r="U57" s="64"/>
      <c r="V57" s="64"/>
      <c r="W57" s="64">
        <v>-35.0</v>
      </c>
      <c r="X57" s="64"/>
      <c r="Y57" s="64"/>
      <c r="Z57" s="86">
        <v>100.0</v>
      </c>
      <c r="AA57" s="64">
        <v>-35.0</v>
      </c>
      <c r="AB57" s="41">
        <v>25.0</v>
      </c>
      <c r="AC57" s="41">
        <v>100.0</v>
      </c>
      <c r="AE57" s="41">
        <v>100.0</v>
      </c>
      <c r="AJ57" s="39">
        <v>0.0</v>
      </c>
      <c r="AK57" s="39">
        <v>50.0</v>
      </c>
      <c r="AL57" s="39">
        <v>50.0</v>
      </c>
      <c r="AM57" s="41">
        <v>25.0</v>
      </c>
      <c r="AN57" s="39">
        <v>25.0</v>
      </c>
      <c r="AO57" s="39">
        <v>0.0</v>
      </c>
      <c r="AP57" s="39">
        <v>0.0</v>
      </c>
      <c r="AQ57" s="39">
        <v>50.0</v>
      </c>
      <c r="AR57" s="39">
        <v>50.0</v>
      </c>
      <c r="AS57" s="39">
        <v>-25.0</v>
      </c>
      <c r="AT57" s="39">
        <v>-25.0</v>
      </c>
      <c r="AU57" s="39">
        <v>-25.0</v>
      </c>
      <c r="AV57" s="39">
        <v>-25.0</v>
      </c>
      <c r="AW57" s="39">
        <v>0.0</v>
      </c>
      <c r="AX57" s="39">
        <v>0.0</v>
      </c>
      <c r="AY57" s="39">
        <v>0.0</v>
      </c>
      <c r="AZ57" s="39">
        <v>0.0</v>
      </c>
      <c r="BA57" s="39">
        <v>0.0</v>
      </c>
      <c r="BB57" s="39">
        <v>0.0</v>
      </c>
      <c r="BC57" s="39">
        <v>10.0</v>
      </c>
      <c r="BD57" s="39">
        <v>0.0</v>
      </c>
      <c r="BE57" s="39">
        <v>0.0</v>
      </c>
      <c r="BF57" s="39">
        <v>40.0</v>
      </c>
      <c r="BG57" s="37" t="str">
        <f t="array" ref="BG57">IF($A57="","", INDEX(CS!$B$1:$B$15025,MATCH($A57,CS!$B:$B,0)+COLUMN(A$1),1))</f>
        <v>骨の身体</v>
      </c>
      <c r="BH57" s="37" t="str">
        <f t="array" ref="BH57">IF($A57="","", INDEX(CS!$B$1:$B$15025,MATCH($A57,CS!$B:$B,0)+COLUMN(B$1),1))</f>
        <v/>
      </c>
      <c r="BI57" s="37" t="str">
        <f t="array" ref="BI57">IF($A57="","", INDEX(CS!$B$1:$B$15025,MATCH($A57,CS!$B:$B,0)+COLUMN(C$1),1))</f>
        <v>骨格強化</v>
      </c>
      <c r="BJ57" s="37" t="str">
        <f t="array" ref="BJ57">IF($A57="","", INDEX(CS!$B$1:$B$15025,MATCH($A57,CS!$B:$B,0)+COLUMN(D$1),1))</f>
        <v/>
      </c>
      <c r="BK57" s="37" t="str">
        <f t="array" ref="BK57">IF($A57="","", INDEX(CS!$B$1:$B$15025,MATCH($A57,CS!$B:$B,0)+COLUMN(E$1),1))</f>
        <v>骸骨兵</v>
      </c>
      <c r="BL57" s="37" t="str">
        <f t="array" ref="BL57">IF($A57="","", INDEX(CS!$B$1:$B$15025,MATCH($A57,CS!$B:$B,0)+COLUMN(F$1),1))</f>
        <v/>
      </c>
      <c r="BM57" s="37" t="str">
        <f t="array" ref="BM57">IF($A57="","", INDEX(CS!$B$1:$B$15025,MATCH($A57,CS!$B:$B,0)+COLUMN(G$1),1))</f>
        <v>死者の眼</v>
      </c>
      <c r="BN57" s="37" t="str">
        <f t="array" ref="BN57">IF($A57="","", INDEX(CS!$B$1:$B$15025,MATCH($A57,CS!$B:$B,0)+COLUMN(H$1),1))</f>
        <v/>
      </c>
      <c r="BO57" s="37" t="str">
        <f t="array" ref="BO57">IF($A57="","", INDEX(CS!$B$1:$B$15025,MATCH($A57,CS!$B:$B,0)+COLUMN(I$1),1))</f>
        <v>骨盾</v>
      </c>
      <c r="BP57" s="37" t="str">
        <f t="array" ref="BP57">IF($A57="","", INDEX(CS!$B$1:$B$15025,MATCH($A57,CS!$B:$B,0)+COLUMN(J$1),1))</f>
        <v>死者の呼び声</v>
      </c>
      <c r="BS57" s="74"/>
      <c r="BU57" s="39" t="s">
        <v>2729</v>
      </c>
      <c r="BV57" s="37" t="s">
        <v>2628</v>
      </c>
      <c r="BW57" s="57">
        <v>50.0</v>
      </c>
      <c r="CD57" s="75">
        <v>2.0</v>
      </c>
      <c r="CE57" s="75"/>
      <c r="CN57" s="37" t="s">
        <v>2730</v>
      </c>
    </row>
    <row r="58" ht="18.75" customHeight="1" outlineLevel="1">
      <c r="A58" s="37" t="s">
        <v>1344</v>
      </c>
      <c r="B58" s="71"/>
      <c r="C58" s="37" t="s">
        <v>2684</v>
      </c>
      <c r="D58" s="72" t="str">
        <f t="shared" si="1"/>
        <v>710/515/195</v>
      </c>
      <c r="E58" s="39">
        <v>1.0</v>
      </c>
      <c r="F58" s="37">
        <v>65.0</v>
      </c>
      <c r="I58" s="37">
        <v>65.0</v>
      </c>
      <c r="J58" s="37">
        <v>50.0</v>
      </c>
      <c r="K58" s="73">
        <v>90.0</v>
      </c>
      <c r="L58" s="37">
        <v>90.0</v>
      </c>
      <c r="M58" s="37">
        <v>90.0</v>
      </c>
      <c r="N58" s="37">
        <v>65.0</v>
      </c>
      <c r="O58" s="37">
        <v>170.0</v>
      </c>
      <c r="P58" s="39">
        <v>-25.0</v>
      </c>
      <c r="Q58" s="64">
        <v>25.0</v>
      </c>
      <c r="R58" s="64"/>
      <c r="S58" s="64"/>
      <c r="T58" s="64"/>
      <c r="U58" s="64"/>
      <c r="V58" s="64"/>
      <c r="W58" s="64"/>
      <c r="X58" s="64"/>
      <c r="Y58" s="64"/>
      <c r="Z58" s="86">
        <v>100.0</v>
      </c>
      <c r="AA58" s="86">
        <v>-45.0</v>
      </c>
      <c r="AB58" s="41">
        <v>25.0</v>
      </c>
      <c r="AJ58" s="39">
        <v>0.0</v>
      </c>
      <c r="AK58" s="39">
        <v>0.0</v>
      </c>
      <c r="AL58" s="39">
        <v>50.0</v>
      </c>
      <c r="AM58" s="39">
        <v>0.0</v>
      </c>
      <c r="AN58" s="39">
        <v>0.0</v>
      </c>
      <c r="AO58" s="39">
        <v>0.0</v>
      </c>
      <c r="AP58" s="39">
        <v>0.0</v>
      </c>
      <c r="AQ58" s="39">
        <v>100.0</v>
      </c>
      <c r="AR58" s="39">
        <v>50.0</v>
      </c>
      <c r="AS58" s="39">
        <v>-25.0</v>
      </c>
      <c r="AT58" s="39">
        <v>-25.0</v>
      </c>
      <c r="AU58" s="39">
        <v>-25.0</v>
      </c>
      <c r="AV58" s="39">
        <v>-25.0</v>
      </c>
      <c r="AW58" s="39">
        <v>0.0</v>
      </c>
      <c r="AX58" s="39">
        <v>0.0</v>
      </c>
      <c r="AY58" s="39">
        <v>95.0</v>
      </c>
      <c r="AZ58" s="39">
        <v>0.0</v>
      </c>
      <c r="BA58" s="39">
        <v>0.0</v>
      </c>
      <c r="BB58" s="39">
        <v>0.0</v>
      </c>
      <c r="BC58" s="39">
        <v>0.0</v>
      </c>
      <c r="BD58" s="39">
        <v>0.0</v>
      </c>
      <c r="BE58" s="39">
        <v>0.0</v>
      </c>
      <c r="BF58" s="39">
        <v>0.0</v>
      </c>
      <c r="BG58" s="37" t="str">
        <f t="array" ref="BG58">IF($A58="","", INDEX(CS!$B$1:$B$15025,MATCH($A58,CS!$B:$B,0)+COLUMN(A$1),1))</f>
        <v>浮遊</v>
      </c>
      <c r="BH58" s="37" t="str">
        <f t="array" ref="BH58">IF($A58="","", INDEX(CS!$B$1:$B$15025,MATCH($A58,CS!$B:$B,0)+COLUMN(B$1),1))</f>
        <v/>
      </c>
      <c r="BI58" s="37" t="str">
        <f t="array" ref="BI58">IF($A58="","", INDEX(CS!$B$1:$B$15025,MATCH($A58,CS!$B:$B,0)+COLUMN(C$1),1))</f>
        <v>霊体</v>
      </c>
      <c r="BJ58" s="37" t="str">
        <f t="array" ref="BJ58">IF($A58="","", INDEX(CS!$B$1:$B$15025,MATCH($A58,CS!$B:$B,0)+COLUMN(D$1),1))</f>
        <v/>
      </c>
      <c r="BK58" s="37" t="str">
        <f t="array" ref="BK58">IF($A58="","", INDEX(CS!$B$1:$B$15025,MATCH($A58,CS!$B:$B,0)+COLUMN(E$1),1))</f>
        <v>恐怖の囁き</v>
      </c>
      <c r="BL58" s="37" t="str">
        <f t="array" ref="BL58">IF($A58="","", INDEX(CS!$B$1:$B$15025,MATCH($A58,CS!$B:$B,0)+COLUMN(F$1),1))</f>
        <v/>
      </c>
      <c r="BM58" s="37" t="str">
        <f t="array" ref="BM58">IF($A58="","", INDEX(CS!$B$1:$B$15025,MATCH($A58,CS!$B:$B,0)+COLUMN(G$1),1))</f>
        <v>透過</v>
      </c>
      <c r="BN58" s="37" t="str">
        <f t="array" ref="BN58">IF($A58="","", INDEX(CS!$B$1:$B$15025,MATCH($A58,CS!$B:$B,0)+COLUMN(H$1),1))</f>
        <v/>
      </c>
      <c r="BO58" s="37" t="str">
        <f t="array" ref="BO58">IF($A58="","", INDEX(CS!$B$1:$B$15025,MATCH($A58,CS!$B:$B,0)+COLUMN(I$1),1))</f>
        <v>憑依</v>
      </c>
      <c r="BP58" s="37" t="str">
        <f t="array" ref="BP58">IF($A58="","", INDEX(CS!$B$1:$B$15025,MATCH($A58,CS!$B:$B,0)+COLUMN(J$1),1))</f>
        <v>完全霊体</v>
      </c>
      <c r="BS58" s="74"/>
      <c r="BU58" s="39" t="s">
        <v>2731</v>
      </c>
      <c r="BV58" s="37" t="s">
        <v>2627</v>
      </c>
      <c r="BW58" s="57">
        <v>25.0</v>
      </c>
      <c r="CB58" s="37">
        <v>25.0</v>
      </c>
      <c r="CD58" s="75">
        <v>2.0</v>
      </c>
      <c r="CE58" s="75"/>
      <c r="CI58" s="37" t="s">
        <v>2732</v>
      </c>
      <c r="CJ58" s="37" t="s">
        <v>2732</v>
      </c>
      <c r="CK58" s="37" t="s">
        <v>2732</v>
      </c>
      <c r="CN58" s="37" t="s">
        <v>2733</v>
      </c>
    </row>
    <row r="59" ht="18.75" customHeight="1" outlineLevel="1">
      <c r="A59" s="39" t="s">
        <v>1357</v>
      </c>
      <c r="B59" s="71"/>
      <c r="C59" s="39" t="s">
        <v>2684</v>
      </c>
      <c r="D59" s="72" t="str">
        <f t="shared" si="1"/>
        <v>605/530/75</v>
      </c>
      <c r="E59" s="39">
        <v>2.0</v>
      </c>
      <c r="F59" s="37">
        <v>110.0</v>
      </c>
      <c r="I59" s="41">
        <v>100.0</v>
      </c>
      <c r="J59" s="41">
        <v>50.0</v>
      </c>
      <c r="K59" s="73">
        <v>50.0</v>
      </c>
      <c r="L59" s="37">
        <v>50.0</v>
      </c>
      <c r="M59" s="41">
        <v>100.0</v>
      </c>
      <c r="N59" s="41">
        <v>70.0</v>
      </c>
      <c r="O59" s="37">
        <v>170.0</v>
      </c>
      <c r="P59" s="39">
        <v>-75.0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75.0</v>
      </c>
      <c r="AR59" s="39">
        <v>25.0</v>
      </c>
      <c r="AS59" s="39">
        <v>-25.0</v>
      </c>
      <c r="AT59" s="39">
        <v>-25.0</v>
      </c>
      <c r="AU59" s="39">
        <v>-25.0</v>
      </c>
      <c r="AV59" s="39">
        <v>-25.0</v>
      </c>
      <c r="AW59" s="39">
        <v>0.0</v>
      </c>
      <c r="AX59" s="39">
        <v>0.0</v>
      </c>
      <c r="AY59" s="39">
        <v>0.0</v>
      </c>
      <c r="AZ59" s="39">
        <v>0.0</v>
      </c>
      <c r="BG59" s="37" t="str">
        <f t="array" ref="BG59">IF($A59="","", INDEX(CS!$B$1:$B$15025,MATCH($A59,CS!$B:$B,0)+COLUMN(A$1),1))</f>
        <v>屍肉の爪</v>
      </c>
      <c r="BH59" s="37" t="str">
        <f t="array" ref="BH59">IF($A59="","", INDEX(CS!$B$1:$B$15025,MATCH($A59,CS!$B:$B,0)+COLUMN(B$1),1))</f>
        <v/>
      </c>
      <c r="BI59" s="37" t="str">
        <f t="array" ref="BI59">IF($A59="","", INDEX(CS!$B$1:$B$15025,MATCH($A59,CS!$B:$B,0)+COLUMN(C$1),1))</f>
        <v>屍肉喰らい</v>
      </c>
      <c r="BJ59" s="37" t="str">
        <f t="array" ref="BJ59">IF($A59="","", INDEX(CS!$B$1:$B$15025,MATCH($A59,CS!$B:$B,0)+COLUMN(D$1),1))</f>
        <v/>
      </c>
      <c r="BK59" s="37" t="str">
        <f t="array" ref="BK59">IF($A59="","", INDEX(CS!$B$1:$B$15025,MATCH($A59,CS!$B:$B,0)+COLUMN(E$1),1))</f>
        <v>腐毒爪</v>
      </c>
      <c r="BL59" s="37" t="str">
        <f t="array" ref="BL59">IF($A59="","", INDEX(CS!$B$1:$B$15025,MATCH($A59,CS!$B:$B,0)+COLUMN(F$1),1))</f>
        <v/>
      </c>
      <c r="BM59" s="37" t="str">
        <f t="array" ref="BM59">IF($A59="","", INDEX(CS!$B$1:$B$15025,MATCH($A59,CS!$B:$B,0)+COLUMN(G$1),1))</f>
        <v>飢餓の嗅覚</v>
      </c>
      <c r="BN59" s="37" t="str">
        <f t="array" ref="BN59">IF($A59="","", INDEX(CS!$B$1:$B$15025,MATCH($A59,CS!$B:$B,0)+COLUMN(H$1),1))</f>
        <v/>
      </c>
      <c r="BO59" s="37" t="str">
        <f t="array" ref="BO59">IF($A59="","", INDEX(CS!$B$1:$B$15025,MATCH($A59,CS!$B:$B,0)+COLUMN(I$1),1))</f>
        <v>四足疾走</v>
      </c>
      <c r="BP59" s="37" t="str">
        <f t="array" ref="BP59">IF($A59="","", INDEX(CS!$B$1:$B$15025,MATCH($A59,CS!$B:$B,0)+COLUMN(J$1),1))</f>
        <v>飢餓の狂乱</v>
      </c>
      <c r="BR59" s="39" t="s">
        <v>2734</v>
      </c>
      <c r="BS59" s="74"/>
      <c r="BU59" s="39" t="s">
        <v>2735</v>
      </c>
    </row>
    <row r="60" ht="18.75" customHeight="1" outlineLevel="1">
      <c r="A60" s="41" t="s">
        <v>2546</v>
      </c>
      <c r="B60" s="71"/>
      <c r="C60" s="39" t="s">
        <v>2684</v>
      </c>
      <c r="D60" s="72" t="str">
        <f t="shared" si="1"/>
        <v>685/560/125</v>
      </c>
      <c r="E60" s="41">
        <v>3.0</v>
      </c>
      <c r="F60" s="39">
        <v>105.0</v>
      </c>
      <c r="I60" s="41">
        <v>110.0</v>
      </c>
      <c r="J60" s="41">
        <v>50.0</v>
      </c>
      <c r="K60" s="76">
        <v>50.0</v>
      </c>
      <c r="L60" s="41">
        <v>55.0</v>
      </c>
      <c r="M60" s="41">
        <v>110.0</v>
      </c>
      <c r="N60" s="41">
        <v>80.0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50.0</v>
      </c>
      <c r="AL60" s="39">
        <v>0.0</v>
      </c>
      <c r="AM60" s="41">
        <v>50.0</v>
      </c>
      <c r="AN60" s="39">
        <v>0.0</v>
      </c>
      <c r="AO60" s="39">
        <v>0.0</v>
      </c>
      <c r="AP60" s="39">
        <v>0.0</v>
      </c>
      <c r="AQ60" s="39">
        <v>75.0</v>
      </c>
      <c r="AR60" s="39">
        <v>50.0</v>
      </c>
      <c r="AS60" s="39">
        <v>-25.0</v>
      </c>
      <c r="AT60" s="39">
        <v>-25.0</v>
      </c>
      <c r="AU60" s="39">
        <v>-25.0</v>
      </c>
      <c r="AV60" s="39">
        <v>-25.0</v>
      </c>
      <c r="AW60" s="39">
        <v>0.0</v>
      </c>
      <c r="AX60" s="39">
        <v>0.0</v>
      </c>
      <c r="AY60" s="39">
        <v>0.0</v>
      </c>
      <c r="AZ60" s="39">
        <v>0.0</v>
      </c>
      <c r="BG60" s="37" t="str">
        <f t="array" ref="BG60">IF($A60="","", INDEX(CS!$B$1:$B$15025,MATCH($A60,CS!$B:$B,0)+COLUMN(A$1),1))</f>
        <v>腐臭</v>
      </c>
      <c r="BH60" s="37" t="str">
        <f t="array" ref="BH60">IF($A60="","", INDEX(CS!$B$1:$B$15025,MATCH($A60,CS!$B:$B,0)+COLUMN(B$1),1))</f>
        <v/>
      </c>
      <c r="BI60" s="37" t="str">
        <f t="array" ref="BI60">IF($A60="","", INDEX(CS!$B$1:$B$15025,MATCH($A60,CS!$B:$B,0)+COLUMN(C$1),1))</f>
        <v>壊死爪</v>
      </c>
      <c r="BJ60" s="37" t="str">
        <f t="array" ref="BJ60">IF($A60="","", INDEX(CS!$B$1:$B$15025,MATCH($A60,CS!$B:$B,0)+COLUMN(D$1),1))</f>
        <v/>
      </c>
      <c r="BK60" s="37" t="str">
        <f t="array" ref="BK60">IF($A60="","", INDEX(CS!$B$1:$B$15025,MATCH($A60,CS!$B:$B,0)+COLUMN(E$1),1))</f>
        <v>死肉再生</v>
      </c>
      <c r="BL60" s="37" t="str">
        <f t="array" ref="BL60">IF($A60="","", INDEX(CS!$B$1:$B$15025,MATCH($A60,CS!$B:$B,0)+COLUMN(F$1),1))</f>
        <v/>
      </c>
      <c r="BM60" s="37" t="str">
        <f t="array" ref="BM60">IF($A60="","", INDEX(CS!$B$1:$B$15025,MATCH($A60,CS!$B:$B,0)+COLUMN(G$1),1))</f>
        <v>飢餓感知</v>
      </c>
      <c r="BN60" s="37" t="str">
        <f t="array" ref="BN60">IF($A60="","", INDEX(CS!$B$1:$B$15025,MATCH($A60,CS!$B:$B,0)+COLUMN(H$1),1))</f>
        <v/>
      </c>
      <c r="BO60" s="37" t="str">
        <f t="array" ref="BO60">IF($A60="","", INDEX(CS!$B$1:$B$15025,MATCH($A60,CS!$B:$B,0)+COLUMN(I$1),1))</f>
        <v>四足猛襲</v>
      </c>
      <c r="BP60" s="37" t="str">
        <f t="array" ref="BP60">IF($A60="","", INDEX(CS!$B$1:$B$15025,MATCH($A60,CS!$B:$B,0)+COLUMN(J$1),1))</f>
        <v>腐乱の狂宴</v>
      </c>
      <c r="BR60" s="39" t="s">
        <v>2736</v>
      </c>
      <c r="BS60" s="74"/>
      <c r="BU60" s="39" t="s">
        <v>2737</v>
      </c>
    </row>
    <row r="61" ht="18.75" customHeight="1" outlineLevel="1">
      <c r="B61" s="71"/>
      <c r="C61" s="39" t="s">
        <v>2684</v>
      </c>
      <c r="D61" s="72" t="str">
        <f t="shared" si="1"/>
        <v>0/0/0</v>
      </c>
      <c r="K61" s="73"/>
      <c r="P61" s="39"/>
      <c r="Q61" s="64"/>
      <c r="R61" s="64"/>
      <c r="S61" s="64"/>
      <c r="T61" s="64"/>
      <c r="U61" s="64"/>
      <c r="V61" s="64"/>
      <c r="W61" s="64"/>
      <c r="X61" s="64"/>
      <c r="Y61" s="64"/>
      <c r="Z61" s="64"/>
      <c r="AA61" s="64"/>
      <c r="BG61" s="37" t="str">
        <f t="array" ref="BG61">IF($A61="","", INDEX(CS!$B$1:$B$15025,MATCH($A61,CS!$B:$B,0)+COLUMN(A$1),1))</f>
        <v/>
      </c>
      <c r="BH61" s="37" t="str">
        <f t="array" ref="BH61">IF($A61="","", INDEX(CS!$B$1:$B$15025,MATCH($A61,CS!$B:$B,0)+COLUMN(B$1),1))</f>
        <v/>
      </c>
      <c r="BI61" s="37" t="str">
        <f t="array" ref="BI61">IF($A61="","", INDEX(CS!$B$1:$B$15025,MATCH($A61,CS!$B:$B,0)+COLUMN(C$1),1))</f>
        <v/>
      </c>
      <c r="BJ61" s="37" t="str">
        <f t="array" ref="BJ61">IF($A61="","", INDEX(CS!$B$1:$B$15025,MATCH($A61,CS!$B:$B,0)+COLUMN(D$1),1))</f>
        <v/>
      </c>
      <c r="BK61" s="37" t="str">
        <f t="array" ref="BK61">IF($A61="","", INDEX(CS!$B$1:$B$15025,MATCH($A61,CS!$B:$B,0)+COLUMN(E$1),1))</f>
        <v/>
      </c>
      <c r="BL61" s="37" t="str">
        <f t="array" ref="BL61">IF($A61="","", INDEX(CS!$B$1:$B$15025,MATCH($A61,CS!$B:$B,0)+COLUMN(F$1),1))</f>
        <v/>
      </c>
      <c r="BM61" s="37" t="str">
        <f t="array" ref="BM61">IF($A61="","", INDEX(CS!$B$1:$B$15025,MATCH($A61,CS!$B:$B,0)+COLUMN(G$1),1))</f>
        <v/>
      </c>
      <c r="BN61" s="37" t="str">
        <f t="array" ref="BN61">IF($A61="","", INDEX(CS!$B$1:$B$15025,MATCH($A61,CS!$B:$B,0)+COLUMN(H$1),1))</f>
        <v/>
      </c>
      <c r="BO61" s="37" t="str">
        <f t="array" ref="BO61">IF($A61="","", INDEX(CS!$B$1:$B$15025,MATCH($A61,CS!$B:$B,0)+COLUMN(I$1),1))</f>
        <v/>
      </c>
      <c r="BP61" s="37" t="str">
        <f t="array" ref="BP61">IF($A61="","", INDEX(CS!$B$1:$B$15025,MATCH($A61,CS!$B:$B,0)+COLUMN(J$1),1))</f>
        <v/>
      </c>
      <c r="BR61" s="39" t="s">
        <v>2734</v>
      </c>
      <c r="BS61" s="74"/>
      <c r="BU61" s="39" t="s">
        <v>2735</v>
      </c>
    </row>
    <row r="62" ht="18.75" customHeight="1" outlineLevel="1">
      <c r="A62" s="39" t="s">
        <v>1370</v>
      </c>
      <c r="B62" s="71"/>
      <c r="C62" s="39" t="s">
        <v>2684</v>
      </c>
      <c r="D62" s="72" t="str">
        <f t="shared" si="1"/>
        <v>530/530/0</v>
      </c>
      <c r="E62" s="39">
        <v>2.0</v>
      </c>
      <c r="F62" s="41">
        <v>70.0</v>
      </c>
      <c r="I62" s="37">
        <v>65.0</v>
      </c>
      <c r="J62" s="41">
        <v>60.0</v>
      </c>
      <c r="K62" s="73">
        <v>90.0</v>
      </c>
      <c r="L62" s="37">
        <v>90.0</v>
      </c>
      <c r="M62" s="37">
        <v>90.0</v>
      </c>
      <c r="N62" s="37">
        <v>65.0</v>
      </c>
      <c r="O62" s="37">
        <v>170.0</v>
      </c>
      <c r="P62" s="39">
        <v>-75.0</v>
      </c>
      <c r="Q62" s="64">
        <v>25.0</v>
      </c>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冷気の手</v>
      </c>
      <c r="BH62" s="37" t="str">
        <f t="array" ref="BH62">IF($A62="","", INDEX(CS!$B$1:$B$15025,MATCH($A62,CS!$B:$B,0)+COLUMN(B$1),1))</f>
        <v/>
      </c>
      <c r="BI62" s="37" t="str">
        <f t="array" ref="BI62">IF($A62="","", INDEX(CS!$B$1:$B$15025,MATCH($A62,CS!$B:$B,0)+COLUMN(C$1),1))</f>
        <v>生命力吸収</v>
      </c>
      <c r="BJ62" s="37" t="str">
        <f t="array" ref="BJ62">IF($A62="","", INDEX(CS!$B$1:$B$15025,MATCH($A62,CS!$B:$B,0)+COLUMN(D$1),1))</f>
        <v/>
      </c>
      <c r="BK62" s="37" t="str">
        <f t="array" ref="BK62">IF($A62="","", INDEX(CS!$B$1:$B$15025,MATCH($A62,CS!$B:$B,0)+COLUMN(E$1),1))</f>
        <v>死者の威圧</v>
      </c>
      <c r="BL62" s="37" t="str">
        <f t="array" ref="BL62">IF($A62="","", INDEX(CS!$B$1:$B$15025,MATCH($A62,CS!$B:$B,0)+COLUMN(F$1),1))</f>
        <v/>
      </c>
      <c r="BM62" s="37" t="str">
        <f t="array" ref="BM62">IF($A62="","", INDEX(CS!$B$1:$B$15025,MATCH($A62,CS!$B:$B,0)+COLUMN(G$1),1))</f>
        <v>冷気纏い</v>
      </c>
      <c r="BN62" s="37" t="str">
        <f t="array" ref="BN62">IF($A62="","", INDEX(CS!$B$1:$B$15025,MATCH($A62,CS!$B:$B,0)+COLUMN(H$1),1))</f>
        <v/>
      </c>
      <c r="BO62" s="37" t="str">
        <f t="array" ref="BO62">IF($A62="","", INDEX(CS!$B$1:$B$15025,MATCH($A62,CS!$B:$B,0)+COLUMN(I$1),1))</f>
        <v>不浄の刃</v>
      </c>
      <c r="BP62" s="37" t="str">
        <f t="array" ref="BP62">IF($A62="","", INDEX(CS!$B$1:$B$15025,MATCH($A62,CS!$B:$B,0)+COLUMN(J$1),1))</f>
        <v>死者の号令</v>
      </c>
      <c r="BR62" s="39" t="s">
        <v>2734</v>
      </c>
      <c r="BS62" s="74"/>
      <c r="BU62" s="39" t="s">
        <v>2735</v>
      </c>
    </row>
    <row r="63" ht="18.75" customHeight="1" outlineLevel="1">
      <c r="A63" s="39" t="s">
        <v>1435</v>
      </c>
      <c r="B63" s="71"/>
      <c r="C63" s="39" t="s">
        <v>2684</v>
      </c>
      <c r="D63" s="72" t="str">
        <f t="shared" si="1"/>
        <v>545/545/0</v>
      </c>
      <c r="E63" s="41">
        <v>3.0</v>
      </c>
      <c r="F63" s="41">
        <v>70.0</v>
      </c>
      <c r="I63" s="41">
        <v>65.0</v>
      </c>
      <c r="J63" s="41">
        <v>70.0</v>
      </c>
      <c r="K63" s="73">
        <v>90.0</v>
      </c>
      <c r="L63" s="37">
        <v>90.0</v>
      </c>
      <c r="M63" s="37">
        <v>90.0</v>
      </c>
      <c r="N63" s="41">
        <v>70.0</v>
      </c>
      <c r="O63" s="37">
        <v>170.0</v>
      </c>
      <c r="P63" s="39">
        <v>-100.0</v>
      </c>
      <c r="Q63" s="64">
        <v>25.0</v>
      </c>
      <c r="R63" s="64"/>
      <c r="S63" s="64"/>
      <c r="T63" s="64"/>
      <c r="U63" s="64"/>
      <c r="V63" s="64"/>
      <c r="W63" s="64"/>
      <c r="X63" s="64"/>
      <c r="Y63" s="64"/>
      <c r="Z63" s="64"/>
      <c r="AA63" s="64"/>
      <c r="AJ63" s="39">
        <v>0.0</v>
      </c>
      <c r="AK63" s="39">
        <v>0.0</v>
      </c>
      <c r="AL63" s="39">
        <v>75.0</v>
      </c>
      <c r="AM63" s="39">
        <v>0.0</v>
      </c>
      <c r="AN63" s="39">
        <v>25.0</v>
      </c>
      <c r="AO63" s="39">
        <v>0.0</v>
      </c>
      <c r="AP63" s="39">
        <v>0.0</v>
      </c>
      <c r="AQ63" s="39">
        <v>0.0</v>
      </c>
      <c r="AR63" s="39">
        <v>0.0</v>
      </c>
      <c r="AS63" s="39">
        <v>-25.0</v>
      </c>
      <c r="AT63" s="39">
        <v>-25.0</v>
      </c>
      <c r="AU63" s="39">
        <v>-25.0</v>
      </c>
      <c r="AV63" s="39">
        <v>-25.0</v>
      </c>
      <c r="AW63" s="39">
        <v>25.0</v>
      </c>
      <c r="AX63" s="39">
        <v>0.0</v>
      </c>
      <c r="AY63" s="39">
        <v>75.0</v>
      </c>
      <c r="AZ63" s="39">
        <v>-100.0</v>
      </c>
      <c r="BG63" s="37" t="str">
        <f t="array" ref="BG63">IF($A63="","", INDEX(CS!$B$1:$B$15025,MATCH($A63,CS!$B:$B,0)+COLUMN(A$1),1))</f>
        <v>死霊魔力</v>
      </c>
      <c r="BH63" s="37" t="str">
        <f t="array" ref="BH63">IF($A63="","", INDEX(CS!$B$1:$B$15025,MATCH($A63,CS!$B:$B,0)+COLUMN(B$1),1))</f>
        <v/>
      </c>
      <c r="BI63" s="37" t="str">
        <f t="array" ref="BI63">IF($A63="","", INDEX(CS!$B$1:$B$15025,MATCH($A63,CS!$B:$B,0)+COLUMN(C$1),1))</f>
        <v>骨魂障壁</v>
      </c>
      <c r="BJ63" s="37" t="str">
        <f t="array" ref="BJ63">IF($A63="","", INDEX(CS!$B$1:$B$15025,MATCH($A63,CS!$B:$B,0)+COLUMN(D$1),1))</f>
        <v/>
      </c>
      <c r="BK63" s="37" t="str">
        <f t="array" ref="BK63">IF($A63="","", INDEX(CS!$B$1:$B$15025,MATCH($A63,CS!$B:$B,0)+COLUMN(E$1),1))</f>
        <v>魂吸収</v>
      </c>
      <c r="BL63" s="37" t="str">
        <f t="array" ref="BL63">IF($A63="","", INDEX(CS!$B$1:$B$15025,MATCH($A63,CS!$B:$B,0)+COLUMN(F$1),1))</f>
        <v/>
      </c>
      <c r="BM63" s="37" t="str">
        <f t="array" ref="BM63">IF($A63="","", INDEX(CS!$B$1:$B$15025,MATCH($A63,CS!$B:$B,0)+COLUMN(G$1),1))</f>
        <v>死霊術師</v>
      </c>
      <c r="BN63" s="37" t="str">
        <f t="array" ref="BN63">IF($A63="","", INDEX(CS!$B$1:$B$15025,MATCH($A63,CS!$B:$B,0)+COLUMN(H$1),1))</f>
        <v/>
      </c>
      <c r="BO63" s="37" t="str">
        <f t="array" ref="BO63">IF($A63="","", INDEX(CS!$B$1:$B$15025,MATCH($A63,CS!$B:$B,0)+COLUMN(I$1),1))</f>
        <v>骸骨召喚</v>
      </c>
      <c r="BP63" s="37" t="str">
        <f t="array" ref="BP63">IF($A63="","", INDEX(CS!$B$1:$B$15025,MATCH($A63,CS!$B:$B,0)+COLUMN(J$1),1))</f>
        <v>不死の魔導核</v>
      </c>
      <c r="BR63" s="39" t="s">
        <v>2738</v>
      </c>
      <c r="BS63" s="74"/>
      <c r="BU63" s="39" t="s">
        <v>2739</v>
      </c>
    </row>
    <row r="64" ht="18.75" customHeight="1" outlineLevel="1">
      <c r="A64" s="39" t="s">
        <v>1383</v>
      </c>
      <c r="B64" s="71"/>
      <c r="C64" s="39" t="s">
        <v>2684</v>
      </c>
      <c r="D64" s="72" t="str">
        <f t="shared" si="1"/>
        <v>580/505/75</v>
      </c>
      <c r="E64" s="39">
        <v>2.0</v>
      </c>
      <c r="F64" s="37">
        <v>110.0</v>
      </c>
      <c r="I64" s="37">
        <v>110.0</v>
      </c>
      <c r="J64" s="41">
        <v>60.0</v>
      </c>
      <c r="K64" s="73">
        <v>50.0</v>
      </c>
      <c r="L64" s="41">
        <v>60.0</v>
      </c>
      <c r="M64" s="41">
        <v>50.0</v>
      </c>
      <c r="N64" s="41">
        <v>65.0</v>
      </c>
      <c r="O64" s="37">
        <v>170.0</v>
      </c>
      <c r="P64" s="39">
        <v>-50.0</v>
      </c>
      <c r="Q64" s="64"/>
      <c r="R64" s="64"/>
      <c r="S64" s="64"/>
      <c r="T64" s="64"/>
      <c r="U64" s="64"/>
      <c r="V64" s="64"/>
      <c r="W64" s="64">
        <v>-25.0</v>
      </c>
      <c r="X64" s="64"/>
      <c r="Y64" s="64"/>
      <c r="Z64" s="86">
        <v>35.0</v>
      </c>
      <c r="AA64" s="64">
        <v>-25.0</v>
      </c>
      <c r="AB64" s="41">
        <v>25.0</v>
      </c>
      <c r="AC64" s="37">
        <v>100.0</v>
      </c>
      <c r="AD64" s="41">
        <v>35.0</v>
      </c>
      <c r="AE64" s="37">
        <v>25.0</v>
      </c>
      <c r="AG64" s="37">
        <v>25.0</v>
      </c>
      <c r="AI64" s="37">
        <v>-25.0</v>
      </c>
      <c r="AJ64" s="39">
        <v>0.0</v>
      </c>
      <c r="AK64" s="41">
        <v>50.0</v>
      </c>
      <c r="AL64" s="39">
        <v>0.0</v>
      </c>
      <c r="AM64" s="41">
        <v>25.0</v>
      </c>
      <c r="AN64" s="39">
        <v>0.0</v>
      </c>
      <c r="AO64" s="39">
        <v>0.0</v>
      </c>
      <c r="AP64" s="39">
        <v>0.0</v>
      </c>
      <c r="AQ64" s="39">
        <v>50.0</v>
      </c>
      <c r="AR64" s="39">
        <v>25.0</v>
      </c>
      <c r="AS64" s="39">
        <v>-25.0</v>
      </c>
      <c r="AT64" s="39">
        <v>-25.0</v>
      </c>
      <c r="AU64" s="39">
        <v>-25.0</v>
      </c>
      <c r="AV64" s="39">
        <v>-25.0</v>
      </c>
      <c r="AW64" s="39">
        <v>25.0</v>
      </c>
      <c r="AX64" s="39">
        <v>0.0</v>
      </c>
      <c r="AY64" s="39">
        <v>0.0</v>
      </c>
      <c r="AZ64" s="39">
        <v>0.0</v>
      </c>
      <c r="BG64" s="37" t="str">
        <f t="array" ref="BG64">IF($A64="","", INDEX(CS!$B$1:$B$15025,MATCH($A64,CS!$B:$B,0)+COLUMN(A$1),1))</f>
        <v>執念打撃</v>
      </c>
      <c r="BH64" s="37" t="str">
        <f t="array" ref="BH64">IF($A64="","", INDEX(CS!$B$1:$B$15025,MATCH($A64,CS!$B:$B,0)+COLUMN(B$1),1))</f>
        <v/>
      </c>
      <c r="BI64" s="37" t="str">
        <f t="array" ref="BI64">IF($A64="","", INDEX(CS!$B$1:$B$15025,MATCH($A64,CS!$B:$B,0)+COLUMN(C$1),1))</f>
        <v>復讐の執念</v>
      </c>
      <c r="BJ64" s="37" t="str">
        <f t="array" ref="BJ64">IF($A64="","", INDEX(CS!$B$1:$B$15025,MATCH($A64,CS!$B:$B,0)+COLUMN(D$1),1))</f>
        <v/>
      </c>
      <c r="BK64" s="37" t="str">
        <f t="array" ref="BK64">IF($A64="","", INDEX(CS!$B$1:$B$15025,MATCH($A64,CS!$B:$B,0)+COLUMN(E$1),1))</f>
        <v>死なずの肉体</v>
      </c>
      <c r="BL64" s="37" t="str">
        <f t="array" ref="BL64">IF($A64="","", INDEX(CS!$B$1:$B$15025,MATCH($A64,CS!$B:$B,0)+COLUMN(F$1),1))</f>
        <v/>
      </c>
      <c r="BM64" s="37" t="str">
        <f t="array" ref="BM64">IF($A64="","", INDEX(CS!$B$1:$B$15025,MATCH($A64,CS!$B:$B,0)+COLUMN(G$1),1))</f>
        <v>執念の追跡</v>
      </c>
      <c r="BN64" s="37" t="str">
        <f t="array" ref="BN64">IF($A64="","", INDEX(CS!$B$1:$B$15025,MATCH($A64,CS!$B:$B,0)+COLUMN(H$1),1))</f>
        <v/>
      </c>
      <c r="BO64" s="37" t="str">
        <f t="array" ref="BO64">IF($A64="","", INDEX(CS!$B$1:$B$15025,MATCH($A64,CS!$B:$B,0)+COLUMN(I$1),1))</f>
        <v>復讐の一撃</v>
      </c>
      <c r="BP64" s="37" t="str">
        <f t="array" ref="BP64">IF($A64="","", INDEX(CS!$B$1:$B$15025,MATCH($A64,CS!$B:$B,0)+COLUMN(J$1),1))</f>
        <v>黄泉返り</v>
      </c>
      <c r="BR64" s="39" t="s">
        <v>2734</v>
      </c>
      <c r="BS64" s="74"/>
      <c r="BU64" s="39" t="s">
        <v>2735</v>
      </c>
    </row>
    <row r="65" ht="18.75" customHeight="1" outlineLevel="1">
      <c r="A65" s="41" t="s">
        <v>2740</v>
      </c>
      <c r="B65" s="71"/>
      <c r="C65" s="37" t="s">
        <v>2684</v>
      </c>
      <c r="D65" s="72" t="str">
        <f t="shared" si="1"/>
        <v>635/560/75</v>
      </c>
      <c r="E65" s="41">
        <v>3.0</v>
      </c>
      <c r="F65" s="41">
        <v>115.0</v>
      </c>
      <c r="I65" s="37">
        <v>110.0</v>
      </c>
      <c r="J65" s="41">
        <v>65.0</v>
      </c>
      <c r="K65" s="73">
        <v>50.0</v>
      </c>
      <c r="L65" s="41">
        <v>75.0</v>
      </c>
      <c r="M65" s="41">
        <v>75.0</v>
      </c>
      <c r="N65" s="41">
        <v>70.0</v>
      </c>
      <c r="O65" s="37">
        <v>170.0</v>
      </c>
      <c r="P65" s="39">
        <v>-75.0</v>
      </c>
      <c r="Q65" s="64"/>
      <c r="R65" s="64"/>
      <c r="S65" s="64"/>
      <c r="T65" s="64"/>
      <c r="U65" s="64"/>
      <c r="V65" s="64"/>
      <c r="W65" s="64">
        <v>-25.0</v>
      </c>
      <c r="X65" s="64"/>
      <c r="Y65" s="64"/>
      <c r="Z65" s="86">
        <v>35.0</v>
      </c>
      <c r="AA65" s="64">
        <v>-25.0</v>
      </c>
      <c r="AB65" s="41">
        <v>25.0</v>
      </c>
      <c r="AC65" s="37">
        <v>100.0</v>
      </c>
      <c r="AD65" s="41">
        <v>35.0</v>
      </c>
      <c r="AE65" s="37">
        <v>25.0</v>
      </c>
      <c r="AG65" s="37">
        <v>25.0</v>
      </c>
      <c r="AI65" s="37">
        <v>-25.0</v>
      </c>
      <c r="AJ65" s="39">
        <v>0.0</v>
      </c>
      <c r="AK65" s="41">
        <v>75.0</v>
      </c>
      <c r="AL65" s="39">
        <v>0.0</v>
      </c>
      <c r="AM65" s="41">
        <v>0.0</v>
      </c>
      <c r="AN65" s="39">
        <v>0.0</v>
      </c>
      <c r="AO65" s="39">
        <v>0.0</v>
      </c>
      <c r="AP65" s="39">
        <v>0.0</v>
      </c>
      <c r="AQ65" s="39">
        <v>75.0</v>
      </c>
      <c r="AR65" s="39">
        <v>25.0</v>
      </c>
      <c r="AS65" s="39">
        <v>-25.0</v>
      </c>
      <c r="AT65" s="39">
        <v>-25.0</v>
      </c>
      <c r="AU65" s="39">
        <v>-25.0</v>
      </c>
      <c r="AV65" s="39">
        <v>-25.0</v>
      </c>
      <c r="AW65" s="39">
        <v>0.0</v>
      </c>
      <c r="AX65" s="39">
        <v>0.0</v>
      </c>
      <c r="AY65" s="39">
        <v>0.0</v>
      </c>
      <c r="AZ65" s="39">
        <v>0.0</v>
      </c>
      <c r="BG65" s="37" t="str">
        <f t="array" ref="BG65">IF($A65="","", INDEX(CS!$B$1:$B$15025,MATCH($A65,CS!$B:$B,0)+COLUMN(A$1),1))</f>
        <v>#N/A</v>
      </c>
      <c r="BH65" s="37" t="str">
        <f t="array" ref="BH65">IF($A65="","", INDEX(CS!$B$1:$B$15025,MATCH($A65,CS!$B:$B,0)+COLUMN(B$1),1))</f>
        <v>#N/A</v>
      </c>
      <c r="BI65" s="37" t="str">
        <f t="array" ref="BI65">IF($A65="","", INDEX(CS!$B$1:$B$15025,MATCH($A65,CS!$B:$B,0)+COLUMN(C$1),1))</f>
        <v>#N/A</v>
      </c>
      <c r="BJ65" s="37" t="str">
        <f t="array" ref="BJ65">IF($A65="","", INDEX(CS!$B$1:$B$15025,MATCH($A65,CS!$B:$B,0)+COLUMN(D$1),1))</f>
        <v>#N/A</v>
      </c>
      <c r="BK65" s="37" t="str">
        <f t="array" ref="BK65">IF($A65="","", INDEX(CS!$B$1:$B$15025,MATCH($A65,CS!$B:$B,0)+COLUMN(E$1),1))</f>
        <v>#N/A</v>
      </c>
      <c r="BL65" s="37" t="str">
        <f t="array" ref="BL65">IF($A65="","", INDEX(CS!$B$1:$B$15025,MATCH($A65,CS!$B:$B,0)+COLUMN(F$1),1))</f>
        <v>#N/A</v>
      </c>
      <c r="BM65" s="37" t="str">
        <f t="array" ref="BM65">IF($A65="","", INDEX(CS!$B$1:$B$15025,MATCH($A65,CS!$B:$B,0)+COLUMN(G$1),1))</f>
        <v>#N/A</v>
      </c>
      <c r="BN65" s="37" t="str">
        <f t="array" ref="BN65">IF($A65="","", INDEX(CS!$B$1:$B$15025,MATCH($A65,CS!$B:$B,0)+COLUMN(H$1),1))</f>
        <v>#N/A</v>
      </c>
      <c r="BO65" s="37" t="str">
        <f t="array" ref="BO65">IF($A65="","", INDEX(CS!$B$1:$B$15025,MATCH($A65,CS!$B:$B,0)+COLUMN(I$1),1))</f>
        <v>#N/A</v>
      </c>
      <c r="BP65" s="37" t="str">
        <f t="array" ref="BP65">IF($A65="","", INDEX(CS!$B$1:$B$15025,MATCH($A65,CS!$B:$B,0)+COLUMN(J$1),1))</f>
        <v>#N/A</v>
      </c>
      <c r="BR65" s="41" t="s">
        <v>2741</v>
      </c>
      <c r="BS65" s="74"/>
    </row>
    <row r="66" ht="18.75" customHeight="1" outlineLevel="1">
      <c r="A66" s="39" t="s">
        <v>1396</v>
      </c>
      <c r="B66" s="71"/>
      <c r="C66" s="39" t="s">
        <v>2684</v>
      </c>
      <c r="D66" s="72" t="str">
        <f t="shared" si="1"/>
        <v>530/530/0</v>
      </c>
      <c r="E66" s="39">
        <v>2.0</v>
      </c>
      <c r="F66" s="39">
        <v>65.0</v>
      </c>
      <c r="I66" s="39">
        <v>65.0</v>
      </c>
      <c r="J66" s="39">
        <v>45.0</v>
      </c>
      <c r="K66" s="87">
        <v>95.0</v>
      </c>
      <c r="L66" s="39">
        <v>95.0</v>
      </c>
      <c r="M66" s="39">
        <v>90.0</v>
      </c>
      <c r="N66" s="39">
        <v>75.0</v>
      </c>
      <c r="O66" s="39">
        <v>170.0</v>
      </c>
      <c r="P66" s="39">
        <v>-75.0</v>
      </c>
      <c r="Q66" s="64"/>
      <c r="R66" s="64"/>
      <c r="S66" s="64"/>
      <c r="T66" s="64"/>
      <c r="U66" s="64"/>
      <c r="V66" s="64"/>
      <c r="W66" s="64"/>
      <c r="X66" s="64"/>
      <c r="Y66" s="64"/>
      <c r="Z66" s="64"/>
      <c r="AA66" s="64"/>
      <c r="AJ66" s="39">
        <v>0.0</v>
      </c>
      <c r="AK66" s="39">
        <v>0.0</v>
      </c>
      <c r="AL66" s="39">
        <v>0.0</v>
      </c>
      <c r="AM66" s="39">
        <v>0.0</v>
      </c>
      <c r="AN66" s="39">
        <v>0.0</v>
      </c>
      <c r="AO66" s="39">
        <v>0.0</v>
      </c>
      <c r="AP66" s="39">
        <v>0.0</v>
      </c>
      <c r="AQ66" s="39">
        <v>50.0</v>
      </c>
      <c r="AR66" s="39">
        <v>0.0</v>
      </c>
      <c r="AS66" s="39">
        <v>-25.0</v>
      </c>
      <c r="AT66" s="39">
        <v>-25.0</v>
      </c>
      <c r="AU66" s="39">
        <v>-25.0</v>
      </c>
      <c r="AV66" s="39">
        <v>-25.0</v>
      </c>
      <c r="AW66" s="39">
        <v>0.0</v>
      </c>
      <c r="AX66" s="39">
        <v>0.0</v>
      </c>
      <c r="AY66" s="39">
        <v>50.0</v>
      </c>
      <c r="AZ66" s="39">
        <v>0.0</v>
      </c>
      <c r="BG66" s="37" t="str">
        <f t="array" ref="BG66">IF($A66="","", INDEX(CS!$B$1:$B$15025,MATCH($A66,CS!$B:$B,0)+COLUMN(A$1),1))</f>
        <v>霊刃</v>
      </c>
      <c r="BH66" s="37" t="str">
        <f t="array" ref="BH66">IF($A66="","", INDEX(CS!$B$1:$B$15025,MATCH($A66,CS!$B:$B,0)+COLUMN(B$1),1))</f>
        <v/>
      </c>
      <c r="BI66" s="37" t="str">
        <f t="array" ref="BI66">IF($A66="","", INDEX(CS!$B$1:$B$15025,MATCH($A66,CS!$B:$B,0)+COLUMN(C$1),1))</f>
        <v>影潜り</v>
      </c>
      <c r="BJ66" s="37" t="str">
        <f t="array" ref="BJ66">IF($A66="","", INDEX(CS!$B$1:$B$15025,MATCH($A66,CS!$B:$B,0)+COLUMN(D$1),1))</f>
        <v/>
      </c>
      <c r="BK66" s="37" t="str">
        <f t="array" ref="BK66">IF($A66="","", INDEX(CS!$B$1:$B$15025,MATCH($A66,CS!$B:$B,0)+COLUMN(E$1),1))</f>
        <v>霊体強化</v>
      </c>
      <c r="BL66" s="37" t="str">
        <f t="array" ref="BL66">IF($A66="","", INDEX(CS!$B$1:$B$15025,MATCH($A66,CS!$B:$B,0)+COLUMN(F$1),1))</f>
        <v/>
      </c>
      <c r="BM66" s="37" t="str">
        <f t="array" ref="BM66">IF($A66="","", INDEX(CS!$B$1:$B$15025,MATCH($A66,CS!$B:$B,0)+COLUMN(G$1),1))</f>
        <v>魂削り</v>
      </c>
      <c r="BN66" s="37" t="str">
        <f t="array" ref="BN66">IF($A66="","", INDEX(CS!$B$1:$B$15025,MATCH($A66,CS!$B:$B,0)+COLUMN(H$1),1))</f>
        <v/>
      </c>
      <c r="BO66" s="37" t="str">
        <f t="array" ref="BO66">IF($A66="","", INDEX(CS!$B$1:$B$15025,MATCH($A66,CS!$B:$B,0)+COLUMN(I$1),1))</f>
        <v>恐慌の気配</v>
      </c>
      <c r="BP66" s="37" t="str">
        <f t="array" ref="BP66">IF($A66="","", INDEX(CS!$B$1:$B$15025,MATCH($A66,CS!$B:$B,0)+COLUMN(J$1),1))</f>
        <v>死の接触</v>
      </c>
      <c r="BR66" s="39" t="s">
        <v>2742</v>
      </c>
      <c r="BS66" s="74"/>
      <c r="BU66" s="39" t="s">
        <v>2743</v>
      </c>
    </row>
    <row r="67" ht="18.75" customHeight="1" outlineLevel="1">
      <c r="A67" s="39" t="s">
        <v>1409</v>
      </c>
      <c r="B67" s="71"/>
      <c r="C67" s="39" t="s">
        <v>2684</v>
      </c>
      <c r="D67" s="72" t="str">
        <f t="shared" si="1"/>
        <v>555/555/0</v>
      </c>
      <c r="E67" s="41">
        <v>3.0</v>
      </c>
      <c r="F67" s="39">
        <v>60.0</v>
      </c>
      <c r="I67" s="39">
        <v>55.0</v>
      </c>
      <c r="J67" s="39">
        <v>40.0</v>
      </c>
      <c r="K67" s="87">
        <v>110.0</v>
      </c>
      <c r="L67" s="39">
        <v>115.0</v>
      </c>
      <c r="M67" s="39">
        <v>100.0</v>
      </c>
      <c r="N67" s="39">
        <v>75.0</v>
      </c>
      <c r="O67" s="39">
        <v>170.0</v>
      </c>
      <c r="P67" s="39">
        <v>-75.0</v>
      </c>
      <c r="Q67" s="64"/>
      <c r="R67" s="64"/>
      <c r="S67" s="64"/>
      <c r="T67" s="64"/>
      <c r="U67" s="64"/>
      <c r="V67" s="64"/>
      <c r="W67" s="64"/>
      <c r="X67" s="64"/>
      <c r="Y67" s="64"/>
      <c r="Z67" s="64"/>
      <c r="AA67" s="64"/>
      <c r="AJ67" s="39">
        <v>0.0</v>
      </c>
      <c r="AK67" s="39">
        <v>50.0</v>
      </c>
      <c r="AL67" s="39">
        <v>0.0</v>
      </c>
      <c r="AM67" s="39">
        <v>0.0</v>
      </c>
      <c r="AN67" s="39">
        <v>0.0</v>
      </c>
      <c r="AO67" s="39">
        <v>0.0</v>
      </c>
      <c r="AP67" s="39">
        <v>0.0</v>
      </c>
      <c r="AQ67" s="39">
        <v>0.0</v>
      </c>
      <c r="AR67" s="39">
        <v>0.0</v>
      </c>
      <c r="AS67" s="39">
        <v>-25.0</v>
      </c>
      <c r="AT67" s="39">
        <v>-25.0</v>
      </c>
      <c r="AU67" s="39">
        <v>-25.0</v>
      </c>
      <c r="AV67" s="39">
        <v>-25.0</v>
      </c>
      <c r="AW67" s="39">
        <v>0.0</v>
      </c>
      <c r="AX67" s="39">
        <v>0.0</v>
      </c>
      <c r="AY67" s="39">
        <v>50.0</v>
      </c>
      <c r="AZ67" s="39">
        <v>0.0</v>
      </c>
      <c r="BG67" s="37" t="str">
        <f t="array" ref="BG67">IF($A67="","", INDEX(CS!$B$1:$B$15025,MATCH($A67,CS!$B:$B,0)+COLUMN(A$1),1))</f>
        <v>嘆きの声</v>
      </c>
      <c r="BH67" s="37" t="str">
        <f t="array" ref="BH67">IF($A67="","", INDEX(CS!$B$1:$B$15025,MATCH($A67,CS!$B:$B,0)+COLUMN(B$1),1))</f>
        <v/>
      </c>
      <c r="BI67" s="37" t="str">
        <f t="array" ref="BI67">IF($A67="","", INDEX(CS!$B$1:$B$15025,MATCH($A67,CS!$B:$B,0)+COLUMN(C$1),1))</f>
        <v>バンシーの絶叫</v>
      </c>
      <c r="BJ67" s="37" t="str">
        <f t="array" ref="BJ67">IF($A67="","", INDEX(CS!$B$1:$B$15025,MATCH($A67,CS!$B:$B,0)+COLUMN(D$1),1))</f>
        <v/>
      </c>
      <c r="BK67" s="37" t="str">
        <f t="array" ref="BK67">IF($A67="","", INDEX(CS!$B$1:$B$15025,MATCH($A67,CS!$B:$B,0)+COLUMN(E$1),1))</f>
        <v>悲嘆の霊体</v>
      </c>
      <c r="BL67" s="37" t="str">
        <f t="array" ref="BL67">IF($A67="","", INDEX(CS!$B$1:$B$15025,MATCH($A67,CS!$B:$B,0)+COLUMN(F$1),1))</f>
        <v/>
      </c>
      <c r="BM67" s="37" t="str">
        <f t="array" ref="BM67">IF($A67="","", INDEX(CS!$B$1:$B$15025,MATCH($A67,CS!$B:$B,0)+COLUMN(G$1),1))</f>
        <v>予兆の泣き声</v>
      </c>
      <c r="BN67" s="37" t="str">
        <f t="array" ref="BN67">IF($A67="","", INDEX(CS!$B$1:$B$15025,MATCH($A67,CS!$B:$B,0)+COLUMN(H$1),1))</f>
        <v/>
      </c>
      <c r="BO67" s="37" t="str">
        <f t="array" ref="BO67">IF($A67="","", INDEX(CS!$B$1:$B$15025,MATCH($A67,CS!$B:$B,0)+COLUMN(I$1),1))</f>
        <v>魂震え</v>
      </c>
      <c r="BP67" s="37" t="str">
        <f t="array" ref="BP67">IF($A67="","", INDEX(CS!$B$1:$B$15025,MATCH($A67,CS!$B:$B,0)+COLUMN(J$1),1))</f>
        <v>死を告げる絶叫</v>
      </c>
      <c r="BR67" s="39" t="s">
        <v>2742</v>
      </c>
      <c r="BS67" s="74"/>
      <c r="BU67" s="39" t="s">
        <v>2743</v>
      </c>
    </row>
    <row r="68" ht="18.75" customHeight="1">
      <c r="A68" s="41" t="s">
        <v>2744</v>
      </c>
      <c r="B68" s="71"/>
      <c r="C68" s="39" t="s">
        <v>2684</v>
      </c>
      <c r="D68" s="72" t="str">
        <f t="shared" si="1"/>
        <v>565/565/0</v>
      </c>
      <c r="E68" s="41">
        <v>3.0</v>
      </c>
      <c r="F68" s="39">
        <v>85.0</v>
      </c>
      <c r="I68" s="39">
        <v>70.0</v>
      </c>
      <c r="J68" s="39">
        <v>50.0</v>
      </c>
      <c r="K68" s="87">
        <v>100.0</v>
      </c>
      <c r="L68" s="39">
        <v>110.0</v>
      </c>
      <c r="M68" s="39">
        <v>80.0</v>
      </c>
      <c r="N68" s="39">
        <v>70.0</v>
      </c>
      <c r="O68" s="39">
        <v>170.0</v>
      </c>
      <c r="P68" s="39">
        <v>-100.0</v>
      </c>
      <c r="Q68" s="64"/>
      <c r="R68" s="64"/>
      <c r="S68" s="64"/>
      <c r="T68" s="64"/>
      <c r="U68" s="64"/>
      <c r="V68" s="64"/>
      <c r="W68" s="64"/>
      <c r="X68" s="64"/>
      <c r="Y68" s="64"/>
      <c r="Z68" s="64"/>
      <c r="AA68" s="64"/>
      <c r="AJ68" s="39">
        <v>0.0</v>
      </c>
      <c r="AK68" s="39">
        <v>75.0</v>
      </c>
      <c r="AL68" s="39">
        <v>0.0</v>
      </c>
      <c r="AM68" s="39">
        <v>0.0</v>
      </c>
      <c r="AN68" s="39">
        <v>0.0</v>
      </c>
      <c r="AO68" s="39">
        <v>0.0</v>
      </c>
      <c r="AP68" s="39">
        <v>0.0</v>
      </c>
      <c r="AQ68" s="39">
        <v>0.0</v>
      </c>
      <c r="AR68" s="39">
        <v>0.0</v>
      </c>
      <c r="AS68" s="39">
        <v>-25.0</v>
      </c>
      <c r="AT68" s="39">
        <v>-25.0</v>
      </c>
      <c r="AU68" s="39">
        <v>-25.0</v>
      </c>
      <c r="AV68" s="39">
        <v>-25.0</v>
      </c>
      <c r="AW68" s="39">
        <v>0.0</v>
      </c>
      <c r="AX68" s="39">
        <v>0.0</v>
      </c>
      <c r="AY68" s="39">
        <v>25.0</v>
      </c>
      <c r="AZ68" s="39">
        <v>0.0</v>
      </c>
      <c r="BG68" s="37" t="str">
        <f t="array" ref="BG68">IF($A68="","", INDEX(CS!$B$1:$B$15025,MATCH($A68,CS!$B:$B,0)+COLUMN(A$1),1))</f>
        <v>#N/A</v>
      </c>
      <c r="BH68" s="37" t="str">
        <f t="array" ref="BH68">IF($A68="","", INDEX(CS!$B$1:$B$15025,MATCH($A68,CS!$B:$B,0)+COLUMN(B$1),1))</f>
        <v>#N/A</v>
      </c>
      <c r="BI68" s="37" t="str">
        <f t="array" ref="BI68">IF($A68="","", INDEX(CS!$B$1:$B$15025,MATCH($A68,CS!$B:$B,0)+COLUMN(C$1),1))</f>
        <v>#N/A</v>
      </c>
      <c r="BJ68" s="37" t="str">
        <f t="array" ref="BJ68">IF($A68="","", INDEX(CS!$B$1:$B$15025,MATCH($A68,CS!$B:$B,0)+COLUMN(D$1),1))</f>
        <v>#N/A</v>
      </c>
      <c r="BK68" s="37" t="str">
        <f t="array" ref="BK68">IF($A68="","", INDEX(CS!$B$1:$B$15025,MATCH($A68,CS!$B:$B,0)+COLUMN(E$1),1))</f>
        <v>#N/A</v>
      </c>
      <c r="BL68" s="37" t="str">
        <f t="array" ref="BL68">IF($A68="","", INDEX(CS!$B$1:$B$15025,MATCH($A68,CS!$B:$B,0)+COLUMN(F$1),1))</f>
        <v>#N/A</v>
      </c>
      <c r="BM68" s="37" t="str">
        <f t="array" ref="BM68">IF($A68="","", INDEX(CS!$B$1:$B$15025,MATCH($A68,CS!$B:$B,0)+COLUMN(G$1),1))</f>
        <v>#N/A</v>
      </c>
      <c r="BN68" s="37" t="str">
        <f t="array" ref="BN68">IF($A68="","", INDEX(CS!$B$1:$B$15025,MATCH($A68,CS!$B:$B,0)+COLUMN(H$1),1))</f>
        <v>#N/A</v>
      </c>
      <c r="BO68" s="37" t="str">
        <f t="array" ref="BO68">IF($A68="","", INDEX(CS!$B$1:$B$15025,MATCH($A68,CS!$B:$B,0)+COLUMN(I$1),1))</f>
        <v>#N/A</v>
      </c>
      <c r="BP68" s="37" t="str">
        <f t="array" ref="BP68">IF($A68="","", INDEX(CS!$B$1:$B$15025,MATCH($A68,CS!$B:$B,0)+COLUMN(J$1),1))</f>
        <v>#N/A</v>
      </c>
      <c r="BR68" s="39" t="s">
        <v>2745</v>
      </c>
      <c r="BS68" s="74"/>
      <c r="BU68" s="39" t="s">
        <v>2746</v>
      </c>
    </row>
    <row r="69" ht="18.75" customHeight="1">
      <c r="A69" s="39" t="s">
        <v>1448</v>
      </c>
      <c r="B69" s="71"/>
      <c r="C69" s="39" t="s">
        <v>2684</v>
      </c>
      <c r="D69" s="72" t="str">
        <f t="shared" si="1"/>
        <v>535/535/0</v>
      </c>
      <c r="E69" s="39">
        <v>2.0</v>
      </c>
      <c r="F69" s="39">
        <v>100.0</v>
      </c>
      <c r="I69" s="39">
        <v>105.0</v>
      </c>
      <c r="J69" s="39">
        <v>80.0</v>
      </c>
      <c r="K69" s="87">
        <v>50.0</v>
      </c>
      <c r="L69" s="39">
        <v>65.0</v>
      </c>
      <c r="M69" s="39">
        <v>65.0</v>
      </c>
      <c r="N69" s="39">
        <v>70.0</v>
      </c>
      <c r="O69" s="39">
        <v>170.0</v>
      </c>
      <c r="P69" s="39">
        <v>-50.0</v>
      </c>
      <c r="Q69" s="64"/>
      <c r="R69" s="64"/>
      <c r="S69" s="64"/>
      <c r="T69" s="64"/>
      <c r="U69" s="64"/>
      <c r="V69" s="64"/>
      <c r="W69" s="64"/>
      <c r="X69" s="64"/>
      <c r="Y69" s="64"/>
      <c r="Z69" s="64"/>
      <c r="AA69" s="64"/>
      <c r="AJ69" s="39">
        <v>25.0</v>
      </c>
      <c r="AK69" s="39">
        <v>25.0</v>
      </c>
      <c r="AL69" s="39">
        <v>0.0</v>
      </c>
      <c r="AM69" s="39">
        <v>0.0</v>
      </c>
      <c r="AN69" s="39">
        <v>25.0</v>
      </c>
      <c r="AO69" s="39">
        <v>0.0</v>
      </c>
      <c r="AP69" s="39">
        <v>0.0</v>
      </c>
      <c r="AQ69" s="39">
        <v>0.0</v>
      </c>
      <c r="AR69" s="39">
        <v>25.0</v>
      </c>
      <c r="AS69" s="39">
        <v>-25.0</v>
      </c>
      <c r="AT69" s="39">
        <v>-25.0</v>
      </c>
      <c r="AU69" s="39">
        <v>-25.0</v>
      </c>
      <c r="AV69" s="39">
        <v>-25.0</v>
      </c>
      <c r="AW69" s="39">
        <v>0.0</v>
      </c>
      <c r="AX69" s="39">
        <v>0.0</v>
      </c>
      <c r="AY69" s="39">
        <v>0.0</v>
      </c>
      <c r="AZ69" s="39">
        <v>0.0</v>
      </c>
      <c r="BG69" s="37" t="str">
        <f t="array" ref="BG69">IF($A69="","", INDEX(CS!$B$1:$B$15025,MATCH($A69,CS!$B:$B,0)+COLUMN(A$1),1))</f>
        <v>首無し騎士</v>
      </c>
      <c r="BH69" s="37" t="str">
        <f t="array" ref="BH69">IF($A69="","", INDEX(CS!$B$1:$B$15025,MATCH($A69,CS!$B:$B,0)+COLUMN(B$1),1))</f>
        <v/>
      </c>
      <c r="BI69" s="37" t="str">
        <f t="array" ref="BI69">IF($A69="","", INDEX(CS!$B$1:$B$15025,MATCH($A69,CS!$B:$B,0)+COLUMN(C$1),1))</f>
        <v>首狩り</v>
      </c>
      <c r="BJ69" s="37" t="str">
        <f t="array" ref="BJ69">IF($A69="","", INDEX(CS!$B$1:$B$15025,MATCH($A69,CS!$B:$B,0)+COLUMN(D$1),1))</f>
        <v/>
      </c>
      <c r="BK69" s="37" t="str">
        <f t="array" ref="BK69">IF($A69="","", INDEX(CS!$B$1:$B$15025,MATCH($A69,CS!$B:$B,0)+COLUMN(E$1),1))</f>
        <v>黒鎧</v>
      </c>
      <c r="BL69" s="37" t="str">
        <f t="array" ref="BL69">IF($A69="","", INDEX(CS!$B$1:$B$15025,MATCH($A69,CS!$B:$B,0)+COLUMN(F$1),1))</f>
        <v/>
      </c>
      <c r="BM69" s="37" t="str">
        <f t="array" ref="BM69">IF($A69="","", INDEX(CS!$B$1:$B$15025,MATCH($A69,CS!$B:$B,0)+COLUMN(G$1),1))</f>
        <v>死騎士の突撃</v>
      </c>
      <c r="BN69" s="37" t="str">
        <f t="array" ref="BN69">IF($A69="","", INDEX(CS!$B$1:$B$15025,MATCH($A69,CS!$B:$B,0)+COLUMN(H$1),1))</f>
        <v/>
      </c>
      <c r="BO69" s="37" t="str">
        <f t="array" ref="BO69">IF($A69="","", INDEX(CS!$B$1:$B$15025,MATCH($A69,CS!$B:$B,0)+COLUMN(I$1),1))</f>
        <v>首無しの眼</v>
      </c>
      <c r="BP69" s="37" t="str">
        <f t="array" ref="BP69">IF($A69="","", INDEX(CS!$B$1:$B$15025,MATCH($A69,CS!$B:$B,0)+COLUMN(J$1),1))</f>
        <v>死騎士の威光</v>
      </c>
      <c r="BR69" s="39" t="s">
        <v>2734</v>
      </c>
      <c r="BS69" s="74"/>
      <c r="BU69" s="39" t="s">
        <v>2747</v>
      </c>
    </row>
    <row r="70" ht="18.75" customHeight="1">
      <c r="A70" s="39" t="s">
        <v>1462</v>
      </c>
      <c r="B70" s="71"/>
      <c r="C70" s="39" t="s">
        <v>2684</v>
      </c>
      <c r="D70" s="72" t="str">
        <f t="shared" si="1"/>
        <v>560/560/0</v>
      </c>
      <c r="E70" s="39">
        <v>3.0</v>
      </c>
      <c r="F70" s="39">
        <v>100.0</v>
      </c>
      <c r="I70" s="39">
        <v>105.0</v>
      </c>
      <c r="J70" s="39">
        <v>80.0</v>
      </c>
      <c r="K70" s="87">
        <v>60.0</v>
      </c>
      <c r="L70" s="39">
        <v>70.0</v>
      </c>
      <c r="M70" s="39">
        <v>70.0</v>
      </c>
      <c r="N70" s="39">
        <v>75.0</v>
      </c>
      <c r="O70" s="39">
        <v>170.0</v>
      </c>
      <c r="P70" s="39">
        <v>-50.0</v>
      </c>
      <c r="Q70" s="64"/>
      <c r="R70" s="64"/>
      <c r="S70" s="64"/>
      <c r="T70" s="64"/>
      <c r="U70" s="64"/>
      <c r="V70" s="64"/>
      <c r="W70" s="64"/>
      <c r="X70" s="64"/>
      <c r="Y70" s="64"/>
      <c r="Z70" s="64"/>
      <c r="AA70" s="64"/>
      <c r="AJ70" s="39">
        <v>25.0</v>
      </c>
      <c r="AK70" s="39">
        <v>25.0</v>
      </c>
      <c r="AL70" s="39">
        <v>0.0</v>
      </c>
      <c r="AM70" s="39">
        <v>0.0</v>
      </c>
      <c r="AN70" s="39">
        <v>0.0</v>
      </c>
      <c r="AO70" s="39">
        <v>0.0</v>
      </c>
      <c r="AP70" s="39">
        <v>0.0</v>
      </c>
      <c r="AQ70" s="39">
        <v>0.0</v>
      </c>
      <c r="AR70" s="39">
        <v>25.0</v>
      </c>
      <c r="AS70" s="39">
        <v>-25.0</v>
      </c>
      <c r="AT70" s="39">
        <v>-25.0</v>
      </c>
      <c r="AU70" s="39">
        <v>-25.0</v>
      </c>
      <c r="AV70" s="39">
        <v>-25.0</v>
      </c>
      <c r="AW70" s="39">
        <v>0.0</v>
      </c>
      <c r="AX70" s="39">
        <v>0.0</v>
      </c>
      <c r="AY70" s="39">
        <v>25.0</v>
      </c>
      <c r="AZ70" s="39">
        <v>0.0</v>
      </c>
      <c r="BG70" s="37" t="str">
        <f t="array" ref="BG70">IF($A70="","", INDEX(CS!$B$1:$B$15025,MATCH($A70,CS!$B:$B,0)+COLUMN(A$1),1))</f>
        <v>蒼炎の鎧</v>
      </c>
      <c r="BH70" s="37" t="str">
        <f t="array" ref="BH70">IF($A70="","", INDEX(CS!$B$1:$B$15025,MATCH($A70,CS!$B:$B,0)+COLUMN(B$1),1))</f>
        <v/>
      </c>
      <c r="BI70" s="37" t="str">
        <f t="array" ref="BI70">IF($A70="","", INDEX(CS!$B$1:$B$15025,MATCH($A70,CS!$B:$B,0)+COLUMN(C$1),1))</f>
        <v>蒼炎斬</v>
      </c>
      <c r="BJ70" s="37" t="str">
        <f t="array" ref="BJ70">IF($A70="","", INDEX(CS!$B$1:$B$15025,MATCH($A70,CS!$B:$B,0)+COLUMN(D$1),1))</f>
        <v/>
      </c>
      <c r="BK70" s="37" t="str">
        <f t="array" ref="BK70">IF($A70="","", INDEX(CS!$B$1:$B$15025,MATCH($A70,CS!$B:$B,0)+COLUMN(E$1),1))</f>
        <v>蒼炎纏い</v>
      </c>
      <c r="BL70" s="37" t="str">
        <f t="array" ref="BL70">IF($A70="","", INDEX(CS!$B$1:$B$15025,MATCH($A70,CS!$B:$B,0)+COLUMN(F$1),1))</f>
        <v/>
      </c>
      <c r="BM70" s="37" t="str">
        <f t="array" ref="BM70">IF($A70="","", INDEX(CS!$B$1:$B$15025,MATCH($A70,CS!$B:$B,0)+COLUMN(G$1),1))</f>
        <v>鬼火突撃</v>
      </c>
      <c r="BN70" s="37" t="str">
        <f t="array" ref="BN70">IF($A70="","", INDEX(CS!$B$1:$B$15025,MATCH($A70,CS!$B:$B,0)+COLUMN(H$1),1))</f>
        <v/>
      </c>
      <c r="BO70" s="37" t="str">
        <f t="array" ref="BO70">IF($A70="","", INDEX(CS!$B$1:$B$15025,MATCH($A70,CS!$B:$B,0)+COLUMN(I$1),1))</f>
        <v>蒼炎の首狩り</v>
      </c>
      <c r="BP70" s="37" t="str">
        <f t="array" ref="BP70">IF($A70="","", INDEX(CS!$B$1:$B$15025,MATCH($A70,CS!$B:$B,0)+COLUMN(J$1),1))</f>
        <v>蒼炎騎士王</v>
      </c>
      <c r="BR70" s="39" t="s">
        <v>2748</v>
      </c>
      <c r="BS70" s="74"/>
      <c r="BU70" s="39" t="s">
        <v>2749</v>
      </c>
    </row>
    <row r="71" ht="18.75" customHeight="1">
      <c r="A71" s="41"/>
      <c r="B71" s="71"/>
      <c r="C71" s="37" t="s">
        <v>2684</v>
      </c>
      <c r="D71" s="72" t="str">
        <f t="shared" si="1"/>
        <v>0/0/0</v>
      </c>
      <c r="E71" s="37">
        <v>1.0</v>
      </c>
      <c r="K71" s="73"/>
      <c r="P71" s="37" t="s">
        <v>29</v>
      </c>
      <c r="Q71" s="64"/>
      <c r="R71" s="64"/>
      <c r="S71" s="64"/>
      <c r="T71" s="64"/>
      <c r="U71" s="64"/>
      <c r="V71" s="64"/>
      <c r="W71" s="64"/>
      <c r="X71" s="64"/>
      <c r="Y71" s="64"/>
      <c r="Z71" s="64"/>
      <c r="AA71" s="64"/>
      <c r="BG71" s="37" t="str">
        <f t="array" ref="BG71">IF($A71="","", INDEX(CS!$B$1:$B$15025,MATCH($A71,CS!$B:$B,0)+COLUMN(A$1),1))</f>
        <v/>
      </c>
      <c r="BH71" s="37" t="str">
        <f t="array" ref="BH71">IF($A71="","", INDEX(CS!$B$1:$B$15025,MATCH($A71,CS!$B:$B,0)+COLUMN(B$1),1))</f>
        <v/>
      </c>
      <c r="BI71" s="37" t="str">
        <f t="array" ref="BI71">IF($A71="","", INDEX(CS!$B$1:$B$15025,MATCH($A71,CS!$B:$B,0)+COLUMN(C$1),1))</f>
        <v/>
      </c>
      <c r="BJ71" s="37" t="str">
        <f t="array" ref="BJ71">IF($A71="","", INDEX(CS!$B$1:$B$15025,MATCH($A71,CS!$B:$B,0)+COLUMN(D$1),1))</f>
        <v/>
      </c>
      <c r="BK71" s="37" t="str">
        <f t="array" ref="BK71">IF($A71="","", INDEX(CS!$B$1:$B$15025,MATCH($A71,CS!$B:$B,0)+COLUMN(E$1),1))</f>
        <v/>
      </c>
      <c r="BL71" s="37" t="str">
        <f t="array" ref="BL71">IF($A71="","", INDEX(CS!$B$1:$B$15025,MATCH($A71,CS!$B:$B,0)+COLUMN(F$1),1))</f>
        <v/>
      </c>
      <c r="BM71" s="37" t="str">
        <f t="array" ref="BM71">IF($A71="","", INDEX(CS!$B$1:$B$15025,MATCH($A71,CS!$B:$B,0)+COLUMN(G$1),1))</f>
        <v/>
      </c>
      <c r="BN71" s="37" t="str">
        <f t="array" ref="BN71">IF($A71="","", INDEX(CS!$B$1:$B$15025,MATCH($A71,CS!$B:$B,0)+COLUMN(H$1),1))</f>
        <v/>
      </c>
      <c r="BO71" s="37" t="str">
        <f t="array" ref="BO71">IF($A71="","", INDEX(CS!$B$1:$B$15025,MATCH($A71,CS!$B:$B,0)+COLUMN(I$1),1))</f>
        <v/>
      </c>
      <c r="BP71" s="37" t="str">
        <f t="array" ref="BP71">IF($A71="","", INDEX(CS!$B$1:$B$15025,MATCH($A71,CS!$B:$B,0)+COLUMN(J$1),1))</f>
        <v/>
      </c>
      <c r="BS71" s="74"/>
    </row>
    <row r="72" ht="18.75" customHeight="1">
      <c r="A72" s="41"/>
      <c r="B72" s="71"/>
      <c r="C72" s="37" t="s">
        <v>2684</v>
      </c>
      <c r="D72" s="72" t="str">
        <f t="shared" si="1"/>
        <v>0/0/0</v>
      </c>
      <c r="E72" s="37">
        <v>1.0</v>
      </c>
      <c r="K72" s="73"/>
      <c r="P72" s="37" t="s">
        <v>29</v>
      </c>
      <c r="Q72" s="64"/>
      <c r="R72" s="64"/>
      <c r="S72" s="64"/>
      <c r="T72" s="64"/>
      <c r="U72" s="64"/>
      <c r="V72" s="64"/>
      <c r="W72" s="64"/>
      <c r="X72" s="64"/>
      <c r="Y72" s="64"/>
      <c r="Z72" s="64"/>
      <c r="AA72" s="64"/>
      <c r="BG72" s="37" t="str">
        <f t="array" ref="BG72">IF($A72="","", INDEX(CS!$B$1:$B$15025,MATCH($A72,CS!$B:$B,0)+COLUMN(A$1),1))</f>
        <v/>
      </c>
      <c r="BH72" s="37" t="str">
        <f t="array" ref="BH72">IF($A72="","", INDEX(CS!$B$1:$B$15025,MATCH($A72,CS!$B:$B,0)+COLUMN(B$1),1))</f>
        <v/>
      </c>
      <c r="BI72" s="37" t="str">
        <f t="array" ref="BI72">IF($A72="","", INDEX(CS!$B$1:$B$15025,MATCH($A72,CS!$B:$B,0)+COLUMN(C$1),1))</f>
        <v/>
      </c>
      <c r="BJ72" s="37" t="str">
        <f t="array" ref="BJ72">IF($A72="","", INDEX(CS!$B$1:$B$15025,MATCH($A72,CS!$B:$B,0)+COLUMN(D$1),1))</f>
        <v/>
      </c>
      <c r="BK72" s="37" t="str">
        <f t="array" ref="BK72">IF($A72="","", INDEX(CS!$B$1:$B$15025,MATCH($A72,CS!$B:$B,0)+COLUMN(E$1),1))</f>
        <v/>
      </c>
      <c r="BL72" s="37" t="str">
        <f t="array" ref="BL72">IF($A72="","", INDEX(CS!$B$1:$B$15025,MATCH($A72,CS!$B:$B,0)+COLUMN(F$1),1))</f>
        <v/>
      </c>
      <c r="BM72" s="37" t="str">
        <f t="array" ref="BM72">IF($A72="","", INDEX(CS!$B$1:$B$15025,MATCH($A72,CS!$B:$B,0)+COLUMN(G$1),1))</f>
        <v/>
      </c>
      <c r="BN72" s="37" t="str">
        <f t="array" ref="BN72">IF($A72="","", INDEX(CS!$B$1:$B$15025,MATCH($A72,CS!$B:$B,0)+COLUMN(H$1),1))</f>
        <v/>
      </c>
      <c r="BO72" s="37" t="str">
        <f t="array" ref="BO72">IF($A72="","", INDEX(CS!$B$1:$B$15025,MATCH($A72,CS!$B:$B,0)+COLUMN(I$1),1))</f>
        <v/>
      </c>
      <c r="BP72" s="37" t="str">
        <f t="array" ref="BP72">IF($A72="","", INDEX(CS!$B$1:$B$15025,MATCH($A72,CS!$B:$B,0)+COLUMN(J$1),1))</f>
        <v/>
      </c>
      <c r="BS72" s="74"/>
    </row>
    <row r="73" ht="18.75" customHeight="1">
      <c r="A73" s="41"/>
      <c r="B73" s="71"/>
      <c r="C73" s="37" t="s">
        <v>2684</v>
      </c>
      <c r="D73" s="72" t="str">
        <f t="shared" si="1"/>
        <v>0/0/0</v>
      </c>
      <c r="E73" s="37">
        <v>1.0</v>
      </c>
      <c r="K73" s="73"/>
      <c r="P73" s="37" t="s">
        <v>29</v>
      </c>
      <c r="Q73" s="64"/>
      <c r="R73" s="64"/>
      <c r="S73" s="64"/>
      <c r="T73" s="64"/>
      <c r="U73" s="64"/>
      <c r="V73" s="64"/>
      <c r="W73" s="64"/>
      <c r="X73" s="64"/>
      <c r="Y73" s="64"/>
      <c r="Z73" s="64"/>
      <c r="AA73" s="64"/>
      <c r="BG73" s="37" t="str">
        <f t="array" ref="BG73">IF($A73="","", INDEX(CS!$B$1:$B$15025,MATCH($A73,CS!$B:$B,0)+COLUMN(A$1),1))</f>
        <v/>
      </c>
      <c r="BH73" s="37" t="str">
        <f t="array" ref="BH73">IF($A73="","", INDEX(CS!$B$1:$B$15025,MATCH($A73,CS!$B:$B,0)+COLUMN(B$1),1))</f>
        <v/>
      </c>
      <c r="BI73" s="37" t="str">
        <f t="array" ref="BI73">IF($A73="","", INDEX(CS!$B$1:$B$15025,MATCH($A73,CS!$B:$B,0)+COLUMN(C$1),1))</f>
        <v/>
      </c>
      <c r="BJ73" s="37" t="str">
        <f t="array" ref="BJ73">IF($A73="","", INDEX(CS!$B$1:$B$15025,MATCH($A73,CS!$B:$B,0)+COLUMN(D$1),1))</f>
        <v/>
      </c>
      <c r="BK73" s="37" t="str">
        <f t="array" ref="BK73">IF($A73="","", INDEX(CS!$B$1:$B$15025,MATCH($A73,CS!$B:$B,0)+COLUMN(E$1),1))</f>
        <v/>
      </c>
      <c r="BL73" s="37" t="str">
        <f t="array" ref="BL73">IF($A73="","", INDEX(CS!$B$1:$B$15025,MATCH($A73,CS!$B:$B,0)+COLUMN(F$1),1))</f>
        <v/>
      </c>
      <c r="BM73" s="37" t="str">
        <f t="array" ref="BM73">IF($A73="","", INDEX(CS!$B$1:$B$15025,MATCH($A73,CS!$B:$B,0)+COLUMN(G$1),1))</f>
        <v/>
      </c>
      <c r="BN73" s="37" t="str">
        <f t="array" ref="BN73">IF($A73="","", INDEX(CS!$B$1:$B$15025,MATCH($A73,CS!$B:$B,0)+COLUMN(H$1),1))</f>
        <v/>
      </c>
      <c r="BO73" s="37" t="str">
        <f t="array" ref="BO73">IF($A73="","", INDEX(CS!$B$1:$B$15025,MATCH($A73,CS!$B:$B,0)+COLUMN(I$1),1))</f>
        <v/>
      </c>
      <c r="BP73" s="37" t="str">
        <f t="array" ref="BP73">IF($A73="","", INDEX(CS!$B$1:$B$15025,MATCH($A73,CS!$B:$B,0)+COLUMN(J$1),1))</f>
        <v/>
      </c>
      <c r="BS73" s="74"/>
    </row>
    <row r="74" ht="18.75" customHeight="1">
      <c r="A74" s="25" t="s">
        <v>1477</v>
      </c>
      <c r="B74" s="71" t="s">
        <v>2750</v>
      </c>
      <c r="C74" s="37" t="s">
        <v>2684</v>
      </c>
      <c r="D74" s="72" t="str">
        <f t="shared" si="1"/>
        <v>690/515/175</v>
      </c>
      <c r="E74" s="37">
        <v>1.0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G74" s="37" t="str">
        <f t="array" ref="BG74">IF($A74="","", INDEX(CS!$B$1:$B$15025,MATCH($A74,CS!$B:$B,0)+COLUMN(A$1),1))</f>
        <v>炎の拳</v>
      </c>
      <c r="BH74" s="37" t="str">
        <f t="array" ref="BH74">IF($A74="","", INDEX(CS!$B$1:$B$15025,MATCH($A74,CS!$B:$B,0)+COLUMN(B$1),1))</f>
        <v/>
      </c>
      <c r="BI74" s="37" t="str">
        <f t="array" ref="BI74">IF($A74="","", INDEX(CS!$B$1:$B$15025,MATCH($A74,CS!$B:$B,0)+COLUMN(C$1),1))</f>
        <v>浮遊</v>
      </c>
      <c r="BJ74" s="37" t="str">
        <f t="array" ref="BJ74">IF($A74="","", INDEX(CS!$B$1:$B$15025,MATCH($A74,CS!$B:$B,0)+COLUMN(D$1),1))</f>
        <v/>
      </c>
      <c r="BK74" s="37" t="str">
        <f t="array" ref="BK74">IF($A74="","", INDEX(CS!$B$1:$B$15025,MATCH($A74,CS!$B:$B,0)+COLUMN(E$1),1))</f>
        <v>火炎</v>
      </c>
      <c r="BL74" s="37" t="str">
        <f t="array" ref="BL74">IF($A74="","", INDEX(CS!$B$1:$B$15025,MATCH($A74,CS!$B:$B,0)+COLUMN(F$1),1))</f>
        <v>炎の魔力</v>
      </c>
      <c r="BM74" s="37" t="str">
        <f t="array" ref="BM74">IF($A74="","", INDEX(CS!$B$1:$B$15025,MATCH($A74,CS!$B:$B,0)+COLUMN(G$1),1))</f>
        <v/>
      </c>
      <c r="BN74" s="37" t="str">
        <f t="array" ref="BN74">IF($A74="","", INDEX(CS!$B$1:$B$15025,MATCH($A74,CS!$B:$B,0)+COLUMN(H$1),1))</f>
        <v/>
      </c>
      <c r="BO74" s="37" t="str">
        <f t="array" ref="BO74">IF($A74="","", INDEX(CS!$B$1:$B$15025,MATCH($A74,CS!$B:$B,0)+COLUMN(I$1),1))</f>
        <v>炎の力</v>
      </c>
      <c r="BP74" s="37" t="str">
        <f t="array" ref="BP74">IF($A74="","", INDEX(CS!$B$1:$B$15025,MATCH($A74,CS!$B:$B,0)+COLUMN(J$1),1))</f>
        <v>炎の吐息</v>
      </c>
      <c r="BS74" s="74"/>
      <c r="CD74" s="37">
        <v>1.0</v>
      </c>
      <c r="CI74" s="37" t="s">
        <v>2732</v>
      </c>
      <c r="CJ74" s="37" t="s">
        <v>2732</v>
      </c>
      <c r="CK74" s="37" t="s">
        <v>2732</v>
      </c>
      <c r="CN74" s="37" t="s">
        <v>2750</v>
      </c>
    </row>
    <row r="75" ht="18.75" customHeight="1">
      <c r="A75" s="25" t="s">
        <v>1479</v>
      </c>
      <c r="B75" s="71" t="s">
        <v>2750</v>
      </c>
      <c r="C75" s="37" t="s">
        <v>2684</v>
      </c>
      <c r="D75" s="72" t="str">
        <f t="shared" si="1"/>
        <v>690/515/175</v>
      </c>
      <c r="E75" s="37">
        <v>1.0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G75" s="37" t="str">
        <f t="array" ref="BG75">IF($A75="","", INDEX(CS!$B$1:$B$15025,MATCH($A75,CS!$B:$B,0)+COLUMN(A$1),1))</f>
        <v>氷の拳</v>
      </c>
      <c r="BH75" s="37" t="str">
        <f t="array" ref="BH75">IF($A75="","", INDEX(CS!$B$1:$B$15025,MATCH($A75,CS!$B:$B,0)+COLUMN(B$1),1))</f>
        <v/>
      </c>
      <c r="BI75" s="37" t="str">
        <f t="array" ref="BI75">IF($A75="","", INDEX(CS!$B$1:$B$15025,MATCH($A75,CS!$B:$B,0)+COLUMN(C$1),1))</f>
        <v>浮遊</v>
      </c>
      <c r="BJ75" s="37" t="str">
        <f t="array" ref="BJ75">IF($A75="","", INDEX(CS!$B$1:$B$15025,MATCH($A75,CS!$B:$B,0)+COLUMN(D$1),1))</f>
        <v/>
      </c>
      <c r="BK75" s="37" t="str">
        <f t="array" ref="BK75">IF($A75="","", INDEX(CS!$B$1:$B$15025,MATCH($A75,CS!$B:$B,0)+COLUMN(E$1),1))</f>
        <v>冷気の光線</v>
      </c>
      <c r="BL75" s="37" t="str">
        <f t="array" ref="BL75">IF($A75="","", INDEX(CS!$B$1:$B$15025,MATCH($A75,CS!$B:$B,0)+COLUMN(F$1),1))</f>
        <v>氷の魔力</v>
      </c>
      <c r="BM75" s="37" t="str">
        <f t="array" ref="BM75">IF($A75="","", INDEX(CS!$B$1:$B$15025,MATCH($A75,CS!$B:$B,0)+COLUMN(G$1),1))</f>
        <v/>
      </c>
      <c r="BN75" s="37" t="str">
        <f t="array" ref="BN75">IF($A75="","", INDEX(CS!$B$1:$B$15025,MATCH($A75,CS!$B:$B,0)+COLUMN(H$1),1))</f>
        <v/>
      </c>
      <c r="BO75" s="37" t="str">
        <f t="array" ref="BO75">IF($A75="","", INDEX(CS!$B$1:$B$15025,MATCH($A75,CS!$B:$B,0)+COLUMN(I$1),1))</f>
        <v>氷の力</v>
      </c>
      <c r="BP75" s="37" t="str">
        <f t="array" ref="BP75">IF($A75="","", INDEX(CS!$B$1:$B$15025,MATCH($A75,CS!$B:$B,0)+COLUMN(J$1),1))</f>
        <v>氷の吐息</v>
      </c>
      <c r="BS75" s="74"/>
      <c r="CD75" s="37">
        <v>1.0</v>
      </c>
      <c r="CN75" s="37" t="s">
        <v>2750</v>
      </c>
    </row>
    <row r="76" ht="18.75" customHeight="1">
      <c r="A76" s="25" t="s">
        <v>1480</v>
      </c>
      <c r="B76" s="71" t="s">
        <v>2750</v>
      </c>
      <c r="C76" s="37" t="s">
        <v>2684</v>
      </c>
      <c r="D76" s="72" t="str">
        <f t="shared" si="1"/>
        <v>690/515/175</v>
      </c>
      <c r="E76" s="37">
        <v>1.0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G76" s="37" t="str">
        <f t="array" ref="BG76">IF($A76="","", INDEX(CS!$B$1:$B$15025,MATCH($A76,CS!$B:$B,0)+COLUMN(A$1),1))</f>
        <v>水の拳</v>
      </c>
      <c r="BH76" s="37" t="str">
        <f t="array" ref="BH76">IF($A76="","", INDEX(CS!$B$1:$B$15025,MATCH($A76,CS!$B:$B,0)+COLUMN(B$1),1))</f>
        <v/>
      </c>
      <c r="BI76" s="37" t="str">
        <f t="array" ref="BI76">IF($A76="","", INDEX(CS!$B$1:$B$15025,MATCH($A76,CS!$B:$B,0)+COLUMN(C$1),1))</f>
        <v>水の精霊</v>
      </c>
      <c r="BJ76" s="37" t="str">
        <f t="array" ref="BJ76">IF($A76="","", INDEX(CS!$B$1:$B$15025,MATCH($A76,CS!$B:$B,0)+COLUMN(D$1),1))</f>
        <v/>
      </c>
      <c r="BK76" s="37" t="str">
        <f t="array" ref="BK76">IF($A76="","", INDEX(CS!$B$1:$B$15025,MATCH($A76,CS!$B:$B,0)+COLUMN(E$1),1))</f>
        <v>水力</v>
      </c>
      <c r="BL76" s="37" t="str">
        <f t="array" ref="BL76">IF($A76="","", INDEX(CS!$B$1:$B$15025,MATCH($A76,CS!$B:$B,0)+COLUMN(F$1),1))</f>
        <v>水の魔力</v>
      </c>
      <c r="BM76" s="37" t="str">
        <f t="array" ref="BM76">IF($A76="","", INDEX(CS!$B$1:$B$15025,MATCH($A76,CS!$B:$B,0)+COLUMN(G$1),1))</f>
        <v/>
      </c>
      <c r="BN76" s="37" t="str">
        <f t="array" ref="BN76">IF($A76="","", INDEX(CS!$B$1:$B$15025,MATCH($A76,CS!$B:$B,0)+COLUMN(H$1),1))</f>
        <v/>
      </c>
      <c r="BO76" s="37" t="str">
        <f t="array" ref="BO76">IF($A76="","", INDEX(CS!$B$1:$B$15025,MATCH($A76,CS!$B:$B,0)+COLUMN(I$1),1))</f>
        <v>水の力</v>
      </c>
      <c r="BP76" s="37" t="str">
        <f t="array" ref="BP76">IF($A76="","", INDEX(CS!$B$1:$B$15025,MATCH($A76,CS!$B:$B,0)+COLUMN(J$1),1))</f>
        <v>水の吐息</v>
      </c>
      <c r="BS76" s="74"/>
      <c r="CD76" s="37">
        <v>1.0</v>
      </c>
      <c r="CN76" s="37" t="s">
        <v>2750</v>
      </c>
    </row>
    <row r="77" ht="18.75" customHeight="1">
      <c r="A77" s="25" t="s">
        <v>1489</v>
      </c>
      <c r="B77" s="71" t="s">
        <v>2750</v>
      </c>
      <c r="C77" s="37" t="s">
        <v>2684</v>
      </c>
      <c r="D77" s="72" t="str">
        <f t="shared" si="1"/>
        <v>690/515/175</v>
      </c>
      <c r="E77" s="37">
        <v>1.0</v>
      </c>
      <c r="F77" s="37">
        <v>75.0</v>
      </c>
      <c r="I77" s="37">
        <v>55.0</v>
      </c>
      <c r="J77" s="37">
        <v>60.0</v>
      </c>
      <c r="K77" s="73">
        <v>100.0</v>
      </c>
      <c r="L77" s="37">
        <v>85.0</v>
      </c>
      <c r="M77" s="37">
        <v>75.0</v>
      </c>
      <c r="N77" s="37">
        <v>65.0</v>
      </c>
      <c r="O77" s="37">
        <v>140.0</v>
      </c>
      <c r="P77" s="37">
        <v>0.0</v>
      </c>
      <c r="Q77" s="64">
        <v>-15.0</v>
      </c>
      <c r="R77" s="64"/>
      <c r="S77" s="64"/>
      <c r="T77" s="64"/>
      <c r="U77" s="64"/>
      <c r="V77" s="64">
        <v>100.0</v>
      </c>
      <c r="W77" s="64"/>
      <c r="X77" s="64"/>
      <c r="Y77" s="64">
        <v>100.0</v>
      </c>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G77" s="37" t="str">
        <f t="array" ref="BG77">IF($A77="","", INDEX(CS!$B$1:$B$15025,MATCH($A77,CS!$B:$B,0)+COLUMN(A$1),1))</f>
        <v>風の拳</v>
      </c>
      <c r="BH77" s="37" t="str">
        <f t="array" ref="BH77">IF($A77="","", INDEX(CS!$B$1:$B$15025,MATCH($A77,CS!$B:$B,0)+COLUMN(B$1),1))</f>
        <v/>
      </c>
      <c r="BI77" s="37" t="str">
        <f t="array" ref="BI77">IF($A77="","", INDEX(CS!$B$1:$B$15025,MATCH($A77,CS!$B:$B,0)+COLUMN(C$1),1))</f>
        <v>浮遊</v>
      </c>
      <c r="BJ77" s="37" t="str">
        <f t="array" ref="BJ77">IF($A77="","", INDEX(CS!$B$1:$B$15025,MATCH($A77,CS!$B:$B,0)+COLUMN(D$1),1))</f>
        <v/>
      </c>
      <c r="BK77" s="37" t="str">
        <f t="array" ref="BK77">IF($A77="","", INDEX(CS!$B$1:$B$15025,MATCH($A77,CS!$B:$B,0)+COLUMN(E$1),1))</f>
        <v>突風</v>
      </c>
      <c r="BL77" s="37" t="str">
        <f t="array" ref="BL77">IF($A77="","", INDEX(CS!$B$1:$B$15025,MATCH($A77,CS!$B:$B,0)+COLUMN(F$1),1))</f>
        <v>風の魔力</v>
      </c>
      <c r="BM77" s="37" t="str">
        <f t="array" ref="BM77">IF($A77="","", INDEX(CS!$B$1:$B$15025,MATCH($A77,CS!$B:$B,0)+COLUMN(G$1),1))</f>
        <v/>
      </c>
      <c r="BN77" s="37" t="str">
        <f t="array" ref="BN77">IF($A77="","", INDEX(CS!$B$1:$B$15025,MATCH($A77,CS!$B:$B,0)+COLUMN(H$1),1))</f>
        <v/>
      </c>
      <c r="BO77" s="37" t="str">
        <f t="array" ref="BO77">IF($A77="","", INDEX(CS!$B$1:$B$15025,MATCH($A77,CS!$B:$B,0)+COLUMN(I$1),1))</f>
        <v>風の力</v>
      </c>
      <c r="BP77" s="37" t="str">
        <f t="array" ref="BP77">IF($A77="","", INDEX(CS!$B$1:$B$15025,MATCH($A77,CS!$B:$B,0)+COLUMN(J$1),1))</f>
        <v>風の吐息</v>
      </c>
      <c r="BS77" s="74"/>
      <c r="CD77" s="37">
        <v>1.0</v>
      </c>
      <c r="CN77" s="37" t="s">
        <v>2750</v>
      </c>
    </row>
    <row r="78" ht="18.75" customHeight="1">
      <c r="A78" s="25" t="s">
        <v>1491</v>
      </c>
      <c r="B78" s="71" t="s">
        <v>2750</v>
      </c>
      <c r="C78" s="37" t="s">
        <v>2684</v>
      </c>
      <c r="D78" s="72" t="str">
        <f t="shared" si="1"/>
        <v>700/525/175</v>
      </c>
      <c r="E78" s="37">
        <v>1.0</v>
      </c>
      <c r="F78" s="37">
        <v>90.0</v>
      </c>
      <c r="I78" s="37">
        <v>90.0</v>
      </c>
      <c r="J78" s="37">
        <v>80.0</v>
      </c>
      <c r="K78" s="73">
        <v>100.0</v>
      </c>
      <c r="L78" s="37">
        <v>50.0</v>
      </c>
      <c r="M78" s="37">
        <v>50.0</v>
      </c>
      <c r="N78" s="37">
        <v>65.0</v>
      </c>
      <c r="O78" s="37">
        <v>140.0</v>
      </c>
      <c r="P78" s="37">
        <v>0.0</v>
      </c>
      <c r="Q78" s="64">
        <v>15.0</v>
      </c>
      <c r="R78" s="64"/>
      <c r="S78" s="64"/>
      <c r="T78" s="64"/>
      <c r="U78" s="64"/>
      <c r="V78" s="64"/>
      <c r="W78" s="64"/>
      <c r="X78" s="64"/>
      <c r="Y78" s="64"/>
      <c r="Z78" s="64">
        <v>-45.0</v>
      </c>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G78" s="37" t="str">
        <f t="array" ref="BG78">IF($A78="","", INDEX(CS!$B$1:$B$15025,MATCH($A78,CS!$B:$B,0)+COLUMN(A$1),1))</f>
        <v>地の拳</v>
      </c>
      <c r="BH78" s="37" t="str">
        <f t="array" ref="BH78">IF($A78="","", INDEX(CS!$B$1:$B$15025,MATCH($A78,CS!$B:$B,0)+COLUMN(B$1),1))</f>
        <v/>
      </c>
      <c r="BI78" s="37" t="str">
        <f t="array" ref="BI78">IF($A78="","", INDEX(CS!$B$1:$B$15025,MATCH($A78,CS!$B:$B,0)+COLUMN(C$1),1))</f>
        <v>浮遊</v>
      </c>
      <c r="BJ78" s="37" t="str">
        <f t="array" ref="BJ78">IF($A78="","", INDEX(CS!$B$1:$B$15025,MATCH($A78,CS!$B:$B,0)+COLUMN(D$1),1))</f>
        <v/>
      </c>
      <c r="BK78" s="37" t="str">
        <f t="array" ref="BK78">IF($A78="","", INDEX(CS!$B$1:$B$15025,MATCH($A78,CS!$B:$B,0)+COLUMN(E$1),1))</f>
        <v>魔法の石</v>
      </c>
      <c r="BL78" s="37" t="str">
        <f t="array" ref="BL78">IF($A78="","", INDEX(CS!$B$1:$B$15025,MATCH($A78,CS!$B:$B,0)+COLUMN(F$1),1))</f>
        <v>地の魔力</v>
      </c>
      <c r="BM78" s="37" t="str">
        <f t="array" ref="BM78">IF($A78="","", INDEX(CS!$B$1:$B$15025,MATCH($A78,CS!$B:$B,0)+COLUMN(G$1),1))</f>
        <v/>
      </c>
      <c r="BN78" s="37" t="str">
        <f t="array" ref="BN78">IF($A78="","", INDEX(CS!$B$1:$B$15025,MATCH($A78,CS!$B:$B,0)+COLUMN(H$1),1))</f>
        <v/>
      </c>
      <c r="BO78" s="37" t="str">
        <f t="array" ref="BO78">IF($A78="","", INDEX(CS!$B$1:$B$15025,MATCH($A78,CS!$B:$B,0)+COLUMN(I$1),1))</f>
        <v>地の力</v>
      </c>
      <c r="BP78" s="37" t="str">
        <f t="array" ref="BP78">IF($A78="","", INDEX(CS!$B$1:$B$15025,MATCH($A78,CS!$B:$B,0)+COLUMN(J$1),1))</f>
        <v>石礫の吐息</v>
      </c>
      <c r="BS78" s="74"/>
      <c r="CD78" s="37">
        <v>1.0</v>
      </c>
      <c r="CN78" s="37" t="s">
        <v>2750</v>
      </c>
    </row>
    <row r="79" ht="18.75" customHeight="1">
      <c r="A79" s="88" t="s">
        <v>2751</v>
      </c>
      <c r="B79" s="71" t="s">
        <v>2750</v>
      </c>
      <c r="C79" s="37" t="s">
        <v>2684</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v>100.0</v>
      </c>
      <c r="U79" s="64">
        <v>-45.0</v>
      </c>
      <c r="V79" s="64"/>
      <c r="W79" s="64">
        <v>100.0</v>
      </c>
      <c r="X79" s="64">
        <v>-45.0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2752</v>
      </c>
      <c r="BS79" s="74"/>
      <c r="BU79" s="39" t="s">
        <v>2753</v>
      </c>
      <c r="CD79" s="37">
        <v>1.0</v>
      </c>
      <c r="CI79" s="37" t="s">
        <v>2732</v>
      </c>
      <c r="CJ79" s="37" t="s">
        <v>2732</v>
      </c>
      <c r="CK79" s="37" t="s">
        <v>2732</v>
      </c>
      <c r="CN79" s="37" t="s">
        <v>2750</v>
      </c>
    </row>
    <row r="80" ht="18.75" customHeight="1">
      <c r="A80" s="88" t="s">
        <v>2754</v>
      </c>
      <c r="B80" s="71" t="s">
        <v>2750</v>
      </c>
      <c r="C80" s="37" t="s">
        <v>2684</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v>100.0</v>
      </c>
      <c r="U80" s="64">
        <v>-45.0</v>
      </c>
      <c r="V80" s="64"/>
      <c r="W80" s="64">
        <v>100.0</v>
      </c>
      <c r="X80" s="64">
        <v>-45.0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2755</v>
      </c>
      <c r="BS80" s="74"/>
      <c r="BU80" s="39" t="s">
        <v>2756</v>
      </c>
      <c r="CD80" s="37">
        <v>1.0</v>
      </c>
      <c r="CI80" s="37" t="s">
        <v>2732</v>
      </c>
      <c r="CJ80" s="37" t="s">
        <v>2732</v>
      </c>
      <c r="CK80" s="37" t="s">
        <v>2732</v>
      </c>
      <c r="CN80" s="37" t="s">
        <v>2750</v>
      </c>
    </row>
    <row r="81" ht="18.75" customHeight="1">
      <c r="A81" s="88" t="s">
        <v>2757</v>
      </c>
      <c r="B81" s="71" t="s">
        <v>2750</v>
      </c>
      <c r="C81" s="37" t="s">
        <v>2684</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v>100.0</v>
      </c>
      <c r="U81" s="64">
        <v>-45.0</v>
      </c>
      <c r="V81" s="64"/>
      <c r="W81" s="64">
        <v>100.0</v>
      </c>
      <c r="X81" s="64">
        <v>-45.0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2758</v>
      </c>
      <c r="BS81" s="74"/>
      <c r="BU81" s="39" t="s">
        <v>2759</v>
      </c>
      <c r="CD81" s="37">
        <v>1.0</v>
      </c>
      <c r="CI81" s="37" t="s">
        <v>2732</v>
      </c>
      <c r="CJ81" s="37" t="s">
        <v>2732</v>
      </c>
      <c r="CK81" s="37" t="s">
        <v>2732</v>
      </c>
      <c r="CN81" s="37" t="s">
        <v>2750</v>
      </c>
    </row>
    <row r="82" ht="18.75" customHeight="1">
      <c r="A82" s="88" t="s">
        <v>2760</v>
      </c>
      <c r="B82" s="71" t="s">
        <v>2750</v>
      </c>
      <c r="C82" s="37" t="s">
        <v>2684</v>
      </c>
      <c r="D82" s="72" t="str">
        <f t="shared" si="1"/>
        <v>690/515/175</v>
      </c>
      <c r="E82" s="39">
        <v>2.0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2761</v>
      </c>
      <c r="BS82" s="74"/>
      <c r="BU82" s="39" t="s">
        <v>2762</v>
      </c>
      <c r="CD82" s="37">
        <v>1.0</v>
      </c>
      <c r="CN82" s="37" t="s">
        <v>2750</v>
      </c>
    </row>
    <row r="83" ht="18.75" customHeight="1">
      <c r="A83" s="88" t="s">
        <v>2763</v>
      </c>
      <c r="B83" s="71" t="s">
        <v>2750</v>
      </c>
      <c r="C83" s="37" t="s">
        <v>2684</v>
      </c>
      <c r="D83" s="72" t="str">
        <f t="shared" si="1"/>
        <v>690/515/175</v>
      </c>
      <c r="E83" s="39">
        <v>3.0</v>
      </c>
      <c r="F83" s="37">
        <v>75.0</v>
      </c>
      <c r="I83" s="37">
        <v>55.0</v>
      </c>
      <c r="J83" s="37">
        <v>60.0</v>
      </c>
      <c r="K83" s="73">
        <v>100.0</v>
      </c>
      <c r="L83" s="37">
        <v>85.0</v>
      </c>
      <c r="M83" s="37">
        <v>75.0</v>
      </c>
      <c r="N83" s="37">
        <v>65.0</v>
      </c>
      <c r="O83" s="37">
        <v>140.0</v>
      </c>
      <c r="P83" s="37">
        <v>0.0</v>
      </c>
      <c r="Q83" s="64">
        <v>15.0</v>
      </c>
      <c r="R83" s="64"/>
      <c r="S83" s="64"/>
      <c r="T83" s="64">
        <v>-45.0</v>
      </c>
      <c r="U83" s="64">
        <v>100.0</v>
      </c>
      <c r="V83" s="64"/>
      <c r="W83" s="64">
        <v>-45.0</v>
      </c>
      <c r="X83" s="64">
        <v>100.0</v>
      </c>
      <c r="Y83" s="64"/>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2764</v>
      </c>
      <c r="BS83" s="74"/>
      <c r="BU83" s="39" t="s">
        <v>2765</v>
      </c>
      <c r="CD83" s="37">
        <v>1.0</v>
      </c>
      <c r="CN83" s="37" t="s">
        <v>2750</v>
      </c>
    </row>
    <row r="84" ht="18.75" customHeight="1">
      <c r="A84" s="88" t="s">
        <v>2766</v>
      </c>
      <c r="B84" s="71" t="s">
        <v>2750</v>
      </c>
      <c r="C84" s="37" t="s">
        <v>2684</v>
      </c>
      <c r="D84" s="72" t="str">
        <f t="shared" si="1"/>
        <v>690/515/175</v>
      </c>
      <c r="E84" s="39">
        <v>4.0</v>
      </c>
      <c r="F84" s="37">
        <v>75.0</v>
      </c>
      <c r="I84" s="37">
        <v>55.0</v>
      </c>
      <c r="J84" s="37">
        <v>60.0</v>
      </c>
      <c r="K84" s="73">
        <v>100.0</v>
      </c>
      <c r="L84" s="37">
        <v>85.0</v>
      </c>
      <c r="M84" s="37">
        <v>75.0</v>
      </c>
      <c r="N84" s="37">
        <v>65.0</v>
      </c>
      <c r="O84" s="37">
        <v>140.0</v>
      </c>
      <c r="P84" s="37">
        <v>0.0</v>
      </c>
      <c r="Q84" s="64">
        <v>15.0</v>
      </c>
      <c r="R84" s="64"/>
      <c r="S84" s="64"/>
      <c r="T84" s="64">
        <v>-45.0</v>
      </c>
      <c r="U84" s="64">
        <v>100.0</v>
      </c>
      <c r="V84" s="64"/>
      <c r="W84" s="64">
        <v>-45.0</v>
      </c>
      <c r="X84" s="64">
        <v>100.0</v>
      </c>
      <c r="Y84" s="64"/>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2767</v>
      </c>
      <c r="BS84" s="74"/>
      <c r="BU84" s="39" t="s">
        <v>2768</v>
      </c>
      <c r="CD84" s="37">
        <v>1.0</v>
      </c>
      <c r="CN84" s="37" t="s">
        <v>2750</v>
      </c>
    </row>
    <row r="85" ht="18.75" customHeight="1">
      <c r="A85" s="88" t="s">
        <v>2769</v>
      </c>
      <c r="B85" s="71" t="s">
        <v>2750</v>
      </c>
      <c r="C85" s="37" t="s">
        <v>2684</v>
      </c>
      <c r="D85" s="72" t="str">
        <f t="shared" si="1"/>
        <v>690/515/175</v>
      </c>
      <c r="E85" s="39">
        <v>2.0</v>
      </c>
      <c r="F85" s="37">
        <v>75.0</v>
      </c>
      <c r="I85" s="37">
        <v>55.0</v>
      </c>
      <c r="J85" s="37">
        <v>60.0</v>
      </c>
      <c r="K85" s="73">
        <v>100.0</v>
      </c>
      <c r="L85" s="37">
        <v>85.0</v>
      </c>
      <c r="M85" s="37">
        <v>75.0</v>
      </c>
      <c r="N85" s="37">
        <v>65.0</v>
      </c>
      <c r="O85" s="37">
        <v>140.0</v>
      </c>
      <c r="P85" s="37">
        <v>0.0</v>
      </c>
      <c r="Q85" s="64">
        <v>15.0</v>
      </c>
      <c r="R85" s="64"/>
      <c r="S85" s="64"/>
      <c r="T85" s="64">
        <v>-45.0</v>
      </c>
      <c r="U85" s="64">
        <v>100.0</v>
      </c>
      <c r="V85" s="64"/>
      <c r="W85" s="64">
        <v>-45.0</v>
      </c>
      <c r="X85" s="64">
        <v>100.0</v>
      </c>
      <c r="Y85" s="64"/>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2770</v>
      </c>
      <c r="BS85" s="74"/>
      <c r="BU85" s="39" t="s">
        <v>2771</v>
      </c>
      <c r="CD85" s="37">
        <v>1.0</v>
      </c>
      <c r="CN85" s="37" t="s">
        <v>2750</v>
      </c>
    </row>
    <row r="86" ht="18.75" customHeight="1">
      <c r="A86" s="88" t="s">
        <v>2772</v>
      </c>
      <c r="B86" s="71" t="s">
        <v>2750</v>
      </c>
      <c r="C86" s="37" t="s">
        <v>2684</v>
      </c>
      <c r="D86" s="72" t="str">
        <f t="shared" si="1"/>
        <v>690/515/175</v>
      </c>
      <c r="E86" s="39">
        <v>3.0</v>
      </c>
      <c r="F86" s="37">
        <v>75.0</v>
      </c>
      <c r="I86" s="37">
        <v>55.0</v>
      </c>
      <c r="J86" s="37">
        <v>60.0</v>
      </c>
      <c r="K86" s="73">
        <v>100.0</v>
      </c>
      <c r="L86" s="37">
        <v>85.0</v>
      </c>
      <c r="M86" s="37">
        <v>75.0</v>
      </c>
      <c r="N86" s="37">
        <v>65.0</v>
      </c>
      <c r="O86" s="37">
        <v>140.0</v>
      </c>
      <c r="P86" s="37">
        <v>0.0</v>
      </c>
      <c r="Q86" s="64">
        <v>15.0</v>
      </c>
      <c r="R86" s="64"/>
      <c r="S86" s="64"/>
      <c r="T86" s="64">
        <v>-45.0</v>
      </c>
      <c r="U86" s="64">
        <v>100.0</v>
      </c>
      <c r="V86" s="64"/>
      <c r="W86" s="64">
        <v>-45.0</v>
      </c>
      <c r="X86" s="64">
        <v>100.0</v>
      </c>
      <c r="Y86" s="64"/>
      <c r="Z86" s="64"/>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2773</v>
      </c>
      <c r="BS86" s="74"/>
      <c r="BU86" s="39" t="s">
        <v>2774</v>
      </c>
      <c r="CD86" s="37">
        <v>1.0</v>
      </c>
      <c r="CN86" s="37" t="s">
        <v>2750</v>
      </c>
    </row>
    <row r="87" ht="18.75" customHeight="1">
      <c r="A87" s="88" t="s">
        <v>2775</v>
      </c>
      <c r="B87" s="71" t="s">
        <v>2750</v>
      </c>
      <c r="C87" s="37" t="s">
        <v>2684</v>
      </c>
      <c r="D87" s="72" t="str">
        <f t="shared" si="1"/>
        <v>690/515/175</v>
      </c>
      <c r="E87" s="39">
        <v>4.0</v>
      </c>
      <c r="F87" s="37">
        <v>75.0</v>
      </c>
      <c r="I87" s="37">
        <v>55.0</v>
      </c>
      <c r="J87" s="37">
        <v>60.0</v>
      </c>
      <c r="K87" s="73">
        <v>100.0</v>
      </c>
      <c r="L87" s="37">
        <v>85.0</v>
      </c>
      <c r="M87" s="37">
        <v>75.0</v>
      </c>
      <c r="N87" s="37">
        <v>65.0</v>
      </c>
      <c r="O87" s="37">
        <v>140.0</v>
      </c>
      <c r="P87" s="37">
        <v>0.0</v>
      </c>
      <c r="Q87" s="64">
        <v>15.0</v>
      </c>
      <c r="R87" s="64"/>
      <c r="S87" s="64"/>
      <c r="T87" s="64">
        <v>-45.0</v>
      </c>
      <c r="U87" s="64">
        <v>100.0</v>
      </c>
      <c r="V87" s="64"/>
      <c r="W87" s="64">
        <v>-45.0</v>
      </c>
      <c r="X87" s="64">
        <v>100.0</v>
      </c>
      <c r="Y87" s="64"/>
      <c r="Z87" s="64"/>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2776</v>
      </c>
      <c r="BS87" s="74"/>
      <c r="BU87" s="39" t="s">
        <v>2777</v>
      </c>
      <c r="CD87" s="37">
        <v>1.0</v>
      </c>
      <c r="CN87" s="37" t="s">
        <v>2750</v>
      </c>
    </row>
    <row r="88" ht="18.75" customHeight="1">
      <c r="A88" s="88" t="s">
        <v>2778</v>
      </c>
      <c r="B88" s="71" t="s">
        <v>2750</v>
      </c>
      <c r="C88" s="37" t="s">
        <v>2684</v>
      </c>
      <c r="D88" s="72" t="str">
        <f t="shared" si="1"/>
        <v>690/515/175</v>
      </c>
      <c r="E88" s="39">
        <v>2.0</v>
      </c>
      <c r="F88" s="37">
        <v>75.0</v>
      </c>
      <c r="I88" s="37">
        <v>55.0</v>
      </c>
      <c r="J88" s="37">
        <v>60.0</v>
      </c>
      <c r="K88" s="73">
        <v>100.0</v>
      </c>
      <c r="L88" s="37">
        <v>85.0</v>
      </c>
      <c r="M88" s="37">
        <v>75.0</v>
      </c>
      <c r="N88" s="37">
        <v>65.0</v>
      </c>
      <c r="O88" s="37">
        <v>140.0</v>
      </c>
      <c r="P88" s="37">
        <v>0.0</v>
      </c>
      <c r="Q88" s="64">
        <v>-15.0</v>
      </c>
      <c r="R88" s="64"/>
      <c r="S88" s="64"/>
      <c r="T88" s="64"/>
      <c r="U88" s="64"/>
      <c r="V88" s="64">
        <v>100.0</v>
      </c>
      <c r="W88" s="64"/>
      <c r="X88" s="64"/>
      <c r="Y88" s="64">
        <v>100.0</v>
      </c>
      <c r="Z88" s="64"/>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2779</v>
      </c>
      <c r="BS88" s="74"/>
      <c r="BU88" s="39" t="s">
        <v>2780</v>
      </c>
      <c r="CD88" s="37">
        <v>1.0</v>
      </c>
      <c r="CN88" s="37" t="s">
        <v>2750</v>
      </c>
    </row>
    <row r="89" ht="18.75" customHeight="1">
      <c r="A89" s="88" t="s">
        <v>2781</v>
      </c>
      <c r="B89" s="71" t="s">
        <v>2750</v>
      </c>
      <c r="C89" s="37" t="s">
        <v>2684</v>
      </c>
      <c r="D89" s="72" t="str">
        <f t="shared" si="1"/>
        <v>690/515/175</v>
      </c>
      <c r="E89" s="39">
        <v>3.0</v>
      </c>
      <c r="F89" s="37">
        <v>75.0</v>
      </c>
      <c r="I89" s="37">
        <v>55.0</v>
      </c>
      <c r="J89" s="37">
        <v>60.0</v>
      </c>
      <c r="K89" s="73">
        <v>100.0</v>
      </c>
      <c r="L89" s="37">
        <v>85.0</v>
      </c>
      <c r="M89" s="37">
        <v>75.0</v>
      </c>
      <c r="N89" s="37">
        <v>65.0</v>
      </c>
      <c r="O89" s="37">
        <v>140.0</v>
      </c>
      <c r="P89" s="37">
        <v>0.0</v>
      </c>
      <c r="Q89" s="64">
        <v>-15.0</v>
      </c>
      <c r="R89" s="64"/>
      <c r="S89" s="64"/>
      <c r="T89" s="64"/>
      <c r="U89" s="64"/>
      <c r="V89" s="64">
        <v>100.0</v>
      </c>
      <c r="W89" s="64"/>
      <c r="X89" s="64"/>
      <c r="Y89" s="64">
        <v>100.0</v>
      </c>
      <c r="Z89" s="64"/>
      <c r="AA89" s="64"/>
      <c r="AE89" s="37">
        <v>100.0</v>
      </c>
      <c r="AJ89" s="39">
        <v>0.0</v>
      </c>
      <c r="AK89" s="39">
        <v>0.0</v>
      </c>
      <c r="AL89" s="39">
        <v>75.0</v>
      </c>
      <c r="AM89" s="39">
        <v>0.0</v>
      </c>
      <c r="AN89" s="39">
        <v>0.0</v>
      </c>
      <c r="AO89" s="39">
        <v>0.0</v>
      </c>
      <c r="AP89" s="39">
        <v>0.0</v>
      </c>
      <c r="AQ89" s="39">
        <v>75.0</v>
      </c>
      <c r="AR89" s="39">
        <v>25.0</v>
      </c>
      <c r="AS89" s="39">
        <v>-25.0</v>
      </c>
      <c r="AT89" s="39">
        <v>-25.0</v>
      </c>
      <c r="AU89" s="39">
        <v>-25.0</v>
      </c>
      <c r="AV89" s="39">
        <v>-25.0</v>
      </c>
      <c r="AW89" s="39">
        <v>0.0</v>
      </c>
      <c r="AX89" s="39">
        <v>0.0</v>
      </c>
      <c r="AY89" s="39">
        <v>100.0</v>
      </c>
      <c r="AZ89" s="39">
        <v>0.0</v>
      </c>
      <c r="BR89" s="39" t="s">
        <v>2782</v>
      </c>
      <c r="BS89" s="74"/>
      <c r="BU89" s="39" t="s">
        <v>2783</v>
      </c>
      <c r="CD89" s="37">
        <v>1.0</v>
      </c>
      <c r="CN89" s="37" t="s">
        <v>2750</v>
      </c>
    </row>
    <row r="90" ht="18.75" customHeight="1">
      <c r="A90" s="88" t="s">
        <v>2784</v>
      </c>
      <c r="B90" s="71" t="s">
        <v>2750</v>
      </c>
      <c r="C90" s="37" t="s">
        <v>2684</v>
      </c>
      <c r="D90" s="72" t="str">
        <f t="shared" si="1"/>
        <v>690/515/175</v>
      </c>
      <c r="E90" s="39">
        <v>4.0</v>
      </c>
      <c r="F90" s="37">
        <v>75.0</v>
      </c>
      <c r="I90" s="37">
        <v>55.0</v>
      </c>
      <c r="J90" s="37">
        <v>60.0</v>
      </c>
      <c r="K90" s="73">
        <v>100.0</v>
      </c>
      <c r="L90" s="37">
        <v>85.0</v>
      </c>
      <c r="M90" s="37">
        <v>75.0</v>
      </c>
      <c r="N90" s="37">
        <v>65.0</v>
      </c>
      <c r="O90" s="37">
        <v>140.0</v>
      </c>
      <c r="P90" s="37">
        <v>0.0</v>
      </c>
      <c r="Q90" s="64">
        <v>-15.0</v>
      </c>
      <c r="R90" s="64"/>
      <c r="S90" s="64"/>
      <c r="T90" s="64"/>
      <c r="U90" s="64"/>
      <c r="V90" s="64">
        <v>100.0</v>
      </c>
      <c r="W90" s="64"/>
      <c r="X90" s="64"/>
      <c r="Y90" s="64">
        <v>100.0</v>
      </c>
      <c r="Z90" s="64"/>
      <c r="AA90" s="64"/>
      <c r="AE90" s="37">
        <v>100.0</v>
      </c>
      <c r="AJ90" s="39">
        <v>0.0</v>
      </c>
      <c r="AK90" s="39">
        <v>0.0</v>
      </c>
      <c r="AL90" s="39">
        <v>75.0</v>
      </c>
      <c r="AM90" s="39">
        <v>0.0</v>
      </c>
      <c r="AN90" s="39">
        <v>0.0</v>
      </c>
      <c r="AO90" s="39">
        <v>0.0</v>
      </c>
      <c r="AP90" s="39">
        <v>0.0</v>
      </c>
      <c r="AQ90" s="39">
        <v>75.0</v>
      </c>
      <c r="AR90" s="39">
        <v>25.0</v>
      </c>
      <c r="AS90" s="39">
        <v>-25.0</v>
      </c>
      <c r="AT90" s="39">
        <v>-25.0</v>
      </c>
      <c r="AU90" s="39">
        <v>-25.0</v>
      </c>
      <c r="AV90" s="39">
        <v>-25.0</v>
      </c>
      <c r="AW90" s="39">
        <v>0.0</v>
      </c>
      <c r="AX90" s="39">
        <v>0.0</v>
      </c>
      <c r="AY90" s="39">
        <v>100.0</v>
      </c>
      <c r="AZ90" s="39">
        <v>0.0</v>
      </c>
      <c r="BR90" s="39" t="s">
        <v>2785</v>
      </c>
      <c r="BS90" s="74"/>
      <c r="BU90" s="39" t="s">
        <v>2786</v>
      </c>
      <c r="CD90" s="37">
        <v>1.0</v>
      </c>
      <c r="CN90" s="37" t="s">
        <v>2750</v>
      </c>
    </row>
    <row r="91" ht="18.75" customHeight="1">
      <c r="A91" s="88" t="s">
        <v>2787</v>
      </c>
      <c r="B91" s="71" t="s">
        <v>2750</v>
      </c>
      <c r="C91" s="37" t="s">
        <v>2684</v>
      </c>
      <c r="D91" s="72" t="str">
        <f t="shared" si="1"/>
        <v>700/525/175</v>
      </c>
      <c r="E91" s="39">
        <v>2.0</v>
      </c>
      <c r="F91" s="37">
        <v>90.0</v>
      </c>
      <c r="I91" s="37">
        <v>90.0</v>
      </c>
      <c r="J91" s="37">
        <v>80.0</v>
      </c>
      <c r="K91" s="73">
        <v>100.0</v>
      </c>
      <c r="L91" s="37">
        <v>50.0</v>
      </c>
      <c r="M91" s="37">
        <v>50.0</v>
      </c>
      <c r="N91" s="37">
        <v>65.0</v>
      </c>
      <c r="O91" s="37">
        <v>140.0</v>
      </c>
      <c r="P91" s="37">
        <v>0.0</v>
      </c>
      <c r="Q91" s="64">
        <v>15.0</v>
      </c>
      <c r="R91" s="64"/>
      <c r="S91" s="64"/>
      <c r="T91" s="64"/>
      <c r="U91" s="64"/>
      <c r="V91" s="64"/>
      <c r="W91" s="64"/>
      <c r="X91" s="64"/>
      <c r="Y91" s="64"/>
      <c r="Z91" s="64">
        <v>-45.0</v>
      </c>
      <c r="AA91" s="64"/>
      <c r="AE91" s="37">
        <v>100.0</v>
      </c>
      <c r="AJ91" s="39">
        <v>0.0</v>
      </c>
      <c r="AK91" s="39">
        <v>0.0</v>
      </c>
      <c r="AL91" s="39">
        <v>75.0</v>
      </c>
      <c r="AM91" s="39">
        <v>0.0</v>
      </c>
      <c r="AN91" s="39">
        <v>0.0</v>
      </c>
      <c r="AO91" s="39">
        <v>0.0</v>
      </c>
      <c r="AP91" s="39">
        <v>0.0</v>
      </c>
      <c r="AQ91" s="39">
        <v>75.0</v>
      </c>
      <c r="AR91" s="39">
        <v>25.0</v>
      </c>
      <c r="AS91" s="39">
        <v>-25.0</v>
      </c>
      <c r="AT91" s="39">
        <v>-25.0</v>
      </c>
      <c r="AU91" s="39">
        <v>-25.0</v>
      </c>
      <c r="AV91" s="39">
        <v>-25.0</v>
      </c>
      <c r="AW91" s="39">
        <v>0.0</v>
      </c>
      <c r="AX91" s="39">
        <v>0.0</v>
      </c>
      <c r="AY91" s="39">
        <v>100.0</v>
      </c>
      <c r="AZ91" s="39">
        <v>0.0</v>
      </c>
      <c r="BR91" s="39" t="s">
        <v>2788</v>
      </c>
      <c r="BS91" s="74"/>
      <c r="BU91" s="39" t="s">
        <v>2789</v>
      </c>
      <c r="CD91" s="37">
        <v>1.0</v>
      </c>
      <c r="CN91" s="37" t="s">
        <v>2750</v>
      </c>
    </row>
    <row r="92" ht="18.75" customHeight="1">
      <c r="A92" s="88" t="s">
        <v>2790</v>
      </c>
      <c r="B92" s="71" t="s">
        <v>2750</v>
      </c>
      <c r="C92" s="37" t="s">
        <v>2684</v>
      </c>
      <c r="D92" s="72" t="str">
        <f t="shared" si="1"/>
        <v>700/525/175</v>
      </c>
      <c r="E92" s="39">
        <v>3.0</v>
      </c>
      <c r="F92" s="37">
        <v>90.0</v>
      </c>
      <c r="I92" s="37">
        <v>90.0</v>
      </c>
      <c r="J92" s="37">
        <v>80.0</v>
      </c>
      <c r="K92" s="73">
        <v>100.0</v>
      </c>
      <c r="L92" s="37">
        <v>50.0</v>
      </c>
      <c r="M92" s="37">
        <v>50.0</v>
      </c>
      <c r="N92" s="37">
        <v>65.0</v>
      </c>
      <c r="O92" s="37">
        <v>140.0</v>
      </c>
      <c r="P92" s="37">
        <v>0.0</v>
      </c>
      <c r="Q92" s="64">
        <v>15.0</v>
      </c>
      <c r="R92" s="64"/>
      <c r="S92" s="64"/>
      <c r="T92" s="64"/>
      <c r="U92" s="64"/>
      <c r="V92" s="64"/>
      <c r="W92" s="64"/>
      <c r="X92" s="64"/>
      <c r="Y92" s="64"/>
      <c r="Z92" s="64">
        <v>-45.0</v>
      </c>
      <c r="AA92" s="64"/>
      <c r="AE92" s="37">
        <v>100.0</v>
      </c>
      <c r="AJ92" s="39">
        <v>0.0</v>
      </c>
      <c r="AK92" s="39">
        <v>0.0</v>
      </c>
      <c r="AL92" s="39">
        <v>75.0</v>
      </c>
      <c r="AM92" s="39">
        <v>0.0</v>
      </c>
      <c r="AN92" s="39">
        <v>0.0</v>
      </c>
      <c r="AO92" s="39">
        <v>0.0</v>
      </c>
      <c r="AP92" s="39">
        <v>0.0</v>
      </c>
      <c r="AQ92" s="39">
        <v>75.0</v>
      </c>
      <c r="AR92" s="39">
        <v>25.0</v>
      </c>
      <c r="AS92" s="39">
        <v>-25.0</v>
      </c>
      <c r="AT92" s="39">
        <v>-25.0</v>
      </c>
      <c r="AU92" s="39">
        <v>-25.0</v>
      </c>
      <c r="AV92" s="39">
        <v>-25.0</v>
      </c>
      <c r="AW92" s="39">
        <v>0.0</v>
      </c>
      <c r="AX92" s="39">
        <v>0.0</v>
      </c>
      <c r="AY92" s="39">
        <v>100.0</v>
      </c>
      <c r="AZ92" s="39">
        <v>0.0</v>
      </c>
      <c r="BR92" s="39" t="s">
        <v>2791</v>
      </c>
      <c r="BS92" s="74"/>
      <c r="BU92" s="39" t="s">
        <v>2792</v>
      </c>
      <c r="CD92" s="37">
        <v>1.0</v>
      </c>
      <c r="CN92" s="37" t="s">
        <v>2750</v>
      </c>
    </row>
    <row r="93" ht="18.75" customHeight="1">
      <c r="A93" s="88" t="s">
        <v>2793</v>
      </c>
      <c r="B93" s="71" t="s">
        <v>2750</v>
      </c>
      <c r="C93" s="37" t="s">
        <v>2684</v>
      </c>
      <c r="D93" s="72" t="str">
        <f t="shared" si="1"/>
        <v>700/525/175</v>
      </c>
      <c r="E93" s="39">
        <v>4.0</v>
      </c>
      <c r="F93" s="37">
        <v>90.0</v>
      </c>
      <c r="I93" s="37">
        <v>90.0</v>
      </c>
      <c r="J93" s="37">
        <v>80.0</v>
      </c>
      <c r="K93" s="73">
        <v>100.0</v>
      </c>
      <c r="L93" s="37">
        <v>50.0</v>
      </c>
      <c r="M93" s="37">
        <v>50.0</v>
      </c>
      <c r="N93" s="37">
        <v>65.0</v>
      </c>
      <c r="O93" s="37">
        <v>140.0</v>
      </c>
      <c r="P93" s="37">
        <v>0.0</v>
      </c>
      <c r="Q93" s="64">
        <v>15.0</v>
      </c>
      <c r="R93" s="64"/>
      <c r="S93" s="64"/>
      <c r="T93" s="64"/>
      <c r="U93" s="64"/>
      <c r="V93" s="64"/>
      <c r="W93" s="64"/>
      <c r="X93" s="64"/>
      <c r="Y93" s="64"/>
      <c r="Z93" s="64">
        <v>-45.0</v>
      </c>
      <c r="AA93" s="64"/>
      <c r="AE93" s="37">
        <v>100.0</v>
      </c>
      <c r="AJ93" s="39">
        <v>0.0</v>
      </c>
      <c r="AK93" s="39">
        <v>0.0</v>
      </c>
      <c r="AL93" s="39">
        <v>75.0</v>
      </c>
      <c r="AM93" s="39">
        <v>0.0</v>
      </c>
      <c r="AN93" s="39">
        <v>0.0</v>
      </c>
      <c r="AO93" s="39">
        <v>0.0</v>
      </c>
      <c r="AP93" s="39">
        <v>0.0</v>
      </c>
      <c r="AQ93" s="39">
        <v>75.0</v>
      </c>
      <c r="AR93" s="39">
        <v>25.0</v>
      </c>
      <c r="AS93" s="39">
        <v>-25.0</v>
      </c>
      <c r="AT93" s="39">
        <v>-25.0</v>
      </c>
      <c r="AU93" s="39">
        <v>-25.0</v>
      </c>
      <c r="AV93" s="39">
        <v>-25.0</v>
      </c>
      <c r="AW93" s="39">
        <v>0.0</v>
      </c>
      <c r="AX93" s="39">
        <v>0.0</v>
      </c>
      <c r="AY93" s="39">
        <v>100.0</v>
      </c>
      <c r="AZ93" s="39">
        <v>0.0</v>
      </c>
      <c r="BR93" s="39" t="s">
        <v>2794</v>
      </c>
      <c r="BS93" s="74"/>
      <c r="BU93" s="39" t="s">
        <v>2795</v>
      </c>
      <c r="CD93" s="37">
        <v>1.0</v>
      </c>
      <c r="CN93" s="37" t="s">
        <v>2750</v>
      </c>
    </row>
    <row r="94" ht="18.75" customHeight="1">
      <c r="B94" s="71"/>
      <c r="C94" s="37" t="s">
        <v>2684</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c r="B95" s="71"/>
      <c r="C95" s="37" t="s">
        <v>2684</v>
      </c>
      <c r="D95" s="72" t="str">
        <f t="shared" si="1"/>
        <v>0/0/0</v>
      </c>
      <c r="E95" s="37">
        <v>1.0</v>
      </c>
      <c r="K95" s="73"/>
      <c r="P95" s="37" t="s">
        <v>29</v>
      </c>
      <c r="Q95" s="64"/>
      <c r="R95" s="64"/>
      <c r="S95" s="64"/>
      <c r="T95" s="64"/>
      <c r="U95" s="64"/>
      <c r="V95" s="64"/>
      <c r="W95" s="64"/>
      <c r="X95" s="64"/>
      <c r="Y95" s="64"/>
      <c r="Z95" s="64"/>
      <c r="AA95" s="64"/>
      <c r="BG95" s="37" t="str">
        <f t="array" ref="BG95">IF($A95="","", INDEX(CS!$B$1:$B$15025,MATCH($A95,CS!$B:$B,0)+COLUMN(A$1),1))</f>
        <v/>
      </c>
      <c r="BH95" s="37" t="str">
        <f t="array" ref="BH95">IF($A95="","", INDEX(CS!$B$1:$B$15025,MATCH($A95,CS!$B:$B,0)+COLUMN(B$1),1))</f>
        <v/>
      </c>
      <c r="BI95" s="37" t="str">
        <f t="array" ref="BI95">IF($A95="","", INDEX(CS!$B$1:$B$15025,MATCH($A95,CS!$B:$B,0)+COLUMN(C$1),1))</f>
        <v/>
      </c>
      <c r="BJ95" s="37" t="str">
        <f t="array" ref="BJ95">IF($A95="","", INDEX(CS!$B$1:$B$15025,MATCH($A95,CS!$B:$B,0)+COLUMN(D$1),1))</f>
        <v/>
      </c>
      <c r="BK95" s="37" t="str">
        <f t="array" ref="BK95">IF($A95="","", INDEX(CS!$B$1:$B$15025,MATCH($A95,CS!$B:$B,0)+COLUMN(E$1),1))</f>
        <v/>
      </c>
      <c r="BL95" s="37" t="str">
        <f t="array" ref="BL95">IF($A95="","", INDEX(CS!$B$1:$B$15025,MATCH($A95,CS!$B:$B,0)+COLUMN(F$1),1))</f>
        <v/>
      </c>
      <c r="BM95" s="37" t="str">
        <f t="array" ref="BM95">IF($A95="","", INDEX(CS!$B$1:$B$15025,MATCH($A95,CS!$B:$B,0)+COLUMN(G$1),1))</f>
        <v/>
      </c>
      <c r="BN95" s="37" t="str">
        <f t="array" ref="BN95">IF($A95="","", INDEX(CS!$B$1:$B$15025,MATCH($A95,CS!$B:$B,0)+COLUMN(H$1),1))</f>
        <v/>
      </c>
      <c r="BO95" s="37" t="str">
        <f t="array" ref="BO95">IF($A95="","", INDEX(CS!$B$1:$B$15025,MATCH($A95,CS!$B:$B,0)+COLUMN(I$1),1))</f>
        <v/>
      </c>
      <c r="BP95" s="37" t="str">
        <f t="array" ref="BP95">IF($A95="","", INDEX(CS!$B$1:$B$15025,MATCH($A95,CS!$B:$B,0)+COLUMN(J$1),1))</f>
        <v/>
      </c>
      <c r="BS95" s="74"/>
    </row>
    <row r="96" ht="18.75" customHeight="1">
      <c r="B96" s="71"/>
      <c r="C96" s="37" t="s">
        <v>2684</v>
      </c>
      <c r="D96" s="72" t="str">
        <f t="shared" si="1"/>
        <v>0/0/0</v>
      </c>
      <c r="E96" s="37">
        <v>1.0</v>
      </c>
      <c r="K96" s="73"/>
      <c r="P96" s="37" t="s">
        <v>29</v>
      </c>
      <c r="Q96" s="64"/>
      <c r="R96" s="64"/>
      <c r="S96" s="64"/>
      <c r="T96" s="64"/>
      <c r="U96" s="64"/>
      <c r="V96" s="64"/>
      <c r="W96" s="64"/>
      <c r="X96" s="64"/>
      <c r="Y96" s="64"/>
      <c r="Z96" s="64"/>
      <c r="AA96" s="64"/>
      <c r="BG96" s="37" t="str">
        <f t="array" ref="BG96">IF($A96="","", INDEX(CS!$B$1:$B$15025,MATCH($A96,CS!$B:$B,0)+COLUMN(A$1),1))</f>
        <v/>
      </c>
      <c r="BH96" s="37" t="str">
        <f t="array" ref="BH96">IF($A96="","", INDEX(CS!$B$1:$B$15025,MATCH($A96,CS!$B:$B,0)+COLUMN(B$1),1))</f>
        <v/>
      </c>
      <c r="BI96" s="37" t="str">
        <f t="array" ref="BI96">IF($A96="","", INDEX(CS!$B$1:$B$15025,MATCH($A96,CS!$B:$B,0)+COLUMN(C$1),1))</f>
        <v/>
      </c>
      <c r="BJ96" s="37" t="str">
        <f t="array" ref="BJ96">IF($A96="","", INDEX(CS!$B$1:$B$15025,MATCH($A96,CS!$B:$B,0)+COLUMN(D$1),1))</f>
        <v/>
      </c>
      <c r="BK96" s="37" t="str">
        <f t="array" ref="BK96">IF($A96="","", INDEX(CS!$B$1:$B$15025,MATCH($A96,CS!$B:$B,0)+COLUMN(E$1),1))</f>
        <v/>
      </c>
      <c r="BL96" s="37" t="str">
        <f t="array" ref="BL96">IF($A96="","", INDEX(CS!$B$1:$B$15025,MATCH($A96,CS!$B:$B,0)+COLUMN(F$1),1))</f>
        <v/>
      </c>
      <c r="BM96" s="37" t="str">
        <f t="array" ref="BM96">IF($A96="","", INDEX(CS!$B$1:$B$15025,MATCH($A96,CS!$B:$B,0)+COLUMN(G$1),1))</f>
        <v/>
      </c>
      <c r="BN96" s="37" t="str">
        <f t="array" ref="BN96">IF($A96="","", INDEX(CS!$B$1:$B$15025,MATCH($A96,CS!$B:$B,0)+COLUMN(H$1),1))</f>
        <v/>
      </c>
      <c r="BO96" s="37" t="str">
        <f t="array" ref="BO96">IF($A96="","", INDEX(CS!$B$1:$B$15025,MATCH($A96,CS!$B:$B,0)+COLUMN(I$1),1))</f>
        <v/>
      </c>
      <c r="BP96" s="37" t="str">
        <f t="array" ref="BP96">IF($A96="","", INDEX(CS!$B$1:$B$15025,MATCH($A96,CS!$B:$B,0)+COLUMN(J$1),1))</f>
        <v/>
      </c>
      <c r="BS96" s="74"/>
    </row>
    <row r="97" ht="18.75" customHeight="1">
      <c r="B97" s="71"/>
      <c r="C97" s="37" t="s">
        <v>2684</v>
      </c>
      <c r="D97" s="72" t="str">
        <f t="shared" si="1"/>
        <v>0/0/0</v>
      </c>
      <c r="E97" s="37">
        <v>1.0</v>
      </c>
      <c r="K97" s="73"/>
      <c r="P97" s="37" t="s">
        <v>29</v>
      </c>
      <c r="Q97" s="64"/>
      <c r="R97" s="64"/>
      <c r="S97" s="64"/>
      <c r="T97" s="64"/>
      <c r="U97" s="64"/>
      <c r="V97" s="64"/>
      <c r="W97" s="64"/>
      <c r="X97" s="64"/>
      <c r="Y97" s="64"/>
      <c r="Z97" s="64"/>
      <c r="AA97" s="64"/>
      <c r="BG97" s="37" t="str">
        <f t="array" ref="BG97">IF($A97="","", INDEX(CS!$B$1:$B$15025,MATCH($A97,CS!$B:$B,0)+COLUMN(A$1),1))</f>
        <v/>
      </c>
      <c r="BH97" s="37" t="str">
        <f t="array" ref="BH97">IF($A97="","", INDEX(CS!$B$1:$B$15025,MATCH($A97,CS!$B:$B,0)+COLUMN(B$1),1))</f>
        <v/>
      </c>
      <c r="BI97" s="37" t="str">
        <f t="array" ref="BI97">IF($A97="","", INDEX(CS!$B$1:$B$15025,MATCH($A97,CS!$B:$B,0)+COLUMN(C$1),1))</f>
        <v/>
      </c>
      <c r="BJ97" s="37" t="str">
        <f t="array" ref="BJ97">IF($A97="","", INDEX(CS!$B$1:$B$15025,MATCH($A97,CS!$B:$B,0)+COLUMN(D$1),1))</f>
        <v/>
      </c>
      <c r="BK97" s="37" t="str">
        <f t="array" ref="BK97">IF($A97="","", INDEX(CS!$B$1:$B$15025,MATCH($A97,CS!$B:$B,0)+COLUMN(E$1),1))</f>
        <v/>
      </c>
      <c r="BL97" s="37" t="str">
        <f t="array" ref="BL97">IF($A97="","", INDEX(CS!$B$1:$B$15025,MATCH($A97,CS!$B:$B,0)+COLUMN(F$1),1))</f>
        <v/>
      </c>
      <c r="BM97" s="37" t="str">
        <f t="array" ref="BM97">IF($A97="","", INDEX(CS!$B$1:$B$15025,MATCH($A97,CS!$B:$B,0)+COLUMN(G$1),1))</f>
        <v/>
      </c>
      <c r="BN97" s="37" t="str">
        <f t="array" ref="BN97">IF($A97="","", INDEX(CS!$B$1:$B$15025,MATCH($A97,CS!$B:$B,0)+COLUMN(H$1),1))</f>
        <v/>
      </c>
      <c r="BO97" s="37" t="str">
        <f t="array" ref="BO97">IF($A97="","", INDEX(CS!$B$1:$B$15025,MATCH($A97,CS!$B:$B,0)+COLUMN(I$1),1))</f>
        <v/>
      </c>
      <c r="BP97" s="37" t="str">
        <f t="array" ref="BP97">IF($A97="","", INDEX(CS!$B$1:$B$15025,MATCH($A97,CS!$B:$B,0)+COLUMN(J$1),1))</f>
        <v/>
      </c>
      <c r="BS97" s="74"/>
    </row>
    <row r="98" ht="18.75" customHeight="1">
      <c r="B98" s="71"/>
      <c r="C98" s="37" t="s">
        <v>2684</v>
      </c>
      <c r="D98" s="72" t="str">
        <f t="shared" si="1"/>
        <v>0/0/0</v>
      </c>
      <c r="E98" s="37">
        <v>1.0</v>
      </c>
      <c r="K98" s="73"/>
      <c r="P98" s="37" t="s">
        <v>29</v>
      </c>
      <c r="Q98" s="64"/>
      <c r="R98" s="64"/>
      <c r="S98" s="64"/>
      <c r="T98" s="64"/>
      <c r="U98" s="64"/>
      <c r="V98" s="64"/>
      <c r="W98" s="64"/>
      <c r="X98" s="64"/>
      <c r="Y98" s="64"/>
      <c r="Z98" s="64"/>
      <c r="AA98" s="64"/>
      <c r="BG98" s="37" t="str">
        <f t="array" ref="BG98">IF($A98="","", INDEX(CS!$B$1:$B$15025,MATCH($A98,CS!$B:$B,0)+COLUMN(A$1),1))</f>
        <v/>
      </c>
      <c r="BH98" s="37" t="str">
        <f t="array" ref="BH98">IF($A98="","", INDEX(CS!$B$1:$B$15025,MATCH($A98,CS!$B:$B,0)+COLUMN(B$1),1))</f>
        <v/>
      </c>
      <c r="BI98" s="37" t="str">
        <f t="array" ref="BI98">IF($A98="","", INDEX(CS!$B$1:$B$15025,MATCH($A98,CS!$B:$B,0)+COLUMN(C$1),1))</f>
        <v/>
      </c>
      <c r="BJ98" s="37" t="str">
        <f t="array" ref="BJ98">IF($A98="","", INDEX(CS!$B$1:$B$15025,MATCH($A98,CS!$B:$B,0)+COLUMN(D$1),1))</f>
        <v/>
      </c>
      <c r="BK98" s="37" t="str">
        <f t="array" ref="BK98">IF($A98="","", INDEX(CS!$B$1:$B$15025,MATCH($A98,CS!$B:$B,0)+COLUMN(E$1),1))</f>
        <v/>
      </c>
      <c r="BL98" s="37" t="str">
        <f t="array" ref="BL98">IF($A98="","", INDEX(CS!$B$1:$B$15025,MATCH($A98,CS!$B:$B,0)+COLUMN(F$1),1))</f>
        <v/>
      </c>
      <c r="BM98" s="37" t="str">
        <f t="array" ref="BM98">IF($A98="","", INDEX(CS!$B$1:$B$15025,MATCH($A98,CS!$B:$B,0)+COLUMN(G$1),1))</f>
        <v/>
      </c>
      <c r="BN98" s="37" t="str">
        <f t="array" ref="BN98">IF($A98="","", INDEX(CS!$B$1:$B$15025,MATCH($A98,CS!$B:$B,0)+COLUMN(H$1),1))</f>
        <v/>
      </c>
      <c r="BO98" s="37" t="str">
        <f t="array" ref="BO98">IF($A98="","", INDEX(CS!$B$1:$B$15025,MATCH($A98,CS!$B:$B,0)+COLUMN(I$1),1))</f>
        <v/>
      </c>
      <c r="BP98" s="37" t="str">
        <f t="array" ref="BP98">IF($A98="","", INDEX(CS!$B$1:$B$15025,MATCH($A98,CS!$B:$B,0)+COLUMN(J$1),1))</f>
        <v/>
      </c>
      <c r="BS98" s="74"/>
    </row>
    <row r="99" ht="18.75" customHeight="1">
      <c r="B99" s="85" t="s">
        <v>2796</v>
      </c>
      <c r="D99" s="72" t="str">
        <f t="shared" si="1"/>
        <v>0/0/0</v>
      </c>
      <c r="E99" s="37">
        <v>1.0</v>
      </c>
      <c r="K99" s="73"/>
      <c r="P99" s="37" t="s">
        <v>29</v>
      </c>
      <c r="Q99" s="64"/>
      <c r="R99" s="64"/>
      <c r="S99" s="64"/>
      <c r="T99" s="64"/>
      <c r="U99" s="64"/>
      <c r="V99" s="64"/>
      <c r="W99" s="64"/>
      <c r="X99" s="64"/>
      <c r="Y99" s="64"/>
      <c r="Z99" s="64"/>
      <c r="AA99" s="64"/>
      <c r="BG99" s="37" t="str">
        <f t="array" ref="BG99">IF($A99="","", INDEX(CS!$B$1:$B$15025,MATCH($A99,CS!$B:$B,0)+COLUMN(A$1),1))</f>
        <v/>
      </c>
      <c r="BH99" s="37" t="str">
        <f t="array" ref="BH99">IF($A99="","", INDEX(CS!$B$1:$B$15025,MATCH($A99,CS!$B:$B,0)+COLUMN(B$1),1))</f>
        <v/>
      </c>
      <c r="BI99" s="37" t="str">
        <f t="array" ref="BI99">IF($A99="","", INDEX(CS!$B$1:$B$15025,MATCH($A99,CS!$B:$B,0)+COLUMN(C$1),1))</f>
        <v/>
      </c>
      <c r="BJ99" s="37" t="str">
        <f t="array" ref="BJ99">IF($A99="","", INDEX(CS!$B$1:$B$15025,MATCH($A99,CS!$B:$B,0)+COLUMN(D$1),1))</f>
        <v/>
      </c>
      <c r="BK99" s="37" t="str">
        <f t="array" ref="BK99">IF($A99="","", INDEX(CS!$B$1:$B$15025,MATCH($A99,CS!$B:$B,0)+COLUMN(E$1),1))</f>
        <v/>
      </c>
      <c r="BL99" s="37" t="str">
        <f t="array" ref="BL99">IF($A99="","", INDEX(CS!$B$1:$B$15025,MATCH($A99,CS!$B:$B,0)+COLUMN(F$1),1))</f>
        <v/>
      </c>
      <c r="BM99" s="37" t="str">
        <f t="array" ref="BM99">IF($A99="","", INDEX(CS!$B$1:$B$15025,MATCH($A99,CS!$B:$B,0)+COLUMN(G$1),1))</f>
        <v/>
      </c>
      <c r="BN99" s="37" t="str">
        <f t="array" ref="BN99">IF($A99="","", INDEX(CS!$B$1:$B$15025,MATCH($A99,CS!$B:$B,0)+COLUMN(H$1),1))</f>
        <v/>
      </c>
      <c r="BO99" s="37" t="str">
        <f t="array" ref="BO99">IF($A99="","", INDEX(CS!$B$1:$B$15025,MATCH($A99,CS!$B:$B,0)+COLUMN(I$1),1))</f>
        <v/>
      </c>
      <c r="BP99" s="37" t="str">
        <f t="array" ref="BP99">IF($A99="","", INDEX(CS!$B$1:$B$15025,MATCH($A99,CS!$B:$B,0)+COLUMN(J$1),1))</f>
        <v/>
      </c>
      <c r="BS99" s="74"/>
    </row>
    <row r="100" ht="18.75" customHeight="1" outlineLevel="1">
      <c r="A100" s="37" t="s">
        <v>1101</v>
      </c>
      <c r="B100" s="71" t="s">
        <v>1102</v>
      </c>
      <c r="C100" s="39" t="s">
        <v>2797</v>
      </c>
      <c r="D100" s="72" t="str">
        <f t="shared" si="1"/>
        <v>710/460/250</v>
      </c>
      <c r="E100" s="37">
        <v>1.0</v>
      </c>
      <c r="F100" s="37">
        <v>85.0</v>
      </c>
      <c r="I100" s="37">
        <v>90.0</v>
      </c>
      <c r="J100" s="37">
        <v>80.0</v>
      </c>
      <c r="K100" s="73">
        <v>25.0</v>
      </c>
      <c r="L100" s="37">
        <v>50.0</v>
      </c>
      <c r="M100" s="37">
        <v>55.0</v>
      </c>
      <c r="N100" s="37">
        <v>75.0</v>
      </c>
      <c r="P100" s="37">
        <v>0.0</v>
      </c>
      <c r="Q100" s="64"/>
      <c r="R100" s="64"/>
      <c r="S100" s="64"/>
      <c r="T100" s="64"/>
      <c r="U100" s="64"/>
      <c r="V100" s="64"/>
      <c r="W100" s="64"/>
      <c r="X100" s="64"/>
      <c r="Y100" s="64"/>
      <c r="Z100" s="64"/>
      <c r="AA100" s="64"/>
      <c r="AJ100" s="39">
        <v>75.0</v>
      </c>
      <c r="AK100" s="39">
        <v>50.0</v>
      </c>
      <c r="AL100" s="39">
        <v>25.0</v>
      </c>
      <c r="AM100" s="39">
        <v>25.0</v>
      </c>
      <c r="AN100" s="39">
        <v>25.0</v>
      </c>
      <c r="AO100" s="39">
        <v>0.0</v>
      </c>
      <c r="AP100" s="39">
        <v>0.0</v>
      </c>
      <c r="AQ100" s="39">
        <v>0.0</v>
      </c>
      <c r="AR100" s="39">
        <v>25.0</v>
      </c>
      <c r="AS100" s="39">
        <v>0.0</v>
      </c>
      <c r="AT100" s="39">
        <v>0.0</v>
      </c>
      <c r="AU100" s="39">
        <v>0.0</v>
      </c>
      <c r="AV100" s="39">
        <v>0.0</v>
      </c>
      <c r="AW100" s="39">
        <v>25.0</v>
      </c>
      <c r="AX100" s="39">
        <v>0.0</v>
      </c>
      <c r="AY100" s="39">
        <v>0.0</v>
      </c>
      <c r="AZ100" s="39">
        <v>0.0</v>
      </c>
      <c r="BG100" s="37" t="str">
        <f t="array" ref="BG100">IF($A100="","", INDEX(CS!$B$1:$B$15025,MATCH($A100,CS!$B:$B,0)+COLUMN(A$1),1))</f>
        <v/>
      </c>
      <c r="BH100" s="37" t="str">
        <f t="array" ref="BH100">IF($A100="","", INDEX(CS!$B$1:$B$15025,MATCH($A100,CS!$B:$B,0)+COLUMN(B$1),1))</f>
        <v>闘気撃</v>
      </c>
      <c r="BI100" s="37" t="str">
        <f t="array" ref="BI100">IF($A100="","", INDEX(CS!$B$1:$B$15025,MATCH($A100,CS!$B:$B,0)+COLUMN(C$1),1))</f>
        <v>武器の扱い</v>
      </c>
      <c r="BJ100" s="37" t="str">
        <f t="array" ref="BJ100">IF($A100="","", INDEX(CS!$B$1:$B$15025,MATCH($A100,CS!$B:$B,0)+COLUMN(D$1),1))</f>
        <v/>
      </c>
      <c r="BK100" s="37" t="str">
        <f t="array" ref="BK100">IF($A100="","", INDEX(CS!$B$1:$B$15025,MATCH($A100,CS!$B:$B,0)+COLUMN(E$1),1))</f>
        <v>闘気守</v>
      </c>
      <c r="BL100" s="37" t="str">
        <f t="array" ref="BL100">IF($A100="","", INDEX(CS!$B$1:$B$15025,MATCH($A100,CS!$B:$B,0)+COLUMN(F$1),1))</f>
        <v/>
      </c>
      <c r="BM100" s="37" t="str">
        <f t="array" ref="BM100">IF($A100="","", INDEX(CS!$B$1:$B$15025,MATCH($A100,CS!$B:$B,0)+COLUMN(G$1),1))</f>
        <v/>
      </c>
      <c r="BN100" s="37" t="str">
        <f t="array" ref="BN100">IF($A100="","", INDEX(CS!$B$1:$B$15025,MATCH($A100,CS!$B:$B,0)+COLUMN(H$1),1))</f>
        <v>雄叫び</v>
      </c>
      <c r="BO100" s="37" t="str">
        <f t="array" ref="BO100">IF($A100="","", INDEX(CS!$B$1:$B$15025,MATCH($A100,CS!$B:$B,0)+COLUMN(I$1),1))</f>
        <v>武器の攻め</v>
      </c>
      <c r="BP100" s="37" t="str">
        <f t="array" ref="BP100">IF($A100="","", INDEX(CS!$B$1:$B$15025,MATCH($A100,CS!$B:$B,0)+COLUMN(J$1),1))</f>
        <v>一閃撃</v>
      </c>
      <c r="BS100" s="74"/>
      <c r="CG100" s="37" t="s">
        <v>2798</v>
      </c>
      <c r="CJ100" s="37" t="s">
        <v>2799</v>
      </c>
      <c r="CK100" s="37" t="s">
        <v>2800</v>
      </c>
      <c r="CN100" s="37" t="s">
        <v>1102</v>
      </c>
    </row>
    <row r="101" ht="18.75" customHeight="1" outlineLevel="1">
      <c r="A101" s="37" t="s">
        <v>1119</v>
      </c>
      <c r="B101" s="71" t="s">
        <v>2801</v>
      </c>
      <c r="C101" s="39" t="s">
        <v>2797</v>
      </c>
      <c r="D101" s="72" t="str">
        <f t="shared" si="1"/>
        <v>710/460/250</v>
      </c>
      <c r="E101" s="37">
        <v>1.0</v>
      </c>
      <c r="F101" s="37">
        <v>85.0</v>
      </c>
      <c r="I101" s="37">
        <v>80.0</v>
      </c>
      <c r="J101" s="37">
        <v>90.0</v>
      </c>
      <c r="K101" s="73">
        <v>25.0</v>
      </c>
      <c r="L101" s="37">
        <v>55.0</v>
      </c>
      <c r="M101" s="37">
        <v>50.0</v>
      </c>
      <c r="N101" s="37">
        <v>75.0</v>
      </c>
      <c r="P101" s="37">
        <v>0.0</v>
      </c>
      <c r="Q101" s="64"/>
      <c r="R101" s="64"/>
      <c r="S101" s="64"/>
      <c r="T101" s="64"/>
      <c r="U101" s="64"/>
      <c r="V101" s="64"/>
      <c r="W101" s="64"/>
      <c r="X101" s="64"/>
      <c r="Y101" s="64"/>
      <c r="Z101" s="64"/>
      <c r="AA101" s="64"/>
      <c r="AJ101" s="39">
        <v>100.0</v>
      </c>
      <c r="AK101" s="39">
        <v>0.0</v>
      </c>
      <c r="AL101" s="39">
        <v>25.0</v>
      </c>
      <c r="AM101" s="39">
        <v>25.0</v>
      </c>
      <c r="AN101" s="39">
        <v>25.0</v>
      </c>
      <c r="AO101" s="39">
        <v>0.0</v>
      </c>
      <c r="AP101" s="39">
        <v>0.0</v>
      </c>
      <c r="AQ101" s="39">
        <v>0.0</v>
      </c>
      <c r="AR101" s="39">
        <v>25.0</v>
      </c>
      <c r="AS101" s="39">
        <v>0.0</v>
      </c>
      <c r="AT101" s="39">
        <v>0.0</v>
      </c>
      <c r="AU101" s="39">
        <v>0.0</v>
      </c>
      <c r="AV101" s="39">
        <v>0.0</v>
      </c>
      <c r="AW101" s="39">
        <v>50.0</v>
      </c>
      <c r="AX101" s="39">
        <v>0.0</v>
      </c>
      <c r="AY101" s="39">
        <v>0.0</v>
      </c>
      <c r="AZ101" s="39">
        <v>0.0</v>
      </c>
      <c r="BG101" s="37" t="str">
        <f t="array" ref="BG101">IF($A101="","", INDEX(CS!$B$1:$B$15025,MATCH($A101,CS!$B:$B,0)+COLUMN(A$1),1))</f>
        <v/>
      </c>
      <c r="BH101" s="37" t="str">
        <f t="array" ref="BH101">IF($A101="","", INDEX(CS!$B$1:$B$15025,MATCH($A101,CS!$B:$B,0)+COLUMN(B$1),1))</f>
        <v>闘気守</v>
      </c>
      <c r="BI101" s="37" t="str">
        <f t="array" ref="BI101">IF($A101="","", INDEX(CS!$B$1:$B$15025,MATCH($A101,CS!$B:$B,0)+COLUMN(C$1),1))</f>
        <v>武器の扱い</v>
      </c>
      <c r="BJ101" s="37" t="str">
        <f t="array" ref="BJ101">IF($A101="","", INDEX(CS!$B$1:$B$15025,MATCH($A101,CS!$B:$B,0)+COLUMN(D$1),1))</f>
        <v/>
      </c>
      <c r="BK101" s="37" t="str">
        <f t="array" ref="BK101">IF($A101="","", INDEX(CS!$B$1:$B$15025,MATCH($A101,CS!$B:$B,0)+COLUMN(E$1),1))</f>
        <v>闘気撃</v>
      </c>
      <c r="BL101" s="37" t="str">
        <f t="array" ref="BL101">IF($A101="","", INDEX(CS!$B$1:$B$15025,MATCH($A101,CS!$B:$B,0)+COLUMN(F$1),1))</f>
        <v>反撃</v>
      </c>
      <c r="BM101" s="37" t="str">
        <f t="array" ref="BM101">IF($A101="","", INDEX(CS!$B$1:$B$15025,MATCH($A101,CS!$B:$B,0)+COLUMN(G$1),1))</f>
        <v/>
      </c>
      <c r="BN101" s="37" t="str">
        <f t="array" ref="BN101">IF($A101="","", INDEX(CS!$B$1:$B$15025,MATCH($A101,CS!$B:$B,0)+COLUMN(H$1),1))</f>
        <v>雄叫び</v>
      </c>
      <c r="BO101" s="37" t="str">
        <f t="array" ref="BO101">IF($A101="","", INDEX(CS!$B$1:$B$15025,MATCH($A101,CS!$B:$B,0)+COLUMN(I$1),1))</f>
        <v>武器の守り</v>
      </c>
      <c r="BP101" s="37" t="str">
        <f t="array" ref="BP101">IF($A101="","", INDEX(CS!$B$1:$B$15025,MATCH($A101,CS!$B:$B,0)+COLUMN(J$1),1))</f>
        <v>一閃撃</v>
      </c>
      <c r="BS101" s="74"/>
      <c r="CG101" s="37" t="s">
        <v>2802</v>
      </c>
      <c r="CH101" s="37" t="s">
        <v>2803</v>
      </c>
      <c r="CJ101" s="37" t="s">
        <v>2799</v>
      </c>
      <c r="CK101" s="37" t="s">
        <v>2800</v>
      </c>
      <c r="CN101" s="37" t="s">
        <v>1102</v>
      </c>
    </row>
    <row r="102" ht="18.75" customHeight="1" outlineLevel="1">
      <c r="A102" s="37" t="s">
        <v>1124</v>
      </c>
      <c r="B102" s="71" t="s">
        <v>2804</v>
      </c>
      <c r="C102" s="39" t="s">
        <v>2797</v>
      </c>
      <c r="D102" s="72" t="str">
        <f t="shared" si="1"/>
        <v>710/460/250</v>
      </c>
      <c r="E102" s="37">
        <v>1.0</v>
      </c>
      <c r="F102" s="37">
        <v>85.0</v>
      </c>
      <c r="I102" s="37">
        <v>80.0</v>
      </c>
      <c r="J102" s="37">
        <v>55.0</v>
      </c>
      <c r="K102" s="73">
        <v>25.0</v>
      </c>
      <c r="L102" s="37">
        <v>50.0</v>
      </c>
      <c r="M102" s="37">
        <v>90.0</v>
      </c>
      <c r="N102" s="37">
        <v>75.0</v>
      </c>
      <c r="P102" s="37">
        <v>0.0</v>
      </c>
      <c r="Q102" s="64"/>
      <c r="R102" s="64"/>
      <c r="S102" s="64"/>
      <c r="T102" s="64"/>
      <c r="U102" s="64"/>
      <c r="V102" s="64"/>
      <c r="W102" s="64"/>
      <c r="X102" s="64"/>
      <c r="Y102" s="64"/>
      <c r="Z102" s="64"/>
      <c r="AA102" s="64"/>
      <c r="AJ102" s="39">
        <v>50.0</v>
      </c>
      <c r="AK102" s="39">
        <v>50.0</v>
      </c>
      <c r="AL102" s="39">
        <v>25.0</v>
      </c>
      <c r="AM102" s="39">
        <v>50.0</v>
      </c>
      <c r="AN102" s="39">
        <v>25.0</v>
      </c>
      <c r="AO102" s="39">
        <v>0.0</v>
      </c>
      <c r="AP102" s="39">
        <v>0.0</v>
      </c>
      <c r="AQ102" s="39">
        <v>0.0</v>
      </c>
      <c r="AR102" s="39">
        <v>25.0</v>
      </c>
      <c r="AS102" s="39">
        <v>0.0</v>
      </c>
      <c r="AT102" s="39">
        <v>0.0</v>
      </c>
      <c r="AU102" s="39">
        <v>0.0</v>
      </c>
      <c r="AV102" s="39">
        <v>0.0</v>
      </c>
      <c r="AW102" s="39">
        <v>25.0</v>
      </c>
      <c r="AX102" s="39">
        <v>0.0</v>
      </c>
      <c r="AY102" s="39">
        <v>0.0</v>
      </c>
      <c r="AZ102" s="39">
        <v>0.0</v>
      </c>
      <c r="BG102" s="37" t="str">
        <f t="array" ref="BG102">IF($A102="","", INDEX(CS!$B$1:$B$15025,MATCH($A102,CS!$B:$B,0)+COLUMN(A$1),1))</f>
        <v/>
      </c>
      <c r="BH102" s="37" t="str">
        <f t="array" ref="BH102">IF($A102="","", INDEX(CS!$B$1:$B$15025,MATCH($A102,CS!$B:$B,0)+COLUMN(B$1),1))</f>
        <v>闘気撃</v>
      </c>
      <c r="BI102" s="37" t="str">
        <f t="array" ref="BI102">IF($A102="","", INDEX(CS!$B$1:$B$15025,MATCH($A102,CS!$B:$B,0)+COLUMN(C$1),1))</f>
        <v>武器の扱い</v>
      </c>
      <c r="BJ102" s="37" t="str">
        <f t="array" ref="BJ102">IF($A102="","", INDEX(CS!$B$1:$B$15025,MATCH($A102,CS!$B:$B,0)+COLUMN(D$1),1))</f>
        <v/>
      </c>
      <c r="BK102" s="37" t="str">
        <f t="array" ref="BK102">IF($A102="","", INDEX(CS!$B$1:$B$15025,MATCH($A102,CS!$B:$B,0)+COLUMN(E$1),1))</f>
        <v>闘気速</v>
      </c>
      <c r="BL102" s="37" t="str">
        <f t="array" ref="BL102">IF($A102="","", INDEX(CS!$B$1:$B$15025,MATCH($A102,CS!$B:$B,0)+COLUMN(F$1),1))</f>
        <v/>
      </c>
      <c r="BM102" s="37" t="str">
        <f t="array" ref="BM102">IF($A102="","", INDEX(CS!$B$1:$B$15025,MATCH($A102,CS!$B:$B,0)+COLUMN(G$1),1))</f>
        <v/>
      </c>
      <c r="BN102" s="37" t="str">
        <f t="array" ref="BN102">IF($A102="","", INDEX(CS!$B$1:$B$15025,MATCH($A102,CS!$B:$B,0)+COLUMN(H$1),1))</f>
        <v>雄叫び</v>
      </c>
      <c r="BO102" s="37" t="str">
        <f t="array" ref="BO102">IF($A102="","", INDEX(CS!$B$1:$B$15025,MATCH($A102,CS!$B:$B,0)+COLUMN(I$1),1))</f>
        <v>武器の攻め</v>
      </c>
      <c r="BP102" s="37" t="str">
        <f t="array" ref="BP102">IF($A102="","", INDEX(CS!$B$1:$B$15025,MATCH($A102,CS!$B:$B,0)+COLUMN(J$1),1))</f>
        <v>一閃撃</v>
      </c>
      <c r="BS102" s="74"/>
      <c r="CG102" s="37" t="s">
        <v>2805</v>
      </c>
      <c r="CI102" s="37" t="s">
        <v>2806</v>
      </c>
      <c r="CJ102" s="37" t="s">
        <v>2807</v>
      </c>
      <c r="CK102" s="37" t="s">
        <v>2800</v>
      </c>
      <c r="CN102" s="37" t="s">
        <v>1102</v>
      </c>
    </row>
    <row r="103" ht="18.75" customHeight="1" outlineLevel="1">
      <c r="A103" s="39" t="s">
        <v>1129</v>
      </c>
      <c r="B103" s="89" t="s">
        <v>1130</v>
      </c>
      <c r="C103" s="39" t="s">
        <v>2808</v>
      </c>
      <c r="D103" s="72" t="str">
        <f t="shared" si="1"/>
        <v>710/455/255</v>
      </c>
      <c r="E103" s="39">
        <v>1.0</v>
      </c>
      <c r="F103" s="39">
        <v>80.0</v>
      </c>
      <c r="I103" s="39">
        <v>80.0</v>
      </c>
      <c r="J103" s="39">
        <v>75.0</v>
      </c>
      <c r="K103" s="87">
        <v>25.0</v>
      </c>
      <c r="L103" s="39">
        <v>45.0</v>
      </c>
      <c r="M103" s="39">
        <v>75.0</v>
      </c>
      <c r="N103" s="39">
        <v>75.0</v>
      </c>
      <c r="P103" s="37">
        <v>0.0</v>
      </c>
      <c r="Q103" s="64"/>
      <c r="R103" s="64"/>
      <c r="S103" s="64"/>
      <c r="T103" s="64"/>
      <c r="U103" s="64"/>
      <c r="V103" s="64"/>
      <c r="W103" s="64"/>
      <c r="X103" s="64"/>
      <c r="Y103" s="64"/>
      <c r="Z103" s="64"/>
      <c r="AA103" s="64"/>
      <c r="AJ103" s="39">
        <v>50.0</v>
      </c>
      <c r="AK103" s="39">
        <v>50.0</v>
      </c>
      <c r="AL103" s="39">
        <v>25.0</v>
      </c>
      <c r="AM103" s="39">
        <v>55.0</v>
      </c>
      <c r="AN103" s="39">
        <v>25.0</v>
      </c>
      <c r="AO103" s="39">
        <v>0.0</v>
      </c>
      <c r="AP103" s="39">
        <v>0.0</v>
      </c>
      <c r="AQ103" s="39">
        <v>0.0</v>
      </c>
      <c r="AR103" s="39">
        <v>25.0</v>
      </c>
      <c r="AS103" s="39">
        <v>0.0</v>
      </c>
      <c r="AT103" s="39">
        <v>0.0</v>
      </c>
      <c r="AU103" s="39">
        <v>0.0</v>
      </c>
      <c r="AV103" s="39">
        <v>0.0</v>
      </c>
      <c r="AW103" s="39">
        <v>25.0</v>
      </c>
      <c r="AX103" s="39">
        <v>0.0</v>
      </c>
      <c r="AY103" s="39">
        <v>0.0</v>
      </c>
      <c r="AZ103" s="39">
        <v>0.0</v>
      </c>
      <c r="BG103" s="37" t="str">
        <f t="array" ref="BG103">IF($A103="","",IFERROR(INDEX(CS!$B$1:$B$15025,MATCH($A103,CS!$B:$B,0)+COLUMN(A$1),1),""))</f>
        <v/>
      </c>
      <c r="BH103" s="37" t="str">
        <f t="array" ref="BH103">IF($A103="","",IFERROR(INDEX(CS!$B$1:$B$15025,MATCH($A103,CS!$B:$B,0)+COLUMN(B$1),1),""))</f>
        <v>闘気撃</v>
      </c>
      <c r="BI103" s="37" t="str">
        <f t="array" ref="BI103">IF($A103="","",IFERROR(INDEX(CS!$B$1:$B$15025,MATCH($A103,CS!$B:$B,0)+COLUMN(C$1),1),""))</f>
        <v>素手の扱い</v>
      </c>
      <c r="BJ103" s="37" t="str">
        <f t="array" ref="BJ103">IF($A103="","",IFERROR(INDEX(CS!$B$1:$B$15025,MATCH($A103,CS!$B:$B,0)+COLUMN(D$1),1),""))</f>
        <v/>
      </c>
      <c r="BK103" s="37" t="str">
        <f t="array" ref="BK103">IF($A103="","",IFERROR(INDEX(CS!$B$1:$B$15025,MATCH($A103,CS!$B:$B,0)+COLUMN(E$1),1),""))</f>
        <v>闘気速</v>
      </c>
      <c r="BL103" s="37" t="str">
        <f t="array" ref="BL103">IF($A103="","",IFERROR(INDEX(CS!$B$1:$B$15025,MATCH($A103,CS!$B:$B,0)+COLUMN(F$1),1),""))</f>
        <v/>
      </c>
      <c r="BM103" s="37" t="str">
        <f t="array" ref="BM103">IF($A103="","",IFERROR(INDEX(CS!$B$1:$B$15025,MATCH($A103,CS!$B:$B,0)+COLUMN(G$1),1),""))</f>
        <v/>
      </c>
      <c r="BN103" s="37" t="str">
        <f t="array" ref="BN103">IF($A103="","",IFERROR(INDEX(CS!$B$1:$B$15025,MATCH($A103,CS!$B:$B,0)+COLUMN(H$1),1),""))</f>
        <v>雄叫び</v>
      </c>
      <c r="BO103" s="37" t="str">
        <f t="array" ref="BO103">IF($A103="","",IFERROR(INDEX(CS!$B$1:$B$15025,MATCH($A103,CS!$B:$B,0)+COLUMN(I$1),1),""))</f>
        <v>武器の攻め</v>
      </c>
      <c r="BP103" s="37" t="str">
        <f t="array" ref="BP103">IF($A103="","",IFERROR(INDEX(CS!$B$1:$B$15025,MATCH($A103,CS!$B:$B,0)+COLUMN(J$1),1),""))</f>
        <v>一閃撃</v>
      </c>
      <c r="BS103" s="74"/>
    </row>
    <row r="104" ht="18.75" customHeight="1" outlineLevel="2">
      <c r="A104" s="37" t="s">
        <v>1135</v>
      </c>
      <c r="B104" s="71" t="s">
        <v>2809</v>
      </c>
      <c r="C104" s="39" t="s">
        <v>2810</v>
      </c>
      <c r="D104" s="72" t="str">
        <f t="shared" si="1"/>
        <v>710/445/265</v>
      </c>
      <c r="E104" s="37">
        <v>1.0</v>
      </c>
      <c r="F104" s="37">
        <v>75.0</v>
      </c>
      <c r="I104" s="37">
        <v>75.0</v>
      </c>
      <c r="J104" s="37">
        <v>50.0</v>
      </c>
      <c r="K104" s="73">
        <v>25.0</v>
      </c>
      <c r="L104" s="37">
        <v>50.0</v>
      </c>
      <c r="M104" s="37">
        <v>85.0</v>
      </c>
      <c r="N104" s="37">
        <v>85.0</v>
      </c>
      <c r="P104" s="37">
        <v>0.0</v>
      </c>
      <c r="Q104" s="64"/>
      <c r="R104" s="64"/>
      <c r="S104" s="64"/>
      <c r="T104" s="64"/>
      <c r="U104" s="64"/>
      <c r="V104" s="64"/>
      <c r="W104" s="64"/>
      <c r="X104" s="64"/>
      <c r="Y104" s="64"/>
      <c r="Z104" s="64"/>
      <c r="AA104" s="64"/>
      <c r="AJ104" s="39">
        <v>0.0</v>
      </c>
      <c r="AK104" s="39">
        <v>25.0</v>
      </c>
      <c r="AL104" s="39">
        <v>0.0</v>
      </c>
      <c r="AM104" s="39">
        <v>50.0</v>
      </c>
      <c r="AN104" s="39">
        <v>25.0</v>
      </c>
      <c r="AO104" s="39">
        <v>0.0</v>
      </c>
      <c r="AP104" s="39">
        <v>0.0</v>
      </c>
      <c r="AQ104" s="39">
        <v>90.0</v>
      </c>
      <c r="AR104" s="39">
        <v>75.0</v>
      </c>
      <c r="AS104" s="39">
        <v>0.0</v>
      </c>
      <c r="AT104" s="39">
        <v>0.0</v>
      </c>
      <c r="AU104" s="39">
        <v>0.0</v>
      </c>
      <c r="AV104" s="39">
        <v>0.0</v>
      </c>
      <c r="AW104" s="39">
        <v>0.0</v>
      </c>
      <c r="AX104" s="39">
        <v>0.0</v>
      </c>
      <c r="AY104" s="39">
        <v>0.0</v>
      </c>
      <c r="AZ104" s="39">
        <v>0.0</v>
      </c>
      <c r="BG104" s="37" t="str">
        <f t="array" ref="BG104">IF($A104="","", INDEX(CS!$B$1:$B$15025,MATCH($A104,CS!$B:$B,0)+COLUMN(A$1),1))</f>
        <v/>
      </c>
      <c r="BH104" s="37" t="str">
        <f t="array" ref="BH104">IF($A104="","", INDEX(CS!$B$1:$B$15025,MATCH($A104,CS!$B:$B,0)+COLUMN(B$1),1))</f>
        <v>急所撃</v>
      </c>
      <c r="BI104" s="37" t="str">
        <f t="array" ref="BI104">IF($A104="","", INDEX(CS!$B$1:$B$15025,MATCH($A104,CS!$B:$B,0)+COLUMN(C$1),1))</f>
        <v>隠密</v>
      </c>
      <c r="BJ104" s="37" t="str">
        <f t="array" ref="BJ104">IF($A104="","", INDEX(CS!$B$1:$B$15025,MATCH($A104,CS!$B:$B,0)+COLUMN(D$1),1))</f>
        <v/>
      </c>
      <c r="BK104" s="37" t="str">
        <f t="array" ref="BK104">IF($A104="","", INDEX(CS!$B$1:$B$15025,MATCH($A104,CS!$B:$B,0)+COLUMN(E$1),1))</f>
        <v>痛撃</v>
      </c>
      <c r="BL104" s="37" t="str">
        <f t="array" ref="BL104">IF($A104="","", INDEX(CS!$B$1:$B$15025,MATCH($A104,CS!$B:$B,0)+COLUMN(F$1),1))</f>
        <v>罠技術</v>
      </c>
      <c r="BM104" s="37" t="str">
        <f t="array" ref="BM104">IF($A104="","", INDEX(CS!$B$1:$B$15025,MATCH($A104,CS!$B:$B,0)+COLUMN(G$1),1))</f>
        <v/>
      </c>
      <c r="BN104" s="37" t="str">
        <f t="array" ref="BN104">IF($A104="","", INDEX(CS!$B$1:$B$15025,MATCH($A104,CS!$B:$B,0)+COLUMN(H$1),1))</f>
        <v>狙い</v>
      </c>
      <c r="BO104" s="37" t="str">
        <f t="array" ref="BO104">IF($A104="","", INDEX(CS!$B$1:$B$15025,MATCH($A104,CS!$B:$B,0)+COLUMN(I$1),1))</f>
        <v/>
      </c>
      <c r="BP104" s="37" t="str">
        <f t="array" ref="BP104">IF($A104="","", INDEX(CS!$B$1:$B$15025,MATCH($A104,CS!$B:$B,0)+COLUMN(J$1),1))</f>
        <v/>
      </c>
      <c r="BS104" s="74"/>
      <c r="CG104" s="37" t="s">
        <v>2811</v>
      </c>
      <c r="CJ104" s="37" t="s">
        <v>2807</v>
      </c>
      <c r="CK104" s="37" t="s">
        <v>2800</v>
      </c>
      <c r="CN104" s="37" t="s">
        <v>2812</v>
      </c>
    </row>
    <row r="105" ht="18.75" customHeight="1" outlineLevel="2">
      <c r="A105" s="37" t="s">
        <v>1147</v>
      </c>
      <c r="B105" s="71" t="s">
        <v>2812</v>
      </c>
      <c r="C105" s="39" t="s">
        <v>2810</v>
      </c>
      <c r="D105" s="72" t="str">
        <f t="shared" si="1"/>
        <v>710/460/250</v>
      </c>
      <c r="E105" s="37">
        <v>1.0</v>
      </c>
      <c r="F105" s="37">
        <v>75.0</v>
      </c>
      <c r="I105" s="37">
        <v>75.0</v>
      </c>
      <c r="J105" s="37">
        <v>75.0</v>
      </c>
      <c r="K105" s="73">
        <v>25.0</v>
      </c>
      <c r="L105" s="37">
        <v>50.0</v>
      </c>
      <c r="M105" s="37">
        <v>75.0</v>
      </c>
      <c r="N105" s="37">
        <v>85.0</v>
      </c>
      <c r="P105" s="37">
        <v>0.0</v>
      </c>
      <c r="Q105" s="64"/>
      <c r="R105" s="64"/>
      <c r="S105" s="64"/>
      <c r="T105" s="64"/>
      <c r="U105" s="64"/>
      <c r="V105" s="64"/>
      <c r="W105" s="64"/>
      <c r="X105" s="64"/>
      <c r="Y105" s="64"/>
      <c r="Z105" s="64"/>
      <c r="AA105" s="64"/>
      <c r="AJ105" s="39">
        <v>0.0</v>
      </c>
      <c r="AK105" s="39">
        <v>0.0</v>
      </c>
      <c r="AL105" s="39">
        <v>0.0</v>
      </c>
      <c r="AM105" s="39">
        <v>50.0</v>
      </c>
      <c r="AN105" s="39">
        <v>35.0</v>
      </c>
      <c r="AO105" s="39">
        <v>0.0</v>
      </c>
      <c r="AP105" s="39">
        <v>0.0</v>
      </c>
      <c r="AQ105" s="39">
        <v>75.0</v>
      </c>
      <c r="AR105" s="39">
        <v>90.0</v>
      </c>
      <c r="AS105" s="39">
        <v>0.0</v>
      </c>
      <c r="AT105" s="39">
        <v>0.0</v>
      </c>
      <c r="AU105" s="39">
        <v>0.0</v>
      </c>
      <c r="AV105" s="39">
        <v>0.0</v>
      </c>
      <c r="AW105" s="39">
        <v>0.0</v>
      </c>
      <c r="AX105" s="39">
        <v>0.0</v>
      </c>
      <c r="AY105" s="39">
        <v>0.0</v>
      </c>
      <c r="AZ105" s="39">
        <v>0.0</v>
      </c>
      <c r="BG105" s="37" t="str">
        <f t="array" ref="BG105">IF($A105="","", INDEX(CS!$B$1:$B$15025,MATCH($A105,CS!$B:$B,0)+COLUMN(A$1),1))</f>
        <v>急所撃</v>
      </c>
      <c r="BH105" s="37" t="str">
        <f t="array" ref="BH105">IF($A105="","", INDEX(CS!$B$1:$B$15025,MATCH($A105,CS!$B:$B,0)+COLUMN(B$1),1))</f>
        <v>狙い</v>
      </c>
      <c r="BI105" s="37" t="str">
        <f t="array" ref="BI105">IF($A105="","", INDEX(CS!$B$1:$B$15025,MATCH($A105,CS!$B:$B,0)+COLUMN(C$1),1))</f>
        <v>隠密</v>
      </c>
      <c r="BJ105" s="37" t="str">
        <f t="array" ref="BJ105">IF($A105="","", INDEX(CS!$B$1:$B$15025,MATCH($A105,CS!$B:$B,0)+COLUMN(D$1),1))</f>
        <v>痛撃</v>
      </c>
      <c r="BK105" s="37" t="str">
        <f t="array" ref="BK105">IF($A105="","", INDEX(CS!$B$1:$B$15025,MATCH($A105,CS!$B:$B,0)+COLUMN(E$1),1))</f>
        <v>罠技術</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
      </c>
      <c r="BP105" s="37" t="str">
        <f t="array" ref="BP105">IF($A105="","", INDEX(CS!$B$1:$B$15025,MATCH($A105,CS!$B:$B,0)+COLUMN(J$1),1))</f>
        <v/>
      </c>
      <c r="BS105" s="74"/>
      <c r="CG105" s="37" t="s">
        <v>2813</v>
      </c>
      <c r="CJ105" s="37" t="s">
        <v>2807</v>
      </c>
      <c r="CK105" s="37" t="s">
        <v>2800</v>
      </c>
      <c r="CN105" s="37" t="s">
        <v>2812</v>
      </c>
    </row>
    <row r="106" ht="18.75" customHeight="1" outlineLevel="2">
      <c r="A106" s="39" t="s">
        <v>1148</v>
      </c>
      <c r="B106" s="89" t="s">
        <v>1149</v>
      </c>
      <c r="C106" s="39" t="s">
        <v>2797</v>
      </c>
      <c r="D106" s="72" t="str">
        <f t="shared" si="1"/>
        <v>710/470/240</v>
      </c>
      <c r="E106" s="39">
        <v>1.0</v>
      </c>
      <c r="F106" s="39">
        <v>90.0</v>
      </c>
      <c r="I106" s="39">
        <v>80.0</v>
      </c>
      <c r="J106" s="39">
        <v>75.0</v>
      </c>
      <c r="K106" s="87">
        <v>25.0</v>
      </c>
      <c r="L106" s="39">
        <v>50.0</v>
      </c>
      <c r="M106" s="39">
        <v>75.0</v>
      </c>
      <c r="N106" s="39">
        <v>75.0</v>
      </c>
      <c r="P106" s="37">
        <v>0.0</v>
      </c>
      <c r="Q106" s="64"/>
      <c r="R106" s="64"/>
      <c r="S106" s="64"/>
      <c r="T106" s="64"/>
      <c r="U106" s="64"/>
      <c r="V106" s="64"/>
      <c r="W106" s="64"/>
      <c r="X106" s="64"/>
      <c r="Y106" s="64"/>
      <c r="Z106" s="64"/>
      <c r="AA106" s="64"/>
      <c r="AJ106" s="39">
        <v>0.0</v>
      </c>
      <c r="AK106" s="39">
        <v>0.0</v>
      </c>
      <c r="AL106" s="39">
        <v>0.0</v>
      </c>
      <c r="AM106" s="39">
        <v>50.0</v>
      </c>
      <c r="AN106" s="39">
        <v>35.0</v>
      </c>
      <c r="AO106" s="39">
        <v>0.0</v>
      </c>
      <c r="AP106" s="39">
        <v>0.0</v>
      </c>
      <c r="AQ106" s="39">
        <v>65.0</v>
      </c>
      <c r="AR106" s="39">
        <v>90.0</v>
      </c>
      <c r="AS106" s="39">
        <v>0.0</v>
      </c>
      <c r="AT106" s="39">
        <v>0.0</v>
      </c>
      <c r="AU106" s="39">
        <v>0.0</v>
      </c>
      <c r="AV106" s="39">
        <v>0.0</v>
      </c>
      <c r="AW106" s="39">
        <v>0.0</v>
      </c>
      <c r="AX106" s="39">
        <v>0.0</v>
      </c>
      <c r="AY106" s="39">
        <v>0.0</v>
      </c>
      <c r="AZ106" s="39">
        <v>0.0</v>
      </c>
      <c r="BG106" s="37" t="str">
        <f t="array" ref="BG106">IF($A106="","",IFERROR(INDEX(CS!$B$1:$B$15025,MATCH($A106,CS!$B:$B,0)+COLUMN(A$1),1),""))</f>
        <v>貫通矢</v>
      </c>
      <c r="BH106" s="37" t="str">
        <f t="array" ref="BH106">IF($A106="","",IFERROR(INDEX(CS!$B$1:$B$15025,MATCH($A106,CS!$B:$B,0)+COLUMN(B$1),1),""))</f>
        <v>狙い</v>
      </c>
      <c r="BI106" s="37" t="str">
        <f t="array" ref="BI106">IF($A106="","",IFERROR(INDEX(CS!$B$1:$B$15025,MATCH($A106,CS!$B:$B,0)+COLUMN(C$1),1),""))</f>
        <v>武器の扱い</v>
      </c>
      <c r="BJ106" s="37" t="str">
        <f t="array" ref="BJ106">IF($A106="","",IFERROR(INDEX(CS!$B$1:$B$15025,MATCH($A106,CS!$B:$B,0)+COLUMN(D$1),1),""))</f>
        <v/>
      </c>
      <c r="BK106" s="37" t="str">
        <f t="array" ref="BK106">IF($A106="","",IFERROR(INDEX(CS!$B$1:$B$15025,MATCH($A106,CS!$B:$B,0)+COLUMN(E$1),1),""))</f>
        <v>弓の使い手</v>
      </c>
      <c r="BL106" s="37" t="str">
        <f t="array" ref="BL106">IF($A106="","",IFERROR(INDEX(CS!$B$1:$B$15025,MATCH($A106,CS!$B:$B,0)+COLUMN(F$1),1),""))</f>
        <v/>
      </c>
      <c r="BM106" s="37" t="str">
        <f t="array" ref="BM106">IF($A106="","",IFERROR(INDEX(CS!$B$1:$B$15025,MATCH($A106,CS!$B:$B,0)+COLUMN(G$1),1),""))</f>
        <v>一閃撃</v>
      </c>
      <c r="BN106" s="37" t="str">
        <f t="array" ref="BN106">IF($A106="","",IFERROR(INDEX(CS!$B$1:$B$15025,MATCH($A106,CS!$B:$B,0)+COLUMN(H$1),1),""))</f>
        <v/>
      </c>
      <c r="BO106" s="37" t="str">
        <f t="array" ref="BO106">IF($A106="","",IFERROR(INDEX(CS!$B$1:$B$15025,MATCH($A106,CS!$B:$B,0)+COLUMN(I$1),1),""))</f>
        <v>精度</v>
      </c>
      <c r="BP106" s="37" t="str">
        <f t="array" ref="BP106">IF($A106="","",IFERROR(INDEX(CS!$B$1:$B$15025,MATCH($A106,CS!$B:$B,0)+COLUMN(J$1),1),""))</f>
        <v>射出</v>
      </c>
      <c r="BS106" s="74"/>
      <c r="CG106" s="37" t="s">
        <v>2813</v>
      </c>
      <c r="CJ106" s="37" t="s">
        <v>2807</v>
      </c>
      <c r="CK106" s="37" t="s">
        <v>2800</v>
      </c>
      <c r="CN106" s="37" t="s">
        <v>2812</v>
      </c>
    </row>
    <row r="107" ht="18.75" customHeight="1" outlineLevel="2">
      <c r="A107" s="37" t="s">
        <v>1159</v>
      </c>
      <c r="B107" s="71" t="s">
        <v>2814</v>
      </c>
      <c r="C107" s="39" t="s">
        <v>2815</v>
      </c>
      <c r="D107" s="72" t="str">
        <f t="shared" si="1"/>
        <v>710/470/240</v>
      </c>
      <c r="E107" s="37">
        <v>1.0</v>
      </c>
      <c r="F107" s="37">
        <v>60.0</v>
      </c>
      <c r="I107" s="37">
        <v>50.0</v>
      </c>
      <c r="J107" s="37">
        <v>55.0</v>
      </c>
      <c r="K107" s="73">
        <v>90.0</v>
      </c>
      <c r="L107" s="37">
        <v>90.0</v>
      </c>
      <c r="M107" s="37">
        <v>50.0</v>
      </c>
      <c r="N107" s="37">
        <v>75.0</v>
      </c>
      <c r="P107" s="37">
        <v>0.0</v>
      </c>
      <c r="Q107" s="64"/>
      <c r="R107" s="64"/>
      <c r="S107" s="64"/>
      <c r="T107" s="64"/>
      <c r="U107" s="64"/>
      <c r="V107" s="64"/>
      <c r="W107" s="64"/>
      <c r="X107" s="64"/>
      <c r="Y107" s="64"/>
      <c r="Z107" s="64"/>
      <c r="AA107" s="64"/>
      <c r="AJ107" s="39">
        <v>0.0</v>
      </c>
      <c r="AK107" s="39">
        <v>0.0</v>
      </c>
      <c r="AL107" s="39">
        <v>90.0</v>
      </c>
      <c r="AM107" s="39">
        <v>0.0</v>
      </c>
      <c r="AN107" s="39">
        <v>50.0</v>
      </c>
      <c r="AO107" s="39">
        <v>0.0</v>
      </c>
      <c r="AP107" s="39">
        <v>0.0</v>
      </c>
      <c r="AQ107" s="39">
        <v>0.0</v>
      </c>
      <c r="AR107" s="39">
        <v>0.0</v>
      </c>
      <c r="AS107" s="39">
        <v>0.0</v>
      </c>
      <c r="AT107" s="39">
        <v>0.0</v>
      </c>
      <c r="AU107" s="39">
        <v>0.0</v>
      </c>
      <c r="AV107" s="39">
        <v>0.0</v>
      </c>
      <c r="AW107" s="39">
        <v>0.0</v>
      </c>
      <c r="AX107" s="39">
        <v>0.0</v>
      </c>
      <c r="AY107" s="39">
        <v>100.0</v>
      </c>
      <c r="AZ107" s="39">
        <v>0.0</v>
      </c>
      <c r="BG107" s="37" t="str">
        <f t="array" ref="BG107">IF($A107="","", INDEX(CS!$B$1:$B$15025,MATCH($A107,CS!$B:$B,0)+COLUMN(A$1),1))</f>
        <v>力場弾</v>
      </c>
      <c r="BH107" s="37" t="str">
        <f t="array" ref="BH107">IF($A107="","", INDEX(CS!$B$1:$B$15025,MATCH($A107,CS!$B:$B,0)+COLUMN(B$1),1))</f>
        <v>火炎</v>
      </c>
      <c r="BI107" s="37" t="str">
        <f t="array" ref="BI107">IF($A107="","", INDEX(CS!$B$1:$B$15025,MATCH($A107,CS!$B:$B,0)+COLUMN(C$1),1))</f>
        <v>冷気の光線</v>
      </c>
      <c r="BJ107" s="39" t="str">
        <f t="array" ref="BJ107">IF($A107="","", INDEX(CS!$B$1:$B$15025,MATCH($A107,CS!$B:$B,0)+COLUMN(D$1),1))</f>
        <v>氷柱弾</v>
      </c>
      <c r="BK107" s="37" t="str">
        <f t="array" ref="BK107">IF($A107="","", INDEX(CS!$B$1:$B$15025,MATCH($A107,CS!$B:$B,0)+COLUMN(E$1),1))</f>
        <v>放電</v>
      </c>
      <c r="BL107" s="37" t="str">
        <f t="array" ref="BL107">IF($A107="","", INDEX(CS!$B$1:$B$15025,MATCH($A107,CS!$B:$B,0)+COLUMN(F$1),1))</f>
        <v/>
      </c>
      <c r="BM107" s="37" t="str">
        <f t="array" ref="BM107">IF($A107="","", INDEX(CS!$B$1:$B$15025,MATCH($A107,CS!$B:$B,0)+COLUMN(G$1),1))</f>
        <v>魔法の守り</v>
      </c>
      <c r="BN107" s="37" t="str">
        <f t="array" ref="BN107">IF($A107="","", INDEX(CS!$B$1:$B$15025,MATCH($A107,CS!$B:$B,0)+COLUMN(H$1),1))</f>
        <v/>
      </c>
      <c r="BO107" s="39" t="str">
        <f t="array" ref="BO107">IF($A107="","", INDEX(CS!$B$1:$B$15025,MATCH($A107,CS!$B:$B,0)+COLUMN(I$1),1))</f>
        <v>酸滴</v>
      </c>
      <c r="BP107" s="37" t="str">
        <f t="array" ref="BP107">IF($A107="","", INDEX(CS!$B$1:$B$15025,MATCH($A107,CS!$B:$B,0)+COLUMN(J$1),1))</f>
        <v/>
      </c>
      <c r="BS107" s="74"/>
      <c r="CG107" s="37" t="s">
        <v>2816</v>
      </c>
      <c r="CI107" s="37" t="s">
        <v>2806</v>
      </c>
      <c r="CJ107" s="37" t="s">
        <v>2817</v>
      </c>
      <c r="CK107" s="37" t="s">
        <v>2800</v>
      </c>
      <c r="CN107" s="37" t="s">
        <v>2814</v>
      </c>
    </row>
    <row r="108" ht="18.75" customHeight="1" outlineLevel="2">
      <c r="A108" s="37" t="s">
        <v>1160</v>
      </c>
      <c r="B108" s="71" t="s">
        <v>2818</v>
      </c>
      <c r="C108" s="39" t="s">
        <v>2815</v>
      </c>
      <c r="D108" s="72" t="str">
        <f t="shared" si="1"/>
        <v>710/465/245</v>
      </c>
      <c r="E108" s="37">
        <v>1.0</v>
      </c>
      <c r="F108" s="37">
        <v>65.0</v>
      </c>
      <c r="I108" s="37">
        <v>55.0</v>
      </c>
      <c r="J108" s="37">
        <v>65.0</v>
      </c>
      <c r="K108" s="73">
        <v>85.0</v>
      </c>
      <c r="L108" s="37">
        <v>70.0</v>
      </c>
      <c r="M108" s="37">
        <v>50.0</v>
      </c>
      <c r="N108" s="37">
        <v>75.0</v>
      </c>
      <c r="P108" s="37">
        <v>0.0</v>
      </c>
      <c r="Q108" s="64"/>
      <c r="R108" s="64"/>
      <c r="S108" s="64"/>
      <c r="T108" s="64"/>
      <c r="U108" s="64"/>
      <c r="V108" s="64"/>
      <c r="W108" s="64"/>
      <c r="X108" s="64"/>
      <c r="Y108" s="64"/>
      <c r="Z108" s="64"/>
      <c r="AA108" s="64"/>
      <c r="AJ108" s="39">
        <v>0.0</v>
      </c>
      <c r="AK108" s="39">
        <v>0.0</v>
      </c>
      <c r="AL108" s="39">
        <v>50.0</v>
      </c>
      <c r="AM108" s="39">
        <v>0.0</v>
      </c>
      <c r="AN108" s="39">
        <v>95.0</v>
      </c>
      <c r="AO108" s="39">
        <v>0.0</v>
      </c>
      <c r="AP108" s="39">
        <v>0.0</v>
      </c>
      <c r="AQ108" s="39">
        <v>0.0</v>
      </c>
      <c r="AR108" s="39">
        <v>0.0</v>
      </c>
      <c r="AS108" s="39">
        <v>0.0</v>
      </c>
      <c r="AT108" s="39">
        <v>0.0</v>
      </c>
      <c r="AU108" s="39">
        <v>0.0</v>
      </c>
      <c r="AV108" s="39">
        <v>0.0</v>
      </c>
      <c r="AW108" s="39">
        <v>0.0</v>
      </c>
      <c r="AX108" s="39">
        <v>0.0</v>
      </c>
      <c r="AY108" s="39">
        <v>100.0</v>
      </c>
      <c r="AZ108" s="39">
        <v>0.0</v>
      </c>
      <c r="BG108" s="37" t="str">
        <f t="array" ref="BG108">IF($A108="","", INDEX(CS!$B$1:$B$15025,MATCH($A108,CS!$B:$B,0)+COLUMN(A$1),1))</f>
        <v>爆薬</v>
      </c>
      <c r="BH108" s="37" t="str">
        <f t="array" ref="BH108">IF($A108="","", INDEX(CS!$B$1:$B$15025,MATCH($A108,CS!$B:$B,0)+COLUMN(B$1),1))</f>
        <v>闘気撃</v>
      </c>
      <c r="BI108" s="37" t="str">
        <f t="array" ref="BI108">IF($A108="","", INDEX(CS!$B$1:$B$15025,MATCH($A108,CS!$B:$B,0)+COLUMN(C$1),1))</f>
        <v>闘気速</v>
      </c>
      <c r="BJ108" s="37" t="str">
        <f t="array" ref="BJ108">IF($A108="","", INDEX(CS!$B$1:$B$15025,MATCH($A108,CS!$B:$B,0)+COLUMN(D$1),1))</f>
        <v>雄叫び</v>
      </c>
      <c r="BK108" s="37" t="str">
        <f t="array" ref="BK108">IF($A108="","", INDEX(CS!$B$1:$B$15025,MATCH($A108,CS!$B:$B,0)+COLUMN(E$1),1))</f>
        <v>一閃撃</v>
      </c>
      <c r="BL108" s="37" t="str">
        <f t="array" ref="BL108">IF($A108="","", INDEX(CS!$B$1:$B$15025,MATCH($A108,CS!$B:$B,0)+COLUMN(F$1),1))</f>
        <v>急所撃</v>
      </c>
      <c r="BM108" s="37" t="str">
        <f t="array" ref="BM108">IF($A108="","", INDEX(CS!$B$1:$B$15025,MATCH($A108,CS!$B:$B,0)+COLUMN(G$1),1))</f>
        <v>炎の雨</v>
      </c>
      <c r="BN108" s="37" t="str">
        <f t="array" ref="BN108">IF($A108="","", INDEX(CS!$B$1:$B$15025,MATCH($A108,CS!$B:$B,0)+COLUMN(H$1),1))</f>
        <v>火球</v>
      </c>
      <c r="BO108" s="37" t="str">
        <f t="array" ref="BO108">IF($A108="","", INDEX(CS!$B$1:$B$15025,MATCH($A108,CS!$B:$B,0)+COLUMN(I$1),1))</f>
        <v>落下火球</v>
      </c>
      <c r="BP108" s="37" t="str">
        <f t="array" ref="BP108">IF($A108="","", INDEX(CS!$B$1:$B$15025,MATCH($A108,CS!$B:$B,0)+COLUMN(J$1),1))</f>
        <v>爆裂</v>
      </c>
      <c r="BS108" s="74"/>
      <c r="CG108" s="37" t="s">
        <v>2816</v>
      </c>
      <c r="CI108" s="37" t="s">
        <v>2806</v>
      </c>
      <c r="CJ108" s="37" t="s">
        <v>2817</v>
      </c>
      <c r="CK108" s="37" t="s">
        <v>2800</v>
      </c>
      <c r="CN108" s="37" t="s">
        <v>2814</v>
      </c>
    </row>
    <row r="109" ht="18.75" customHeight="1" outlineLevel="2">
      <c r="A109" s="37" t="s">
        <v>1167</v>
      </c>
      <c r="B109" s="71" t="s">
        <v>2819</v>
      </c>
      <c r="C109" s="39" t="s">
        <v>2820</v>
      </c>
      <c r="D109" s="72" t="str">
        <f t="shared" si="1"/>
        <v>710/485/225</v>
      </c>
      <c r="E109" s="37">
        <v>1.0</v>
      </c>
      <c r="F109" s="37">
        <v>75.0</v>
      </c>
      <c r="I109" s="37">
        <v>70.0</v>
      </c>
      <c r="J109" s="37">
        <v>70.0</v>
      </c>
      <c r="K109" s="73">
        <v>75.0</v>
      </c>
      <c r="L109" s="37">
        <v>70.0</v>
      </c>
      <c r="M109" s="37">
        <v>50.0</v>
      </c>
      <c r="N109" s="37">
        <v>75.0</v>
      </c>
      <c r="P109" s="39">
        <v>25.0</v>
      </c>
      <c r="Q109" s="64"/>
      <c r="R109" s="64"/>
      <c r="S109" s="64"/>
      <c r="T109" s="64"/>
      <c r="U109" s="64"/>
      <c r="V109" s="64"/>
      <c r="W109" s="64"/>
      <c r="X109" s="64"/>
      <c r="Y109" s="64"/>
      <c r="Z109" s="64"/>
      <c r="AA109" s="64"/>
      <c r="AJ109" s="39">
        <v>0.0</v>
      </c>
      <c r="AK109" s="39">
        <v>0.0</v>
      </c>
      <c r="AL109" s="39">
        <v>75.0</v>
      </c>
      <c r="AM109" s="39">
        <v>0.0</v>
      </c>
      <c r="AN109" s="39">
        <v>0.0</v>
      </c>
      <c r="AO109" s="39">
        <v>0.0</v>
      </c>
      <c r="AP109" s="39">
        <v>0.0</v>
      </c>
      <c r="AQ109" s="39">
        <v>0.0</v>
      </c>
      <c r="AR109" s="39">
        <v>0.0</v>
      </c>
      <c r="AS109" s="39">
        <v>0.0</v>
      </c>
      <c r="AT109" s="39">
        <v>0.0</v>
      </c>
      <c r="AU109" s="39">
        <v>0.0</v>
      </c>
      <c r="AV109" s="39">
        <v>0.0</v>
      </c>
      <c r="AW109" s="39">
        <v>50.0</v>
      </c>
      <c r="AX109" s="39">
        <v>0.0</v>
      </c>
      <c r="AY109" s="39">
        <v>0.0</v>
      </c>
      <c r="AZ109" s="39">
        <v>100.0</v>
      </c>
      <c r="BG109" s="37" t="str">
        <f t="array" ref="BG109">IF($A109="","", INDEX(CS!$B$1:$B$15025,MATCH($A109,CS!$B:$B,0)+COLUMN(A$1),1))</f>
        <v>光粒</v>
      </c>
      <c r="BH109" s="37" t="str">
        <f t="array" ref="BH109">IF($A109="","", INDEX(CS!$B$1:$B$15025,MATCH($A109,CS!$B:$B,0)+COLUMN(B$1),1))</f>
        <v>軽傷治癒</v>
      </c>
      <c r="BI109" s="37" t="str">
        <f t="array" ref="BI109">IF($A109="","", INDEX(CS!$B$1:$B$15025,MATCH($A109,CS!$B:$B,0)+COLUMN(C$1),1))</f>
        <v>信仰心</v>
      </c>
      <c r="BJ109" s="37" t="str">
        <f t="array" ref="BJ109">IF($A109="","", INDEX(CS!$B$1:$B$15025,MATCH($A109,CS!$B:$B,0)+COLUMN(D$1),1))</f>
        <v/>
      </c>
      <c r="BK109" s="37" t="str">
        <f t="array" ref="BK109">IF($A109="","", INDEX(CS!$B$1:$B$15025,MATCH($A109,CS!$B:$B,0)+COLUMN(E$1),1))</f>
        <v>回復術</v>
      </c>
      <c r="BL109" s="37" t="str">
        <f t="array" ref="BL109">IF($A109="","", INDEX(CS!$B$1:$B$15025,MATCH($A109,CS!$B:$B,0)+COLUMN(F$1),1))</f>
        <v>治癒強化</v>
      </c>
      <c r="BM109" s="37" t="str">
        <f t="array" ref="BM109">IF($A109="","", INDEX(CS!$B$1:$B$15025,MATCH($A109,CS!$B:$B,0)+COLUMN(G$1),1))</f>
        <v/>
      </c>
      <c r="BN109" s="37" t="str">
        <f t="array" ref="BN109">IF($A109="","", INDEX(CS!$B$1:$B$15025,MATCH($A109,CS!$B:$B,0)+COLUMN(H$1),1))</f>
        <v/>
      </c>
      <c r="BO109" s="37" t="str">
        <f t="array" ref="BO109">IF($A109="","", INDEX(CS!$B$1:$B$15025,MATCH($A109,CS!$B:$B,0)+COLUMN(I$1),1))</f>
        <v>光の加護</v>
      </c>
      <c r="BP109" s="37" t="str">
        <f t="array" ref="BP109">IF($A109="","", INDEX(CS!$B$1:$B$15025,MATCH($A109,CS!$B:$B,0)+COLUMN(J$1),1))</f>
        <v>信仰の護り</v>
      </c>
      <c r="BS109" s="74"/>
      <c r="CG109" s="37" t="s">
        <v>2821</v>
      </c>
      <c r="CI109" s="37" t="s">
        <v>2806</v>
      </c>
      <c r="CJ109" s="37" t="s">
        <v>2817</v>
      </c>
      <c r="CK109" s="37" t="s">
        <v>2800</v>
      </c>
      <c r="CN109" s="37" t="s">
        <v>2819</v>
      </c>
    </row>
    <row r="110" ht="18.75" customHeight="1" outlineLevel="2">
      <c r="A110" s="37" t="s">
        <v>1176</v>
      </c>
      <c r="B110" s="71" t="s">
        <v>2822</v>
      </c>
      <c r="C110" s="39" t="s">
        <v>2820</v>
      </c>
      <c r="D110" s="72" t="str">
        <f t="shared" si="1"/>
        <v>710/485/225</v>
      </c>
      <c r="E110" s="37">
        <v>1.0</v>
      </c>
      <c r="F110" s="37">
        <v>85.0</v>
      </c>
      <c r="I110" s="37">
        <v>70.0</v>
      </c>
      <c r="J110" s="37">
        <v>85.0</v>
      </c>
      <c r="K110" s="73">
        <v>55.0</v>
      </c>
      <c r="L110" s="37">
        <v>60.0</v>
      </c>
      <c r="M110" s="37">
        <v>55.0</v>
      </c>
      <c r="N110" s="37">
        <v>75.0</v>
      </c>
      <c r="P110" s="39">
        <v>50.0</v>
      </c>
      <c r="Q110" s="64"/>
      <c r="R110" s="64"/>
      <c r="S110" s="64"/>
      <c r="T110" s="64"/>
      <c r="U110" s="64"/>
      <c r="V110" s="64"/>
      <c r="W110" s="64"/>
      <c r="X110" s="64"/>
      <c r="Y110" s="64"/>
      <c r="Z110" s="64"/>
      <c r="AA110" s="64"/>
      <c r="AJ110" s="39">
        <v>50.0</v>
      </c>
      <c r="AK110" s="39">
        <v>0.0</v>
      </c>
      <c r="AL110" s="39">
        <v>50.0</v>
      </c>
      <c r="AM110" s="39">
        <v>0.0</v>
      </c>
      <c r="AN110" s="39">
        <v>0.0</v>
      </c>
      <c r="AO110" s="39">
        <v>0.0</v>
      </c>
      <c r="AP110" s="39">
        <v>0.0</v>
      </c>
      <c r="AQ110" s="39">
        <v>0.0</v>
      </c>
      <c r="AR110" s="39">
        <v>0.0</v>
      </c>
      <c r="AS110" s="39">
        <v>0.0</v>
      </c>
      <c r="AT110" s="39">
        <v>0.0</v>
      </c>
      <c r="AU110" s="39">
        <v>0.0</v>
      </c>
      <c r="AV110" s="39">
        <v>0.0</v>
      </c>
      <c r="AW110" s="39">
        <v>50.0</v>
      </c>
      <c r="AX110" s="39">
        <v>0.0</v>
      </c>
      <c r="AY110" s="39">
        <v>0.0</v>
      </c>
      <c r="AZ110" s="39">
        <v>75.0</v>
      </c>
      <c r="BG110" s="37" t="str">
        <f t="array" ref="BG110">IF($A110="","", INDEX(CS!$B$1:$B$15025,MATCH($A110,CS!$B:$B,0)+COLUMN(A$1),1))</f>
        <v>闘気守</v>
      </c>
      <c r="BH110" s="37" t="str">
        <f t="array" ref="BH110">IF($A110="","", INDEX(CS!$B$1:$B$15025,MATCH($A110,CS!$B:$B,0)+COLUMN(B$1),1))</f>
        <v>光粒</v>
      </c>
      <c r="BI110" s="37" t="str">
        <f t="array" ref="BI110">IF($A110="","", INDEX(CS!$B$1:$B$15025,MATCH($A110,CS!$B:$B,0)+COLUMN(C$1),1))</f>
        <v>反撃</v>
      </c>
      <c r="BJ110" s="37" t="str">
        <f t="array" ref="BJ110">IF($A110="","", INDEX(CS!$B$1:$B$15025,MATCH($A110,CS!$B:$B,0)+COLUMN(D$1),1))</f>
        <v/>
      </c>
      <c r="BK110" s="37" t="str">
        <f t="array" ref="BK110">IF($A110="","", INDEX(CS!$B$1:$B$15025,MATCH($A110,CS!$B:$B,0)+COLUMN(E$1),1))</f>
        <v>軽回復</v>
      </c>
      <c r="BL110" s="37" t="str">
        <f t="array" ref="BL110">IF($A110="","", INDEX(CS!$B$1:$B$15025,MATCH($A110,CS!$B:$B,0)+COLUMN(F$1),1))</f>
        <v/>
      </c>
      <c r="BM110" s="37" t="str">
        <f t="array" ref="BM110">IF($A110="","", INDEX(CS!$B$1:$B$15025,MATCH($A110,CS!$B:$B,0)+COLUMN(G$1),1))</f>
        <v>一閃撃</v>
      </c>
      <c r="BN110" s="37" t="str">
        <f t="array" ref="BN110">IF($A110="","", INDEX(CS!$B$1:$B$15025,MATCH($A110,CS!$B:$B,0)+COLUMN(H$1),1))</f>
        <v/>
      </c>
      <c r="BO110" s="37" t="str">
        <f t="array" ref="BO110">IF($A110="","", INDEX(CS!$B$1:$B$15025,MATCH($A110,CS!$B:$B,0)+COLUMN(I$1),1))</f>
        <v>魔法の守り</v>
      </c>
      <c r="BP110" s="37" t="str">
        <f t="array" ref="BP110">IF($A110="","", INDEX(CS!$B$1:$B$15025,MATCH($A110,CS!$B:$B,0)+COLUMN(J$1),1))</f>
        <v>聖騎士の心得</v>
      </c>
      <c r="BS110" s="74"/>
      <c r="CG110" s="37" t="s">
        <v>2802</v>
      </c>
      <c r="CH110" s="37" t="s">
        <v>2803</v>
      </c>
      <c r="CI110" s="37" t="s">
        <v>2806</v>
      </c>
      <c r="CJ110" s="37" t="s">
        <v>2817</v>
      </c>
      <c r="CK110" s="37" t="s">
        <v>2800</v>
      </c>
      <c r="CN110" s="37" t="s">
        <v>2819</v>
      </c>
    </row>
    <row r="111" ht="18.75" customHeight="1" outlineLevel="2">
      <c r="A111" s="37" t="s">
        <v>1182</v>
      </c>
      <c r="B111" s="71" t="s">
        <v>2823</v>
      </c>
      <c r="C111" s="39" t="s">
        <v>2824</v>
      </c>
      <c r="D111" s="72" t="str">
        <f t="shared" si="1"/>
        <v>710/485/225</v>
      </c>
      <c r="E111" s="37">
        <v>1.0</v>
      </c>
      <c r="F111" s="37">
        <v>75.0</v>
      </c>
      <c r="I111" s="37">
        <v>65.0</v>
      </c>
      <c r="J111" s="37">
        <v>65.0</v>
      </c>
      <c r="K111" s="73">
        <v>85.0</v>
      </c>
      <c r="L111" s="37">
        <v>70.0</v>
      </c>
      <c r="M111" s="37">
        <v>50.0</v>
      </c>
      <c r="N111" s="37">
        <v>75.0</v>
      </c>
      <c r="P111" s="37">
        <v>0.0</v>
      </c>
      <c r="Q111" s="64"/>
      <c r="R111" s="64"/>
      <c r="S111" s="64"/>
      <c r="T111" s="64"/>
      <c r="U111" s="64"/>
      <c r="V111" s="64"/>
      <c r="W111" s="64"/>
      <c r="X111" s="64"/>
      <c r="Y111" s="64"/>
      <c r="Z111" s="64"/>
      <c r="AA111" s="64"/>
      <c r="AJ111" s="39">
        <v>0.0</v>
      </c>
      <c r="AK111" s="39">
        <v>0.0</v>
      </c>
      <c r="AL111" s="39">
        <v>75.0</v>
      </c>
      <c r="AM111" s="39">
        <v>25.0</v>
      </c>
      <c r="AN111" s="39">
        <v>25.0</v>
      </c>
      <c r="AO111" s="39">
        <v>0.0</v>
      </c>
      <c r="AP111" s="39">
        <v>0.0</v>
      </c>
      <c r="AQ111" s="39">
        <v>0.0</v>
      </c>
      <c r="AR111" s="39">
        <v>50.0</v>
      </c>
      <c r="AS111" s="39">
        <v>0.0</v>
      </c>
      <c r="AT111" s="39">
        <v>0.0</v>
      </c>
      <c r="AU111" s="39">
        <v>0.0</v>
      </c>
      <c r="AV111" s="39">
        <v>0.0</v>
      </c>
      <c r="AW111" s="39">
        <v>0.0</v>
      </c>
      <c r="AX111" s="39">
        <v>0.0</v>
      </c>
      <c r="AY111" s="39">
        <v>0.0</v>
      </c>
      <c r="AZ111" s="39">
        <v>50.0</v>
      </c>
      <c r="BG111" s="37" t="str">
        <f t="array" ref="BG111">IF($A111="","", INDEX(CS!$B$1:$B$15025,MATCH($A111,CS!$B:$B,0)+COLUMN(A$1),1))</f>
        <v>植物の絡み</v>
      </c>
      <c r="BH111" s="37" t="str">
        <f t="array" ref="BH111">IF($A111="","", INDEX(CS!$B$1:$B$15025,MATCH($A111,CS!$B:$B,0)+COLUMN(B$1),1))</f>
        <v>突風</v>
      </c>
      <c r="BI111" s="37" t="str">
        <f t="array" ref="BI111">IF($A111="","", INDEX(CS!$B$1:$B$15025,MATCH($A111,CS!$B:$B,0)+COLUMN(C$1),1))</f>
        <v>森の歩み</v>
      </c>
      <c r="BJ111" s="37" t="str">
        <f t="array" ref="BJ111">IF($A111="","", INDEX(CS!$B$1:$B$15025,MATCH($A111,CS!$B:$B,0)+COLUMN(D$1),1))</f>
        <v/>
      </c>
      <c r="BK111" s="37" t="str">
        <f t="array" ref="BK111">IF($A111="","", INDEX(CS!$B$1:$B$15025,MATCH($A111,CS!$B:$B,0)+COLUMN(E$1),1))</f>
        <v>水力</v>
      </c>
      <c r="BL111" s="37" t="str">
        <f t="array" ref="BL111">IF($A111="","", INDEX(CS!$B$1:$B$15025,MATCH($A111,CS!$B:$B,0)+COLUMN(F$1),1))</f>
        <v/>
      </c>
      <c r="BM111" s="37" t="str">
        <f t="array" ref="BM111">IF($A111="","", INDEX(CS!$B$1:$B$15025,MATCH($A111,CS!$B:$B,0)+COLUMN(G$1),1))</f>
        <v>魔法の石</v>
      </c>
      <c r="BN111" s="37" t="str">
        <f t="array" ref="BN111">IF($A111="","", INDEX(CS!$B$1:$B$15025,MATCH($A111,CS!$B:$B,0)+COLUMN(H$1),1))</f>
        <v/>
      </c>
      <c r="BO111" s="37" t="str">
        <f t="array" ref="BO111">IF($A111="","", INDEX(CS!$B$1:$B$15025,MATCH($A111,CS!$B:$B,0)+COLUMN(I$1),1))</f>
        <v>風足</v>
      </c>
      <c r="BP111" s="37" t="str">
        <f t="array" ref="BP111">IF($A111="","", INDEX(CS!$B$1:$B$15025,MATCH($A111,CS!$B:$B,0)+COLUMN(J$1),1))</f>
        <v/>
      </c>
      <c r="BS111" s="74"/>
      <c r="CG111" s="37" t="s">
        <v>2821</v>
      </c>
      <c r="CI111" s="37" t="s">
        <v>2806</v>
      </c>
      <c r="CJ111" s="37" t="s">
        <v>2817</v>
      </c>
      <c r="CK111" s="37" t="s">
        <v>2800</v>
      </c>
      <c r="CN111" s="37" t="s">
        <v>2819</v>
      </c>
    </row>
    <row r="112" ht="18.75" customHeight="1" outlineLevel="2">
      <c r="A112" s="39" t="s">
        <v>1189</v>
      </c>
      <c r="B112" s="71"/>
      <c r="C112" s="39" t="s">
        <v>2825</v>
      </c>
      <c r="D112" s="72" t="str">
        <f t="shared" si="1"/>
        <v>710/480/230</v>
      </c>
      <c r="E112" s="39">
        <v>1.0</v>
      </c>
      <c r="F112" s="39">
        <v>75.0</v>
      </c>
      <c r="I112" s="39">
        <v>75.0</v>
      </c>
      <c r="J112" s="39">
        <v>75.0</v>
      </c>
      <c r="K112" s="87">
        <v>50.0</v>
      </c>
      <c r="L112" s="39">
        <v>60.0</v>
      </c>
      <c r="M112" s="39">
        <v>65.0</v>
      </c>
      <c r="N112" s="39">
        <v>80.0</v>
      </c>
      <c r="P112" s="37">
        <v>0.0</v>
      </c>
      <c r="Q112" s="64"/>
      <c r="R112" s="64"/>
      <c r="S112" s="64"/>
      <c r="T112" s="64"/>
      <c r="U112" s="64"/>
      <c r="V112" s="64"/>
      <c r="W112" s="64"/>
      <c r="X112" s="64"/>
      <c r="Y112" s="64"/>
      <c r="Z112" s="64"/>
      <c r="AA112" s="64"/>
      <c r="AJ112" s="39">
        <v>25.0</v>
      </c>
      <c r="AK112" s="39">
        <v>0.0</v>
      </c>
      <c r="AL112" s="39">
        <v>25.0</v>
      </c>
      <c r="AM112" s="39">
        <v>25.0</v>
      </c>
      <c r="AN112" s="39">
        <v>25.0</v>
      </c>
      <c r="AO112" s="39">
        <v>0.0</v>
      </c>
      <c r="AP112" s="39">
        <v>0.0</v>
      </c>
      <c r="AQ112" s="39">
        <v>0.0</v>
      </c>
      <c r="AR112" s="39">
        <v>25.0</v>
      </c>
      <c r="AS112" s="39">
        <v>0.0</v>
      </c>
      <c r="AT112" s="39">
        <v>0.0</v>
      </c>
      <c r="AU112" s="39">
        <v>0.0</v>
      </c>
      <c r="AV112" s="39">
        <v>0.0</v>
      </c>
      <c r="AW112" s="39">
        <v>25.0</v>
      </c>
      <c r="AX112" s="39">
        <v>80.0</v>
      </c>
      <c r="AY112" s="39">
        <v>0.0</v>
      </c>
      <c r="AZ112" s="39">
        <v>0.0</v>
      </c>
      <c r="BA112" s="39"/>
      <c r="BB112" s="39"/>
      <c r="BC112" s="39"/>
      <c r="BD112" s="39"/>
      <c r="BE112" s="39"/>
      <c r="BF112" s="39"/>
      <c r="BG112" s="37" t="str">
        <f t="array" ref="BG112">IF($A112="","",IFERROR(INDEX(CS!$B$1:$B$15025,MATCH($A112,CS!$B:$B,0)+COLUMN(A$1),1),""))</f>
        <v>鼓舞の歌</v>
      </c>
      <c r="BH112" s="37" t="str">
        <f t="array" ref="BH112">IF($A112="","",IFERROR(INDEX(CS!$B$1:$B$15025,MATCH($A112,CS!$B:$B,0)+COLUMN(B$1),1),""))</f>
        <v>音波</v>
      </c>
      <c r="BI112" s="37" t="str">
        <f t="array" ref="BI112">IF($A112="","",IFERROR(INDEX(CS!$B$1:$B$15025,MATCH($A112,CS!$B:$B,0)+COLUMN(C$1),1),""))</f>
        <v>演奏技術</v>
      </c>
      <c r="BJ112" s="37" t="str">
        <f t="array" ref="BJ112">IF($A112="","",IFERROR(INDEX(CS!$B$1:$B$15025,MATCH($A112,CS!$B:$B,0)+COLUMN(D$1),1),""))</f>
        <v/>
      </c>
      <c r="BK112" s="37" t="str">
        <f t="array" ref="BK112">IF($A112="","",IFERROR(INDEX(CS!$B$1:$B$15025,MATCH($A112,CS!$B:$B,0)+COLUMN(E$1),1),""))</f>
        <v>音響障壁</v>
      </c>
      <c r="BL112" s="37" t="str">
        <f t="array" ref="BL112">IF($A112="","",IFERROR(INDEX(CS!$B$1:$B$15025,MATCH($A112,CS!$B:$B,0)+COLUMN(F$1),1),""))</f>
        <v/>
      </c>
      <c r="BM112" s="37" t="str">
        <f t="array" ref="BM112">IF($A112="","",IFERROR(INDEX(CS!$B$1:$B$15025,MATCH($A112,CS!$B:$B,0)+COLUMN(G$1),1),""))</f>
        <v>勇壮の歌</v>
      </c>
      <c r="BN112" s="37" t="str">
        <f t="array" ref="BN112">IF($A112="","",IFERROR(INDEX(CS!$B$1:$B$15025,MATCH($A112,CS!$B:$B,0)+COLUMN(H$1),1),""))</f>
        <v/>
      </c>
      <c r="BO112" s="37" t="str">
        <f t="array" ref="BO112">IF($A112="","",IFERROR(INDEX(CS!$B$1:$B$15025,MATCH($A112,CS!$B:$B,0)+COLUMN(I$1),1),""))</f>
        <v>大合奏</v>
      </c>
      <c r="BP112" s="37" t="str">
        <f t="array" ref="BP112">IF($A112="","",IFERROR(INDEX(CS!$B$1:$B$15025,MATCH($A112,CS!$B:$B,0)+COLUMN(J$1),1),""))</f>
        <v/>
      </c>
      <c r="BS112" s="74"/>
    </row>
    <row r="113" ht="18.75" customHeight="1" outlineLevel="1">
      <c r="B113" s="71"/>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2826</v>
      </c>
      <c r="CJ113" s="37" t="s">
        <v>2807</v>
      </c>
      <c r="CK113" s="37" t="s">
        <v>2800</v>
      </c>
    </row>
    <row r="114" ht="18.75" customHeight="1" outlineLevel="1">
      <c r="B114" s="85" t="s">
        <v>2827</v>
      </c>
      <c r="D114" s="72" t="str">
        <f t="shared" ref="D114:D121" si="2">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row>
    <row r="115" ht="18.75" customHeight="1" outlineLevel="2">
      <c r="A115" s="39" t="s">
        <v>1990</v>
      </c>
      <c r="B115" s="71"/>
      <c r="C115" s="39" t="s">
        <v>2797</v>
      </c>
      <c r="D115" s="72" t="str">
        <f t="shared" si="2"/>
        <v>725/475/250</v>
      </c>
      <c r="E115" s="39">
        <v>2.0</v>
      </c>
      <c r="F115" s="39">
        <v>90.0</v>
      </c>
      <c r="I115" s="39">
        <v>95.0</v>
      </c>
      <c r="J115" s="39">
        <v>85.0</v>
      </c>
      <c r="K115" s="87">
        <v>25.0</v>
      </c>
      <c r="L115" s="39">
        <v>50.0</v>
      </c>
      <c r="M115" s="39">
        <v>55.0</v>
      </c>
      <c r="N115" s="39">
        <v>75.0</v>
      </c>
      <c r="P115" s="37">
        <v>0.0</v>
      </c>
      <c r="Q115" s="64"/>
      <c r="R115" s="64"/>
      <c r="S115" s="64"/>
      <c r="T115" s="64"/>
      <c r="U115" s="64"/>
      <c r="V115" s="64"/>
      <c r="W115" s="64"/>
      <c r="X115" s="64"/>
      <c r="Y115" s="64"/>
      <c r="Z115" s="64"/>
      <c r="AA115" s="64"/>
      <c r="AJ115" s="39">
        <v>75.0</v>
      </c>
      <c r="AK115" s="39">
        <v>50.0</v>
      </c>
      <c r="AL115" s="39">
        <v>25.0</v>
      </c>
      <c r="AM115" s="39">
        <v>25.0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戦う者</v>
      </c>
      <c r="BH115" s="37" t="str">
        <f t="array" ref="BH115">IF($A115="","",IFERROR(INDEX(CS!$B$1:$B$15025,MATCH($A115,CS!$B:$B,0)+COLUMN(B$1),1),""))</f>
        <v/>
      </c>
      <c r="BI115" s="37" t="str">
        <f t="array" ref="BI115">IF($A115="","",IFERROR(INDEX(CS!$B$1:$B$15025,MATCH($A115,CS!$B:$B,0)+COLUMN(C$1),1),""))</f>
        <v>戦いの精神</v>
      </c>
      <c r="BJ115" s="37" t="str">
        <f t="array" ref="BJ115">IF($A115="","",IFERROR(INDEX(CS!$B$1:$B$15025,MATCH($A115,CS!$B:$B,0)+COLUMN(D$1),1),""))</f>
        <v/>
      </c>
      <c r="BK115" s="37" t="str">
        <f t="array" ref="BK115">IF($A115="","",IFERROR(INDEX(CS!$B$1:$B$15025,MATCH($A115,CS!$B:$B,0)+COLUMN(E$1),1),""))</f>
        <v>闘気纏い</v>
      </c>
      <c r="BL115" s="37" t="str">
        <f t="array" ref="BL115">IF($A115="","",IFERROR(INDEX(CS!$B$1:$B$15025,MATCH($A115,CS!$B:$B,0)+COLUMN(F$1),1),""))</f>
        <v/>
      </c>
      <c r="BM115" s="37" t="str">
        <f t="array" ref="BM115">IF($A115="","",IFERROR(INDEX(CS!$B$1:$B$15025,MATCH($A115,CS!$B:$B,0)+COLUMN(G$1),1),""))</f>
        <v>明確な心</v>
      </c>
      <c r="BN115" s="37" t="str">
        <f t="array" ref="BN115">IF($A115="","",IFERROR(INDEX(CS!$B$1:$B$15025,MATCH($A115,CS!$B:$B,0)+COLUMN(H$1),1),""))</f>
        <v/>
      </c>
      <c r="BO115" s="37" t="str">
        <f t="array" ref="BO115">IF($A115="","",IFERROR(INDEX(CS!$B$1:$B$15025,MATCH($A115,CS!$B:$B,0)+COLUMN(I$1),1),""))</f>
        <v>空撃</v>
      </c>
      <c r="BP115" s="37" t="str">
        <f t="array" ref="BP115">IF($A115="","",IFERROR(INDEX(CS!$B$1:$B$15025,MATCH($A115,CS!$B:$B,0)+COLUMN(J$1),1),""))</f>
        <v>闘戦士</v>
      </c>
      <c r="BR115" s="39" t="s">
        <v>2828</v>
      </c>
      <c r="BS115" s="74"/>
      <c r="CG115" s="37" t="s">
        <v>2798</v>
      </c>
      <c r="CJ115" s="37" t="s">
        <v>2799</v>
      </c>
      <c r="CK115" s="37" t="s">
        <v>2800</v>
      </c>
      <c r="CN115" s="37" t="s">
        <v>1102</v>
      </c>
    </row>
    <row r="116" ht="18.75" customHeight="1" outlineLevel="2">
      <c r="A116" s="39" t="s">
        <v>2005</v>
      </c>
      <c r="B116" s="71"/>
      <c r="C116" s="39" t="s">
        <v>2797</v>
      </c>
      <c r="D116" s="72" t="str">
        <f t="shared" si="2"/>
        <v>740/490/250</v>
      </c>
      <c r="E116" s="39">
        <v>3.0</v>
      </c>
      <c r="F116" s="39">
        <v>95.0</v>
      </c>
      <c r="I116" s="39">
        <v>100.0</v>
      </c>
      <c r="J116" s="39">
        <v>90.0</v>
      </c>
      <c r="K116" s="87">
        <v>25.0</v>
      </c>
      <c r="L116" s="39">
        <v>50.0</v>
      </c>
      <c r="M116" s="39">
        <v>55.0</v>
      </c>
      <c r="N116" s="39">
        <v>75.0</v>
      </c>
      <c r="P116" s="37">
        <v>0.0</v>
      </c>
      <c r="Q116" s="64"/>
      <c r="R116" s="64"/>
      <c r="S116" s="64"/>
      <c r="T116" s="64"/>
      <c r="U116" s="64"/>
      <c r="V116" s="64"/>
      <c r="W116" s="64"/>
      <c r="X116" s="64"/>
      <c r="Y116" s="64"/>
      <c r="Z116" s="64"/>
      <c r="AA116" s="64"/>
      <c r="AJ116" s="39">
        <v>75.0</v>
      </c>
      <c r="AK116" s="39">
        <v>50.0</v>
      </c>
      <c r="AL116" s="39">
        <v>25.0</v>
      </c>
      <c r="AM116" s="39">
        <v>25.0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打ち倒す一撃</v>
      </c>
      <c r="BH116" s="37" t="str">
        <f t="array" ref="BH116">IF($A116="","",IFERROR(INDEX(CS!$B$1:$B$15025,MATCH($A116,CS!$B:$B,0)+COLUMN(B$1),1),""))</f>
        <v/>
      </c>
      <c r="BI116" s="37" t="str">
        <f t="array" ref="BI116">IF($A116="","",IFERROR(INDEX(CS!$B$1:$B$15025,MATCH($A116,CS!$B:$B,0)+COLUMN(C$1),1),""))</f>
        <v>攻撃の精神</v>
      </c>
      <c r="BJ116" s="37" t="str">
        <f t="array" ref="BJ116">IF($A116="","",IFERROR(INDEX(CS!$B$1:$B$15025,MATCH($A116,CS!$B:$B,0)+COLUMN(D$1),1),""))</f>
        <v/>
      </c>
      <c r="BK116" s="37" t="str">
        <f t="array" ref="BK116">IF($A116="","",IFERROR(INDEX(CS!$B$1:$B$15025,MATCH($A116,CS!$B:$B,0)+COLUMN(E$1),1),""))</f>
        <v>重動剛撃</v>
      </c>
      <c r="BL116" s="37" t="str">
        <f t="array" ref="BL116">IF($A116="","",IFERROR(INDEX(CS!$B$1:$B$15025,MATCH($A116,CS!$B:$B,0)+COLUMN(F$1),1),""))</f>
        <v/>
      </c>
      <c r="BM116" s="37" t="str">
        <f t="array" ref="BM116">IF($A116="","",IFERROR(INDEX(CS!$B$1:$B$15025,MATCH($A116,CS!$B:$B,0)+COLUMN(G$1),1),""))</f>
        <v>武器の圧力</v>
      </c>
      <c r="BN116" s="37" t="str">
        <f t="array" ref="BN116">IF($A116="","",IFERROR(INDEX(CS!$B$1:$B$15025,MATCH($A116,CS!$B:$B,0)+COLUMN(H$1),1),""))</f>
        <v/>
      </c>
      <c r="BO116" s="37" t="str">
        <f t="array" ref="BO116">IF($A116="","",IFERROR(INDEX(CS!$B$1:$B$15025,MATCH($A116,CS!$B:$B,0)+COLUMN(I$1),1),""))</f>
        <v>破壊力</v>
      </c>
      <c r="BP116" s="37" t="str">
        <f t="array" ref="BP116">IF($A116="","",IFERROR(INDEX(CS!$B$1:$B$15025,MATCH($A116,CS!$B:$B,0)+COLUMN(J$1),1),""))</f>
        <v>破壊者</v>
      </c>
      <c r="BR116" s="39" t="s">
        <v>2829</v>
      </c>
      <c r="BS116" s="74"/>
      <c r="CG116" s="37" t="s">
        <v>2798</v>
      </c>
      <c r="CJ116" s="37" t="s">
        <v>2799</v>
      </c>
      <c r="CK116" s="37" t="s">
        <v>2800</v>
      </c>
      <c r="CN116" s="37" t="s">
        <v>1102</v>
      </c>
    </row>
    <row r="117" ht="18.75" customHeight="1" outlineLevel="2">
      <c r="A117" s="39" t="s">
        <v>2021</v>
      </c>
      <c r="B117" s="71"/>
      <c r="C117" s="39" t="s">
        <v>2797</v>
      </c>
      <c r="D117" s="72" t="str">
        <f t="shared" si="2"/>
        <v>755/505/250</v>
      </c>
      <c r="E117" s="39">
        <v>4.0</v>
      </c>
      <c r="F117" s="39">
        <v>100.0</v>
      </c>
      <c r="I117" s="39">
        <v>105.0</v>
      </c>
      <c r="J117" s="39">
        <v>90.0</v>
      </c>
      <c r="K117" s="87">
        <v>25.0</v>
      </c>
      <c r="L117" s="39">
        <v>50.0</v>
      </c>
      <c r="M117" s="39">
        <v>60.0</v>
      </c>
      <c r="N117" s="39">
        <v>75.0</v>
      </c>
      <c r="P117" s="37">
        <v>0.0</v>
      </c>
      <c r="Q117" s="64"/>
      <c r="R117" s="64"/>
      <c r="S117" s="64"/>
      <c r="T117" s="64"/>
      <c r="U117" s="64"/>
      <c r="V117" s="64"/>
      <c r="W117" s="64"/>
      <c r="X117" s="64"/>
      <c r="Y117" s="64"/>
      <c r="Z117" s="64"/>
      <c r="AA117" s="64"/>
      <c r="AJ117" s="39">
        <v>75.0</v>
      </c>
      <c r="AK117" s="39">
        <v>50.0</v>
      </c>
      <c r="AL117" s="39">
        <v>25.0</v>
      </c>
      <c r="AM117" s="39">
        <v>25.0</v>
      </c>
      <c r="AN117" s="39">
        <v>25.0</v>
      </c>
      <c r="AO117" s="39">
        <v>0.0</v>
      </c>
      <c r="AP117" s="39">
        <v>0.0</v>
      </c>
      <c r="AQ117" s="39">
        <v>0.0</v>
      </c>
      <c r="AR117" s="39">
        <v>25.0</v>
      </c>
      <c r="AS117" s="39">
        <v>0.0</v>
      </c>
      <c r="AT117" s="39">
        <v>0.0</v>
      </c>
      <c r="AU117" s="39">
        <v>0.0</v>
      </c>
      <c r="AV117" s="39">
        <v>0.0</v>
      </c>
      <c r="AW117" s="39">
        <v>25.0</v>
      </c>
      <c r="AX117" s="39">
        <v>0.0</v>
      </c>
      <c r="AY117" s="39">
        <v>0.0</v>
      </c>
      <c r="AZ117" s="39">
        <v>0.0</v>
      </c>
      <c r="BG117" s="37" t="str">
        <f t="array" ref="BG117">IF($A117="","",IFERROR(INDEX(CS!$B$1:$B$15025,MATCH($A117,CS!$B:$B,0)+COLUMN(A$1),1),""))</f>
        <v>不動明王撃</v>
      </c>
      <c r="BH117" s="37" t="str">
        <f t="array" ref="BH117">IF($A117="","",IFERROR(INDEX(CS!$B$1:$B$15025,MATCH($A117,CS!$B:$B,0)+COLUMN(B$1),1),""))</f>
        <v/>
      </c>
      <c r="BI117" s="37" t="str">
        <f t="array" ref="BI117">IF($A117="","",IFERROR(INDEX(CS!$B$1:$B$15025,MATCH($A117,CS!$B:$B,0)+COLUMN(C$1),1),""))</f>
        <v>屈強な肉体</v>
      </c>
      <c r="BJ117" s="37" t="str">
        <f t="array" ref="BJ117">IF($A117="","",IFERROR(INDEX(CS!$B$1:$B$15025,MATCH($A117,CS!$B:$B,0)+COLUMN(D$1),1),""))</f>
        <v/>
      </c>
      <c r="BK117" s="37" t="str">
        <f t="array" ref="BK117">IF($A117="","",IFERROR(INDEX(CS!$B$1:$B$15025,MATCH($A117,CS!$B:$B,0)+COLUMN(E$1),1),""))</f>
        <v>降三世明王撃</v>
      </c>
      <c r="BL117" s="37" t="str">
        <f t="array" ref="BL117">IF($A117="","",IFERROR(INDEX(CS!$B$1:$B$15025,MATCH($A117,CS!$B:$B,0)+COLUMN(F$1),1),""))</f>
        <v/>
      </c>
      <c r="BM117" s="37" t="str">
        <f t="array" ref="BM117">IF($A117="","",IFERROR(INDEX(CS!$B$1:$B$15025,MATCH($A117,CS!$B:$B,0)+COLUMN(G$1),1),""))</f>
        <v>朱羅</v>
      </c>
      <c r="BN117" s="37" t="str">
        <f t="array" ref="BN117">IF($A117="","",IFERROR(INDEX(CS!$B$1:$B$15025,MATCH($A117,CS!$B:$B,0)+COLUMN(H$1),1),""))</f>
        <v/>
      </c>
      <c r="BO117" s="37" t="str">
        <f t="array" ref="BO117">IF($A117="","",IFERROR(INDEX(CS!$B$1:$B$15025,MATCH($A117,CS!$B:$B,0)+COLUMN(I$1),1),""))</f>
        <v>大威徳明王撃</v>
      </c>
      <c r="BP117" s="37" t="str">
        <f t="array" ref="BP117">IF($A117="","",IFERROR(INDEX(CS!$B$1:$B$15025,MATCH($A117,CS!$B:$B,0)+COLUMN(J$1),1),""))</f>
        <v>阿修羅</v>
      </c>
      <c r="BR117" s="39" t="s">
        <v>2830</v>
      </c>
      <c r="BS117" s="74"/>
      <c r="CG117" s="37" t="s">
        <v>2798</v>
      </c>
      <c r="CJ117" s="37" t="s">
        <v>2799</v>
      </c>
      <c r="CK117" s="37" t="s">
        <v>2800</v>
      </c>
      <c r="CN117" s="37" t="s">
        <v>1102</v>
      </c>
    </row>
    <row r="118" ht="18.75" customHeight="1" outlineLevel="2">
      <c r="A118" s="39" t="s">
        <v>2037</v>
      </c>
      <c r="B118" s="71"/>
      <c r="C118" s="39" t="s">
        <v>2797</v>
      </c>
      <c r="D118" s="72" t="str">
        <f t="shared" si="2"/>
        <v>725/475/250</v>
      </c>
      <c r="E118" s="39">
        <v>2.0</v>
      </c>
      <c r="F118" s="39">
        <v>90.0</v>
      </c>
      <c r="I118" s="39">
        <v>80.0</v>
      </c>
      <c r="J118" s="39">
        <v>95.0</v>
      </c>
      <c r="K118" s="87">
        <v>25.0</v>
      </c>
      <c r="L118" s="39">
        <v>60.0</v>
      </c>
      <c r="M118" s="39">
        <v>50.0</v>
      </c>
      <c r="N118" s="39">
        <v>75.0</v>
      </c>
      <c r="P118" s="37">
        <v>0.0</v>
      </c>
      <c r="Q118" s="64"/>
      <c r="R118" s="64"/>
      <c r="S118" s="64"/>
      <c r="T118" s="64"/>
      <c r="U118" s="64"/>
      <c r="V118" s="64"/>
      <c r="W118" s="64"/>
      <c r="X118" s="64"/>
      <c r="Y118" s="64"/>
      <c r="Z118" s="64"/>
      <c r="AA118" s="64"/>
      <c r="AJ118" s="39">
        <v>100.0</v>
      </c>
      <c r="AK118" s="39">
        <v>0.0</v>
      </c>
      <c r="AL118" s="39">
        <v>25.0</v>
      </c>
      <c r="AM118" s="39">
        <v>25.0</v>
      </c>
      <c r="AN118" s="39">
        <v>25.0</v>
      </c>
      <c r="AO118" s="39">
        <v>0.0</v>
      </c>
      <c r="AP118" s="39">
        <v>0.0</v>
      </c>
      <c r="AQ118" s="39">
        <v>0.0</v>
      </c>
      <c r="AR118" s="39">
        <v>25.0</v>
      </c>
      <c r="AS118" s="39">
        <v>0.0</v>
      </c>
      <c r="AT118" s="39">
        <v>0.0</v>
      </c>
      <c r="AU118" s="39">
        <v>0.0</v>
      </c>
      <c r="AV118" s="39">
        <v>0.0</v>
      </c>
      <c r="AW118" s="39">
        <v>50.0</v>
      </c>
      <c r="AX118" s="39">
        <v>0.0</v>
      </c>
      <c r="AY118" s="39">
        <v>0.0</v>
      </c>
      <c r="AZ118" s="39">
        <v>0.0</v>
      </c>
      <c r="BG118" s="37" t="str">
        <f t="array" ref="BG118">IF($A118="","",IFERROR(INDEX(CS!$B$1:$B$15025,MATCH($A118,CS!$B:$B,0)+COLUMN(A$1),1),""))</f>
        <v>守る者</v>
      </c>
      <c r="BH118" s="37" t="str">
        <f t="array" ref="BH118">IF($A118="","",IFERROR(INDEX(CS!$B$1:$B$15025,MATCH($A118,CS!$B:$B,0)+COLUMN(B$1),1),""))</f>
        <v/>
      </c>
      <c r="BI118" s="37" t="str">
        <f t="array" ref="BI118">IF($A118="","",IFERROR(INDEX(CS!$B$1:$B$15025,MATCH($A118,CS!$B:$B,0)+COLUMN(C$1),1),""))</f>
        <v>守護精神</v>
      </c>
      <c r="BJ118" s="37" t="str">
        <f t="array" ref="BJ118">IF($A118="","",IFERROR(INDEX(CS!$B$1:$B$15025,MATCH($A118,CS!$B:$B,0)+COLUMN(D$1),1),""))</f>
        <v/>
      </c>
      <c r="BK118" s="37" t="str">
        <f t="array" ref="BK118">IF($A118="","",IFERROR(INDEX(CS!$B$1:$B$15025,MATCH($A118,CS!$B:$B,0)+COLUMN(E$1),1),""))</f>
        <v>不落要塞</v>
      </c>
      <c r="BL118" s="37" t="str">
        <f t="array" ref="BL118">IF($A118="","",IFERROR(INDEX(CS!$B$1:$B$15025,MATCH($A118,CS!$B:$B,0)+COLUMN(F$1),1),""))</f>
        <v/>
      </c>
      <c r="BM118" s="37" t="str">
        <f t="array" ref="BM118">IF($A118="","",IFERROR(INDEX(CS!$B$1:$B$15025,MATCH($A118,CS!$B:$B,0)+COLUMN(G$1),1),""))</f>
        <v>明確な心</v>
      </c>
      <c r="BN118" s="37" t="str">
        <f t="array" ref="BN118">IF($A118="","",IFERROR(INDEX(CS!$B$1:$B$15025,MATCH($A118,CS!$B:$B,0)+COLUMN(H$1),1),""))</f>
        <v/>
      </c>
      <c r="BO118" s="37" t="str">
        <f t="array" ref="BO118">IF($A118="","",IFERROR(INDEX(CS!$B$1:$B$15025,MATCH($A118,CS!$B:$B,0)+COLUMN(I$1),1),""))</f>
        <v>真なる護り手</v>
      </c>
      <c r="BP118" s="37" t="str">
        <f t="array" ref="BP118">IF($A118="","",IFERROR(INDEX(CS!$B$1:$B$15025,MATCH($A118,CS!$B:$B,0)+COLUMN(J$1),1),""))</f>
        <v>守護者</v>
      </c>
      <c r="BR118" s="39" t="s">
        <v>2831</v>
      </c>
      <c r="BS118" s="74"/>
      <c r="CG118" s="37" t="s">
        <v>2802</v>
      </c>
      <c r="CH118" s="37" t="s">
        <v>2803</v>
      </c>
      <c r="CJ118" s="37" t="s">
        <v>2799</v>
      </c>
      <c r="CK118" s="37" t="s">
        <v>2800</v>
      </c>
      <c r="CN118" s="37" t="s">
        <v>1102</v>
      </c>
    </row>
    <row r="119" ht="18.75" customHeight="1" outlineLevel="1">
      <c r="A119" s="39" t="s">
        <v>2051</v>
      </c>
      <c r="B119" s="71"/>
      <c r="C119" s="39" t="s">
        <v>2797</v>
      </c>
      <c r="D119" s="72" t="str">
        <f t="shared" si="2"/>
        <v>740/490/250</v>
      </c>
      <c r="E119" s="39">
        <v>3.0</v>
      </c>
      <c r="F119" s="39">
        <v>95.0</v>
      </c>
      <c r="I119" s="39">
        <v>80.0</v>
      </c>
      <c r="J119" s="39">
        <v>100.0</v>
      </c>
      <c r="K119" s="87">
        <v>25.0</v>
      </c>
      <c r="L119" s="39">
        <v>65.0</v>
      </c>
      <c r="M119" s="39">
        <v>50.0</v>
      </c>
      <c r="N119" s="39">
        <v>75.0</v>
      </c>
      <c r="P119" s="37">
        <v>0.0</v>
      </c>
      <c r="Q119" s="64"/>
      <c r="R119" s="64"/>
      <c r="S119" s="64"/>
      <c r="T119" s="64"/>
      <c r="U119" s="64"/>
      <c r="V119" s="64"/>
      <c r="W119" s="64"/>
      <c r="X119" s="64"/>
      <c r="Y119" s="64"/>
      <c r="Z119" s="64"/>
      <c r="AA119" s="64"/>
      <c r="AJ119" s="39">
        <v>100.0</v>
      </c>
      <c r="AK119" s="39">
        <v>0.0</v>
      </c>
      <c r="AL119" s="39">
        <v>25.0</v>
      </c>
      <c r="AM119" s="39">
        <v>25.0</v>
      </c>
      <c r="AN119" s="39">
        <v>25.0</v>
      </c>
      <c r="AO119" s="39">
        <v>0.0</v>
      </c>
      <c r="AP119" s="39">
        <v>0.0</v>
      </c>
      <c r="AQ119" s="39">
        <v>0.0</v>
      </c>
      <c r="AR119" s="39">
        <v>25.0</v>
      </c>
      <c r="AS119" s="39">
        <v>0.0</v>
      </c>
      <c r="AT119" s="39">
        <v>0.0</v>
      </c>
      <c r="AU119" s="39">
        <v>0.0</v>
      </c>
      <c r="AV119" s="39">
        <v>0.0</v>
      </c>
      <c r="AW119" s="39">
        <v>50.0</v>
      </c>
      <c r="AX119" s="39">
        <v>0.0</v>
      </c>
      <c r="AY119" s="39">
        <v>0.0</v>
      </c>
      <c r="AZ119" s="39">
        <v>0.0</v>
      </c>
      <c r="BG119" s="37" t="str">
        <f t="array" ref="BG119">IF($A119="","",IFERROR(INDEX(CS!$B$1:$B$15025,MATCH($A119,CS!$B:$B,0)+COLUMN(A$1),1),""))</f>
        <v>不動反射</v>
      </c>
      <c r="BH119" s="37" t="str">
        <f t="array" ref="BH119">IF($A119="","",IFERROR(INDEX(CS!$B$1:$B$15025,MATCH($A119,CS!$B:$B,0)+COLUMN(B$1),1),""))</f>
        <v/>
      </c>
      <c r="BI119" s="37" t="str">
        <f t="array" ref="BI119">IF($A119="","",IFERROR(INDEX(CS!$B$1:$B$15025,MATCH($A119,CS!$B:$B,0)+COLUMN(C$1),1),""))</f>
        <v>護りの精神</v>
      </c>
      <c r="BJ119" s="37" t="str">
        <f t="array" ref="BJ119">IF($A119="","",IFERROR(INDEX(CS!$B$1:$B$15025,MATCH($A119,CS!$B:$B,0)+COLUMN(D$1),1),""))</f>
        <v/>
      </c>
      <c r="BK119" s="37" t="str">
        <f t="array" ref="BK119">IF($A119="","",IFERROR(INDEX(CS!$B$1:$B$15025,MATCH($A119,CS!$B:$B,0)+COLUMN(E$1),1),""))</f>
        <v>急所遮断</v>
      </c>
      <c r="BL119" s="37" t="str">
        <f t="array" ref="BL119">IF($A119="","",IFERROR(INDEX(CS!$B$1:$B$15025,MATCH($A119,CS!$B:$B,0)+COLUMN(F$1),1),""))</f>
        <v/>
      </c>
      <c r="BM119" s="37" t="str">
        <f t="array" ref="BM119">IF($A119="","",IFERROR(INDEX(CS!$B$1:$B$15025,MATCH($A119,CS!$B:$B,0)+COLUMN(G$1),1),""))</f>
        <v>有り余る体力</v>
      </c>
      <c r="BN119" s="37" t="str">
        <f t="array" ref="BN119">IF($A119="","",IFERROR(INDEX(CS!$B$1:$B$15025,MATCH($A119,CS!$B:$B,0)+COLUMN(H$1),1),""))</f>
        <v/>
      </c>
      <c r="BO119" s="37" t="str">
        <f t="array" ref="BO119">IF($A119="","",IFERROR(INDEX(CS!$B$1:$B$15025,MATCH($A119,CS!$B:$B,0)+COLUMN(I$1),1),""))</f>
        <v>守りの去なし</v>
      </c>
      <c r="BP119" s="37" t="str">
        <f t="array" ref="BP119">IF($A119="","",IFERROR(INDEX(CS!$B$1:$B$15025,MATCH($A119,CS!$B:$B,0)+COLUMN(J$1),1),""))</f>
        <v>シャットアウター</v>
      </c>
      <c r="BR119" s="39" t="s">
        <v>2832</v>
      </c>
      <c r="BS119" s="74"/>
      <c r="CG119" s="37" t="s">
        <v>2802</v>
      </c>
      <c r="CH119" s="37" t="s">
        <v>2803</v>
      </c>
      <c r="CJ119" s="37" t="s">
        <v>2799</v>
      </c>
      <c r="CK119" s="37" t="s">
        <v>2800</v>
      </c>
      <c r="CN119" s="37" t="s">
        <v>1102</v>
      </c>
    </row>
    <row r="120" ht="18.75" customHeight="1" outlineLevel="1">
      <c r="A120" s="39" t="s">
        <v>2067</v>
      </c>
      <c r="B120" s="71"/>
      <c r="C120" s="39" t="s">
        <v>2797</v>
      </c>
      <c r="D120" s="72" t="str">
        <f t="shared" si="2"/>
        <v>725/475/250</v>
      </c>
      <c r="E120" s="39">
        <v>2.0</v>
      </c>
      <c r="F120" s="39">
        <v>85.0</v>
      </c>
      <c r="I120" s="39">
        <v>85.0</v>
      </c>
      <c r="J120" s="39">
        <v>55.0</v>
      </c>
      <c r="K120" s="87">
        <v>25.0</v>
      </c>
      <c r="L120" s="39">
        <v>50.0</v>
      </c>
      <c r="M120" s="39">
        <v>95.0</v>
      </c>
      <c r="N120" s="39">
        <v>80.0</v>
      </c>
      <c r="P120" s="37">
        <v>0.0</v>
      </c>
      <c r="Q120" s="64"/>
      <c r="R120" s="64"/>
      <c r="S120" s="64"/>
      <c r="T120" s="64"/>
      <c r="U120" s="64"/>
      <c r="V120" s="64"/>
      <c r="W120" s="64"/>
      <c r="X120" s="64"/>
      <c r="Y120" s="64"/>
      <c r="Z120" s="64"/>
      <c r="AA120" s="64"/>
      <c r="AJ120" s="39">
        <v>50.0</v>
      </c>
      <c r="AK120" s="39">
        <v>50.0</v>
      </c>
      <c r="AL120" s="39">
        <v>25.0</v>
      </c>
      <c r="AM120" s="39">
        <v>50.0</v>
      </c>
      <c r="AN120" s="39">
        <v>25.0</v>
      </c>
      <c r="AO120" s="39">
        <v>0.0</v>
      </c>
      <c r="AP120" s="39">
        <v>0.0</v>
      </c>
      <c r="AQ120" s="39">
        <v>0.0</v>
      </c>
      <c r="AR120" s="39">
        <v>25.0</v>
      </c>
      <c r="AS120" s="39">
        <v>0.0</v>
      </c>
      <c r="AT120" s="39">
        <v>0.0</v>
      </c>
      <c r="AU120" s="39">
        <v>0.0</v>
      </c>
      <c r="AV120" s="39">
        <v>0.0</v>
      </c>
      <c r="AW120" s="39">
        <v>25.0</v>
      </c>
      <c r="AX120" s="39">
        <v>0.0</v>
      </c>
      <c r="AY120" s="39">
        <v>0.0</v>
      </c>
      <c r="AZ120" s="39">
        <v>0.0</v>
      </c>
      <c r="BG120" s="37" t="str">
        <f t="array" ref="BG120">IF($A120="","",IFERROR(INDEX(CS!$B$1:$B$15025,MATCH($A120,CS!$B:$B,0)+COLUMN(A$1),1),""))</f>
        <v>加速</v>
      </c>
      <c r="BH120" s="37" t="str">
        <f t="array" ref="BH120">IF($A120="","",IFERROR(INDEX(CS!$B$1:$B$15025,MATCH($A120,CS!$B:$B,0)+COLUMN(B$1),1),""))</f>
        <v/>
      </c>
      <c r="BI120" s="37" t="str">
        <f t="array" ref="BI120">IF($A120="","",IFERROR(INDEX(CS!$B$1:$B$15025,MATCH($A120,CS!$B:$B,0)+COLUMN(C$1),1),""))</f>
        <v>回避の精神</v>
      </c>
      <c r="BJ120" s="37" t="str">
        <f t="array" ref="BJ120">IF($A120="","",IFERROR(INDEX(CS!$B$1:$B$15025,MATCH($A120,CS!$B:$B,0)+COLUMN(D$1),1),""))</f>
        <v/>
      </c>
      <c r="BK120" s="37" t="str">
        <f t="array" ref="BK120">IF($A120="","",IFERROR(INDEX(CS!$B$1:$B$15025,MATCH($A120,CS!$B:$B,0)+COLUMN(E$1),1),""))</f>
        <v>疾風回避</v>
      </c>
      <c r="BL120" s="37" t="str">
        <f t="array" ref="BL120">IF($A120="","",IFERROR(INDEX(CS!$B$1:$B$15025,MATCH($A120,CS!$B:$B,0)+COLUMN(F$1),1),""))</f>
        <v/>
      </c>
      <c r="BM120" s="37" t="str">
        <f t="array" ref="BM120">IF($A120="","",IFERROR(INDEX(CS!$B$1:$B$15025,MATCH($A120,CS!$B:$B,0)+COLUMN(G$1),1),""))</f>
        <v>戦闘軽戦士</v>
      </c>
      <c r="BN120" s="37" t="str">
        <f t="array" ref="BN120">IF($A120="","",IFERROR(INDEX(CS!$B$1:$B$15025,MATCH($A120,CS!$B:$B,0)+COLUMN(H$1),1),""))</f>
        <v/>
      </c>
      <c r="BO120" s="37" t="str">
        <f t="array" ref="BO120">IF($A120="","",IFERROR(INDEX(CS!$B$1:$B$15025,MATCH($A120,CS!$B:$B,0)+COLUMN(I$1),1),""))</f>
        <v>機動乱撃</v>
      </c>
      <c r="BP120" s="37" t="str">
        <f t="array" ref="BP120">IF($A120="","",IFERROR(INDEX(CS!$B$1:$B$15025,MATCH($A120,CS!$B:$B,0)+COLUMN(J$1),1),""))</f>
        <v>超機動</v>
      </c>
      <c r="BR120" s="39" t="s">
        <v>2833</v>
      </c>
      <c r="BS120" s="74"/>
      <c r="CG120" s="37" t="s">
        <v>2805</v>
      </c>
      <c r="CI120" s="37" t="s">
        <v>2806</v>
      </c>
      <c r="CJ120" s="37" t="s">
        <v>2807</v>
      </c>
      <c r="CK120" s="37" t="s">
        <v>2800</v>
      </c>
      <c r="CN120" s="37" t="s">
        <v>1102</v>
      </c>
    </row>
    <row r="121" ht="18.75" customHeight="1" outlineLevel="2">
      <c r="A121" s="39" t="s">
        <v>2079</v>
      </c>
      <c r="B121" s="71"/>
      <c r="C121" s="39" t="s">
        <v>2797</v>
      </c>
      <c r="D121" s="72" t="str">
        <f t="shared" si="2"/>
        <v>740/490/250</v>
      </c>
      <c r="E121" s="39">
        <v>3.0</v>
      </c>
      <c r="F121" s="39">
        <v>85.0</v>
      </c>
      <c r="I121" s="39">
        <v>90.0</v>
      </c>
      <c r="J121" s="39">
        <v>55.0</v>
      </c>
      <c r="K121" s="87">
        <v>25.0</v>
      </c>
      <c r="L121" s="39">
        <v>50.0</v>
      </c>
      <c r="M121" s="39">
        <v>100.0</v>
      </c>
      <c r="N121" s="39">
        <v>85.0</v>
      </c>
      <c r="P121" s="37">
        <v>0.0</v>
      </c>
      <c r="Q121" s="64"/>
      <c r="R121" s="64"/>
      <c r="S121" s="64"/>
      <c r="T121" s="64"/>
      <c r="U121" s="64"/>
      <c r="V121" s="64"/>
      <c r="W121" s="64"/>
      <c r="X121" s="64"/>
      <c r="Y121" s="64"/>
      <c r="Z121" s="64"/>
      <c r="AA121" s="64"/>
      <c r="AJ121" s="39">
        <v>50.0</v>
      </c>
      <c r="AK121" s="39">
        <v>50.0</v>
      </c>
      <c r="AL121" s="39">
        <v>25.0</v>
      </c>
      <c r="AM121" s="39">
        <v>50.0</v>
      </c>
      <c r="AN121" s="39">
        <v>25.0</v>
      </c>
      <c r="AO121" s="39">
        <v>0.0</v>
      </c>
      <c r="AP121" s="39">
        <v>0.0</v>
      </c>
      <c r="AQ121" s="39">
        <v>0.0</v>
      </c>
      <c r="AR121" s="39">
        <v>25.0</v>
      </c>
      <c r="AS121" s="39">
        <v>0.0</v>
      </c>
      <c r="AT121" s="39">
        <v>0.0</v>
      </c>
      <c r="AU121" s="39">
        <v>0.0</v>
      </c>
      <c r="AV121" s="39">
        <v>0.0</v>
      </c>
      <c r="AW121" s="39">
        <v>25.0</v>
      </c>
      <c r="AX121" s="39">
        <v>0.0</v>
      </c>
      <c r="AY121" s="39">
        <v>0.0</v>
      </c>
      <c r="AZ121" s="39">
        <v>0.0</v>
      </c>
      <c r="BG121" s="37" t="str">
        <f t="array" ref="BG121">IF($A121="","",IFERROR(INDEX(CS!$B$1:$B$15025,MATCH($A121,CS!$B:$B,0)+COLUMN(A$1),1),""))</f>
        <v>加速撃</v>
      </c>
      <c r="BH121" s="37" t="str">
        <f t="array" ref="BH121">IF($A121="","",IFERROR(INDEX(CS!$B$1:$B$15025,MATCH($A121,CS!$B:$B,0)+COLUMN(B$1),1),""))</f>
        <v/>
      </c>
      <c r="BI121" s="37" t="str">
        <f t="array" ref="BI121">IF($A121="","",IFERROR(INDEX(CS!$B$1:$B$15025,MATCH($A121,CS!$B:$B,0)+COLUMN(C$1),1),""))</f>
        <v>武器の回避</v>
      </c>
      <c r="BJ121" s="37" t="str">
        <f t="array" ref="BJ121">IF($A121="","",IFERROR(INDEX(CS!$B$1:$B$15025,MATCH($A121,CS!$B:$B,0)+COLUMN(D$1),1),""))</f>
        <v/>
      </c>
      <c r="BK121" s="37" t="str">
        <f t="array" ref="BK121">IF($A121="","",IFERROR(INDEX(CS!$B$1:$B$15025,MATCH($A121,CS!$B:$B,0)+COLUMN(E$1),1),""))</f>
        <v>超加速</v>
      </c>
      <c r="BL121" s="37" t="str">
        <f t="array" ref="BL121">IF($A121="","",IFERROR(INDEX(CS!$B$1:$B$15025,MATCH($A121,CS!$B:$B,0)+COLUMN(F$1),1),""))</f>
        <v/>
      </c>
      <c r="BM121" s="37" t="str">
        <f t="array" ref="BM121">IF($A121="","",IFERROR(INDEX(CS!$B$1:$B$15025,MATCH($A121,CS!$B:$B,0)+COLUMN(G$1),1),""))</f>
        <v>有り余る体力</v>
      </c>
      <c r="BN121" s="37" t="str">
        <f t="array" ref="BN121">IF($A121="","",IFERROR(INDEX(CS!$B$1:$B$15025,MATCH($A121,CS!$B:$B,0)+COLUMN(H$1),1),""))</f>
        <v/>
      </c>
      <c r="BO121" s="37" t="str">
        <f t="array" ref="BO121">IF($A121="","",IFERROR(INDEX(CS!$B$1:$B$15025,MATCH($A121,CS!$B:$B,0)+COLUMN(I$1),1),""))</f>
        <v>残像乱撃</v>
      </c>
      <c r="BP121" s="37" t="str">
        <f t="array" ref="BP121">IF($A121="","",IFERROR(INDEX(CS!$B$1:$B$15025,MATCH($A121,CS!$B:$B,0)+COLUMN(J$1),1),""))</f>
        <v>ラピッドストライカー</v>
      </c>
      <c r="BR121" s="39" t="s">
        <v>2834</v>
      </c>
      <c r="BS121" s="74"/>
      <c r="CG121" s="37" t="s">
        <v>2805</v>
      </c>
      <c r="CI121" s="37" t="s">
        <v>2806</v>
      </c>
      <c r="CJ121" s="37" t="s">
        <v>2807</v>
      </c>
      <c r="CK121" s="37" t="s">
        <v>2800</v>
      </c>
      <c r="CN121" s="37" t="s">
        <v>1102</v>
      </c>
    </row>
    <row r="122" ht="18.75" customHeight="1" outlineLevel="1">
      <c r="B122" s="71"/>
      <c r="C122" s="39" t="s">
        <v>2797</v>
      </c>
      <c r="D122" s="72"/>
      <c r="K122" s="73"/>
      <c r="P122" s="37" t="s">
        <v>29</v>
      </c>
      <c r="Q122" s="64"/>
      <c r="R122" s="64"/>
      <c r="S122" s="64"/>
      <c r="T122" s="64"/>
      <c r="U122" s="64"/>
      <c r="V122" s="64"/>
      <c r="W122" s="64"/>
      <c r="X122" s="64"/>
      <c r="Y122" s="64"/>
      <c r="Z122" s="64"/>
      <c r="AA122" s="64"/>
      <c r="BG122" s="37" t="str">
        <f t="array" ref="BG122">IF($A122="","", INDEX(CS!$B$1:$B$15025,MATCH($A122,CS!$B:$B,0)+COLUMN(A$1),1))</f>
        <v/>
      </c>
      <c r="BH122" s="37" t="str">
        <f t="array" ref="BH122">IF($A122="","", INDEX(CS!$B$1:$B$15025,MATCH($A122,CS!$B:$B,0)+COLUMN(B$1),1))</f>
        <v/>
      </c>
      <c r="BI122" s="37" t="str">
        <f t="array" ref="BI122">IF($A122="","", INDEX(CS!$B$1:$B$15025,MATCH($A122,CS!$B:$B,0)+COLUMN(C$1),1))</f>
        <v/>
      </c>
      <c r="BJ122" s="37" t="str">
        <f t="array" ref="BJ122">IF($A122="","", INDEX(CS!$B$1:$B$15025,MATCH($A122,CS!$B:$B,0)+COLUMN(D$1),1))</f>
        <v/>
      </c>
      <c r="BK122" s="37" t="str">
        <f t="array" ref="BK122">IF($A122="","", INDEX(CS!$B$1:$B$15025,MATCH($A122,CS!$B:$B,0)+COLUMN(E$1),1))</f>
        <v/>
      </c>
      <c r="BL122" s="37" t="str">
        <f t="array" ref="BL122">IF($A122="","", INDEX(CS!$B$1:$B$15025,MATCH($A122,CS!$B:$B,0)+COLUMN(F$1),1))</f>
        <v/>
      </c>
      <c r="BM122" s="37" t="str">
        <f t="array" ref="BM122">IF($A122="","", INDEX(CS!$B$1:$B$15025,MATCH($A122,CS!$B:$B,0)+COLUMN(G$1),1))</f>
        <v/>
      </c>
      <c r="BN122" s="37" t="str">
        <f t="array" ref="BN122">IF($A122="","", INDEX(CS!$B$1:$B$15025,MATCH($A122,CS!$B:$B,0)+COLUMN(H$1),1))</f>
        <v/>
      </c>
      <c r="BO122" s="37" t="str">
        <f t="array" ref="BO122">IF($A122="","", INDEX(CS!$B$1:$B$15025,MATCH($A122,CS!$B:$B,0)+COLUMN(I$1),1))</f>
        <v/>
      </c>
      <c r="BP122" s="37" t="str">
        <f t="array" ref="BP122">IF($A122="","", INDEX(CS!$B$1:$B$15025,MATCH($A122,CS!$B:$B,0)+COLUMN(J$1),1))</f>
        <v/>
      </c>
      <c r="BS122" s="74"/>
      <c r="CI122" s="37" t="s">
        <v>2826</v>
      </c>
      <c r="CJ122" s="37" t="s">
        <v>2807</v>
      </c>
      <c r="CK122" s="37" t="s">
        <v>2800</v>
      </c>
    </row>
    <row r="123" ht="18.75" customHeight="1" outlineLevel="1">
      <c r="B123" s="85" t="s">
        <v>2835</v>
      </c>
      <c r="C123" s="39" t="s">
        <v>2797</v>
      </c>
      <c r="D123" s="72" t="str">
        <f t="shared" ref="D123:D131" si="3">SUM(AJ123:AZ123,F123:N123)&amp;"/"&amp;SUM(F123:N123)&amp;"/"&amp;SUM(AJ123:AZ123)</f>
        <v>0/0/0</v>
      </c>
      <c r="E123" s="37">
        <v>1.0</v>
      </c>
      <c r="K123" s="73"/>
      <c r="P123" s="37" t="s">
        <v>29</v>
      </c>
      <c r="Q123" s="64"/>
      <c r="R123" s="64"/>
      <c r="S123" s="64"/>
      <c r="T123" s="64"/>
      <c r="U123" s="64"/>
      <c r="V123" s="64"/>
      <c r="W123" s="64"/>
      <c r="X123" s="64"/>
      <c r="Y123" s="64"/>
      <c r="Z123" s="64"/>
      <c r="AA123" s="64"/>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row>
    <row r="124" ht="18.75" customHeight="1" outlineLevel="2">
      <c r="A124" s="39" t="s">
        <v>2092</v>
      </c>
      <c r="B124" s="89" t="s">
        <v>2093</v>
      </c>
      <c r="C124" s="39" t="s">
        <v>2797</v>
      </c>
      <c r="D124" s="72" t="str">
        <f t="shared" si="3"/>
        <v>735/475/260</v>
      </c>
      <c r="E124" s="39">
        <v>2.0</v>
      </c>
      <c r="F124" s="39">
        <v>85.0</v>
      </c>
      <c r="I124" s="39">
        <v>95.0</v>
      </c>
      <c r="J124" s="39">
        <v>85.0</v>
      </c>
      <c r="K124" s="87">
        <v>25.0</v>
      </c>
      <c r="L124" s="39">
        <v>50.0</v>
      </c>
      <c r="M124" s="39">
        <v>55.0</v>
      </c>
      <c r="N124" s="39">
        <v>80.0</v>
      </c>
      <c r="P124" s="37">
        <v>0.0</v>
      </c>
      <c r="Q124" s="64"/>
      <c r="R124" s="64"/>
      <c r="S124" s="64"/>
      <c r="T124" s="64"/>
      <c r="U124" s="64"/>
      <c r="V124" s="64"/>
      <c r="W124" s="64"/>
      <c r="X124" s="64"/>
      <c r="Y124" s="64"/>
      <c r="Z124" s="64"/>
      <c r="AA124" s="64"/>
      <c r="AJ124" s="37">
        <v>75.0</v>
      </c>
      <c r="AK124" s="37">
        <v>50.0</v>
      </c>
      <c r="AL124" s="37">
        <v>25.0</v>
      </c>
      <c r="AM124" s="37">
        <v>30.0</v>
      </c>
      <c r="AN124" s="37">
        <v>30.0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塵風</v>
      </c>
      <c r="BH124" s="37" t="str">
        <f t="array" ref="BH124">IF($A124="","",IFERROR(INDEX(CS!$B$1:$B$15025,MATCH($A124,CS!$B:$B,0)+COLUMN(B$1),1),""))</f>
        <v/>
      </c>
      <c r="BI124" s="37" t="str">
        <f t="array" ref="BI124">IF($A124="","",IFERROR(INDEX(CS!$B$1:$B$15025,MATCH($A124,CS!$B:$B,0)+COLUMN(C$1),1),""))</f>
        <v>集中力</v>
      </c>
      <c r="BJ124" s="37" t="str">
        <f t="array" ref="BJ124">IF($A124="","",IFERROR(INDEX(CS!$B$1:$B$15025,MATCH($A124,CS!$B:$B,0)+COLUMN(D$1),1),""))</f>
        <v/>
      </c>
      <c r="BK124" s="37" t="str">
        <f t="array" ref="BK124">IF($A124="","",IFERROR(INDEX(CS!$B$1:$B$15025,MATCH($A124,CS!$B:$B,0)+COLUMN(E$1),1),""))</f>
        <v>縮地</v>
      </c>
      <c r="BL124" s="37" t="str">
        <f t="array" ref="BL124">IF($A124="","",IFERROR(INDEX(CS!$B$1:$B$15025,MATCH($A124,CS!$B:$B,0)+COLUMN(F$1),1),""))</f>
        <v/>
      </c>
      <c r="BM124" s="37" t="str">
        <f t="array" ref="BM124">IF($A124="","",IFERROR(INDEX(CS!$B$1:$B$15025,MATCH($A124,CS!$B:$B,0)+COLUMN(G$1),1),""))</f>
        <v>斬撃の使い方</v>
      </c>
      <c r="BN124" s="37" t="str">
        <f t="array" ref="BN124">IF($A124="","",IFERROR(INDEX(CS!$B$1:$B$15025,MATCH($A124,CS!$B:$B,0)+COLUMN(H$1),1),""))</f>
        <v/>
      </c>
      <c r="BO124" s="37" t="str">
        <f t="array" ref="BO124">IF($A124="","",IFERROR(INDEX(CS!$B$1:$B$15025,MATCH($A124,CS!$B:$B,0)+COLUMN(I$1),1),""))</f>
        <v>塵旋風</v>
      </c>
      <c r="BP124" s="37" t="str">
        <f t="array" ref="BP124">IF($A124="","",IFERROR(INDEX(CS!$B$1:$B$15025,MATCH($A124,CS!$B:$B,0)+COLUMN(J$1),1),""))</f>
        <v>剣使い</v>
      </c>
      <c r="BR124" s="39" t="s">
        <v>2836</v>
      </c>
      <c r="BS124" s="74"/>
      <c r="BU124" s="39" t="s">
        <v>2837</v>
      </c>
      <c r="CG124" s="37" t="s">
        <v>2798</v>
      </c>
      <c r="CJ124" s="37" t="s">
        <v>2799</v>
      </c>
      <c r="CK124" s="37" t="s">
        <v>2800</v>
      </c>
      <c r="CN124" s="37" t="s">
        <v>1102</v>
      </c>
    </row>
    <row r="125" ht="18.75" customHeight="1" outlineLevel="1">
      <c r="A125" s="39" t="s">
        <v>2109</v>
      </c>
      <c r="B125" s="89" t="s">
        <v>2110</v>
      </c>
      <c r="C125" s="39" t="s">
        <v>2797</v>
      </c>
      <c r="D125" s="72" t="str">
        <f t="shared" si="3"/>
        <v>760/490/270</v>
      </c>
      <c r="E125" s="39">
        <v>3.0</v>
      </c>
      <c r="F125" s="39">
        <v>85.0</v>
      </c>
      <c r="I125" s="39">
        <v>100.0</v>
      </c>
      <c r="J125" s="39">
        <v>90.0</v>
      </c>
      <c r="K125" s="87">
        <v>25.0</v>
      </c>
      <c r="L125" s="39">
        <v>50.0</v>
      </c>
      <c r="M125" s="39">
        <v>55.0</v>
      </c>
      <c r="N125" s="39">
        <v>85.0</v>
      </c>
      <c r="P125" s="37">
        <v>0.0</v>
      </c>
      <c r="Q125" s="64"/>
      <c r="R125" s="64"/>
      <c r="S125" s="64"/>
      <c r="T125" s="64"/>
      <c r="U125" s="64"/>
      <c r="V125" s="64"/>
      <c r="W125" s="64"/>
      <c r="X125" s="64"/>
      <c r="Y125" s="64"/>
      <c r="Z125" s="64"/>
      <c r="AA125" s="64"/>
      <c r="AJ125" s="37">
        <v>75.0</v>
      </c>
      <c r="AK125" s="37">
        <v>50.0</v>
      </c>
      <c r="AL125" s="37">
        <v>25.0</v>
      </c>
      <c r="AM125" s="37">
        <v>35.0</v>
      </c>
      <c r="AN125" s="37">
        <v>35.0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狼牙</v>
      </c>
      <c r="BH125" s="37" t="str">
        <f t="array" ref="BH125">IF($A125="","",IFERROR(INDEX(CS!$B$1:$B$15025,MATCH($A125,CS!$B:$B,0)+COLUMN(B$1),1),""))</f>
        <v/>
      </c>
      <c r="BI125" s="37" t="str">
        <f t="array" ref="BI125">IF($A125="","",IFERROR(INDEX(CS!$B$1:$B$15025,MATCH($A125,CS!$B:$B,0)+COLUMN(C$1),1),""))</f>
        <v>集中力2</v>
      </c>
      <c r="BJ125" s="37" t="str">
        <f t="array" ref="BJ125">IF($A125="","",IFERROR(INDEX(CS!$B$1:$B$15025,MATCH($A125,CS!$B:$B,0)+COLUMN(D$1),1),""))</f>
        <v/>
      </c>
      <c r="BK125" s="37" t="str">
        <f t="array" ref="BK125">IF($A125="","",IFERROR(INDEX(CS!$B$1:$B$15025,MATCH($A125,CS!$B:$B,0)+COLUMN(E$1),1),""))</f>
        <v>縮地改</v>
      </c>
      <c r="BL125" s="37" t="str">
        <f t="array" ref="BL125">IF($A125="","",IFERROR(INDEX(CS!$B$1:$B$15025,MATCH($A125,CS!$B:$B,0)+COLUMN(F$1),1),""))</f>
        <v/>
      </c>
      <c r="BM125" s="37" t="str">
        <f t="array" ref="BM125">IF($A125="","",IFERROR(INDEX(CS!$B$1:$B$15025,MATCH($A125,CS!$B:$B,0)+COLUMN(G$1),1),""))</f>
        <v>斬撃の極み</v>
      </c>
      <c r="BN125" s="37" t="str">
        <f t="array" ref="BN125">IF($A125="","",IFERROR(INDEX(CS!$B$1:$B$15025,MATCH($A125,CS!$B:$B,0)+COLUMN(H$1),1),""))</f>
        <v/>
      </c>
      <c r="BO125" s="37" t="str">
        <f t="array" ref="BO125">IF($A125="","",IFERROR(INDEX(CS!$B$1:$B$15025,MATCH($A125,CS!$B:$B,0)+COLUMN(I$1),1),""))</f>
        <v>波切</v>
      </c>
      <c r="BP125" s="37" t="str">
        <f t="array" ref="BP125">IF($A125="","",IFERROR(INDEX(CS!$B$1:$B$15025,MATCH($A125,CS!$B:$B,0)+COLUMN(J$1),1),""))</f>
        <v>剣聖</v>
      </c>
      <c r="BR125" s="39" t="s">
        <v>2838</v>
      </c>
      <c r="BS125" s="74"/>
      <c r="BU125" s="39"/>
      <c r="CG125" s="37" t="s">
        <v>2798</v>
      </c>
      <c r="CJ125" s="37" t="s">
        <v>2799</v>
      </c>
      <c r="CK125" s="37" t="s">
        <v>2800</v>
      </c>
      <c r="CN125" s="37" t="s">
        <v>1102</v>
      </c>
    </row>
    <row r="126" ht="18.75" customHeight="1" outlineLevel="1">
      <c r="A126" s="39" t="s">
        <v>2125</v>
      </c>
      <c r="B126" s="89" t="s">
        <v>2126</v>
      </c>
      <c r="C126" s="39" t="s">
        <v>2797</v>
      </c>
      <c r="D126" s="72" t="str">
        <f t="shared" si="3"/>
        <v>785/505/280</v>
      </c>
      <c r="E126" s="39">
        <v>4.0</v>
      </c>
      <c r="F126" s="39">
        <v>85.0</v>
      </c>
      <c r="I126" s="39">
        <v>105.0</v>
      </c>
      <c r="J126" s="39">
        <v>95.0</v>
      </c>
      <c r="K126" s="87">
        <v>25.0</v>
      </c>
      <c r="L126" s="39">
        <v>50.0</v>
      </c>
      <c r="M126" s="39">
        <v>55.0</v>
      </c>
      <c r="N126" s="39">
        <v>90.0</v>
      </c>
      <c r="P126" s="37">
        <v>0.0</v>
      </c>
      <c r="Q126" s="64"/>
      <c r="R126" s="64"/>
      <c r="S126" s="64"/>
      <c r="T126" s="64"/>
      <c r="U126" s="64"/>
      <c r="V126" s="64"/>
      <c r="W126" s="64"/>
      <c r="X126" s="64"/>
      <c r="Y126" s="64"/>
      <c r="Z126" s="64"/>
      <c r="AA126" s="64"/>
      <c r="AJ126" s="37">
        <v>75.0</v>
      </c>
      <c r="AK126" s="37">
        <v>50.0</v>
      </c>
      <c r="AL126" s="37">
        <v>25.0</v>
      </c>
      <c r="AM126" s="37">
        <v>40.0</v>
      </c>
      <c r="AN126" s="37">
        <v>40.0</v>
      </c>
      <c r="AO126" s="37">
        <v>0.0</v>
      </c>
      <c r="AP126" s="37">
        <v>0.0</v>
      </c>
      <c r="AQ126" s="37">
        <v>0.0</v>
      </c>
      <c r="AR126" s="37">
        <v>25.0</v>
      </c>
      <c r="AS126" s="37">
        <v>0.0</v>
      </c>
      <c r="AT126" s="37">
        <v>0.0</v>
      </c>
      <c r="AU126" s="37">
        <v>0.0</v>
      </c>
      <c r="AV126" s="37">
        <v>0.0</v>
      </c>
      <c r="AW126" s="37">
        <v>25.0</v>
      </c>
      <c r="AX126" s="37">
        <v>0.0</v>
      </c>
      <c r="AY126" s="37">
        <v>0.0</v>
      </c>
      <c r="AZ126" s="37">
        <v>0.0</v>
      </c>
      <c r="BG126" s="37" t="str">
        <f t="array" ref="BG126">IF($A126="","",IFERROR(INDEX(CS!$B$1:$B$15025,MATCH($A126,CS!$B:$B,0)+COLUMN(A$1),1),""))</f>
        <v>神斬</v>
      </c>
      <c r="BH126" s="37" t="str">
        <f t="array" ref="BH126">IF($A126="","",IFERROR(INDEX(CS!$B$1:$B$15025,MATCH($A126,CS!$B:$B,0)+COLUMN(B$1),1),""))</f>
        <v/>
      </c>
      <c r="BI126" s="37" t="str">
        <f t="array" ref="BI126">IF($A126="","",IFERROR(INDEX(CS!$B$1:$B$15025,MATCH($A126,CS!$B:$B,0)+COLUMN(C$1),1),""))</f>
        <v>極斬</v>
      </c>
      <c r="BJ126" s="37" t="str">
        <f t="array" ref="BJ126">IF($A126="","",IFERROR(INDEX(CS!$B$1:$B$15025,MATCH($A126,CS!$B:$B,0)+COLUMN(D$1),1),""))</f>
        <v/>
      </c>
      <c r="BK126" s="37" t="str">
        <f t="array" ref="BK126">IF($A126="","",IFERROR(INDEX(CS!$B$1:$B$15025,MATCH($A126,CS!$B:$B,0)+COLUMN(E$1),1),""))</f>
        <v>縮地・空</v>
      </c>
      <c r="BL126" s="37" t="str">
        <f t="array" ref="BL126">IF($A126="","",IFERROR(INDEX(CS!$B$1:$B$15025,MATCH($A126,CS!$B:$B,0)+COLUMN(F$1),1),""))</f>
        <v/>
      </c>
      <c r="BM126" s="37" t="str">
        <f t="array" ref="BM126">IF($A126="","",IFERROR(INDEX(CS!$B$1:$B$15025,MATCH($A126,CS!$B:$B,0)+COLUMN(G$1),1),""))</f>
        <v>神眼</v>
      </c>
      <c r="BN126" s="37" t="str">
        <f t="array" ref="BN126">IF($A126="","",IFERROR(INDEX(CS!$B$1:$B$15025,MATCH($A126,CS!$B:$B,0)+COLUMN(H$1),1),""))</f>
        <v/>
      </c>
      <c r="BO126" s="37" t="str">
        <f t="array" ref="BO126">IF($A126="","",IFERROR(INDEX(CS!$B$1:$B$15025,MATCH($A126,CS!$B:$B,0)+COLUMN(I$1),1),""))</f>
        <v>見極</v>
      </c>
      <c r="BP126" s="37" t="str">
        <f t="array" ref="BP126">IF($A126="","",IFERROR(INDEX(CS!$B$1:$B$15025,MATCH($A126,CS!$B:$B,0)+COLUMN(J$1),1),""))</f>
        <v>剣神</v>
      </c>
      <c r="BR126" s="39" t="s">
        <v>2839</v>
      </c>
      <c r="BS126" s="74"/>
      <c r="BU126" s="39"/>
      <c r="CG126" s="37" t="s">
        <v>2798</v>
      </c>
      <c r="CJ126" s="37" t="s">
        <v>2799</v>
      </c>
      <c r="CK126" s="37" t="s">
        <v>2800</v>
      </c>
      <c r="CN126" s="37" t="s">
        <v>1102</v>
      </c>
    </row>
    <row r="127" ht="18.75" customHeight="1" outlineLevel="1">
      <c r="A127" s="39" t="s">
        <v>2139</v>
      </c>
      <c r="B127" s="89" t="s">
        <v>2140</v>
      </c>
      <c r="C127" s="39" t="s">
        <v>2797</v>
      </c>
      <c r="D127" s="72" t="str">
        <f t="shared" si="3"/>
        <v>735/475/260</v>
      </c>
      <c r="E127" s="39">
        <v>2.0</v>
      </c>
      <c r="F127" s="39">
        <v>85.0</v>
      </c>
      <c r="I127" s="39">
        <v>85.0</v>
      </c>
      <c r="J127" s="39">
        <v>55.0</v>
      </c>
      <c r="K127" s="87">
        <v>25.0</v>
      </c>
      <c r="L127" s="39">
        <v>50.0</v>
      </c>
      <c r="M127" s="39">
        <v>95.0</v>
      </c>
      <c r="N127" s="39">
        <v>80.0</v>
      </c>
      <c r="P127" s="37">
        <v>0.0</v>
      </c>
      <c r="Q127" s="64"/>
      <c r="R127" s="64"/>
      <c r="S127" s="64"/>
      <c r="T127" s="64"/>
      <c r="U127" s="64"/>
      <c r="V127" s="64"/>
      <c r="W127" s="64"/>
      <c r="X127" s="64"/>
      <c r="Y127" s="64"/>
      <c r="Z127" s="64"/>
      <c r="AA127" s="64"/>
      <c r="AJ127" s="37">
        <v>50.0</v>
      </c>
      <c r="AK127" s="37">
        <v>50.0</v>
      </c>
      <c r="AL127" s="37">
        <v>25.0</v>
      </c>
      <c r="AM127" s="37">
        <v>55.0</v>
      </c>
      <c r="AN127" s="37">
        <v>30.0</v>
      </c>
      <c r="AO127" s="37">
        <v>0.0</v>
      </c>
      <c r="AP127" s="37">
        <v>0.0</v>
      </c>
      <c r="AQ127" s="37">
        <v>0.0</v>
      </c>
      <c r="AR127" s="37">
        <v>25.0</v>
      </c>
      <c r="AS127" s="37">
        <v>0.0</v>
      </c>
      <c r="AT127" s="37">
        <v>0.0</v>
      </c>
      <c r="AU127" s="37">
        <v>0.0</v>
      </c>
      <c r="AV127" s="37">
        <v>0.0</v>
      </c>
      <c r="AW127" s="37">
        <v>25.0</v>
      </c>
      <c r="AX127" s="37">
        <v>0.0</v>
      </c>
      <c r="AY127" s="37">
        <v>0.0</v>
      </c>
      <c r="AZ127" s="37">
        <v>0.0</v>
      </c>
      <c r="BG127" s="37" t="str">
        <f t="array" ref="BG127">IF($A127="","",IFERROR(INDEX(CS!$B$1:$B$15025,MATCH($A127,CS!$B:$B,0)+COLUMN(A$1),1),""))</f>
        <v>熱界雷</v>
      </c>
      <c r="BH127" s="37" t="str">
        <f t="array" ref="BH127">IF($A127="","",IFERROR(INDEX(CS!$B$1:$B$15025,MATCH($A127,CS!$B:$B,0)+COLUMN(B$1),1),""))</f>
        <v/>
      </c>
      <c r="BI127" s="37" t="str">
        <f t="array" ref="BI127">IF($A127="","",IFERROR(INDEX(CS!$B$1:$B$15025,MATCH($A127,CS!$B:$B,0)+COLUMN(C$1),1),""))</f>
        <v>集中力</v>
      </c>
      <c r="BJ127" s="37" t="str">
        <f t="array" ref="BJ127">IF($A127="","",IFERROR(INDEX(CS!$B$1:$B$15025,MATCH($A127,CS!$B:$B,0)+COLUMN(D$1),1),""))</f>
        <v/>
      </c>
      <c r="BK127" s="37" t="str">
        <f t="array" ref="BK127">IF($A127="","",IFERROR(INDEX(CS!$B$1:$B$15025,MATCH($A127,CS!$B:$B,0)+COLUMN(E$1),1),""))</f>
        <v>縮地</v>
      </c>
      <c r="BL127" s="37" t="str">
        <f t="array" ref="BL127">IF($A127="","",IFERROR(INDEX(CS!$B$1:$B$15025,MATCH($A127,CS!$B:$B,0)+COLUMN(F$1),1),""))</f>
        <v/>
      </c>
      <c r="BM127" s="37" t="str">
        <f t="array" ref="BM127">IF($A127="","",IFERROR(INDEX(CS!$B$1:$B$15025,MATCH($A127,CS!$B:$B,0)+COLUMN(G$1),1),""))</f>
        <v>刺突の使い方</v>
      </c>
      <c r="BN127" s="37" t="str">
        <f t="array" ref="BN127">IF($A127="","",IFERROR(INDEX(CS!$B$1:$B$15025,MATCH($A127,CS!$B:$B,0)+COLUMN(H$1),1),""))</f>
        <v/>
      </c>
      <c r="BO127" s="37" t="str">
        <f t="array" ref="BO127">IF($A127="","",IFERROR(INDEX(CS!$B$1:$B$15025,MATCH($A127,CS!$B:$B,0)+COLUMN(I$1),1),""))</f>
        <v>刺一閃</v>
      </c>
      <c r="BP127" s="37" t="str">
        <f t="array" ref="BP127">IF($A127="","",IFERROR(INDEX(CS!$B$1:$B$15025,MATCH($A127,CS!$B:$B,0)+COLUMN(J$1),1),""))</f>
        <v>槍使い</v>
      </c>
      <c r="BR127" s="39" t="s">
        <v>2836</v>
      </c>
      <c r="BS127" s="74"/>
      <c r="BU127" s="39" t="s">
        <v>2837</v>
      </c>
      <c r="CG127" s="37" t="s">
        <v>2805</v>
      </c>
      <c r="CI127" s="37" t="s">
        <v>2806</v>
      </c>
      <c r="CJ127" s="37" t="s">
        <v>2807</v>
      </c>
      <c r="CK127" s="37" t="s">
        <v>2800</v>
      </c>
      <c r="CN127" s="37" t="s">
        <v>1102</v>
      </c>
    </row>
    <row r="128" ht="18.75" customHeight="1" outlineLevel="1">
      <c r="A128" s="39" t="s">
        <v>2150</v>
      </c>
      <c r="B128" s="89" t="s">
        <v>2151</v>
      </c>
      <c r="C128" s="39" t="s">
        <v>2797</v>
      </c>
      <c r="D128" s="72" t="str">
        <f t="shared" si="3"/>
        <v>760/490/270</v>
      </c>
      <c r="E128" s="39">
        <v>3.0</v>
      </c>
      <c r="F128" s="39">
        <v>85.0</v>
      </c>
      <c r="I128" s="39">
        <v>90.0</v>
      </c>
      <c r="J128" s="39">
        <v>55.0</v>
      </c>
      <c r="K128" s="87">
        <v>25.0</v>
      </c>
      <c r="L128" s="39">
        <v>50.0</v>
      </c>
      <c r="M128" s="39">
        <v>100.0</v>
      </c>
      <c r="N128" s="39">
        <v>85.0</v>
      </c>
      <c r="P128" s="37">
        <v>0.0</v>
      </c>
      <c r="Q128" s="64"/>
      <c r="R128" s="64"/>
      <c r="S128" s="64"/>
      <c r="T128" s="64"/>
      <c r="U128" s="64"/>
      <c r="V128" s="64"/>
      <c r="W128" s="64"/>
      <c r="X128" s="64"/>
      <c r="Y128" s="64"/>
      <c r="Z128" s="64"/>
      <c r="AA128" s="64"/>
      <c r="AJ128" s="37">
        <v>50.0</v>
      </c>
      <c r="AK128" s="37">
        <v>50.0</v>
      </c>
      <c r="AL128" s="37">
        <v>25.0</v>
      </c>
      <c r="AM128" s="37">
        <v>60.0</v>
      </c>
      <c r="AN128" s="37">
        <v>35.0</v>
      </c>
      <c r="AO128" s="37">
        <v>0.0</v>
      </c>
      <c r="AP128" s="37">
        <v>0.0</v>
      </c>
      <c r="AQ128" s="37">
        <v>0.0</v>
      </c>
      <c r="AR128" s="37">
        <v>25.0</v>
      </c>
      <c r="AS128" s="37">
        <v>0.0</v>
      </c>
      <c r="AT128" s="37">
        <v>0.0</v>
      </c>
      <c r="AU128" s="37">
        <v>0.0</v>
      </c>
      <c r="AV128" s="37">
        <v>0.0</v>
      </c>
      <c r="AW128" s="37">
        <v>25.0</v>
      </c>
      <c r="AX128" s="37">
        <v>0.0</v>
      </c>
      <c r="AY128" s="37">
        <v>0.0</v>
      </c>
      <c r="AZ128" s="37">
        <v>0.0</v>
      </c>
      <c r="BG128" s="37" t="str">
        <f t="array" ref="BG128">IF($A128="","",IFERROR(INDEX(CS!$B$1:$B$15025,MATCH($A128,CS!$B:$B,0)+COLUMN(A$1),1),""))</f>
        <v>鷹嘴</v>
      </c>
      <c r="BH128" s="37" t="str">
        <f t="array" ref="BH128">IF($A128="","",IFERROR(INDEX(CS!$B$1:$B$15025,MATCH($A128,CS!$B:$B,0)+COLUMN(B$1),1),""))</f>
        <v/>
      </c>
      <c r="BI128" s="37" t="str">
        <f t="array" ref="BI128">IF($A128="","",IFERROR(INDEX(CS!$B$1:$B$15025,MATCH($A128,CS!$B:$B,0)+COLUMN(C$1),1),""))</f>
        <v>集中力2</v>
      </c>
      <c r="BJ128" s="37" t="str">
        <f t="array" ref="BJ128">IF($A128="","",IFERROR(INDEX(CS!$B$1:$B$15025,MATCH($A128,CS!$B:$B,0)+COLUMN(D$1),1),""))</f>
        <v/>
      </c>
      <c r="BK128" s="37" t="str">
        <f t="array" ref="BK128">IF($A128="","",IFERROR(INDEX(CS!$B$1:$B$15025,MATCH($A128,CS!$B:$B,0)+COLUMN(E$1),1),""))</f>
        <v>縮地改</v>
      </c>
      <c r="BL128" s="37" t="str">
        <f t="array" ref="BL128">IF($A128="","",IFERROR(INDEX(CS!$B$1:$B$15025,MATCH($A128,CS!$B:$B,0)+COLUMN(F$1),1),""))</f>
        <v/>
      </c>
      <c r="BM128" s="37" t="str">
        <f t="array" ref="BM128">IF($A128="","",IFERROR(INDEX(CS!$B$1:$B$15025,MATCH($A128,CS!$B:$B,0)+COLUMN(G$1),1),""))</f>
        <v>刺突の極み</v>
      </c>
      <c r="BN128" s="37" t="str">
        <f t="array" ref="BN128">IF($A128="","",IFERROR(INDEX(CS!$B$1:$B$15025,MATCH($A128,CS!$B:$B,0)+COLUMN(H$1),1),""))</f>
        <v/>
      </c>
      <c r="BO128" s="37" t="str">
        <f t="array" ref="BO128">IF($A128="","",IFERROR(INDEX(CS!$B$1:$B$15025,MATCH($A128,CS!$B:$B,0)+COLUMN(I$1),1),""))</f>
        <v>渦突き</v>
      </c>
      <c r="BP128" s="37" t="str">
        <f t="array" ref="BP128">IF($A128="","",IFERROR(INDEX(CS!$B$1:$B$15025,MATCH($A128,CS!$B:$B,0)+COLUMN(J$1),1),""))</f>
        <v>槍聖</v>
      </c>
      <c r="BR128" s="39" t="s">
        <v>2840</v>
      </c>
      <c r="BS128" s="74"/>
      <c r="BU128" s="39"/>
      <c r="CG128" s="37" t="s">
        <v>2805</v>
      </c>
      <c r="CI128" s="37" t="s">
        <v>2806</v>
      </c>
      <c r="CJ128" s="37" t="s">
        <v>2807</v>
      </c>
      <c r="CK128" s="37" t="s">
        <v>2800</v>
      </c>
      <c r="CN128" s="37" t="s">
        <v>1102</v>
      </c>
    </row>
    <row r="129" ht="18.75" customHeight="1" outlineLevel="1">
      <c r="A129" s="39" t="s">
        <v>2161</v>
      </c>
      <c r="B129" s="89" t="s">
        <v>2162</v>
      </c>
      <c r="C129" s="39" t="s">
        <v>2797</v>
      </c>
      <c r="D129" s="72" t="str">
        <f t="shared" si="3"/>
        <v>785/505/280</v>
      </c>
      <c r="E129" s="39">
        <v>4.0</v>
      </c>
      <c r="F129" s="39">
        <v>85.0</v>
      </c>
      <c r="I129" s="39">
        <v>95.0</v>
      </c>
      <c r="J129" s="39">
        <v>55.0</v>
      </c>
      <c r="K129" s="87">
        <v>25.0</v>
      </c>
      <c r="L129" s="39">
        <v>50.0</v>
      </c>
      <c r="M129" s="39">
        <v>105.0</v>
      </c>
      <c r="N129" s="39">
        <v>90.0</v>
      </c>
      <c r="P129" s="37">
        <v>0.0</v>
      </c>
      <c r="Q129" s="64"/>
      <c r="R129" s="64"/>
      <c r="S129" s="64"/>
      <c r="T129" s="64"/>
      <c r="U129" s="64"/>
      <c r="V129" s="64"/>
      <c r="W129" s="64"/>
      <c r="X129" s="64"/>
      <c r="Y129" s="64"/>
      <c r="Z129" s="64"/>
      <c r="AA129" s="64"/>
      <c r="AJ129" s="37">
        <v>50.0</v>
      </c>
      <c r="AK129" s="37">
        <v>50.0</v>
      </c>
      <c r="AL129" s="37">
        <v>25.0</v>
      </c>
      <c r="AM129" s="37">
        <v>65.0</v>
      </c>
      <c r="AN129" s="37">
        <v>40.0</v>
      </c>
      <c r="AO129" s="37">
        <v>0.0</v>
      </c>
      <c r="AP129" s="37">
        <v>0.0</v>
      </c>
      <c r="AQ129" s="37">
        <v>0.0</v>
      </c>
      <c r="AR129" s="37">
        <v>25.0</v>
      </c>
      <c r="AS129" s="37">
        <v>0.0</v>
      </c>
      <c r="AT129" s="37">
        <v>0.0</v>
      </c>
      <c r="AU129" s="37">
        <v>0.0</v>
      </c>
      <c r="AV129" s="37">
        <v>0.0</v>
      </c>
      <c r="AW129" s="37">
        <v>25.0</v>
      </c>
      <c r="AX129" s="37">
        <v>0.0</v>
      </c>
      <c r="AY129" s="37">
        <v>0.0</v>
      </c>
      <c r="AZ129" s="37">
        <v>0.0</v>
      </c>
      <c r="BG129" s="37" t="str">
        <f t="array" ref="BG129">IF($A129="","",IFERROR(INDEX(CS!$B$1:$B$15025,MATCH($A129,CS!$B:$B,0)+COLUMN(A$1),1),""))</f>
        <v>神穿</v>
      </c>
      <c r="BH129" s="37" t="str">
        <f t="array" ref="BH129">IF($A129="","",IFERROR(INDEX(CS!$B$1:$B$15025,MATCH($A129,CS!$B:$B,0)+COLUMN(B$1),1),""))</f>
        <v/>
      </c>
      <c r="BI129" s="37" t="str">
        <f t="array" ref="BI129">IF($A129="","",IFERROR(INDEX(CS!$B$1:$B$15025,MATCH($A129,CS!$B:$B,0)+COLUMN(C$1),1),""))</f>
        <v>極刺</v>
      </c>
      <c r="BJ129" s="37" t="str">
        <f t="array" ref="BJ129">IF($A129="","",IFERROR(INDEX(CS!$B$1:$B$15025,MATCH($A129,CS!$B:$B,0)+COLUMN(D$1),1),""))</f>
        <v/>
      </c>
      <c r="BK129" s="37" t="str">
        <f t="array" ref="BK129">IF($A129="","",IFERROR(INDEX(CS!$B$1:$B$15025,MATCH($A129,CS!$B:$B,0)+COLUMN(E$1),1),""))</f>
        <v>縮地・空</v>
      </c>
      <c r="BL129" s="37" t="str">
        <f t="array" ref="BL129">IF($A129="","",IFERROR(INDEX(CS!$B$1:$B$15025,MATCH($A129,CS!$B:$B,0)+COLUMN(F$1),1),""))</f>
        <v/>
      </c>
      <c r="BM129" s="37" t="str">
        <f t="array" ref="BM129">IF($A129="","",IFERROR(INDEX(CS!$B$1:$B$15025,MATCH($A129,CS!$B:$B,0)+COLUMN(G$1),1),""))</f>
        <v>神眼</v>
      </c>
      <c r="BN129" s="37" t="str">
        <f t="array" ref="BN129">IF($A129="","",IFERROR(INDEX(CS!$B$1:$B$15025,MATCH($A129,CS!$B:$B,0)+COLUMN(H$1),1),""))</f>
        <v/>
      </c>
      <c r="BO129" s="37" t="str">
        <f t="array" ref="BO129">IF($A129="","",IFERROR(INDEX(CS!$B$1:$B$15025,MATCH($A129,CS!$B:$B,0)+COLUMN(I$1),1),""))</f>
        <v>見極</v>
      </c>
      <c r="BP129" s="37" t="str">
        <f t="array" ref="BP129">IF($A129="","",IFERROR(INDEX(CS!$B$1:$B$15025,MATCH($A129,CS!$B:$B,0)+COLUMN(J$1),1),""))</f>
        <v>槍神</v>
      </c>
      <c r="BR129" s="39" t="s">
        <v>2841</v>
      </c>
      <c r="BS129" s="74"/>
      <c r="BU129" s="39"/>
      <c r="CG129" s="37" t="s">
        <v>2805</v>
      </c>
      <c r="CI129" s="37" t="s">
        <v>2806</v>
      </c>
      <c r="CJ129" s="37" t="s">
        <v>2807</v>
      </c>
      <c r="CK129" s="37" t="s">
        <v>2800</v>
      </c>
      <c r="CN129" s="37" t="s">
        <v>1102</v>
      </c>
    </row>
    <row r="130" ht="18.75" customHeight="1" outlineLevel="1">
      <c r="A130" s="39" t="s">
        <v>2168</v>
      </c>
      <c r="B130" s="71"/>
      <c r="C130" s="39" t="s">
        <v>2797</v>
      </c>
      <c r="D130" s="72" t="str">
        <f t="shared" si="3"/>
        <v>735/475/260</v>
      </c>
      <c r="E130" s="39">
        <v>2.0</v>
      </c>
      <c r="F130" s="39">
        <v>90.0</v>
      </c>
      <c r="I130" s="39">
        <v>95.0</v>
      </c>
      <c r="J130" s="39">
        <v>85.0</v>
      </c>
      <c r="K130" s="87">
        <v>25.0</v>
      </c>
      <c r="L130" s="39">
        <v>50.0</v>
      </c>
      <c r="M130" s="39">
        <v>55.0</v>
      </c>
      <c r="N130" s="39">
        <v>75.0</v>
      </c>
      <c r="P130" s="37">
        <v>0.0</v>
      </c>
      <c r="Q130" s="64"/>
      <c r="R130" s="64"/>
      <c r="S130" s="64"/>
      <c r="T130" s="64"/>
      <c r="U130" s="64"/>
      <c r="V130" s="64"/>
      <c r="W130" s="64"/>
      <c r="X130" s="64"/>
      <c r="Y130" s="64"/>
      <c r="Z130" s="64"/>
      <c r="AA130" s="64"/>
      <c r="AJ130" s="37">
        <v>75.0</v>
      </c>
      <c r="AK130" s="37">
        <v>55.0</v>
      </c>
      <c r="AL130" s="37">
        <v>25.0</v>
      </c>
      <c r="AM130" s="37">
        <v>25.0</v>
      </c>
      <c r="AN130" s="37">
        <v>30.0</v>
      </c>
      <c r="AO130" s="37">
        <v>0.0</v>
      </c>
      <c r="AP130" s="37">
        <v>0.0</v>
      </c>
      <c r="AQ130" s="37">
        <v>0.0</v>
      </c>
      <c r="AR130" s="37">
        <v>25.0</v>
      </c>
      <c r="AS130" s="37">
        <v>0.0</v>
      </c>
      <c r="AT130" s="37">
        <v>0.0</v>
      </c>
      <c r="AU130" s="37">
        <v>0.0</v>
      </c>
      <c r="AV130" s="37">
        <v>0.0</v>
      </c>
      <c r="AW130" s="37">
        <v>25.0</v>
      </c>
      <c r="AX130" s="37">
        <v>0.0</v>
      </c>
      <c r="AY130" s="37">
        <v>0.0</v>
      </c>
      <c r="AZ130" s="37">
        <v>0.0</v>
      </c>
      <c r="BG130" s="37" t="str">
        <f t="array" ref="BG130">IF($A130="","",IFERROR(INDEX(CS!$B$1:$B$15025,MATCH($A130,CS!$B:$B,0)+COLUMN(A$1),1),""))</f>
        <v>粉砕撃</v>
      </c>
      <c r="BH130" s="37" t="str">
        <f t="array" ref="BH130">IF($A130="","",IFERROR(INDEX(CS!$B$1:$B$15025,MATCH($A130,CS!$B:$B,0)+COLUMN(B$1),1),""))</f>
        <v/>
      </c>
      <c r="BI130" s="37" t="str">
        <f t="array" ref="BI130">IF($A130="","",IFERROR(INDEX(CS!$B$1:$B$15025,MATCH($A130,CS!$B:$B,0)+COLUMN(C$1),1),""))</f>
        <v>打撃武器の扱い</v>
      </c>
      <c r="BJ130" s="37" t="str">
        <f t="array" ref="BJ130">IF($A130="","",IFERROR(INDEX(CS!$B$1:$B$15025,MATCH($A130,CS!$B:$B,0)+COLUMN(D$1),1),""))</f>
        <v/>
      </c>
      <c r="BK130" s="37" t="str">
        <f t="array" ref="BK130">IF($A130="","",IFERROR(INDEX(CS!$B$1:$B$15025,MATCH($A130,CS!$B:$B,0)+COLUMN(E$1),1),""))</f>
        <v>崩し撃</v>
      </c>
      <c r="BL130" s="37" t="str">
        <f t="array" ref="BL130">IF($A130="","",IFERROR(INDEX(CS!$B$1:$B$15025,MATCH($A130,CS!$B:$B,0)+COLUMN(F$1),1),""))</f>
        <v/>
      </c>
      <c r="BM130" s="37" t="str">
        <f t="array" ref="BM130">IF($A130="","",IFERROR(INDEX(CS!$B$1:$B$15025,MATCH($A130,CS!$B:$B,0)+COLUMN(G$1),1),""))</f>
        <v>重打</v>
      </c>
      <c r="BN130" s="37" t="str">
        <f t="array" ref="BN130">IF($A130="","",IFERROR(INDEX(CS!$B$1:$B$15025,MATCH($A130,CS!$B:$B,0)+COLUMN(H$1),1),""))</f>
        <v/>
      </c>
      <c r="BO130" s="37" t="str">
        <f t="array" ref="BO130">IF($A130="","",IFERROR(INDEX(CS!$B$1:$B$15025,MATCH($A130,CS!$B:$B,0)+COLUMN(I$1),1),""))</f>
        <v>打撃の極み</v>
      </c>
      <c r="BP130" s="37" t="str">
        <f t="array" ref="BP130">IF($A130="","",IFERROR(INDEX(CS!$B$1:$B$15025,MATCH($A130,CS!$B:$B,0)+COLUMN(J$1),1),""))</f>
        <v>震砕撃</v>
      </c>
      <c r="BR130" s="39" t="s">
        <v>2836</v>
      </c>
      <c r="BS130" s="74"/>
      <c r="BU130" s="39" t="s">
        <v>2837</v>
      </c>
      <c r="CG130" s="37" t="s">
        <v>2798</v>
      </c>
      <c r="CJ130" s="37" t="s">
        <v>2799</v>
      </c>
      <c r="CK130" s="37" t="s">
        <v>2800</v>
      </c>
      <c r="CN130" s="37" t="s">
        <v>1102</v>
      </c>
    </row>
    <row r="131" ht="18.75" customHeight="1" outlineLevel="1">
      <c r="A131" s="39" t="s">
        <v>2181</v>
      </c>
      <c r="B131" s="71"/>
      <c r="C131" s="39" t="s">
        <v>2797</v>
      </c>
      <c r="D131" s="72" t="str">
        <f t="shared" si="3"/>
        <v>735/475/260</v>
      </c>
      <c r="E131" s="39">
        <v>2.0</v>
      </c>
      <c r="F131" s="39">
        <v>90.0</v>
      </c>
      <c r="I131" s="39">
        <v>80.0</v>
      </c>
      <c r="J131" s="39">
        <v>95.0</v>
      </c>
      <c r="K131" s="87">
        <v>25.0</v>
      </c>
      <c r="L131" s="39">
        <v>60.0</v>
      </c>
      <c r="M131" s="39">
        <v>50.0</v>
      </c>
      <c r="N131" s="39">
        <v>75.0</v>
      </c>
      <c r="P131" s="37">
        <v>0.0</v>
      </c>
      <c r="Q131" s="64"/>
      <c r="R131" s="64"/>
      <c r="S131" s="64"/>
      <c r="T131" s="64"/>
      <c r="U131" s="64"/>
      <c r="V131" s="64"/>
      <c r="W131" s="64"/>
      <c r="X131" s="64"/>
      <c r="Y131" s="64"/>
      <c r="Z131" s="64"/>
      <c r="AA131" s="64"/>
      <c r="AJ131" s="37">
        <v>105.0</v>
      </c>
      <c r="AK131" s="37">
        <v>0.0</v>
      </c>
      <c r="AL131" s="37">
        <v>25.0</v>
      </c>
      <c r="AM131" s="37">
        <v>25.0</v>
      </c>
      <c r="AN131" s="37">
        <v>25.0</v>
      </c>
      <c r="AO131" s="37">
        <v>0.0</v>
      </c>
      <c r="AP131" s="37">
        <v>0.0</v>
      </c>
      <c r="AQ131" s="37">
        <v>0.0</v>
      </c>
      <c r="AR131" s="37">
        <v>25.0</v>
      </c>
      <c r="AS131" s="37">
        <v>0.0</v>
      </c>
      <c r="AT131" s="37">
        <v>0.0</v>
      </c>
      <c r="AU131" s="37">
        <v>0.0</v>
      </c>
      <c r="AV131" s="37">
        <v>0.0</v>
      </c>
      <c r="AW131" s="37">
        <v>55.0</v>
      </c>
      <c r="AX131" s="37">
        <v>0.0</v>
      </c>
      <c r="AY131" s="37">
        <v>0.0</v>
      </c>
      <c r="AZ131" s="37">
        <v>0.0</v>
      </c>
      <c r="BG131" s="37" t="str">
        <f t="array" ref="BG131">IF($A131="","",IFERROR(INDEX(CS!$B$1:$B$15025,MATCH($A131,CS!$B:$B,0)+COLUMN(A$1),1),""))</f>
        <v>盾構え</v>
      </c>
      <c r="BH131" s="37" t="str">
        <f t="array" ref="BH131">IF($A131="","",IFERROR(INDEX(CS!$B$1:$B$15025,MATCH($A131,CS!$B:$B,0)+COLUMN(B$1),1),""))</f>
        <v/>
      </c>
      <c r="BI131" s="37" t="str">
        <f t="array" ref="BI131">IF($A131="","",IFERROR(INDEX(CS!$B$1:$B$15025,MATCH($A131,CS!$B:$B,0)+COLUMN(C$1),1),""))</f>
        <v>盾の扱い</v>
      </c>
      <c r="BJ131" s="37" t="str">
        <f t="array" ref="BJ131">IF($A131="","",IFERROR(INDEX(CS!$B$1:$B$15025,MATCH($A131,CS!$B:$B,0)+COLUMN(D$1),1),""))</f>
        <v/>
      </c>
      <c r="BK131" s="37" t="str">
        <f t="array" ref="BK131">IF($A131="","",IFERROR(INDEX(CS!$B$1:$B$15025,MATCH($A131,CS!$B:$B,0)+COLUMN(E$1),1),""))</f>
        <v>盾打ち</v>
      </c>
      <c r="BL131" s="37" t="str">
        <f t="array" ref="BL131">IF($A131="","",IFERROR(INDEX(CS!$B$1:$B$15025,MATCH($A131,CS!$B:$B,0)+COLUMN(F$1),1),""))</f>
        <v/>
      </c>
      <c r="BM131" s="37" t="str">
        <f t="array" ref="BM131">IF($A131="","",IFERROR(INDEX(CS!$B$1:$B$15025,MATCH($A131,CS!$B:$B,0)+COLUMN(G$1),1),""))</f>
        <v>受け流し</v>
      </c>
      <c r="BN131" s="37" t="str">
        <f t="array" ref="BN131">IF($A131="","",IFERROR(INDEX(CS!$B$1:$B$15025,MATCH($A131,CS!$B:$B,0)+COLUMN(H$1),1),""))</f>
        <v/>
      </c>
      <c r="BO131" s="37" t="str">
        <f t="array" ref="BO131">IF($A131="","",IFERROR(INDEX(CS!$B$1:$B$15025,MATCH($A131,CS!$B:$B,0)+COLUMN(I$1),1),""))</f>
        <v>鉄壁</v>
      </c>
      <c r="BP131" s="37" t="str">
        <f t="array" ref="BP131">IF($A131="","",IFERROR(INDEX(CS!$B$1:$B$15025,MATCH($A131,CS!$B:$B,0)+COLUMN(J$1),1),""))</f>
        <v>完全防御</v>
      </c>
      <c r="BR131" s="39" t="s">
        <v>2836</v>
      </c>
      <c r="BS131" s="74"/>
      <c r="BU131" s="39" t="s">
        <v>2837</v>
      </c>
      <c r="CG131" s="37" t="s">
        <v>2802</v>
      </c>
      <c r="CH131" s="37" t="s">
        <v>2803</v>
      </c>
      <c r="CJ131" s="37" t="s">
        <v>2799</v>
      </c>
      <c r="CK131" s="37" t="s">
        <v>2800</v>
      </c>
      <c r="CN131" s="37" t="s">
        <v>1102</v>
      </c>
    </row>
    <row r="132" ht="18.75" customHeight="1">
      <c r="B132" s="71"/>
      <c r="C132" s="39" t="s">
        <v>2797</v>
      </c>
      <c r="D132" s="72"/>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c r="CI132" s="37" t="s">
        <v>2826</v>
      </c>
      <c r="CJ132" s="37" t="s">
        <v>2807</v>
      </c>
      <c r="CK132" s="37" t="s">
        <v>2800</v>
      </c>
    </row>
    <row r="133" ht="18.75" customHeight="1">
      <c r="B133" s="85" t="s">
        <v>2842</v>
      </c>
      <c r="C133" s="39" t="s">
        <v>2797</v>
      </c>
      <c r="D133" s="72" t="str">
        <f t="shared" ref="D133:D139" si="4">SUM(AJ133:AZ133,F133:N133)&amp;"/"&amp;SUM(F133:N133)&amp;"/"&amp;SUM(AJ133:AZ133)</f>
        <v>0/0/0</v>
      </c>
      <c r="E133" s="37">
        <v>1.0</v>
      </c>
      <c r="K133" s="73"/>
      <c r="P133" s="37" t="s">
        <v>29</v>
      </c>
      <c r="Q133" s="64"/>
      <c r="R133" s="64"/>
      <c r="S133" s="64"/>
      <c r="T133" s="64"/>
      <c r="U133" s="64"/>
      <c r="V133" s="64"/>
      <c r="W133" s="64"/>
      <c r="X133" s="64"/>
      <c r="Y133" s="64"/>
      <c r="Z133" s="64"/>
      <c r="AA133" s="64"/>
      <c r="AJ133" s="37" t="s">
        <v>29</v>
      </c>
      <c r="AK133" s="37" t="s">
        <v>29</v>
      </c>
      <c r="AL133" s="37" t="s">
        <v>29</v>
      </c>
      <c r="AM133" s="37" t="s">
        <v>29</v>
      </c>
      <c r="AN133" s="37" t="s">
        <v>29</v>
      </c>
      <c r="AO133" s="37" t="s">
        <v>29</v>
      </c>
      <c r="AP133" s="37" t="s">
        <v>29</v>
      </c>
      <c r="AQ133" s="37" t="s">
        <v>29</v>
      </c>
      <c r="AR133" s="37" t="s">
        <v>29</v>
      </c>
      <c r="AS133" s="37" t="s">
        <v>29</v>
      </c>
      <c r="AT133" s="37" t="s">
        <v>29</v>
      </c>
      <c r="AU133" s="37" t="s">
        <v>29</v>
      </c>
      <c r="AV133" s="37" t="s">
        <v>29</v>
      </c>
      <c r="AW133" s="37" t="s">
        <v>29</v>
      </c>
      <c r="AX133" s="37" t="s">
        <v>29</v>
      </c>
      <c r="AY133" s="37" t="s">
        <v>29</v>
      </c>
      <c r="AZ133" s="37" t="s">
        <v>29</v>
      </c>
      <c r="BG133" s="37" t="str">
        <f t="array" ref="BG133">IF($A133="","", INDEX(CS!$B$1:$B$15025,MATCH($A133,CS!$B:$B,0)+COLUMN(A$1),1))</f>
        <v/>
      </c>
      <c r="BH133" s="37" t="str">
        <f t="array" ref="BH133">IF($A133="","", INDEX(CS!$B$1:$B$15025,MATCH($A133,CS!$B:$B,0)+COLUMN(B$1),1))</f>
        <v/>
      </c>
      <c r="BI133" s="37" t="str">
        <f t="array" ref="BI133">IF($A133="","", INDEX(CS!$B$1:$B$15025,MATCH($A133,CS!$B:$B,0)+COLUMN(C$1),1))</f>
        <v/>
      </c>
      <c r="BJ133" s="37" t="str">
        <f t="array" ref="BJ133">IF($A133="","", INDEX(CS!$B$1:$B$15025,MATCH($A133,CS!$B:$B,0)+COLUMN(D$1),1))</f>
        <v/>
      </c>
      <c r="BK133" s="37" t="str">
        <f t="array" ref="BK133">IF($A133="","", INDEX(CS!$B$1:$B$15025,MATCH($A133,CS!$B:$B,0)+COLUMN(E$1),1))</f>
        <v/>
      </c>
      <c r="BL133" s="37" t="str">
        <f t="array" ref="BL133">IF($A133="","", INDEX(CS!$B$1:$B$15025,MATCH($A133,CS!$B:$B,0)+COLUMN(F$1),1))</f>
        <v/>
      </c>
      <c r="BM133" s="37" t="str">
        <f t="array" ref="BM133">IF($A133="","", INDEX(CS!$B$1:$B$15025,MATCH($A133,CS!$B:$B,0)+COLUMN(G$1),1))</f>
        <v/>
      </c>
      <c r="BN133" s="37" t="str">
        <f t="array" ref="BN133">IF($A133="","", INDEX(CS!$B$1:$B$15025,MATCH($A133,CS!$B:$B,0)+COLUMN(H$1),1))</f>
        <v/>
      </c>
      <c r="BO133" s="37" t="str">
        <f t="array" ref="BO133">IF($A133="","", INDEX(CS!$B$1:$B$15025,MATCH($A133,CS!$B:$B,0)+COLUMN(I$1),1))</f>
        <v/>
      </c>
      <c r="BP133" s="37" t="str">
        <f t="array" ref="BP133">IF($A133="","", INDEX(CS!$B$1:$B$15025,MATCH($A133,CS!$B:$B,0)+COLUMN(J$1),1))</f>
        <v/>
      </c>
      <c r="BS133" s="74"/>
    </row>
    <row r="134" ht="18.75" customHeight="1" outlineLevel="1">
      <c r="A134" s="39" t="s">
        <v>2195</v>
      </c>
      <c r="B134" s="71"/>
      <c r="C134" s="39" t="s">
        <v>2797</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炎の武器</v>
      </c>
      <c r="BH134" s="37" t="str">
        <f t="array" ref="BH134">IF($A134="","",IFERROR(INDEX(CS!$B$1:$B$15025,MATCH($A134,CS!$B:$B,0)+COLUMN(B$1),1),""))</f>
        <v/>
      </c>
      <c r="BI134" s="37" t="str">
        <f t="array" ref="BI134">IF($A134="","",IFERROR(INDEX(CS!$B$1:$B$15025,MATCH($A134,CS!$B:$B,0)+COLUMN(C$1),1),""))</f>
        <v>火炎</v>
      </c>
      <c r="BJ134" s="37" t="str">
        <f t="array" ref="BJ134">IF($A134="","",IFERROR(INDEX(CS!$B$1:$B$15025,MATCH($A134,CS!$B:$B,0)+COLUMN(D$1),1),""))</f>
        <v/>
      </c>
      <c r="BK134" s="37" t="str">
        <f t="array" ref="BK134">IF($A134="","",IFERROR(INDEX(CS!$B$1:$B$15025,MATCH($A134,CS!$B:$B,0)+COLUMN(E$1),1),""))</f>
        <v>炎の適用</v>
      </c>
      <c r="BL134" s="37" t="str">
        <f t="array" ref="BL134">IF($A134="","",IFERROR(INDEX(CS!$B$1:$B$15025,MATCH($A134,CS!$B:$B,0)+COLUMN(F$1),1),""))</f>
        <v/>
      </c>
      <c r="BM134" s="37" t="str">
        <f t="array" ref="BM134">IF($A134="","",IFERROR(INDEX(CS!$B$1:$B$15025,MATCH($A134,CS!$B:$B,0)+COLUMN(G$1),1),""))</f>
        <v>火球</v>
      </c>
      <c r="BN134" s="37" t="str">
        <f t="array" ref="BN134">IF($A134="","",IFERROR(INDEX(CS!$B$1:$B$15025,MATCH($A134,CS!$B:$B,0)+COLUMN(H$1),1),""))</f>
        <v/>
      </c>
      <c r="BO134" s="37" t="str">
        <f t="array" ref="BO134">IF($A134="","",IFERROR(INDEX(CS!$B$1:$B$15025,MATCH($A134,CS!$B:$B,0)+COLUMN(I$1),1),""))</f>
        <v>炎強化</v>
      </c>
      <c r="BP134" s="37" t="str">
        <f t="array" ref="BP134">IF($A134="","",IFERROR(INDEX(CS!$B$1:$B$15025,MATCH($A134,CS!$B:$B,0)+COLUMN(J$1),1),""))</f>
        <v>炎撃</v>
      </c>
      <c r="BR134" s="39" t="s">
        <v>2843</v>
      </c>
      <c r="BS134" s="74"/>
      <c r="CG134" s="37" t="s">
        <v>2798</v>
      </c>
      <c r="CJ134" s="37" t="s">
        <v>2799</v>
      </c>
      <c r="CK134" s="37" t="s">
        <v>2800</v>
      </c>
      <c r="CN134" s="37" t="s">
        <v>1102</v>
      </c>
    </row>
    <row r="135" ht="18.75" customHeight="1" outlineLevel="1">
      <c r="A135" s="39" t="s">
        <v>2202</v>
      </c>
      <c r="B135" s="71"/>
      <c r="C135" s="39" t="s">
        <v>2797</v>
      </c>
      <c r="D135" s="72" t="str">
        <f t="shared" si="4"/>
        <v>760/480/280</v>
      </c>
      <c r="E135" s="39">
        <v>2.0</v>
      </c>
      <c r="F135" s="39">
        <v>75.0</v>
      </c>
      <c r="I135" s="39">
        <v>70.0</v>
      </c>
      <c r="J135" s="39">
        <v>70.0</v>
      </c>
      <c r="K135" s="87">
        <v>60.0</v>
      </c>
      <c r="L135" s="39">
        <v>70.0</v>
      </c>
      <c r="M135" s="39">
        <v>55.0</v>
      </c>
      <c r="N135" s="39">
        <v>80.0</v>
      </c>
      <c r="P135" s="37">
        <v>0.0</v>
      </c>
      <c r="Q135" s="64"/>
      <c r="R135" s="64"/>
      <c r="S135" s="64"/>
      <c r="T135" s="64"/>
      <c r="U135" s="64"/>
      <c r="V135" s="64"/>
      <c r="W135" s="64"/>
      <c r="X135" s="64"/>
      <c r="Y135" s="64"/>
      <c r="Z135" s="64"/>
      <c r="AA135" s="64"/>
      <c r="AJ135" s="37">
        <v>40.0</v>
      </c>
      <c r="AK135" s="37">
        <v>25.0</v>
      </c>
      <c r="AL135" s="37">
        <v>65.0</v>
      </c>
      <c r="AM135" s="37">
        <v>20.0</v>
      </c>
      <c r="AN135" s="37">
        <v>20.0</v>
      </c>
      <c r="AO135" s="37">
        <v>0.0</v>
      </c>
      <c r="AP135" s="37">
        <v>0.0</v>
      </c>
      <c r="AQ135" s="37">
        <v>0.0</v>
      </c>
      <c r="AR135" s="37">
        <v>15.0</v>
      </c>
      <c r="AS135" s="37">
        <v>0.0</v>
      </c>
      <c r="AT135" s="37">
        <v>0.0</v>
      </c>
      <c r="AU135" s="37">
        <v>0.0</v>
      </c>
      <c r="AV135" s="37">
        <v>0.0</v>
      </c>
      <c r="AW135" s="37">
        <v>40.0</v>
      </c>
      <c r="AX135" s="37">
        <v>0.0</v>
      </c>
      <c r="AY135" s="37">
        <v>55.0</v>
      </c>
      <c r="AZ135" s="37">
        <v>0.0</v>
      </c>
      <c r="BG135" s="37" t="str">
        <f t="array" ref="BG135">IF($A135="","",IFERROR(INDEX(CS!$B$1:$B$15025,MATCH($A135,CS!$B:$B,0)+COLUMN(A$1),1),""))</f>
        <v>氷の武器</v>
      </c>
      <c r="BH135" s="37" t="str">
        <f t="array" ref="BH135">IF($A135="","",IFERROR(INDEX(CS!$B$1:$B$15025,MATCH($A135,CS!$B:$B,0)+COLUMN(B$1),1),""))</f>
        <v/>
      </c>
      <c r="BI135" s="37" t="str">
        <f t="array" ref="BI135">IF($A135="","",IFERROR(INDEX(CS!$B$1:$B$15025,MATCH($A135,CS!$B:$B,0)+COLUMN(C$1),1),""))</f>
        <v>冷気の光線</v>
      </c>
      <c r="BJ135" s="37" t="str">
        <f t="array" ref="BJ135">IF($A135="","",IFERROR(INDEX(CS!$B$1:$B$15025,MATCH($A135,CS!$B:$B,0)+COLUMN(D$1),1),""))</f>
        <v/>
      </c>
      <c r="BK135" s="37" t="str">
        <f t="array" ref="BK135">IF($A135="","",IFERROR(INDEX(CS!$B$1:$B$15025,MATCH($A135,CS!$B:$B,0)+COLUMN(E$1),1),""))</f>
        <v>氷の適用</v>
      </c>
      <c r="BL135" s="37" t="str">
        <f t="array" ref="BL135">IF($A135="","",IFERROR(INDEX(CS!$B$1:$B$15025,MATCH($A135,CS!$B:$B,0)+COLUMN(F$1),1),""))</f>
        <v/>
      </c>
      <c r="BM135" s="37" t="str">
        <f t="array" ref="BM135">IF($A135="","",IFERROR(INDEX(CS!$B$1:$B$15025,MATCH($A135,CS!$B:$B,0)+COLUMN(G$1),1),""))</f>
        <v>氷柱弾</v>
      </c>
      <c r="BN135" s="37" t="str">
        <f t="array" ref="BN135">IF($A135="","",IFERROR(INDEX(CS!$B$1:$B$15025,MATCH($A135,CS!$B:$B,0)+COLUMN(H$1),1),""))</f>
        <v/>
      </c>
      <c r="BO135" s="37" t="str">
        <f t="array" ref="BO135">IF($A135="","",IFERROR(INDEX(CS!$B$1:$B$15025,MATCH($A135,CS!$B:$B,0)+COLUMN(I$1),1),""))</f>
        <v>氷強化</v>
      </c>
      <c r="BP135" s="37" t="str">
        <f t="array" ref="BP135">IF($A135="","",IFERROR(INDEX(CS!$B$1:$B$15025,MATCH($A135,CS!$B:$B,0)+COLUMN(J$1),1),""))</f>
        <v>氷結撃</v>
      </c>
      <c r="BR135" s="39" t="s">
        <v>2843</v>
      </c>
      <c r="BS135" s="74"/>
      <c r="CG135" s="37" t="s">
        <v>2798</v>
      </c>
      <c r="CJ135" s="37" t="s">
        <v>2799</v>
      </c>
      <c r="CK135" s="37" t="s">
        <v>2800</v>
      </c>
      <c r="CN135" s="37" t="s">
        <v>1102</v>
      </c>
    </row>
    <row r="136" ht="18.75" customHeight="1" outlineLevel="1">
      <c r="A136" s="39" t="s">
        <v>2209</v>
      </c>
      <c r="B136" s="71"/>
      <c r="C136" s="39" t="s">
        <v>2797</v>
      </c>
      <c r="D136" s="72" t="str">
        <f t="shared" si="4"/>
        <v>760/480/280</v>
      </c>
      <c r="E136" s="39">
        <v>2.0</v>
      </c>
      <c r="F136" s="39">
        <v>75.0</v>
      </c>
      <c r="I136" s="39">
        <v>70.0</v>
      </c>
      <c r="J136" s="39">
        <v>70.0</v>
      </c>
      <c r="K136" s="87">
        <v>60.0</v>
      </c>
      <c r="L136" s="39">
        <v>70.0</v>
      </c>
      <c r="M136" s="39">
        <v>55.0</v>
      </c>
      <c r="N136" s="39">
        <v>80.0</v>
      </c>
      <c r="P136" s="37">
        <v>0.0</v>
      </c>
      <c r="Q136" s="64"/>
      <c r="R136" s="64"/>
      <c r="S136" s="64"/>
      <c r="T136" s="64"/>
      <c r="U136" s="64"/>
      <c r="V136" s="64"/>
      <c r="W136" s="64"/>
      <c r="X136" s="64"/>
      <c r="Y136" s="64"/>
      <c r="Z136" s="64"/>
      <c r="AA136" s="64"/>
      <c r="AJ136" s="37">
        <v>40.0</v>
      </c>
      <c r="AK136" s="37">
        <v>25.0</v>
      </c>
      <c r="AL136" s="37">
        <v>65.0</v>
      </c>
      <c r="AM136" s="37">
        <v>20.0</v>
      </c>
      <c r="AN136" s="37">
        <v>20.0</v>
      </c>
      <c r="AO136" s="37">
        <v>0.0</v>
      </c>
      <c r="AP136" s="37">
        <v>0.0</v>
      </c>
      <c r="AQ136" s="37">
        <v>0.0</v>
      </c>
      <c r="AR136" s="37">
        <v>15.0</v>
      </c>
      <c r="AS136" s="37">
        <v>0.0</v>
      </c>
      <c r="AT136" s="37">
        <v>0.0</v>
      </c>
      <c r="AU136" s="37">
        <v>0.0</v>
      </c>
      <c r="AV136" s="37">
        <v>0.0</v>
      </c>
      <c r="AW136" s="37">
        <v>40.0</v>
      </c>
      <c r="AX136" s="37">
        <v>0.0</v>
      </c>
      <c r="AY136" s="37">
        <v>55.0</v>
      </c>
      <c r="AZ136" s="37">
        <v>0.0</v>
      </c>
      <c r="BG136" s="37" t="str">
        <f t="array" ref="BG136">IF($A136="","",IFERROR(INDEX(CS!$B$1:$B$15025,MATCH($A136,CS!$B:$B,0)+COLUMN(A$1),1),""))</f>
        <v>雷の武器</v>
      </c>
      <c r="BH136" s="37" t="str">
        <f t="array" ref="BH136">IF($A136="","",IFERROR(INDEX(CS!$B$1:$B$15025,MATCH($A136,CS!$B:$B,0)+COLUMN(B$1),1),""))</f>
        <v/>
      </c>
      <c r="BI136" s="37" t="str">
        <f t="array" ref="BI136">IF($A136="","",IFERROR(INDEX(CS!$B$1:$B$15025,MATCH($A136,CS!$B:$B,0)+COLUMN(C$1),1),""))</f>
        <v>放電</v>
      </c>
      <c r="BJ136" s="37" t="str">
        <f t="array" ref="BJ136">IF($A136="","",IFERROR(INDEX(CS!$B$1:$B$15025,MATCH($A136,CS!$B:$B,0)+COLUMN(D$1),1),""))</f>
        <v/>
      </c>
      <c r="BK136" s="37" t="str">
        <f t="array" ref="BK136">IF($A136="","",IFERROR(INDEX(CS!$B$1:$B$15025,MATCH($A136,CS!$B:$B,0)+COLUMN(E$1),1),""))</f>
        <v>雷の適用</v>
      </c>
      <c r="BL136" s="37" t="str">
        <f t="array" ref="BL136">IF($A136="","",IFERROR(INDEX(CS!$B$1:$B$15025,MATCH($A136,CS!$B:$B,0)+COLUMN(F$1),1),""))</f>
        <v/>
      </c>
      <c r="BM136" s="37" t="str">
        <f t="array" ref="BM136">IF($A136="","",IFERROR(INDEX(CS!$B$1:$B$15025,MATCH($A136,CS!$B:$B,0)+COLUMN(G$1),1),""))</f>
        <v>電弧放電</v>
      </c>
      <c r="BN136" s="37" t="str">
        <f t="array" ref="BN136">IF($A136="","",IFERROR(INDEX(CS!$B$1:$B$15025,MATCH($A136,CS!$B:$B,0)+COLUMN(H$1),1),""))</f>
        <v/>
      </c>
      <c r="BO136" s="37" t="str">
        <f t="array" ref="BO136">IF($A136="","",IFERROR(INDEX(CS!$B$1:$B$15025,MATCH($A136,CS!$B:$B,0)+COLUMN(I$1),1),""))</f>
        <v>雷強化</v>
      </c>
      <c r="BP136" s="37" t="str">
        <f t="array" ref="BP136">IF($A136="","",IFERROR(INDEX(CS!$B$1:$B$15025,MATCH($A136,CS!$B:$B,0)+COLUMN(J$1),1),""))</f>
        <v>雷鳴撃</v>
      </c>
      <c r="BR136" s="39" t="s">
        <v>2843</v>
      </c>
      <c r="BS136" s="74"/>
      <c r="CG136" s="37" t="s">
        <v>2798</v>
      </c>
      <c r="CJ136" s="37" t="s">
        <v>2799</v>
      </c>
      <c r="CK136" s="37" t="s">
        <v>2800</v>
      </c>
      <c r="CN136" s="37" t="s">
        <v>1102</v>
      </c>
    </row>
    <row r="137" ht="18.75" customHeight="1" outlineLevel="1">
      <c r="A137" s="39" t="s">
        <v>2216</v>
      </c>
      <c r="B137" s="71"/>
      <c r="C137" s="39" t="s">
        <v>2797</v>
      </c>
      <c r="D137" s="72" t="str">
        <f t="shared" si="4"/>
        <v>760/480/280</v>
      </c>
      <c r="E137" s="39">
        <v>2.0</v>
      </c>
      <c r="F137" s="39">
        <v>75.0</v>
      </c>
      <c r="I137" s="39">
        <v>70.0</v>
      </c>
      <c r="J137" s="39">
        <v>70.0</v>
      </c>
      <c r="K137" s="87">
        <v>60.0</v>
      </c>
      <c r="L137" s="39">
        <v>70.0</v>
      </c>
      <c r="M137" s="39">
        <v>55.0</v>
      </c>
      <c r="N137" s="39">
        <v>80.0</v>
      </c>
      <c r="P137" s="37">
        <v>0.0</v>
      </c>
      <c r="Q137" s="64"/>
      <c r="R137" s="64"/>
      <c r="S137" s="64"/>
      <c r="T137" s="64"/>
      <c r="U137" s="64"/>
      <c r="V137" s="64"/>
      <c r="W137" s="64"/>
      <c r="X137" s="64"/>
      <c r="Y137" s="64"/>
      <c r="Z137" s="64"/>
      <c r="AA137" s="64"/>
      <c r="AJ137" s="37">
        <v>40.0</v>
      </c>
      <c r="AK137" s="37">
        <v>25.0</v>
      </c>
      <c r="AL137" s="37">
        <v>65.0</v>
      </c>
      <c r="AM137" s="37">
        <v>20.0</v>
      </c>
      <c r="AN137" s="37">
        <v>20.0</v>
      </c>
      <c r="AO137" s="37">
        <v>0.0</v>
      </c>
      <c r="AP137" s="37">
        <v>0.0</v>
      </c>
      <c r="AQ137" s="37">
        <v>0.0</v>
      </c>
      <c r="AR137" s="37">
        <v>15.0</v>
      </c>
      <c r="AS137" s="37">
        <v>0.0</v>
      </c>
      <c r="AT137" s="37">
        <v>0.0</v>
      </c>
      <c r="AU137" s="37">
        <v>0.0</v>
      </c>
      <c r="AV137" s="37">
        <v>0.0</v>
      </c>
      <c r="AW137" s="37">
        <v>40.0</v>
      </c>
      <c r="AX137" s="37">
        <v>0.0</v>
      </c>
      <c r="AY137" s="37">
        <v>55.0</v>
      </c>
      <c r="AZ137" s="37">
        <v>0.0</v>
      </c>
      <c r="BG137" s="37" t="str">
        <f t="array" ref="BG137">IF($A137="","",IFERROR(INDEX(CS!$B$1:$B$15025,MATCH($A137,CS!$B:$B,0)+COLUMN(A$1),1),""))</f>
        <v>酸の武器</v>
      </c>
      <c r="BH137" s="37" t="str">
        <f t="array" ref="BH137">IF($A137="","",IFERROR(INDEX(CS!$B$1:$B$15025,MATCH($A137,CS!$B:$B,0)+COLUMN(B$1),1),""))</f>
        <v/>
      </c>
      <c r="BI137" s="37" t="str">
        <f t="array" ref="BI137">IF($A137="","",IFERROR(INDEX(CS!$B$1:$B$15025,MATCH($A137,CS!$B:$B,0)+COLUMN(C$1),1),""))</f>
        <v>酸滴</v>
      </c>
      <c r="BJ137" s="37" t="str">
        <f t="array" ref="BJ137">IF($A137="","",IFERROR(INDEX(CS!$B$1:$B$15025,MATCH($A137,CS!$B:$B,0)+COLUMN(D$1),1),""))</f>
        <v/>
      </c>
      <c r="BK137" s="37" t="str">
        <f t="array" ref="BK137">IF($A137="","",IFERROR(INDEX(CS!$B$1:$B$15025,MATCH($A137,CS!$B:$B,0)+COLUMN(E$1),1),""))</f>
        <v>毒の適用</v>
      </c>
      <c r="BL137" s="37" t="str">
        <f t="array" ref="BL137">IF($A137="","",IFERROR(INDEX(CS!$B$1:$B$15025,MATCH($A137,CS!$B:$B,0)+COLUMN(F$1),1),""))</f>
        <v/>
      </c>
      <c r="BM137" s="37" t="str">
        <f t="array" ref="BM137">IF($A137="","",IFERROR(INDEX(CS!$B$1:$B$15025,MATCH($A137,CS!$B:$B,0)+COLUMN(G$1),1),""))</f>
        <v>酸の落流</v>
      </c>
      <c r="BN137" s="37" t="str">
        <f t="array" ref="BN137">IF($A137="","",IFERROR(INDEX(CS!$B$1:$B$15025,MATCH($A137,CS!$B:$B,0)+COLUMN(H$1),1),""))</f>
        <v/>
      </c>
      <c r="BO137" s="37" t="str">
        <f t="array" ref="BO137">IF($A137="","",IFERROR(INDEX(CS!$B$1:$B$15025,MATCH($A137,CS!$B:$B,0)+COLUMN(I$1),1),""))</f>
        <v>毒強化</v>
      </c>
      <c r="BP137" s="37" t="str">
        <f t="array" ref="BP137">IF($A137="","",IFERROR(INDEX(CS!$B$1:$B$15025,MATCH($A137,CS!$B:$B,0)+COLUMN(J$1),1),""))</f>
        <v>腐食撃</v>
      </c>
      <c r="BR137" s="39" t="s">
        <v>2843</v>
      </c>
      <c r="BS137" s="74"/>
      <c r="CG137" s="37" t="s">
        <v>2798</v>
      </c>
      <c r="CJ137" s="37" t="s">
        <v>2799</v>
      </c>
      <c r="CK137" s="37" t="s">
        <v>2800</v>
      </c>
      <c r="CN137" s="37" t="s">
        <v>1102</v>
      </c>
    </row>
    <row r="138" ht="18.75" customHeight="1" outlineLevel="1">
      <c r="A138" s="39" t="s">
        <v>2223</v>
      </c>
      <c r="B138" s="71"/>
      <c r="C138" s="39" t="s">
        <v>2797</v>
      </c>
      <c r="D138" s="72" t="str">
        <f t="shared" si="4"/>
        <v>760/480/280</v>
      </c>
      <c r="E138" s="39">
        <v>2.0</v>
      </c>
      <c r="F138" s="39">
        <v>75.0</v>
      </c>
      <c r="I138" s="39">
        <v>70.0</v>
      </c>
      <c r="J138" s="39">
        <v>70.0</v>
      </c>
      <c r="K138" s="87">
        <v>60.0</v>
      </c>
      <c r="L138" s="39">
        <v>70.0</v>
      </c>
      <c r="M138" s="39">
        <v>55.0</v>
      </c>
      <c r="N138" s="39">
        <v>80.0</v>
      </c>
      <c r="P138" s="37">
        <v>0.0</v>
      </c>
      <c r="Q138" s="64"/>
      <c r="R138" s="64"/>
      <c r="S138" s="64"/>
      <c r="T138" s="64"/>
      <c r="U138" s="64"/>
      <c r="V138" s="64"/>
      <c r="W138" s="64"/>
      <c r="X138" s="64"/>
      <c r="Y138" s="64"/>
      <c r="Z138" s="64"/>
      <c r="AA138" s="64"/>
      <c r="AJ138" s="37">
        <v>40.0</v>
      </c>
      <c r="AK138" s="37">
        <v>25.0</v>
      </c>
      <c r="AL138" s="37">
        <v>65.0</v>
      </c>
      <c r="AM138" s="37">
        <v>20.0</v>
      </c>
      <c r="AN138" s="37">
        <v>20.0</v>
      </c>
      <c r="AO138" s="37">
        <v>0.0</v>
      </c>
      <c r="AP138" s="37">
        <v>0.0</v>
      </c>
      <c r="AQ138" s="37">
        <v>0.0</v>
      </c>
      <c r="AR138" s="37">
        <v>15.0</v>
      </c>
      <c r="AS138" s="37">
        <v>0.0</v>
      </c>
      <c r="AT138" s="37">
        <v>0.0</v>
      </c>
      <c r="AU138" s="37">
        <v>0.0</v>
      </c>
      <c r="AV138" s="37">
        <v>0.0</v>
      </c>
      <c r="AW138" s="37">
        <v>40.0</v>
      </c>
      <c r="AX138" s="37">
        <v>0.0</v>
      </c>
      <c r="AY138" s="37">
        <v>55.0</v>
      </c>
      <c r="AZ138" s="37">
        <v>0.0</v>
      </c>
      <c r="BG138" s="37" t="str">
        <f t="array" ref="BG138">IF($A138="","",IFERROR(INDEX(CS!$B$1:$B$15025,MATCH($A138,CS!$B:$B,0)+COLUMN(A$1),1),""))</f>
        <v>風の武器</v>
      </c>
      <c r="BH138" s="37" t="str">
        <f t="array" ref="BH138">IF($A138="","",IFERROR(INDEX(CS!$B$1:$B$15025,MATCH($A138,CS!$B:$B,0)+COLUMN(B$1),1),""))</f>
        <v/>
      </c>
      <c r="BI138" s="37" t="str">
        <f t="array" ref="BI138">IF($A138="","",IFERROR(INDEX(CS!$B$1:$B$15025,MATCH($A138,CS!$B:$B,0)+COLUMN(C$1),1),""))</f>
        <v>突風</v>
      </c>
      <c r="BJ138" s="37" t="str">
        <f t="array" ref="BJ138">IF($A138="","",IFERROR(INDEX(CS!$B$1:$B$15025,MATCH($A138,CS!$B:$B,0)+COLUMN(D$1),1),""))</f>
        <v/>
      </c>
      <c r="BK138" s="37" t="str">
        <f t="array" ref="BK138">IF($A138="","",IFERROR(INDEX(CS!$B$1:$B$15025,MATCH($A138,CS!$B:$B,0)+COLUMN(E$1),1),""))</f>
        <v>風の適用</v>
      </c>
      <c r="BL138" s="37" t="str">
        <f t="array" ref="BL138">IF($A138="","",IFERROR(INDEX(CS!$B$1:$B$15025,MATCH($A138,CS!$B:$B,0)+COLUMN(F$1),1),""))</f>
        <v/>
      </c>
      <c r="BM138" s="37" t="str">
        <f t="array" ref="BM138">IF($A138="","",IFERROR(INDEX(CS!$B$1:$B$15025,MATCH($A138,CS!$B:$B,0)+COLUMN(G$1),1),""))</f>
        <v>上昇烈風</v>
      </c>
      <c r="BN138" s="37" t="str">
        <f t="array" ref="BN138">IF($A138="","",IFERROR(INDEX(CS!$B$1:$B$15025,MATCH($A138,CS!$B:$B,0)+COLUMN(H$1),1),""))</f>
        <v/>
      </c>
      <c r="BO138" s="37" t="str">
        <f t="array" ref="BO138">IF($A138="","",IFERROR(INDEX(CS!$B$1:$B$15025,MATCH($A138,CS!$B:$B,0)+COLUMN(I$1),1),""))</f>
        <v>風強化</v>
      </c>
      <c r="BP138" s="37" t="str">
        <f t="array" ref="BP138">IF($A138="","",IFERROR(INDEX(CS!$B$1:$B$15025,MATCH($A138,CS!$B:$B,0)+COLUMN(J$1),1),""))</f>
        <v>烈風撃</v>
      </c>
      <c r="BR138" s="39" t="s">
        <v>2843</v>
      </c>
      <c r="BS138" s="74"/>
      <c r="CG138" s="37" t="s">
        <v>2798</v>
      </c>
      <c r="CJ138" s="37" t="s">
        <v>2799</v>
      </c>
      <c r="CK138" s="37" t="s">
        <v>2800</v>
      </c>
      <c r="CN138" s="37" t="s">
        <v>1102</v>
      </c>
    </row>
    <row r="139" ht="18.75" customHeight="1" outlineLevel="1">
      <c r="A139" s="39" t="s">
        <v>2228</v>
      </c>
      <c r="B139" s="71"/>
      <c r="C139" s="39" t="s">
        <v>2797</v>
      </c>
      <c r="D139" s="72" t="str">
        <f t="shared" si="4"/>
        <v>760/480/280</v>
      </c>
      <c r="E139" s="39">
        <v>2.0</v>
      </c>
      <c r="F139" s="39">
        <v>75.0</v>
      </c>
      <c r="I139" s="39">
        <v>70.0</v>
      </c>
      <c r="J139" s="39">
        <v>70.0</v>
      </c>
      <c r="K139" s="87">
        <v>60.0</v>
      </c>
      <c r="L139" s="39">
        <v>70.0</v>
      </c>
      <c r="M139" s="39">
        <v>55.0</v>
      </c>
      <c r="N139" s="39">
        <v>80.0</v>
      </c>
      <c r="P139" s="37">
        <v>0.0</v>
      </c>
      <c r="Q139" s="64"/>
      <c r="R139" s="64"/>
      <c r="S139" s="64"/>
      <c r="T139" s="64"/>
      <c r="U139" s="64"/>
      <c r="V139" s="64"/>
      <c r="W139" s="64"/>
      <c r="X139" s="64"/>
      <c r="Y139" s="64"/>
      <c r="Z139" s="64"/>
      <c r="AA139" s="64"/>
      <c r="AJ139" s="37">
        <v>40.0</v>
      </c>
      <c r="AK139" s="37">
        <v>25.0</v>
      </c>
      <c r="AL139" s="37">
        <v>65.0</v>
      </c>
      <c r="AM139" s="37">
        <v>20.0</v>
      </c>
      <c r="AN139" s="37">
        <v>20.0</v>
      </c>
      <c r="AO139" s="37">
        <v>0.0</v>
      </c>
      <c r="AP139" s="37">
        <v>0.0</v>
      </c>
      <c r="AQ139" s="37">
        <v>0.0</v>
      </c>
      <c r="AR139" s="37">
        <v>15.0</v>
      </c>
      <c r="AS139" s="37">
        <v>0.0</v>
      </c>
      <c r="AT139" s="37">
        <v>0.0</v>
      </c>
      <c r="AU139" s="37">
        <v>0.0</v>
      </c>
      <c r="AV139" s="37">
        <v>0.0</v>
      </c>
      <c r="AW139" s="37">
        <v>40.0</v>
      </c>
      <c r="AX139" s="37">
        <v>0.0</v>
      </c>
      <c r="AY139" s="37">
        <v>55.0</v>
      </c>
      <c r="AZ139" s="37">
        <v>0.0</v>
      </c>
      <c r="BG139" s="37" t="str">
        <f t="array" ref="BG139">IF($A139="","",IFERROR(INDEX(CS!$B$1:$B$15025,MATCH($A139,CS!$B:$B,0)+COLUMN(A$1),1),""))</f>
        <v>岩の武器</v>
      </c>
      <c r="BH139" s="37" t="str">
        <f t="array" ref="BH139">IF($A139="","",IFERROR(INDEX(CS!$B$1:$B$15025,MATCH($A139,CS!$B:$B,0)+COLUMN(B$1),1),""))</f>
        <v/>
      </c>
      <c r="BI139" s="37" t="str">
        <f t="array" ref="BI139">IF($A139="","",IFERROR(INDEX(CS!$B$1:$B$15025,MATCH($A139,CS!$B:$B,0)+COLUMN(C$1),1),""))</f>
        <v>魔法の石</v>
      </c>
      <c r="BJ139" s="37" t="str">
        <f t="array" ref="BJ139">IF($A139="","",IFERROR(INDEX(CS!$B$1:$B$15025,MATCH($A139,CS!$B:$B,0)+COLUMN(D$1),1),""))</f>
        <v/>
      </c>
      <c r="BK139" s="37" t="str">
        <f t="array" ref="BK139">IF($A139="","",IFERROR(INDEX(CS!$B$1:$B$15025,MATCH($A139,CS!$B:$B,0)+COLUMN(E$1),1),""))</f>
        <v>石の適用</v>
      </c>
      <c r="BL139" s="37" t="str">
        <f t="array" ref="BL139">IF($A139="","",IFERROR(INDEX(CS!$B$1:$B$15025,MATCH($A139,CS!$B:$B,0)+COLUMN(F$1),1),""))</f>
        <v/>
      </c>
      <c r="BM139" s="37" t="str">
        <f t="array" ref="BM139">IF($A139="","",IFERROR(INDEX(CS!$B$1:$B$15025,MATCH($A139,CS!$B:$B,0)+COLUMN(G$1),1),""))</f>
        <v>水晶片</v>
      </c>
      <c r="BN139" s="37" t="str">
        <f t="array" ref="BN139">IF($A139="","",IFERROR(INDEX(CS!$B$1:$B$15025,MATCH($A139,CS!$B:$B,0)+COLUMN(H$1),1),""))</f>
        <v/>
      </c>
      <c r="BO139" s="37" t="str">
        <f t="array" ref="BO139">IF($A139="","",IFERROR(INDEX(CS!$B$1:$B$15025,MATCH($A139,CS!$B:$B,0)+COLUMN(I$1),1),""))</f>
        <v>地強化</v>
      </c>
      <c r="BP139" s="37" t="str">
        <f t="array" ref="BP139">IF($A139="","",IFERROR(INDEX(CS!$B$1:$B$15025,MATCH($A139,CS!$B:$B,0)+COLUMN(J$1),1),""))</f>
        <v>岩砕撃</v>
      </c>
      <c r="BR139" s="39" t="s">
        <v>2843</v>
      </c>
      <c r="BS139" s="74"/>
      <c r="CG139" s="37" t="s">
        <v>2798</v>
      </c>
      <c r="CJ139" s="37" t="s">
        <v>2799</v>
      </c>
      <c r="CK139" s="37" t="s">
        <v>2800</v>
      </c>
      <c r="CN139" s="37" t="s">
        <v>1102</v>
      </c>
    </row>
    <row r="140" ht="18.75" customHeight="1">
      <c r="B140" s="71"/>
      <c r="D140" s="72"/>
      <c r="K140" s="73"/>
      <c r="P140" s="37" t="s">
        <v>29</v>
      </c>
      <c r="Q140" s="64"/>
      <c r="R140" s="64"/>
      <c r="S140" s="64"/>
      <c r="T140" s="64"/>
      <c r="U140" s="64"/>
      <c r="V140" s="64"/>
      <c r="W140" s="64"/>
      <c r="X140" s="64"/>
      <c r="Y140" s="64"/>
      <c r="Z140" s="64"/>
      <c r="AA140" s="64"/>
      <c r="AJ140" s="37" t="s">
        <v>29</v>
      </c>
      <c r="AK140" s="37" t="s">
        <v>29</v>
      </c>
      <c r="AL140" s="37" t="s">
        <v>29</v>
      </c>
      <c r="AM140" s="37" t="s">
        <v>29</v>
      </c>
      <c r="AN140" s="37" t="s">
        <v>29</v>
      </c>
      <c r="AO140" s="37" t="s">
        <v>29</v>
      </c>
      <c r="AP140" s="37" t="s">
        <v>29</v>
      </c>
      <c r="AQ140" s="37" t="s">
        <v>29</v>
      </c>
      <c r="AR140" s="37" t="s">
        <v>29</v>
      </c>
      <c r="AS140" s="37" t="s">
        <v>29</v>
      </c>
      <c r="AT140" s="37" t="s">
        <v>29</v>
      </c>
      <c r="AU140" s="37" t="s">
        <v>29</v>
      </c>
      <c r="AV140" s="37" t="s">
        <v>29</v>
      </c>
      <c r="AW140" s="37" t="s">
        <v>29</v>
      </c>
      <c r="AX140" s="37" t="s">
        <v>29</v>
      </c>
      <c r="AY140" s="37" t="s">
        <v>29</v>
      </c>
      <c r="AZ140" s="37" t="s">
        <v>29</v>
      </c>
      <c r="BG140" s="37" t="str">
        <f t="array" ref="BG140">IF($A140="","", INDEX(CS!$B$1:$B$15025,MATCH($A140,CS!$B:$B,0)+COLUMN(A$1),1))</f>
        <v/>
      </c>
      <c r="BH140" s="37" t="str">
        <f t="array" ref="BH140">IF($A140="","", INDEX(CS!$B$1:$B$15025,MATCH($A140,CS!$B:$B,0)+COLUMN(B$1),1))</f>
        <v/>
      </c>
      <c r="BI140" s="37" t="str">
        <f t="array" ref="BI140">IF($A140="","", INDEX(CS!$B$1:$B$15025,MATCH($A140,CS!$B:$B,0)+COLUMN(C$1),1))</f>
        <v/>
      </c>
      <c r="BJ140" s="37" t="str">
        <f t="array" ref="BJ140">IF($A140="","", INDEX(CS!$B$1:$B$15025,MATCH($A140,CS!$B:$B,0)+COLUMN(D$1),1))</f>
        <v/>
      </c>
      <c r="BK140" s="37" t="str">
        <f t="array" ref="BK140">IF($A140="","", INDEX(CS!$B$1:$B$15025,MATCH($A140,CS!$B:$B,0)+COLUMN(E$1),1))</f>
        <v/>
      </c>
      <c r="BL140" s="37" t="str">
        <f t="array" ref="BL140">IF($A140="","", INDEX(CS!$B$1:$B$15025,MATCH($A140,CS!$B:$B,0)+COLUMN(F$1),1))</f>
        <v/>
      </c>
      <c r="BM140" s="37" t="str">
        <f t="array" ref="BM140">IF($A140="","", INDEX(CS!$B$1:$B$15025,MATCH($A140,CS!$B:$B,0)+COLUMN(G$1),1))</f>
        <v/>
      </c>
      <c r="BN140" s="37" t="str">
        <f t="array" ref="BN140">IF($A140="","", INDEX(CS!$B$1:$B$15025,MATCH($A140,CS!$B:$B,0)+COLUMN(H$1),1))</f>
        <v/>
      </c>
      <c r="BO140" s="37" t="str">
        <f t="array" ref="BO140">IF($A140="","", INDEX(CS!$B$1:$B$15025,MATCH($A140,CS!$B:$B,0)+COLUMN(I$1),1))</f>
        <v/>
      </c>
      <c r="BP140" s="37" t="str">
        <f t="array" ref="BP140">IF($A140="","", INDEX(CS!$B$1:$B$15025,MATCH($A140,CS!$B:$B,0)+COLUMN(J$1),1))</f>
        <v/>
      </c>
      <c r="BS140" s="74"/>
      <c r="CI140" s="37" t="s">
        <v>2826</v>
      </c>
      <c r="CJ140" s="37" t="s">
        <v>2807</v>
      </c>
      <c r="CK140" s="37" t="s">
        <v>2800</v>
      </c>
    </row>
    <row r="141" ht="18.75" customHeight="1">
      <c r="B141" s="85" t="s">
        <v>2844</v>
      </c>
      <c r="D141" s="72" t="str">
        <f t="shared" ref="D141:D151" si="5">SUM(AJ141:AZ141,F141:N141)&amp;"/"&amp;SUM(F141:N141)&amp;"/"&amp;SUM(AJ141:AZ141)</f>
        <v>0/0/0</v>
      </c>
      <c r="E141" s="37">
        <v>1.0</v>
      </c>
      <c r="K141" s="73"/>
      <c r="P141" s="37" t="s">
        <v>29</v>
      </c>
      <c r="Q141" s="64"/>
      <c r="R141" s="64"/>
      <c r="S141" s="64"/>
      <c r="T141" s="64"/>
      <c r="U141" s="64"/>
      <c r="V141" s="64"/>
      <c r="W141" s="64"/>
      <c r="X141" s="64"/>
      <c r="Y141" s="64"/>
      <c r="Z141" s="64"/>
      <c r="AA141" s="64"/>
      <c r="AJ141" s="37" t="s">
        <v>29</v>
      </c>
      <c r="AK141" s="37" t="s">
        <v>29</v>
      </c>
      <c r="AL141" s="37" t="s">
        <v>29</v>
      </c>
      <c r="AM141" s="37" t="s">
        <v>29</v>
      </c>
      <c r="AN141" s="37" t="s">
        <v>29</v>
      </c>
      <c r="AO141" s="37" t="s">
        <v>29</v>
      </c>
      <c r="AP141" s="37" t="s">
        <v>29</v>
      </c>
      <c r="AQ141" s="37" t="s">
        <v>29</v>
      </c>
      <c r="AR141" s="37" t="s">
        <v>29</v>
      </c>
      <c r="AS141" s="37" t="s">
        <v>29</v>
      </c>
      <c r="AT141" s="37" t="s">
        <v>29</v>
      </c>
      <c r="AU141" s="37" t="s">
        <v>29</v>
      </c>
      <c r="AV141" s="37" t="s">
        <v>29</v>
      </c>
      <c r="AW141" s="37" t="s">
        <v>29</v>
      </c>
      <c r="AX141" s="37" t="s">
        <v>29</v>
      </c>
      <c r="AY141" s="37" t="s">
        <v>29</v>
      </c>
      <c r="AZ141" s="37" t="s">
        <v>29</v>
      </c>
      <c r="BG141" s="37" t="str">
        <f t="array" ref="BG141">IF($A141="","", INDEX(CS!$B$1:$B$15025,MATCH($A141,CS!$B:$B,0)+COLUMN(A$1),1))</f>
        <v/>
      </c>
      <c r="BH141" s="37" t="str">
        <f t="array" ref="BH141">IF($A141="","", INDEX(CS!$B$1:$B$15025,MATCH($A141,CS!$B:$B,0)+COLUMN(B$1),1))</f>
        <v/>
      </c>
      <c r="BI141" s="37" t="str">
        <f t="array" ref="BI141">IF($A141="","", INDEX(CS!$B$1:$B$15025,MATCH($A141,CS!$B:$B,0)+COLUMN(C$1),1))</f>
        <v/>
      </c>
      <c r="BJ141" s="37" t="str">
        <f t="array" ref="BJ141">IF($A141="","", INDEX(CS!$B$1:$B$15025,MATCH($A141,CS!$B:$B,0)+COLUMN(D$1),1))</f>
        <v/>
      </c>
      <c r="BK141" s="37" t="str">
        <f t="array" ref="BK141">IF($A141="","", INDEX(CS!$B$1:$B$15025,MATCH($A141,CS!$B:$B,0)+COLUMN(E$1),1))</f>
        <v/>
      </c>
      <c r="BL141" s="37" t="str">
        <f t="array" ref="BL141">IF($A141="","", INDEX(CS!$B$1:$B$15025,MATCH($A141,CS!$B:$B,0)+COLUMN(F$1),1))</f>
        <v/>
      </c>
      <c r="BM141" s="37" t="str">
        <f t="array" ref="BM141">IF($A141="","", INDEX(CS!$B$1:$B$15025,MATCH($A141,CS!$B:$B,0)+COLUMN(G$1),1))</f>
        <v/>
      </c>
      <c r="BN141" s="37" t="str">
        <f t="array" ref="BN141">IF($A141="","", INDEX(CS!$B$1:$B$15025,MATCH($A141,CS!$B:$B,0)+COLUMN(H$1),1))</f>
        <v/>
      </c>
      <c r="BO141" s="37" t="str">
        <f t="array" ref="BO141">IF($A141="","", INDEX(CS!$B$1:$B$15025,MATCH($A141,CS!$B:$B,0)+COLUMN(I$1),1))</f>
        <v/>
      </c>
      <c r="BP141" s="37" t="str">
        <f t="array" ref="BP141">IF($A141="","", INDEX(CS!$B$1:$B$15025,MATCH($A141,CS!$B:$B,0)+COLUMN(J$1),1))</f>
        <v/>
      </c>
      <c r="BS141" s="74"/>
    </row>
    <row r="142" ht="18.75" customHeight="1" outlineLevel="1">
      <c r="A142" s="37" t="s">
        <v>2234</v>
      </c>
      <c r="B142" s="71" t="s">
        <v>2235</v>
      </c>
      <c r="C142" s="39" t="s">
        <v>2810</v>
      </c>
      <c r="D142" s="72" t="str">
        <f t="shared" si="5"/>
        <v>710/445/265</v>
      </c>
      <c r="E142" s="37">
        <v>1.0</v>
      </c>
      <c r="F142" s="37">
        <v>75.0</v>
      </c>
      <c r="I142" s="37">
        <v>75.0</v>
      </c>
      <c r="J142" s="37">
        <v>50.0</v>
      </c>
      <c r="K142" s="73">
        <v>25.0</v>
      </c>
      <c r="L142" s="37">
        <v>50.0</v>
      </c>
      <c r="M142" s="37">
        <v>85.0</v>
      </c>
      <c r="N142" s="37">
        <v>85.0</v>
      </c>
      <c r="P142" s="37">
        <v>0.0</v>
      </c>
      <c r="Q142" s="64"/>
      <c r="R142" s="64"/>
      <c r="S142" s="64"/>
      <c r="T142" s="64"/>
      <c r="U142" s="64"/>
      <c r="V142" s="64"/>
      <c r="W142" s="64"/>
      <c r="X142" s="64"/>
      <c r="Y142" s="64"/>
      <c r="Z142" s="64"/>
      <c r="AA142" s="64"/>
      <c r="AJ142" s="37">
        <v>0.0</v>
      </c>
      <c r="AK142" s="37">
        <v>0.0</v>
      </c>
      <c r="AL142" s="37">
        <v>0.0</v>
      </c>
      <c r="AM142" s="37">
        <v>50.0</v>
      </c>
      <c r="AN142" s="37">
        <v>65.0</v>
      </c>
      <c r="AO142" s="37">
        <v>0.0</v>
      </c>
      <c r="AP142" s="37">
        <v>0.0</v>
      </c>
      <c r="AQ142" s="37">
        <v>75.0</v>
      </c>
      <c r="AR142" s="37">
        <v>75.0</v>
      </c>
      <c r="AS142" s="37">
        <v>0.0</v>
      </c>
      <c r="AT142" s="37">
        <v>0.0</v>
      </c>
      <c r="AU142" s="37">
        <v>0.0</v>
      </c>
      <c r="AV142" s="37">
        <v>0.0</v>
      </c>
      <c r="AW142" s="37">
        <v>0.0</v>
      </c>
      <c r="AX142" s="37">
        <v>0.0</v>
      </c>
      <c r="AY142" s="37">
        <v>0.0</v>
      </c>
      <c r="AZ142" s="37">
        <v>0.0</v>
      </c>
      <c r="BG142" s="37" t="str">
        <f t="array" ref="BG142">IF($A142="","", INDEX(CS!$B$1:$B$15025,MATCH($A142,CS!$B:$B,0)+COLUMN(A$1),1))</f>
        <v>急所撃</v>
      </c>
      <c r="BH142" s="37" t="str">
        <f t="array" ref="BH142">IF($A142="","", INDEX(CS!$B$1:$B$15025,MATCH($A142,CS!$B:$B,0)+COLUMN(B$1),1))</f>
        <v>狙い</v>
      </c>
      <c r="BI142" s="37" t="str">
        <f t="array" ref="BI142">IF($A142="","", INDEX(CS!$B$1:$B$15025,MATCH($A142,CS!$B:$B,0)+COLUMN(C$1),1))</f>
        <v>隠密</v>
      </c>
      <c r="BJ142" s="37" t="str">
        <f t="array" ref="BJ142">IF($A142="","", INDEX(CS!$B$1:$B$15025,MATCH($A142,CS!$B:$B,0)+COLUMN(D$1),1))</f>
        <v>痛撃</v>
      </c>
      <c r="BK142" s="37" t="str">
        <f t="array" ref="BK142">IF($A142="","", INDEX(CS!$B$1:$B$15025,MATCH($A142,CS!$B:$B,0)+COLUMN(E$1),1))</f>
        <v>野生感覚</v>
      </c>
      <c r="BL142" s="37" t="str">
        <f t="array" ref="BL142">IF($A142="","", INDEX(CS!$B$1:$B$15025,MATCH($A142,CS!$B:$B,0)+COLUMN(F$1),1))</f>
        <v/>
      </c>
      <c r="BM142" s="37" t="str">
        <f t="array" ref="BM142">IF($A142="","", INDEX(CS!$B$1:$B$15025,MATCH($A142,CS!$B:$B,0)+COLUMN(G$1),1))</f>
        <v>空撃</v>
      </c>
      <c r="BN142" s="37" t="str">
        <f t="array" ref="BN142">IF($A142="","", INDEX(CS!$B$1:$B$15025,MATCH($A142,CS!$B:$B,0)+COLUMN(H$1),1))</f>
        <v/>
      </c>
      <c r="BO142" s="37" t="str">
        <f t="array" ref="BO142">IF($A142="","", INDEX(CS!$B$1:$B$15025,MATCH($A142,CS!$B:$B,0)+COLUMN(I$1),1))</f>
        <v/>
      </c>
      <c r="BP142" s="37" t="str">
        <f t="array" ref="BP142">IF($A142="","", INDEX(CS!$B$1:$B$15025,MATCH($A142,CS!$B:$B,0)+COLUMN(J$1),1))</f>
        <v>斥候の極意</v>
      </c>
      <c r="BS142" s="74"/>
      <c r="CG142" s="37" t="s">
        <v>2811</v>
      </c>
      <c r="CJ142" s="37" t="s">
        <v>2807</v>
      </c>
      <c r="CK142" s="37" t="s">
        <v>2800</v>
      </c>
      <c r="CN142" s="37" t="s">
        <v>2812</v>
      </c>
    </row>
    <row r="143" ht="18.75" customHeight="1" outlineLevel="1">
      <c r="A143" s="37" t="s">
        <v>2238</v>
      </c>
      <c r="B143" s="71" t="s">
        <v>2235</v>
      </c>
      <c r="C143" s="39" t="s">
        <v>2810</v>
      </c>
      <c r="D143" s="72" t="str">
        <f t="shared" si="5"/>
        <v>710/445/265</v>
      </c>
      <c r="E143" s="37">
        <v>1.0</v>
      </c>
      <c r="F143" s="37">
        <v>75.0</v>
      </c>
      <c r="I143" s="37">
        <v>75.0</v>
      </c>
      <c r="J143" s="37">
        <v>50.0</v>
      </c>
      <c r="K143" s="73">
        <v>25.0</v>
      </c>
      <c r="L143" s="37">
        <v>50.0</v>
      </c>
      <c r="M143" s="37">
        <v>85.0</v>
      </c>
      <c r="N143" s="37">
        <v>85.0</v>
      </c>
      <c r="P143" s="37">
        <v>0.0</v>
      </c>
      <c r="Q143" s="64"/>
      <c r="R143" s="64"/>
      <c r="S143" s="64"/>
      <c r="T143" s="64"/>
      <c r="U143" s="64"/>
      <c r="V143" s="64"/>
      <c r="W143" s="64"/>
      <c r="X143" s="64"/>
      <c r="Y143" s="64"/>
      <c r="Z143" s="64"/>
      <c r="AA143" s="64"/>
      <c r="AJ143" s="37">
        <v>0.0</v>
      </c>
      <c r="AK143" s="37">
        <v>25.0</v>
      </c>
      <c r="AL143" s="37">
        <v>0.0</v>
      </c>
      <c r="AM143" s="37">
        <v>50.0</v>
      </c>
      <c r="AN143" s="37">
        <v>25.0</v>
      </c>
      <c r="AO143" s="37">
        <v>0.0</v>
      </c>
      <c r="AP143" s="37">
        <v>0.0</v>
      </c>
      <c r="AQ143" s="37">
        <v>90.0</v>
      </c>
      <c r="AR143" s="37">
        <v>75.0</v>
      </c>
      <c r="AS143" s="37">
        <v>0.0</v>
      </c>
      <c r="AT143" s="37">
        <v>0.0</v>
      </c>
      <c r="AU143" s="37">
        <v>0.0</v>
      </c>
      <c r="AV143" s="37">
        <v>0.0</v>
      </c>
      <c r="AW143" s="37">
        <v>0.0</v>
      </c>
      <c r="AX143" s="37">
        <v>0.0</v>
      </c>
      <c r="AY143" s="37">
        <v>0.0</v>
      </c>
      <c r="AZ143" s="37">
        <v>0.0</v>
      </c>
      <c r="BG143" s="37" t="str">
        <f t="array" ref="BG143">IF($A143="","",IFERROR(INDEX(CS!$B$1:$B$15025,MATCH($A143,CS!$B:$B,0)+COLUMN(A$1),1),""))</f>
        <v>潜伏</v>
      </c>
      <c r="BH143" s="37" t="str">
        <f t="array" ref="BH143">IF($A143="","",IFERROR(INDEX(CS!$B$1:$B$15025,MATCH($A143,CS!$B:$B,0)+COLUMN(B$1),1),""))</f>
        <v/>
      </c>
      <c r="BI143" s="37" t="str">
        <f t="array" ref="BI143">IF($A143="","",IFERROR(INDEX(CS!$B$1:$B$15025,MATCH($A143,CS!$B:$B,0)+COLUMN(C$1),1),""))</f>
        <v>悪知恵</v>
      </c>
      <c r="BJ143" s="37" t="str">
        <f t="array" ref="BJ143">IF($A143="","",IFERROR(INDEX(CS!$B$1:$B$15025,MATCH($A143,CS!$B:$B,0)+COLUMN(D$1),1),""))</f>
        <v/>
      </c>
      <c r="BK143" s="37" t="str">
        <f t="array" ref="BK143">IF($A143="","",IFERROR(INDEX(CS!$B$1:$B$15025,MATCH($A143,CS!$B:$B,0)+COLUMN(E$1),1),""))</f>
        <v>狙い</v>
      </c>
      <c r="BL143" s="37" t="str">
        <f t="array" ref="BL143">IF($A143="","",IFERROR(INDEX(CS!$B$1:$B$15025,MATCH($A143,CS!$B:$B,0)+COLUMN(F$1),1),""))</f>
        <v/>
      </c>
      <c r="BM143" s="37" t="str">
        <f t="array" ref="BM143">IF($A143="","",IFERROR(INDEX(CS!$B$1:$B$15025,MATCH($A143,CS!$B:$B,0)+COLUMN(G$1),1),""))</f>
        <v>奇襲</v>
      </c>
      <c r="BN143" s="37" t="str">
        <f t="array" ref="BN143">IF($A143="","",IFERROR(INDEX(CS!$B$1:$B$15025,MATCH($A143,CS!$B:$B,0)+COLUMN(H$1),1),""))</f>
        <v/>
      </c>
      <c r="BO143" s="37" t="str">
        <f t="array" ref="BO143">IF($A143="","",IFERROR(INDEX(CS!$B$1:$B$15025,MATCH($A143,CS!$B:$B,0)+COLUMN(I$1),1),""))</f>
        <v>痛撃</v>
      </c>
      <c r="BP143" s="37" t="str">
        <f t="array" ref="BP143">IF($A143="","",IFERROR(INDEX(CS!$B$1:$B$15025,MATCH($A143,CS!$B:$B,0)+COLUMN(J$1),1),""))</f>
        <v>狡猾</v>
      </c>
      <c r="BS143" s="74"/>
      <c r="BT143" s="39" t="s">
        <v>2845</v>
      </c>
      <c r="CG143" s="37" t="s">
        <v>2811</v>
      </c>
      <c r="CJ143" s="37" t="s">
        <v>2807</v>
      </c>
      <c r="CK143" s="37" t="s">
        <v>2800</v>
      </c>
      <c r="CN143" s="37" t="s">
        <v>2812</v>
      </c>
    </row>
    <row r="144" ht="18.75" customHeight="1" outlineLevel="1">
      <c r="A144" s="39" t="s">
        <v>2240</v>
      </c>
      <c r="B144" s="71"/>
      <c r="C144" s="39" t="s">
        <v>2810</v>
      </c>
      <c r="D144" s="72" t="str">
        <f t="shared" si="5"/>
        <v>725/460/265</v>
      </c>
      <c r="E144" s="39">
        <v>2.0</v>
      </c>
      <c r="F144" s="39">
        <v>75.0</v>
      </c>
      <c r="I144" s="39">
        <v>80.0</v>
      </c>
      <c r="J144" s="39">
        <v>50.0</v>
      </c>
      <c r="K144" s="87">
        <v>25.0</v>
      </c>
      <c r="L144" s="39">
        <v>50.0</v>
      </c>
      <c r="M144" s="39">
        <v>90.0</v>
      </c>
      <c r="N144" s="39">
        <v>90.0</v>
      </c>
      <c r="P144" s="39">
        <v>-25.0</v>
      </c>
      <c r="Q144" s="64"/>
      <c r="R144" s="64"/>
      <c r="S144" s="64"/>
      <c r="T144" s="64"/>
      <c r="U144" s="64"/>
      <c r="V144" s="64"/>
      <c r="W144" s="64"/>
      <c r="X144" s="64"/>
      <c r="Y144" s="64"/>
      <c r="Z144" s="64"/>
      <c r="AA144" s="64"/>
      <c r="AJ144" s="37">
        <v>0.0</v>
      </c>
      <c r="AK144" s="37">
        <v>25.0</v>
      </c>
      <c r="AL144" s="37">
        <v>0.0</v>
      </c>
      <c r="AM144" s="37">
        <v>50.0</v>
      </c>
      <c r="AN144" s="37">
        <v>25.0</v>
      </c>
      <c r="AO144" s="37">
        <v>0.0</v>
      </c>
      <c r="AP144" s="37">
        <v>0.0</v>
      </c>
      <c r="AQ144" s="37">
        <v>90.0</v>
      </c>
      <c r="AR144" s="37">
        <v>75.0</v>
      </c>
      <c r="AS144" s="37">
        <v>0.0</v>
      </c>
      <c r="AT144" s="37">
        <v>0.0</v>
      </c>
      <c r="AU144" s="37">
        <v>0.0</v>
      </c>
      <c r="AV144" s="37">
        <v>0.0</v>
      </c>
      <c r="AW144" s="37">
        <v>0.0</v>
      </c>
      <c r="AX144" s="37">
        <v>0.0</v>
      </c>
      <c r="AY144" s="37">
        <v>0.0</v>
      </c>
      <c r="AZ144" s="37">
        <v>0.0</v>
      </c>
      <c r="BG144" s="37" t="str">
        <f t="array" ref="BG144">IF($A144="","",IFERROR(INDEX(CS!$B$1:$B$15025,MATCH($A144,CS!$B:$B,0)+COLUMN(A$1),1),""))</f>
        <v>急所撃</v>
      </c>
      <c r="BH144" s="37" t="str">
        <f t="array" ref="BH144">IF($A144="","",IFERROR(INDEX(CS!$B$1:$B$15025,MATCH($A144,CS!$B:$B,0)+COLUMN(B$1),1),""))</f>
        <v/>
      </c>
      <c r="BI144" s="37" t="str">
        <f t="array" ref="BI144">IF($A144="","",IFERROR(INDEX(CS!$B$1:$B$15025,MATCH($A144,CS!$B:$B,0)+COLUMN(C$1),1),""))</f>
        <v>潜伏</v>
      </c>
      <c r="BJ144" s="37" t="str">
        <f t="array" ref="BJ144">IF($A144="","",IFERROR(INDEX(CS!$B$1:$B$15025,MATCH($A144,CS!$B:$B,0)+COLUMN(D$1),1),""))</f>
        <v/>
      </c>
      <c r="BK144" s="37" t="str">
        <f t="array" ref="BK144">IF($A144="","",IFERROR(INDEX(CS!$B$1:$B$15025,MATCH($A144,CS!$B:$B,0)+COLUMN(E$1),1),""))</f>
        <v>痛撃</v>
      </c>
      <c r="BL144" s="37" t="str">
        <f t="array" ref="BL144">IF($A144="","",IFERROR(INDEX(CS!$B$1:$B$15025,MATCH($A144,CS!$B:$B,0)+COLUMN(F$1),1),""))</f>
        <v/>
      </c>
      <c r="BM144" s="37" t="str">
        <f t="array" ref="BM144">IF($A144="","",IFERROR(INDEX(CS!$B$1:$B$15025,MATCH($A144,CS!$B:$B,0)+COLUMN(G$1),1),""))</f>
        <v>奇襲</v>
      </c>
      <c r="BN144" s="37" t="str">
        <f t="array" ref="BN144">IF($A144="","",IFERROR(INDEX(CS!$B$1:$B$15025,MATCH($A144,CS!$B:$B,0)+COLUMN(H$1),1),""))</f>
        <v/>
      </c>
      <c r="BO144" s="37" t="str">
        <f t="array" ref="BO144">IF($A144="","",IFERROR(INDEX(CS!$B$1:$B$15025,MATCH($A144,CS!$B:$B,0)+COLUMN(I$1),1),""))</f>
        <v>狙い</v>
      </c>
      <c r="BP144" s="37" t="str">
        <f t="array" ref="BP144">IF($A144="","",IFERROR(INDEX(CS!$B$1:$B$15025,MATCH($A144,CS!$B:$B,0)+COLUMN(J$1),1),""))</f>
        <v>暗殺術</v>
      </c>
      <c r="BR144" s="39" t="s">
        <v>2846</v>
      </c>
      <c r="BS144" s="74"/>
      <c r="CG144" s="37" t="s">
        <v>2811</v>
      </c>
      <c r="CJ144" s="37" t="s">
        <v>2807</v>
      </c>
      <c r="CK144" s="37" t="s">
        <v>2800</v>
      </c>
      <c r="CN144" s="37" t="s">
        <v>2812</v>
      </c>
    </row>
    <row r="145" ht="18.75" customHeight="1" outlineLevel="1">
      <c r="A145" s="39" t="s">
        <v>2243</v>
      </c>
      <c r="B145" s="71"/>
      <c r="C145" s="39" t="s">
        <v>2810</v>
      </c>
      <c r="D145" s="72" t="str">
        <f t="shared" si="5"/>
        <v>740/475/265</v>
      </c>
      <c r="E145" s="39">
        <v>3.0</v>
      </c>
      <c r="F145" s="39">
        <v>75.0</v>
      </c>
      <c r="I145" s="39">
        <v>85.0</v>
      </c>
      <c r="J145" s="39">
        <v>50.0</v>
      </c>
      <c r="K145" s="87">
        <v>25.0</v>
      </c>
      <c r="L145" s="39">
        <v>50.0</v>
      </c>
      <c r="M145" s="39">
        <v>95.0</v>
      </c>
      <c r="N145" s="39">
        <v>95.0</v>
      </c>
      <c r="P145" s="39">
        <v>-50.0</v>
      </c>
      <c r="Q145" s="64"/>
      <c r="R145" s="64"/>
      <c r="S145" s="64"/>
      <c r="T145" s="64"/>
      <c r="U145" s="64"/>
      <c r="V145" s="64"/>
      <c r="W145" s="64"/>
      <c r="X145" s="64"/>
      <c r="Y145" s="64"/>
      <c r="Z145" s="64"/>
      <c r="AA145" s="64"/>
      <c r="AJ145" s="37">
        <v>0.0</v>
      </c>
      <c r="AK145" s="37">
        <v>25.0</v>
      </c>
      <c r="AL145" s="37">
        <v>0.0</v>
      </c>
      <c r="AM145" s="37">
        <v>50.0</v>
      </c>
      <c r="AN145" s="37">
        <v>25.0</v>
      </c>
      <c r="AO145" s="37">
        <v>0.0</v>
      </c>
      <c r="AP145" s="37">
        <v>0.0</v>
      </c>
      <c r="AQ145" s="37">
        <v>90.0</v>
      </c>
      <c r="AR145" s="37">
        <v>75.0</v>
      </c>
      <c r="AS145" s="37">
        <v>0.0</v>
      </c>
      <c r="AT145" s="37">
        <v>0.0</v>
      </c>
      <c r="AU145" s="37">
        <v>0.0</v>
      </c>
      <c r="AV145" s="37">
        <v>0.0</v>
      </c>
      <c r="AW145" s="37">
        <v>0.0</v>
      </c>
      <c r="AX145" s="37">
        <v>0.0</v>
      </c>
      <c r="AY145" s="37">
        <v>0.0</v>
      </c>
      <c r="AZ145" s="37">
        <v>0.0</v>
      </c>
      <c r="BG145" s="37" t="str">
        <f t="array" ref="BG145">IF($A145="","",IFERROR(INDEX(CS!$B$1:$B$15025,MATCH($A145,CS!$B:$B,0)+COLUMN(A$1),1),""))</f>
        <v>奇襲</v>
      </c>
      <c r="BH145" s="37" t="str">
        <f t="array" ref="BH145">IF($A145="","",IFERROR(INDEX(CS!$B$1:$B$15025,MATCH($A145,CS!$B:$B,0)+COLUMN(B$1),1),""))</f>
        <v/>
      </c>
      <c r="BI145" s="37" t="str">
        <f t="array" ref="BI145">IF($A145="","",IFERROR(INDEX(CS!$B$1:$B$15025,MATCH($A145,CS!$B:$B,0)+COLUMN(C$1),1),""))</f>
        <v>暗殺術</v>
      </c>
      <c r="BJ145" s="37" t="str">
        <f t="array" ref="BJ145">IF($A145="","",IFERROR(INDEX(CS!$B$1:$B$15025,MATCH($A145,CS!$B:$B,0)+COLUMN(D$1),1),""))</f>
        <v/>
      </c>
      <c r="BK145" s="37" t="str">
        <f t="array" ref="BK145">IF($A145="","",IFERROR(INDEX(CS!$B$1:$B$15025,MATCH($A145,CS!$B:$B,0)+COLUMN(E$1),1),""))</f>
        <v>狙い</v>
      </c>
      <c r="BL145" s="37" t="str">
        <f t="array" ref="BL145">IF($A145="","",IFERROR(INDEX(CS!$B$1:$B$15025,MATCH($A145,CS!$B:$B,0)+COLUMN(F$1),1),""))</f>
        <v/>
      </c>
      <c r="BM145" s="37" t="str">
        <f t="array" ref="BM145">IF($A145="","",IFERROR(INDEX(CS!$B$1:$B$15025,MATCH($A145,CS!$B:$B,0)+COLUMN(G$1),1),""))</f>
        <v>急所撃</v>
      </c>
      <c r="BN145" s="37" t="str">
        <f t="array" ref="BN145">IF($A145="","",IFERROR(INDEX(CS!$B$1:$B$15025,MATCH($A145,CS!$B:$B,0)+COLUMN(H$1),1),""))</f>
        <v/>
      </c>
      <c r="BO145" s="37" t="str">
        <f t="array" ref="BO145">IF($A145="","",IFERROR(INDEX(CS!$B$1:$B$15025,MATCH($A145,CS!$B:$B,0)+COLUMN(I$1),1),""))</f>
        <v>見極</v>
      </c>
      <c r="BP145" s="37" t="str">
        <f t="array" ref="BP145">IF($A145="","",IFERROR(INDEX(CS!$B$1:$B$15025,MATCH($A145,CS!$B:$B,0)+COLUMN(J$1),1),""))</f>
        <v>絶命撃</v>
      </c>
      <c r="BR145" s="39" t="s">
        <v>2847</v>
      </c>
      <c r="BS145" s="74"/>
      <c r="CG145" s="37" t="s">
        <v>2811</v>
      </c>
      <c r="CJ145" s="37" t="s">
        <v>2807</v>
      </c>
      <c r="CK145" s="37" t="s">
        <v>2800</v>
      </c>
      <c r="CN145" s="37" t="s">
        <v>2812</v>
      </c>
    </row>
    <row r="146" ht="18.75" customHeight="1" outlineLevel="1">
      <c r="A146" s="39" t="s">
        <v>2246</v>
      </c>
      <c r="B146" s="71"/>
      <c r="C146" s="39" t="s">
        <v>2810</v>
      </c>
      <c r="D146" s="72" t="str">
        <f t="shared" si="5"/>
        <v>725/475/250</v>
      </c>
      <c r="E146" s="39">
        <v>2.0</v>
      </c>
      <c r="F146" s="39">
        <v>75.0</v>
      </c>
      <c r="I146" s="39">
        <v>80.0</v>
      </c>
      <c r="J146" s="39">
        <v>75.0</v>
      </c>
      <c r="K146" s="87">
        <v>25.0</v>
      </c>
      <c r="L146" s="39">
        <v>50.0</v>
      </c>
      <c r="M146" s="39">
        <v>80.0</v>
      </c>
      <c r="N146" s="39">
        <v>90.0</v>
      </c>
      <c r="P146" s="37">
        <v>0.0</v>
      </c>
      <c r="Q146" s="64"/>
      <c r="R146" s="64"/>
      <c r="S146" s="64"/>
      <c r="T146" s="64"/>
      <c r="U146" s="64"/>
      <c r="V146" s="64"/>
      <c r="W146" s="64"/>
      <c r="X146" s="64"/>
      <c r="Y146" s="64"/>
      <c r="Z146" s="64"/>
      <c r="AA146" s="64"/>
      <c r="AJ146" s="37">
        <v>0.0</v>
      </c>
      <c r="AK146" s="37">
        <v>0.0</v>
      </c>
      <c r="AL146" s="37">
        <v>0.0</v>
      </c>
      <c r="AM146" s="37">
        <v>50.0</v>
      </c>
      <c r="AN146" s="37">
        <v>35.0</v>
      </c>
      <c r="AO146" s="37">
        <v>0.0</v>
      </c>
      <c r="AP146" s="37">
        <v>0.0</v>
      </c>
      <c r="AQ146" s="37">
        <v>75.0</v>
      </c>
      <c r="AR146" s="37">
        <v>90.0</v>
      </c>
      <c r="AS146" s="37">
        <v>0.0</v>
      </c>
      <c r="AT146" s="37">
        <v>0.0</v>
      </c>
      <c r="AU146" s="37">
        <v>0.0</v>
      </c>
      <c r="AV146" s="37">
        <v>0.0</v>
      </c>
      <c r="AW146" s="37">
        <v>0.0</v>
      </c>
      <c r="AX146" s="37">
        <v>0.0</v>
      </c>
      <c r="AY146" s="37">
        <v>0.0</v>
      </c>
      <c r="AZ146" s="37">
        <v>0.0</v>
      </c>
      <c r="BG146" s="37" t="str">
        <f t="array" ref="BG146">IF($A146="","",IFERROR(INDEX(CS!$B$1:$B$15025,MATCH($A146,CS!$B:$B,0)+COLUMN(A$1),1),""))</f>
        <v>狙い</v>
      </c>
      <c r="BH146" s="37" t="str">
        <f t="array" ref="BH146">IF($A146="","",IFERROR(INDEX(CS!$B$1:$B$15025,MATCH($A146,CS!$B:$B,0)+COLUMN(B$1),1),""))</f>
        <v/>
      </c>
      <c r="BI146" s="37" t="str">
        <f t="array" ref="BI146">IF($A146="","",IFERROR(INDEX(CS!$B$1:$B$15025,MATCH($A146,CS!$B:$B,0)+COLUMN(C$1),1),""))</f>
        <v>野生感覚</v>
      </c>
      <c r="BJ146" s="37" t="str">
        <f t="array" ref="BJ146">IF($A146="","",IFERROR(INDEX(CS!$B$1:$B$15025,MATCH($A146,CS!$B:$B,0)+COLUMN(D$1),1),""))</f>
        <v/>
      </c>
      <c r="BK146" s="37" t="str">
        <f t="array" ref="BK146">IF($A146="","",IFERROR(INDEX(CS!$B$1:$B$15025,MATCH($A146,CS!$B:$B,0)+COLUMN(E$1),1),""))</f>
        <v>痛撃</v>
      </c>
      <c r="BL146" s="37" t="str">
        <f t="array" ref="BL146">IF($A146="","",IFERROR(INDEX(CS!$B$1:$B$15025,MATCH($A146,CS!$B:$B,0)+COLUMN(F$1),1),""))</f>
        <v/>
      </c>
      <c r="BM146" s="37" t="str">
        <f t="array" ref="BM146">IF($A146="","",IFERROR(INDEX(CS!$B$1:$B$15025,MATCH($A146,CS!$B:$B,0)+COLUMN(G$1),1),""))</f>
        <v>罠師</v>
      </c>
      <c r="BN146" s="37" t="str">
        <f t="array" ref="BN146">IF($A146="","",IFERROR(INDEX(CS!$B$1:$B$15025,MATCH($A146,CS!$B:$B,0)+COLUMN(H$1),1),""))</f>
        <v/>
      </c>
      <c r="BO146" s="37" t="str">
        <f t="array" ref="BO146">IF($A146="","",IFERROR(INDEX(CS!$B$1:$B$15025,MATCH($A146,CS!$B:$B,0)+COLUMN(I$1),1),""))</f>
        <v>空撃</v>
      </c>
      <c r="BP146" s="37" t="str">
        <f t="array" ref="BP146">IF($A146="","",IFERROR(INDEX(CS!$B$1:$B$15025,MATCH($A146,CS!$B:$B,0)+COLUMN(J$1),1),""))</f>
        <v>追跡術</v>
      </c>
      <c r="BR146" s="39" t="s">
        <v>2848</v>
      </c>
      <c r="BS146" s="74"/>
      <c r="CG146" s="37" t="s">
        <v>2813</v>
      </c>
      <c r="CJ146" s="37" t="s">
        <v>2807</v>
      </c>
      <c r="CK146" s="37" t="s">
        <v>2800</v>
      </c>
      <c r="CN146" s="37" t="s">
        <v>2812</v>
      </c>
    </row>
    <row r="147" ht="18.75" customHeight="1" outlineLevel="1">
      <c r="A147" s="39" t="s">
        <v>2248</v>
      </c>
      <c r="B147" s="71"/>
      <c r="C147" s="39" t="s">
        <v>2810</v>
      </c>
      <c r="D147" s="72" t="str">
        <f t="shared" si="5"/>
        <v>740/490/250</v>
      </c>
      <c r="E147" s="39">
        <v>3.0</v>
      </c>
      <c r="F147" s="39">
        <v>75.0</v>
      </c>
      <c r="I147" s="39">
        <v>85.0</v>
      </c>
      <c r="J147" s="39">
        <v>75.0</v>
      </c>
      <c r="K147" s="87">
        <v>25.0</v>
      </c>
      <c r="L147" s="39">
        <v>50.0</v>
      </c>
      <c r="M147" s="39">
        <v>85.0</v>
      </c>
      <c r="N147" s="39">
        <v>95.0</v>
      </c>
      <c r="P147" s="37">
        <v>0.0</v>
      </c>
      <c r="Q147" s="64"/>
      <c r="R147" s="64"/>
      <c r="S147" s="64"/>
      <c r="T147" s="64"/>
      <c r="U147" s="64"/>
      <c r="V147" s="64"/>
      <c r="W147" s="64"/>
      <c r="X147" s="64"/>
      <c r="Y147" s="64"/>
      <c r="Z147" s="64"/>
      <c r="AA147" s="64"/>
      <c r="AJ147" s="37">
        <v>0.0</v>
      </c>
      <c r="AK147" s="37">
        <v>0.0</v>
      </c>
      <c r="AL147" s="37">
        <v>0.0</v>
      </c>
      <c r="AM147" s="37">
        <v>50.0</v>
      </c>
      <c r="AN147" s="37">
        <v>35.0</v>
      </c>
      <c r="AO147" s="37">
        <v>0.0</v>
      </c>
      <c r="AP147" s="37">
        <v>0.0</v>
      </c>
      <c r="AQ147" s="37">
        <v>75.0</v>
      </c>
      <c r="AR147" s="37">
        <v>90.0</v>
      </c>
      <c r="AS147" s="37">
        <v>0.0</v>
      </c>
      <c r="AT147" s="37">
        <v>0.0</v>
      </c>
      <c r="AU147" s="37">
        <v>0.0</v>
      </c>
      <c r="AV147" s="37">
        <v>0.0</v>
      </c>
      <c r="AW147" s="37">
        <v>0.0</v>
      </c>
      <c r="AX147" s="37">
        <v>0.0</v>
      </c>
      <c r="AY147" s="37">
        <v>0.0</v>
      </c>
      <c r="AZ147" s="37">
        <v>0.0</v>
      </c>
      <c r="BG147" s="37" t="str">
        <f t="array" ref="BG147">IF($A147="","",IFERROR(INDEX(CS!$B$1:$B$15025,MATCH($A147,CS!$B:$B,0)+COLUMN(A$1),1),""))</f>
        <v>狙い</v>
      </c>
      <c r="BH147" s="37" t="str">
        <f t="array" ref="BH147">IF($A147="","",IFERROR(INDEX(CS!$B$1:$B$15025,MATCH($A147,CS!$B:$B,0)+COLUMN(B$1),1),""))</f>
        <v/>
      </c>
      <c r="BI147" s="37" t="str">
        <f t="array" ref="BI147">IF($A147="","",IFERROR(INDEX(CS!$B$1:$B$15025,MATCH($A147,CS!$B:$B,0)+COLUMN(C$1),1),""))</f>
        <v>追跡術</v>
      </c>
      <c r="BJ147" s="37" t="str">
        <f t="array" ref="BJ147">IF($A147="","",IFERROR(INDEX(CS!$B$1:$B$15025,MATCH($A147,CS!$B:$B,0)+COLUMN(D$1),1),""))</f>
        <v/>
      </c>
      <c r="BK147" s="37" t="str">
        <f t="array" ref="BK147">IF($A147="","",IFERROR(INDEX(CS!$B$1:$B$15025,MATCH($A147,CS!$B:$B,0)+COLUMN(E$1),1),""))</f>
        <v>奇襲</v>
      </c>
      <c r="BL147" s="37" t="str">
        <f t="array" ref="BL147">IF($A147="","",IFERROR(INDEX(CS!$B$1:$B$15025,MATCH($A147,CS!$B:$B,0)+COLUMN(F$1),1),""))</f>
        <v/>
      </c>
      <c r="BM147" s="37" t="str">
        <f t="array" ref="BM147">IF($A147="","",IFERROR(INDEX(CS!$B$1:$B$15025,MATCH($A147,CS!$B:$B,0)+COLUMN(G$1),1),""))</f>
        <v>空撃</v>
      </c>
      <c r="BN147" s="37" t="str">
        <f t="array" ref="BN147">IF($A147="","",IFERROR(INDEX(CS!$B$1:$B$15025,MATCH($A147,CS!$B:$B,0)+COLUMN(H$1),1),""))</f>
        <v/>
      </c>
      <c r="BO147" s="37" t="str">
        <f t="array" ref="BO147">IF($A147="","",IFERROR(INDEX(CS!$B$1:$B$15025,MATCH($A147,CS!$B:$B,0)+COLUMN(I$1),1),""))</f>
        <v>罠師</v>
      </c>
      <c r="BP147" s="37" t="str">
        <f t="array" ref="BP147">IF($A147="","",IFERROR(INDEX(CS!$B$1:$B$15025,MATCH($A147,CS!$B:$B,0)+COLUMN(J$1),1),""))</f>
        <v>狩人の極意</v>
      </c>
      <c r="BR147" s="39" t="s">
        <v>2849</v>
      </c>
      <c r="BS147" s="74"/>
      <c r="CG147" s="37" t="s">
        <v>2813</v>
      </c>
      <c r="CJ147" s="37" t="s">
        <v>2807</v>
      </c>
      <c r="CK147" s="37" t="s">
        <v>2800</v>
      </c>
      <c r="CN147" s="37" t="s">
        <v>2812</v>
      </c>
    </row>
    <row r="148" ht="18.75" customHeight="1" outlineLevel="1">
      <c r="A148" s="39" t="s">
        <v>2251</v>
      </c>
      <c r="B148" s="71"/>
      <c r="C148" s="39" t="s">
        <v>2810</v>
      </c>
      <c r="D148" s="72" t="str">
        <f t="shared" si="5"/>
        <v>760/470/290</v>
      </c>
      <c r="E148" s="39">
        <v>2.0</v>
      </c>
      <c r="F148" s="39">
        <v>75.0</v>
      </c>
      <c r="I148" s="39">
        <v>80.0</v>
      </c>
      <c r="J148" s="39">
        <v>70.0</v>
      </c>
      <c r="K148" s="87">
        <v>25.0</v>
      </c>
      <c r="L148" s="39">
        <v>55.0</v>
      </c>
      <c r="M148" s="39">
        <v>80.0</v>
      </c>
      <c r="N148" s="39">
        <v>85.0</v>
      </c>
      <c r="P148" s="37">
        <v>0.0</v>
      </c>
      <c r="Q148" s="64"/>
      <c r="R148" s="64"/>
      <c r="S148" s="64"/>
      <c r="T148" s="64"/>
      <c r="U148" s="64"/>
      <c r="V148" s="64"/>
      <c r="W148" s="64"/>
      <c r="X148" s="64"/>
      <c r="Y148" s="64"/>
      <c r="Z148" s="64"/>
      <c r="AA148" s="64"/>
      <c r="AJ148" s="37">
        <v>0.0</v>
      </c>
      <c r="AK148" s="37">
        <v>15.0</v>
      </c>
      <c r="AL148" s="37">
        <v>5.0</v>
      </c>
      <c r="AM148" s="37">
        <v>55.0</v>
      </c>
      <c r="AN148" s="37">
        <v>35.0</v>
      </c>
      <c r="AO148" s="37">
        <v>0.0</v>
      </c>
      <c r="AP148" s="37">
        <v>0.0</v>
      </c>
      <c r="AQ148" s="37">
        <v>90.0</v>
      </c>
      <c r="AR148" s="37">
        <v>90.0</v>
      </c>
      <c r="AS148" s="37">
        <v>0.0</v>
      </c>
      <c r="AT148" s="37">
        <v>0.0</v>
      </c>
      <c r="AU148" s="37">
        <v>0.0</v>
      </c>
      <c r="AV148" s="37">
        <v>0.0</v>
      </c>
      <c r="AW148" s="37">
        <v>0.0</v>
      </c>
      <c r="AX148" s="37">
        <v>0.0</v>
      </c>
      <c r="AY148" s="37">
        <v>0.0</v>
      </c>
      <c r="AZ148" s="37">
        <v>0.0</v>
      </c>
      <c r="BG148" s="37" t="str">
        <f t="array" ref="BG148">IF($A148="","",IFERROR(INDEX(CS!$B$1:$B$15025,MATCH($A148,CS!$B:$B,0)+COLUMN(A$1),1),""))</f>
        <v>狙い</v>
      </c>
      <c r="BH148" s="37" t="str">
        <f t="array" ref="BH148">IF($A148="","",IFERROR(INDEX(CS!$B$1:$B$15025,MATCH($A148,CS!$B:$B,0)+COLUMN(B$1),1),""))</f>
        <v/>
      </c>
      <c r="BI148" s="37" t="str">
        <f t="array" ref="BI148">IF($A148="","",IFERROR(INDEX(CS!$B$1:$B$15025,MATCH($A148,CS!$B:$B,0)+COLUMN(C$1),1),""))</f>
        <v>野生感覚</v>
      </c>
      <c r="BJ148" s="37" t="str">
        <f t="array" ref="BJ148">IF($A148="","",IFERROR(INDEX(CS!$B$1:$B$15025,MATCH($A148,CS!$B:$B,0)+COLUMN(D$1),1),""))</f>
        <v/>
      </c>
      <c r="BK148" s="37" t="str">
        <f t="array" ref="BK148">IF($A148="","",IFERROR(INDEX(CS!$B$1:$B$15025,MATCH($A148,CS!$B:$B,0)+COLUMN(E$1),1),""))</f>
        <v>奇襲</v>
      </c>
      <c r="BL148" s="37" t="str">
        <f t="array" ref="BL148">IF($A148="","",IFERROR(INDEX(CS!$B$1:$B$15025,MATCH($A148,CS!$B:$B,0)+COLUMN(F$1),1),""))</f>
        <v/>
      </c>
      <c r="BM148" s="37" t="str">
        <f t="array" ref="BM148">IF($A148="","",IFERROR(INDEX(CS!$B$1:$B$15025,MATCH($A148,CS!$B:$B,0)+COLUMN(G$1),1),""))</f>
        <v>空撃</v>
      </c>
      <c r="BN148" s="37" t="str">
        <f t="array" ref="BN148">IF($A148="","",IFERROR(INDEX(CS!$B$1:$B$15025,MATCH($A148,CS!$B:$B,0)+COLUMN(H$1),1),""))</f>
        <v/>
      </c>
      <c r="BO148" s="37" t="str">
        <f t="array" ref="BO148">IF($A148="","",IFERROR(INDEX(CS!$B$1:$B$15025,MATCH($A148,CS!$B:$B,0)+COLUMN(I$1),1),""))</f>
        <v>反応</v>
      </c>
      <c r="BP148" s="37" t="str">
        <f t="array" ref="BP148">IF($A148="","",IFERROR(INDEX(CS!$B$1:$B$15025,MATCH($A148,CS!$B:$B,0)+COLUMN(J$1),1),""))</f>
        <v>広域索敵</v>
      </c>
      <c r="BR148" s="39" t="s">
        <v>2850</v>
      </c>
      <c r="BS148" s="74"/>
      <c r="CG148" s="37" t="s">
        <v>2813</v>
      </c>
      <c r="CJ148" s="37" t="s">
        <v>2807</v>
      </c>
      <c r="CK148" s="37" t="s">
        <v>2800</v>
      </c>
      <c r="CN148" s="37" t="s">
        <v>2812</v>
      </c>
    </row>
    <row r="149" ht="18.75" customHeight="1" outlineLevel="1">
      <c r="A149" s="39" t="s">
        <v>2254</v>
      </c>
      <c r="B149" s="71"/>
      <c r="C149" s="39" t="s">
        <v>2810</v>
      </c>
      <c r="D149" s="72" t="str">
        <f t="shared" si="5"/>
        <v>765/475/290</v>
      </c>
      <c r="E149" s="39">
        <v>3.0</v>
      </c>
      <c r="F149" s="39">
        <v>75.0</v>
      </c>
      <c r="I149" s="39">
        <v>75.0</v>
      </c>
      <c r="J149" s="39">
        <v>65.0</v>
      </c>
      <c r="K149" s="87">
        <v>25.0</v>
      </c>
      <c r="L149" s="39">
        <v>50.0</v>
      </c>
      <c r="M149" s="39">
        <v>90.0</v>
      </c>
      <c r="N149" s="39">
        <v>95.0</v>
      </c>
      <c r="P149" s="37">
        <v>0.0</v>
      </c>
      <c r="Q149" s="64"/>
      <c r="R149" s="64"/>
      <c r="S149" s="64"/>
      <c r="T149" s="64"/>
      <c r="U149" s="64"/>
      <c r="V149" s="64"/>
      <c r="W149" s="64"/>
      <c r="X149" s="64"/>
      <c r="Y149" s="64"/>
      <c r="Z149" s="64"/>
      <c r="AA149" s="64"/>
      <c r="AJ149" s="37">
        <v>0.0</v>
      </c>
      <c r="AK149" s="37">
        <v>15.0</v>
      </c>
      <c r="AL149" s="37">
        <v>5.0</v>
      </c>
      <c r="AM149" s="37">
        <v>55.0</v>
      </c>
      <c r="AN149" s="37">
        <v>35.0</v>
      </c>
      <c r="AO149" s="37">
        <v>0.0</v>
      </c>
      <c r="AP149" s="37">
        <v>0.0</v>
      </c>
      <c r="AQ149" s="37">
        <v>90.0</v>
      </c>
      <c r="AR149" s="37">
        <v>90.0</v>
      </c>
      <c r="AS149" s="37">
        <v>0.0</v>
      </c>
      <c r="AT149" s="37">
        <v>0.0</v>
      </c>
      <c r="AU149" s="37">
        <v>0.0</v>
      </c>
      <c r="AV149" s="37">
        <v>0.0</v>
      </c>
      <c r="AW149" s="37">
        <v>0.0</v>
      </c>
      <c r="AX149" s="37">
        <v>0.0</v>
      </c>
      <c r="AY149" s="37">
        <v>0.0</v>
      </c>
      <c r="AZ149" s="37">
        <v>0.0</v>
      </c>
      <c r="BG149" s="37" t="str">
        <f t="array" ref="BG149">IF($A149="","",IFERROR(INDEX(CS!$B$1:$B$15025,MATCH($A149,CS!$B:$B,0)+COLUMN(A$1),1),""))</f>
        <v>狙い</v>
      </c>
      <c r="BH149" s="37" t="str">
        <f t="array" ref="BH149">IF($A149="","",IFERROR(INDEX(CS!$B$1:$B$15025,MATCH($A149,CS!$B:$B,0)+COLUMN(B$1),1),""))</f>
        <v/>
      </c>
      <c r="BI149" s="37" t="str">
        <f t="array" ref="BI149">IF($A149="","",IFERROR(INDEX(CS!$B$1:$B$15025,MATCH($A149,CS!$B:$B,0)+COLUMN(C$1),1),""))</f>
        <v>見極</v>
      </c>
      <c r="BJ149" s="37" t="str">
        <f t="array" ref="BJ149">IF($A149="","",IFERROR(INDEX(CS!$B$1:$B$15025,MATCH($A149,CS!$B:$B,0)+COLUMN(D$1),1),""))</f>
        <v/>
      </c>
      <c r="BK149" s="37" t="str">
        <f t="array" ref="BK149">IF($A149="","",IFERROR(INDEX(CS!$B$1:$B$15025,MATCH($A149,CS!$B:$B,0)+COLUMN(E$1),1),""))</f>
        <v>神眼</v>
      </c>
      <c r="BL149" s="37" t="str">
        <f t="array" ref="BL149">IF($A149="","",IFERROR(INDEX(CS!$B$1:$B$15025,MATCH($A149,CS!$B:$B,0)+COLUMN(F$1),1),""))</f>
        <v/>
      </c>
      <c r="BM149" s="37" t="str">
        <f t="array" ref="BM149">IF($A149="","",IFERROR(INDEX(CS!$B$1:$B$15025,MATCH($A149,CS!$B:$B,0)+COLUMN(G$1),1),""))</f>
        <v>空撃</v>
      </c>
      <c r="BN149" s="37" t="str">
        <f t="array" ref="BN149">IF($A149="","",IFERROR(INDEX(CS!$B$1:$B$15025,MATCH($A149,CS!$B:$B,0)+COLUMN(H$1),1),""))</f>
        <v/>
      </c>
      <c r="BO149" s="37" t="str">
        <f t="array" ref="BO149">IF($A149="","",IFERROR(INDEX(CS!$B$1:$B$15025,MATCH($A149,CS!$B:$B,0)+COLUMN(I$1),1),""))</f>
        <v>野生感覚</v>
      </c>
      <c r="BP149" s="37" t="str">
        <f t="array" ref="BP149">IF($A149="","",IFERROR(INDEX(CS!$B$1:$B$15025,MATCH($A149,CS!$B:$B,0)+COLUMN(J$1),1),""))</f>
        <v>観測者</v>
      </c>
      <c r="BR149" s="39" t="s">
        <v>2851</v>
      </c>
      <c r="BS149" s="74"/>
      <c r="CG149" s="37" t="s">
        <v>2813</v>
      </c>
      <c r="CJ149" s="37" t="s">
        <v>2807</v>
      </c>
      <c r="CK149" s="37" t="s">
        <v>2800</v>
      </c>
      <c r="CN149" s="37" t="s">
        <v>2812</v>
      </c>
    </row>
    <row r="150" ht="18.75" customHeight="1" outlineLevel="1">
      <c r="A150" s="39" t="s">
        <v>2257</v>
      </c>
      <c r="B150" s="71"/>
      <c r="C150" s="39" t="s">
        <v>2810</v>
      </c>
      <c r="D150" s="72" t="str">
        <f t="shared" si="5"/>
        <v>760/465/295</v>
      </c>
      <c r="E150" s="39">
        <v>2.0</v>
      </c>
      <c r="F150" s="39">
        <v>75.0</v>
      </c>
      <c r="I150" s="39">
        <v>75.0</v>
      </c>
      <c r="J150" s="39">
        <v>65.0</v>
      </c>
      <c r="K150" s="87">
        <v>25.0</v>
      </c>
      <c r="L150" s="39">
        <v>55.0</v>
      </c>
      <c r="M150" s="39">
        <v>80.0</v>
      </c>
      <c r="N150" s="39">
        <v>90.0</v>
      </c>
      <c r="P150" s="37">
        <v>0.0</v>
      </c>
      <c r="Q150" s="64"/>
      <c r="R150" s="64"/>
      <c r="S150" s="64"/>
      <c r="T150" s="64"/>
      <c r="U150" s="64"/>
      <c r="V150" s="64"/>
      <c r="W150" s="64"/>
      <c r="X150" s="64"/>
      <c r="Y150" s="64"/>
      <c r="Z150" s="64"/>
      <c r="AA150" s="64"/>
      <c r="AJ150" s="37">
        <v>0.0</v>
      </c>
      <c r="AK150" s="37">
        <v>20.0</v>
      </c>
      <c r="AL150" s="37">
        <v>5.0</v>
      </c>
      <c r="AM150" s="37">
        <v>55.0</v>
      </c>
      <c r="AN150" s="37">
        <v>35.0</v>
      </c>
      <c r="AO150" s="37">
        <v>0.0</v>
      </c>
      <c r="AP150" s="37">
        <v>0.0</v>
      </c>
      <c r="AQ150" s="37">
        <v>90.0</v>
      </c>
      <c r="AR150" s="37">
        <v>90.0</v>
      </c>
      <c r="AS150" s="37">
        <v>0.0</v>
      </c>
      <c r="AT150" s="37">
        <v>0.0</v>
      </c>
      <c r="AU150" s="37">
        <v>0.0</v>
      </c>
      <c r="AV150" s="37">
        <v>0.0</v>
      </c>
      <c r="AW150" s="37">
        <v>0.0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執念の追跡</v>
      </c>
      <c r="BJ150" s="37" t="str">
        <f t="array" ref="BJ150">IF($A150="","",IFERROR(INDEX(CS!$B$1:$B$15025,MATCH($A150,CS!$B:$B,0)+COLUMN(D$1),1),""))</f>
        <v/>
      </c>
      <c r="BK150" s="37" t="str">
        <f t="array" ref="BK150">IF($A150="","",IFERROR(INDEX(CS!$B$1:$B$15025,MATCH($A150,CS!$B:$B,0)+COLUMN(E$1),1),""))</f>
        <v>奇襲</v>
      </c>
      <c r="BL150" s="37" t="str">
        <f t="array" ref="BL150">IF($A150="","",IFERROR(INDEX(CS!$B$1:$B$15025,MATCH($A150,CS!$B:$B,0)+COLUMN(F$1),1),""))</f>
        <v/>
      </c>
      <c r="BM150" s="37" t="str">
        <f t="array" ref="BM150">IF($A150="","",IFERROR(INDEX(CS!$B$1:$B$15025,MATCH($A150,CS!$B:$B,0)+COLUMN(G$1),1),""))</f>
        <v>痛撃</v>
      </c>
      <c r="BN150" s="37" t="str">
        <f t="array" ref="BN150">IF($A150="","",IFERROR(INDEX(CS!$B$1:$B$15025,MATCH($A150,CS!$B:$B,0)+COLUMN(H$1),1),""))</f>
        <v/>
      </c>
      <c r="BO150" s="37" t="str">
        <f t="array" ref="BO150">IF($A150="","",IFERROR(INDEX(CS!$B$1:$B$15025,MATCH($A150,CS!$B:$B,0)+COLUMN(I$1),1),""))</f>
        <v>狙い</v>
      </c>
      <c r="BP150" s="37" t="str">
        <f t="array" ref="BP150">IF($A150="","",IFERROR(INDEX(CS!$B$1:$B$15025,MATCH($A150,CS!$B:$B,0)+COLUMN(J$1),1),""))</f>
        <v>追跡者</v>
      </c>
      <c r="BR150" s="39" t="s">
        <v>2850</v>
      </c>
      <c r="BS150" s="74"/>
      <c r="CG150" s="37" t="s">
        <v>2813</v>
      </c>
      <c r="CJ150" s="37" t="s">
        <v>2807</v>
      </c>
      <c r="CK150" s="37" t="s">
        <v>2800</v>
      </c>
      <c r="CN150" s="37" t="s">
        <v>2812</v>
      </c>
    </row>
    <row r="151" ht="18.75" customHeight="1" outlineLevel="1">
      <c r="A151" s="39" t="s">
        <v>2260</v>
      </c>
      <c r="B151" s="71"/>
      <c r="C151" s="39" t="s">
        <v>2810</v>
      </c>
      <c r="D151" s="72" t="str">
        <f t="shared" si="5"/>
        <v>780/485/295</v>
      </c>
      <c r="E151" s="39">
        <v>3.0</v>
      </c>
      <c r="F151" s="39">
        <v>75.0</v>
      </c>
      <c r="I151" s="39">
        <v>85.0</v>
      </c>
      <c r="J151" s="39">
        <v>65.0</v>
      </c>
      <c r="K151" s="87">
        <v>25.0</v>
      </c>
      <c r="L151" s="39">
        <v>50.0</v>
      </c>
      <c r="M151" s="39">
        <v>90.0</v>
      </c>
      <c r="N151" s="39">
        <v>95.0</v>
      </c>
      <c r="P151" s="37">
        <v>0.0</v>
      </c>
      <c r="Q151" s="64"/>
      <c r="R151" s="64"/>
      <c r="S151" s="64"/>
      <c r="T151" s="64"/>
      <c r="U151" s="64"/>
      <c r="V151" s="64"/>
      <c r="W151" s="64"/>
      <c r="X151" s="64"/>
      <c r="Y151" s="64"/>
      <c r="Z151" s="64"/>
      <c r="AA151" s="64"/>
      <c r="AJ151" s="37">
        <v>0.0</v>
      </c>
      <c r="AK151" s="37">
        <v>20.0</v>
      </c>
      <c r="AL151" s="37">
        <v>5.0</v>
      </c>
      <c r="AM151" s="37">
        <v>55.0</v>
      </c>
      <c r="AN151" s="37">
        <v>35.0</v>
      </c>
      <c r="AO151" s="37">
        <v>0.0</v>
      </c>
      <c r="AP151" s="37">
        <v>0.0</v>
      </c>
      <c r="AQ151" s="37">
        <v>90.0</v>
      </c>
      <c r="AR151" s="37">
        <v>90.0</v>
      </c>
      <c r="AS151" s="37">
        <v>0.0</v>
      </c>
      <c r="AT151" s="37">
        <v>0.0</v>
      </c>
      <c r="AU151" s="37">
        <v>0.0</v>
      </c>
      <c r="AV151" s="37">
        <v>0.0</v>
      </c>
      <c r="AW151" s="37">
        <v>0.0</v>
      </c>
      <c r="AX151" s="37">
        <v>0.0</v>
      </c>
      <c r="AY151" s="37">
        <v>0.0</v>
      </c>
      <c r="AZ151" s="37">
        <v>0.0</v>
      </c>
      <c r="BG151" s="37" t="str">
        <f t="array" ref="BG151">IF($A151="","",IFERROR(INDEX(CS!$B$1:$B$15025,MATCH($A151,CS!$B:$B,0)+COLUMN(A$1),1),""))</f>
        <v>急所撃</v>
      </c>
      <c r="BH151" s="37" t="str">
        <f t="array" ref="BH151">IF($A151="","",IFERROR(INDEX(CS!$B$1:$B$15025,MATCH($A151,CS!$B:$B,0)+COLUMN(B$1),1),""))</f>
        <v/>
      </c>
      <c r="BI151" s="37" t="str">
        <f t="array" ref="BI151">IF($A151="","",IFERROR(INDEX(CS!$B$1:$B$15025,MATCH($A151,CS!$B:$B,0)+COLUMN(C$1),1),""))</f>
        <v>追跡者</v>
      </c>
      <c r="BJ151" s="37" t="str">
        <f t="array" ref="BJ151">IF($A151="","",IFERROR(INDEX(CS!$B$1:$B$15025,MATCH($A151,CS!$B:$B,0)+COLUMN(D$1),1),""))</f>
        <v/>
      </c>
      <c r="BK151" s="37" t="str">
        <f t="array" ref="BK151">IF($A151="","",IFERROR(INDEX(CS!$B$1:$B$15025,MATCH($A151,CS!$B:$B,0)+COLUMN(E$1),1),""))</f>
        <v>奇襲</v>
      </c>
      <c r="BL151" s="37" t="str">
        <f t="array" ref="BL151">IF($A151="","",IFERROR(INDEX(CS!$B$1:$B$15025,MATCH($A151,CS!$B:$B,0)+COLUMN(F$1),1),""))</f>
        <v/>
      </c>
      <c r="BM151" s="37" t="str">
        <f t="array" ref="BM151">IF($A151="","",IFERROR(INDEX(CS!$B$1:$B$15025,MATCH($A151,CS!$B:$B,0)+COLUMN(G$1),1),""))</f>
        <v>痛撃</v>
      </c>
      <c r="BN151" s="37" t="str">
        <f t="array" ref="BN151">IF($A151="","",IFERROR(INDEX(CS!$B$1:$B$15025,MATCH($A151,CS!$B:$B,0)+COLUMN(H$1),1),""))</f>
        <v/>
      </c>
      <c r="BO151" s="37" t="str">
        <f t="array" ref="BO151">IF($A151="","",IFERROR(INDEX(CS!$B$1:$B$15025,MATCH($A151,CS!$B:$B,0)+COLUMN(I$1),1),""))</f>
        <v>狙い</v>
      </c>
      <c r="BP151" s="37" t="str">
        <f t="array" ref="BP151">IF($A151="","",IFERROR(INDEX(CS!$B$1:$B$15025,MATCH($A151,CS!$B:$B,0)+COLUMN(J$1),1),""))</f>
        <v>捕食者</v>
      </c>
      <c r="BR151" s="39" t="s">
        <v>2852</v>
      </c>
      <c r="BS151" s="74"/>
      <c r="CG151" s="37" t="s">
        <v>2813</v>
      </c>
      <c r="CJ151" s="37" t="s">
        <v>2807</v>
      </c>
      <c r="CK151" s="37" t="s">
        <v>2800</v>
      </c>
      <c r="CN151" s="37" t="s">
        <v>2812</v>
      </c>
    </row>
    <row r="152" ht="18.75" customHeight="1">
      <c r="B152" s="71"/>
      <c r="D152" s="72"/>
      <c r="K152" s="73"/>
      <c r="P152" s="37" t="s">
        <v>29</v>
      </c>
      <c r="Q152" s="64"/>
      <c r="R152" s="64"/>
      <c r="S152" s="64"/>
      <c r="T152" s="64"/>
      <c r="U152" s="64"/>
      <c r="V152" s="64"/>
      <c r="W152" s="64"/>
      <c r="X152" s="64"/>
      <c r="Y152" s="64"/>
      <c r="Z152" s="64"/>
      <c r="AA152" s="64"/>
      <c r="AJ152" s="37" t="s">
        <v>29</v>
      </c>
      <c r="AK152" s="37" t="s">
        <v>29</v>
      </c>
      <c r="AL152" s="37" t="s">
        <v>29</v>
      </c>
      <c r="AM152" s="37" t="s">
        <v>29</v>
      </c>
      <c r="AN152" s="37" t="s">
        <v>29</v>
      </c>
      <c r="AO152" s="37" t="s">
        <v>29</v>
      </c>
      <c r="AP152" s="37" t="s">
        <v>29</v>
      </c>
      <c r="AQ152" s="37" t="s">
        <v>29</v>
      </c>
      <c r="AR152" s="37" t="s">
        <v>29</v>
      </c>
      <c r="AS152" s="37" t="s">
        <v>29</v>
      </c>
      <c r="AT152" s="37" t="s">
        <v>29</v>
      </c>
      <c r="AU152" s="37" t="s">
        <v>29</v>
      </c>
      <c r="AV152" s="37" t="s">
        <v>29</v>
      </c>
      <c r="AW152" s="37" t="s">
        <v>29</v>
      </c>
      <c r="AX152" s="37" t="s">
        <v>29</v>
      </c>
      <c r="AY152" s="37" t="s">
        <v>29</v>
      </c>
      <c r="AZ152" s="37" t="s">
        <v>29</v>
      </c>
      <c r="BG152" s="37" t="str">
        <f t="array" ref="BG152">IF($A152="","", INDEX(CS!$B$1:$B$15025,MATCH($A152,CS!$B:$B,0)+COLUMN(A$1),1))</f>
        <v/>
      </c>
      <c r="BH152" s="37" t="str">
        <f t="array" ref="BH152">IF($A152="","", INDEX(CS!$B$1:$B$15025,MATCH($A152,CS!$B:$B,0)+COLUMN(B$1),1))</f>
        <v/>
      </c>
      <c r="BI152" s="37" t="str">
        <f t="array" ref="BI152">IF($A152="","", INDEX(CS!$B$1:$B$15025,MATCH($A152,CS!$B:$B,0)+COLUMN(C$1),1))</f>
        <v/>
      </c>
      <c r="BJ152" s="37" t="str">
        <f t="array" ref="BJ152">IF($A152="","", INDEX(CS!$B$1:$B$15025,MATCH($A152,CS!$B:$B,0)+COLUMN(D$1),1))</f>
        <v/>
      </c>
      <c r="BK152" s="37" t="str">
        <f t="array" ref="BK152">IF($A152="","", INDEX(CS!$B$1:$B$15025,MATCH($A152,CS!$B:$B,0)+COLUMN(E$1),1))</f>
        <v/>
      </c>
      <c r="BL152" s="37" t="str">
        <f t="array" ref="BL152">IF($A152="","", INDEX(CS!$B$1:$B$15025,MATCH($A152,CS!$B:$B,0)+COLUMN(F$1),1))</f>
        <v/>
      </c>
      <c r="BM152" s="37" t="str">
        <f t="array" ref="BM152">IF($A152="","", INDEX(CS!$B$1:$B$15025,MATCH($A152,CS!$B:$B,0)+COLUMN(G$1),1))</f>
        <v/>
      </c>
      <c r="BN152" s="37" t="str">
        <f t="array" ref="BN152">IF($A152="","", INDEX(CS!$B$1:$B$15025,MATCH($A152,CS!$B:$B,0)+COLUMN(H$1),1))</f>
        <v/>
      </c>
      <c r="BO152" s="37" t="str">
        <f t="array" ref="BO152">IF($A152="","", INDEX(CS!$B$1:$B$15025,MATCH($A152,CS!$B:$B,0)+COLUMN(I$1),1))</f>
        <v/>
      </c>
      <c r="BP152" s="37" t="str">
        <f t="array" ref="BP152">IF($A152="","", INDEX(CS!$B$1:$B$15025,MATCH($A152,CS!$B:$B,0)+COLUMN(J$1),1))</f>
        <v/>
      </c>
      <c r="BS152" s="74"/>
      <c r="CI152" s="37" t="s">
        <v>2826</v>
      </c>
      <c r="CJ152" s="37" t="s">
        <v>2807</v>
      </c>
      <c r="CK152" s="37" t="s">
        <v>2800</v>
      </c>
    </row>
    <row r="153" ht="18.75" customHeight="1">
      <c r="B153" s="85" t="s">
        <v>2853</v>
      </c>
      <c r="D153" s="72" t="str">
        <f t="shared" ref="D153:D166" si="6">SUM(AJ153:AZ153,F153:N153)&amp;"/"&amp;SUM(F153:N153)&amp;"/"&amp;SUM(AJ153:AZ153)</f>
        <v>0/0/0</v>
      </c>
      <c r="E153" s="37">
        <v>1.0</v>
      </c>
      <c r="K153" s="73"/>
      <c r="P153" s="37" t="s">
        <v>29</v>
      </c>
      <c r="Q153" s="64"/>
      <c r="R153" s="64"/>
      <c r="S153" s="64"/>
      <c r="T153" s="64"/>
      <c r="U153" s="64"/>
      <c r="V153" s="64"/>
      <c r="W153" s="64"/>
      <c r="X153" s="64"/>
      <c r="Y153" s="64"/>
      <c r="Z153" s="64"/>
      <c r="AA153" s="64"/>
      <c r="AJ153" s="37" t="s">
        <v>29</v>
      </c>
      <c r="AK153" s="37" t="s">
        <v>29</v>
      </c>
      <c r="AL153" s="37" t="s">
        <v>29</v>
      </c>
      <c r="AM153" s="37" t="s">
        <v>29</v>
      </c>
      <c r="AN153" s="37" t="s">
        <v>29</v>
      </c>
      <c r="AO153" s="37" t="s">
        <v>29</v>
      </c>
      <c r="AP153" s="37" t="s">
        <v>29</v>
      </c>
      <c r="AQ153" s="37" t="s">
        <v>29</v>
      </c>
      <c r="AR153" s="37" t="s">
        <v>29</v>
      </c>
      <c r="AS153" s="37" t="s">
        <v>29</v>
      </c>
      <c r="AT153" s="37" t="s">
        <v>29</v>
      </c>
      <c r="AU153" s="37" t="s">
        <v>29</v>
      </c>
      <c r="AV153" s="37" t="s">
        <v>29</v>
      </c>
      <c r="AW153" s="37" t="s">
        <v>29</v>
      </c>
      <c r="AX153" s="37" t="s">
        <v>29</v>
      </c>
      <c r="AY153" s="37" t="s">
        <v>29</v>
      </c>
      <c r="AZ153" s="37" t="s">
        <v>29</v>
      </c>
      <c r="BG153" s="37" t="str">
        <f t="array" ref="BG153">IF($A153="","", INDEX(CS!$B$1:$B$15025,MATCH($A153,CS!$B:$B,0)+COLUMN(A$1),1))</f>
        <v/>
      </c>
      <c r="BH153" s="37" t="str">
        <f t="array" ref="BH153">IF($A153="","", INDEX(CS!$B$1:$B$15025,MATCH($A153,CS!$B:$B,0)+COLUMN(B$1),1))</f>
        <v/>
      </c>
      <c r="BI153" s="37" t="str">
        <f t="array" ref="BI153">IF($A153="","", INDEX(CS!$B$1:$B$15025,MATCH($A153,CS!$B:$B,0)+COLUMN(C$1),1))</f>
        <v/>
      </c>
      <c r="BJ153" s="37" t="str">
        <f t="array" ref="BJ153">IF($A153="","", INDEX(CS!$B$1:$B$15025,MATCH($A153,CS!$B:$B,0)+COLUMN(D$1),1))</f>
        <v/>
      </c>
      <c r="BK153" s="37" t="str">
        <f t="array" ref="BK153">IF($A153="","", INDEX(CS!$B$1:$B$15025,MATCH($A153,CS!$B:$B,0)+COLUMN(E$1),1))</f>
        <v/>
      </c>
      <c r="BL153" s="37" t="str">
        <f t="array" ref="BL153">IF($A153="","", INDEX(CS!$B$1:$B$15025,MATCH($A153,CS!$B:$B,0)+COLUMN(F$1),1))</f>
        <v/>
      </c>
      <c r="BM153" s="37" t="str">
        <f t="array" ref="BM153">IF($A153="","", INDEX(CS!$B$1:$B$15025,MATCH($A153,CS!$B:$B,0)+COLUMN(G$1),1))</f>
        <v/>
      </c>
      <c r="BN153" s="37" t="str">
        <f t="array" ref="BN153">IF($A153="","", INDEX(CS!$B$1:$B$15025,MATCH($A153,CS!$B:$B,0)+COLUMN(H$1),1))</f>
        <v/>
      </c>
      <c r="BO153" s="37" t="str">
        <f t="array" ref="BO153">IF($A153="","", INDEX(CS!$B$1:$B$15025,MATCH($A153,CS!$B:$B,0)+COLUMN(I$1),1))</f>
        <v/>
      </c>
      <c r="BP153" s="37" t="str">
        <f t="array" ref="BP153">IF($A153="","", INDEX(CS!$B$1:$B$15025,MATCH($A153,CS!$B:$B,0)+COLUMN(J$1),1))</f>
        <v/>
      </c>
      <c r="BS153" s="74"/>
    </row>
    <row r="154" ht="18.75" customHeight="1" outlineLevel="1">
      <c r="A154" s="39" t="s">
        <v>2348</v>
      </c>
      <c r="B154" s="89"/>
      <c r="C154" s="39" t="s">
        <v>2808</v>
      </c>
      <c r="D154" s="72" t="str">
        <f t="shared" si="6"/>
        <v>725/470/255</v>
      </c>
      <c r="E154" s="39">
        <v>2.0</v>
      </c>
      <c r="F154" s="39">
        <v>85.0</v>
      </c>
      <c r="I154" s="39">
        <v>85.0</v>
      </c>
      <c r="J154" s="39">
        <v>75.0</v>
      </c>
      <c r="K154" s="87">
        <v>25.0</v>
      </c>
      <c r="L154" s="39">
        <v>45.0</v>
      </c>
      <c r="M154" s="39">
        <v>80.0</v>
      </c>
      <c r="N154" s="39">
        <v>75.0</v>
      </c>
      <c r="P154" s="37">
        <v>0.0</v>
      </c>
      <c r="Q154" s="64"/>
      <c r="R154" s="64"/>
      <c r="S154" s="64"/>
      <c r="T154" s="64"/>
      <c r="U154" s="64"/>
      <c r="V154" s="64"/>
      <c r="W154" s="64"/>
      <c r="X154" s="64"/>
      <c r="Y154" s="64"/>
      <c r="Z154" s="64"/>
      <c r="AA154" s="64"/>
      <c r="AJ154" s="37">
        <v>50.0</v>
      </c>
      <c r="AK154" s="37">
        <v>50.0</v>
      </c>
      <c r="AL154" s="37">
        <v>25.0</v>
      </c>
      <c r="AM154" s="37">
        <v>55.0</v>
      </c>
      <c r="AN154" s="37">
        <v>25.0</v>
      </c>
      <c r="AO154" s="37">
        <v>0.0</v>
      </c>
      <c r="AP154" s="37">
        <v>0.0</v>
      </c>
      <c r="AQ154" s="37">
        <v>0.0</v>
      </c>
      <c r="AR154" s="37">
        <v>25.0</v>
      </c>
      <c r="AS154" s="37">
        <v>0.0</v>
      </c>
      <c r="AT154" s="37">
        <v>0.0</v>
      </c>
      <c r="AU154" s="37">
        <v>0.0</v>
      </c>
      <c r="AV154" s="37">
        <v>0.0</v>
      </c>
      <c r="AW154" s="37">
        <v>25.0</v>
      </c>
      <c r="AX154" s="37">
        <v>0.0</v>
      </c>
      <c r="AY154" s="37">
        <v>0.0</v>
      </c>
      <c r="AZ154" s="37">
        <v>0.0</v>
      </c>
      <c r="BG154" s="37" t="str">
        <f t="array" ref="BG154">IF($A154="","",IFERROR(INDEX(CS!$B$1:$B$15025,MATCH($A154,CS!$B:$B,0)+COLUMN(A$1),1),""))</f>
        <v>闘気撃</v>
      </c>
      <c r="BH154" s="37" t="str">
        <f t="array" ref="BH154">IF($A154="","",IFERROR(INDEX(CS!$B$1:$B$15025,MATCH($A154,CS!$B:$B,0)+COLUMN(B$1),1),""))</f>
        <v>素手の扱い</v>
      </c>
      <c r="BI154" s="37" t="str">
        <f t="array" ref="BI154">IF($A154="","",IFERROR(INDEX(CS!$B$1:$B$15025,MATCH($A154,CS!$B:$B,0)+COLUMN(C$1),1),""))</f>
        <v>闘気速</v>
      </c>
      <c r="BJ154" s="37" t="str">
        <f t="array" ref="BJ154">IF($A154="","",IFERROR(INDEX(CS!$B$1:$B$15025,MATCH($A154,CS!$B:$B,0)+COLUMN(D$1),1),""))</f>
        <v>雄叫び</v>
      </c>
      <c r="BK154" s="37" t="str">
        <f t="array" ref="BK154">IF($A154="","",IFERROR(INDEX(CS!$B$1:$B$15025,MATCH($A154,CS!$B:$B,0)+COLUMN(E$1),1),""))</f>
        <v>反応</v>
      </c>
      <c r="BL154" s="37" t="str">
        <f t="array" ref="BL154">IF($A154="","",IFERROR(INDEX(CS!$B$1:$B$15025,MATCH($A154,CS!$B:$B,0)+COLUMN(F$1),1),""))</f>
        <v/>
      </c>
      <c r="BM154" s="37" t="str">
        <f t="array" ref="BM154">IF($A154="","",IFERROR(INDEX(CS!$B$1:$B$15025,MATCH($A154,CS!$B:$B,0)+COLUMN(G$1),1),""))</f>
        <v>一閃撃</v>
      </c>
      <c r="BN154" s="37" t="str">
        <f t="array" ref="BN154">IF($A154="","",IFERROR(INDEX(CS!$B$1:$B$15025,MATCH($A154,CS!$B:$B,0)+COLUMN(H$1),1),""))</f>
        <v/>
      </c>
      <c r="BO154" s="37" t="str">
        <f t="array" ref="BO154">IF($A154="","",IFERROR(INDEX(CS!$B$1:$B$15025,MATCH($A154,CS!$B:$B,0)+COLUMN(I$1),1),""))</f>
        <v/>
      </c>
      <c r="BP154" s="37" t="str">
        <f t="array" ref="BP154">IF($A154="","",IFERROR(INDEX(CS!$B$1:$B$15025,MATCH($A154,CS!$B:$B,0)+COLUMN(J$1),1),""))</f>
        <v>気の極意</v>
      </c>
      <c r="BR154" s="39" t="s">
        <v>2854</v>
      </c>
      <c r="BS154" s="74"/>
    </row>
    <row r="155" ht="18.75" customHeight="1" outlineLevel="1">
      <c r="A155" s="39" t="s">
        <v>2351</v>
      </c>
      <c r="B155" s="89"/>
      <c r="C155" s="39" t="s">
        <v>2808</v>
      </c>
      <c r="D155" s="72" t="str">
        <f t="shared" si="6"/>
        <v>725/470/255</v>
      </c>
      <c r="E155" s="39">
        <v>2.0</v>
      </c>
      <c r="F155" s="39">
        <v>85.0</v>
      </c>
      <c r="I155" s="39">
        <v>85.0</v>
      </c>
      <c r="J155" s="39">
        <v>75.0</v>
      </c>
      <c r="K155" s="87">
        <v>25.0</v>
      </c>
      <c r="L155" s="39">
        <v>45.0</v>
      </c>
      <c r="M155" s="39">
        <v>80.0</v>
      </c>
      <c r="N155" s="39">
        <v>75.0</v>
      </c>
      <c r="P155" s="37">
        <v>0.0</v>
      </c>
      <c r="Q155" s="64"/>
      <c r="R155" s="64"/>
      <c r="S155" s="64"/>
      <c r="T155" s="64"/>
      <c r="U155" s="64"/>
      <c r="V155" s="64"/>
      <c r="W155" s="64"/>
      <c r="X155" s="64"/>
      <c r="Y155" s="64"/>
      <c r="Z155" s="64"/>
      <c r="AA155" s="64"/>
      <c r="AJ155" s="37">
        <v>50.0</v>
      </c>
      <c r="AK155" s="37">
        <v>50.0</v>
      </c>
      <c r="AL155" s="37">
        <v>25.0</v>
      </c>
      <c r="AM155" s="37">
        <v>55.0</v>
      </c>
      <c r="AN155" s="37">
        <v>25.0</v>
      </c>
      <c r="AO155" s="37">
        <v>0.0</v>
      </c>
      <c r="AP155" s="37">
        <v>0.0</v>
      </c>
      <c r="AQ155" s="37">
        <v>0.0</v>
      </c>
      <c r="AR155" s="37">
        <v>25.0</v>
      </c>
      <c r="AS155" s="37">
        <v>0.0</v>
      </c>
      <c r="AT155" s="37">
        <v>0.0</v>
      </c>
      <c r="AU155" s="37">
        <v>0.0</v>
      </c>
      <c r="AV155" s="37">
        <v>0.0</v>
      </c>
      <c r="AW155" s="37">
        <v>25.0</v>
      </c>
      <c r="AX155" s="37">
        <v>0.0</v>
      </c>
      <c r="AY155" s="37">
        <v>0.0</v>
      </c>
      <c r="AZ155" s="37">
        <v>0.0</v>
      </c>
      <c r="BG155" s="37" t="str">
        <f t="array" ref="BG155">IF($A155="","",IFERROR(INDEX(CS!$B$1:$B$15025,MATCH($A155,CS!$B:$B,0)+COLUMN(A$1),1),""))</f>
        <v>連打</v>
      </c>
      <c r="BH155" s="37" t="str">
        <f t="array" ref="BH155">IF($A155="","",IFERROR(INDEX(CS!$B$1:$B$15025,MATCH($A155,CS!$B:$B,0)+COLUMN(B$1),1),""))</f>
        <v/>
      </c>
      <c r="BI155" s="37" t="str">
        <f t="array" ref="BI155">IF($A155="","",IFERROR(INDEX(CS!$B$1:$B$15025,MATCH($A155,CS!$B:$B,0)+COLUMN(C$1),1),""))</f>
        <v>打撃姿勢</v>
      </c>
      <c r="BJ155" s="37" t="str">
        <f t="array" ref="BJ155">IF($A155="","",IFERROR(INDEX(CS!$B$1:$B$15025,MATCH($A155,CS!$B:$B,0)+COLUMN(D$1),1),""))</f>
        <v/>
      </c>
      <c r="BK155" s="37" t="str">
        <f t="array" ref="BK155">IF($A155="","",IFERROR(INDEX(CS!$B$1:$B$15025,MATCH($A155,CS!$B:$B,0)+COLUMN(E$1),1),""))</f>
        <v>強打</v>
      </c>
      <c r="BL155" s="37" t="str">
        <f t="array" ref="BL155">IF($A155="","",IFERROR(INDEX(CS!$B$1:$B$15025,MATCH($A155,CS!$B:$B,0)+COLUMN(F$1),1),""))</f>
        <v/>
      </c>
      <c r="BM155" s="37" t="str">
        <f t="array" ref="BM155">IF($A155="","",IFERROR(INDEX(CS!$B$1:$B$15025,MATCH($A155,CS!$B:$B,0)+COLUMN(G$1),1),""))</f>
        <v>踏み込み</v>
      </c>
      <c r="BN155" s="37" t="str">
        <f t="array" ref="BN155">IF($A155="","",IFERROR(INDEX(CS!$B$1:$B$15025,MATCH($A155,CS!$B:$B,0)+COLUMN(H$1),1),""))</f>
        <v/>
      </c>
      <c r="BO155" s="37" t="str">
        <f t="array" ref="BO155">IF($A155="","",IFERROR(INDEX(CS!$B$1:$B$15025,MATCH($A155,CS!$B:$B,0)+COLUMN(I$1),1),""))</f>
        <v>拳の極み</v>
      </c>
      <c r="BP155" s="37" t="str">
        <f t="array" ref="BP155">IF($A155="","",IFERROR(INDEX(CS!$B$1:$B$15025,MATCH($A155,CS!$B:$B,0)+COLUMN(J$1),1),""))</f>
        <v>連環撃</v>
      </c>
      <c r="BR155" s="39" t="s">
        <v>2854</v>
      </c>
      <c r="BS155" s="74"/>
    </row>
    <row r="156" ht="18.75" customHeight="1" outlineLevel="1">
      <c r="A156" s="39" t="s">
        <v>2364</v>
      </c>
      <c r="B156" s="89"/>
      <c r="C156" s="39" t="s">
        <v>2808</v>
      </c>
      <c r="D156" s="72" t="str">
        <f t="shared" si="6"/>
        <v>725/470/255</v>
      </c>
      <c r="E156" s="39">
        <v>2.0</v>
      </c>
      <c r="F156" s="39">
        <v>85.0</v>
      </c>
      <c r="I156" s="39">
        <v>85.0</v>
      </c>
      <c r="J156" s="39">
        <v>75.0</v>
      </c>
      <c r="K156" s="87">
        <v>25.0</v>
      </c>
      <c r="L156" s="39">
        <v>45.0</v>
      </c>
      <c r="M156" s="39">
        <v>80.0</v>
      </c>
      <c r="N156" s="39">
        <v>75.0</v>
      </c>
      <c r="P156" s="37">
        <v>0.0</v>
      </c>
      <c r="Q156" s="64"/>
      <c r="R156" s="64"/>
      <c r="S156" s="64"/>
      <c r="T156" s="64"/>
      <c r="U156" s="64"/>
      <c r="V156" s="64"/>
      <c r="W156" s="64"/>
      <c r="X156" s="64"/>
      <c r="Y156" s="64"/>
      <c r="Z156" s="64"/>
      <c r="AA156" s="64"/>
      <c r="AJ156" s="37">
        <v>50.0</v>
      </c>
      <c r="AK156" s="37">
        <v>50.0</v>
      </c>
      <c r="AL156" s="37">
        <v>25.0</v>
      </c>
      <c r="AM156" s="37">
        <v>55.0</v>
      </c>
      <c r="AN156" s="37">
        <v>25.0</v>
      </c>
      <c r="AO156" s="37">
        <v>0.0</v>
      </c>
      <c r="AP156" s="37">
        <v>0.0</v>
      </c>
      <c r="AQ156" s="37">
        <v>0.0</v>
      </c>
      <c r="AR156" s="37">
        <v>25.0</v>
      </c>
      <c r="AS156" s="37">
        <v>0.0</v>
      </c>
      <c r="AT156" s="37">
        <v>0.0</v>
      </c>
      <c r="AU156" s="37">
        <v>0.0</v>
      </c>
      <c r="AV156" s="37">
        <v>0.0</v>
      </c>
      <c r="AW156" s="37">
        <v>25.0</v>
      </c>
      <c r="AX156" s="37">
        <v>0.0</v>
      </c>
      <c r="AY156" s="37">
        <v>0.0</v>
      </c>
      <c r="AZ156" s="37">
        <v>0.0</v>
      </c>
      <c r="BG156" s="37" t="str">
        <f t="array" ref="BG156">IF($A156="","",IFERROR(INDEX(CS!$B$1:$B$15025,MATCH($A156,CS!$B:$B,0)+COLUMN(A$1),1),""))</f>
        <v>掌打</v>
      </c>
      <c r="BH156" s="37" t="str">
        <f t="array" ref="BH156">IF($A156="","",IFERROR(INDEX(CS!$B$1:$B$15025,MATCH($A156,CS!$B:$B,0)+COLUMN(B$1),1),""))</f>
        <v/>
      </c>
      <c r="BI156" s="37" t="str">
        <f t="array" ref="BI156">IF($A156="","",IFERROR(INDEX(CS!$B$1:$B$15025,MATCH($A156,CS!$B:$B,0)+COLUMN(C$1),1),""))</f>
        <v>武術の構え</v>
      </c>
      <c r="BJ156" s="37" t="str">
        <f t="array" ref="BJ156">IF($A156="","",IFERROR(INDEX(CS!$B$1:$B$15025,MATCH($A156,CS!$B:$B,0)+COLUMN(D$1),1),""))</f>
        <v/>
      </c>
      <c r="BK156" s="37" t="str">
        <f t="array" ref="BK156">IF($A156="","",IFERROR(INDEX(CS!$B$1:$B$15025,MATCH($A156,CS!$B:$B,0)+COLUMN(E$1),1),""))</f>
        <v>崩拳</v>
      </c>
      <c r="BL156" s="37" t="str">
        <f t="array" ref="BL156">IF($A156="","",IFERROR(INDEX(CS!$B$1:$B$15025,MATCH($A156,CS!$B:$B,0)+COLUMN(F$1),1),""))</f>
        <v/>
      </c>
      <c r="BM156" s="37" t="str">
        <f t="array" ref="BM156">IF($A156="","",IFERROR(INDEX(CS!$B$1:$B$15025,MATCH($A156,CS!$B:$B,0)+COLUMN(G$1),1),""))</f>
        <v>回し蹴り</v>
      </c>
      <c r="BN156" s="37" t="str">
        <f t="array" ref="BN156">IF($A156="","",IFERROR(INDEX(CS!$B$1:$B$15025,MATCH($A156,CS!$B:$B,0)+COLUMN(H$1),1),""))</f>
        <v/>
      </c>
      <c r="BO156" s="37" t="str">
        <f t="array" ref="BO156">IF($A156="","",IFERROR(INDEX(CS!$B$1:$B$15025,MATCH($A156,CS!$B:$B,0)+COLUMN(I$1),1),""))</f>
        <v>武術の心得</v>
      </c>
      <c r="BP156" s="37" t="str">
        <f t="array" ref="BP156">IF($A156="","",IFERROR(INDEX(CS!$B$1:$B$15025,MATCH($A156,CS!$B:$B,0)+COLUMN(J$1),1),""))</f>
        <v>無拍子</v>
      </c>
      <c r="BR156" s="39" t="s">
        <v>2854</v>
      </c>
      <c r="BS156" s="74"/>
    </row>
    <row r="157" ht="18.75" customHeight="1" outlineLevel="1">
      <c r="A157" s="39" t="s">
        <v>2377</v>
      </c>
      <c r="B157" s="89"/>
      <c r="C157" s="39" t="s">
        <v>2808</v>
      </c>
      <c r="D157" s="72" t="str">
        <f t="shared" si="6"/>
        <v>740/485/255</v>
      </c>
      <c r="E157" s="39">
        <v>3.0</v>
      </c>
      <c r="F157" s="39">
        <v>90.0</v>
      </c>
      <c r="I157" s="39">
        <v>90.0</v>
      </c>
      <c r="J157" s="39">
        <v>75.0</v>
      </c>
      <c r="K157" s="87">
        <v>25.0</v>
      </c>
      <c r="L157" s="39">
        <v>45.0</v>
      </c>
      <c r="M157" s="39">
        <v>85.0</v>
      </c>
      <c r="N157" s="39">
        <v>75.0</v>
      </c>
      <c r="P157" s="37">
        <v>0.0</v>
      </c>
      <c r="Q157" s="64"/>
      <c r="R157" s="64"/>
      <c r="S157" s="64"/>
      <c r="T157" s="64"/>
      <c r="U157" s="64"/>
      <c r="V157" s="64"/>
      <c r="W157" s="64"/>
      <c r="X157" s="64"/>
      <c r="Y157" s="64"/>
      <c r="Z157" s="64"/>
      <c r="AA157" s="64"/>
      <c r="AJ157" s="37">
        <v>50.0</v>
      </c>
      <c r="AK157" s="37">
        <v>50.0</v>
      </c>
      <c r="AL157" s="37">
        <v>25.0</v>
      </c>
      <c r="AM157" s="37">
        <v>55.0</v>
      </c>
      <c r="AN157" s="37">
        <v>25.0</v>
      </c>
      <c r="AO157" s="37">
        <v>0.0</v>
      </c>
      <c r="AP157" s="37">
        <v>0.0</v>
      </c>
      <c r="AQ157" s="37">
        <v>0.0</v>
      </c>
      <c r="AR157" s="37">
        <v>25.0</v>
      </c>
      <c r="AS157" s="37">
        <v>0.0</v>
      </c>
      <c r="AT157" s="37">
        <v>0.0</v>
      </c>
      <c r="AU157" s="37">
        <v>0.0</v>
      </c>
      <c r="AV157" s="37">
        <v>0.0</v>
      </c>
      <c r="AW157" s="37">
        <v>25.0</v>
      </c>
      <c r="AX157" s="37">
        <v>0.0</v>
      </c>
      <c r="AY157" s="37">
        <v>0.0</v>
      </c>
      <c r="AZ157" s="37">
        <v>0.0</v>
      </c>
      <c r="BG157" s="37" t="str">
        <f t="array" ref="BG157">IF($A157="","",IFERROR(INDEX(CS!$B$1:$B$15025,MATCH($A157,CS!$B:$B,0)+COLUMN(A$1),1),""))</f>
        <v>崩拳</v>
      </c>
      <c r="BH157" s="37" t="str">
        <f t="array" ref="BH157">IF($A157="","",IFERROR(INDEX(CS!$B$1:$B$15025,MATCH($A157,CS!$B:$B,0)+COLUMN(B$1),1),""))</f>
        <v/>
      </c>
      <c r="BI157" s="37" t="str">
        <f t="array" ref="BI157">IF($A157="","",IFERROR(INDEX(CS!$B$1:$B$15025,MATCH($A157,CS!$B:$B,0)+COLUMN(C$1),1),""))</f>
        <v>達人の構え</v>
      </c>
      <c r="BJ157" s="37" t="str">
        <f t="array" ref="BJ157">IF($A157="","",IFERROR(INDEX(CS!$B$1:$B$15025,MATCH($A157,CS!$B:$B,0)+COLUMN(D$1),1),""))</f>
        <v/>
      </c>
      <c r="BK157" s="37" t="str">
        <f t="array" ref="BK157">IF($A157="","",IFERROR(INDEX(CS!$B$1:$B$15025,MATCH($A157,CS!$B:$B,0)+COLUMN(E$1),1),""))</f>
        <v>連環撃</v>
      </c>
      <c r="BL157" s="37" t="str">
        <f t="array" ref="BL157">IF($A157="","",IFERROR(INDEX(CS!$B$1:$B$15025,MATCH($A157,CS!$B:$B,0)+COLUMN(F$1),1),""))</f>
        <v/>
      </c>
      <c r="BM157" s="37" t="str">
        <f t="array" ref="BM157">IF($A157="","",IFERROR(INDEX(CS!$B$1:$B$15025,MATCH($A157,CS!$B:$B,0)+COLUMN(G$1),1),""))</f>
        <v>縮地</v>
      </c>
      <c r="BN157" s="37" t="str">
        <f t="array" ref="BN157">IF($A157="","",IFERROR(INDEX(CS!$B$1:$B$15025,MATCH($A157,CS!$B:$B,0)+COLUMN(H$1),1),""))</f>
        <v/>
      </c>
      <c r="BO157" s="37" t="str">
        <f t="array" ref="BO157">IF($A157="","",IFERROR(INDEX(CS!$B$1:$B$15025,MATCH($A157,CS!$B:$B,0)+COLUMN(I$1),1),""))</f>
        <v>見極</v>
      </c>
      <c r="BP157" s="37" t="str">
        <f t="array" ref="BP157">IF($A157="","",IFERROR(INDEX(CS!$B$1:$B$15025,MATCH($A157,CS!$B:$B,0)+COLUMN(J$1),1),""))</f>
        <v>奥義・震脚</v>
      </c>
      <c r="BR157" s="39" t="s">
        <v>2855</v>
      </c>
      <c r="BS157" s="74"/>
    </row>
    <row r="158" ht="18.75" customHeight="1" outlineLevel="1">
      <c r="A158" s="39" t="s">
        <v>2382</v>
      </c>
      <c r="B158" s="89"/>
      <c r="C158" s="39" t="s">
        <v>2808</v>
      </c>
      <c r="D158" s="72" t="str">
        <f t="shared" si="6"/>
        <v>755/500/255</v>
      </c>
      <c r="E158" s="39">
        <v>4.0</v>
      </c>
      <c r="F158" s="39">
        <v>95.0</v>
      </c>
      <c r="I158" s="39">
        <v>95.0</v>
      </c>
      <c r="J158" s="39">
        <v>75.0</v>
      </c>
      <c r="K158" s="87">
        <v>25.0</v>
      </c>
      <c r="L158" s="39">
        <v>45.0</v>
      </c>
      <c r="M158" s="39">
        <v>90.0</v>
      </c>
      <c r="N158" s="39">
        <v>75.0</v>
      </c>
      <c r="P158" s="37">
        <v>0.0</v>
      </c>
      <c r="Q158" s="64"/>
      <c r="R158" s="64"/>
      <c r="S158" s="64"/>
      <c r="T158" s="64"/>
      <c r="U158" s="64"/>
      <c r="V158" s="64"/>
      <c r="W158" s="64"/>
      <c r="X158" s="64"/>
      <c r="Y158" s="64"/>
      <c r="Z158" s="64"/>
      <c r="AA158" s="64"/>
      <c r="AJ158" s="37">
        <v>50.0</v>
      </c>
      <c r="AK158" s="37">
        <v>50.0</v>
      </c>
      <c r="AL158" s="37">
        <v>25.0</v>
      </c>
      <c r="AM158" s="37">
        <v>55.0</v>
      </c>
      <c r="AN158" s="37">
        <v>25.0</v>
      </c>
      <c r="AO158" s="37">
        <v>0.0</v>
      </c>
      <c r="AP158" s="37">
        <v>0.0</v>
      </c>
      <c r="AQ158" s="37">
        <v>0.0</v>
      </c>
      <c r="AR158" s="37">
        <v>25.0</v>
      </c>
      <c r="AS158" s="37">
        <v>0.0</v>
      </c>
      <c r="AT158" s="37">
        <v>0.0</v>
      </c>
      <c r="AU158" s="37">
        <v>0.0</v>
      </c>
      <c r="AV158" s="37">
        <v>0.0</v>
      </c>
      <c r="AW158" s="37">
        <v>25.0</v>
      </c>
      <c r="AX158" s="37">
        <v>0.0</v>
      </c>
      <c r="AY158" s="37">
        <v>0.0</v>
      </c>
      <c r="AZ158" s="37">
        <v>0.0</v>
      </c>
      <c r="BG158" s="37" t="str">
        <f t="array" ref="BG158">IF($A158="","",IFERROR(INDEX(CS!$B$1:$B$15025,MATCH($A158,CS!$B:$B,0)+COLUMN(A$1),1),""))</f>
        <v>無拍子</v>
      </c>
      <c r="BH158" s="37" t="str">
        <f t="array" ref="BH158">IF($A158="","",IFERROR(INDEX(CS!$B$1:$B$15025,MATCH($A158,CS!$B:$B,0)+COLUMN(B$1),1),""))</f>
        <v/>
      </c>
      <c r="BI158" s="37" t="str">
        <f t="array" ref="BI158">IF($A158="","",IFERROR(INDEX(CS!$B$1:$B$15025,MATCH($A158,CS!$B:$B,0)+COLUMN(C$1),1),""))</f>
        <v>達人の構え</v>
      </c>
      <c r="BJ158" s="37" t="str">
        <f t="array" ref="BJ158">IF($A158="","",IFERROR(INDEX(CS!$B$1:$B$15025,MATCH($A158,CS!$B:$B,0)+COLUMN(D$1),1),""))</f>
        <v/>
      </c>
      <c r="BK158" s="37" t="str">
        <f t="array" ref="BK158">IF($A158="","",IFERROR(INDEX(CS!$B$1:$B$15025,MATCH($A158,CS!$B:$B,0)+COLUMN(E$1),1),""))</f>
        <v>縮地・空</v>
      </c>
      <c r="BL158" s="37" t="str">
        <f t="array" ref="BL158">IF($A158="","",IFERROR(INDEX(CS!$B$1:$B$15025,MATCH($A158,CS!$B:$B,0)+COLUMN(F$1),1),""))</f>
        <v/>
      </c>
      <c r="BM158" s="37" t="str">
        <f t="array" ref="BM158">IF($A158="","",IFERROR(INDEX(CS!$B$1:$B$15025,MATCH($A158,CS!$B:$B,0)+COLUMN(G$1),1),""))</f>
        <v>神眼</v>
      </c>
      <c r="BN158" s="37" t="str">
        <f t="array" ref="BN158">IF($A158="","",IFERROR(INDEX(CS!$B$1:$B$15025,MATCH($A158,CS!$B:$B,0)+COLUMN(H$1),1),""))</f>
        <v/>
      </c>
      <c r="BO158" s="37" t="str">
        <f t="array" ref="BO158">IF($A158="","",IFERROR(INDEX(CS!$B$1:$B$15025,MATCH($A158,CS!$B:$B,0)+COLUMN(I$1),1),""))</f>
        <v>見極</v>
      </c>
      <c r="BP158" s="37" t="str">
        <f t="array" ref="BP158">IF($A158="","",IFERROR(INDEX(CS!$B$1:$B$15025,MATCH($A158,CS!$B:$B,0)+COLUMN(J$1),1),""))</f>
        <v>武神撃</v>
      </c>
      <c r="BR158" s="39" t="s">
        <v>2856</v>
      </c>
      <c r="BS158" s="74"/>
    </row>
    <row r="159" ht="18.75" customHeight="1" outlineLevel="1">
      <c r="A159" s="39" t="s">
        <v>2386</v>
      </c>
      <c r="B159" s="89"/>
      <c r="C159" s="39" t="s">
        <v>2808</v>
      </c>
      <c r="D159" s="72" t="str">
        <f t="shared" si="6"/>
        <v>760/465/295</v>
      </c>
      <c r="E159" s="39">
        <v>2.0</v>
      </c>
      <c r="F159" s="39">
        <v>80.0</v>
      </c>
      <c r="I159" s="39">
        <v>80.0</v>
      </c>
      <c r="J159" s="39">
        <v>65.0</v>
      </c>
      <c r="K159" s="87">
        <v>25.0</v>
      </c>
      <c r="L159" s="39">
        <v>55.0</v>
      </c>
      <c r="M159" s="39">
        <v>80.0</v>
      </c>
      <c r="N159" s="39">
        <v>80.0</v>
      </c>
      <c r="P159" s="37">
        <v>0.0</v>
      </c>
      <c r="Q159" s="64"/>
      <c r="R159" s="64"/>
      <c r="S159" s="64"/>
      <c r="T159" s="64"/>
      <c r="U159" s="64"/>
      <c r="V159" s="64"/>
      <c r="W159" s="64"/>
      <c r="X159" s="64"/>
      <c r="Y159" s="64"/>
      <c r="Z159" s="64"/>
      <c r="AA159" s="64"/>
      <c r="AJ159" s="37">
        <v>25.0</v>
      </c>
      <c r="AK159" s="37">
        <v>45.0</v>
      </c>
      <c r="AL159" s="37">
        <v>20.0</v>
      </c>
      <c r="AM159" s="37">
        <v>55.0</v>
      </c>
      <c r="AN159" s="37">
        <v>30.0</v>
      </c>
      <c r="AO159" s="37">
        <v>0.0</v>
      </c>
      <c r="AP159" s="37">
        <v>0.0</v>
      </c>
      <c r="AQ159" s="37">
        <v>50.0</v>
      </c>
      <c r="AR159" s="37">
        <v>55.0</v>
      </c>
      <c r="AS159" s="37">
        <v>0.0</v>
      </c>
      <c r="AT159" s="37">
        <v>0.0</v>
      </c>
      <c r="AU159" s="37">
        <v>0.0</v>
      </c>
      <c r="AV159" s="37">
        <v>0.0</v>
      </c>
      <c r="AW159" s="37">
        <v>15.0</v>
      </c>
      <c r="AX159" s="37">
        <v>0.0</v>
      </c>
      <c r="AY159" s="37">
        <v>0.0</v>
      </c>
      <c r="AZ159" s="37">
        <v>0.0</v>
      </c>
      <c r="BG159" s="37" t="str">
        <f t="array" ref="BG159">IF($A159="","",IFERROR(INDEX(CS!$B$1:$B$15025,MATCH($A159,CS!$B:$B,0)+COLUMN(A$1),1),""))</f>
        <v>潜伏</v>
      </c>
      <c r="BH159" s="37" t="str">
        <f t="array" ref="BH159">IF($A159="","",IFERROR(INDEX(CS!$B$1:$B$15025,MATCH($A159,CS!$B:$B,0)+COLUMN(B$1),1),""))</f>
        <v/>
      </c>
      <c r="BI159" s="37" t="str">
        <f t="array" ref="BI159">IF($A159="","",IFERROR(INDEX(CS!$B$1:$B$15025,MATCH($A159,CS!$B:$B,0)+COLUMN(C$1),1),""))</f>
        <v>奇襲</v>
      </c>
      <c r="BJ159" s="37" t="str">
        <f t="array" ref="BJ159">IF($A159="","",IFERROR(INDEX(CS!$B$1:$B$15025,MATCH($A159,CS!$B:$B,0)+COLUMN(D$1),1),""))</f>
        <v/>
      </c>
      <c r="BK159" s="37" t="str">
        <f t="array" ref="BK159">IF($A159="","",IFERROR(INDEX(CS!$B$1:$B$15025,MATCH($A159,CS!$B:$B,0)+COLUMN(E$1),1),""))</f>
        <v>縮地</v>
      </c>
      <c r="BL159" s="37" t="str">
        <f t="array" ref="BL159">IF($A159="","",IFERROR(INDEX(CS!$B$1:$B$15025,MATCH($A159,CS!$B:$B,0)+COLUMN(F$1),1),""))</f>
        <v/>
      </c>
      <c r="BM159" s="37" t="str">
        <f t="array" ref="BM159">IF($A159="","",IFERROR(INDEX(CS!$B$1:$B$15025,MATCH($A159,CS!$B:$B,0)+COLUMN(G$1),1),""))</f>
        <v>手裏剣</v>
      </c>
      <c r="BN159" s="37" t="str">
        <f t="array" ref="BN159">IF($A159="","",IFERROR(INDEX(CS!$B$1:$B$15025,MATCH($A159,CS!$B:$B,0)+COLUMN(H$1),1),""))</f>
        <v/>
      </c>
      <c r="BO159" s="37" t="str">
        <f t="array" ref="BO159">IF($A159="","",IFERROR(INDEX(CS!$B$1:$B$15025,MATCH($A159,CS!$B:$B,0)+COLUMN(I$1),1),""))</f>
        <v>反応</v>
      </c>
      <c r="BP159" s="37" t="str">
        <f t="array" ref="BP159">IF($A159="","",IFERROR(INDEX(CS!$B$1:$B$15025,MATCH($A159,CS!$B:$B,0)+COLUMN(J$1),1),""))</f>
        <v>忍殺</v>
      </c>
      <c r="BR159" s="39" t="s">
        <v>2857</v>
      </c>
      <c r="BS159" s="74"/>
    </row>
    <row r="160" ht="18.75" customHeight="1" outlineLevel="1">
      <c r="A160" s="39" t="s">
        <v>2391</v>
      </c>
      <c r="B160" s="89"/>
      <c r="C160" s="39" t="s">
        <v>2808</v>
      </c>
      <c r="D160" s="72" t="str">
        <f t="shared" si="6"/>
        <v>790/495/295</v>
      </c>
      <c r="E160" s="39">
        <v>3.0</v>
      </c>
      <c r="F160" s="39">
        <v>80.0</v>
      </c>
      <c r="I160" s="39">
        <v>90.0</v>
      </c>
      <c r="J160" s="39">
        <v>65.0</v>
      </c>
      <c r="K160" s="87">
        <v>25.0</v>
      </c>
      <c r="L160" s="39">
        <v>55.0</v>
      </c>
      <c r="M160" s="39">
        <v>90.0</v>
      </c>
      <c r="N160" s="39">
        <v>90.0</v>
      </c>
      <c r="P160" s="37">
        <v>0.0</v>
      </c>
      <c r="Q160" s="64"/>
      <c r="R160" s="64"/>
      <c r="S160" s="64"/>
      <c r="T160" s="64"/>
      <c r="U160" s="64"/>
      <c r="V160" s="64"/>
      <c r="W160" s="64"/>
      <c r="X160" s="64"/>
      <c r="Y160" s="64"/>
      <c r="Z160" s="64"/>
      <c r="AA160" s="64"/>
      <c r="AJ160" s="37">
        <v>25.0</v>
      </c>
      <c r="AK160" s="37">
        <v>45.0</v>
      </c>
      <c r="AL160" s="37">
        <v>20.0</v>
      </c>
      <c r="AM160" s="37">
        <v>55.0</v>
      </c>
      <c r="AN160" s="37">
        <v>30.0</v>
      </c>
      <c r="AO160" s="37">
        <v>0.0</v>
      </c>
      <c r="AP160" s="37">
        <v>0.0</v>
      </c>
      <c r="AQ160" s="37">
        <v>50.0</v>
      </c>
      <c r="AR160" s="37">
        <v>55.0</v>
      </c>
      <c r="AS160" s="37">
        <v>0.0</v>
      </c>
      <c r="AT160" s="37">
        <v>0.0</v>
      </c>
      <c r="AU160" s="37">
        <v>0.0</v>
      </c>
      <c r="AV160" s="37">
        <v>0.0</v>
      </c>
      <c r="AW160" s="37">
        <v>15.0</v>
      </c>
      <c r="AX160" s="37">
        <v>0.0</v>
      </c>
      <c r="AY160" s="37">
        <v>0.0</v>
      </c>
      <c r="AZ160" s="37">
        <v>0.0</v>
      </c>
      <c r="BG160" s="37" t="str">
        <f t="array" ref="BG160">IF($A160="","",IFERROR(INDEX(CS!$B$1:$B$15025,MATCH($A160,CS!$B:$B,0)+COLUMN(A$1),1),""))</f>
        <v>潜伏</v>
      </c>
      <c r="BH160" s="37" t="str">
        <f t="array" ref="BH160">IF($A160="","",IFERROR(INDEX(CS!$B$1:$B$15025,MATCH($A160,CS!$B:$B,0)+COLUMN(B$1),1),""))</f>
        <v/>
      </c>
      <c r="BI160" s="37" t="str">
        <f t="array" ref="BI160">IF($A160="","",IFERROR(INDEX(CS!$B$1:$B$15025,MATCH($A160,CS!$B:$B,0)+COLUMN(C$1),1),""))</f>
        <v>手裏剣</v>
      </c>
      <c r="BJ160" s="37" t="str">
        <f t="array" ref="BJ160">IF($A160="","",IFERROR(INDEX(CS!$B$1:$B$15025,MATCH($A160,CS!$B:$B,0)+COLUMN(D$1),1),""))</f>
        <v/>
      </c>
      <c r="BK160" s="37" t="str">
        <f t="array" ref="BK160">IF($A160="","",IFERROR(INDEX(CS!$B$1:$B$15025,MATCH($A160,CS!$B:$B,0)+COLUMN(E$1),1),""))</f>
        <v>影潜り</v>
      </c>
      <c r="BL160" s="37" t="str">
        <f t="array" ref="BL160">IF($A160="","",IFERROR(INDEX(CS!$B$1:$B$15025,MATCH($A160,CS!$B:$B,0)+COLUMN(F$1),1),""))</f>
        <v/>
      </c>
      <c r="BM160" s="37" t="str">
        <f t="array" ref="BM160">IF($A160="","",IFERROR(INDEX(CS!$B$1:$B$15025,MATCH($A160,CS!$B:$B,0)+COLUMN(G$1),1),""))</f>
        <v>神眼</v>
      </c>
      <c r="BN160" s="37" t="str">
        <f t="array" ref="BN160">IF($A160="","",IFERROR(INDEX(CS!$B$1:$B$15025,MATCH($A160,CS!$B:$B,0)+COLUMN(H$1),1),""))</f>
        <v/>
      </c>
      <c r="BO160" s="37" t="str">
        <f t="array" ref="BO160">IF($A160="","",IFERROR(INDEX(CS!$B$1:$B$15025,MATCH($A160,CS!$B:$B,0)+COLUMN(I$1),1),""))</f>
        <v>狡猾</v>
      </c>
      <c r="BP160" s="37" t="str">
        <f t="array" ref="BP160">IF($A160="","",IFERROR(INDEX(CS!$B$1:$B$15025,MATCH($A160,CS!$B:$B,0)+COLUMN(J$1),1),""))</f>
        <v>影殺</v>
      </c>
      <c r="BR160" s="39" t="s">
        <v>2858</v>
      </c>
      <c r="BS160" s="74"/>
    </row>
    <row r="161" ht="18.75" customHeight="1" outlineLevel="1">
      <c r="A161" s="39" t="s">
        <v>2395</v>
      </c>
      <c r="B161" s="89"/>
      <c r="C161" s="39" t="s">
        <v>2808</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炎の拳</v>
      </c>
      <c r="BH161" s="37" t="str">
        <f t="array" ref="BH161">IF($A161="","",IFERROR(INDEX(CS!$B$1:$B$15025,MATCH($A161,CS!$B:$B,0)+COLUMN(B$1),1),""))</f>
        <v/>
      </c>
      <c r="BI161" s="37" t="str">
        <f t="array" ref="BI161">IF($A161="","",IFERROR(INDEX(CS!$B$1:$B$15025,MATCH($A161,CS!$B:$B,0)+COLUMN(C$1),1),""))</f>
        <v>火炎</v>
      </c>
      <c r="BJ161" s="37" t="str">
        <f t="array" ref="BJ161">IF($A161="","",IFERROR(INDEX(CS!$B$1:$B$15025,MATCH($A161,CS!$B:$B,0)+COLUMN(D$1),1),""))</f>
        <v/>
      </c>
      <c r="BK161" s="37" t="str">
        <f t="array" ref="BK161">IF($A161="","",IFERROR(INDEX(CS!$B$1:$B$15025,MATCH($A161,CS!$B:$B,0)+COLUMN(E$1),1),""))</f>
        <v>炎の適用</v>
      </c>
      <c r="BL161" s="37" t="str">
        <f t="array" ref="BL161">IF($A161="","",IFERROR(INDEX(CS!$B$1:$B$15025,MATCH($A161,CS!$B:$B,0)+COLUMN(F$1),1),""))</f>
        <v/>
      </c>
      <c r="BM161" s="37" t="str">
        <f t="array" ref="BM161">IF($A161="","",IFERROR(INDEX(CS!$B$1:$B$15025,MATCH($A161,CS!$B:$B,0)+COLUMN(G$1),1),""))</f>
        <v>火球</v>
      </c>
      <c r="BN161" s="37" t="str">
        <f t="array" ref="BN161">IF($A161="","",IFERROR(INDEX(CS!$B$1:$B$15025,MATCH($A161,CS!$B:$B,0)+COLUMN(H$1),1),""))</f>
        <v/>
      </c>
      <c r="BO161" s="37" t="str">
        <f t="array" ref="BO161">IF($A161="","",IFERROR(INDEX(CS!$B$1:$B$15025,MATCH($A161,CS!$B:$B,0)+COLUMN(I$1),1),""))</f>
        <v>炎強化</v>
      </c>
      <c r="BP161" s="37" t="str">
        <f t="array" ref="BP161">IF($A161="","",IFERROR(INDEX(CS!$B$1:$B$15025,MATCH($A161,CS!$B:$B,0)+COLUMN(J$1),1),""))</f>
        <v>爆炎拳</v>
      </c>
      <c r="BR161" s="39" t="s">
        <v>2859</v>
      </c>
      <c r="BS161" s="74"/>
    </row>
    <row r="162" ht="18.75" customHeight="1" outlineLevel="1">
      <c r="A162" s="39" t="s">
        <v>2399</v>
      </c>
      <c r="B162" s="89"/>
      <c r="C162" s="39" t="s">
        <v>2808</v>
      </c>
      <c r="D162" s="72" t="str">
        <f t="shared" si="6"/>
        <v>760/475/285</v>
      </c>
      <c r="E162" s="39">
        <v>2.0</v>
      </c>
      <c r="F162" s="39">
        <v>70.0</v>
      </c>
      <c r="I162" s="39">
        <v>65.0</v>
      </c>
      <c r="J162" s="39">
        <v>65.0</v>
      </c>
      <c r="K162" s="87">
        <v>60.0</v>
      </c>
      <c r="L162" s="39">
        <v>70.0</v>
      </c>
      <c r="M162" s="39">
        <v>65.0</v>
      </c>
      <c r="N162" s="39">
        <v>80.0</v>
      </c>
      <c r="P162" s="37">
        <v>0.0</v>
      </c>
      <c r="Q162" s="64"/>
      <c r="R162" s="64"/>
      <c r="S162" s="64"/>
      <c r="T162" s="64"/>
      <c r="U162" s="64"/>
      <c r="V162" s="64"/>
      <c r="W162" s="64"/>
      <c r="X162" s="64"/>
      <c r="Y162" s="64"/>
      <c r="Z162" s="64"/>
      <c r="AA162" s="64"/>
      <c r="AJ162" s="37">
        <v>25.0</v>
      </c>
      <c r="AK162" s="37">
        <v>30.0</v>
      </c>
      <c r="AL162" s="37">
        <v>65.0</v>
      </c>
      <c r="AM162" s="37">
        <v>35.0</v>
      </c>
      <c r="AN162" s="37">
        <v>20.0</v>
      </c>
      <c r="AO162" s="37">
        <v>0.0</v>
      </c>
      <c r="AP162" s="37">
        <v>0.0</v>
      </c>
      <c r="AQ162" s="37">
        <v>0.0</v>
      </c>
      <c r="AR162" s="37">
        <v>15.0</v>
      </c>
      <c r="AS162" s="37">
        <v>0.0</v>
      </c>
      <c r="AT162" s="37">
        <v>0.0</v>
      </c>
      <c r="AU162" s="37">
        <v>0.0</v>
      </c>
      <c r="AV162" s="37">
        <v>0.0</v>
      </c>
      <c r="AW162" s="37">
        <v>40.0</v>
      </c>
      <c r="AX162" s="37">
        <v>0.0</v>
      </c>
      <c r="AY162" s="37">
        <v>55.0</v>
      </c>
      <c r="AZ162" s="37">
        <v>0.0</v>
      </c>
      <c r="BG162" s="37" t="str">
        <f t="array" ref="BG162">IF($A162="","",IFERROR(INDEX(CS!$B$1:$B$15025,MATCH($A162,CS!$B:$B,0)+COLUMN(A$1),1),""))</f>
        <v>氷の拳</v>
      </c>
      <c r="BH162" s="37" t="str">
        <f t="array" ref="BH162">IF($A162="","",IFERROR(INDEX(CS!$B$1:$B$15025,MATCH($A162,CS!$B:$B,0)+COLUMN(B$1),1),""))</f>
        <v/>
      </c>
      <c r="BI162" s="37" t="str">
        <f t="array" ref="BI162">IF($A162="","",IFERROR(INDEX(CS!$B$1:$B$15025,MATCH($A162,CS!$B:$B,0)+COLUMN(C$1),1),""))</f>
        <v>冷気の光線</v>
      </c>
      <c r="BJ162" s="37" t="str">
        <f t="array" ref="BJ162">IF($A162="","",IFERROR(INDEX(CS!$B$1:$B$15025,MATCH($A162,CS!$B:$B,0)+COLUMN(D$1),1),""))</f>
        <v/>
      </c>
      <c r="BK162" s="37" t="str">
        <f t="array" ref="BK162">IF($A162="","",IFERROR(INDEX(CS!$B$1:$B$15025,MATCH($A162,CS!$B:$B,0)+COLUMN(E$1),1),""))</f>
        <v>氷の適用</v>
      </c>
      <c r="BL162" s="37" t="str">
        <f t="array" ref="BL162">IF($A162="","",IFERROR(INDEX(CS!$B$1:$B$15025,MATCH($A162,CS!$B:$B,0)+COLUMN(F$1),1),""))</f>
        <v/>
      </c>
      <c r="BM162" s="37" t="str">
        <f t="array" ref="BM162">IF($A162="","",IFERROR(INDEX(CS!$B$1:$B$15025,MATCH($A162,CS!$B:$B,0)+COLUMN(G$1),1),""))</f>
        <v>氷柱弾</v>
      </c>
      <c r="BN162" s="37" t="str">
        <f t="array" ref="BN162">IF($A162="","",IFERROR(INDEX(CS!$B$1:$B$15025,MATCH($A162,CS!$B:$B,0)+COLUMN(H$1),1),""))</f>
        <v/>
      </c>
      <c r="BO162" s="37" t="str">
        <f t="array" ref="BO162">IF($A162="","",IFERROR(INDEX(CS!$B$1:$B$15025,MATCH($A162,CS!$B:$B,0)+COLUMN(I$1),1),""))</f>
        <v>氷強化</v>
      </c>
      <c r="BP162" s="37" t="str">
        <f t="array" ref="BP162">IF($A162="","",IFERROR(INDEX(CS!$B$1:$B$15025,MATCH($A162,CS!$B:$B,0)+COLUMN(J$1),1),""))</f>
        <v>氷砕拳</v>
      </c>
      <c r="BR162" s="39" t="s">
        <v>2859</v>
      </c>
      <c r="BS162" s="74"/>
    </row>
    <row r="163" ht="18.75" customHeight="1" outlineLevel="1">
      <c r="A163" s="39" t="s">
        <v>2403</v>
      </c>
      <c r="B163" s="89"/>
      <c r="C163" s="39" t="s">
        <v>2808</v>
      </c>
      <c r="D163" s="72" t="str">
        <f t="shared" si="6"/>
        <v>760/475/285</v>
      </c>
      <c r="E163" s="39">
        <v>2.0</v>
      </c>
      <c r="F163" s="39">
        <v>70.0</v>
      </c>
      <c r="I163" s="39">
        <v>65.0</v>
      </c>
      <c r="J163" s="39">
        <v>65.0</v>
      </c>
      <c r="K163" s="87">
        <v>60.0</v>
      </c>
      <c r="L163" s="39">
        <v>70.0</v>
      </c>
      <c r="M163" s="39">
        <v>65.0</v>
      </c>
      <c r="N163" s="39">
        <v>80.0</v>
      </c>
      <c r="P163" s="37">
        <v>0.0</v>
      </c>
      <c r="Q163" s="64"/>
      <c r="R163" s="64"/>
      <c r="S163" s="64"/>
      <c r="T163" s="64"/>
      <c r="U163" s="64"/>
      <c r="V163" s="64"/>
      <c r="W163" s="64"/>
      <c r="X163" s="64"/>
      <c r="Y163" s="64"/>
      <c r="Z163" s="64"/>
      <c r="AA163" s="64"/>
      <c r="AJ163" s="37">
        <v>25.0</v>
      </c>
      <c r="AK163" s="37">
        <v>30.0</v>
      </c>
      <c r="AL163" s="37">
        <v>65.0</v>
      </c>
      <c r="AM163" s="37">
        <v>35.0</v>
      </c>
      <c r="AN163" s="37">
        <v>20.0</v>
      </c>
      <c r="AO163" s="37">
        <v>0.0</v>
      </c>
      <c r="AP163" s="37">
        <v>0.0</v>
      </c>
      <c r="AQ163" s="37">
        <v>0.0</v>
      </c>
      <c r="AR163" s="37">
        <v>15.0</v>
      </c>
      <c r="AS163" s="37">
        <v>0.0</v>
      </c>
      <c r="AT163" s="37">
        <v>0.0</v>
      </c>
      <c r="AU163" s="37">
        <v>0.0</v>
      </c>
      <c r="AV163" s="37">
        <v>0.0</v>
      </c>
      <c r="AW163" s="37">
        <v>40.0</v>
      </c>
      <c r="AX163" s="37">
        <v>0.0</v>
      </c>
      <c r="AY163" s="37">
        <v>55.0</v>
      </c>
      <c r="AZ163" s="37">
        <v>0.0</v>
      </c>
      <c r="BG163" s="37" t="str">
        <f t="array" ref="BG163">IF($A163="","",IFERROR(INDEX(CS!$B$1:$B$15025,MATCH($A163,CS!$B:$B,0)+COLUMN(A$1),1),""))</f>
        <v>雷の拳</v>
      </c>
      <c r="BH163" s="37" t="str">
        <f t="array" ref="BH163">IF($A163="","",IFERROR(INDEX(CS!$B$1:$B$15025,MATCH($A163,CS!$B:$B,0)+COLUMN(B$1),1),""))</f>
        <v/>
      </c>
      <c r="BI163" s="37" t="str">
        <f t="array" ref="BI163">IF($A163="","",IFERROR(INDEX(CS!$B$1:$B$15025,MATCH($A163,CS!$B:$B,0)+COLUMN(C$1),1),""))</f>
        <v>放電</v>
      </c>
      <c r="BJ163" s="37" t="str">
        <f t="array" ref="BJ163">IF($A163="","",IFERROR(INDEX(CS!$B$1:$B$15025,MATCH($A163,CS!$B:$B,0)+COLUMN(D$1),1),""))</f>
        <v/>
      </c>
      <c r="BK163" s="37" t="str">
        <f t="array" ref="BK163">IF($A163="","",IFERROR(INDEX(CS!$B$1:$B$15025,MATCH($A163,CS!$B:$B,0)+COLUMN(E$1),1),""))</f>
        <v>雷の適用</v>
      </c>
      <c r="BL163" s="37" t="str">
        <f t="array" ref="BL163">IF($A163="","",IFERROR(INDEX(CS!$B$1:$B$15025,MATCH($A163,CS!$B:$B,0)+COLUMN(F$1),1),""))</f>
        <v/>
      </c>
      <c r="BM163" s="37" t="str">
        <f t="array" ref="BM163">IF($A163="","",IFERROR(INDEX(CS!$B$1:$B$15025,MATCH($A163,CS!$B:$B,0)+COLUMN(G$1),1),""))</f>
        <v>電弧放電</v>
      </c>
      <c r="BN163" s="37" t="str">
        <f t="array" ref="BN163">IF($A163="","",IFERROR(INDEX(CS!$B$1:$B$15025,MATCH($A163,CS!$B:$B,0)+COLUMN(H$1),1),""))</f>
        <v/>
      </c>
      <c r="BO163" s="37" t="str">
        <f t="array" ref="BO163">IF($A163="","",IFERROR(INDEX(CS!$B$1:$B$15025,MATCH($A163,CS!$B:$B,0)+COLUMN(I$1),1),""))</f>
        <v>雷強化</v>
      </c>
      <c r="BP163" s="37" t="str">
        <f t="array" ref="BP163">IF($A163="","",IFERROR(INDEX(CS!$B$1:$B$15025,MATCH($A163,CS!$B:$B,0)+COLUMN(J$1),1),""))</f>
        <v>雷震拳</v>
      </c>
      <c r="BR163" s="39" t="s">
        <v>2859</v>
      </c>
      <c r="BS163" s="74"/>
    </row>
    <row r="164" ht="18.75" customHeight="1" outlineLevel="1">
      <c r="A164" s="39" t="s">
        <v>2408</v>
      </c>
      <c r="B164" s="89"/>
      <c r="C164" s="39" t="s">
        <v>2808</v>
      </c>
      <c r="D164" s="72" t="str">
        <f t="shared" si="6"/>
        <v>760/475/285</v>
      </c>
      <c r="E164" s="39">
        <v>2.0</v>
      </c>
      <c r="F164" s="39">
        <v>70.0</v>
      </c>
      <c r="I164" s="39">
        <v>65.0</v>
      </c>
      <c r="J164" s="39">
        <v>65.0</v>
      </c>
      <c r="K164" s="87">
        <v>60.0</v>
      </c>
      <c r="L164" s="39">
        <v>70.0</v>
      </c>
      <c r="M164" s="39">
        <v>65.0</v>
      </c>
      <c r="N164" s="39">
        <v>80.0</v>
      </c>
      <c r="P164" s="37">
        <v>0.0</v>
      </c>
      <c r="Q164" s="64"/>
      <c r="R164" s="64"/>
      <c r="S164" s="64"/>
      <c r="T164" s="64"/>
      <c r="U164" s="64"/>
      <c r="V164" s="64"/>
      <c r="W164" s="64"/>
      <c r="X164" s="64"/>
      <c r="Y164" s="64"/>
      <c r="Z164" s="64"/>
      <c r="AA164" s="64"/>
      <c r="AJ164" s="37">
        <v>25.0</v>
      </c>
      <c r="AK164" s="37">
        <v>30.0</v>
      </c>
      <c r="AL164" s="37">
        <v>65.0</v>
      </c>
      <c r="AM164" s="37">
        <v>35.0</v>
      </c>
      <c r="AN164" s="37">
        <v>20.0</v>
      </c>
      <c r="AO164" s="37">
        <v>0.0</v>
      </c>
      <c r="AP164" s="37">
        <v>0.0</v>
      </c>
      <c r="AQ164" s="37">
        <v>0.0</v>
      </c>
      <c r="AR164" s="37">
        <v>15.0</v>
      </c>
      <c r="AS164" s="37">
        <v>0.0</v>
      </c>
      <c r="AT164" s="37">
        <v>0.0</v>
      </c>
      <c r="AU164" s="37">
        <v>0.0</v>
      </c>
      <c r="AV164" s="37">
        <v>0.0</v>
      </c>
      <c r="AW164" s="37">
        <v>40.0</v>
      </c>
      <c r="AX164" s="37">
        <v>0.0</v>
      </c>
      <c r="AY164" s="37">
        <v>55.0</v>
      </c>
      <c r="AZ164" s="37">
        <v>0.0</v>
      </c>
      <c r="BG164" s="37" t="str">
        <f t="array" ref="BG164">IF($A164="","",IFERROR(INDEX(CS!$B$1:$B$15025,MATCH($A164,CS!$B:$B,0)+COLUMN(A$1),1),""))</f>
        <v>酸の拳</v>
      </c>
      <c r="BH164" s="37" t="str">
        <f t="array" ref="BH164">IF($A164="","",IFERROR(INDEX(CS!$B$1:$B$15025,MATCH($A164,CS!$B:$B,0)+COLUMN(B$1),1),""))</f>
        <v/>
      </c>
      <c r="BI164" s="37" t="str">
        <f t="array" ref="BI164">IF($A164="","",IFERROR(INDEX(CS!$B$1:$B$15025,MATCH($A164,CS!$B:$B,0)+COLUMN(C$1),1),""))</f>
        <v>酸滴</v>
      </c>
      <c r="BJ164" s="37" t="str">
        <f t="array" ref="BJ164">IF($A164="","",IFERROR(INDEX(CS!$B$1:$B$15025,MATCH($A164,CS!$B:$B,0)+COLUMN(D$1),1),""))</f>
        <v/>
      </c>
      <c r="BK164" s="37" t="str">
        <f t="array" ref="BK164">IF($A164="","",IFERROR(INDEX(CS!$B$1:$B$15025,MATCH($A164,CS!$B:$B,0)+COLUMN(E$1),1),""))</f>
        <v>毒の適用</v>
      </c>
      <c r="BL164" s="37" t="str">
        <f t="array" ref="BL164">IF($A164="","",IFERROR(INDEX(CS!$B$1:$B$15025,MATCH($A164,CS!$B:$B,0)+COLUMN(F$1),1),""))</f>
        <v/>
      </c>
      <c r="BM164" s="37" t="str">
        <f t="array" ref="BM164">IF($A164="","",IFERROR(INDEX(CS!$B$1:$B$15025,MATCH($A164,CS!$B:$B,0)+COLUMN(G$1),1),""))</f>
        <v>酸の落流</v>
      </c>
      <c r="BN164" s="37" t="str">
        <f t="array" ref="BN164">IF($A164="","",IFERROR(INDEX(CS!$B$1:$B$15025,MATCH($A164,CS!$B:$B,0)+COLUMN(H$1),1),""))</f>
        <v/>
      </c>
      <c r="BO164" s="37" t="str">
        <f t="array" ref="BO164">IF($A164="","",IFERROR(INDEX(CS!$B$1:$B$15025,MATCH($A164,CS!$B:$B,0)+COLUMN(I$1),1),""))</f>
        <v>毒強化</v>
      </c>
      <c r="BP164" s="37" t="str">
        <f t="array" ref="BP164">IF($A164="","",IFERROR(INDEX(CS!$B$1:$B$15025,MATCH($A164,CS!$B:$B,0)+COLUMN(J$1),1),""))</f>
        <v>腐食拳</v>
      </c>
      <c r="BR164" s="39" t="s">
        <v>2859</v>
      </c>
      <c r="BS164" s="74"/>
    </row>
    <row r="165" ht="18.75" customHeight="1" outlineLevel="1">
      <c r="A165" s="39" t="s">
        <v>2413</v>
      </c>
      <c r="B165" s="89"/>
      <c r="C165" s="39" t="s">
        <v>2808</v>
      </c>
      <c r="D165" s="72" t="str">
        <f t="shared" si="6"/>
        <v>760/475/285</v>
      </c>
      <c r="E165" s="39">
        <v>2.0</v>
      </c>
      <c r="F165" s="39">
        <v>70.0</v>
      </c>
      <c r="I165" s="39">
        <v>65.0</v>
      </c>
      <c r="J165" s="39">
        <v>65.0</v>
      </c>
      <c r="K165" s="87">
        <v>60.0</v>
      </c>
      <c r="L165" s="39">
        <v>70.0</v>
      </c>
      <c r="M165" s="39">
        <v>65.0</v>
      </c>
      <c r="N165" s="39">
        <v>80.0</v>
      </c>
      <c r="P165" s="37">
        <v>0.0</v>
      </c>
      <c r="Q165" s="64"/>
      <c r="R165" s="64"/>
      <c r="S165" s="64"/>
      <c r="T165" s="64"/>
      <c r="U165" s="64"/>
      <c r="V165" s="64"/>
      <c r="W165" s="64"/>
      <c r="X165" s="64"/>
      <c r="Y165" s="64"/>
      <c r="Z165" s="64"/>
      <c r="AA165" s="64"/>
      <c r="AJ165" s="37">
        <v>25.0</v>
      </c>
      <c r="AK165" s="37">
        <v>30.0</v>
      </c>
      <c r="AL165" s="37">
        <v>65.0</v>
      </c>
      <c r="AM165" s="37">
        <v>35.0</v>
      </c>
      <c r="AN165" s="37">
        <v>20.0</v>
      </c>
      <c r="AO165" s="37">
        <v>0.0</v>
      </c>
      <c r="AP165" s="37">
        <v>0.0</v>
      </c>
      <c r="AQ165" s="37">
        <v>0.0</v>
      </c>
      <c r="AR165" s="37">
        <v>15.0</v>
      </c>
      <c r="AS165" s="37">
        <v>0.0</v>
      </c>
      <c r="AT165" s="37">
        <v>0.0</v>
      </c>
      <c r="AU165" s="37">
        <v>0.0</v>
      </c>
      <c r="AV165" s="37">
        <v>0.0</v>
      </c>
      <c r="AW165" s="37">
        <v>40.0</v>
      </c>
      <c r="AX165" s="37">
        <v>0.0</v>
      </c>
      <c r="AY165" s="37">
        <v>55.0</v>
      </c>
      <c r="AZ165" s="37">
        <v>0.0</v>
      </c>
      <c r="BG165" s="37" t="str">
        <f t="array" ref="BG165">IF($A165="","",IFERROR(INDEX(CS!$B$1:$B$15025,MATCH($A165,CS!$B:$B,0)+COLUMN(A$1),1),""))</f>
        <v>烈風の拳</v>
      </c>
      <c r="BH165" s="37" t="str">
        <f t="array" ref="BH165">IF($A165="","",IFERROR(INDEX(CS!$B$1:$B$15025,MATCH($A165,CS!$B:$B,0)+COLUMN(B$1),1),""))</f>
        <v/>
      </c>
      <c r="BI165" s="37" t="str">
        <f t="array" ref="BI165">IF($A165="","",IFERROR(INDEX(CS!$B$1:$B$15025,MATCH($A165,CS!$B:$B,0)+COLUMN(C$1),1),""))</f>
        <v>突風</v>
      </c>
      <c r="BJ165" s="37" t="str">
        <f t="array" ref="BJ165">IF($A165="","",IFERROR(INDEX(CS!$B$1:$B$15025,MATCH($A165,CS!$B:$B,0)+COLUMN(D$1),1),""))</f>
        <v/>
      </c>
      <c r="BK165" s="37" t="str">
        <f t="array" ref="BK165">IF($A165="","",IFERROR(INDEX(CS!$B$1:$B$15025,MATCH($A165,CS!$B:$B,0)+COLUMN(E$1),1),""))</f>
        <v>風の適用</v>
      </c>
      <c r="BL165" s="37" t="str">
        <f t="array" ref="BL165">IF($A165="","",IFERROR(INDEX(CS!$B$1:$B$15025,MATCH($A165,CS!$B:$B,0)+COLUMN(F$1),1),""))</f>
        <v/>
      </c>
      <c r="BM165" s="37" t="str">
        <f t="array" ref="BM165">IF($A165="","",IFERROR(INDEX(CS!$B$1:$B$15025,MATCH($A165,CS!$B:$B,0)+COLUMN(G$1),1),""))</f>
        <v>上昇烈風</v>
      </c>
      <c r="BN165" s="37" t="str">
        <f t="array" ref="BN165">IF($A165="","",IFERROR(INDEX(CS!$B$1:$B$15025,MATCH($A165,CS!$B:$B,0)+COLUMN(H$1),1),""))</f>
        <v/>
      </c>
      <c r="BO165" s="37" t="str">
        <f t="array" ref="BO165">IF($A165="","",IFERROR(INDEX(CS!$B$1:$B$15025,MATCH($A165,CS!$B:$B,0)+COLUMN(I$1),1),""))</f>
        <v>風強化</v>
      </c>
      <c r="BP165" s="37" t="str">
        <f t="array" ref="BP165">IF($A165="","",IFERROR(INDEX(CS!$B$1:$B$15025,MATCH($A165,CS!$B:$B,0)+COLUMN(J$1),1),""))</f>
        <v>風圧拳</v>
      </c>
      <c r="BR165" s="39" t="s">
        <v>2859</v>
      </c>
      <c r="BS165" s="74"/>
    </row>
    <row r="166" ht="18.75" customHeight="1" outlineLevel="1">
      <c r="A166" s="39" t="s">
        <v>2418</v>
      </c>
      <c r="B166" s="89"/>
      <c r="C166" s="39" t="s">
        <v>2808</v>
      </c>
      <c r="D166" s="72" t="str">
        <f t="shared" si="6"/>
        <v>760/475/285</v>
      </c>
      <c r="E166" s="39">
        <v>2.0</v>
      </c>
      <c r="F166" s="39">
        <v>70.0</v>
      </c>
      <c r="I166" s="39">
        <v>65.0</v>
      </c>
      <c r="J166" s="39">
        <v>65.0</v>
      </c>
      <c r="K166" s="87">
        <v>60.0</v>
      </c>
      <c r="L166" s="39">
        <v>70.0</v>
      </c>
      <c r="M166" s="39">
        <v>65.0</v>
      </c>
      <c r="N166" s="39">
        <v>80.0</v>
      </c>
      <c r="P166" s="37">
        <v>0.0</v>
      </c>
      <c r="Q166" s="64"/>
      <c r="R166" s="64"/>
      <c r="S166" s="64"/>
      <c r="T166" s="64"/>
      <c r="U166" s="64"/>
      <c r="V166" s="64"/>
      <c r="W166" s="64"/>
      <c r="X166" s="64"/>
      <c r="Y166" s="64"/>
      <c r="Z166" s="64"/>
      <c r="AA166" s="64"/>
      <c r="AJ166" s="37">
        <v>25.0</v>
      </c>
      <c r="AK166" s="37">
        <v>30.0</v>
      </c>
      <c r="AL166" s="37">
        <v>65.0</v>
      </c>
      <c r="AM166" s="37">
        <v>35.0</v>
      </c>
      <c r="AN166" s="37">
        <v>20.0</v>
      </c>
      <c r="AO166" s="37">
        <v>0.0</v>
      </c>
      <c r="AP166" s="37">
        <v>0.0</v>
      </c>
      <c r="AQ166" s="37">
        <v>0.0</v>
      </c>
      <c r="AR166" s="37">
        <v>15.0</v>
      </c>
      <c r="AS166" s="37">
        <v>0.0</v>
      </c>
      <c r="AT166" s="37">
        <v>0.0</v>
      </c>
      <c r="AU166" s="37">
        <v>0.0</v>
      </c>
      <c r="AV166" s="37">
        <v>0.0</v>
      </c>
      <c r="AW166" s="37">
        <v>40.0</v>
      </c>
      <c r="AX166" s="37">
        <v>0.0</v>
      </c>
      <c r="AY166" s="37">
        <v>55.0</v>
      </c>
      <c r="AZ166" s="37">
        <v>0.0</v>
      </c>
      <c r="BG166" s="37" t="str">
        <f t="array" ref="BG166">IF($A166="","",IFERROR(INDEX(CS!$B$1:$B$15025,MATCH($A166,CS!$B:$B,0)+COLUMN(A$1),1),""))</f>
        <v>岩の拳</v>
      </c>
      <c r="BH166" s="37" t="str">
        <f t="array" ref="BH166">IF($A166="","",IFERROR(INDEX(CS!$B$1:$B$15025,MATCH($A166,CS!$B:$B,0)+COLUMN(B$1),1),""))</f>
        <v/>
      </c>
      <c r="BI166" s="37" t="str">
        <f t="array" ref="BI166">IF($A166="","",IFERROR(INDEX(CS!$B$1:$B$15025,MATCH($A166,CS!$B:$B,0)+COLUMN(C$1),1),""))</f>
        <v>魔法の石</v>
      </c>
      <c r="BJ166" s="37" t="str">
        <f t="array" ref="BJ166">IF($A166="","",IFERROR(INDEX(CS!$B$1:$B$15025,MATCH($A166,CS!$B:$B,0)+COLUMN(D$1),1),""))</f>
        <v/>
      </c>
      <c r="BK166" s="37" t="str">
        <f t="array" ref="BK166">IF($A166="","",IFERROR(INDEX(CS!$B$1:$B$15025,MATCH($A166,CS!$B:$B,0)+COLUMN(E$1),1),""))</f>
        <v>石の適用</v>
      </c>
      <c r="BL166" s="37" t="str">
        <f t="array" ref="BL166">IF($A166="","",IFERROR(INDEX(CS!$B$1:$B$15025,MATCH($A166,CS!$B:$B,0)+COLUMN(F$1),1),""))</f>
        <v/>
      </c>
      <c r="BM166" s="37" t="str">
        <f t="array" ref="BM166">IF($A166="","",IFERROR(INDEX(CS!$B$1:$B$15025,MATCH($A166,CS!$B:$B,0)+COLUMN(G$1),1),""))</f>
        <v>水晶片</v>
      </c>
      <c r="BN166" s="37" t="str">
        <f t="array" ref="BN166">IF($A166="","",IFERROR(INDEX(CS!$B$1:$B$15025,MATCH($A166,CS!$B:$B,0)+COLUMN(H$1),1),""))</f>
        <v/>
      </c>
      <c r="BO166" s="37" t="str">
        <f t="array" ref="BO166">IF($A166="","",IFERROR(INDEX(CS!$B$1:$B$15025,MATCH($A166,CS!$B:$B,0)+COLUMN(I$1),1),""))</f>
        <v>地強化</v>
      </c>
      <c r="BP166" s="37" t="str">
        <f t="array" ref="BP166">IF($A166="","",IFERROR(INDEX(CS!$B$1:$B$15025,MATCH($A166,CS!$B:$B,0)+COLUMN(J$1),1),""))</f>
        <v>岩砕拳</v>
      </c>
      <c r="BR166" s="39" t="s">
        <v>2859</v>
      </c>
      <c r="BS166" s="74"/>
    </row>
    <row r="167" ht="18.75" customHeight="1">
      <c r="B167" s="71"/>
      <c r="D167" s="72"/>
      <c r="K167" s="73"/>
      <c r="P167" s="37" t="s">
        <v>29</v>
      </c>
      <c r="Q167" s="64"/>
      <c r="R167" s="64"/>
      <c r="S167" s="64"/>
      <c r="T167" s="64"/>
      <c r="U167" s="64"/>
      <c r="V167" s="64"/>
      <c r="W167" s="64"/>
      <c r="X167" s="64"/>
      <c r="Y167" s="64"/>
      <c r="Z167" s="64"/>
      <c r="AA167" s="64"/>
      <c r="AJ167" s="37" t="s">
        <v>29</v>
      </c>
      <c r="AK167" s="37" t="s">
        <v>29</v>
      </c>
      <c r="AL167" s="37" t="s">
        <v>29</v>
      </c>
      <c r="AM167" s="37" t="s">
        <v>29</v>
      </c>
      <c r="AN167" s="37" t="s">
        <v>29</v>
      </c>
      <c r="AO167" s="37" t="s">
        <v>29</v>
      </c>
      <c r="AP167" s="37" t="s">
        <v>29</v>
      </c>
      <c r="AQ167" s="37" t="s">
        <v>29</v>
      </c>
      <c r="AR167" s="37" t="s">
        <v>29</v>
      </c>
      <c r="AS167" s="37" t="s">
        <v>29</v>
      </c>
      <c r="AT167" s="37" t="s">
        <v>29</v>
      </c>
      <c r="AU167" s="37" t="s">
        <v>29</v>
      </c>
      <c r="AV167" s="37" t="s">
        <v>29</v>
      </c>
      <c r="AW167" s="37" t="s">
        <v>29</v>
      </c>
      <c r="AX167" s="37" t="s">
        <v>29</v>
      </c>
      <c r="AY167" s="37" t="s">
        <v>29</v>
      </c>
      <c r="AZ167" s="37" t="s">
        <v>29</v>
      </c>
      <c r="BG167" s="37" t="str">
        <f t="array" ref="BG167">IF($A167="","", INDEX(CS!$B$1:$B$15025,MATCH($A167,CS!$B:$B,0)+COLUMN(A$1),1))</f>
        <v/>
      </c>
      <c r="BH167" s="37" t="str">
        <f t="array" ref="BH167">IF($A167="","", INDEX(CS!$B$1:$B$15025,MATCH($A167,CS!$B:$B,0)+COLUMN(B$1),1))</f>
        <v/>
      </c>
      <c r="BI167" s="37" t="str">
        <f t="array" ref="BI167">IF($A167="","", INDEX(CS!$B$1:$B$15025,MATCH($A167,CS!$B:$B,0)+COLUMN(C$1),1))</f>
        <v/>
      </c>
      <c r="BJ167" s="37" t="str">
        <f t="array" ref="BJ167">IF($A167="","", INDEX(CS!$B$1:$B$15025,MATCH($A167,CS!$B:$B,0)+COLUMN(D$1),1))</f>
        <v/>
      </c>
      <c r="BK167" s="37" t="str">
        <f t="array" ref="BK167">IF($A167="","", INDEX(CS!$B$1:$B$15025,MATCH($A167,CS!$B:$B,0)+COLUMN(E$1),1))</f>
        <v/>
      </c>
      <c r="BL167" s="37" t="str">
        <f t="array" ref="BL167">IF($A167="","", INDEX(CS!$B$1:$B$15025,MATCH($A167,CS!$B:$B,0)+COLUMN(F$1),1))</f>
        <v/>
      </c>
      <c r="BM167" s="37" t="str">
        <f t="array" ref="BM167">IF($A167="","", INDEX(CS!$B$1:$B$15025,MATCH($A167,CS!$B:$B,0)+COLUMN(G$1),1))</f>
        <v/>
      </c>
      <c r="BN167" s="37" t="str">
        <f t="array" ref="BN167">IF($A167="","", INDEX(CS!$B$1:$B$15025,MATCH($A167,CS!$B:$B,0)+COLUMN(H$1),1))</f>
        <v/>
      </c>
      <c r="BO167" s="37" t="str">
        <f t="array" ref="BO167">IF($A167="","", INDEX(CS!$B$1:$B$15025,MATCH($A167,CS!$B:$B,0)+COLUMN(I$1),1))</f>
        <v/>
      </c>
      <c r="BP167" s="37" t="str">
        <f t="array" ref="BP167">IF($A167="","", INDEX(CS!$B$1:$B$15025,MATCH($A167,CS!$B:$B,0)+COLUMN(J$1),1))</f>
        <v/>
      </c>
      <c r="BS167" s="74"/>
      <c r="CI167" s="37" t="s">
        <v>2826</v>
      </c>
      <c r="CJ167" s="37" t="s">
        <v>2807</v>
      </c>
      <c r="CK167" s="37" t="s">
        <v>2800</v>
      </c>
    </row>
    <row r="168" ht="18.75" customHeight="1">
      <c r="B168" s="85" t="s">
        <v>2860</v>
      </c>
      <c r="D168" s="72" t="str">
        <f t="shared" ref="D168:D176" si="7">SUM(AJ168:AZ168,F168:N168)&amp;"/"&amp;SUM(F168:N168)&amp;"/"&amp;SUM(AJ168:AZ168)</f>
        <v>0/0/0</v>
      </c>
      <c r="E168" s="37">
        <v>1.0</v>
      </c>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row>
    <row r="169" ht="18.75" customHeight="1" outlineLevel="1">
      <c r="A169" s="37" t="s">
        <v>2424</v>
      </c>
      <c r="B169" s="71" t="s">
        <v>2425</v>
      </c>
      <c r="C169" s="39" t="s">
        <v>2815</v>
      </c>
      <c r="D169" s="72" t="str">
        <f t="shared" si="7"/>
        <v>710/465/245</v>
      </c>
      <c r="E169" s="37">
        <v>1.0</v>
      </c>
      <c r="F169" s="37">
        <v>60.0</v>
      </c>
      <c r="I169" s="37">
        <v>50.0</v>
      </c>
      <c r="J169" s="37">
        <v>55.0</v>
      </c>
      <c r="K169" s="73">
        <v>85.0</v>
      </c>
      <c r="L169" s="37">
        <v>90.0</v>
      </c>
      <c r="M169" s="37">
        <v>50.0</v>
      </c>
      <c r="N169" s="37">
        <v>75.0</v>
      </c>
      <c r="P169" s="37">
        <v>0.0</v>
      </c>
      <c r="Q169" s="64"/>
      <c r="R169" s="64"/>
      <c r="S169" s="64"/>
      <c r="T169" s="64"/>
      <c r="U169" s="64"/>
      <c r="V169" s="64"/>
      <c r="W169" s="64"/>
      <c r="X169" s="64"/>
      <c r="Y169" s="64"/>
      <c r="Z169" s="64"/>
      <c r="AA169" s="64"/>
      <c r="AJ169" s="37">
        <v>0.0</v>
      </c>
      <c r="AK169" s="37">
        <v>0.0</v>
      </c>
      <c r="AL169" s="37">
        <v>75.0</v>
      </c>
      <c r="AM169" s="37">
        <v>50.0</v>
      </c>
      <c r="AN169" s="37">
        <v>20.0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 INDEX(CS!$B$1:$B$15025,MATCH($A169,CS!$B:$B,0)+COLUMN(A$1),1))</f>
        <v>火球</v>
      </c>
      <c r="BH169" s="37" t="str">
        <f t="array" ref="BH169">IF($A169="","", INDEX(CS!$B$1:$B$15025,MATCH($A169,CS!$B:$B,0)+COLUMN(B$1),1))</f>
        <v>氷柱弾</v>
      </c>
      <c r="BI169" s="37" t="str">
        <f t="array" ref="BI169">IF($A169="","", INDEX(CS!$B$1:$B$15025,MATCH($A169,CS!$B:$B,0)+COLUMN(C$1),1))</f>
        <v>川の鞭</v>
      </c>
      <c r="BJ169" s="37" t="str">
        <f t="array" ref="BJ169">IF($A169="","", INDEX(CS!$B$1:$B$15025,MATCH($A169,CS!$B:$B,0)+COLUMN(D$1),1))</f>
        <v>電弧放電</v>
      </c>
      <c r="BK169" s="37" t="str">
        <f t="array" ref="BK169">IF($A169="","", INDEX(CS!$B$1:$B$15025,MATCH($A169,CS!$B:$B,0)+COLUMN(E$1),1))</f>
        <v>上昇烈風</v>
      </c>
      <c r="BL169" s="37" t="str">
        <f t="array" ref="BL169">IF($A169="","", INDEX(CS!$B$1:$B$15025,MATCH($A169,CS!$B:$B,0)+COLUMN(F$1),1))</f>
        <v/>
      </c>
      <c r="BM169" s="37" t="str">
        <f t="array" ref="BM169">IF($A169="","", INDEX(CS!$B$1:$B$15025,MATCH($A169,CS!$B:$B,0)+COLUMN(G$1),1))</f>
        <v>水晶片</v>
      </c>
      <c r="BN169" s="37" t="str">
        <f t="array" ref="BN169">IF($A169="","", INDEX(CS!$B$1:$B$15025,MATCH($A169,CS!$B:$B,0)+COLUMN(H$1),1))</f>
        <v/>
      </c>
      <c r="BO169" s="37" t="str">
        <f t="array" ref="BO169">IF($A169="","", INDEX(CS!$B$1:$B$15025,MATCH($A169,CS!$B:$B,0)+COLUMN(I$1),1))</f>
        <v>光線</v>
      </c>
      <c r="BP169" s="37" t="str">
        <f t="array" ref="BP169">IF($A169="","", INDEX(CS!$B$1:$B$15025,MATCH($A169,CS!$B:$B,0)+COLUMN(J$1),1))</f>
        <v/>
      </c>
      <c r="BS169" s="74"/>
      <c r="CG169" s="37" t="s">
        <v>2816</v>
      </c>
      <c r="CI169" s="37" t="s">
        <v>2806</v>
      </c>
      <c r="CJ169" s="37" t="s">
        <v>2817</v>
      </c>
      <c r="CK169" s="37" t="s">
        <v>2800</v>
      </c>
      <c r="CN169" s="37" t="s">
        <v>2814</v>
      </c>
    </row>
    <row r="170" ht="18.75" customHeight="1" outlineLevel="1">
      <c r="A170" s="88" t="s">
        <v>70</v>
      </c>
      <c r="B170" s="71"/>
      <c r="C170" s="39" t="s">
        <v>2815</v>
      </c>
      <c r="D170" s="72" t="str">
        <f t="shared" si="7"/>
        <v>760/490/270</v>
      </c>
      <c r="E170" s="39">
        <v>2.0</v>
      </c>
      <c r="F170" s="39">
        <v>70.0</v>
      </c>
      <c r="I170" s="39">
        <v>60.0</v>
      </c>
      <c r="J170" s="39">
        <v>60.0</v>
      </c>
      <c r="K170" s="87">
        <v>90.0</v>
      </c>
      <c r="L170" s="39">
        <v>80.0</v>
      </c>
      <c r="M170" s="39">
        <v>50.0</v>
      </c>
      <c r="N170" s="39">
        <v>80.0</v>
      </c>
      <c r="O170" s="37">
        <v>140.0</v>
      </c>
      <c r="P170" s="37">
        <v>0.0</v>
      </c>
      <c r="Q170" s="64">
        <v>15.0</v>
      </c>
      <c r="R170" s="64"/>
      <c r="S170" s="64"/>
      <c r="T170" s="64"/>
      <c r="U170" s="64"/>
      <c r="V170" s="64"/>
      <c r="W170" s="64"/>
      <c r="X170" s="64"/>
      <c r="Y170" s="64"/>
      <c r="Z170" s="64"/>
      <c r="AA170" s="64"/>
      <c r="AB170" s="64"/>
      <c r="AC170" s="64"/>
      <c r="AD170" s="64"/>
      <c r="AE170" s="64"/>
      <c r="AF170" s="64"/>
      <c r="AG170" s="64"/>
      <c r="AH170" s="64"/>
      <c r="AI170" s="64"/>
      <c r="AJ170" s="64">
        <v>0.0</v>
      </c>
      <c r="AK170" s="37">
        <v>0.0</v>
      </c>
      <c r="AL170" s="37">
        <v>90.0</v>
      </c>
      <c r="AM170" s="37">
        <v>15.0</v>
      </c>
      <c r="AN170" s="37">
        <v>20.0</v>
      </c>
      <c r="AO170" s="37">
        <v>0.0</v>
      </c>
      <c r="AP170" s="37">
        <v>0.0</v>
      </c>
      <c r="AQ170" s="37">
        <v>0.0</v>
      </c>
      <c r="AR170" s="37">
        <v>30.0</v>
      </c>
      <c r="AS170" s="37">
        <v>0.0</v>
      </c>
      <c r="AT170" s="37">
        <v>0.0</v>
      </c>
      <c r="AU170" s="37">
        <v>0.0</v>
      </c>
      <c r="AV170" s="37">
        <v>0.0</v>
      </c>
      <c r="AW170" s="37">
        <v>30.0</v>
      </c>
      <c r="AX170" s="37">
        <v>0.0</v>
      </c>
      <c r="AY170" s="37">
        <v>55.0</v>
      </c>
      <c r="AZ170" s="37">
        <v>30.0</v>
      </c>
      <c r="BA170" s="39"/>
      <c r="BB170" s="39"/>
      <c r="BC170" s="39"/>
      <c r="BD170" s="39"/>
      <c r="BE170" s="39"/>
      <c r="BF170" s="39"/>
      <c r="BG170" s="37" t="str">
        <f t="array" ref="BG170">IF($A170="","",IFERROR(INDEX(CS!$B$1:$B$15025,MATCH($A170,CS!$B:$B,0)+COLUMN(A$1),1),""))</f>
        <v>平地化</v>
      </c>
      <c r="BH170" s="37" t="str">
        <f t="array" ref="BH170">IF($A170="","",IFERROR(INDEX(CS!$B$1:$B$15025,MATCH($A170,CS!$B:$B,0)+COLUMN(B$1),1),""))</f>
        <v>森化</v>
      </c>
      <c r="BI170" s="37" t="str">
        <f t="array" ref="BI170">IF($A170="","",IFERROR(INDEX(CS!$B$1:$B$15025,MATCH($A170,CS!$B:$B,0)+COLUMN(C$1),1),""))</f>
        <v>山岳化</v>
      </c>
      <c r="BJ170" s="37" t="str">
        <f t="array" ref="BJ170">IF($A170="","",IFERROR(INDEX(CS!$B$1:$B$15025,MATCH($A170,CS!$B:$B,0)+COLUMN(D$1),1),""))</f>
        <v>丘陵化</v>
      </c>
      <c r="BK170" s="37" t="str">
        <f t="array" ref="BK170">IF($A170="","",IFERROR(INDEX(CS!$B$1:$B$15025,MATCH($A170,CS!$B:$B,0)+COLUMN(E$1),1),""))</f>
        <v>河川化</v>
      </c>
      <c r="BL170" s="37" t="str">
        <f t="array" ref="BL170">IF($A170="","",IFERROR(INDEX(CS!$B$1:$B$15025,MATCH($A170,CS!$B:$B,0)+COLUMN(F$1),1),""))</f>
        <v>湖化</v>
      </c>
      <c r="BM170" s="37" t="str">
        <f t="array" ref="BM170">IF($A170="","",IFERROR(INDEX(CS!$B$1:$B$15025,MATCH($A170,CS!$B:$B,0)+COLUMN(G$1),1),""))</f>
        <v>海化</v>
      </c>
      <c r="BN170" s="37" t="str">
        <f t="array" ref="BN170">IF($A170="","",IFERROR(INDEX(CS!$B$1:$B$15025,MATCH($A170,CS!$B:$B,0)+COLUMN(H$1),1),""))</f>
        <v>砂漠化</v>
      </c>
      <c r="BO170" s="37" t="str">
        <f t="array" ref="BO170">IF($A170="","",IFERROR(INDEX(CS!$B$1:$B$15025,MATCH($A170,CS!$B:$B,0)+COLUMN(I$1),1),""))</f>
        <v>沼地化</v>
      </c>
      <c r="BP170" s="37" t="str">
        <f t="array" ref="BP170">IF($A170="","",IFERROR(INDEX(CS!$B$1:$B$15025,MATCH($A170,CS!$B:$B,0)+COLUMN(J$1),1),""))</f>
        <v>薬草繁茂化</v>
      </c>
      <c r="BR170" s="39" t="s">
        <v>2861</v>
      </c>
      <c r="BS170" s="74"/>
      <c r="CN170" s="37" t="s">
        <v>2750</v>
      </c>
    </row>
    <row r="171" ht="18.75" customHeight="1" outlineLevel="1">
      <c r="A171" s="39" t="s">
        <v>2426</v>
      </c>
      <c r="B171" s="71"/>
      <c r="C171" s="39" t="s">
        <v>2815</v>
      </c>
      <c r="D171" s="72" t="str">
        <f t="shared" si="7"/>
        <v>725/485/240</v>
      </c>
      <c r="E171" s="39">
        <v>2.0</v>
      </c>
      <c r="F171" s="39">
        <v>60.0</v>
      </c>
      <c r="I171" s="39">
        <v>50.0</v>
      </c>
      <c r="J171" s="39">
        <v>55.0</v>
      </c>
      <c r="K171" s="87">
        <v>95.0</v>
      </c>
      <c r="L171" s="39">
        <v>95.0</v>
      </c>
      <c r="M171" s="39">
        <v>50.0</v>
      </c>
      <c r="N171" s="39">
        <v>80.0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落下火球</v>
      </c>
      <c r="BH171" s="37" t="str">
        <f t="array" ref="BH171">IF($A171="","",IFERROR(INDEX(CS!$B$1:$B$15025,MATCH($A171,CS!$B:$B,0)+COLUMN(B$1),1),""))</f>
        <v>氷柱の拡散</v>
      </c>
      <c r="BI171" s="37" t="str">
        <f t="array" ref="BI171">IF($A171="","",IFERROR(INDEX(CS!$B$1:$B$15025,MATCH($A171,CS!$B:$B,0)+COLUMN(C$1),1),""))</f>
        <v>落雷</v>
      </c>
      <c r="BJ171" s="37" t="str">
        <f t="array" ref="BJ171">IF($A171="","",IFERROR(INDEX(CS!$B$1:$B$15025,MATCH($A171,CS!$B:$B,0)+COLUMN(D$1),1),""))</f>
        <v/>
      </c>
      <c r="BK171" s="37" t="str">
        <f t="array" ref="BK171">IF($A171="","",IFERROR(INDEX(CS!$B$1:$B$15025,MATCH($A171,CS!$B:$B,0)+COLUMN(E$1),1),""))</f>
        <v>腐蝕の雨</v>
      </c>
      <c r="BL171" s="37" t="str">
        <f t="array" ref="BL171">IF($A171="","",IFERROR(INDEX(CS!$B$1:$B$15025,MATCH($A171,CS!$B:$B,0)+COLUMN(F$1),1),""))</f>
        <v/>
      </c>
      <c r="BM171" s="37" t="str">
        <f t="array" ref="BM171">IF($A171="","",IFERROR(INDEX(CS!$B$1:$B$15025,MATCH($A171,CS!$B:$B,0)+COLUMN(G$1),1),""))</f>
        <v>塵旋風</v>
      </c>
      <c r="BN171" s="37" t="str">
        <f t="array" ref="BN171">IF($A171="","",IFERROR(INDEX(CS!$B$1:$B$15025,MATCH($A171,CS!$B:$B,0)+COLUMN(H$1),1),""))</f>
        <v/>
      </c>
      <c r="BO171" s="37" t="str">
        <f t="array" ref="BO171">IF($A171="","",IFERROR(INDEX(CS!$B$1:$B$15025,MATCH($A171,CS!$B:$B,0)+COLUMN(I$1),1),""))</f>
        <v>水晶槍</v>
      </c>
      <c r="BP171" s="37" t="str">
        <f t="array" ref="BP171">IF($A171="","",IFERROR(INDEX(CS!$B$1:$B$15025,MATCH($A171,CS!$B:$B,0)+COLUMN(J$1),1),""))</f>
        <v>魔力増幅</v>
      </c>
      <c r="BR171" s="39" t="s">
        <v>2862</v>
      </c>
      <c r="BS171" s="74"/>
      <c r="CG171" s="37" t="s">
        <v>2816</v>
      </c>
      <c r="CI171" s="37" t="s">
        <v>2806</v>
      </c>
      <c r="CJ171" s="37" t="s">
        <v>2817</v>
      </c>
      <c r="CK171" s="37" t="s">
        <v>2800</v>
      </c>
      <c r="CN171" s="37" t="s">
        <v>2814</v>
      </c>
    </row>
    <row r="172" ht="18.75" customHeight="1" outlineLevel="1">
      <c r="A172" s="39" t="s">
        <v>2427</v>
      </c>
      <c r="B172" s="71"/>
      <c r="C172" s="39" t="s">
        <v>2815</v>
      </c>
      <c r="D172" s="72" t="str">
        <f t="shared" si="7"/>
        <v>720/480/240</v>
      </c>
      <c r="E172" s="39">
        <v>2.0</v>
      </c>
      <c r="F172" s="39">
        <v>60.0</v>
      </c>
      <c r="I172" s="39">
        <v>50.0</v>
      </c>
      <c r="J172" s="39">
        <v>55.0</v>
      </c>
      <c r="K172" s="87">
        <v>95.0</v>
      </c>
      <c r="L172" s="39">
        <v>95.0</v>
      </c>
      <c r="M172" s="39">
        <v>50.0</v>
      </c>
      <c r="N172" s="39">
        <v>75.0</v>
      </c>
      <c r="P172" s="37">
        <v>0.0</v>
      </c>
      <c r="Q172" s="64"/>
      <c r="R172" s="64"/>
      <c r="S172" s="64"/>
      <c r="T172" s="64"/>
      <c r="U172" s="64"/>
      <c r="V172" s="64"/>
      <c r="W172" s="64"/>
      <c r="X172" s="64"/>
      <c r="Y172" s="64"/>
      <c r="Z172" s="64"/>
      <c r="AA172" s="64"/>
      <c r="AJ172" s="37">
        <v>0.0</v>
      </c>
      <c r="AK172" s="37">
        <v>0.0</v>
      </c>
      <c r="AL172" s="37">
        <v>90.0</v>
      </c>
      <c r="AM172" s="37">
        <v>0.0</v>
      </c>
      <c r="AN172" s="37">
        <v>50.0</v>
      </c>
      <c r="AO172" s="37">
        <v>0.0</v>
      </c>
      <c r="AP172" s="37">
        <v>0.0</v>
      </c>
      <c r="AQ172" s="37">
        <v>0.0</v>
      </c>
      <c r="AR172" s="37">
        <v>0.0</v>
      </c>
      <c r="AS172" s="37">
        <v>0.0</v>
      </c>
      <c r="AT172" s="37">
        <v>0.0</v>
      </c>
      <c r="AU172" s="37">
        <v>0.0</v>
      </c>
      <c r="AV172" s="37">
        <v>0.0</v>
      </c>
      <c r="AW172" s="37">
        <v>0.0</v>
      </c>
      <c r="AX172" s="37">
        <v>0.0</v>
      </c>
      <c r="AY172" s="37">
        <v>100.0</v>
      </c>
      <c r="AZ172" s="37">
        <v>0.0</v>
      </c>
      <c r="BG172" s="37" t="str">
        <f t="array" ref="BG172">IF($A172="","",IFERROR(INDEX(CS!$B$1:$B$15025,MATCH($A172,CS!$B:$B,0)+COLUMN(A$1),1),""))</f>
        <v>魔力強化</v>
      </c>
      <c r="BH172" s="37" t="str">
        <f t="array" ref="BH172">IF($A172="","",IFERROR(INDEX(CS!$B$1:$B$15025,MATCH($A172,CS!$B:$B,0)+COLUMN(B$1),1),""))</f>
        <v/>
      </c>
      <c r="BI172" s="37" t="str">
        <f t="array" ref="BI172">IF($A172="","",IFERROR(INDEX(CS!$B$1:$B$15025,MATCH($A172,CS!$B:$B,0)+COLUMN(C$1),1),""))</f>
        <v>魔法陣</v>
      </c>
      <c r="BJ172" s="37" t="str">
        <f t="array" ref="BJ172">IF($A172="","",IFERROR(INDEX(CS!$B$1:$B$15025,MATCH($A172,CS!$B:$B,0)+COLUMN(D$1),1),""))</f>
        <v/>
      </c>
      <c r="BK172" s="37" t="str">
        <f t="array" ref="BK172">IF($A172="","",IFERROR(INDEX(CS!$B$1:$B$15025,MATCH($A172,CS!$B:$B,0)+COLUMN(E$1),1),""))</f>
        <v>呪文杖</v>
      </c>
      <c r="BL172" s="37" t="str">
        <f t="array" ref="BL172">IF($A172="","",IFERROR(INDEX(CS!$B$1:$B$15025,MATCH($A172,CS!$B:$B,0)+COLUMN(F$1),1),""))</f>
        <v/>
      </c>
      <c r="BM172" s="37" t="str">
        <f t="array" ref="BM172">IF($A172="","",IFERROR(INDEX(CS!$B$1:$B$15025,MATCH($A172,CS!$B:$B,0)+COLUMN(G$1),1),""))</f>
        <v>強化破り</v>
      </c>
      <c r="BN172" s="37" t="str">
        <f t="array" ref="BN172">IF($A172="","",IFERROR(INDEX(CS!$B$1:$B$15025,MATCH($A172,CS!$B:$B,0)+COLUMN(H$1),1),""))</f>
        <v/>
      </c>
      <c r="BO172" s="37" t="str">
        <f t="array" ref="BO172">IF($A172="","",IFERROR(INDEX(CS!$B$1:$B$15025,MATCH($A172,CS!$B:$B,0)+COLUMN(I$1),1),""))</f>
        <v>魔力増幅</v>
      </c>
      <c r="BP172" s="37" t="str">
        <f t="array" ref="BP172">IF($A172="","",IFERROR(INDEX(CS!$B$1:$B$15025,MATCH($A172,CS!$B:$B,0)+COLUMN(J$1),1),""))</f>
        <v>高速詠唱</v>
      </c>
      <c r="BR172" s="39" t="s">
        <v>2862</v>
      </c>
      <c r="BS172" s="74"/>
      <c r="CG172" s="37" t="s">
        <v>2816</v>
      </c>
      <c r="CI172" s="37" t="s">
        <v>2806</v>
      </c>
      <c r="CJ172" s="37" t="s">
        <v>2817</v>
      </c>
      <c r="CK172" s="37" t="s">
        <v>2800</v>
      </c>
      <c r="CN172" s="37" t="s">
        <v>2814</v>
      </c>
    </row>
    <row r="173" ht="18.75" customHeight="1" outlineLevel="1">
      <c r="A173" s="39" t="s">
        <v>2431</v>
      </c>
      <c r="B173" s="71"/>
      <c r="C173" s="39" t="s">
        <v>2815</v>
      </c>
      <c r="D173" s="72" t="str">
        <f t="shared" si="7"/>
        <v>730/490/240</v>
      </c>
      <c r="E173" s="39">
        <v>3.0</v>
      </c>
      <c r="F173" s="39">
        <v>60.0</v>
      </c>
      <c r="I173" s="39">
        <v>50.0</v>
      </c>
      <c r="J173" s="39">
        <v>55.0</v>
      </c>
      <c r="K173" s="87">
        <v>100.0</v>
      </c>
      <c r="L173" s="39">
        <v>100.0</v>
      </c>
      <c r="M173" s="39">
        <v>50.0</v>
      </c>
      <c r="N173" s="39">
        <v>75.0</v>
      </c>
      <c r="P173" s="37">
        <v>0.0</v>
      </c>
      <c r="Q173" s="64"/>
      <c r="R173" s="64"/>
      <c r="S173" s="64"/>
      <c r="T173" s="64"/>
      <c r="U173" s="64"/>
      <c r="V173" s="64"/>
      <c r="W173" s="64"/>
      <c r="X173" s="64"/>
      <c r="Y173" s="64"/>
      <c r="Z173" s="64"/>
      <c r="AA173" s="64"/>
      <c r="AJ173" s="37">
        <v>0.0</v>
      </c>
      <c r="AK173" s="37">
        <v>0.0</v>
      </c>
      <c r="AL173" s="37">
        <v>90.0</v>
      </c>
      <c r="AM173" s="37">
        <v>0.0</v>
      </c>
      <c r="AN173" s="37">
        <v>50.0</v>
      </c>
      <c r="AO173" s="37">
        <v>0.0</v>
      </c>
      <c r="AP173" s="37">
        <v>0.0</v>
      </c>
      <c r="AQ173" s="37">
        <v>0.0</v>
      </c>
      <c r="AR173" s="37">
        <v>0.0</v>
      </c>
      <c r="AS173" s="37">
        <v>0.0</v>
      </c>
      <c r="AT173" s="37">
        <v>0.0</v>
      </c>
      <c r="AU173" s="37">
        <v>0.0</v>
      </c>
      <c r="AV173" s="37">
        <v>0.0</v>
      </c>
      <c r="AW173" s="37">
        <v>0.0</v>
      </c>
      <c r="AX173" s="37">
        <v>0.0</v>
      </c>
      <c r="AY173" s="37">
        <v>100.0</v>
      </c>
      <c r="AZ173" s="37">
        <v>0.0</v>
      </c>
      <c r="BG173" s="37" t="str">
        <f t="array" ref="BG173">IF($A173="","",IFERROR(INDEX(CS!$B$1:$B$15025,MATCH($A173,CS!$B:$B,0)+COLUMN(A$1),1),""))</f>
        <v>魔法陣</v>
      </c>
      <c r="BH173" s="37" t="str">
        <f t="array" ref="BH173">IF($A173="","",IFERROR(INDEX(CS!$B$1:$B$15025,MATCH($A173,CS!$B:$B,0)+COLUMN(B$1),1),""))</f>
        <v/>
      </c>
      <c r="BI173" s="37" t="str">
        <f t="array" ref="BI173">IF($A173="","",IFERROR(INDEX(CS!$B$1:$B$15025,MATCH($A173,CS!$B:$B,0)+COLUMN(C$1),1),""))</f>
        <v>魔力強化</v>
      </c>
      <c r="BJ173" s="37" t="str">
        <f t="array" ref="BJ173">IF($A173="","",IFERROR(INDEX(CS!$B$1:$B$15025,MATCH($A173,CS!$B:$B,0)+COLUMN(D$1),1),""))</f>
        <v/>
      </c>
      <c r="BK173" s="37" t="str">
        <f t="array" ref="BK173">IF($A173="","",IFERROR(INDEX(CS!$B$1:$B$15025,MATCH($A173,CS!$B:$B,0)+COLUMN(E$1),1),""))</f>
        <v>賢者の知識</v>
      </c>
      <c r="BL173" s="37" t="str">
        <f t="array" ref="BL173">IF($A173="","",IFERROR(INDEX(CS!$B$1:$B$15025,MATCH($A173,CS!$B:$B,0)+COLUMN(F$1),1),""))</f>
        <v/>
      </c>
      <c r="BM173" s="37" t="str">
        <f t="array" ref="BM173">IF($A173="","",IFERROR(INDEX(CS!$B$1:$B$15025,MATCH($A173,CS!$B:$B,0)+COLUMN(G$1),1),""))</f>
        <v>魔法無効化</v>
      </c>
      <c r="BN173" s="37" t="str">
        <f t="array" ref="BN173">IF($A173="","",IFERROR(INDEX(CS!$B$1:$B$15025,MATCH($A173,CS!$B:$B,0)+COLUMN(H$1),1),""))</f>
        <v/>
      </c>
      <c r="BO173" s="37" t="str">
        <f t="array" ref="BO173">IF($A173="","",IFERROR(INDEX(CS!$B$1:$B$15025,MATCH($A173,CS!$B:$B,0)+COLUMN(I$1),1),""))</f>
        <v>魔力増幅</v>
      </c>
      <c r="BP173" s="37" t="str">
        <f t="array" ref="BP173">IF($A173="","",IFERROR(INDEX(CS!$B$1:$B$15025,MATCH($A173,CS!$B:$B,0)+COLUMN(J$1),1),""))</f>
        <v>大賢者</v>
      </c>
      <c r="BR173" s="39" t="s">
        <v>2863</v>
      </c>
      <c r="BS173" s="74"/>
      <c r="CG173" s="37" t="s">
        <v>2816</v>
      </c>
      <c r="CI173" s="37" t="s">
        <v>2806</v>
      </c>
      <c r="CJ173" s="37" t="s">
        <v>2817</v>
      </c>
      <c r="CK173" s="37" t="s">
        <v>2800</v>
      </c>
      <c r="CN173" s="37" t="s">
        <v>2814</v>
      </c>
    </row>
    <row r="174" ht="18.75" customHeight="1" outlineLevel="1">
      <c r="A174" s="39" t="s">
        <v>2436</v>
      </c>
      <c r="B174" s="71"/>
      <c r="C174" s="39" t="s">
        <v>2815</v>
      </c>
      <c r="D174" s="72" t="str">
        <f t="shared" si="7"/>
        <v>730/490/240</v>
      </c>
      <c r="E174" s="39">
        <v>3.0</v>
      </c>
      <c r="F174" s="39">
        <v>60.0</v>
      </c>
      <c r="I174" s="39">
        <v>50.0</v>
      </c>
      <c r="J174" s="39">
        <v>55.0</v>
      </c>
      <c r="K174" s="87">
        <v>100.0</v>
      </c>
      <c r="L174" s="39">
        <v>100.0</v>
      </c>
      <c r="M174" s="39">
        <v>50.0</v>
      </c>
      <c r="N174" s="39">
        <v>75.0</v>
      </c>
      <c r="P174" s="37">
        <v>0.0</v>
      </c>
      <c r="Q174" s="64"/>
      <c r="R174" s="64"/>
      <c r="S174" s="64"/>
      <c r="T174" s="64"/>
      <c r="U174" s="64"/>
      <c r="V174" s="64"/>
      <c r="W174" s="64"/>
      <c r="X174" s="64"/>
      <c r="Y174" s="64"/>
      <c r="Z174" s="64"/>
      <c r="AA174" s="64"/>
      <c r="AJ174" s="37">
        <v>0.0</v>
      </c>
      <c r="AK174" s="37">
        <v>0.0</v>
      </c>
      <c r="AL174" s="37">
        <v>90.0</v>
      </c>
      <c r="AM174" s="37">
        <v>0.0</v>
      </c>
      <c r="AN174" s="37">
        <v>50.0</v>
      </c>
      <c r="AO174" s="37">
        <v>0.0</v>
      </c>
      <c r="AP174" s="37">
        <v>0.0</v>
      </c>
      <c r="AQ174" s="37">
        <v>0.0</v>
      </c>
      <c r="AR174" s="37">
        <v>0.0</v>
      </c>
      <c r="AS174" s="37">
        <v>0.0</v>
      </c>
      <c r="AT174" s="37">
        <v>0.0</v>
      </c>
      <c r="AU174" s="37">
        <v>0.0</v>
      </c>
      <c r="AV174" s="37">
        <v>0.0</v>
      </c>
      <c r="AW174" s="37">
        <v>0.0</v>
      </c>
      <c r="AX174" s="37">
        <v>0.0</v>
      </c>
      <c r="AY174" s="37">
        <v>100.0</v>
      </c>
      <c r="AZ174" s="37">
        <v>0.0</v>
      </c>
      <c r="BG174" s="37" t="str">
        <f t="array" ref="BG174">IF($A174="","",IFERROR(INDEX(CS!$B$1:$B$15025,MATCH($A174,CS!$B:$B,0)+COLUMN(A$1),1),""))</f>
        <v>言霊・命</v>
      </c>
      <c r="BH174" s="37" t="str">
        <f t="array" ref="BH174">IF($A174="","",IFERROR(INDEX(CS!$B$1:$B$15025,MATCH($A174,CS!$B:$B,0)+COLUMN(B$1),1),""))</f>
        <v/>
      </c>
      <c r="BI174" s="37" t="str">
        <f t="array" ref="BI174">IF($A174="","",IFERROR(INDEX(CS!$B$1:$B$15025,MATCH($A174,CS!$B:$B,0)+COLUMN(C$1),1),""))</f>
        <v>言霊・縛</v>
      </c>
      <c r="BJ174" s="37" t="str">
        <f t="array" ref="BJ174">IF($A174="","",IFERROR(INDEX(CS!$B$1:$B$15025,MATCH($A174,CS!$B:$B,0)+COLUMN(D$1),1),""))</f>
        <v/>
      </c>
      <c r="BK174" s="37" t="str">
        <f t="array" ref="BK174">IF($A174="","",IFERROR(INDEX(CS!$B$1:$B$15025,MATCH($A174,CS!$B:$B,0)+COLUMN(E$1),1),""))</f>
        <v>言霊・黙</v>
      </c>
      <c r="BL174" s="37" t="str">
        <f t="array" ref="BL174">IF($A174="","",IFERROR(INDEX(CS!$B$1:$B$15025,MATCH($A174,CS!$B:$B,0)+COLUMN(F$1),1),""))</f>
        <v/>
      </c>
      <c r="BM174" s="37" t="str">
        <f t="array" ref="BM174">IF($A174="","",IFERROR(INDEX(CS!$B$1:$B$15025,MATCH($A174,CS!$B:$B,0)+COLUMN(G$1),1),""))</f>
        <v>言霊・退</v>
      </c>
      <c r="BN174" s="37" t="str">
        <f t="array" ref="BN174">IF($A174="","",IFERROR(INDEX(CS!$B$1:$B$15025,MATCH($A174,CS!$B:$B,0)+COLUMN(H$1),1),""))</f>
        <v/>
      </c>
      <c r="BO174" s="37" t="str">
        <f t="array" ref="BO174">IF($A174="","",IFERROR(INDEX(CS!$B$1:$B$15025,MATCH($A174,CS!$B:$B,0)+COLUMN(I$1),1),""))</f>
        <v>言霊の極意</v>
      </c>
      <c r="BP174" s="37" t="str">
        <f t="array" ref="BP174">IF($A174="","",IFERROR(INDEX(CS!$B$1:$B$15025,MATCH($A174,CS!$B:$B,0)+COLUMN(J$1),1),""))</f>
        <v>力の言葉</v>
      </c>
      <c r="BR174" s="39" t="s">
        <v>2863</v>
      </c>
      <c r="BS174" s="74"/>
      <c r="CG174" s="37" t="s">
        <v>2816</v>
      </c>
      <c r="CI174" s="37" t="s">
        <v>2806</v>
      </c>
      <c r="CJ174" s="37" t="s">
        <v>2817</v>
      </c>
      <c r="CK174" s="37" t="s">
        <v>2800</v>
      </c>
      <c r="CN174" s="37" t="s">
        <v>2814</v>
      </c>
    </row>
    <row r="175" ht="18.75" customHeight="1" outlineLevel="1">
      <c r="A175" s="39" t="s">
        <v>2448</v>
      </c>
      <c r="B175" s="71"/>
      <c r="C175" s="39" t="s">
        <v>2815</v>
      </c>
      <c r="D175" s="72" t="str">
        <f t="shared" si="7"/>
        <v>725/485/240</v>
      </c>
      <c r="E175" s="39">
        <v>2.0</v>
      </c>
      <c r="F175" s="39">
        <v>60.0</v>
      </c>
      <c r="I175" s="39">
        <v>55.0</v>
      </c>
      <c r="J175" s="39">
        <v>55.0</v>
      </c>
      <c r="K175" s="87">
        <v>95.0</v>
      </c>
      <c r="L175" s="39">
        <v>90.0</v>
      </c>
      <c r="M175" s="39">
        <v>50.0</v>
      </c>
      <c r="N175" s="39">
        <v>80.0</v>
      </c>
      <c r="P175" s="37">
        <v>0.0</v>
      </c>
      <c r="Q175" s="64"/>
      <c r="R175" s="64"/>
      <c r="S175" s="64"/>
      <c r="T175" s="64"/>
      <c r="U175" s="64"/>
      <c r="V175" s="64"/>
      <c r="W175" s="64"/>
      <c r="X175" s="64"/>
      <c r="Y175" s="64"/>
      <c r="Z175" s="64"/>
      <c r="AA175" s="64"/>
      <c r="AJ175" s="37">
        <v>0.0</v>
      </c>
      <c r="AK175" s="37">
        <v>0.0</v>
      </c>
      <c r="AL175" s="37">
        <v>90.0</v>
      </c>
      <c r="AM175" s="37">
        <v>0.0</v>
      </c>
      <c r="AN175" s="37">
        <v>50.0</v>
      </c>
      <c r="AO175" s="37">
        <v>0.0</v>
      </c>
      <c r="AP175" s="37">
        <v>0.0</v>
      </c>
      <c r="AQ175" s="37">
        <v>0.0</v>
      </c>
      <c r="AR175" s="37">
        <v>0.0</v>
      </c>
      <c r="AS175" s="37">
        <v>0.0</v>
      </c>
      <c r="AT175" s="37">
        <v>0.0</v>
      </c>
      <c r="AU175" s="37">
        <v>0.0</v>
      </c>
      <c r="AV175" s="37">
        <v>0.0</v>
      </c>
      <c r="AW175" s="37">
        <v>0.0</v>
      </c>
      <c r="AX175" s="37">
        <v>0.0</v>
      </c>
      <c r="AY175" s="37">
        <v>100.0</v>
      </c>
      <c r="AZ175" s="37">
        <v>0.0</v>
      </c>
      <c r="BG175" s="37" t="str">
        <f t="array" ref="BG175">IF($A175="","",IFERROR(INDEX(CS!$B$1:$B$15025,MATCH($A175,CS!$B:$B,0)+COLUMN(A$1),1),""))</f>
        <v>場断裂</v>
      </c>
      <c r="BH175" s="37" t="str">
        <f t="array" ref="BH175">IF($A175="","",IFERROR(INDEX(CS!$B$1:$B$15025,MATCH($A175,CS!$B:$B,0)+COLUMN(B$1),1),""))</f>
        <v/>
      </c>
      <c r="BI175" s="37" t="str">
        <f t="array" ref="BI175">IF($A175="","",IFERROR(INDEX(CS!$B$1:$B$15025,MATCH($A175,CS!$B:$B,0)+COLUMN(C$1),1),""))</f>
        <v>偏向膜</v>
      </c>
      <c r="BJ175" s="37" t="str">
        <f t="array" ref="BJ175">IF($A175="","",IFERROR(INDEX(CS!$B$1:$B$15025,MATCH($A175,CS!$B:$B,0)+COLUMN(D$1),1),""))</f>
        <v/>
      </c>
      <c r="BK175" s="37" t="str">
        <f t="array" ref="BK175">IF($A175="","",IFERROR(INDEX(CS!$B$1:$B$15025,MATCH($A175,CS!$B:$B,0)+COLUMN(E$1),1),""))</f>
        <v>衝圧</v>
      </c>
      <c r="BL175" s="37" t="str">
        <f t="array" ref="BL175">IF($A175="","",IFERROR(INDEX(CS!$B$1:$B$15025,MATCH($A175,CS!$B:$B,0)+COLUMN(F$1),1),""))</f>
        <v/>
      </c>
      <c r="BM175" s="37" t="str">
        <f t="array" ref="BM175">IF($A175="","",IFERROR(INDEX(CS!$B$1:$B$15025,MATCH($A175,CS!$B:$B,0)+COLUMN(G$1),1),""))</f>
        <v>拘束界</v>
      </c>
      <c r="BN175" s="37" t="str">
        <f t="array" ref="BN175">IF($A175="","",IFERROR(INDEX(CS!$B$1:$B$15025,MATCH($A175,CS!$B:$B,0)+COLUMN(H$1),1),""))</f>
        <v/>
      </c>
      <c r="BO175" s="37" t="str">
        <f t="array" ref="BO175">IF($A175="","",IFERROR(INDEX(CS!$B$1:$B$15025,MATCH($A175,CS!$B:$B,0)+COLUMN(I$1),1),""))</f>
        <v>分解</v>
      </c>
      <c r="BP175" s="37" t="str">
        <f t="array" ref="BP175">IF($A175="","",IFERROR(INDEX(CS!$B$1:$B$15025,MATCH($A175,CS!$B:$B,0)+COLUMN(J$1),1),""))</f>
        <v>圧壊掌</v>
      </c>
      <c r="BR175" s="39" t="s">
        <v>2862</v>
      </c>
      <c r="BS175" s="74"/>
      <c r="CG175" s="37" t="s">
        <v>2816</v>
      </c>
      <c r="CI175" s="37" t="s">
        <v>2806</v>
      </c>
      <c r="CJ175" s="37" t="s">
        <v>2817</v>
      </c>
      <c r="CK175" s="37" t="s">
        <v>2800</v>
      </c>
      <c r="CN175" s="37" t="s">
        <v>2814</v>
      </c>
    </row>
    <row r="176" ht="18.75" customHeight="1" outlineLevel="1">
      <c r="A176" s="39" t="s">
        <v>2449</v>
      </c>
      <c r="B176" s="71"/>
      <c r="C176" s="39" t="s">
        <v>2815</v>
      </c>
      <c r="D176" s="72" t="str">
        <f t="shared" si="7"/>
        <v>740/500/240</v>
      </c>
      <c r="E176" s="39">
        <v>3.0</v>
      </c>
      <c r="F176" s="39">
        <v>60.0</v>
      </c>
      <c r="I176" s="39">
        <v>60.0</v>
      </c>
      <c r="J176" s="39">
        <v>55.0</v>
      </c>
      <c r="K176" s="87">
        <v>100.0</v>
      </c>
      <c r="L176" s="39">
        <v>90.0</v>
      </c>
      <c r="M176" s="39">
        <v>50.0</v>
      </c>
      <c r="N176" s="39">
        <v>85.0</v>
      </c>
      <c r="P176" s="37">
        <v>0.0</v>
      </c>
      <c r="Q176" s="64"/>
      <c r="R176" s="64"/>
      <c r="S176" s="64"/>
      <c r="T176" s="64"/>
      <c r="U176" s="64"/>
      <c r="V176" s="64"/>
      <c r="W176" s="64"/>
      <c r="X176" s="64"/>
      <c r="Y176" s="64"/>
      <c r="Z176" s="64"/>
      <c r="AA176" s="64"/>
      <c r="AJ176" s="37">
        <v>0.0</v>
      </c>
      <c r="AK176" s="37">
        <v>0.0</v>
      </c>
      <c r="AL176" s="37">
        <v>90.0</v>
      </c>
      <c r="AM176" s="37">
        <v>0.0</v>
      </c>
      <c r="AN176" s="37">
        <v>50.0</v>
      </c>
      <c r="AO176" s="37">
        <v>0.0</v>
      </c>
      <c r="AP176" s="37">
        <v>0.0</v>
      </c>
      <c r="AQ176" s="37">
        <v>0.0</v>
      </c>
      <c r="AR176" s="37">
        <v>0.0</v>
      </c>
      <c r="AS176" s="37">
        <v>0.0</v>
      </c>
      <c r="AT176" s="37">
        <v>0.0</v>
      </c>
      <c r="AU176" s="37">
        <v>0.0</v>
      </c>
      <c r="AV176" s="37">
        <v>0.0</v>
      </c>
      <c r="AW176" s="37">
        <v>0.0</v>
      </c>
      <c r="AX176" s="37">
        <v>0.0</v>
      </c>
      <c r="AY176" s="37">
        <v>100.0</v>
      </c>
      <c r="AZ176" s="37">
        <v>0.0</v>
      </c>
      <c r="BG176" s="37" t="str">
        <f t="array" ref="BG176">IF($A176="","",IFERROR(INDEX(CS!$B$1:$B$15025,MATCH($A176,CS!$B:$B,0)+COLUMN(A$1),1),""))</f>
        <v>分解</v>
      </c>
      <c r="BH176" s="37" t="str">
        <f t="array" ref="BH176">IF($A176="","",IFERROR(INDEX(CS!$B$1:$B$15025,MATCH($A176,CS!$B:$B,0)+COLUMN(B$1),1),""))</f>
        <v/>
      </c>
      <c r="BI176" s="37" t="str">
        <f t="array" ref="BI176">IF($A176="","",IFERROR(INDEX(CS!$B$1:$B$15025,MATCH($A176,CS!$B:$B,0)+COLUMN(C$1),1),""))</f>
        <v>圧縮界</v>
      </c>
      <c r="BJ176" s="37" t="str">
        <f t="array" ref="BJ176">IF($A176="","",IFERROR(INDEX(CS!$B$1:$B$15025,MATCH($A176,CS!$B:$B,0)+COLUMN(D$1),1),""))</f>
        <v/>
      </c>
      <c r="BK176" s="37" t="str">
        <f t="array" ref="BK176">IF($A176="","",IFERROR(INDEX(CS!$B$1:$B$15025,MATCH($A176,CS!$B:$B,0)+COLUMN(E$1),1),""))</f>
        <v>圧壊掌</v>
      </c>
      <c r="BL176" s="37" t="str">
        <f t="array" ref="BL176">IF($A176="","",IFERROR(INDEX(CS!$B$1:$B$15025,MATCH($A176,CS!$B:$B,0)+COLUMN(F$1),1),""))</f>
        <v/>
      </c>
      <c r="BM176" s="37" t="str">
        <f t="array" ref="BM176">IF($A176="","",IFERROR(INDEX(CS!$B$1:$B$15025,MATCH($A176,CS!$B:$B,0)+COLUMN(G$1),1),""))</f>
        <v>衝圧</v>
      </c>
      <c r="BN176" s="37" t="str">
        <f t="array" ref="BN176">IF($A176="","",IFERROR(INDEX(CS!$B$1:$B$15025,MATCH($A176,CS!$B:$B,0)+COLUMN(H$1),1),""))</f>
        <v/>
      </c>
      <c r="BO176" s="37" t="str">
        <f t="array" ref="BO176">IF($A176="","",IFERROR(INDEX(CS!$B$1:$B$15025,MATCH($A176,CS!$B:$B,0)+COLUMN(I$1),1),""))</f>
        <v>偏向膜</v>
      </c>
      <c r="BP176" s="37" t="str">
        <f t="array" ref="BP176">IF($A176="","",IFERROR(INDEX(CS!$B$1:$B$15025,MATCH($A176,CS!$B:$B,0)+COLUMN(J$1),1),""))</f>
        <v>力場支配</v>
      </c>
      <c r="BR176" s="39" t="s">
        <v>2864</v>
      </c>
      <c r="BS176" s="74"/>
      <c r="CG176" s="37" t="s">
        <v>2816</v>
      </c>
      <c r="CI176" s="37" t="s">
        <v>2806</v>
      </c>
      <c r="CJ176" s="37" t="s">
        <v>2817</v>
      </c>
      <c r="CK176" s="37" t="s">
        <v>2800</v>
      </c>
      <c r="CN176" s="37" t="s">
        <v>2814</v>
      </c>
    </row>
    <row r="177" ht="18.75" customHeight="1">
      <c r="B177" s="71"/>
      <c r="D177" s="72"/>
      <c r="K177" s="73"/>
      <c r="P177" s="37" t="s">
        <v>29</v>
      </c>
      <c r="Q177" s="64"/>
      <c r="R177" s="64"/>
      <c r="S177" s="64"/>
      <c r="T177" s="64"/>
      <c r="U177" s="64"/>
      <c r="V177" s="64"/>
      <c r="W177" s="64"/>
      <c r="X177" s="64"/>
      <c r="Y177" s="64"/>
      <c r="Z177" s="64"/>
      <c r="AA177" s="64"/>
      <c r="AJ177" s="37" t="s">
        <v>29</v>
      </c>
      <c r="AK177" s="37" t="s">
        <v>29</v>
      </c>
      <c r="AL177" s="37" t="s">
        <v>29</v>
      </c>
      <c r="AM177" s="37" t="s">
        <v>29</v>
      </c>
      <c r="AN177" s="37" t="s">
        <v>29</v>
      </c>
      <c r="AO177" s="37" t="s">
        <v>29</v>
      </c>
      <c r="AP177" s="37" t="s">
        <v>29</v>
      </c>
      <c r="AQ177" s="37" t="s">
        <v>29</v>
      </c>
      <c r="AR177" s="37" t="s">
        <v>29</v>
      </c>
      <c r="AS177" s="37" t="s">
        <v>29</v>
      </c>
      <c r="AT177" s="37" t="s">
        <v>29</v>
      </c>
      <c r="AU177" s="37" t="s">
        <v>29</v>
      </c>
      <c r="AV177" s="37" t="s">
        <v>29</v>
      </c>
      <c r="AW177" s="37" t="s">
        <v>29</v>
      </c>
      <c r="AX177" s="37" t="s">
        <v>29</v>
      </c>
      <c r="AY177" s="37" t="s">
        <v>29</v>
      </c>
      <c r="AZ177" s="37" t="s">
        <v>29</v>
      </c>
      <c r="BG177" s="37" t="str">
        <f t="array" ref="BG177">IF($A177="","", INDEX(CS!$B$1:$B$15025,MATCH($A177,CS!$B:$B,0)+COLUMN(A$1),1))</f>
        <v/>
      </c>
      <c r="BH177" s="37" t="str">
        <f t="array" ref="BH177">IF($A177="","", INDEX(CS!$B$1:$B$15025,MATCH($A177,CS!$B:$B,0)+COLUMN(B$1),1))</f>
        <v/>
      </c>
      <c r="BI177" s="37" t="str">
        <f t="array" ref="BI177">IF($A177="","", INDEX(CS!$B$1:$B$15025,MATCH($A177,CS!$B:$B,0)+COLUMN(C$1),1))</f>
        <v/>
      </c>
      <c r="BJ177" s="37" t="str">
        <f t="array" ref="BJ177">IF($A177="","", INDEX(CS!$B$1:$B$15025,MATCH($A177,CS!$B:$B,0)+COLUMN(D$1),1))</f>
        <v/>
      </c>
      <c r="BK177" s="37" t="str">
        <f t="array" ref="BK177">IF($A177="","", INDEX(CS!$B$1:$B$15025,MATCH($A177,CS!$B:$B,0)+COLUMN(E$1),1))</f>
        <v/>
      </c>
      <c r="BL177" s="37" t="str">
        <f t="array" ref="BL177">IF($A177="","", INDEX(CS!$B$1:$B$15025,MATCH($A177,CS!$B:$B,0)+COLUMN(F$1),1))</f>
        <v/>
      </c>
      <c r="BM177" s="37" t="str">
        <f t="array" ref="BM177">IF($A177="","", INDEX(CS!$B$1:$B$15025,MATCH($A177,CS!$B:$B,0)+COLUMN(G$1),1))</f>
        <v/>
      </c>
      <c r="BN177" s="37" t="str">
        <f t="array" ref="BN177">IF($A177="","", INDEX(CS!$B$1:$B$15025,MATCH($A177,CS!$B:$B,0)+COLUMN(H$1),1))</f>
        <v/>
      </c>
      <c r="BO177" s="37" t="str">
        <f t="array" ref="BO177">IF($A177="","", INDEX(CS!$B$1:$B$15025,MATCH($A177,CS!$B:$B,0)+COLUMN(I$1),1))</f>
        <v/>
      </c>
      <c r="BP177" s="37" t="str">
        <f t="array" ref="BP177">IF($A177="","", INDEX(CS!$B$1:$B$15025,MATCH($A177,CS!$B:$B,0)+COLUMN(J$1),1))</f>
        <v/>
      </c>
      <c r="BS177" s="74"/>
      <c r="CI177" s="37" t="s">
        <v>2826</v>
      </c>
      <c r="CJ177" s="37" t="s">
        <v>2807</v>
      </c>
      <c r="CK177" s="37" t="s">
        <v>2800</v>
      </c>
    </row>
    <row r="178" ht="18.75" customHeight="1">
      <c r="B178" s="85" t="s">
        <v>2865</v>
      </c>
      <c r="D178" s="72" t="str">
        <f t="shared" ref="D178:D191" si="8">SUM(AJ178:AZ178,F178:N178)&amp;"/"&amp;SUM(F178:N178)&amp;"/"&amp;SUM(AJ178:AZ178)</f>
        <v>0/0/0</v>
      </c>
      <c r="E178" s="37">
        <v>1.0</v>
      </c>
      <c r="K178" s="73"/>
      <c r="P178" s="37" t="s">
        <v>29</v>
      </c>
      <c r="Q178" s="64"/>
      <c r="R178" s="64"/>
      <c r="S178" s="64"/>
      <c r="T178" s="64"/>
      <c r="U178" s="64"/>
      <c r="V178" s="64"/>
      <c r="W178" s="64"/>
      <c r="X178" s="64"/>
      <c r="Y178" s="64"/>
      <c r="Z178" s="64"/>
      <c r="AA178" s="64"/>
      <c r="AJ178" s="37" t="s">
        <v>29</v>
      </c>
      <c r="AK178" s="37" t="s">
        <v>29</v>
      </c>
      <c r="AL178" s="37" t="s">
        <v>29</v>
      </c>
      <c r="AM178" s="37" t="s">
        <v>29</v>
      </c>
      <c r="AN178" s="37" t="s">
        <v>29</v>
      </c>
      <c r="AO178" s="37" t="s">
        <v>29</v>
      </c>
      <c r="AP178" s="37" t="s">
        <v>29</v>
      </c>
      <c r="AQ178" s="37" t="s">
        <v>29</v>
      </c>
      <c r="AR178" s="37" t="s">
        <v>29</v>
      </c>
      <c r="AS178" s="37" t="s">
        <v>29</v>
      </c>
      <c r="AT178" s="37" t="s">
        <v>29</v>
      </c>
      <c r="AU178" s="37" t="s">
        <v>29</v>
      </c>
      <c r="AV178" s="37" t="s">
        <v>29</v>
      </c>
      <c r="AW178" s="37" t="s">
        <v>29</v>
      </c>
      <c r="AX178" s="37" t="s">
        <v>29</v>
      </c>
      <c r="AY178" s="37" t="s">
        <v>29</v>
      </c>
      <c r="AZ178" s="37" t="s">
        <v>29</v>
      </c>
      <c r="BG178" s="37" t="str">
        <f t="array" ref="BG178">IF($A178="","", INDEX(CS!$B$1:$B$15025,MATCH($A178,CS!$B:$B,0)+COLUMN(A$1),1))</f>
        <v/>
      </c>
      <c r="BH178" s="37" t="str">
        <f t="array" ref="BH178">IF($A178="","", INDEX(CS!$B$1:$B$15025,MATCH($A178,CS!$B:$B,0)+COLUMN(B$1),1))</f>
        <v/>
      </c>
      <c r="BI178" s="37" t="str">
        <f t="array" ref="BI178">IF($A178="","", INDEX(CS!$B$1:$B$15025,MATCH($A178,CS!$B:$B,0)+COLUMN(C$1),1))</f>
        <v/>
      </c>
      <c r="BJ178" s="37" t="str">
        <f t="array" ref="BJ178">IF($A178="","", INDEX(CS!$B$1:$B$15025,MATCH($A178,CS!$B:$B,0)+COLUMN(D$1),1))</f>
        <v/>
      </c>
      <c r="BK178" s="37" t="str">
        <f t="array" ref="BK178">IF($A178="","", INDEX(CS!$B$1:$B$15025,MATCH($A178,CS!$B:$B,0)+COLUMN(E$1),1))</f>
        <v/>
      </c>
      <c r="BL178" s="37" t="str">
        <f t="array" ref="BL178">IF($A178="","", INDEX(CS!$B$1:$B$15025,MATCH($A178,CS!$B:$B,0)+COLUMN(F$1),1))</f>
        <v/>
      </c>
      <c r="BM178" s="37" t="str">
        <f t="array" ref="BM178">IF($A178="","", INDEX(CS!$B$1:$B$15025,MATCH($A178,CS!$B:$B,0)+COLUMN(G$1),1))</f>
        <v/>
      </c>
      <c r="BN178" s="37" t="str">
        <f t="array" ref="BN178">IF($A178="","", INDEX(CS!$B$1:$B$15025,MATCH($A178,CS!$B:$B,0)+COLUMN(H$1),1))</f>
        <v/>
      </c>
      <c r="BO178" s="37" t="str">
        <f t="array" ref="BO178">IF($A178="","", INDEX(CS!$B$1:$B$15025,MATCH($A178,CS!$B:$B,0)+COLUMN(I$1),1))</f>
        <v/>
      </c>
      <c r="BP178" s="37" t="str">
        <f t="array" ref="BP178">IF($A178="","", INDEX(CS!$B$1:$B$15025,MATCH($A178,CS!$B:$B,0)+COLUMN(J$1),1))</f>
        <v/>
      </c>
      <c r="BS178" s="74"/>
    </row>
    <row r="179" ht="18.75" customHeight="1" outlineLevel="1">
      <c r="A179" s="39" t="s">
        <v>2453</v>
      </c>
      <c r="B179" s="71"/>
      <c r="C179" s="39" t="s">
        <v>2820</v>
      </c>
      <c r="D179" s="72" t="str">
        <f t="shared" si="8"/>
        <v>730/505/225</v>
      </c>
      <c r="E179" s="39">
        <v>2.0</v>
      </c>
      <c r="F179" s="39">
        <v>80.0</v>
      </c>
      <c r="I179" s="39">
        <v>70.0</v>
      </c>
      <c r="J179" s="39">
        <v>75.0</v>
      </c>
      <c r="K179" s="87">
        <v>80.0</v>
      </c>
      <c r="L179" s="39">
        <v>75.0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光線</v>
      </c>
      <c r="BH179" s="37" t="str">
        <f t="array" ref="BH179">IF($A179="","",IFERROR(INDEX(CS!$B$1:$B$15025,MATCH($A179,CS!$B:$B,0)+COLUMN(B$1),1),""))</f>
        <v>中傷治癒</v>
      </c>
      <c r="BI179" s="37" t="str">
        <f t="array" ref="BI179">IF($A179="","",IFERROR(INDEX(CS!$B$1:$B$15025,MATCH($A179,CS!$B:$B,0)+COLUMN(C$1),1),""))</f>
        <v>毒治癒</v>
      </c>
      <c r="BJ179" s="37" t="str">
        <f t="array" ref="BJ179">IF($A179="","",IFERROR(INDEX(CS!$B$1:$B$15025,MATCH($A179,CS!$B:$B,0)+COLUMN(D$1),1),""))</f>
        <v>麻痺治癒</v>
      </c>
      <c r="BK179" s="37" t="str">
        <f t="array" ref="BK179">IF($A179="","",IFERROR(INDEX(CS!$B$1:$B$15025,MATCH($A179,CS!$B:$B,0)+COLUMN(E$1),1),""))</f>
        <v>重傷治癒</v>
      </c>
      <c r="BL179" s="37" t="str">
        <f t="array" ref="BL179">IF($A179="","",IFERROR(INDEX(CS!$B$1:$B$15025,MATCH($A179,CS!$B:$B,0)+COLUMN(F$1),1),""))</f>
        <v/>
      </c>
      <c r="BM179" s="37" t="str">
        <f t="array" ref="BM179">IF($A179="","",IFERROR(INDEX(CS!$B$1:$B$15025,MATCH($A179,CS!$B:$B,0)+COLUMN(G$1),1),""))</f>
        <v>軽傷治癒・範囲</v>
      </c>
      <c r="BN179" s="37" t="str">
        <f t="array" ref="BN179">IF($A179="","",IFERROR(INDEX(CS!$B$1:$B$15025,MATCH($A179,CS!$B:$B,0)+COLUMN(H$1),1),""))</f>
        <v/>
      </c>
      <c r="BO179" s="37" t="str">
        <f t="array" ref="BO179">IF($A179="","",IFERROR(INDEX(CS!$B$1:$B$15025,MATCH($A179,CS!$B:$B,0)+COLUMN(I$1),1),""))</f>
        <v>焼け付く光</v>
      </c>
      <c r="BP179" s="37" t="str">
        <f t="array" ref="BP179">IF($A179="","",IFERROR(INDEX(CS!$B$1:$B$15025,MATCH($A179,CS!$B:$B,0)+COLUMN(J$1),1),""))</f>
        <v>信仰の聖域</v>
      </c>
      <c r="BR179" s="39" t="s">
        <v>2866</v>
      </c>
      <c r="BS179" s="74"/>
      <c r="CG179" s="37" t="s">
        <v>2821</v>
      </c>
      <c r="CI179" s="37" t="s">
        <v>2806</v>
      </c>
      <c r="CJ179" s="37" t="s">
        <v>2817</v>
      </c>
      <c r="CK179" s="37" t="s">
        <v>2800</v>
      </c>
      <c r="CN179" s="37" t="s">
        <v>2819</v>
      </c>
    </row>
    <row r="180" ht="18.75" customHeight="1" outlineLevel="1">
      <c r="A180" s="39" t="s">
        <v>2454</v>
      </c>
      <c r="B180" s="71"/>
      <c r="C180" s="39" t="s">
        <v>2820</v>
      </c>
      <c r="D180" s="72" t="str">
        <f t="shared" si="8"/>
        <v>745/520/225</v>
      </c>
      <c r="E180" s="39">
        <v>3.0</v>
      </c>
      <c r="F180" s="39">
        <v>85.0</v>
      </c>
      <c r="I180" s="39">
        <v>70.0</v>
      </c>
      <c r="J180" s="39">
        <v>80.0</v>
      </c>
      <c r="K180" s="87">
        <v>80.0</v>
      </c>
      <c r="L180" s="39">
        <v>80.0</v>
      </c>
      <c r="M180" s="39">
        <v>50.0</v>
      </c>
      <c r="N180" s="39">
        <v>75.0</v>
      </c>
      <c r="P180" s="39">
        <v>50.0</v>
      </c>
      <c r="Q180" s="64"/>
      <c r="R180" s="64"/>
      <c r="S180" s="64"/>
      <c r="T180" s="64"/>
      <c r="U180" s="64"/>
      <c r="V180" s="64"/>
      <c r="W180" s="64"/>
      <c r="X180" s="64"/>
      <c r="Y180" s="64"/>
      <c r="Z180" s="64"/>
      <c r="AA180" s="64"/>
      <c r="AJ180" s="37">
        <v>0.0</v>
      </c>
      <c r="AK180" s="37">
        <v>0.0</v>
      </c>
      <c r="AL180" s="37">
        <v>75.0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100.0</v>
      </c>
      <c r="BA180" s="39"/>
      <c r="BB180" s="39"/>
      <c r="BC180" s="39"/>
      <c r="BD180" s="39"/>
      <c r="BE180" s="39"/>
      <c r="BF180" s="39"/>
      <c r="BG180" s="37" t="str">
        <f t="array" ref="BG180">IF($A180="","",IFERROR(INDEX(CS!$B$1:$B$15025,MATCH($A180,CS!$B:$B,0)+COLUMN(A$1),1),""))</f>
        <v>信仰の盾</v>
      </c>
      <c r="BH180" s="37" t="str">
        <f t="array" ref="BH180">IF($A180="","",IFERROR(INDEX(CS!$B$1:$B$15025,MATCH($A180,CS!$B:$B,0)+COLUMN(B$1),1),""))</f>
        <v/>
      </c>
      <c r="BI180" s="37" t="str">
        <f t="array" ref="BI180">IF($A180="","",IFERROR(INDEX(CS!$B$1:$B$15025,MATCH($A180,CS!$B:$B,0)+COLUMN(C$1),1),""))</f>
        <v>盾構え</v>
      </c>
      <c r="BJ180" s="37" t="str">
        <f t="array" ref="BJ180">IF($A180="","",IFERROR(INDEX(CS!$B$1:$B$15025,MATCH($A180,CS!$B:$B,0)+COLUMN(D$1),1),""))</f>
        <v/>
      </c>
      <c r="BK180" s="37" t="str">
        <f t="array" ref="BK180">IF($A180="","",IFERROR(INDEX(CS!$B$1:$B$15025,MATCH($A180,CS!$B:$B,0)+COLUMN(E$1),1),""))</f>
        <v>信仰の聖域</v>
      </c>
      <c r="BL180" s="37" t="str">
        <f t="array" ref="BL180">IF($A180="","",IFERROR(INDEX(CS!$B$1:$B$15025,MATCH($A180,CS!$B:$B,0)+COLUMN(F$1),1),""))</f>
        <v/>
      </c>
      <c r="BM180" s="37" t="str">
        <f t="array" ref="BM180">IF($A180="","",IFERROR(INDEX(CS!$B$1:$B$15025,MATCH($A180,CS!$B:$B,0)+COLUMN(G$1),1),""))</f>
        <v>完全防御</v>
      </c>
      <c r="BN180" s="37" t="str">
        <f t="array" ref="BN180">IF($A180="","",IFERROR(INDEX(CS!$B$1:$B$15025,MATCH($A180,CS!$B:$B,0)+COLUMN(H$1),1),""))</f>
        <v/>
      </c>
      <c r="BO180" s="37" t="str">
        <f t="array" ref="BO180">IF($A180="","",IFERROR(INDEX(CS!$B$1:$B$15025,MATCH($A180,CS!$B:$B,0)+COLUMN(I$1),1),""))</f>
        <v>奇跡の護り</v>
      </c>
      <c r="BP180" s="37" t="str">
        <f t="array" ref="BP180">IF($A180="","",IFERROR(INDEX(CS!$B$1:$B$15025,MATCH($A180,CS!$B:$B,0)+COLUMN(J$1),1),""))</f>
        <v>聖堂の守護者</v>
      </c>
      <c r="BR180" s="39" t="s">
        <v>2867</v>
      </c>
      <c r="BS180" s="74"/>
      <c r="CG180" s="37" t="s">
        <v>2821</v>
      </c>
      <c r="CI180" s="37" t="s">
        <v>2806</v>
      </c>
      <c r="CJ180" s="37" t="s">
        <v>2817</v>
      </c>
      <c r="CK180" s="37" t="s">
        <v>2800</v>
      </c>
      <c r="CN180" s="37" t="s">
        <v>2819</v>
      </c>
    </row>
    <row r="181" ht="18.75" customHeight="1" outlineLevel="1">
      <c r="A181" s="39" t="s">
        <v>2457</v>
      </c>
      <c r="B181" s="71"/>
      <c r="C181" s="39" t="s">
        <v>2820</v>
      </c>
      <c r="D181" s="72" t="str">
        <f t="shared" si="8"/>
        <v>720/495/225</v>
      </c>
      <c r="E181" s="39">
        <v>2.0</v>
      </c>
      <c r="F181" s="39">
        <v>75.0</v>
      </c>
      <c r="I181" s="39">
        <v>70.0</v>
      </c>
      <c r="J181" s="39">
        <v>70.0</v>
      </c>
      <c r="K181" s="87">
        <v>80.0</v>
      </c>
      <c r="L181" s="39">
        <v>75.0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沈黙</v>
      </c>
      <c r="BH181" s="37" t="str">
        <f t="array" ref="BH181">IF($A181="","",IFERROR(INDEX(CS!$B$1:$B$15025,MATCH($A181,CS!$B:$B,0)+COLUMN(B$1),1),""))</f>
        <v/>
      </c>
      <c r="BI181" s="37" t="str">
        <f t="array" ref="BI181">IF($A181="","",IFERROR(INDEX(CS!$B$1:$B$15025,MATCH($A181,CS!$B:$B,0)+COLUMN(C$1),1),""))</f>
        <v>正しき天秤</v>
      </c>
      <c r="BJ181" s="37" t="str">
        <f t="array" ref="BJ181">IF($A181="","",IFERROR(INDEX(CS!$B$1:$B$15025,MATCH($A181,CS!$B:$B,0)+COLUMN(D$1),1),""))</f>
        <v/>
      </c>
      <c r="BK181" s="37" t="str">
        <f t="array" ref="BK181">IF($A181="","",IFERROR(INDEX(CS!$B$1:$B$15025,MATCH($A181,CS!$B:$B,0)+COLUMN(E$1),1),""))</f>
        <v>光線</v>
      </c>
      <c r="BL181" s="37" t="str">
        <f t="array" ref="BL181">IF($A181="","",IFERROR(INDEX(CS!$B$1:$B$15025,MATCH($A181,CS!$B:$B,0)+COLUMN(F$1),1),""))</f>
        <v/>
      </c>
      <c r="BM181" s="37" t="str">
        <f t="array" ref="BM181">IF($A181="","",IFERROR(INDEX(CS!$B$1:$B$15025,MATCH($A181,CS!$B:$B,0)+COLUMN(G$1),1),""))</f>
        <v>信仰の魂</v>
      </c>
      <c r="BN181" s="37" t="str">
        <f t="array" ref="BN181">IF($A181="","",IFERROR(INDEX(CS!$B$1:$B$15025,MATCH($A181,CS!$B:$B,0)+COLUMN(H$1),1),""))</f>
        <v/>
      </c>
      <c r="BO181" s="37" t="str">
        <f t="array" ref="BO181">IF($A181="","",IFERROR(INDEX(CS!$B$1:$B$15025,MATCH($A181,CS!$B:$B,0)+COLUMN(I$1),1),""))</f>
        <v>強化破り</v>
      </c>
      <c r="BP181" s="37" t="str">
        <f t="array" ref="BP181">IF($A181="","",IFERROR(INDEX(CS!$B$1:$B$15025,MATCH($A181,CS!$B:$B,0)+COLUMN(J$1),1),""))</f>
        <v>祓魔</v>
      </c>
      <c r="BR181" s="39" t="s">
        <v>2866</v>
      </c>
      <c r="BS181" s="74"/>
      <c r="CG181" s="37" t="s">
        <v>2821</v>
      </c>
      <c r="CI181" s="37" t="s">
        <v>2806</v>
      </c>
      <c r="CJ181" s="37" t="s">
        <v>2817</v>
      </c>
      <c r="CK181" s="37" t="s">
        <v>2800</v>
      </c>
      <c r="CN181" s="37" t="s">
        <v>2819</v>
      </c>
    </row>
    <row r="182" ht="18.75" customHeight="1" outlineLevel="1">
      <c r="A182" s="39" t="s">
        <v>2460</v>
      </c>
      <c r="B182" s="71"/>
      <c r="C182" s="39" t="s">
        <v>2820</v>
      </c>
      <c r="D182" s="72" t="str">
        <f t="shared" si="8"/>
        <v>730/505/225</v>
      </c>
      <c r="E182" s="39">
        <v>3.0</v>
      </c>
      <c r="F182" s="39">
        <v>75.0</v>
      </c>
      <c r="I182" s="39">
        <v>70.0</v>
      </c>
      <c r="J182" s="39">
        <v>70.0</v>
      </c>
      <c r="K182" s="87">
        <v>85.0</v>
      </c>
      <c r="L182" s="39">
        <v>80.0</v>
      </c>
      <c r="M182" s="39">
        <v>50.0</v>
      </c>
      <c r="N182" s="39">
        <v>75.0</v>
      </c>
      <c r="P182" s="39">
        <v>50.0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100.0</v>
      </c>
      <c r="BA182" s="39"/>
      <c r="BB182" s="39"/>
      <c r="BC182" s="39"/>
      <c r="BD182" s="39"/>
      <c r="BE182" s="39"/>
      <c r="BF182" s="39"/>
      <c r="BG182" s="37" t="str">
        <f t="array" ref="BG182">IF($A182="","",IFERROR(INDEX(CS!$B$1:$B$15025,MATCH($A182,CS!$B:$B,0)+COLUMN(A$1),1),""))</f>
        <v>毒治癒</v>
      </c>
      <c r="BH182" s="37" t="str">
        <f t="array" ref="BH182">IF($A182="","",IFERROR(INDEX(CS!$B$1:$B$15025,MATCH($A182,CS!$B:$B,0)+COLUMN(B$1),1),""))</f>
        <v/>
      </c>
      <c r="BI182" s="37" t="str">
        <f t="array" ref="BI182">IF($A182="","",IFERROR(INDEX(CS!$B$1:$B$15025,MATCH($A182,CS!$B:$B,0)+COLUMN(C$1),1),""))</f>
        <v>麻痺治癒</v>
      </c>
      <c r="BJ182" s="37" t="str">
        <f t="array" ref="BJ182">IF($A182="","",IFERROR(INDEX(CS!$B$1:$B$15025,MATCH($A182,CS!$B:$B,0)+COLUMN(D$1),1),""))</f>
        <v/>
      </c>
      <c r="BK182" s="37" t="str">
        <f t="array" ref="BK182">IF($A182="","",IFERROR(INDEX(CS!$B$1:$B$15025,MATCH($A182,CS!$B:$B,0)+COLUMN(E$1),1),""))</f>
        <v>回復術</v>
      </c>
      <c r="BL182" s="37" t="str">
        <f t="array" ref="BL182">IF($A182="","",IFERROR(INDEX(CS!$B$1:$B$15025,MATCH($A182,CS!$B:$B,0)+COLUMN(F$1),1),""))</f>
        <v/>
      </c>
      <c r="BM182" s="37" t="str">
        <f t="array" ref="BM182">IF($A182="","",IFERROR(INDEX(CS!$B$1:$B$15025,MATCH($A182,CS!$B:$B,0)+COLUMN(G$1),1),""))</f>
        <v>洗浄</v>
      </c>
      <c r="BN182" s="37" t="str">
        <f t="array" ref="BN182">IF($A182="","",IFERROR(INDEX(CS!$B$1:$B$15025,MATCH($A182,CS!$B:$B,0)+COLUMN(H$1),1),""))</f>
        <v/>
      </c>
      <c r="BO182" s="37" t="str">
        <f t="array" ref="BO182">IF($A182="","",IFERROR(INDEX(CS!$B$1:$B$15025,MATCH($A182,CS!$B:$B,0)+COLUMN(I$1),1),""))</f>
        <v>大回復術</v>
      </c>
      <c r="BP182" s="37" t="str">
        <f t="array" ref="BP182">IF($A182="","",IFERROR(INDEX(CS!$B$1:$B$15025,MATCH($A182,CS!$B:$B,0)+COLUMN(J$1),1),""))</f>
        <v>真の蘇生</v>
      </c>
      <c r="BR182" s="39" t="s">
        <v>2868</v>
      </c>
      <c r="BS182" s="74"/>
      <c r="CG182" s="37" t="s">
        <v>2821</v>
      </c>
      <c r="CI182" s="37" t="s">
        <v>2806</v>
      </c>
      <c r="CJ182" s="37" t="s">
        <v>2817</v>
      </c>
      <c r="CK182" s="37" t="s">
        <v>2800</v>
      </c>
      <c r="CN182" s="37" t="s">
        <v>2819</v>
      </c>
    </row>
    <row r="183" ht="18.75" customHeight="1" outlineLevel="1">
      <c r="A183" s="39" t="s">
        <v>2461</v>
      </c>
      <c r="B183" s="71"/>
      <c r="C183" s="39" t="s">
        <v>2820</v>
      </c>
      <c r="D183" s="72" t="str">
        <f t="shared" si="8"/>
        <v>725/500/225</v>
      </c>
      <c r="E183" s="39">
        <v>2.0</v>
      </c>
      <c r="F183" s="39">
        <v>75.0</v>
      </c>
      <c r="I183" s="39">
        <v>75.0</v>
      </c>
      <c r="J183" s="39">
        <v>70.0</v>
      </c>
      <c r="K183" s="87">
        <v>80.0</v>
      </c>
      <c r="L183" s="39">
        <v>75.0</v>
      </c>
      <c r="M183" s="39">
        <v>50.0</v>
      </c>
      <c r="N183" s="39">
        <v>75.0</v>
      </c>
      <c r="P183" s="39">
        <v>25.0</v>
      </c>
      <c r="Q183" s="64"/>
      <c r="R183" s="64"/>
      <c r="S183" s="64"/>
      <c r="T183" s="64"/>
      <c r="U183" s="64"/>
      <c r="V183" s="64"/>
      <c r="W183" s="64"/>
      <c r="X183" s="64"/>
      <c r="Y183" s="64"/>
      <c r="Z183" s="64"/>
      <c r="AA183" s="64"/>
      <c r="AJ183" s="37">
        <v>0.0</v>
      </c>
      <c r="AK183" s="37">
        <v>0.0</v>
      </c>
      <c r="AL183" s="37">
        <v>75.0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100.0</v>
      </c>
      <c r="BA183" s="39"/>
      <c r="BB183" s="39"/>
      <c r="BC183" s="39"/>
      <c r="BD183" s="39"/>
      <c r="BE183" s="39"/>
      <c r="BF183" s="39"/>
      <c r="BG183" s="37" t="str">
        <f t="array" ref="BG183">IF($A183="","",IFERROR(INDEX(CS!$B$1:$B$15025,MATCH($A183,CS!$B:$B,0)+COLUMN(A$1),1),""))</f>
        <v>沈黙</v>
      </c>
      <c r="BH183" s="37" t="str">
        <f t="array" ref="BH183">IF($A183="","",IFERROR(INDEX(CS!$B$1:$B$15025,MATCH($A183,CS!$B:$B,0)+COLUMN(B$1),1),""))</f>
        <v/>
      </c>
      <c r="BI183" s="37" t="str">
        <f t="array" ref="BI183">IF($A183="","",IFERROR(INDEX(CS!$B$1:$B$15025,MATCH($A183,CS!$B:$B,0)+COLUMN(C$1),1),""))</f>
        <v>叱責</v>
      </c>
      <c r="BJ183" s="37" t="str">
        <f t="array" ref="BJ183">IF($A183="","",IFERROR(INDEX(CS!$B$1:$B$15025,MATCH($A183,CS!$B:$B,0)+COLUMN(D$1),1),""))</f>
        <v/>
      </c>
      <c r="BK183" s="37" t="str">
        <f t="array" ref="BK183">IF($A183="","",IFERROR(INDEX(CS!$B$1:$B$15025,MATCH($A183,CS!$B:$B,0)+COLUMN(E$1),1),""))</f>
        <v>弱体化</v>
      </c>
      <c r="BL183" s="37" t="str">
        <f t="array" ref="BL183">IF($A183="","",IFERROR(INDEX(CS!$B$1:$B$15025,MATCH($A183,CS!$B:$B,0)+COLUMN(F$1),1),""))</f>
        <v/>
      </c>
      <c r="BM183" s="37" t="str">
        <f t="array" ref="BM183">IF($A183="","",IFERROR(INDEX(CS!$B$1:$B$15025,MATCH($A183,CS!$B:$B,0)+COLUMN(G$1),1),""))</f>
        <v>正しき天秤</v>
      </c>
      <c r="BN183" s="37" t="str">
        <f t="array" ref="BN183">IF($A183="","",IFERROR(INDEX(CS!$B$1:$B$15025,MATCH($A183,CS!$B:$B,0)+COLUMN(H$1),1),""))</f>
        <v/>
      </c>
      <c r="BO183" s="37" t="str">
        <f t="array" ref="BO183">IF($A183="","",IFERROR(INDEX(CS!$B$1:$B$15025,MATCH($A183,CS!$B:$B,0)+COLUMN(I$1),1),""))</f>
        <v>強化破り</v>
      </c>
      <c r="BP183" s="37" t="str">
        <f t="array" ref="BP183">IF($A183="","",IFERROR(INDEX(CS!$B$1:$B$15025,MATCH($A183,CS!$B:$B,0)+COLUMN(J$1),1),""))</f>
        <v>罪の烙印</v>
      </c>
      <c r="BR183" s="39" t="s">
        <v>2866</v>
      </c>
      <c r="BS183" s="74"/>
      <c r="CG183" s="37" t="s">
        <v>2821</v>
      </c>
      <c r="CI183" s="37" t="s">
        <v>2806</v>
      </c>
      <c r="CJ183" s="37" t="s">
        <v>2817</v>
      </c>
      <c r="CK183" s="37" t="s">
        <v>2800</v>
      </c>
      <c r="CN183" s="37" t="s">
        <v>2819</v>
      </c>
    </row>
    <row r="184" ht="18.75" customHeight="1" outlineLevel="1">
      <c r="A184" s="39" t="s">
        <v>2464</v>
      </c>
      <c r="B184" s="71"/>
      <c r="C184" s="39" t="s">
        <v>2820</v>
      </c>
      <c r="D184" s="72" t="str">
        <f t="shared" si="8"/>
        <v>740/515/225</v>
      </c>
      <c r="E184" s="39">
        <v>3.0</v>
      </c>
      <c r="F184" s="39">
        <v>75.0</v>
      </c>
      <c r="I184" s="39">
        <v>80.0</v>
      </c>
      <c r="J184" s="39">
        <v>70.0</v>
      </c>
      <c r="K184" s="87">
        <v>85.0</v>
      </c>
      <c r="L184" s="39">
        <v>80.0</v>
      </c>
      <c r="M184" s="39">
        <v>50.0</v>
      </c>
      <c r="N184" s="39">
        <v>75.0</v>
      </c>
      <c r="P184" s="39">
        <v>50.0</v>
      </c>
      <c r="Q184" s="64"/>
      <c r="R184" s="64"/>
      <c r="S184" s="64"/>
      <c r="T184" s="64"/>
      <c r="U184" s="64"/>
      <c r="V184" s="64"/>
      <c r="W184" s="64"/>
      <c r="X184" s="64"/>
      <c r="Y184" s="64"/>
      <c r="Z184" s="64"/>
      <c r="AA184" s="64"/>
      <c r="AJ184" s="37">
        <v>0.0</v>
      </c>
      <c r="AK184" s="37">
        <v>0.0</v>
      </c>
      <c r="AL184" s="37">
        <v>75.0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100.0</v>
      </c>
      <c r="BA184" s="39"/>
      <c r="BB184" s="39"/>
      <c r="BC184" s="39"/>
      <c r="BD184" s="39"/>
      <c r="BE184" s="39"/>
      <c r="BF184" s="39"/>
      <c r="BG184" s="37" t="str">
        <f t="array" ref="BG184">IF($A184="","",IFERROR(INDEX(CS!$B$1:$B$15025,MATCH($A184,CS!$B:$B,0)+COLUMN(A$1),1),""))</f>
        <v>焼け付く光</v>
      </c>
      <c r="BH184" s="37" t="str">
        <f t="array" ref="BH184">IF($A184="","",IFERROR(INDEX(CS!$B$1:$B$15025,MATCH($A184,CS!$B:$B,0)+COLUMN(B$1),1),""))</f>
        <v/>
      </c>
      <c r="BI184" s="37" t="str">
        <f t="array" ref="BI184">IF($A184="","",IFERROR(INDEX(CS!$B$1:$B$15025,MATCH($A184,CS!$B:$B,0)+COLUMN(C$1),1),""))</f>
        <v>光柱</v>
      </c>
      <c r="BJ184" s="37" t="str">
        <f t="array" ref="BJ184">IF($A184="","",IFERROR(INDEX(CS!$B$1:$B$15025,MATCH($A184,CS!$B:$B,0)+COLUMN(D$1),1),""))</f>
        <v/>
      </c>
      <c r="BK184" s="37" t="str">
        <f t="array" ref="BK184">IF($A184="","",IFERROR(INDEX(CS!$B$1:$B$15025,MATCH($A184,CS!$B:$B,0)+COLUMN(E$1),1),""))</f>
        <v>神聖武器</v>
      </c>
      <c r="BL184" s="37" t="str">
        <f t="array" ref="BL184">IF($A184="","",IFERROR(INDEX(CS!$B$1:$B$15025,MATCH($A184,CS!$B:$B,0)+COLUMN(F$1),1),""))</f>
        <v/>
      </c>
      <c r="BM184" s="37" t="str">
        <f t="array" ref="BM184">IF($A184="","",IFERROR(INDEX(CS!$B$1:$B$15025,MATCH($A184,CS!$B:$B,0)+COLUMN(G$1),1),""))</f>
        <v>光の奔流</v>
      </c>
      <c r="BN184" s="37" t="str">
        <f t="array" ref="BN184">IF($A184="","",IFERROR(INDEX(CS!$B$1:$B$15025,MATCH($A184,CS!$B:$B,0)+COLUMN(H$1),1),""))</f>
        <v/>
      </c>
      <c r="BO184" s="37" t="str">
        <f t="array" ref="BO184">IF($A184="","",IFERROR(INDEX(CS!$B$1:$B$15025,MATCH($A184,CS!$B:$B,0)+COLUMN(I$1),1),""))</f>
        <v>正しき天秤</v>
      </c>
      <c r="BP184" s="37" t="str">
        <f t="array" ref="BP184">IF($A184="","",IFERROR(INDEX(CS!$B$1:$B$15025,MATCH($A184,CS!$B:$B,0)+COLUMN(J$1),1),""))</f>
        <v>神罰</v>
      </c>
      <c r="BR184" s="39" t="s">
        <v>2869</v>
      </c>
      <c r="BS184" s="74"/>
      <c r="CG184" s="37" t="s">
        <v>2821</v>
      </c>
      <c r="CI184" s="37" t="s">
        <v>2806</v>
      </c>
      <c r="CJ184" s="37" t="s">
        <v>2817</v>
      </c>
      <c r="CK184" s="37" t="s">
        <v>2800</v>
      </c>
      <c r="CN184" s="37" t="s">
        <v>2819</v>
      </c>
    </row>
    <row r="185" ht="18.75" customHeight="1" outlineLevel="1">
      <c r="A185" s="39" t="s">
        <v>2468</v>
      </c>
      <c r="B185" s="71"/>
      <c r="C185" s="39" t="s">
        <v>2820</v>
      </c>
      <c r="D185" s="72" t="str">
        <f t="shared" si="8"/>
        <v>725/500/225</v>
      </c>
      <c r="E185" s="39">
        <v>2.0</v>
      </c>
      <c r="F185" s="39">
        <v>85.0</v>
      </c>
      <c r="I185" s="39">
        <v>75.0</v>
      </c>
      <c r="J185" s="39">
        <v>90.0</v>
      </c>
      <c r="K185" s="87">
        <v>60.0</v>
      </c>
      <c r="L185" s="39">
        <v>60.0</v>
      </c>
      <c r="M185" s="39">
        <v>55.0</v>
      </c>
      <c r="N185" s="39">
        <v>75.0</v>
      </c>
      <c r="P185" s="39">
        <v>50.0</v>
      </c>
      <c r="Q185" s="64"/>
      <c r="R185" s="64"/>
      <c r="S185" s="64"/>
      <c r="T185" s="64"/>
      <c r="U185" s="64"/>
      <c r="V185" s="64"/>
      <c r="W185" s="64"/>
      <c r="X185" s="64"/>
      <c r="Y185" s="64"/>
      <c r="Z185" s="64"/>
      <c r="AA185" s="64"/>
      <c r="AJ185" s="37">
        <v>50.0</v>
      </c>
      <c r="AK185" s="37">
        <v>0.0</v>
      </c>
      <c r="AL185" s="37">
        <v>50.0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75.0</v>
      </c>
      <c r="BA185" s="39"/>
      <c r="BB185" s="39"/>
      <c r="BC185" s="39"/>
      <c r="BD185" s="39"/>
      <c r="BE185" s="39"/>
      <c r="BF185" s="39"/>
      <c r="BG185" s="37" t="str">
        <f t="array" ref="BG185">IF($A185="","",IFERROR(INDEX(CS!$B$1:$B$15025,MATCH($A185,CS!$B:$B,0)+COLUMN(A$1),1),""))</f>
        <v>光の武器</v>
      </c>
      <c r="BH185" s="37" t="str">
        <f t="array" ref="BH185">IF($A185="","",IFERROR(INDEX(CS!$B$1:$B$15025,MATCH($A185,CS!$B:$B,0)+COLUMN(B$1),1),""))</f>
        <v/>
      </c>
      <c r="BI185" s="37" t="str">
        <f t="array" ref="BI185">IF($A185="","",IFERROR(INDEX(CS!$B$1:$B$15025,MATCH($A185,CS!$B:$B,0)+COLUMN(C$1),1),""))</f>
        <v>光刃撃</v>
      </c>
      <c r="BJ185" s="37" t="str">
        <f t="array" ref="BJ185">IF($A185="","",IFERROR(INDEX(CS!$B$1:$B$15025,MATCH($A185,CS!$B:$B,0)+COLUMN(D$1),1),""))</f>
        <v/>
      </c>
      <c r="BK185" s="37" t="str">
        <f t="array" ref="BK185">IF($A185="","",IFERROR(INDEX(CS!$B$1:$B$15025,MATCH($A185,CS!$B:$B,0)+COLUMN(E$1),1),""))</f>
        <v>武器の攻め</v>
      </c>
      <c r="BL185" s="37" t="str">
        <f t="array" ref="BL185">IF($A185="","",IFERROR(INDEX(CS!$B$1:$B$15025,MATCH($A185,CS!$B:$B,0)+COLUMN(F$1),1),""))</f>
        <v/>
      </c>
      <c r="BM185" s="37" t="str">
        <f t="array" ref="BM185">IF($A185="","",IFERROR(INDEX(CS!$B$1:$B$15025,MATCH($A185,CS!$B:$B,0)+COLUMN(G$1),1),""))</f>
        <v>反撃</v>
      </c>
      <c r="BN185" s="37" t="str">
        <f t="array" ref="BN185">IF($A185="","",IFERROR(INDEX(CS!$B$1:$B$15025,MATCH($A185,CS!$B:$B,0)+COLUMN(H$1),1),""))</f>
        <v/>
      </c>
      <c r="BO185" s="37" t="str">
        <f t="array" ref="BO185">IF($A185="","",IFERROR(INDEX(CS!$B$1:$B$15025,MATCH($A185,CS!$B:$B,0)+COLUMN(I$1),1),""))</f>
        <v>一閃撃</v>
      </c>
      <c r="BP185" s="37" t="str">
        <f t="array" ref="BP185">IF($A185="","",IFERROR(INDEX(CS!$B$1:$B$15025,MATCH($A185,CS!$B:$B,0)+COLUMN(J$1),1),""))</f>
        <v>聖断</v>
      </c>
      <c r="BR185" s="39" t="s">
        <v>2870</v>
      </c>
      <c r="BS185" s="74"/>
      <c r="CG185" s="37" t="s">
        <v>2802</v>
      </c>
      <c r="CH185" s="37" t="s">
        <v>2803</v>
      </c>
      <c r="CI185" s="37" t="s">
        <v>2806</v>
      </c>
      <c r="CJ185" s="37" t="s">
        <v>2817</v>
      </c>
      <c r="CK185" s="37" t="s">
        <v>2800</v>
      </c>
      <c r="CN185" s="37" t="s">
        <v>2819</v>
      </c>
    </row>
    <row r="186" ht="18.75" customHeight="1" outlineLevel="1">
      <c r="A186" s="39" t="s">
        <v>2475</v>
      </c>
      <c r="B186" s="71"/>
      <c r="C186" s="39" t="s">
        <v>2820</v>
      </c>
      <c r="D186" s="72" t="str">
        <f t="shared" si="8"/>
        <v>740/515/225</v>
      </c>
      <c r="E186" s="39">
        <v>3.0</v>
      </c>
      <c r="F186" s="39">
        <v>85.0</v>
      </c>
      <c r="I186" s="39">
        <v>80.0</v>
      </c>
      <c r="J186" s="39">
        <v>95.0</v>
      </c>
      <c r="K186" s="87">
        <v>65.0</v>
      </c>
      <c r="L186" s="39">
        <v>60.0</v>
      </c>
      <c r="M186" s="39">
        <v>55.0</v>
      </c>
      <c r="N186" s="39">
        <v>75.0</v>
      </c>
      <c r="P186" s="39">
        <v>50.0</v>
      </c>
      <c r="Q186" s="64"/>
      <c r="R186" s="64"/>
      <c r="S186" s="64"/>
      <c r="T186" s="64"/>
      <c r="U186" s="64"/>
      <c r="V186" s="64"/>
      <c r="W186" s="64"/>
      <c r="X186" s="64"/>
      <c r="Y186" s="64"/>
      <c r="Z186" s="64"/>
      <c r="AA186" s="64"/>
      <c r="AJ186" s="37">
        <v>50.0</v>
      </c>
      <c r="AK186" s="37">
        <v>0.0</v>
      </c>
      <c r="AL186" s="37">
        <v>50.0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75.0</v>
      </c>
      <c r="BA186" s="39"/>
      <c r="BB186" s="39"/>
      <c r="BC186" s="39"/>
      <c r="BD186" s="39"/>
      <c r="BE186" s="39"/>
      <c r="BF186" s="39"/>
      <c r="BG186" s="37" t="str">
        <f t="array" ref="BG186">IF($A186="","",IFERROR(INDEX(CS!$B$1:$B$15025,MATCH($A186,CS!$B:$B,0)+COLUMN(A$1),1),""))</f>
        <v>聖戦撃</v>
      </c>
      <c r="BH186" s="37" t="str">
        <f t="array" ref="BH186">IF($A186="","",IFERROR(INDEX(CS!$B$1:$B$15025,MATCH($A186,CS!$B:$B,0)+COLUMN(B$1),1),""))</f>
        <v/>
      </c>
      <c r="BI186" s="37" t="str">
        <f t="array" ref="BI186">IF($A186="","",IFERROR(INDEX(CS!$B$1:$B$15025,MATCH($A186,CS!$B:$B,0)+COLUMN(C$1),1),""))</f>
        <v>聖戦士</v>
      </c>
      <c r="BJ186" s="37" t="str">
        <f t="array" ref="BJ186">IF($A186="","",IFERROR(INDEX(CS!$B$1:$B$15025,MATCH($A186,CS!$B:$B,0)+COLUMN(D$1),1),""))</f>
        <v/>
      </c>
      <c r="BK186" s="37" t="str">
        <f t="array" ref="BK186">IF($A186="","",IFERROR(INDEX(CS!$B$1:$B$15025,MATCH($A186,CS!$B:$B,0)+COLUMN(E$1),1),""))</f>
        <v>反撃</v>
      </c>
      <c r="BL186" s="37" t="str">
        <f t="array" ref="BL186">IF($A186="","",IFERROR(INDEX(CS!$B$1:$B$15025,MATCH($A186,CS!$B:$B,0)+COLUMN(F$1),1),""))</f>
        <v/>
      </c>
      <c r="BM186" s="37" t="str">
        <f t="array" ref="BM186">IF($A186="","",IFERROR(INDEX(CS!$B$1:$B$15025,MATCH($A186,CS!$B:$B,0)+COLUMN(G$1),1),""))</f>
        <v>信仰の護り</v>
      </c>
      <c r="BN186" s="37" t="str">
        <f t="array" ref="BN186">IF($A186="","",IFERROR(INDEX(CS!$B$1:$B$15025,MATCH($A186,CS!$B:$B,0)+COLUMN(H$1),1),""))</f>
        <v/>
      </c>
      <c r="BO186" s="37" t="str">
        <f t="array" ref="BO186">IF($A186="","",IFERROR(INDEX(CS!$B$1:$B$15025,MATCH($A186,CS!$B:$B,0)+COLUMN(I$1),1),""))</f>
        <v>十字斬</v>
      </c>
      <c r="BP186" s="37" t="str">
        <f t="array" ref="BP186">IF($A186="","",IFERROR(INDEX(CS!$B$1:$B$15025,MATCH($A186,CS!$B:$B,0)+COLUMN(J$1),1),""))</f>
        <v>十字聖撃</v>
      </c>
      <c r="BR186" s="39" t="s">
        <v>2871</v>
      </c>
      <c r="BS186" s="74"/>
      <c r="CG186" s="37" t="s">
        <v>2802</v>
      </c>
      <c r="CH186" s="37" t="s">
        <v>2803</v>
      </c>
      <c r="CI186" s="37" t="s">
        <v>2806</v>
      </c>
      <c r="CJ186" s="37" t="s">
        <v>2817</v>
      </c>
      <c r="CK186" s="37" t="s">
        <v>2800</v>
      </c>
      <c r="CN186" s="37" t="s">
        <v>2819</v>
      </c>
    </row>
    <row r="187" ht="18.75" customHeight="1" outlineLevel="1">
      <c r="A187" s="39" t="s">
        <v>2484</v>
      </c>
      <c r="B187" s="71"/>
      <c r="C187" s="39" t="s">
        <v>2820</v>
      </c>
      <c r="D187" s="72" t="str">
        <f t="shared" si="8"/>
        <v>725/500/225</v>
      </c>
      <c r="E187" s="39">
        <v>2.0</v>
      </c>
      <c r="F187" s="39">
        <v>90.0</v>
      </c>
      <c r="I187" s="39">
        <v>70.0</v>
      </c>
      <c r="J187" s="39">
        <v>90.0</v>
      </c>
      <c r="K187" s="87">
        <v>55.0</v>
      </c>
      <c r="L187" s="39">
        <v>65.0</v>
      </c>
      <c r="M187" s="39">
        <v>55.0</v>
      </c>
      <c r="N187" s="39">
        <v>75.0</v>
      </c>
      <c r="P187" s="39">
        <v>75.0</v>
      </c>
      <c r="Q187" s="64"/>
      <c r="R187" s="64"/>
      <c r="S187" s="64"/>
      <c r="T187" s="64"/>
      <c r="U187" s="64"/>
      <c r="V187" s="64"/>
      <c r="W187" s="64"/>
      <c r="X187" s="64"/>
      <c r="Y187" s="64"/>
      <c r="Z187" s="64"/>
      <c r="AA187" s="64"/>
      <c r="AJ187" s="37">
        <v>50.0</v>
      </c>
      <c r="AK187" s="37">
        <v>0.0</v>
      </c>
      <c r="AL187" s="37">
        <v>50.0</v>
      </c>
      <c r="AM187" s="37">
        <v>0.0</v>
      </c>
      <c r="AN187" s="37">
        <v>0.0</v>
      </c>
      <c r="AO187" s="37">
        <v>0.0</v>
      </c>
      <c r="AP187" s="37">
        <v>0.0</v>
      </c>
      <c r="AQ187" s="37">
        <v>0.0</v>
      </c>
      <c r="AR187" s="37">
        <v>0.0</v>
      </c>
      <c r="AS187" s="37">
        <v>0.0</v>
      </c>
      <c r="AT187" s="37">
        <v>0.0</v>
      </c>
      <c r="AU187" s="37">
        <v>0.0</v>
      </c>
      <c r="AV187" s="37">
        <v>0.0</v>
      </c>
      <c r="AW187" s="37">
        <v>50.0</v>
      </c>
      <c r="AX187" s="37">
        <v>0.0</v>
      </c>
      <c r="AY187" s="37">
        <v>0.0</v>
      </c>
      <c r="AZ187" s="37">
        <v>75.0</v>
      </c>
      <c r="BA187" s="39"/>
      <c r="BB187" s="39"/>
      <c r="BC187" s="39"/>
      <c r="BD187" s="39"/>
      <c r="BE187" s="39"/>
      <c r="BF187" s="39"/>
      <c r="BG187" s="37" t="str">
        <f t="array" ref="BG187">IF($A187="","",IFERROR(INDEX(CS!$B$1:$B$15025,MATCH($A187,CS!$B:$B,0)+COLUMN(A$1),1),""))</f>
        <v>守る者</v>
      </c>
      <c r="BH187" s="37" t="str">
        <f t="array" ref="BH187">IF($A187="","",IFERROR(INDEX(CS!$B$1:$B$15025,MATCH($A187,CS!$B:$B,0)+COLUMN(B$1),1),""))</f>
        <v/>
      </c>
      <c r="BI187" s="37" t="str">
        <f t="array" ref="BI187">IF($A187="","",IFERROR(INDEX(CS!$B$1:$B$15025,MATCH($A187,CS!$B:$B,0)+COLUMN(C$1),1),""))</f>
        <v>反撃</v>
      </c>
      <c r="BJ187" s="37" t="str">
        <f t="array" ref="BJ187">IF($A187="","",IFERROR(INDEX(CS!$B$1:$B$15025,MATCH($A187,CS!$B:$B,0)+COLUMN(D$1),1),""))</f>
        <v/>
      </c>
      <c r="BK187" s="37" t="str">
        <f t="array" ref="BK187">IF($A187="","",IFERROR(INDEX(CS!$B$1:$B$15025,MATCH($A187,CS!$B:$B,0)+COLUMN(E$1),1),""))</f>
        <v>信仰の盾</v>
      </c>
      <c r="BL187" s="37" t="str">
        <f t="array" ref="BL187">IF($A187="","",IFERROR(INDEX(CS!$B$1:$B$15025,MATCH($A187,CS!$B:$B,0)+COLUMN(F$1),1),""))</f>
        <v/>
      </c>
      <c r="BM187" s="37" t="str">
        <f t="array" ref="BM187">IF($A187="","",IFERROR(INDEX(CS!$B$1:$B$15025,MATCH($A187,CS!$B:$B,0)+COLUMN(G$1),1),""))</f>
        <v>聖騎士の守り</v>
      </c>
      <c r="BN187" s="37" t="str">
        <f t="array" ref="BN187">IF($A187="","",IFERROR(INDEX(CS!$B$1:$B$15025,MATCH($A187,CS!$B:$B,0)+COLUMN(H$1),1),""))</f>
        <v/>
      </c>
      <c r="BO187" s="37" t="str">
        <f t="array" ref="BO187">IF($A187="","",IFERROR(INDEX(CS!$B$1:$B$15025,MATCH($A187,CS!$B:$B,0)+COLUMN(I$1),1),""))</f>
        <v>信仰の護り</v>
      </c>
      <c r="BP187" s="37" t="str">
        <f t="array" ref="BP187">IF($A187="","",IFERROR(INDEX(CS!$B$1:$B$15025,MATCH($A187,CS!$B:$B,0)+COLUMN(J$1),1),""))</f>
        <v>聖盾</v>
      </c>
      <c r="BR187" s="39" t="s">
        <v>2870</v>
      </c>
      <c r="BS187" s="74"/>
      <c r="CG187" s="37" t="s">
        <v>2802</v>
      </c>
      <c r="CH187" s="37" t="s">
        <v>2803</v>
      </c>
      <c r="CI187" s="37" t="s">
        <v>2806</v>
      </c>
      <c r="CJ187" s="37" t="s">
        <v>2817</v>
      </c>
      <c r="CK187" s="37" t="s">
        <v>2800</v>
      </c>
      <c r="CN187" s="37" t="s">
        <v>2819</v>
      </c>
    </row>
    <row r="188" ht="18.75" customHeight="1" outlineLevel="1">
      <c r="A188" s="39" t="s">
        <v>2489</v>
      </c>
      <c r="B188" s="71"/>
      <c r="C188" s="39" t="s">
        <v>2820</v>
      </c>
      <c r="D188" s="72" t="str">
        <f t="shared" si="8"/>
        <v>740/515/225</v>
      </c>
      <c r="E188" s="39">
        <v>3.0</v>
      </c>
      <c r="F188" s="39">
        <v>95.0</v>
      </c>
      <c r="I188" s="39">
        <v>70.0</v>
      </c>
      <c r="J188" s="39">
        <v>95.0</v>
      </c>
      <c r="K188" s="87">
        <v>55.0</v>
      </c>
      <c r="L188" s="39">
        <v>70.0</v>
      </c>
      <c r="M188" s="39">
        <v>55.0</v>
      </c>
      <c r="N188" s="39">
        <v>75.0</v>
      </c>
      <c r="P188" s="39">
        <v>75.0</v>
      </c>
      <c r="Q188" s="64"/>
      <c r="R188" s="64"/>
      <c r="S188" s="64"/>
      <c r="T188" s="64"/>
      <c r="U188" s="64"/>
      <c r="V188" s="64"/>
      <c r="W188" s="64"/>
      <c r="X188" s="64"/>
      <c r="Y188" s="64"/>
      <c r="Z188" s="64"/>
      <c r="AA188" s="64"/>
      <c r="AJ188" s="37">
        <v>50.0</v>
      </c>
      <c r="AK188" s="37">
        <v>0.0</v>
      </c>
      <c r="AL188" s="37">
        <v>50.0</v>
      </c>
      <c r="AM188" s="37">
        <v>0.0</v>
      </c>
      <c r="AN188" s="37">
        <v>0.0</v>
      </c>
      <c r="AO188" s="37">
        <v>0.0</v>
      </c>
      <c r="AP188" s="37">
        <v>0.0</v>
      </c>
      <c r="AQ188" s="37">
        <v>0.0</v>
      </c>
      <c r="AR188" s="37">
        <v>0.0</v>
      </c>
      <c r="AS188" s="37">
        <v>0.0</v>
      </c>
      <c r="AT188" s="37">
        <v>0.0</v>
      </c>
      <c r="AU188" s="37">
        <v>0.0</v>
      </c>
      <c r="AV188" s="37">
        <v>0.0</v>
      </c>
      <c r="AW188" s="37">
        <v>50.0</v>
      </c>
      <c r="AX188" s="37">
        <v>0.0</v>
      </c>
      <c r="AY188" s="37">
        <v>0.0</v>
      </c>
      <c r="AZ188" s="37">
        <v>75.0</v>
      </c>
      <c r="BA188" s="39"/>
      <c r="BB188" s="39"/>
      <c r="BC188" s="39"/>
      <c r="BD188" s="39"/>
      <c r="BE188" s="39"/>
      <c r="BF188" s="39"/>
      <c r="BG188" s="37" t="str">
        <f t="array" ref="BG188">IF($A188="","",IFERROR(INDEX(CS!$B$1:$B$15025,MATCH($A188,CS!$B:$B,0)+COLUMN(A$1),1),""))</f>
        <v>真なる護り手</v>
      </c>
      <c r="BH188" s="37" t="str">
        <f t="array" ref="BH188">IF($A188="","",IFERROR(INDEX(CS!$B$1:$B$15025,MATCH($A188,CS!$B:$B,0)+COLUMN(B$1),1),""))</f>
        <v/>
      </c>
      <c r="BI188" s="37" t="str">
        <f t="array" ref="BI188">IF($A188="","",IFERROR(INDEX(CS!$B$1:$B$15025,MATCH($A188,CS!$B:$B,0)+COLUMN(C$1),1),""))</f>
        <v>盾の扱い</v>
      </c>
      <c r="BJ188" s="37" t="str">
        <f t="array" ref="BJ188">IF($A188="","",IFERROR(INDEX(CS!$B$1:$B$15025,MATCH($A188,CS!$B:$B,0)+COLUMN(D$1),1),""))</f>
        <v/>
      </c>
      <c r="BK188" s="37" t="str">
        <f t="array" ref="BK188">IF($A188="","",IFERROR(INDEX(CS!$B$1:$B$15025,MATCH($A188,CS!$B:$B,0)+COLUMN(E$1),1),""))</f>
        <v>完全防御</v>
      </c>
      <c r="BL188" s="37" t="str">
        <f t="array" ref="BL188">IF($A188="","",IFERROR(INDEX(CS!$B$1:$B$15025,MATCH($A188,CS!$B:$B,0)+COLUMN(F$1),1),""))</f>
        <v/>
      </c>
      <c r="BM188" s="37" t="str">
        <f t="array" ref="BM188">IF($A188="","",IFERROR(INDEX(CS!$B$1:$B$15025,MATCH($A188,CS!$B:$B,0)+COLUMN(G$1),1),""))</f>
        <v>奇跡の護り</v>
      </c>
      <c r="BN188" s="37" t="str">
        <f t="array" ref="BN188">IF($A188="","",IFERROR(INDEX(CS!$B$1:$B$15025,MATCH($A188,CS!$B:$B,0)+COLUMN(H$1),1),""))</f>
        <v/>
      </c>
      <c r="BO188" s="37" t="str">
        <f t="array" ref="BO188">IF($A188="","",IFERROR(INDEX(CS!$B$1:$B$15025,MATCH($A188,CS!$B:$B,0)+COLUMN(I$1),1),""))</f>
        <v>白き守護</v>
      </c>
      <c r="BP188" s="37" t="str">
        <f t="array" ref="BP188">IF($A188="","",IFERROR(INDEX(CS!$B$1:$B$15025,MATCH($A188,CS!$B:$B,0)+COLUMN(J$1),1),""))</f>
        <v>白銀要塞</v>
      </c>
      <c r="BR188" s="39" t="s">
        <v>2872</v>
      </c>
      <c r="BS188" s="74"/>
      <c r="CG188" s="37" t="s">
        <v>2802</v>
      </c>
      <c r="CH188" s="37" t="s">
        <v>2803</v>
      </c>
      <c r="CI188" s="37" t="s">
        <v>2806</v>
      </c>
      <c r="CJ188" s="37" t="s">
        <v>2817</v>
      </c>
      <c r="CK188" s="37" t="s">
        <v>2800</v>
      </c>
      <c r="CN188" s="37" t="s">
        <v>2819</v>
      </c>
    </row>
    <row r="189" ht="18.75" customHeight="1" outlineLevel="1">
      <c r="A189" s="39" t="s">
        <v>2494</v>
      </c>
      <c r="B189" s="71"/>
      <c r="C189" s="39" t="s">
        <v>2820</v>
      </c>
      <c r="D189" s="72" t="str">
        <f t="shared" si="8"/>
        <v>725/500/225</v>
      </c>
      <c r="E189" s="39">
        <v>2.0</v>
      </c>
      <c r="F189" s="39">
        <v>85.0</v>
      </c>
      <c r="I189" s="39">
        <v>75.0</v>
      </c>
      <c r="J189" s="39">
        <v>90.0</v>
      </c>
      <c r="K189" s="87">
        <v>60.0</v>
      </c>
      <c r="L189" s="39">
        <v>60.0</v>
      </c>
      <c r="M189" s="39">
        <v>55.0</v>
      </c>
      <c r="N189" s="39">
        <v>75.0</v>
      </c>
      <c r="P189" s="39">
        <v>-75.0</v>
      </c>
      <c r="Q189" s="64"/>
      <c r="R189" s="64"/>
      <c r="S189" s="64"/>
      <c r="T189" s="64"/>
      <c r="U189" s="64"/>
      <c r="V189" s="64"/>
      <c r="W189" s="64"/>
      <c r="X189" s="64"/>
      <c r="Y189" s="64"/>
      <c r="Z189" s="64"/>
      <c r="AA189" s="64"/>
      <c r="AJ189" s="37">
        <v>50.0</v>
      </c>
      <c r="AK189" s="37">
        <v>0.0</v>
      </c>
      <c r="AL189" s="37">
        <v>50.0</v>
      </c>
      <c r="AM189" s="37">
        <v>0.0</v>
      </c>
      <c r="AN189" s="37">
        <v>0.0</v>
      </c>
      <c r="AO189" s="37">
        <v>0.0</v>
      </c>
      <c r="AP189" s="37">
        <v>0.0</v>
      </c>
      <c r="AQ189" s="37">
        <v>0.0</v>
      </c>
      <c r="AR189" s="37">
        <v>0.0</v>
      </c>
      <c r="AS189" s="37">
        <v>0.0</v>
      </c>
      <c r="AT189" s="37">
        <v>0.0</v>
      </c>
      <c r="AU189" s="37">
        <v>0.0</v>
      </c>
      <c r="AV189" s="37">
        <v>0.0</v>
      </c>
      <c r="AW189" s="37">
        <v>50.0</v>
      </c>
      <c r="AX189" s="37">
        <v>0.0</v>
      </c>
      <c r="AY189" s="37">
        <v>0.0</v>
      </c>
      <c r="AZ189" s="37">
        <v>75.0</v>
      </c>
      <c r="BA189" s="39"/>
      <c r="BB189" s="39"/>
      <c r="BC189" s="39"/>
      <c r="BD189" s="39"/>
      <c r="BE189" s="39"/>
      <c r="BF189" s="39"/>
      <c r="BG189" s="37" t="str">
        <f t="array" ref="BG189">IF($A189="","",IFERROR(INDEX(CS!$B$1:$B$15025,MATCH($A189,CS!$B:$B,0)+COLUMN(A$1),1),""))</f>
        <v>闇の武器</v>
      </c>
      <c r="BH189" s="37" t="str">
        <f t="array" ref="BH189">IF($A189="","",IFERROR(INDEX(CS!$B$1:$B$15025,MATCH($A189,CS!$B:$B,0)+COLUMN(B$1),1),""))</f>
        <v/>
      </c>
      <c r="BI189" s="37" t="str">
        <f t="array" ref="BI189">IF($A189="","",IFERROR(INDEX(CS!$B$1:$B$15025,MATCH($A189,CS!$B:$B,0)+COLUMN(C$1),1),""))</f>
        <v>闇刃撃</v>
      </c>
      <c r="BJ189" s="37" t="str">
        <f t="array" ref="BJ189">IF($A189="","",IFERROR(INDEX(CS!$B$1:$B$15025,MATCH($A189,CS!$B:$B,0)+COLUMN(D$1),1),""))</f>
        <v/>
      </c>
      <c r="BK189" s="37" t="str">
        <f t="array" ref="BK189">IF($A189="","",IFERROR(INDEX(CS!$B$1:$B$15025,MATCH($A189,CS!$B:$B,0)+COLUMN(E$1),1),""))</f>
        <v>武器の攻め</v>
      </c>
      <c r="BL189" s="37" t="str">
        <f t="array" ref="BL189">IF($A189="","",IFERROR(INDEX(CS!$B$1:$B$15025,MATCH($A189,CS!$B:$B,0)+COLUMN(F$1),1),""))</f>
        <v/>
      </c>
      <c r="BM189" s="37" t="str">
        <f t="array" ref="BM189">IF($A189="","",IFERROR(INDEX(CS!$B$1:$B$15025,MATCH($A189,CS!$B:$B,0)+COLUMN(G$1),1),""))</f>
        <v>反撃</v>
      </c>
      <c r="BN189" s="37" t="str">
        <f t="array" ref="BN189">IF($A189="","",IFERROR(INDEX(CS!$B$1:$B$15025,MATCH($A189,CS!$B:$B,0)+COLUMN(H$1),1),""))</f>
        <v/>
      </c>
      <c r="BO189" s="37" t="str">
        <f t="array" ref="BO189">IF($A189="","",IFERROR(INDEX(CS!$B$1:$B$15025,MATCH($A189,CS!$B:$B,0)+COLUMN(I$1),1),""))</f>
        <v>一閃撃</v>
      </c>
      <c r="BP189" s="37" t="str">
        <f t="array" ref="BP189">IF($A189="","",IFERROR(INDEX(CS!$B$1:$B$15025,MATCH($A189,CS!$B:$B,0)+COLUMN(J$1),1),""))</f>
        <v>闇断</v>
      </c>
      <c r="BR189" s="39" t="s">
        <v>2870</v>
      </c>
      <c r="BS189" s="74"/>
      <c r="CG189" s="37" t="s">
        <v>2802</v>
      </c>
      <c r="CH189" s="37" t="s">
        <v>2803</v>
      </c>
      <c r="CI189" s="37" t="s">
        <v>2806</v>
      </c>
      <c r="CJ189" s="37" t="s">
        <v>2817</v>
      </c>
      <c r="CK189" s="37" t="s">
        <v>2800</v>
      </c>
      <c r="CN189" s="37" t="s">
        <v>2819</v>
      </c>
    </row>
    <row r="190" ht="18.75" customHeight="1" outlineLevel="1">
      <c r="A190" s="39" t="s">
        <v>2502</v>
      </c>
      <c r="B190" s="71"/>
      <c r="C190" s="39" t="s">
        <v>2820</v>
      </c>
      <c r="D190" s="72" t="str">
        <f t="shared" si="8"/>
        <v>750/525/225</v>
      </c>
      <c r="E190" s="39">
        <v>3.0</v>
      </c>
      <c r="F190" s="39">
        <v>85.0</v>
      </c>
      <c r="I190" s="39">
        <v>70.0</v>
      </c>
      <c r="J190" s="39">
        <v>80.0</v>
      </c>
      <c r="K190" s="87">
        <v>85.0</v>
      </c>
      <c r="L190" s="39">
        <v>80.0</v>
      </c>
      <c r="M190" s="39">
        <v>50.0</v>
      </c>
      <c r="N190" s="39">
        <v>75.0</v>
      </c>
      <c r="P190" s="39">
        <v>50.0</v>
      </c>
      <c r="Q190" s="64"/>
      <c r="R190" s="64"/>
      <c r="S190" s="64"/>
      <c r="T190" s="64"/>
      <c r="U190" s="64"/>
      <c r="V190" s="64"/>
      <c r="W190" s="64"/>
      <c r="X190" s="64"/>
      <c r="Y190" s="64"/>
      <c r="Z190" s="64"/>
      <c r="AA190" s="64"/>
      <c r="AJ190" s="37">
        <v>0.0</v>
      </c>
      <c r="AK190" s="37">
        <v>0.0</v>
      </c>
      <c r="AL190" s="37">
        <v>75.0</v>
      </c>
      <c r="AM190" s="37">
        <v>0.0</v>
      </c>
      <c r="AN190" s="37">
        <v>0.0</v>
      </c>
      <c r="AO190" s="37">
        <v>0.0</v>
      </c>
      <c r="AP190" s="37">
        <v>0.0</v>
      </c>
      <c r="AQ190" s="37">
        <v>0.0</v>
      </c>
      <c r="AR190" s="37">
        <v>0.0</v>
      </c>
      <c r="AS190" s="37">
        <v>0.0</v>
      </c>
      <c r="AT190" s="37">
        <v>0.0</v>
      </c>
      <c r="AU190" s="37">
        <v>0.0</v>
      </c>
      <c r="AV190" s="37">
        <v>0.0</v>
      </c>
      <c r="AW190" s="37">
        <v>50.0</v>
      </c>
      <c r="AX190" s="37">
        <v>0.0</v>
      </c>
      <c r="AY190" s="37">
        <v>0.0</v>
      </c>
      <c r="AZ190" s="37">
        <v>100.0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2867</v>
      </c>
      <c r="BS190" s="74"/>
      <c r="BU190" s="39" t="s">
        <v>2873</v>
      </c>
      <c r="CG190" s="37" t="s">
        <v>2821</v>
      </c>
      <c r="CI190" s="37" t="s">
        <v>2806</v>
      </c>
      <c r="CJ190" s="37" t="s">
        <v>2817</v>
      </c>
      <c r="CK190" s="37" t="s">
        <v>2800</v>
      </c>
      <c r="CN190" s="37" t="s">
        <v>2819</v>
      </c>
    </row>
    <row r="191" ht="18.75" customHeight="1" outlineLevel="1">
      <c r="A191" s="39" t="s">
        <v>2503</v>
      </c>
      <c r="B191" s="71"/>
      <c r="C191" s="39" t="s">
        <v>2820</v>
      </c>
      <c r="D191" s="72" t="str">
        <f t="shared" si="8"/>
        <v>785/545/240</v>
      </c>
      <c r="E191" s="39">
        <v>4.0</v>
      </c>
      <c r="F191" s="39">
        <v>90.0</v>
      </c>
      <c r="I191" s="39">
        <v>70.0</v>
      </c>
      <c r="J191" s="39">
        <v>85.0</v>
      </c>
      <c r="K191" s="87">
        <v>90.0</v>
      </c>
      <c r="L191" s="39">
        <v>85.0</v>
      </c>
      <c r="M191" s="39">
        <v>50.0</v>
      </c>
      <c r="N191" s="39">
        <v>75.0</v>
      </c>
      <c r="P191" s="39">
        <v>75.0</v>
      </c>
      <c r="Q191" s="64"/>
      <c r="R191" s="64"/>
      <c r="S191" s="64"/>
      <c r="T191" s="64"/>
      <c r="U191" s="64"/>
      <c r="V191" s="64"/>
      <c r="W191" s="64"/>
      <c r="X191" s="64"/>
      <c r="Y191" s="64"/>
      <c r="Z191" s="64"/>
      <c r="AA191" s="64"/>
      <c r="AJ191" s="37">
        <v>0.0</v>
      </c>
      <c r="AK191" s="37">
        <v>0.0</v>
      </c>
      <c r="AL191" s="37">
        <v>75.0</v>
      </c>
      <c r="AM191" s="37">
        <v>0.0</v>
      </c>
      <c r="AN191" s="37">
        <v>0.0</v>
      </c>
      <c r="AO191" s="37">
        <v>0.0</v>
      </c>
      <c r="AP191" s="37">
        <v>0.0</v>
      </c>
      <c r="AQ191" s="37">
        <v>0.0</v>
      </c>
      <c r="AR191" s="37">
        <v>0.0</v>
      </c>
      <c r="AS191" s="37">
        <v>0.0</v>
      </c>
      <c r="AT191" s="37">
        <v>0.0</v>
      </c>
      <c r="AU191" s="37">
        <v>0.0</v>
      </c>
      <c r="AV191" s="37">
        <v>0.0</v>
      </c>
      <c r="AW191" s="37">
        <v>50.0</v>
      </c>
      <c r="AX191" s="37">
        <v>0.0</v>
      </c>
      <c r="AY191" s="37">
        <v>0.0</v>
      </c>
      <c r="AZ191" s="37">
        <v>115.0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c r="BS191" s="74"/>
      <c r="BU191" s="39" t="s">
        <v>2874</v>
      </c>
      <c r="CG191" s="37" t="s">
        <v>2821</v>
      </c>
      <c r="CI191" s="37" t="s">
        <v>2806</v>
      </c>
      <c r="CJ191" s="37" t="s">
        <v>2817</v>
      </c>
      <c r="CK191" s="37" t="s">
        <v>2800</v>
      </c>
      <c r="CN191" s="37" t="s">
        <v>2819</v>
      </c>
    </row>
    <row r="192" ht="18.75" customHeight="1">
      <c r="B192" s="71"/>
      <c r="D192" s="72"/>
      <c r="K192" s="73"/>
      <c r="P192" s="37" t="s">
        <v>29</v>
      </c>
      <c r="Q192" s="64"/>
      <c r="R192" s="64"/>
      <c r="S192" s="64"/>
      <c r="T192" s="64"/>
      <c r="U192" s="64"/>
      <c r="V192" s="64"/>
      <c r="W192" s="64"/>
      <c r="X192" s="64"/>
      <c r="Y192" s="64"/>
      <c r="Z192" s="64"/>
      <c r="AA192" s="64"/>
      <c r="AJ192" s="37" t="s">
        <v>29</v>
      </c>
      <c r="AK192" s="37" t="s">
        <v>29</v>
      </c>
      <c r="AL192" s="37" t="s">
        <v>29</v>
      </c>
      <c r="AM192" s="37" t="s">
        <v>29</v>
      </c>
      <c r="AN192" s="37" t="s">
        <v>29</v>
      </c>
      <c r="AO192" s="37" t="s">
        <v>29</v>
      </c>
      <c r="AP192" s="37" t="s">
        <v>29</v>
      </c>
      <c r="AQ192" s="37" t="s">
        <v>29</v>
      </c>
      <c r="AR192" s="37" t="s">
        <v>29</v>
      </c>
      <c r="AS192" s="37" t="s">
        <v>29</v>
      </c>
      <c r="AT192" s="37" t="s">
        <v>29</v>
      </c>
      <c r="AU192" s="37" t="s">
        <v>29</v>
      </c>
      <c r="AV192" s="37" t="s">
        <v>29</v>
      </c>
      <c r="AW192" s="37" t="s">
        <v>29</v>
      </c>
      <c r="AX192" s="37" t="s">
        <v>29</v>
      </c>
      <c r="AY192" s="37" t="s">
        <v>29</v>
      </c>
      <c r="AZ192" s="37" t="s">
        <v>29</v>
      </c>
      <c r="BG192" s="37" t="str">
        <f t="array" ref="BG192">IF($A192="","", INDEX(CS!$B$1:$B$15025,MATCH($A192,CS!$B:$B,0)+COLUMN(A$1),1))</f>
        <v/>
      </c>
      <c r="BH192" s="37" t="str">
        <f t="array" ref="BH192">IF($A192="","", INDEX(CS!$B$1:$B$15025,MATCH($A192,CS!$B:$B,0)+COLUMN(B$1),1))</f>
        <v/>
      </c>
      <c r="BI192" s="37" t="str">
        <f t="array" ref="BI192">IF($A192="","", INDEX(CS!$B$1:$B$15025,MATCH($A192,CS!$B:$B,0)+COLUMN(C$1),1))</f>
        <v/>
      </c>
      <c r="BJ192" s="37" t="str">
        <f t="array" ref="BJ192">IF($A192="","", INDEX(CS!$B$1:$B$15025,MATCH($A192,CS!$B:$B,0)+COLUMN(D$1),1))</f>
        <v/>
      </c>
      <c r="BK192" s="37" t="str">
        <f t="array" ref="BK192">IF($A192="","", INDEX(CS!$B$1:$B$15025,MATCH($A192,CS!$B:$B,0)+COLUMN(E$1),1))</f>
        <v/>
      </c>
      <c r="BL192" s="37" t="str">
        <f t="array" ref="BL192">IF($A192="","", INDEX(CS!$B$1:$B$15025,MATCH($A192,CS!$B:$B,0)+COLUMN(F$1),1))</f>
        <v/>
      </c>
      <c r="BM192" s="37" t="str">
        <f t="array" ref="BM192">IF($A192="","", INDEX(CS!$B$1:$B$15025,MATCH($A192,CS!$B:$B,0)+COLUMN(G$1),1))</f>
        <v/>
      </c>
      <c r="BN192" s="37" t="str">
        <f t="array" ref="BN192">IF($A192="","", INDEX(CS!$B$1:$B$15025,MATCH($A192,CS!$B:$B,0)+COLUMN(H$1),1))</f>
        <v/>
      </c>
      <c r="BO192" s="37" t="str">
        <f t="array" ref="BO192">IF($A192="","", INDEX(CS!$B$1:$B$15025,MATCH($A192,CS!$B:$B,0)+COLUMN(I$1),1))</f>
        <v/>
      </c>
      <c r="BP192" s="37" t="str">
        <f t="array" ref="BP192">IF($A192="","", INDEX(CS!$B$1:$B$15025,MATCH($A192,CS!$B:$B,0)+COLUMN(J$1),1))</f>
        <v/>
      </c>
      <c r="BS192" s="74"/>
      <c r="CI192" s="37" t="s">
        <v>2826</v>
      </c>
      <c r="CJ192" s="37" t="s">
        <v>2807</v>
      </c>
      <c r="CK192" s="37" t="s">
        <v>2800</v>
      </c>
    </row>
    <row r="193" ht="18.75" customHeight="1">
      <c r="B193" s="85" t="s">
        <v>2875</v>
      </c>
      <c r="D193" s="72" t="str">
        <f t="shared" ref="D193:D208" si="9">SUM(AJ193:AZ193,F193:N193)&amp;"/"&amp;SUM(F193:N193)&amp;"/"&amp;SUM(AJ193:AZ193)</f>
        <v>0/0/0</v>
      </c>
      <c r="E193" s="37">
        <v>1.0</v>
      </c>
      <c r="K193" s="73"/>
      <c r="P193" s="37" t="s">
        <v>29</v>
      </c>
      <c r="Q193" s="64"/>
      <c r="R193" s="64"/>
      <c r="S193" s="64"/>
      <c r="T193" s="64"/>
      <c r="U193" s="64"/>
      <c r="V193" s="64"/>
      <c r="W193" s="64"/>
      <c r="X193" s="64"/>
      <c r="Y193" s="64"/>
      <c r="Z193" s="64"/>
      <c r="AA193" s="64"/>
      <c r="AJ193" s="37" t="s">
        <v>29</v>
      </c>
      <c r="AK193" s="37" t="s">
        <v>29</v>
      </c>
      <c r="AL193" s="37" t="s">
        <v>29</v>
      </c>
      <c r="AM193" s="37" t="s">
        <v>29</v>
      </c>
      <c r="AN193" s="37" t="s">
        <v>29</v>
      </c>
      <c r="AO193" s="37" t="s">
        <v>29</v>
      </c>
      <c r="AP193" s="37" t="s">
        <v>29</v>
      </c>
      <c r="AQ193" s="37" t="s">
        <v>29</v>
      </c>
      <c r="AR193" s="37" t="s">
        <v>29</v>
      </c>
      <c r="AS193" s="37" t="s">
        <v>29</v>
      </c>
      <c r="AT193" s="37" t="s">
        <v>29</v>
      </c>
      <c r="AU193" s="37" t="s">
        <v>29</v>
      </c>
      <c r="AV193" s="37" t="s">
        <v>29</v>
      </c>
      <c r="AW193" s="37" t="s">
        <v>29</v>
      </c>
      <c r="AX193" s="37" t="s">
        <v>29</v>
      </c>
      <c r="AY193" s="37" t="s">
        <v>29</v>
      </c>
      <c r="AZ193" s="37" t="s">
        <v>29</v>
      </c>
      <c r="BG193" s="37" t="str">
        <f t="array" ref="BG193">IF($A193="","", INDEX(CS!$B$1:$B$15025,MATCH($A193,CS!$B:$B,0)+COLUMN(A$1),1))</f>
        <v/>
      </c>
      <c r="BH193" s="37" t="str">
        <f t="array" ref="BH193">IF($A193="","", INDEX(CS!$B$1:$B$15025,MATCH($A193,CS!$B:$B,0)+COLUMN(B$1),1))</f>
        <v/>
      </c>
      <c r="BI193" s="37" t="str">
        <f t="array" ref="BI193">IF($A193="","", INDEX(CS!$B$1:$B$15025,MATCH($A193,CS!$B:$B,0)+COLUMN(C$1),1))</f>
        <v/>
      </c>
      <c r="BJ193" s="37" t="str">
        <f t="array" ref="BJ193">IF($A193="","", INDEX(CS!$B$1:$B$15025,MATCH($A193,CS!$B:$B,0)+COLUMN(D$1),1))</f>
        <v/>
      </c>
      <c r="BK193" s="37" t="str">
        <f t="array" ref="BK193">IF($A193="","", INDEX(CS!$B$1:$B$15025,MATCH($A193,CS!$B:$B,0)+COLUMN(E$1),1))</f>
        <v/>
      </c>
      <c r="BL193" s="37" t="str">
        <f t="array" ref="BL193">IF($A193="","", INDEX(CS!$B$1:$B$15025,MATCH($A193,CS!$B:$B,0)+COLUMN(F$1),1))</f>
        <v/>
      </c>
      <c r="BM193" s="37" t="str">
        <f t="array" ref="BM193">IF($A193="","", INDEX(CS!$B$1:$B$15025,MATCH($A193,CS!$B:$B,0)+COLUMN(G$1),1))</f>
        <v/>
      </c>
      <c r="BN193" s="37" t="str">
        <f t="array" ref="BN193">IF($A193="","", INDEX(CS!$B$1:$B$15025,MATCH($A193,CS!$B:$B,0)+COLUMN(H$1),1))</f>
        <v/>
      </c>
      <c r="BO193" s="37" t="str">
        <f t="array" ref="BO193">IF($A193="","", INDEX(CS!$B$1:$B$15025,MATCH($A193,CS!$B:$B,0)+COLUMN(I$1),1))</f>
        <v/>
      </c>
      <c r="BP193" s="37" t="str">
        <f t="array" ref="BP193">IF($A193="","", INDEX(CS!$B$1:$B$15025,MATCH($A193,CS!$B:$B,0)+COLUMN(J$1),1))</f>
        <v/>
      </c>
      <c r="BS193" s="74"/>
    </row>
    <row r="194" ht="18.75" customHeight="1" outlineLevel="1">
      <c r="A194" s="39" t="s">
        <v>2505</v>
      </c>
      <c r="B194" s="71"/>
      <c r="C194" s="39" t="s">
        <v>2824</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上昇烈風</v>
      </c>
      <c r="BH194" s="37" t="str">
        <f t="array" ref="BH194">IF($A194="","",IFERROR(INDEX(CS!$B$1:$B$15025,MATCH($A194,CS!$B:$B,0)+COLUMN(B$1),1),""))</f>
        <v>川の鞭</v>
      </c>
      <c r="BI194" s="37" t="str">
        <f t="array" ref="BI194">IF($A194="","",IFERROR(INDEX(CS!$B$1:$B$15025,MATCH($A194,CS!$B:$B,0)+COLUMN(C$1),1),""))</f>
        <v>森の歩み</v>
      </c>
      <c r="BJ194" s="37" t="str">
        <f t="array" ref="BJ194">IF($A194="","",IFERROR(INDEX(CS!$B$1:$B$15025,MATCH($A194,CS!$B:$B,0)+COLUMN(D$1),1),""))</f>
        <v>水晶片</v>
      </c>
      <c r="BK194" s="37" t="str">
        <f t="array" ref="BK194">IF($A194="","",IFERROR(INDEX(CS!$B$1:$B$15025,MATCH($A194,CS!$B:$B,0)+COLUMN(E$1),1),""))</f>
        <v>風足</v>
      </c>
      <c r="BL194" s="37" t="str">
        <f t="array" ref="BL194">IF($A194="","",IFERROR(INDEX(CS!$B$1:$B$15025,MATCH($A194,CS!$B:$B,0)+COLUMN(F$1),1),""))</f>
        <v/>
      </c>
      <c r="BM194" s="37" t="str">
        <f t="array" ref="BM194">IF($A194="","",IFERROR(INDEX(CS!$B$1:$B$15025,MATCH($A194,CS!$B:$B,0)+COLUMN(G$1),1),""))</f>
        <v>波の盾</v>
      </c>
      <c r="BN194" s="37" t="str">
        <f t="array" ref="BN194">IF($A194="","",IFERROR(INDEX(CS!$B$1:$B$15025,MATCH($A194,CS!$B:$B,0)+COLUMN(H$1),1),""))</f>
        <v/>
      </c>
      <c r="BO194" s="37" t="str">
        <f t="array" ref="BO194">IF($A194="","",IFERROR(INDEX(CS!$B$1:$B$15025,MATCH($A194,CS!$B:$B,0)+COLUMN(I$1),1),""))</f>
        <v>冷気の風</v>
      </c>
      <c r="BP194" s="37" t="str">
        <f t="array" ref="BP194">IF($A194="","",IFERROR(INDEX(CS!$B$1:$B$15025,MATCH($A194,CS!$B:$B,0)+COLUMN(J$1),1),""))</f>
        <v/>
      </c>
      <c r="BR194" s="39" t="s">
        <v>2876</v>
      </c>
      <c r="BS194" s="74"/>
      <c r="CG194" s="37" t="s">
        <v>2821</v>
      </c>
      <c r="CI194" s="37" t="s">
        <v>2806</v>
      </c>
      <c r="CJ194" s="37" t="s">
        <v>2817</v>
      </c>
      <c r="CK194" s="37" t="s">
        <v>2800</v>
      </c>
      <c r="CN194" s="37" t="s">
        <v>2819</v>
      </c>
    </row>
    <row r="195" ht="18.75" customHeight="1" outlineLevel="1">
      <c r="A195" s="39" t="s">
        <v>2506</v>
      </c>
      <c r="B195" s="71"/>
      <c r="C195" s="39" t="s">
        <v>2824</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2876</v>
      </c>
      <c r="BS195" s="74"/>
      <c r="CG195" s="37" t="s">
        <v>2821</v>
      </c>
      <c r="CI195" s="37" t="s">
        <v>2806</v>
      </c>
      <c r="CJ195" s="37" t="s">
        <v>2817</v>
      </c>
      <c r="CK195" s="37" t="s">
        <v>2800</v>
      </c>
      <c r="CN195" s="37" t="s">
        <v>2819</v>
      </c>
    </row>
    <row r="196" ht="18.75" customHeight="1" outlineLevel="1">
      <c r="A196" s="39" t="s">
        <v>2507</v>
      </c>
      <c r="B196" s="71"/>
      <c r="C196" s="39" t="s">
        <v>2824</v>
      </c>
      <c r="D196" s="72" t="str">
        <f t="shared" si="9"/>
        <v>725/500/225</v>
      </c>
      <c r="E196" s="39">
        <v>2.0</v>
      </c>
      <c r="F196" s="39">
        <v>75.0</v>
      </c>
      <c r="I196" s="39">
        <v>65.0</v>
      </c>
      <c r="J196" s="39">
        <v>70.0</v>
      </c>
      <c r="K196" s="87">
        <v>90.0</v>
      </c>
      <c r="L196" s="39">
        <v>75.0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2876</v>
      </c>
      <c r="BS196" s="74"/>
      <c r="CG196" s="37" t="s">
        <v>2821</v>
      </c>
      <c r="CI196" s="37" t="s">
        <v>2806</v>
      </c>
      <c r="CJ196" s="37" t="s">
        <v>2817</v>
      </c>
      <c r="CK196" s="37" t="s">
        <v>2800</v>
      </c>
      <c r="CN196" s="37" t="s">
        <v>2819</v>
      </c>
    </row>
    <row r="197" ht="18.75" customHeight="1" outlineLevel="1">
      <c r="A197" s="39" t="s">
        <v>2508</v>
      </c>
      <c r="B197" s="71"/>
      <c r="C197" s="39" t="s">
        <v>2824</v>
      </c>
      <c r="D197" s="72" t="str">
        <f t="shared" si="9"/>
        <v>725/500/225</v>
      </c>
      <c r="E197" s="39">
        <v>2.0</v>
      </c>
      <c r="F197" s="39">
        <v>75.0</v>
      </c>
      <c r="I197" s="39">
        <v>65.0</v>
      </c>
      <c r="J197" s="39">
        <v>70.0</v>
      </c>
      <c r="K197" s="87">
        <v>90.0</v>
      </c>
      <c r="L197" s="39">
        <v>75.0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2876</v>
      </c>
      <c r="BS197" s="74"/>
      <c r="CG197" s="37" t="s">
        <v>2821</v>
      </c>
      <c r="CI197" s="37" t="s">
        <v>2806</v>
      </c>
      <c r="CJ197" s="37" t="s">
        <v>2817</v>
      </c>
      <c r="CK197" s="37" t="s">
        <v>2800</v>
      </c>
      <c r="CN197" s="37" t="s">
        <v>2819</v>
      </c>
    </row>
    <row r="198" ht="18.75" customHeight="1" outlineLevel="1">
      <c r="A198" s="39" t="s">
        <v>2509</v>
      </c>
      <c r="B198" s="71"/>
      <c r="C198" s="39" t="s">
        <v>2824</v>
      </c>
      <c r="D198" s="72" t="str">
        <f t="shared" si="9"/>
        <v>725/500/225</v>
      </c>
      <c r="E198" s="39">
        <v>2.0</v>
      </c>
      <c r="F198" s="39">
        <v>75.0</v>
      </c>
      <c r="I198" s="39">
        <v>65.0</v>
      </c>
      <c r="J198" s="39">
        <v>70.0</v>
      </c>
      <c r="K198" s="87">
        <v>90.0</v>
      </c>
      <c r="L198" s="39">
        <v>75.0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2876</v>
      </c>
      <c r="BS198" s="74"/>
      <c r="CG198" s="37" t="s">
        <v>2821</v>
      </c>
      <c r="CI198" s="37" t="s">
        <v>2806</v>
      </c>
      <c r="CJ198" s="37" t="s">
        <v>2817</v>
      </c>
      <c r="CK198" s="37" t="s">
        <v>2800</v>
      </c>
      <c r="CN198" s="37" t="s">
        <v>2819</v>
      </c>
    </row>
    <row r="199" ht="18.75" customHeight="1" outlineLevel="1">
      <c r="A199" s="39" t="s">
        <v>2510</v>
      </c>
      <c r="B199" s="71"/>
      <c r="C199" s="39" t="s">
        <v>2824</v>
      </c>
      <c r="D199" s="72" t="str">
        <f t="shared" si="9"/>
        <v>725/500/225</v>
      </c>
      <c r="E199" s="39">
        <v>2.0</v>
      </c>
      <c r="F199" s="39">
        <v>75.0</v>
      </c>
      <c r="I199" s="39">
        <v>65.0</v>
      </c>
      <c r="J199" s="39">
        <v>70.0</v>
      </c>
      <c r="K199" s="87">
        <v>90.0</v>
      </c>
      <c r="L199" s="39">
        <v>75.0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2876</v>
      </c>
      <c r="BS199" s="74"/>
      <c r="CG199" s="37" t="s">
        <v>2821</v>
      </c>
      <c r="CI199" s="37" t="s">
        <v>2806</v>
      </c>
      <c r="CJ199" s="37" t="s">
        <v>2817</v>
      </c>
      <c r="CK199" s="37" t="s">
        <v>2800</v>
      </c>
      <c r="CN199" s="37" t="s">
        <v>2819</v>
      </c>
    </row>
    <row r="200" ht="18.75" customHeight="1" outlineLevel="1">
      <c r="A200" s="39" t="s">
        <v>2511</v>
      </c>
      <c r="B200" s="71"/>
      <c r="C200" s="39" t="s">
        <v>2824</v>
      </c>
      <c r="D200" s="72" t="str">
        <f t="shared" si="9"/>
        <v>725/500/225</v>
      </c>
      <c r="E200" s="39">
        <v>2.0</v>
      </c>
      <c r="F200" s="39">
        <v>75.0</v>
      </c>
      <c r="I200" s="39">
        <v>65.0</v>
      </c>
      <c r="J200" s="39">
        <v>70.0</v>
      </c>
      <c r="K200" s="87">
        <v>90.0</v>
      </c>
      <c r="L200" s="39">
        <v>75.0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2876</v>
      </c>
      <c r="BS200" s="74"/>
      <c r="CG200" s="37" t="s">
        <v>2821</v>
      </c>
      <c r="CI200" s="37" t="s">
        <v>2806</v>
      </c>
      <c r="CJ200" s="37" t="s">
        <v>2817</v>
      </c>
      <c r="CK200" s="37" t="s">
        <v>2800</v>
      </c>
      <c r="CN200" s="37" t="s">
        <v>2819</v>
      </c>
    </row>
    <row r="201" ht="18.75" customHeight="1" outlineLevel="1">
      <c r="A201" s="39" t="s">
        <v>2513</v>
      </c>
      <c r="B201" s="71"/>
      <c r="C201" s="39" t="s">
        <v>2824</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2877</v>
      </c>
      <c r="BS201" s="74"/>
      <c r="CG201" s="37" t="s">
        <v>2821</v>
      </c>
      <c r="CI201" s="37" t="s">
        <v>2806</v>
      </c>
      <c r="CJ201" s="37" t="s">
        <v>2817</v>
      </c>
      <c r="CK201" s="37" t="s">
        <v>2800</v>
      </c>
      <c r="CN201" s="37" t="s">
        <v>2819</v>
      </c>
    </row>
    <row r="202" ht="18.75" customHeight="1" outlineLevel="1">
      <c r="A202" s="39" t="s">
        <v>2514</v>
      </c>
      <c r="B202" s="71"/>
      <c r="C202" s="39" t="s">
        <v>2824</v>
      </c>
      <c r="D202" s="72" t="str">
        <f t="shared" si="9"/>
        <v>740/515/225</v>
      </c>
      <c r="E202" s="39">
        <v>3.0</v>
      </c>
      <c r="F202" s="39">
        <v>75.0</v>
      </c>
      <c r="I202" s="39">
        <v>65.0</v>
      </c>
      <c r="J202" s="39">
        <v>75.0</v>
      </c>
      <c r="K202" s="87">
        <v>95.0</v>
      </c>
      <c r="L202" s="39">
        <v>80.0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50.0</v>
      </c>
      <c r="AS202" s="37">
        <v>0.0</v>
      </c>
      <c r="AT202" s="37">
        <v>0.0</v>
      </c>
      <c r="AU202" s="37">
        <v>0.0</v>
      </c>
      <c r="AV202" s="37">
        <v>0.0</v>
      </c>
      <c r="AW202" s="37">
        <v>0.0</v>
      </c>
      <c r="AX202" s="37">
        <v>0.0</v>
      </c>
      <c r="AY202" s="37">
        <v>0.0</v>
      </c>
      <c r="AZ202" s="37">
        <v>50.0</v>
      </c>
      <c r="BA202" s="39"/>
      <c r="BB202" s="39"/>
      <c r="BC202" s="39"/>
      <c r="BD202" s="39"/>
      <c r="BE202" s="39"/>
      <c r="BF202" s="39"/>
      <c r="BG202" s="37" t="str">
        <f t="array" ref="BG202">IF($A202="","",IFERROR(INDEX(CS!$B$1:$B$15025,MATCH($A202,CS!$B:$B,0)+COLUMN(A$1),1),""))</f>
        <v/>
      </c>
      <c r="BH202" s="37" t="str">
        <f t="array" ref="BH202">IF($A202="","",IFERROR(INDEX(CS!$B$1:$B$15025,MATCH($A202,CS!$B:$B,0)+COLUMN(B$1),1),""))</f>
        <v/>
      </c>
      <c r="BI202" s="37" t="str">
        <f t="array" ref="BI202">IF($A202="","",IFERROR(INDEX(CS!$B$1:$B$15025,MATCH($A202,CS!$B:$B,0)+COLUMN(C$1),1),""))</f>
        <v/>
      </c>
      <c r="BJ202" s="37" t="str">
        <f t="array" ref="BJ202">IF($A202="","",IFERROR(INDEX(CS!$B$1:$B$15025,MATCH($A202,CS!$B:$B,0)+COLUMN(D$1),1),""))</f>
        <v/>
      </c>
      <c r="BK202" s="37" t="str">
        <f t="array" ref="BK202">IF($A202="","",IFERROR(INDEX(CS!$B$1:$B$15025,MATCH($A202,CS!$B:$B,0)+COLUMN(E$1),1),""))</f>
        <v/>
      </c>
      <c r="BL202" s="37" t="str">
        <f t="array" ref="BL202">IF($A202="","",IFERROR(INDEX(CS!$B$1:$B$15025,MATCH($A202,CS!$B:$B,0)+COLUMN(F$1),1),""))</f>
        <v/>
      </c>
      <c r="BM202" s="37" t="str">
        <f t="array" ref="BM202">IF($A202="","",IFERROR(INDEX(CS!$B$1:$B$15025,MATCH($A202,CS!$B:$B,0)+COLUMN(G$1),1),""))</f>
        <v/>
      </c>
      <c r="BN202" s="37" t="str">
        <f t="array" ref="BN202">IF($A202="","",IFERROR(INDEX(CS!$B$1:$B$15025,MATCH($A202,CS!$B:$B,0)+COLUMN(H$1),1),""))</f>
        <v/>
      </c>
      <c r="BO202" s="37" t="str">
        <f t="array" ref="BO202">IF($A202="","",IFERROR(INDEX(CS!$B$1:$B$15025,MATCH($A202,CS!$B:$B,0)+COLUMN(I$1),1),""))</f>
        <v/>
      </c>
      <c r="BP202" s="37" t="str">
        <f t="array" ref="BP202">IF($A202="","",IFERROR(INDEX(CS!$B$1:$B$15025,MATCH($A202,CS!$B:$B,0)+COLUMN(J$1),1),""))</f>
        <v/>
      </c>
      <c r="BR202" s="39" t="s">
        <v>2878</v>
      </c>
      <c r="BS202" s="74"/>
      <c r="CG202" s="37" t="s">
        <v>2821</v>
      </c>
      <c r="CI202" s="37" t="s">
        <v>2806</v>
      </c>
      <c r="CJ202" s="37" t="s">
        <v>2817</v>
      </c>
      <c r="CK202" s="37" t="s">
        <v>2800</v>
      </c>
      <c r="CN202" s="37" t="s">
        <v>2819</v>
      </c>
    </row>
    <row r="203" ht="18.75" customHeight="1" outlineLevel="1">
      <c r="A203" s="39" t="s">
        <v>2515</v>
      </c>
      <c r="B203" s="71"/>
      <c r="C203" s="39" t="s">
        <v>2824</v>
      </c>
      <c r="D203" s="72" t="str">
        <f t="shared" si="9"/>
        <v>740/515/225</v>
      </c>
      <c r="E203" s="39">
        <v>3.0</v>
      </c>
      <c r="F203" s="39">
        <v>75.0</v>
      </c>
      <c r="I203" s="39">
        <v>65.0</v>
      </c>
      <c r="J203" s="39">
        <v>75.0</v>
      </c>
      <c r="K203" s="87">
        <v>95.0</v>
      </c>
      <c r="L203" s="39">
        <v>80.0</v>
      </c>
      <c r="M203" s="39">
        <v>50.0</v>
      </c>
      <c r="N203" s="39">
        <v>75.0</v>
      </c>
      <c r="P203" s="37">
        <v>0.0</v>
      </c>
      <c r="Q203" s="64"/>
      <c r="R203" s="64"/>
      <c r="S203" s="64"/>
      <c r="T203" s="64"/>
      <c r="U203" s="64"/>
      <c r="V203" s="64"/>
      <c r="W203" s="64"/>
      <c r="X203" s="64"/>
      <c r="Y203" s="64"/>
      <c r="Z203" s="64"/>
      <c r="AA203" s="64"/>
      <c r="AJ203" s="37">
        <v>0.0</v>
      </c>
      <c r="AK203" s="37">
        <v>0.0</v>
      </c>
      <c r="AL203" s="37">
        <v>75.0</v>
      </c>
      <c r="AM203" s="37">
        <v>25.0</v>
      </c>
      <c r="AN203" s="37">
        <v>25.0</v>
      </c>
      <c r="AO203" s="37">
        <v>0.0</v>
      </c>
      <c r="AP203" s="37">
        <v>0.0</v>
      </c>
      <c r="AQ203" s="37">
        <v>0.0</v>
      </c>
      <c r="AR203" s="37">
        <v>50.0</v>
      </c>
      <c r="AS203" s="37">
        <v>0.0</v>
      </c>
      <c r="AT203" s="37">
        <v>0.0</v>
      </c>
      <c r="AU203" s="37">
        <v>0.0</v>
      </c>
      <c r="AV203" s="37">
        <v>0.0</v>
      </c>
      <c r="AW203" s="37">
        <v>0.0</v>
      </c>
      <c r="AX203" s="37">
        <v>0.0</v>
      </c>
      <c r="AY203" s="37">
        <v>0.0</v>
      </c>
      <c r="AZ203" s="37">
        <v>50.0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2879</v>
      </c>
      <c r="BS203" s="74"/>
      <c r="CG203" s="37" t="s">
        <v>2821</v>
      </c>
      <c r="CI203" s="37" t="s">
        <v>2806</v>
      </c>
      <c r="CJ203" s="37" t="s">
        <v>2817</v>
      </c>
      <c r="CK203" s="37" t="s">
        <v>2800</v>
      </c>
      <c r="CN203" s="37" t="s">
        <v>2819</v>
      </c>
    </row>
    <row r="204" ht="18.75" customHeight="1" outlineLevel="1">
      <c r="A204" s="39" t="s">
        <v>2516</v>
      </c>
      <c r="B204" s="71"/>
      <c r="C204" s="39" t="s">
        <v>2824</v>
      </c>
      <c r="D204" s="72" t="str">
        <f t="shared" si="9"/>
        <v>740/515/225</v>
      </c>
      <c r="E204" s="39">
        <v>3.0</v>
      </c>
      <c r="F204" s="39">
        <v>75.0</v>
      </c>
      <c r="I204" s="39">
        <v>65.0</v>
      </c>
      <c r="J204" s="39">
        <v>75.0</v>
      </c>
      <c r="K204" s="87">
        <v>95.0</v>
      </c>
      <c r="L204" s="39">
        <v>80.0</v>
      </c>
      <c r="M204" s="39">
        <v>50.0</v>
      </c>
      <c r="N204" s="39">
        <v>75.0</v>
      </c>
      <c r="P204" s="37">
        <v>0.0</v>
      </c>
      <c r="Q204" s="64"/>
      <c r="R204" s="64"/>
      <c r="S204" s="64"/>
      <c r="T204" s="64"/>
      <c r="U204" s="64"/>
      <c r="V204" s="64"/>
      <c r="W204" s="64"/>
      <c r="X204" s="64"/>
      <c r="Y204" s="64"/>
      <c r="Z204" s="64"/>
      <c r="AA204" s="64"/>
      <c r="AJ204" s="37">
        <v>0.0</v>
      </c>
      <c r="AK204" s="37">
        <v>0.0</v>
      </c>
      <c r="AL204" s="37">
        <v>75.0</v>
      </c>
      <c r="AM204" s="37">
        <v>25.0</v>
      </c>
      <c r="AN204" s="37">
        <v>25.0</v>
      </c>
      <c r="AO204" s="37">
        <v>0.0</v>
      </c>
      <c r="AP204" s="37">
        <v>0.0</v>
      </c>
      <c r="AQ204" s="37">
        <v>0.0</v>
      </c>
      <c r="AR204" s="37">
        <v>50.0</v>
      </c>
      <c r="AS204" s="37">
        <v>0.0</v>
      </c>
      <c r="AT204" s="37">
        <v>0.0</v>
      </c>
      <c r="AU204" s="37">
        <v>0.0</v>
      </c>
      <c r="AV204" s="37">
        <v>0.0</v>
      </c>
      <c r="AW204" s="37">
        <v>0.0</v>
      </c>
      <c r="AX204" s="37">
        <v>0.0</v>
      </c>
      <c r="AY204" s="37">
        <v>0.0</v>
      </c>
      <c r="AZ204" s="37">
        <v>50.0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2880</v>
      </c>
      <c r="BS204" s="74"/>
      <c r="CG204" s="37" t="s">
        <v>2821</v>
      </c>
      <c r="CI204" s="37" t="s">
        <v>2806</v>
      </c>
      <c r="CJ204" s="37" t="s">
        <v>2817</v>
      </c>
      <c r="CK204" s="37" t="s">
        <v>2800</v>
      </c>
      <c r="CN204" s="37" t="s">
        <v>2819</v>
      </c>
    </row>
    <row r="205" ht="18.75" customHeight="1" outlineLevel="1">
      <c r="A205" s="39" t="s">
        <v>2517</v>
      </c>
      <c r="B205" s="71"/>
      <c r="C205" s="39" t="s">
        <v>2824</v>
      </c>
      <c r="D205" s="72" t="str">
        <f t="shared" si="9"/>
        <v>740/515/225</v>
      </c>
      <c r="E205" s="39">
        <v>3.0</v>
      </c>
      <c r="F205" s="39">
        <v>75.0</v>
      </c>
      <c r="I205" s="39">
        <v>65.0</v>
      </c>
      <c r="J205" s="39">
        <v>75.0</v>
      </c>
      <c r="K205" s="87">
        <v>95.0</v>
      </c>
      <c r="L205" s="39">
        <v>80.0</v>
      </c>
      <c r="M205" s="39">
        <v>50.0</v>
      </c>
      <c r="N205" s="39">
        <v>75.0</v>
      </c>
      <c r="P205" s="37">
        <v>0.0</v>
      </c>
      <c r="Q205" s="64"/>
      <c r="R205" s="64"/>
      <c r="S205" s="64"/>
      <c r="T205" s="64"/>
      <c r="U205" s="64"/>
      <c r="V205" s="64"/>
      <c r="W205" s="64"/>
      <c r="X205" s="64"/>
      <c r="Y205" s="64"/>
      <c r="Z205" s="64"/>
      <c r="AA205" s="64"/>
      <c r="AJ205" s="37">
        <v>0.0</v>
      </c>
      <c r="AK205" s="37">
        <v>0.0</v>
      </c>
      <c r="AL205" s="37">
        <v>75.0</v>
      </c>
      <c r="AM205" s="37">
        <v>25.0</v>
      </c>
      <c r="AN205" s="37">
        <v>25.0</v>
      </c>
      <c r="AO205" s="37">
        <v>0.0</v>
      </c>
      <c r="AP205" s="37">
        <v>0.0</v>
      </c>
      <c r="AQ205" s="37">
        <v>0.0</v>
      </c>
      <c r="AR205" s="37">
        <v>50.0</v>
      </c>
      <c r="AS205" s="37">
        <v>0.0</v>
      </c>
      <c r="AT205" s="37">
        <v>0.0</v>
      </c>
      <c r="AU205" s="37">
        <v>0.0</v>
      </c>
      <c r="AV205" s="37">
        <v>0.0</v>
      </c>
      <c r="AW205" s="37">
        <v>0.0</v>
      </c>
      <c r="AX205" s="37">
        <v>0.0</v>
      </c>
      <c r="AY205" s="37">
        <v>0.0</v>
      </c>
      <c r="AZ205" s="37">
        <v>50.0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2881</v>
      </c>
      <c r="BS205" s="74"/>
      <c r="CG205" s="37" t="s">
        <v>2821</v>
      </c>
      <c r="CI205" s="37" t="s">
        <v>2806</v>
      </c>
      <c r="CJ205" s="37" t="s">
        <v>2817</v>
      </c>
      <c r="CK205" s="37" t="s">
        <v>2800</v>
      </c>
      <c r="CN205" s="37" t="s">
        <v>2819</v>
      </c>
    </row>
    <row r="206" ht="18.75" customHeight="1" outlineLevel="1">
      <c r="A206" s="39" t="s">
        <v>2518</v>
      </c>
      <c r="B206" s="71"/>
      <c r="C206" s="39" t="s">
        <v>2824</v>
      </c>
      <c r="D206" s="72" t="str">
        <f t="shared" si="9"/>
        <v>740/515/225</v>
      </c>
      <c r="E206" s="39">
        <v>3.0</v>
      </c>
      <c r="F206" s="39">
        <v>75.0</v>
      </c>
      <c r="I206" s="39">
        <v>65.0</v>
      </c>
      <c r="J206" s="39">
        <v>75.0</v>
      </c>
      <c r="K206" s="87">
        <v>95.0</v>
      </c>
      <c r="L206" s="39">
        <v>80.0</v>
      </c>
      <c r="M206" s="39">
        <v>50.0</v>
      </c>
      <c r="N206" s="39">
        <v>75.0</v>
      </c>
      <c r="P206" s="37">
        <v>0.0</v>
      </c>
      <c r="Q206" s="64"/>
      <c r="R206" s="64"/>
      <c r="S206" s="64"/>
      <c r="T206" s="64"/>
      <c r="U206" s="64"/>
      <c r="V206" s="64"/>
      <c r="W206" s="64"/>
      <c r="X206" s="64"/>
      <c r="Y206" s="64"/>
      <c r="Z206" s="64"/>
      <c r="AA206" s="64"/>
      <c r="AJ206" s="37">
        <v>0.0</v>
      </c>
      <c r="AK206" s="37">
        <v>0.0</v>
      </c>
      <c r="AL206" s="37">
        <v>75.0</v>
      </c>
      <c r="AM206" s="37">
        <v>25.0</v>
      </c>
      <c r="AN206" s="37">
        <v>25.0</v>
      </c>
      <c r="AO206" s="37">
        <v>0.0</v>
      </c>
      <c r="AP206" s="37">
        <v>0.0</v>
      </c>
      <c r="AQ206" s="37">
        <v>0.0</v>
      </c>
      <c r="AR206" s="37">
        <v>50.0</v>
      </c>
      <c r="AS206" s="37">
        <v>0.0</v>
      </c>
      <c r="AT206" s="37">
        <v>0.0</v>
      </c>
      <c r="AU206" s="37">
        <v>0.0</v>
      </c>
      <c r="AV206" s="37">
        <v>0.0</v>
      </c>
      <c r="AW206" s="37">
        <v>0.0</v>
      </c>
      <c r="AX206" s="37">
        <v>0.0</v>
      </c>
      <c r="AY206" s="37">
        <v>0.0</v>
      </c>
      <c r="AZ206" s="37">
        <v>50.0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2882</v>
      </c>
      <c r="BS206" s="74"/>
      <c r="CG206" s="37" t="s">
        <v>2821</v>
      </c>
      <c r="CI206" s="37" t="s">
        <v>2806</v>
      </c>
      <c r="CJ206" s="37" t="s">
        <v>2817</v>
      </c>
      <c r="CK206" s="37" t="s">
        <v>2800</v>
      </c>
      <c r="CN206" s="37" t="s">
        <v>2819</v>
      </c>
    </row>
    <row r="207" ht="18.75" customHeight="1" outlineLevel="1">
      <c r="A207" s="39" t="s">
        <v>2519</v>
      </c>
      <c r="B207" s="71"/>
      <c r="C207" s="39" t="s">
        <v>2824</v>
      </c>
      <c r="D207" s="72" t="str">
        <f t="shared" si="9"/>
        <v>785/535/250</v>
      </c>
      <c r="E207" s="39">
        <v>4.0</v>
      </c>
      <c r="F207" s="39">
        <v>80.0</v>
      </c>
      <c r="I207" s="39">
        <v>65.0</v>
      </c>
      <c r="J207" s="39">
        <v>80.0</v>
      </c>
      <c r="K207" s="87">
        <v>100.0</v>
      </c>
      <c r="L207" s="39">
        <v>85.0</v>
      </c>
      <c r="M207" s="39">
        <v>50.0</v>
      </c>
      <c r="N207" s="39">
        <v>75.0</v>
      </c>
      <c r="P207" s="37">
        <v>0.0</v>
      </c>
      <c r="Q207" s="64"/>
      <c r="R207" s="64"/>
      <c r="S207" s="64"/>
      <c r="T207" s="64"/>
      <c r="U207" s="64"/>
      <c r="V207" s="64"/>
      <c r="W207" s="64"/>
      <c r="X207" s="64"/>
      <c r="Y207" s="64"/>
      <c r="Z207" s="64"/>
      <c r="AA207" s="64"/>
      <c r="AJ207" s="37">
        <v>0.0</v>
      </c>
      <c r="AK207" s="37">
        <v>0.0</v>
      </c>
      <c r="AL207" s="37">
        <v>75.0</v>
      </c>
      <c r="AM207" s="37">
        <v>25.0</v>
      </c>
      <c r="AN207" s="37">
        <v>25.0</v>
      </c>
      <c r="AO207" s="37">
        <v>0.0</v>
      </c>
      <c r="AP207" s="37">
        <v>0.0</v>
      </c>
      <c r="AQ207" s="37">
        <v>0.0</v>
      </c>
      <c r="AR207" s="37">
        <v>60.0</v>
      </c>
      <c r="AS207" s="37">
        <v>0.0</v>
      </c>
      <c r="AT207" s="37">
        <v>0.0</v>
      </c>
      <c r="AU207" s="37">
        <v>0.0</v>
      </c>
      <c r="AV207" s="37">
        <v>0.0</v>
      </c>
      <c r="AW207" s="37">
        <v>0.0</v>
      </c>
      <c r="AX207" s="37">
        <v>0.0</v>
      </c>
      <c r="AY207" s="37">
        <v>0.0</v>
      </c>
      <c r="AZ207" s="37">
        <v>65.0</v>
      </c>
      <c r="BA207" s="39"/>
      <c r="BB207" s="39"/>
      <c r="BC207" s="39"/>
      <c r="BD207" s="39"/>
      <c r="BE207" s="39"/>
      <c r="BF207" s="39"/>
      <c r="BG207" s="37" t="str">
        <f t="array" ref="BG207">IF($A207="","",IFERROR(INDEX(CS!$B$1:$B$15025,MATCH($A207,CS!$B:$B,0)+COLUMN(A$1),1),""))</f>
        <v>広大な森</v>
      </c>
      <c r="BH207" s="37" t="str">
        <f t="array" ref="BH207">IF($A207="","",IFERROR(INDEX(CS!$B$1:$B$15025,MATCH($A207,CS!$B:$B,0)+COLUMN(B$1),1),""))</f>
        <v>大地震</v>
      </c>
      <c r="BI207" s="37" t="str">
        <f t="array" ref="BI207">IF($A207="","",IFERROR(INDEX(CS!$B$1:$B$15025,MATCH($A207,CS!$B:$B,0)+COLUMN(C$1),1),""))</f>
        <v>大津波</v>
      </c>
      <c r="BJ207" s="37" t="str">
        <f t="array" ref="BJ207">IF($A207="","",IFERROR(INDEX(CS!$B$1:$B$15025,MATCH($A207,CS!$B:$B,0)+COLUMN(D$1),1),""))</f>
        <v/>
      </c>
      <c r="BK207" s="37" t="str">
        <f t="array" ref="BK207">IF($A207="","",IFERROR(INDEX(CS!$B$1:$B$15025,MATCH($A207,CS!$B:$B,0)+COLUMN(E$1),1),""))</f>
        <v>砂界</v>
      </c>
      <c r="BL207" s="37" t="str">
        <f t="array" ref="BL207">IF($A207="","",IFERROR(INDEX(CS!$B$1:$B$15025,MATCH($A207,CS!$B:$B,0)+COLUMN(F$1),1),""))</f>
        <v/>
      </c>
      <c r="BM207" s="37" t="str">
        <f t="array" ref="BM207">IF($A207="","",IFERROR(INDEX(CS!$B$1:$B$15025,MATCH($A207,CS!$B:$B,0)+COLUMN(G$1),1),""))</f>
        <v>極渦</v>
      </c>
      <c r="BN207" s="37" t="str">
        <f t="array" ref="BN207">IF($A207="","",IFERROR(INDEX(CS!$B$1:$B$15025,MATCH($A207,CS!$B:$B,0)+COLUMN(H$1),1),""))</f>
        <v/>
      </c>
      <c r="BO207" s="37" t="str">
        <f t="array" ref="BO207">IF($A207="","",IFERROR(INDEX(CS!$B$1:$B$15025,MATCH($A207,CS!$B:$B,0)+COLUMN(I$1),1),""))</f>
        <v>地底噴火</v>
      </c>
      <c r="BP207" s="37" t="str">
        <f t="array" ref="BP207">IF($A207="","",IFERROR(INDEX(CS!$B$1:$B$15025,MATCH($A207,CS!$B:$B,0)+COLUMN(J$1),1),""))</f>
        <v>原初の理</v>
      </c>
      <c r="BR207" s="39"/>
      <c r="BS207" s="74"/>
      <c r="BU207" s="39" t="s">
        <v>2883</v>
      </c>
      <c r="CG207" s="37" t="s">
        <v>2821</v>
      </c>
      <c r="CI207" s="37" t="s">
        <v>2806</v>
      </c>
      <c r="CJ207" s="37" t="s">
        <v>2817</v>
      </c>
      <c r="CK207" s="37" t="s">
        <v>2800</v>
      </c>
      <c r="CN207" s="37" t="s">
        <v>2819</v>
      </c>
    </row>
    <row r="208" ht="18.75" customHeight="1" outlineLevel="1">
      <c r="A208" s="39" t="s">
        <v>2522</v>
      </c>
      <c r="B208" s="71"/>
      <c r="C208" s="39" t="s">
        <v>2824</v>
      </c>
      <c r="D208" s="72" t="str">
        <f t="shared" si="9"/>
        <v>775/490/285</v>
      </c>
      <c r="E208" s="39">
        <v>3.0</v>
      </c>
      <c r="F208" s="39">
        <v>75.0</v>
      </c>
      <c r="I208" s="39">
        <v>75.0</v>
      </c>
      <c r="J208" s="39">
        <v>60.0</v>
      </c>
      <c r="K208" s="87">
        <v>55.0</v>
      </c>
      <c r="L208" s="39">
        <v>60.0</v>
      </c>
      <c r="M208" s="39">
        <v>75.0</v>
      </c>
      <c r="N208" s="39">
        <v>90.0</v>
      </c>
      <c r="P208" s="37">
        <v>0.0</v>
      </c>
      <c r="Q208" s="64"/>
      <c r="R208" s="64"/>
      <c r="S208" s="64"/>
      <c r="T208" s="64"/>
      <c r="U208" s="64"/>
      <c r="V208" s="64"/>
      <c r="W208" s="64"/>
      <c r="X208" s="64"/>
      <c r="Y208" s="64"/>
      <c r="Z208" s="64"/>
      <c r="AA208" s="64"/>
      <c r="AJ208" s="37">
        <v>0.0</v>
      </c>
      <c r="AK208" s="37">
        <v>15.0</v>
      </c>
      <c r="AL208" s="37">
        <v>40.0</v>
      </c>
      <c r="AM208" s="37">
        <v>45.0</v>
      </c>
      <c r="AN208" s="37">
        <v>25.0</v>
      </c>
      <c r="AO208" s="37">
        <v>0.0</v>
      </c>
      <c r="AP208" s="37">
        <v>0.0</v>
      </c>
      <c r="AQ208" s="37">
        <v>55.0</v>
      </c>
      <c r="AR208" s="37">
        <v>70.0</v>
      </c>
      <c r="AS208" s="37">
        <v>0.0</v>
      </c>
      <c r="AT208" s="37">
        <v>0.0</v>
      </c>
      <c r="AU208" s="37">
        <v>0.0</v>
      </c>
      <c r="AV208" s="37">
        <v>0.0</v>
      </c>
      <c r="AW208" s="37">
        <v>0.0</v>
      </c>
      <c r="AX208" s="37">
        <v>0.0</v>
      </c>
      <c r="AY208" s="37">
        <v>5.0</v>
      </c>
      <c r="AZ208" s="37">
        <v>30.0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2884</v>
      </c>
      <c r="BS208" s="74"/>
      <c r="CG208" s="37" t="s">
        <v>2821</v>
      </c>
      <c r="CI208" s="37" t="s">
        <v>2806</v>
      </c>
      <c r="CJ208" s="37" t="s">
        <v>2817</v>
      </c>
      <c r="CK208" s="37" t="s">
        <v>2800</v>
      </c>
      <c r="CN208" s="37" t="s">
        <v>2819</v>
      </c>
    </row>
    <row r="209" ht="18.75" customHeight="1">
      <c r="B209" s="71"/>
      <c r="D209" s="72"/>
      <c r="K209" s="73"/>
      <c r="P209" s="37" t="s">
        <v>29</v>
      </c>
      <c r="Q209" s="64"/>
      <c r="R209" s="64"/>
      <c r="S209" s="64"/>
      <c r="T209" s="64"/>
      <c r="U209" s="64"/>
      <c r="V209" s="64"/>
      <c r="W209" s="64"/>
      <c r="X209" s="64"/>
      <c r="Y209" s="64"/>
      <c r="Z209" s="64"/>
      <c r="AA209" s="64"/>
      <c r="AJ209" s="37" t="s">
        <v>29</v>
      </c>
      <c r="AK209" s="37" t="s">
        <v>29</v>
      </c>
      <c r="AL209" s="37" t="s">
        <v>29</v>
      </c>
      <c r="AM209" s="37" t="s">
        <v>29</v>
      </c>
      <c r="AN209" s="37" t="s">
        <v>29</v>
      </c>
      <c r="AO209" s="37" t="s">
        <v>29</v>
      </c>
      <c r="AP209" s="37" t="s">
        <v>29</v>
      </c>
      <c r="AQ209" s="37" t="s">
        <v>29</v>
      </c>
      <c r="AR209" s="37" t="s">
        <v>29</v>
      </c>
      <c r="AS209" s="37" t="s">
        <v>29</v>
      </c>
      <c r="AT209" s="37" t="s">
        <v>29</v>
      </c>
      <c r="AU209" s="37" t="s">
        <v>29</v>
      </c>
      <c r="AV209" s="37" t="s">
        <v>29</v>
      </c>
      <c r="AW209" s="37" t="s">
        <v>29</v>
      </c>
      <c r="AX209" s="37" t="s">
        <v>29</v>
      </c>
      <c r="AY209" s="37" t="s">
        <v>29</v>
      </c>
      <c r="AZ209" s="37" t="s">
        <v>29</v>
      </c>
      <c r="BG209" s="37" t="str">
        <f t="array" ref="BG209">IF($A209="","", INDEX(CS!$B$1:$B$15025,MATCH($A209,CS!$B:$B,0)+COLUMN(A$1),1))</f>
        <v/>
      </c>
      <c r="BH209" s="37" t="str">
        <f t="array" ref="BH209">IF($A209="","", INDEX(CS!$B$1:$B$15025,MATCH($A209,CS!$B:$B,0)+COLUMN(B$1),1))</f>
        <v/>
      </c>
      <c r="BI209" s="37" t="str">
        <f t="array" ref="BI209">IF($A209="","", INDEX(CS!$B$1:$B$15025,MATCH($A209,CS!$B:$B,0)+COLUMN(C$1),1))</f>
        <v/>
      </c>
      <c r="BJ209" s="37" t="str">
        <f t="array" ref="BJ209">IF($A209="","", INDEX(CS!$B$1:$B$15025,MATCH($A209,CS!$B:$B,0)+COLUMN(D$1),1))</f>
        <v/>
      </c>
      <c r="BK209" s="37" t="str">
        <f t="array" ref="BK209">IF($A209="","", INDEX(CS!$B$1:$B$15025,MATCH($A209,CS!$B:$B,0)+COLUMN(E$1),1))</f>
        <v/>
      </c>
      <c r="BL209" s="37" t="str">
        <f t="array" ref="BL209">IF($A209="","", INDEX(CS!$B$1:$B$15025,MATCH($A209,CS!$B:$B,0)+COLUMN(F$1),1))</f>
        <v/>
      </c>
      <c r="BM209" s="37" t="str">
        <f t="array" ref="BM209">IF($A209="","", INDEX(CS!$B$1:$B$15025,MATCH($A209,CS!$B:$B,0)+COLUMN(G$1),1))</f>
        <v/>
      </c>
      <c r="BN209" s="37" t="str">
        <f t="array" ref="BN209">IF($A209="","", INDEX(CS!$B$1:$B$15025,MATCH($A209,CS!$B:$B,0)+COLUMN(H$1),1))</f>
        <v/>
      </c>
      <c r="BO209" s="37" t="str">
        <f t="array" ref="BO209">IF($A209="","", INDEX(CS!$B$1:$B$15025,MATCH($A209,CS!$B:$B,0)+COLUMN(I$1),1))</f>
        <v/>
      </c>
      <c r="BP209" s="37" t="str">
        <f t="array" ref="BP209">IF($A209="","", INDEX(CS!$B$1:$B$15025,MATCH($A209,CS!$B:$B,0)+COLUMN(J$1),1))</f>
        <v/>
      </c>
      <c r="BS209" s="74"/>
      <c r="CI209" s="37" t="s">
        <v>2826</v>
      </c>
      <c r="CJ209" s="37" t="s">
        <v>2807</v>
      </c>
      <c r="CK209" s="37" t="s">
        <v>2800</v>
      </c>
    </row>
    <row r="210" ht="18.75" customHeight="1">
      <c r="B210" s="85" t="s">
        <v>2885</v>
      </c>
      <c r="D210" s="72" t="str">
        <f t="shared" ref="D210:D218" si="10">SUM(AJ210:AZ210,F210:N210)&amp;"/"&amp;SUM(F210:N210)&amp;"/"&amp;SUM(AJ210:AZ210)</f>
        <v>0/0/0</v>
      </c>
      <c r="E210" s="37">
        <v>1.0</v>
      </c>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row>
    <row r="211" ht="18.75" customHeight="1" outlineLevel="1">
      <c r="A211" s="39" t="s">
        <v>2524</v>
      </c>
      <c r="B211" s="71"/>
      <c r="C211" s="39" t="s">
        <v>2825</v>
      </c>
      <c r="D211" s="72" t="str">
        <f t="shared" si="10"/>
        <v>720/490/230</v>
      </c>
      <c r="E211" s="39">
        <v>2.0</v>
      </c>
      <c r="F211" s="39">
        <v>75.0</v>
      </c>
      <c r="I211" s="39">
        <v>75.0</v>
      </c>
      <c r="J211" s="39">
        <v>75.0</v>
      </c>
      <c r="K211" s="87">
        <v>55.0</v>
      </c>
      <c r="L211" s="39">
        <v>65.0</v>
      </c>
      <c r="M211" s="39">
        <v>65.0</v>
      </c>
      <c r="N211" s="39">
        <v>80.0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英雄の歌</v>
      </c>
      <c r="BH211" s="37" t="str">
        <f t="array" ref="BH211">IF($A211="","",IFERROR(INDEX(CS!$B$1:$B$15025,MATCH($A211,CS!$B:$B,0)+COLUMN(B$1),1),""))</f>
        <v>破調</v>
      </c>
      <c r="BI211" s="37" t="str">
        <f t="array" ref="BI211">IF($A211="","",IFERROR(INDEX(CS!$B$1:$B$15025,MATCH($A211,CS!$B:$B,0)+COLUMN(C$1),1),""))</f>
        <v>歌唱技術</v>
      </c>
      <c r="BJ211" s="37" t="str">
        <f t="array" ref="BJ211">IF($A211="","",IFERROR(INDEX(CS!$B$1:$B$15025,MATCH($A211,CS!$B:$B,0)+COLUMN(D$1),1),""))</f>
        <v/>
      </c>
      <c r="BK211" s="37" t="str">
        <f t="array" ref="BK211">IF($A211="","",IFERROR(INDEX(CS!$B$1:$B$15025,MATCH($A211,CS!$B:$B,0)+COLUMN(E$1),1),""))</f>
        <v>共鳴障壁</v>
      </c>
      <c r="BL211" s="37" t="str">
        <f t="array" ref="BL211">IF($A211="","",IFERROR(INDEX(CS!$B$1:$B$15025,MATCH($A211,CS!$B:$B,0)+COLUMN(F$1),1),""))</f>
        <v/>
      </c>
      <c r="BM211" s="37" t="str">
        <f t="array" ref="BM211">IF($A211="","",IFERROR(INDEX(CS!$B$1:$B$15025,MATCH($A211,CS!$B:$B,0)+COLUMN(G$1),1),""))</f>
        <v>凱歌</v>
      </c>
      <c r="BN211" s="37" t="str">
        <f t="array" ref="BN211">IF($A211="","",IFERROR(INDEX(CS!$B$1:$B$15025,MATCH($A211,CS!$B:$B,0)+COLUMN(H$1),1),""))</f>
        <v/>
      </c>
      <c r="BO211" s="37" t="str">
        <f t="array" ref="BO211">IF($A211="","",IFERROR(INDEX(CS!$B$1:$B$15025,MATCH($A211,CS!$B:$B,0)+COLUMN(I$1),1),""))</f>
        <v>大喝采</v>
      </c>
      <c r="BP211" s="37" t="str">
        <f t="array" ref="BP211">IF($A211="","",IFERROR(INDEX(CS!$B$1:$B$15025,MATCH($A211,CS!$B:$B,0)+COLUMN(J$1),1),""))</f>
        <v/>
      </c>
      <c r="BR211" s="39" t="s">
        <v>2886</v>
      </c>
      <c r="BS211" s="74"/>
    </row>
    <row r="212" ht="18.75" customHeight="1" outlineLevel="1">
      <c r="A212" s="39" t="s">
        <v>2537</v>
      </c>
      <c r="B212" s="71"/>
      <c r="C212" s="39" t="s">
        <v>2825</v>
      </c>
      <c r="D212" s="72" t="str">
        <f t="shared" si="10"/>
        <v>730/500/230</v>
      </c>
      <c r="E212" s="39">
        <v>3.0</v>
      </c>
      <c r="F212" s="39">
        <v>75.0</v>
      </c>
      <c r="I212" s="39">
        <v>75.0</v>
      </c>
      <c r="J212" s="39">
        <v>75.0</v>
      </c>
      <c r="K212" s="87">
        <v>60.0</v>
      </c>
      <c r="L212" s="39">
        <v>70.0</v>
      </c>
      <c r="M212" s="39">
        <v>65.0</v>
      </c>
      <c r="N212" s="39">
        <v>80.0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2887</v>
      </c>
      <c r="BS212" s="74"/>
    </row>
    <row r="213" ht="18.75" customHeight="1" outlineLevel="1">
      <c r="A213" s="39" t="s">
        <v>2538</v>
      </c>
      <c r="B213" s="71"/>
      <c r="C213" s="39" t="s">
        <v>2825</v>
      </c>
      <c r="D213" s="72" t="str">
        <f t="shared" si="10"/>
        <v>730/500/230</v>
      </c>
      <c r="E213" s="39">
        <v>3.0</v>
      </c>
      <c r="F213" s="39">
        <v>75.0</v>
      </c>
      <c r="I213" s="39">
        <v>75.0</v>
      </c>
      <c r="J213" s="39">
        <v>75.0</v>
      </c>
      <c r="K213" s="87">
        <v>60.0</v>
      </c>
      <c r="L213" s="39">
        <v>70.0</v>
      </c>
      <c r="M213" s="39">
        <v>65.0</v>
      </c>
      <c r="N213" s="39">
        <v>80.0</v>
      </c>
      <c r="P213" s="37">
        <v>0.0</v>
      </c>
      <c r="Q213" s="64"/>
      <c r="R213" s="64"/>
      <c r="S213" s="64"/>
      <c r="T213" s="64"/>
      <c r="U213" s="64"/>
      <c r="V213" s="64"/>
      <c r="W213" s="64"/>
      <c r="X213" s="64"/>
      <c r="Y213" s="64"/>
      <c r="Z213" s="64"/>
      <c r="AA213" s="64"/>
      <c r="AJ213" s="37">
        <v>25.0</v>
      </c>
      <c r="AK213" s="37">
        <v>0.0</v>
      </c>
      <c r="AL213" s="37">
        <v>25.0</v>
      </c>
      <c r="AM213" s="37">
        <v>25.0</v>
      </c>
      <c r="AN213" s="37">
        <v>25.0</v>
      </c>
      <c r="AO213" s="37">
        <v>0.0</v>
      </c>
      <c r="AP213" s="37">
        <v>0.0</v>
      </c>
      <c r="AQ213" s="37">
        <v>0.0</v>
      </c>
      <c r="AR213" s="37">
        <v>25.0</v>
      </c>
      <c r="AS213" s="37">
        <v>0.0</v>
      </c>
      <c r="AT213" s="37">
        <v>0.0</v>
      </c>
      <c r="AU213" s="37">
        <v>0.0</v>
      </c>
      <c r="AV213" s="37">
        <v>0.0</v>
      </c>
      <c r="AW213" s="37">
        <v>25.0</v>
      </c>
      <c r="AX213" s="37">
        <v>80.0</v>
      </c>
      <c r="AY213" s="37">
        <v>0.0</v>
      </c>
      <c r="AZ213" s="37">
        <v>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t="s">
        <v>2887</v>
      </c>
      <c r="BS213" s="74"/>
    </row>
    <row r="214" ht="18.75" customHeight="1" outlineLevel="1">
      <c r="A214" s="39" t="s">
        <v>2540</v>
      </c>
      <c r="B214" s="71"/>
      <c r="C214" s="39" t="s">
        <v>2825</v>
      </c>
      <c r="D214" s="72" t="str">
        <f t="shared" si="10"/>
        <v>715/485/230</v>
      </c>
      <c r="E214" s="39">
        <v>2.0</v>
      </c>
      <c r="F214" s="39">
        <v>75.0</v>
      </c>
      <c r="I214" s="39">
        <v>75.0</v>
      </c>
      <c r="J214" s="39">
        <v>75.0</v>
      </c>
      <c r="K214" s="87">
        <v>50.0</v>
      </c>
      <c r="L214" s="39">
        <v>65.0</v>
      </c>
      <c r="M214" s="39">
        <v>65.0</v>
      </c>
      <c r="N214" s="39">
        <v>80.0</v>
      </c>
      <c r="P214" s="37">
        <v>0.0</v>
      </c>
      <c r="Q214" s="64"/>
      <c r="R214" s="64"/>
      <c r="S214" s="64"/>
      <c r="T214" s="64"/>
      <c r="U214" s="64"/>
      <c r="V214" s="64"/>
      <c r="W214" s="64"/>
      <c r="X214" s="64"/>
      <c r="Y214" s="64"/>
      <c r="Z214" s="64"/>
      <c r="AA214" s="64"/>
      <c r="AJ214" s="37">
        <v>25.0</v>
      </c>
      <c r="AK214" s="37">
        <v>0.0</v>
      </c>
      <c r="AL214" s="37">
        <v>25.0</v>
      </c>
      <c r="AM214" s="37">
        <v>25.0</v>
      </c>
      <c r="AN214" s="37">
        <v>25.0</v>
      </c>
      <c r="AO214" s="37">
        <v>0.0</v>
      </c>
      <c r="AP214" s="37">
        <v>0.0</v>
      </c>
      <c r="AQ214" s="37">
        <v>0.0</v>
      </c>
      <c r="AR214" s="37">
        <v>25.0</v>
      </c>
      <c r="AS214" s="37">
        <v>0.0</v>
      </c>
      <c r="AT214" s="37">
        <v>0.0</v>
      </c>
      <c r="AU214" s="37">
        <v>0.0</v>
      </c>
      <c r="AV214" s="37">
        <v>0.0</v>
      </c>
      <c r="AW214" s="37">
        <v>25.0</v>
      </c>
      <c r="AX214" s="37">
        <v>80.0</v>
      </c>
      <c r="AY214" s="37">
        <v>0.0</v>
      </c>
      <c r="AZ214" s="37">
        <v>0.0</v>
      </c>
      <c r="BA214" s="39"/>
      <c r="BB214" s="39"/>
      <c r="BC214" s="39"/>
      <c r="BD214" s="39"/>
      <c r="BE214" s="39"/>
      <c r="BF214" s="39"/>
      <c r="BG214" s="37" t="str">
        <f t="array" ref="BG214">IF($A214="","",IFERROR(INDEX(CS!$B$1:$B$15025,MATCH($A214,CS!$B:$B,0)+COLUMN(A$1),1),""))</f>
        <v/>
      </c>
      <c r="BH214" s="37" t="str">
        <f t="array" ref="BH214">IF($A214="","",IFERROR(INDEX(CS!$B$1:$B$15025,MATCH($A214,CS!$B:$B,0)+COLUMN(B$1),1),""))</f>
        <v/>
      </c>
      <c r="BI214" s="37" t="str">
        <f t="array" ref="BI214">IF($A214="","",IFERROR(INDEX(CS!$B$1:$B$15025,MATCH($A214,CS!$B:$B,0)+COLUMN(C$1),1),""))</f>
        <v/>
      </c>
      <c r="BJ214" s="37" t="str">
        <f t="array" ref="BJ214">IF($A214="","",IFERROR(INDEX(CS!$B$1:$B$15025,MATCH($A214,CS!$B:$B,0)+COLUMN(D$1),1),""))</f>
        <v/>
      </c>
      <c r="BK214" s="37" t="str">
        <f t="array" ref="BK214">IF($A214="","",IFERROR(INDEX(CS!$B$1:$B$15025,MATCH($A214,CS!$B:$B,0)+COLUMN(E$1),1),""))</f>
        <v/>
      </c>
      <c r="BL214" s="37" t="str">
        <f t="array" ref="BL214">IF($A214="","",IFERROR(INDEX(CS!$B$1:$B$15025,MATCH($A214,CS!$B:$B,0)+COLUMN(F$1),1),""))</f>
        <v/>
      </c>
      <c r="BM214" s="37" t="str">
        <f t="array" ref="BM214">IF($A214="","",IFERROR(INDEX(CS!$B$1:$B$15025,MATCH($A214,CS!$B:$B,0)+COLUMN(G$1),1),""))</f>
        <v/>
      </c>
      <c r="BN214" s="37" t="str">
        <f t="array" ref="BN214">IF($A214="","",IFERROR(INDEX(CS!$B$1:$B$15025,MATCH($A214,CS!$B:$B,0)+COLUMN(H$1),1),""))</f>
        <v/>
      </c>
      <c r="BO214" s="37" t="str">
        <f t="array" ref="BO214">IF($A214="","",IFERROR(INDEX(CS!$B$1:$B$15025,MATCH($A214,CS!$B:$B,0)+COLUMN(I$1),1),""))</f>
        <v/>
      </c>
      <c r="BP214" s="37" t="str">
        <f t="array" ref="BP214">IF($A214="","",IFERROR(INDEX(CS!$B$1:$B$15025,MATCH($A214,CS!$B:$B,0)+COLUMN(J$1),1),""))</f>
        <v/>
      </c>
      <c r="BR214" s="39" t="s">
        <v>2886</v>
      </c>
      <c r="BS214" s="74"/>
    </row>
    <row r="215" ht="18.75" customHeight="1" outlineLevel="1">
      <c r="A215" s="39" t="s">
        <v>2541</v>
      </c>
      <c r="B215" s="71"/>
      <c r="C215" s="39" t="s">
        <v>2825</v>
      </c>
      <c r="D215" s="72" t="str">
        <f t="shared" si="10"/>
        <v>720/490/230</v>
      </c>
      <c r="E215" s="39">
        <v>3.0</v>
      </c>
      <c r="F215" s="39">
        <v>75.0</v>
      </c>
      <c r="I215" s="39">
        <v>75.0</v>
      </c>
      <c r="J215" s="39">
        <v>75.0</v>
      </c>
      <c r="K215" s="87">
        <v>50.0</v>
      </c>
      <c r="L215" s="39">
        <v>70.0</v>
      </c>
      <c r="M215" s="39">
        <v>65.0</v>
      </c>
      <c r="N215" s="39">
        <v>80.0</v>
      </c>
      <c r="P215" s="37">
        <v>0.0</v>
      </c>
      <c r="Q215" s="64"/>
      <c r="R215" s="64"/>
      <c r="S215" s="64"/>
      <c r="T215" s="64"/>
      <c r="U215" s="64"/>
      <c r="V215" s="64"/>
      <c r="W215" s="64"/>
      <c r="X215" s="64"/>
      <c r="Y215" s="64"/>
      <c r="Z215" s="64"/>
      <c r="AA215" s="64"/>
      <c r="AJ215" s="37">
        <v>25.0</v>
      </c>
      <c r="AK215" s="37">
        <v>0.0</v>
      </c>
      <c r="AL215" s="37">
        <v>25.0</v>
      </c>
      <c r="AM215" s="37">
        <v>25.0</v>
      </c>
      <c r="AN215" s="37">
        <v>25.0</v>
      </c>
      <c r="AO215" s="37">
        <v>0.0</v>
      </c>
      <c r="AP215" s="37">
        <v>0.0</v>
      </c>
      <c r="AQ215" s="37">
        <v>0.0</v>
      </c>
      <c r="AR215" s="37">
        <v>25.0</v>
      </c>
      <c r="AS215" s="37">
        <v>0.0</v>
      </c>
      <c r="AT215" s="37">
        <v>0.0</v>
      </c>
      <c r="AU215" s="37">
        <v>0.0</v>
      </c>
      <c r="AV215" s="37">
        <v>0.0</v>
      </c>
      <c r="AW215" s="37">
        <v>25.0</v>
      </c>
      <c r="AX215" s="37">
        <v>80.0</v>
      </c>
      <c r="AY215" s="37">
        <v>0.0</v>
      </c>
      <c r="AZ215" s="37">
        <v>0.0</v>
      </c>
      <c r="BA215" s="39"/>
      <c r="BB215" s="39"/>
      <c r="BC215" s="39"/>
      <c r="BD215" s="39"/>
      <c r="BE215" s="39"/>
      <c r="BF215" s="39"/>
      <c r="BG215" s="37" t="str">
        <f t="array" ref="BG215">IF($A215="","",IFERROR(INDEX(CS!$B$1:$B$15025,MATCH($A215,CS!$B:$B,0)+COLUMN(A$1),1),""))</f>
        <v/>
      </c>
      <c r="BH215" s="37" t="str">
        <f t="array" ref="BH215">IF($A215="","",IFERROR(INDEX(CS!$B$1:$B$15025,MATCH($A215,CS!$B:$B,0)+COLUMN(B$1),1),""))</f>
        <v/>
      </c>
      <c r="BI215" s="37" t="str">
        <f t="array" ref="BI215">IF($A215="","",IFERROR(INDEX(CS!$B$1:$B$15025,MATCH($A215,CS!$B:$B,0)+COLUMN(C$1),1),""))</f>
        <v/>
      </c>
      <c r="BJ215" s="37" t="str">
        <f t="array" ref="BJ215">IF($A215="","",IFERROR(INDEX(CS!$B$1:$B$15025,MATCH($A215,CS!$B:$B,0)+COLUMN(D$1),1),""))</f>
        <v/>
      </c>
      <c r="BK215" s="37" t="str">
        <f t="array" ref="BK215">IF($A215="","",IFERROR(INDEX(CS!$B$1:$B$15025,MATCH($A215,CS!$B:$B,0)+COLUMN(E$1),1),""))</f>
        <v/>
      </c>
      <c r="BL215" s="37" t="str">
        <f t="array" ref="BL215">IF($A215="","",IFERROR(INDEX(CS!$B$1:$B$15025,MATCH($A215,CS!$B:$B,0)+COLUMN(F$1),1),""))</f>
        <v/>
      </c>
      <c r="BM215" s="37" t="str">
        <f t="array" ref="BM215">IF($A215="","",IFERROR(INDEX(CS!$B$1:$B$15025,MATCH($A215,CS!$B:$B,0)+COLUMN(G$1),1),""))</f>
        <v/>
      </c>
      <c r="BN215" s="37" t="str">
        <f t="array" ref="BN215">IF($A215="","",IFERROR(INDEX(CS!$B$1:$B$15025,MATCH($A215,CS!$B:$B,0)+COLUMN(H$1),1),""))</f>
        <v/>
      </c>
      <c r="BO215" s="37" t="str">
        <f t="array" ref="BO215">IF($A215="","",IFERROR(INDEX(CS!$B$1:$B$15025,MATCH($A215,CS!$B:$B,0)+COLUMN(I$1),1),""))</f>
        <v/>
      </c>
      <c r="BP215" s="37" t="str">
        <f t="array" ref="BP215">IF($A215="","",IFERROR(INDEX(CS!$B$1:$B$15025,MATCH($A215,CS!$B:$B,0)+COLUMN(J$1),1),""))</f>
        <v/>
      </c>
      <c r="BR215" s="39" t="s">
        <v>2888</v>
      </c>
      <c r="BS215" s="74"/>
    </row>
    <row r="216" ht="18.75" customHeight="1" outlineLevel="1">
      <c r="A216" s="39" t="s">
        <v>2543</v>
      </c>
      <c r="B216" s="71"/>
      <c r="C216" s="39" t="s">
        <v>2825</v>
      </c>
      <c r="D216" s="72" t="str">
        <f t="shared" si="10"/>
        <v>720/490/230</v>
      </c>
      <c r="E216" s="39">
        <v>2.0</v>
      </c>
      <c r="F216" s="39">
        <v>75.0</v>
      </c>
      <c r="I216" s="39">
        <v>75.0</v>
      </c>
      <c r="J216" s="39">
        <v>75.0</v>
      </c>
      <c r="K216" s="87">
        <v>50.0</v>
      </c>
      <c r="L216" s="39">
        <v>60.0</v>
      </c>
      <c r="M216" s="39">
        <v>70.0</v>
      </c>
      <c r="N216" s="39">
        <v>85.0</v>
      </c>
      <c r="P216" s="37">
        <v>0.0</v>
      </c>
      <c r="Q216" s="64"/>
      <c r="R216" s="64"/>
      <c r="S216" s="64"/>
      <c r="T216" s="64"/>
      <c r="U216" s="64"/>
      <c r="V216" s="64"/>
      <c r="W216" s="64"/>
      <c r="X216" s="64"/>
      <c r="Y216" s="64"/>
      <c r="Z216" s="64"/>
      <c r="AA216" s="64"/>
      <c r="AJ216" s="37">
        <v>25.0</v>
      </c>
      <c r="AK216" s="37">
        <v>0.0</v>
      </c>
      <c r="AL216" s="37">
        <v>25.0</v>
      </c>
      <c r="AM216" s="37">
        <v>25.0</v>
      </c>
      <c r="AN216" s="37">
        <v>25.0</v>
      </c>
      <c r="AO216" s="37">
        <v>0.0</v>
      </c>
      <c r="AP216" s="37">
        <v>0.0</v>
      </c>
      <c r="AQ216" s="37">
        <v>0.0</v>
      </c>
      <c r="AR216" s="37">
        <v>25.0</v>
      </c>
      <c r="AS216" s="37">
        <v>0.0</v>
      </c>
      <c r="AT216" s="37">
        <v>0.0</v>
      </c>
      <c r="AU216" s="37">
        <v>0.0</v>
      </c>
      <c r="AV216" s="37">
        <v>0.0</v>
      </c>
      <c r="AW216" s="37">
        <v>25.0</v>
      </c>
      <c r="AX216" s="37">
        <v>80.0</v>
      </c>
      <c r="AY216" s="37">
        <v>0.0</v>
      </c>
      <c r="AZ216" s="37">
        <v>0.0</v>
      </c>
      <c r="BA216" s="39"/>
      <c r="BB216" s="39"/>
      <c r="BC216" s="39"/>
      <c r="BD216" s="39"/>
      <c r="BE216" s="39"/>
      <c r="BF216" s="39"/>
      <c r="BG216" s="37" t="str">
        <f t="array" ref="BG216">IF($A216="","",IFERROR(INDEX(CS!$B$1:$B$15025,MATCH($A216,CS!$B:$B,0)+COLUMN(A$1),1),""))</f>
        <v/>
      </c>
      <c r="BH216" s="37" t="str">
        <f t="array" ref="BH216">IF($A216="","",IFERROR(INDEX(CS!$B$1:$B$15025,MATCH($A216,CS!$B:$B,0)+COLUMN(B$1),1),""))</f>
        <v/>
      </c>
      <c r="BI216" s="37" t="str">
        <f t="array" ref="BI216">IF($A216="","",IFERROR(INDEX(CS!$B$1:$B$15025,MATCH($A216,CS!$B:$B,0)+COLUMN(C$1),1),""))</f>
        <v/>
      </c>
      <c r="BJ216" s="37" t="str">
        <f t="array" ref="BJ216">IF($A216="","",IFERROR(INDEX(CS!$B$1:$B$15025,MATCH($A216,CS!$B:$B,0)+COLUMN(D$1),1),""))</f>
        <v/>
      </c>
      <c r="BK216" s="37" t="str">
        <f t="array" ref="BK216">IF($A216="","",IFERROR(INDEX(CS!$B$1:$B$15025,MATCH($A216,CS!$B:$B,0)+COLUMN(E$1),1),""))</f>
        <v/>
      </c>
      <c r="BL216" s="37" t="str">
        <f t="array" ref="BL216">IF($A216="","",IFERROR(INDEX(CS!$B$1:$B$15025,MATCH($A216,CS!$B:$B,0)+COLUMN(F$1),1),""))</f>
        <v/>
      </c>
      <c r="BM216" s="37" t="str">
        <f t="array" ref="BM216">IF($A216="","",IFERROR(INDEX(CS!$B$1:$B$15025,MATCH($A216,CS!$B:$B,0)+COLUMN(G$1),1),""))</f>
        <v/>
      </c>
      <c r="BN216" s="37" t="str">
        <f t="array" ref="BN216">IF($A216="","",IFERROR(INDEX(CS!$B$1:$B$15025,MATCH($A216,CS!$B:$B,0)+COLUMN(H$1),1),""))</f>
        <v/>
      </c>
      <c r="BO216" s="37" t="str">
        <f t="array" ref="BO216">IF($A216="","",IFERROR(INDEX(CS!$B$1:$B$15025,MATCH($A216,CS!$B:$B,0)+COLUMN(I$1),1),""))</f>
        <v/>
      </c>
      <c r="BP216" s="37" t="str">
        <f t="array" ref="BP216">IF($A216="","",IFERROR(INDEX(CS!$B$1:$B$15025,MATCH($A216,CS!$B:$B,0)+COLUMN(J$1),1),""))</f>
        <v/>
      </c>
      <c r="BR216" s="39" t="s">
        <v>2886</v>
      </c>
      <c r="BS216" s="74"/>
    </row>
    <row r="217" ht="18.75" customHeight="1" outlineLevel="1">
      <c r="A217" s="39" t="s">
        <v>2544</v>
      </c>
      <c r="B217" s="71"/>
      <c r="C217" s="39" t="s">
        <v>2825</v>
      </c>
      <c r="D217" s="72" t="str">
        <f t="shared" si="10"/>
        <v>730/500/230</v>
      </c>
      <c r="E217" s="39">
        <v>3.0</v>
      </c>
      <c r="F217" s="39">
        <v>75.0</v>
      </c>
      <c r="I217" s="39">
        <v>75.0</v>
      </c>
      <c r="J217" s="39">
        <v>75.0</v>
      </c>
      <c r="K217" s="87">
        <v>50.0</v>
      </c>
      <c r="L217" s="39">
        <v>60.0</v>
      </c>
      <c r="M217" s="39">
        <v>75.0</v>
      </c>
      <c r="N217" s="39">
        <v>90.0</v>
      </c>
      <c r="P217" s="37">
        <v>0.0</v>
      </c>
      <c r="Q217" s="64"/>
      <c r="R217" s="64"/>
      <c r="S217" s="64"/>
      <c r="T217" s="64"/>
      <c r="U217" s="64"/>
      <c r="V217" s="64"/>
      <c r="W217" s="64"/>
      <c r="X217" s="64"/>
      <c r="Y217" s="64"/>
      <c r="Z217" s="64"/>
      <c r="AA217" s="64"/>
      <c r="AJ217" s="37">
        <v>25.0</v>
      </c>
      <c r="AK217" s="37">
        <v>0.0</v>
      </c>
      <c r="AL217" s="37">
        <v>25.0</v>
      </c>
      <c r="AM217" s="37">
        <v>25.0</v>
      </c>
      <c r="AN217" s="37">
        <v>25.0</v>
      </c>
      <c r="AO217" s="37">
        <v>0.0</v>
      </c>
      <c r="AP217" s="37">
        <v>0.0</v>
      </c>
      <c r="AQ217" s="37">
        <v>0.0</v>
      </c>
      <c r="AR217" s="37">
        <v>25.0</v>
      </c>
      <c r="AS217" s="37">
        <v>0.0</v>
      </c>
      <c r="AT217" s="37">
        <v>0.0</v>
      </c>
      <c r="AU217" s="37">
        <v>0.0</v>
      </c>
      <c r="AV217" s="37">
        <v>0.0</v>
      </c>
      <c r="AW217" s="37">
        <v>25.0</v>
      </c>
      <c r="AX217" s="37">
        <v>80.0</v>
      </c>
      <c r="AY217" s="37">
        <v>0.0</v>
      </c>
      <c r="AZ217" s="37">
        <v>0.0</v>
      </c>
      <c r="BA217" s="39"/>
      <c r="BB217" s="39"/>
      <c r="BC217" s="39"/>
      <c r="BD217" s="39"/>
      <c r="BE217" s="39"/>
      <c r="BF217" s="39"/>
      <c r="BG217" s="37" t="str">
        <f t="array" ref="BG217">IF($A217="","",IFERROR(INDEX(CS!$B$1:$B$15025,MATCH($A217,CS!$B:$B,0)+COLUMN(A$1),1),""))</f>
        <v/>
      </c>
      <c r="BH217" s="37" t="str">
        <f t="array" ref="BH217">IF($A217="","",IFERROR(INDEX(CS!$B$1:$B$15025,MATCH($A217,CS!$B:$B,0)+COLUMN(B$1),1),""))</f>
        <v/>
      </c>
      <c r="BI217" s="37" t="str">
        <f t="array" ref="BI217">IF($A217="","",IFERROR(INDEX(CS!$B$1:$B$15025,MATCH($A217,CS!$B:$B,0)+COLUMN(C$1),1),""))</f>
        <v/>
      </c>
      <c r="BJ217" s="37" t="str">
        <f t="array" ref="BJ217">IF($A217="","",IFERROR(INDEX(CS!$B$1:$B$15025,MATCH($A217,CS!$B:$B,0)+COLUMN(D$1),1),""))</f>
        <v/>
      </c>
      <c r="BK217" s="37" t="str">
        <f t="array" ref="BK217">IF($A217="","",IFERROR(INDEX(CS!$B$1:$B$15025,MATCH($A217,CS!$B:$B,0)+COLUMN(E$1),1),""))</f>
        <v/>
      </c>
      <c r="BL217" s="37" t="str">
        <f t="array" ref="BL217">IF($A217="","",IFERROR(INDEX(CS!$B$1:$B$15025,MATCH($A217,CS!$B:$B,0)+COLUMN(F$1),1),""))</f>
        <v/>
      </c>
      <c r="BM217" s="37" t="str">
        <f t="array" ref="BM217">IF($A217="","",IFERROR(INDEX(CS!$B$1:$B$15025,MATCH($A217,CS!$B:$B,0)+COLUMN(G$1),1),""))</f>
        <v/>
      </c>
      <c r="BN217" s="37" t="str">
        <f t="array" ref="BN217">IF($A217="","",IFERROR(INDEX(CS!$B$1:$B$15025,MATCH($A217,CS!$B:$B,0)+COLUMN(H$1),1),""))</f>
        <v/>
      </c>
      <c r="BO217" s="37" t="str">
        <f t="array" ref="BO217">IF($A217="","",IFERROR(INDEX(CS!$B$1:$B$15025,MATCH($A217,CS!$B:$B,0)+COLUMN(I$1),1),""))</f>
        <v/>
      </c>
      <c r="BP217" s="37" t="str">
        <f t="array" ref="BP217">IF($A217="","",IFERROR(INDEX(CS!$B$1:$B$15025,MATCH($A217,CS!$B:$B,0)+COLUMN(J$1),1),""))</f>
        <v/>
      </c>
      <c r="BR217" s="39" t="s">
        <v>2889</v>
      </c>
      <c r="BS217" s="74"/>
    </row>
    <row r="218" ht="18.75" customHeight="1" outlineLevel="1">
      <c r="A218" s="39" t="s">
        <v>2545</v>
      </c>
      <c r="B218" s="71"/>
      <c r="C218" s="39" t="s">
        <v>2825</v>
      </c>
      <c r="D218" s="72" t="str">
        <f t="shared" si="10"/>
        <v>760/505/255</v>
      </c>
      <c r="E218" s="39">
        <v>3.0</v>
      </c>
      <c r="F218" s="39">
        <v>75.0</v>
      </c>
      <c r="I218" s="39">
        <v>75.0</v>
      </c>
      <c r="J218" s="39">
        <v>75.0</v>
      </c>
      <c r="K218" s="87">
        <v>60.0</v>
      </c>
      <c r="L218" s="39">
        <v>70.0</v>
      </c>
      <c r="M218" s="39">
        <v>70.0</v>
      </c>
      <c r="N218" s="39">
        <v>80.0</v>
      </c>
      <c r="P218" s="37">
        <v>0.0</v>
      </c>
      <c r="Q218" s="64"/>
      <c r="R218" s="64"/>
      <c r="S218" s="64"/>
      <c r="T218" s="64"/>
      <c r="U218" s="64"/>
      <c r="V218" s="64"/>
      <c r="W218" s="64"/>
      <c r="X218" s="64"/>
      <c r="Y218" s="64"/>
      <c r="Z218" s="64"/>
      <c r="AA218" s="64"/>
      <c r="AJ218" s="37">
        <v>10.0</v>
      </c>
      <c r="AK218" s="37">
        <v>0.0</v>
      </c>
      <c r="AL218" s="37">
        <v>40.0</v>
      </c>
      <c r="AM218" s="37">
        <v>25.0</v>
      </c>
      <c r="AN218" s="37">
        <v>25.0</v>
      </c>
      <c r="AO218" s="37">
        <v>0.0</v>
      </c>
      <c r="AP218" s="37">
        <v>0.0</v>
      </c>
      <c r="AQ218" s="37">
        <v>40.0</v>
      </c>
      <c r="AR218" s="37">
        <v>45.0</v>
      </c>
      <c r="AS218" s="37">
        <v>0.0</v>
      </c>
      <c r="AT218" s="37">
        <v>0.0</v>
      </c>
      <c r="AU218" s="37">
        <v>0.0</v>
      </c>
      <c r="AV218" s="37">
        <v>0.0</v>
      </c>
      <c r="AW218" s="37">
        <v>25.0</v>
      </c>
      <c r="AX218" s="37">
        <v>-5.0</v>
      </c>
      <c r="AY218" s="37">
        <v>0.0</v>
      </c>
      <c r="AZ218" s="37">
        <v>50.0</v>
      </c>
      <c r="BA218" s="39"/>
      <c r="BB218" s="39"/>
      <c r="BC218" s="39"/>
      <c r="BD218" s="39"/>
      <c r="BE218" s="39"/>
      <c r="BF218" s="39"/>
      <c r="BG218" s="37" t="str">
        <f t="array" ref="BG218">IF($A218="","",IFERROR(INDEX(CS!$B$1:$B$15025,MATCH($A218,CS!$B:$B,0)+COLUMN(A$1),1),""))</f>
        <v/>
      </c>
      <c r="BH218" s="37" t="str">
        <f t="array" ref="BH218">IF($A218="","",IFERROR(INDEX(CS!$B$1:$B$15025,MATCH($A218,CS!$B:$B,0)+COLUMN(B$1),1),""))</f>
        <v/>
      </c>
      <c r="BI218" s="37" t="str">
        <f t="array" ref="BI218">IF($A218="","",IFERROR(INDEX(CS!$B$1:$B$15025,MATCH($A218,CS!$B:$B,0)+COLUMN(C$1),1),""))</f>
        <v/>
      </c>
      <c r="BJ218" s="37" t="str">
        <f t="array" ref="BJ218">IF($A218="","",IFERROR(INDEX(CS!$B$1:$B$15025,MATCH($A218,CS!$B:$B,0)+COLUMN(D$1),1),""))</f>
        <v/>
      </c>
      <c r="BK218" s="37" t="str">
        <f t="array" ref="BK218">IF($A218="","",IFERROR(INDEX(CS!$B$1:$B$15025,MATCH($A218,CS!$B:$B,0)+COLUMN(E$1),1),""))</f>
        <v/>
      </c>
      <c r="BL218" s="37" t="str">
        <f t="array" ref="BL218">IF($A218="","",IFERROR(INDEX(CS!$B$1:$B$15025,MATCH($A218,CS!$B:$B,0)+COLUMN(F$1),1),""))</f>
        <v/>
      </c>
      <c r="BM218" s="37" t="str">
        <f t="array" ref="BM218">IF($A218="","",IFERROR(INDEX(CS!$B$1:$B$15025,MATCH($A218,CS!$B:$B,0)+COLUMN(G$1),1),""))</f>
        <v/>
      </c>
      <c r="BN218" s="37" t="str">
        <f t="array" ref="BN218">IF($A218="","",IFERROR(INDEX(CS!$B$1:$B$15025,MATCH($A218,CS!$B:$B,0)+COLUMN(H$1),1),""))</f>
        <v/>
      </c>
      <c r="BO218" s="37" t="str">
        <f t="array" ref="BO218">IF($A218="","",IFERROR(INDEX(CS!$B$1:$B$15025,MATCH($A218,CS!$B:$B,0)+COLUMN(I$1),1),""))</f>
        <v/>
      </c>
      <c r="BP218" s="37" t="str">
        <f t="array" ref="BP218">IF($A218="","",IFERROR(INDEX(CS!$B$1:$B$15025,MATCH($A218,CS!$B:$B,0)+COLUMN(J$1),1),""))</f>
        <v/>
      </c>
      <c r="BR218" s="39"/>
      <c r="BS218" s="74"/>
      <c r="BU218" s="39" t="s">
        <v>2890</v>
      </c>
    </row>
    <row r="219" ht="18.75" customHeight="1">
      <c r="B219" s="71"/>
      <c r="D219" s="72"/>
      <c r="K219" s="73"/>
      <c r="P219" s="37" t="s">
        <v>29</v>
      </c>
      <c r="Q219" s="64"/>
      <c r="R219" s="64"/>
      <c r="S219" s="64"/>
      <c r="T219" s="64"/>
      <c r="U219" s="64"/>
      <c r="V219" s="64"/>
      <c r="W219" s="64"/>
      <c r="X219" s="64"/>
      <c r="Y219" s="64"/>
      <c r="Z219" s="64"/>
      <c r="AA219" s="64"/>
      <c r="AJ219" s="37" t="s">
        <v>29</v>
      </c>
      <c r="AK219" s="37" t="s">
        <v>29</v>
      </c>
      <c r="AL219" s="37" t="s">
        <v>29</v>
      </c>
      <c r="AM219" s="37" t="s">
        <v>29</v>
      </c>
      <c r="AN219" s="37" t="s">
        <v>29</v>
      </c>
      <c r="AO219" s="37" t="s">
        <v>29</v>
      </c>
      <c r="AP219" s="37" t="s">
        <v>29</v>
      </c>
      <c r="AQ219" s="37" t="s">
        <v>29</v>
      </c>
      <c r="AR219" s="37" t="s">
        <v>29</v>
      </c>
      <c r="AS219" s="37" t="s">
        <v>29</v>
      </c>
      <c r="AT219" s="37" t="s">
        <v>29</v>
      </c>
      <c r="AU219" s="37" t="s">
        <v>29</v>
      </c>
      <c r="AV219" s="37" t="s">
        <v>29</v>
      </c>
      <c r="AW219" s="37" t="s">
        <v>29</v>
      </c>
      <c r="AX219" s="37" t="s">
        <v>29</v>
      </c>
      <c r="AY219" s="37" t="s">
        <v>29</v>
      </c>
      <c r="AZ219" s="37" t="s">
        <v>29</v>
      </c>
      <c r="BG219" s="37" t="str">
        <f t="array" ref="BG219">IF($A219="","", INDEX(CS!$B$1:$B$15025,MATCH($A219,CS!$B:$B,0)+COLUMN(A$1),1))</f>
        <v/>
      </c>
      <c r="BH219" s="37" t="str">
        <f t="array" ref="BH219">IF($A219="","", INDEX(CS!$B$1:$B$15025,MATCH($A219,CS!$B:$B,0)+COLUMN(B$1),1))</f>
        <v/>
      </c>
      <c r="BI219" s="37" t="str">
        <f t="array" ref="BI219">IF($A219="","", INDEX(CS!$B$1:$B$15025,MATCH($A219,CS!$B:$B,0)+COLUMN(C$1),1))</f>
        <v/>
      </c>
      <c r="BJ219" s="37" t="str">
        <f t="array" ref="BJ219">IF($A219="","", INDEX(CS!$B$1:$B$15025,MATCH($A219,CS!$B:$B,0)+COLUMN(D$1),1))</f>
        <v/>
      </c>
      <c r="BK219" s="37" t="str">
        <f t="array" ref="BK219">IF($A219="","", INDEX(CS!$B$1:$B$15025,MATCH($A219,CS!$B:$B,0)+COLUMN(E$1),1))</f>
        <v/>
      </c>
      <c r="BL219" s="37" t="str">
        <f t="array" ref="BL219">IF($A219="","", INDEX(CS!$B$1:$B$15025,MATCH($A219,CS!$B:$B,0)+COLUMN(F$1),1))</f>
        <v/>
      </c>
      <c r="BM219" s="37" t="str">
        <f t="array" ref="BM219">IF($A219="","", INDEX(CS!$B$1:$B$15025,MATCH($A219,CS!$B:$B,0)+COLUMN(G$1),1))</f>
        <v/>
      </c>
      <c r="BN219" s="37" t="str">
        <f t="array" ref="BN219">IF($A219="","", INDEX(CS!$B$1:$B$15025,MATCH($A219,CS!$B:$B,0)+COLUMN(H$1),1))</f>
        <v/>
      </c>
      <c r="BO219" s="37" t="str">
        <f t="array" ref="BO219">IF($A219="","", INDEX(CS!$B$1:$B$15025,MATCH($A219,CS!$B:$B,0)+COLUMN(I$1),1))</f>
        <v/>
      </c>
      <c r="BP219" s="37" t="str">
        <f t="array" ref="BP219">IF($A219="","", INDEX(CS!$B$1:$B$15025,MATCH($A219,CS!$B:$B,0)+COLUMN(J$1),1))</f>
        <v/>
      </c>
      <c r="BS219" s="74"/>
      <c r="CI219" s="37" t="s">
        <v>2826</v>
      </c>
      <c r="CJ219" s="37" t="s">
        <v>2807</v>
      </c>
      <c r="CK219" s="37" t="s">
        <v>2800</v>
      </c>
    </row>
    <row r="220" ht="18.75" customHeight="1">
      <c r="B220" s="85" t="s">
        <v>2891</v>
      </c>
      <c r="D220" s="72" t="str">
        <f t="shared" ref="D220:D230" si="11">SUM(AJ220:AZ220,F220:N220)&amp;"/"&amp;SUM(F220:N220)&amp;"/"&amp;SUM(AJ220:AZ220)</f>
        <v>0/0/0</v>
      </c>
      <c r="E220" s="37">
        <v>1.0</v>
      </c>
      <c r="K220" s="73"/>
      <c r="P220" s="37" t="s">
        <v>29</v>
      </c>
      <c r="Q220" s="64"/>
      <c r="R220" s="64"/>
      <c r="S220" s="64"/>
      <c r="T220" s="64"/>
      <c r="U220" s="64"/>
      <c r="V220" s="64"/>
      <c r="W220" s="64"/>
      <c r="X220" s="64"/>
      <c r="Y220" s="64"/>
      <c r="Z220" s="64"/>
      <c r="AA220" s="64"/>
      <c r="AJ220" s="37" t="s">
        <v>29</v>
      </c>
      <c r="AK220" s="37" t="s">
        <v>29</v>
      </c>
      <c r="AL220" s="37" t="s">
        <v>29</v>
      </c>
      <c r="AM220" s="37" t="s">
        <v>29</v>
      </c>
      <c r="AN220" s="37" t="s">
        <v>29</v>
      </c>
      <c r="AO220" s="37" t="s">
        <v>29</v>
      </c>
      <c r="AP220" s="37" t="s">
        <v>29</v>
      </c>
      <c r="AQ220" s="37" t="s">
        <v>29</v>
      </c>
      <c r="AR220" s="37" t="s">
        <v>29</v>
      </c>
      <c r="AS220" s="37" t="s">
        <v>29</v>
      </c>
      <c r="AT220" s="37" t="s">
        <v>29</v>
      </c>
      <c r="AU220" s="37" t="s">
        <v>29</v>
      </c>
      <c r="AV220" s="37" t="s">
        <v>29</v>
      </c>
      <c r="AW220" s="37" t="s">
        <v>29</v>
      </c>
      <c r="AX220" s="37" t="s">
        <v>29</v>
      </c>
      <c r="AY220" s="37" t="s">
        <v>29</v>
      </c>
      <c r="AZ220" s="37" t="s">
        <v>29</v>
      </c>
      <c r="BG220" s="37" t="str">
        <f t="array" ref="BG220">IF($A220="","", INDEX(CS!$B$1:$B$15025,MATCH($A220,CS!$B:$B,0)+COLUMN(A$1),1))</f>
        <v/>
      </c>
      <c r="BH220" s="37" t="str">
        <f t="array" ref="BH220">IF($A220="","", INDEX(CS!$B$1:$B$15025,MATCH($A220,CS!$B:$B,0)+COLUMN(B$1),1))</f>
        <v/>
      </c>
      <c r="BI220" s="37" t="str">
        <f t="array" ref="BI220">IF($A220="","", INDEX(CS!$B$1:$B$15025,MATCH($A220,CS!$B:$B,0)+COLUMN(C$1),1))</f>
        <v/>
      </c>
      <c r="BJ220" s="37" t="str">
        <f t="array" ref="BJ220">IF($A220="","", INDEX(CS!$B$1:$B$15025,MATCH($A220,CS!$B:$B,0)+COLUMN(D$1),1))</f>
        <v/>
      </c>
      <c r="BK220" s="37" t="str">
        <f t="array" ref="BK220">IF($A220="","", INDEX(CS!$B$1:$B$15025,MATCH($A220,CS!$B:$B,0)+COLUMN(E$1),1))</f>
        <v/>
      </c>
      <c r="BL220" s="37" t="str">
        <f t="array" ref="BL220">IF($A220="","", INDEX(CS!$B$1:$B$15025,MATCH($A220,CS!$B:$B,0)+COLUMN(F$1),1))</f>
        <v/>
      </c>
      <c r="BM220" s="37" t="str">
        <f t="array" ref="BM220">IF($A220="","", INDEX(CS!$B$1:$B$15025,MATCH($A220,CS!$B:$B,0)+COLUMN(G$1),1))</f>
        <v/>
      </c>
      <c r="BN220" s="37" t="str">
        <f t="array" ref="BN220">IF($A220="","", INDEX(CS!$B$1:$B$15025,MATCH($A220,CS!$B:$B,0)+COLUMN(H$1),1))</f>
        <v/>
      </c>
      <c r="BO220" s="37" t="str">
        <f t="array" ref="BO220">IF($A220="","", INDEX(CS!$B$1:$B$15025,MATCH($A220,CS!$B:$B,0)+COLUMN(I$1),1))</f>
        <v/>
      </c>
      <c r="BP220" s="37" t="str">
        <f t="array" ref="BP220">IF($A220="","", INDEX(CS!$B$1:$B$15025,MATCH($A220,CS!$B:$B,0)+COLUMN(J$1),1))</f>
        <v/>
      </c>
      <c r="BS220" s="74"/>
    </row>
    <row r="221" ht="18.75" customHeight="1" outlineLevel="1">
      <c r="A221" s="39" t="s">
        <v>2264</v>
      </c>
      <c r="B221" s="89"/>
      <c r="C221" s="39" t="s">
        <v>2797</v>
      </c>
      <c r="D221" s="72" t="str">
        <f t="shared" si="11"/>
        <v>725/485/240</v>
      </c>
      <c r="E221" s="39">
        <v>2.0</v>
      </c>
      <c r="F221" s="39">
        <v>90.0</v>
      </c>
      <c r="I221" s="39">
        <v>85.0</v>
      </c>
      <c r="J221" s="39">
        <v>75.0</v>
      </c>
      <c r="K221" s="87">
        <v>25.0</v>
      </c>
      <c r="L221" s="39">
        <v>50.0</v>
      </c>
      <c r="M221" s="39">
        <v>80.0</v>
      </c>
      <c r="N221" s="39">
        <v>80.0</v>
      </c>
      <c r="P221" s="37">
        <v>0.0</v>
      </c>
      <c r="Q221" s="64"/>
      <c r="R221" s="64"/>
      <c r="S221" s="64"/>
      <c r="T221" s="64"/>
      <c r="U221" s="64"/>
      <c r="V221" s="64"/>
      <c r="W221" s="64"/>
      <c r="X221" s="64"/>
      <c r="Y221" s="64"/>
      <c r="Z221" s="64"/>
      <c r="AA221" s="64"/>
      <c r="AJ221" s="37">
        <v>0.0</v>
      </c>
      <c r="AK221" s="37">
        <v>0.0</v>
      </c>
      <c r="AL221" s="37">
        <v>0.0</v>
      </c>
      <c r="AM221" s="37">
        <v>50.0</v>
      </c>
      <c r="AN221" s="37">
        <v>35.0</v>
      </c>
      <c r="AO221" s="37">
        <v>0.0</v>
      </c>
      <c r="AP221" s="37">
        <v>0.0</v>
      </c>
      <c r="AQ221" s="37">
        <v>65.0</v>
      </c>
      <c r="AR221" s="37">
        <v>90.0</v>
      </c>
      <c r="AS221" s="37">
        <v>0.0</v>
      </c>
      <c r="AT221" s="37">
        <v>0.0</v>
      </c>
      <c r="AU221" s="37">
        <v>0.0</v>
      </c>
      <c r="AV221" s="37">
        <v>0.0</v>
      </c>
      <c r="AW221" s="37">
        <v>0.0</v>
      </c>
      <c r="AX221" s="37">
        <v>0.0</v>
      </c>
      <c r="AY221" s="37">
        <v>0.0</v>
      </c>
      <c r="AZ221" s="37">
        <v>0.0</v>
      </c>
      <c r="BG221" s="37" t="str">
        <f t="array" ref="BG221">IF($A221="","",IFERROR(INDEX(CS!$B$1:$B$15025,MATCH($A221,CS!$B:$B,0)+COLUMN(A$1),1),""))</f>
        <v>精密射撃</v>
      </c>
      <c r="BH221" s="37" t="str">
        <f t="array" ref="BH221">IF($A221="","",IFERROR(INDEX(CS!$B$1:$B$15025,MATCH($A221,CS!$B:$B,0)+COLUMN(B$1),1),""))</f>
        <v>速射</v>
      </c>
      <c r="BI221" s="37" t="str">
        <f t="array" ref="BI221">IF($A221="","",IFERROR(INDEX(CS!$B$1:$B$15025,MATCH($A221,CS!$B:$B,0)+COLUMN(C$1),1),""))</f>
        <v>射撃姿勢</v>
      </c>
      <c r="BJ221" s="37" t="str">
        <f t="array" ref="BJ221">IF($A221="","",IFERROR(INDEX(CS!$B$1:$B$15025,MATCH($A221,CS!$B:$B,0)+COLUMN(D$1),1),""))</f>
        <v/>
      </c>
      <c r="BK221" s="37" t="str">
        <f t="array" ref="BK221">IF($A221="","",IFERROR(INDEX(CS!$B$1:$B$15025,MATCH($A221,CS!$B:$B,0)+COLUMN(E$1),1),""))</f>
        <v>貫通射撃</v>
      </c>
      <c r="BL221" s="37" t="str">
        <f t="array" ref="BL221">IF($A221="","",IFERROR(INDEX(CS!$B$1:$B$15025,MATCH($A221,CS!$B:$B,0)+COLUMN(F$1),1),""))</f>
        <v/>
      </c>
      <c r="BM221" s="37" t="str">
        <f t="array" ref="BM221">IF($A221="","",IFERROR(INDEX(CS!$B$1:$B$15025,MATCH($A221,CS!$B:$B,0)+COLUMN(G$1),1),""))</f>
        <v>制圧射撃</v>
      </c>
      <c r="BN221" s="37" t="str">
        <f t="array" ref="BN221">IF($A221="","",IFERROR(INDEX(CS!$B$1:$B$15025,MATCH($A221,CS!$B:$B,0)+COLUMN(H$1),1),""))</f>
        <v/>
      </c>
      <c r="BO221" s="37" t="str">
        <f t="array" ref="BO221">IF($A221="","",IFERROR(INDEX(CS!$B$1:$B$15025,MATCH($A221,CS!$B:$B,0)+COLUMN(I$1),1),""))</f>
        <v>狙撃</v>
      </c>
      <c r="BP221" s="37" t="str">
        <f t="array" ref="BP221">IF($A221="","",IFERROR(INDEX(CS!$B$1:$B$15025,MATCH($A221,CS!$B:$B,0)+COLUMN(J$1),1),""))</f>
        <v>射撃の極み</v>
      </c>
      <c r="BR221" s="39" t="s">
        <v>2892</v>
      </c>
      <c r="BS221" s="74"/>
      <c r="BU221" s="39" t="s">
        <v>2893</v>
      </c>
      <c r="CG221" s="37" t="s">
        <v>2813</v>
      </c>
      <c r="CJ221" s="37" t="s">
        <v>2807</v>
      </c>
      <c r="CK221" s="37" t="s">
        <v>2800</v>
      </c>
      <c r="CN221" s="37" t="s">
        <v>2812</v>
      </c>
    </row>
    <row r="222" ht="18.75" customHeight="1" outlineLevel="1">
      <c r="A222" s="39" t="s">
        <v>2279</v>
      </c>
      <c r="B222" s="89"/>
      <c r="C222" s="39" t="s">
        <v>2797</v>
      </c>
      <c r="D222" s="72" t="str">
        <f t="shared" si="11"/>
        <v>740/500/240</v>
      </c>
      <c r="E222" s="39">
        <v>3.0</v>
      </c>
      <c r="F222" s="39">
        <v>90.0</v>
      </c>
      <c r="I222" s="39">
        <v>90.0</v>
      </c>
      <c r="J222" s="39">
        <v>75.0</v>
      </c>
      <c r="K222" s="87">
        <v>25.0</v>
      </c>
      <c r="L222" s="39">
        <v>50.0</v>
      </c>
      <c r="M222" s="39">
        <v>85.0</v>
      </c>
      <c r="N222" s="39">
        <v>85.0</v>
      </c>
      <c r="P222" s="37">
        <v>0.0</v>
      </c>
      <c r="Q222" s="64"/>
      <c r="R222" s="64"/>
      <c r="S222" s="64"/>
      <c r="T222" s="64"/>
      <c r="U222" s="64"/>
      <c r="V222" s="64"/>
      <c r="W222" s="64"/>
      <c r="X222" s="64"/>
      <c r="Y222" s="64"/>
      <c r="Z222" s="64"/>
      <c r="AA222" s="64"/>
      <c r="AJ222" s="37">
        <v>0.0</v>
      </c>
      <c r="AK222" s="37">
        <v>0.0</v>
      </c>
      <c r="AL222" s="37">
        <v>0.0</v>
      </c>
      <c r="AM222" s="37">
        <v>50.0</v>
      </c>
      <c r="AN222" s="37">
        <v>35.0</v>
      </c>
      <c r="AO222" s="37">
        <v>0.0</v>
      </c>
      <c r="AP222" s="37">
        <v>0.0</v>
      </c>
      <c r="AQ222" s="37">
        <v>65.0</v>
      </c>
      <c r="AR222" s="37">
        <v>90.0</v>
      </c>
      <c r="AS222" s="37">
        <v>0.0</v>
      </c>
      <c r="AT222" s="37">
        <v>0.0</v>
      </c>
      <c r="AU222" s="37">
        <v>0.0</v>
      </c>
      <c r="AV222" s="37">
        <v>0.0</v>
      </c>
      <c r="AW222" s="37">
        <v>0.0</v>
      </c>
      <c r="AX222" s="37">
        <v>0.0</v>
      </c>
      <c r="AY222" s="37">
        <v>0.0</v>
      </c>
      <c r="AZ222" s="37">
        <v>0.0</v>
      </c>
      <c r="BG222" s="37" t="str">
        <f t="array" ref="BG222">IF($A222="","",IFERROR(INDEX(CS!$B$1:$B$15025,MATCH($A222,CS!$B:$B,0)+COLUMN(A$1),1),""))</f>
        <v>強射</v>
      </c>
      <c r="BH222" s="37" t="str">
        <f t="array" ref="BH222">IF($A222="","",IFERROR(INDEX(CS!$B$1:$B$15025,MATCH($A222,CS!$B:$B,0)+COLUMN(B$1),1),""))</f>
        <v/>
      </c>
      <c r="BI222" s="37" t="str">
        <f t="array" ref="BI222">IF($A222="","",IFERROR(INDEX(CS!$B$1:$B$15025,MATCH($A222,CS!$B:$B,0)+COLUMN(C$1),1),""))</f>
        <v>弓術</v>
      </c>
      <c r="BJ222" s="37" t="str">
        <f t="array" ref="BJ222">IF($A222="","",IFERROR(INDEX(CS!$B$1:$B$15025,MATCH($A222,CS!$B:$B,0)+COLUMN(D$1),1),""))</f>
        <v/>
      </c>
      <c r="BK222" s="37" t="str">
        <f t="array" ref="BK222">IF($A222="","",IFERROR(INDEX(CS!$B$1:$B$15025,MATCH($A222,CS!$B:$B,0)+COLUMN(E$1),1),""))</f>
        <v>連射</v>
      </c>
      <c r="BL222" s="37" t="str">
        <f t="array" ref="BL222">IF($A222="","",IFERROR(INDEX(CS!$B$1:$B$15025,MATCH($A222,CS!$B:$B,0)+COLUMN(F$1),1),""))</f>
        <v/>
      </c>
      <c r="BM222" s="37" t="str">
        <f t="array" ref="BM222">IF($A222="","",IFERROR(INDEX(CS!$B$1:$B$15025,MATCH($A222,CS!$B:$B,0)+COLUMN(G$1),1),""))</f>
        <v>遠射</v>
      </c>
      <c r="BN222" s="37" t="str">
        <f t="array" ref="BN222">IF($A222="","",IFERROR(INDEX(CS!$B$1:$B$15025,MATCH($A222,CS!$B:$B,0)+COLUMN(H$1),1),""))</f>
        <v/>
      </c>
      <c r="BO222" s="37" t="str">
        <f t="array" ref="BO222">IF($A222="","",IFERROR(INDEX(CS!$B$1:$B$15025,MATCH($A222,CS!$B:$B,0)+COLUMN(I$1),1),""))</f>
        <v>射撃の極意</v>
      </c>
      <c r="BP222" s="37" t="str">
        <f t="array" ref="BP222">IF($A222="","",IFERROR(INDEX(CS!$B$1:$B$15025,MATCH($A222,CS!$B:$B,0)+COLUMN(J$1),1),""))</f>
        <v>神射</v>
      </c>
      <c r="BR222" s="39" t="s">
        <v>2894</v>
      </c>
      <c r="BS222" s="74"/>
      <c r="BU222" s="39" t="s">
        <v>2893</v>
      </c>
      <c r="CG222" s="37" t="s">
        <v>2813</v>
      </c>
      <c r="CJ222" s="37" t="s">
        <v>2807</v>
      </c>
      <c r="CK222" s="37" t="s">
        <v>2800</v>
      </c>
      <c r="CN222" s="37" t="s">
        <v>2812</v>
      </c>
    </row>
    <row r="223" ht="18.75" customHeight="1" outlineLevel="1">
      <c r="A223" s="39" t="s">
        <v>2291</v>
      </c>
      <c r="B223" s="89" t="s">
        <v>29</v>
      </c>
      <c r="C223" s="39" t="s">
        <v>2797</v>
      </c>
      <c r="D223" s="72" t="str">
        <f t="shared" si="11"/>
        <v>735/485/250</v>
      </c>
      <c r="E223" s="39">
        <v>2.0</v>
      </c>
      <c r="F223" s="39">
        <v>90.0</v>
      </c>
      <c r="I223" s="39">
        <v>85.0</v>
      </c>
      <c r="J223" s="39">
        <v>75.0</v>
      </c>
      <c r="K223" s="87">
        <v>25.0</v>
      </c>
      <c r="L223" s="39">
        <v>50.0</v>
      </c>
      <c r="M223" s="39">
        <v>80.0</v>
      </c>
      <c r="N223" s="39">
        <v>80.0</v>
      </c>
      <c r="P223" s="37">
        <v>0.0</v>
      </c>
      <c r="Q223" s="64"/>
      <c r="R223" s="64"/>
      <c r="S223" s="64"/>
      <c r="T223" s="64"/>
      <c r="U223" s="64"/>
      <c r="V223" s="64"/>
      <c r="W223" s="64"/>
      <c r="X223" s="64"/>
      <c r="Y223" s="64"/>
      <c r="Z223" s="64"/>
      <c r="AA223" s="64"/>
      <c r="AJ223" s="37">
        <v>0.0</v>
      </c>
      <c r="AK223" s="37">
        <v>0.0</v>
      </c>
      <c r="AL223" s="37">
        <v>0.0</v>
      </c>
      <c r="AM223" s="37">
        <v>50.0</v>
      </c>
      <c r="AN223" s="37">
        <v>40.0</v>
      </c>
      <c r="AO223" s="37">
        <v>0.0</v>
      </c>
      <c r="AP223" s="37">
        <v>0.0</v>
      </c>
      <c r="AQ223" s="37">
        <v>65.0</v>
      </c>
      <c r="AR223" s="37">
        <v>95.0</v>
      </c>
      <c r="AS223" s="37">
        <v>0.0</v>
      </c>
      <c r="AT223" s="37">
        <v>0.0</v>
      </c>
      <c r="AU223" s="37">
        <v>0.0</v>
      </c>
      <c r="AV223" s="37">
        <v>0.0</v>
      </c>
      <c r="AW223" s="37">
        <v>0.0</v>
      </c>
      <c r="AX223" s="37">
        <v>0.0</v>
      </c>
      <c r="AY223" s="37">
        <v>0.0</v>
      </c>
      <c r="AZ223" s="37">
        <v>0.0</v>
      </c>
      <c r="BG223" s="39" t="s">
        <v>2292</v>
      </c>
      <c r="BI223" s="39" t="s">
        <v>2295</v>
      </c>
      <c r="BK223" s="39" t="s">
        <v>2298</v>
      </c>
      <c r="BM223" s="39" t="s">
        <v>2301</v>
      </c>
      <c r="BO223" s="39" t="s">
        <v>2304</v>
      </c>
      <c r="BP223" s="39" t="s">
        <v>2307</v>
      </c>
      <c r="BR223" s="39"/>
      <c r="BS223" s="74"/>
      <c r="BU223" s="39"/>
    </row>
    <row r="224" ht="18.75" customHeight="1" outlineLevel="1">
      <c r="A224" s="39" t="s">
        <v>2310</v>
      </c>
      <c r="B224" s="89" t="s">
        <v>29</v>
      </c>
      <c r="C224" s="39" t="s">
        <v>2797</v>
      </c>
      <c r="D224" s="72" t="str">
        <f t="shared" si="11"/>
        <v>735/485/250</v>
      </c>
      <c r="E224" s="39">
        <v>2.0</v>
      </c>
      <c r="F224" s="39">
        <v>90.0</v>
      </c>
      <c r="I224" s="39">
        <v>85.0</v>
      </c>
      <c r="J224" s="39">
        <v>75.0</v>
      </c>
      <c r="K224" s="87">
        <v>25.0</v>
      </c>
      <c r="L224" s="39">
        <v>50.0</v>
      </c>
      <c r="M224" s="39">
        <v>80.0</v>
      </c>
      <c r="N224" s="39">
        <v>80.0</v>
      </c>
      <c r="P224" s="37">
        <v>0.0</v>
      </c>
      <c r="Q224" s="64"/>
      <c r="R224" s="64"/>
      <c r="S224" s="64"/>
      <c r="T224" s="64"/>
      <c r="U224" s="64"/>
      <c r="V224" s="64"/>
      <c r="W224" s="64"/>
      <c r="X224" s="64"/>
      <c r="Y224" s="64"/>
      <c r="Z224" s="64"/>
      <c r="AA224" s="64"/>
      <c r="AJ224" s="37">
        <v>0.0</v>
      </c>
      <c r="AK224" s="37">
        <v>0.0</v>
      </c>
      <c r="AL224" s="37">
        <v>0.0</v>
      </c>
      <c r="AM224" s="37">
        <v>50.0</v>
      </c>
      <c r="AN224" s="37">
        <v>40.0</v>
      </c>
      <c r="AO224" s="37">
        <v>0.0</v>
      </c>
      <c r="AP224" s="37">
        <v>0.0</v>
      </c>
      <c r="AQ224" s="37">
        <v>65.0</v>
      </c>
      <c r="AR224" s="37">
        <v>95.0</v>
      </c>
      <c r="AS224" s="37">
        <v>0.0</v>
      </c>
      <c r="AT224" s="37">
        <v>0.0</v>
      </c>
      <c r="AU224" s="37">
        <v>0.0</v>
      </c>
      <c r="AV224" s="37">
        <v>0.0</v>
      </c>
      <c r="AW224" s="37">
        <v>0.0</v>
      </c>
      <c r="AX224" s="37">
        <v>0.0</v>
      </c>
      <c r="AY224" s="37">
        <v>0.0</v>
      </c>
      <c r="AZ224" s="37">
        <v>0.0</v>
      </c>
      <c r="BG224" s="39" t="s">
        <v>2311</v>
      </c>
      <c r="BI224" s="39" t="s">
        <v>2314</v>
      </c>
      <c r="BK224" s="39" t="s">
        <v>2317</v>
      </c>
      <c r="BM224" s="39" t="s">
        <v>2320</v>
      </c>
      <c r="BO224" s="39" t="s">
        <v>2323</v>
      </c>
      <c r="BP224" s="39" t="s">
        <v>2326</v>
      </c>
      <c r="BR224" s="39"/>
      <c r="BS224" s="74"/>
      <c r="BU224" s="39"/>
    </row>
    <row r="225" ht="18.75" customHeight="1" outlineLevel="1">
      <c r="A225" s="39" t="s">
        <v>2329</v>
      </c>
      <c r="B225" s="89"/>
      <c r="C225" s="39" t="s">
        <v>2797</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炎の武器</v>
      </c>
      <c r="BH225" s="37" t="str">
        <f t="array" ref="BH225">IF($A225="","",IFERROR(INDEX(CS!$B$1:$B$15025,MATCH($A225,CS!$B:$B,0)+COLUMN(B$1),1),""))</f>
        <v/>
      </c>
      <c r="BI225" s="37" t="str">
        <f t="array" ref="BI225">IF($A225="","",IFERROR(INDEX(CS!$B$1:$B$15025,MATCH($A225,CS!$B:$B,0)+COLUMN(C$1),1),""))</f>
        <v>火炎</v>
      </c>
      <c r="BJ225" s="37" t="str">
        <f t="array" ref="BJ225">IF($A225="","",IFERROR(INDEX(CS!$B$1:$B$15025,MATCH($A225,CS!$B:$B,0)+COLUMN(D$1),1),""))</f>
        <v/>
      </c>
      <c r="BK225" s="37" t="str">
        <f t="array" ref="BK225">IF($A225="","",IFERROR(INDEX(CS!$B$1:$B$15025,MATCH($A225,CS!$B:$B,0)+COLUMN(E$1),1),""))</f>
        <v>炎の適用</v>
      </c>
      <c r="BL225" s="37" t="str">
        <f t="array" ref="BL225">IF($A225="","",IFERROR(INDEX(CS!$B$1:$B$15025,MATCH($A225,CS!$B:$B,0)+COLUMN(F$1),1),""))</f>
        <v/>
      </c>
      <c r="BM225" s="37" t="str">
        <f t="array" ref="BM225">IF($A225="","",IFERROR(INDEX(CS!$B$1:$B$15025,MATCH($A225,CS!$B:$B,0)+COLUMN(G$1),1),""))</f>
        <v>火球</v>
      </c>
      <c r="BN225" s="37" t="str">
        <f t="array" ref="BN225">IF($A225="","",IFERROR(INDEX(CS!$B$1:$B$15025,MATCH($A225,CS!$B:$B,0)+COLUMN(H$1),1),""))</f>
        <v/>
      </c>
      <c r="BO225" s="37" t="str">
        <f t="array" ref="BO225">IF($A225="","",IFERROR(INDEX(CS!$B$1:$B$15025,MATCH($A225,CS!$B:$B,0)+COLUMN(I$1),1),""))</f>
        <v>炎強化</v>
      </c>
      <c r="BP225" s="37" t="str">
        <f t="array" ref="BP225">IF($A225="","",IFERROR(INDEX(CS!$B$1:$B$15025,MATCH($A225,CS!$B:$B,0)+COLUMN(J$1),1),""))</f>
        <v>炎貫矢</v>
      </c>
      <c r="BR225" s="39" t="s">
        <v>2895</v>
      </c>
      <c r="BS225" s="74"/>
      <c r="BU225" s="39" t="s">
        <v>2896</v>
      </c>
      <c r="CG225" s="37" t="s">
        <v>2813</v>
      </c>
      <c r="CJ225" s="37" t="s">
        <v>2807</v>
      </c>
      <c r="CK225" s="37" t="s">
        <v>2800</v>
      </c>
      <c r="CN225" s="37" t="s">
        <v>2812</v>
      </c>
    </row>
    <row r="226" ht="18.75" customHeight="1" outlineLevel="1">
      <c r="A226" s="39" t="s">
        <v>2332</v>
      </c>
      <c r="B226" s="89"/>
      <c r="C226" s="39" t="s">
        <v>2797</v>
      </c>
      <c r="D226" s="72" t="str">
        <f t="shared" si="11"/>
        <v>760/490/270</v>
      </c>
      <c r="E226" s="39">
        <v>2.0</v>
      </c>
      <c r="F226" s="39">
        <v>75.0</v>
      </c>
      <c r="I226" s="39">
        <v>65.0</v>
      </c>
      <c r="J226" s="39">
        <v>65.0</v>
      </c>
      <c r="K226" s="87">
        <v>60.0</v>
      </c>
      <c r="L226" s="39">
        <v>75.0</v>
      </c>
      <c r="M226" s="39">
        <v>70.0</v>
      </c>
      <c r="N226" s="39">
        <v>80.0</v>
      </c>
      <c r="P226" s="37">
        <v>0.0</v>
      </c>
      <c r="Q226" s="64"/>
      <c r="R226" s="64"/>
      <c r="S226" s="64"/>
      <c r="T226" s="64"/>
      <c r="U226" s="64"/>
      <c r="V226" s="64"/>
      <c r="W226" s="64"/>
      <c r="X226" s="64"/>
      <c r="Y226" s="64"/>
      <c r="Z226" s="64"/>
      <c r="AA226" s="64"/>
      <c r="AJ226" s="37">
        <v>0.0</v>
      </c>
      <c r="AK226" s="37">
        <v>0.0</v>
      </c>
      <c r="AL226" s="37">
        <v>50.0</v>
      </c>
      <c r="AM226" s="37">
        <v>30.0</v>
      </c>
      <c r="AN226" s="37">
        <v>25.0</v>
      </c>
      <c r="AO226" s="37">
        <v>0.0</v>
      </c>
      <c r="AP226" s="37">
        <v>0.0</v>
      </c>
      <c r="AQ226" s="37">
        <v>35.0</v>
      </c>
      <c r="AR226" s="37">
        <v>50.0</v>
      </c>
      <c r="AS226" s="37">
        <v>0.0</v>
      </c>
      <c r="AT226" s="37">
        <v>0.0</v>
      </c>
      <c r="AU226" s="37">
        <v>0.0</v>
      </c>
      <c r="AV226" s="37">
        <v>0.0</v>
      </c>
      <c r="AW226" s="37">
        <v>25.0</v>
      </c>
      <c r="AX226" s="37">
        <v>0.0</v>
      </c>
      <c r="AY226" s="37">
        <v>55.0</v>
      </c>
      <c r="AZ226" s="37">
        <v>0.0</v>
      </c>
      <c r="BG226" s="37" t="str">
        <f t="array" ref="BG226">IF($A226="","",IFERROR(INDEX(CS!$B$1:$B$15025,MATCH($A226,CS!$B:$B,0)+COLUMN(A$1),1),""))</f>
        <v>氷の武器</v>
      </c>
      <c r="BH226" s="37" t="str">
        <f t="array" ref="BH226">IF($A226="","",IFERROR(INDEX(CS!$B$1:$B$15025,MATCH($A226,CS!$B:$B,0)+COLUMN(B$1),1),""))</f>
        <v/>
      </c>
      <c r="BI226" s="37" t="str">
        <f t="array" ref="BI226">IF($A226="","",IFERROR(INDEX(CS!$B$1:$B$15025,MATCH($A226,CS!$B:$B,0)+COLUMN(C$1),1),""))</f>
        <v>冷気の光線</v>
      </c>
      <c r="BJ226" s="37" t="str">
        <f t="array" ref="BJ226">IF($A226="","",IFERROR(INDEX(CS!$B$1:$B$15025,MATCH($A226,CS!$B:$B,0)+COLUMN(D$1),1),""))</f>
        <v/>
      </c>
      <c r="BK226" s="37" t="str">
        <f t="array" ref="BK226">IF($A226="","",IFERROR(INDEX(CS!$B$1:$B$15025,MATCH($A226,CS!$B:$B,0)+COLUMN(E$1),1),""))</f>
        <v>氷の適用</v>
      </c>
      <c r="BL226" s="37" t="str">
        <f t="array" ref="BL226">IF($A226="","",IFERROR(INDEX(CS!$B$1:$B$15025,MATCH($A226,CS!$B:$B,0)+COLUMN(F$1),1),""))</f>
        <v/>
      </c>
      <c r="BM226" s="37" t="str">
        <f t="array" ref="BM226">IF($A226="","",IFERROR(INDEX(CS!$B$1:$B$15025,MATCH($A226,CS!$B:$B,0)+COLUMN(G$1),1),""))</f>
        <v>氷柱弾</v>
      </c>
      <c r="BN226" s="37" t="str">
        <f t="array" ref="BN226">IF($A226="","",IFERROR(INDEX(CS!$B$1:$B$15025,MATCH($A226,CS!$B:$B,0)+COLUMN(H$1),1),""))</f>
        <v/>
      </c>
      <c r="BO226" s="37" t="str">
        <f t="array" ref="BO226">IF($A226="","",IFERROR(INDEX(CS!$B$1:$B$15025,MATCH($A226,CS!$B:$B,0)+COLUMN(I$1),1),""))</f>
        <v>氷強化</v>
      </c>
      <c r="BP226" s="37" t="str">
        <f t="array" ref="BP226">IF($A226="","",IFERROR(INDEX(CS!$B$1:$B$15025,MATCH($A226,CS!$B:$B,0)+COLUMN(J$1),1),""))</f>
        <v>氷縛矢</v>
      </c>
      <c r="BR226" s="39" t="s">
        <v>2895</v>
      </c>
      <c r="BS226" s="74"/>
      <c r="BU226" s="39" t="s">
        <v>2896</v>
      </c>
      <c r="CG226" s="37" t="s">
        <v>2813</v>
      </c>
      <c r="CJ226" s="37" t="s">
        <v>2807</v>
      </c>
      <c r="CK226" s="37" t="s">
        <v>2800</v>
      </c>
      <c r="CN226" s="37" t="s">
        <v>2812</v>
      </c>
    </row>
    <row r="227" ht="18.75" customHeight="1" outlineLevel="1">
      <c r="A227" s="39" t="s">
        <v>2335</v>
      </c>
      <c r="B227" s="89"/>
      <c r="C227" s="39" t="s">
        <v>2797</v>
      </c>
      <c r="D227" s="72" t="str">
        <f t="shared" si="11"/>
        <v>760/490/270</v>
      </c>
      <c r="E227" s="39">
        <v>2.0</v>
      </c>
      <c r="F227" s="39">
        <v>75.0</v>
      </c>
      <c r="I227" s="39">
        <v>65.0</v>
      </c>
      <c r="J227" s="39">
        <v>65.0</v>
      </c>
      <c r="K227" s="87">
        <v>60.0</v>
      </c>
      <c r="L227" s="39">
        <v>75.0</v>
      </c>
      <c r="M227" s="39">
        <v>70.0</v>
      </c>
      <c r="N227" s="39">
        <v>80.0</v>
      </c>
      <c r="P227" s="37">
        <v>0.0</v>
      </c>
      <c r="Q227" s="64"/>
      <c r="R227" s="64"/>
      <c r="S227" s="64"/>
      <c r="T227" s="64"/>
      <c r="U227" s="64"/>
      <c r="V227" s="64"/>
      <c r="W227" s="64"/>
      <c r="X227" s="64"/>
      <c r="Y227" s="64"/>
      <c r="Z227" s="64"/>
      <c r="AA227" s="64"/>
      <c r="AJ227" s="37">
        <v>0.0</v>
      </c>
      <c r="AK227" s="37">
        <v>0.0</v>
      </c>
      <c r="AL227" s="37">
        <v>50.0</v>
      </c>
      <c r="AM227" s="37">
        <v>30.0</v>
      </c>
      <c r="AN227" s="37">
        <v>25.0</v>
      </c>
      <c r="AO227" s="37">
        <v>0.0</v>
      </c>
      <c r="AP227" s="37">
        <v>0.0</v>
      </c>
      <c r="AQ227" s="37">
        <v>35.0</v>
      </c>
      <c r="AR227" s="37">
        <v>50.0</v>
      </c>
      <c r="AS227" s="37">
        <v>0.0</v>
      </c>
      <c r="AT227" s="37">
        <v>0.0</v>
      </c>
      <c r="AU227" s="37">
        <v>0.0</v>
      </c>
      <c r="AV227" s="37">
        <v>0.0</v>
      </c>
      <c r="AW227" s="37">
        <v>25.0</v>
      </c>
      <c r="AX227" s="37">
        <v>0.0</v>
      </c>
      <c r="AY227" s="37">
        <v>55.0</v>
      </c>
      <c r="AZ227" s="37">
        <v>0.0</v>
      </c>
      <c r="BG227" s="37" t="str">
        <f t="array" ref="BG227">IF($A227="","",IFERROR(INDEX(CS!$B$1:$B$15025,MATCH($A227,CS!$B:$B,0)+COLUMN(A$1),1),""))</f>
        <v>雷の武器</v>
      </c>
      <c r="BH227" s="37" t="str">
        <f t="array" ref="BH227">IF($A227="","",IFERROR(INDEX(CS!$B$1:$B$15025,MATCH($A227,CS!$B:$B,0)+COLUMN(B$1),1),""))</f>
        <v/>
      </c>
      <c r="BI227" s="37" t="str">
        <f t="array" ref="BI227">IF($A227="","",IFERROR(INDEX(CS!$B$1:$B$15025,MATCH($A227,CS!$B:$B,0)+COLUMN(C$1),1),""))</f>
        <v>放電</v>
      </c>
      <c r="BJ227" s="37" t="str">
        <f t="array" ref="BJ227">IF($A227="","",IFERROR(INDEX(CS!$B$1:$B$15025,MATCH($A227,CS!$B:$B,0)+COLUMN(D$1),1),""))</f>
        <v/>
      </c>
      <c r="BK227" s="37" t="str">
        <f t="array" ref="BK227">IF($A227="","",IFERROR(INDEX(CS!$B$1:$B$15025,MATCH($A227,CS!$B:$B,0)+COLUMN(E$1),1),""))</f>
        <v>雷の適用</v>
      </c>
      <c r="BL227" s="37" t="str">
        <f t="array" ref="BL227">IF($A227="","",IFERROR(INDEX(CS!$B$1:$B$15025,MATCH($A227,CS!$B:$B,0)+COLUMN(F$1),1),""))</f>
        <v/>
      </c>
      <c r="BM227" s="37" t="str">
        <f t="array" ref="BM227">IF($A227="","",IFERROR(INDEX(CS!$B$1:$B$15025,MATCH($A227,CS!$B:$B,0)+COLUMN(G$1),1),""))</f>
        <v>電弧放電</v>
      </c>
      <c r="BN227" s="37" t="str">
        <f t="array" ref="BN227">IF($A227="","",IFERROR(INDEX(CS!$B$1:$B$15025,MATCH($A227,CS!$B:$B,0)+COLUMN(H$1),1),""))</f>
        <v/>
      </c>
      <c r="BO227" s="37" t="str">
        <f t="array" ref="BO227">IF($A227="","",IFERROR(INDEX(CS!$B$1:$B$15025,MATCH($A227,CS!$B:$B,0)+COLUMN(I$1),1),""))</f>
        <v>雷強化</v>
      </c>
      <c r="BP227" s="37" t="str">
        <f t="array" ref="BP227">IF($A227="","",IFERROR(INDEX(CS!$B$1:$B$15025,MATCH($A227,CS!$B:$B,0)+COLUMN(J$1),1),""))</f>
        <v>雷鳴矢</v>
      </c>
      <c r="BR227" s="39" t="s">
        <v>2895</v>
      </c>
      <c r="BS227" s="74"/>
      <c r="BU227" s="39" t="s">
        <v>2896</v>
      </c>
      <c r="CG227" s="37" t="s">
        <v>2813</v>
      </c>
      <c r="CJ227" s="37" t="s">
        <v>2807</v>
      </c>
      <c r="CK227" s="37" t="s">
        <v>2800</v>
      </c>
      <c r="CN227" s="37" t="s">
        <v>2812</v>
      </c>
    </row>
    <row r="228" ht="18.75" customHeight="1" outlineLevel="1">
      <c r="A228" s="39" t="s">
        <v>2338</v>
      </c>
      <c r="B228" s="89"/>
      <c r="C228" s="39" t="s">
        <v>2797</v>
      </c>
      <c r="D228" s="72" t="str">
        <f t="shared" si="11"/>
        <v>760/490/270</v>
      </c>
      <c r="E228" s="39">
        <v>2.0</v>
      </c>
      <c r="F228" s="39">
        <v>75.0</v>
      </c>
      <c r="I228" s="39">
        <v>65.0</v>
      </c>
      <c r="J228" s="39">
        <v>65.0</v>
      </c>
      <c r="K228" s="87">
        <v>60.0</v>
      </c>
      <c r="L228" s="39">
        <v>75.0</v>
      </c>
      <c r="M228" s="39">
        <v>70.0</v>
      </c>
      <c r="N228" s="39">
        <v>80.0</v>
      </c>
      <c r="P228" s="37">
        <v>0.0</v>
      </c>
      <c r="Q228" s="64"/>
      <c r="R228" s="64"/>
      <c r="S228" s="64"/>
      <c r="T228" s="64"/>
      <c r="U228" s="64"/>
      <c r="V228" s="64"/>
      <c r="W228" s="64"/>
      <c r="X228" s="64"/>
      <c r="Y228" s="64"/>
      <c r="Z228" s="64"/>
      <c r="AA228" s="64"/>
      <c r="AJ228" s="37">
        <v>0.0</v>
      </c>
      <c r="AK228" s="37">
        <v>0.0</v>
      </c>
      <c r="AL228" s="37">
        <v>50.0</v>
      </c>
      <c r="AM228" s="37">
        <v>30.0</v>
      </c>
      <c r="AN228" s="37">
        <v>25.0</v>
      </c>
      <c r="AO228" s="37">
        <v>0.0</v>
      </c>
      <c r="AP228" s="37">
        <v>0.0</v>
      </c>
      <c r="AQ228" s="37">
        <v>35.0</v>
      </c>
      <c r="AR228" s="37">
        <v>50.0</v>
      </c>
      <c r="AS228" s="37">
        <v>0.0</v>
      </c>
      <c r="AT228" s="37">
        <v>0.0</v>
      </c>
      <c r="AU228" s="37">
        <v>0.0</v>
      </c>
      <c r="AV228" s="37">
        <v>0.0</v>
      </c>
      <c r="AW228" s="37">
        <v>25.0</v>
      </c>
      <c r="AX228" s="37">
        <v>0.0</v>
      </c>
      <c r="AY228" s="37">
        <v>55.0</v>
      </c>
      <c r="AZ228" s="37">
        <v>0.0</v>
      </c>
      <c r="BG228" s="37" t="str">
        <f t="array" ref="BG228">IF($A228="","",IFERROR(INDEX(CS!$B$1:$B$15025,MATCH($A228,CS!$B:$B,0)+COLUMN(A$1),1),""))</f>
        <v>酸の武器</v>
      </c>
      <c r="BH228" s="37" t="str">
        <f t="array" ref="BH228">IF($A228="","",IFERROR(INDEX(CS!$B$1:$B$15025,MATCH($A228,CS!$B:$B,0)+COLUMN(B$1),1),""))</f>
        <v/>
      </c>
      <c r="BI228" s="37" t="str">
        <f t="array" ref="BI228">IF($A228="","",IFERROR(INDEX(CS!$B$1:$B$15025,MATCH($A228,CS!$B:$B,0)+COLUMN(C$1),1),""))</f>
        <v>酸滴</v>
      </c>
      <c r="BJ228" s="37" t="str">
        <f t="array" ref="BJ228">IF($A228="","",IFERROR(INDEX(CS!$B$1:$B$15025,MATCH($A228,CS!$B:$B,0)+COLUMN(D$1),1),""))</f>
        <v/>
      </c>
      <c r="BK228" s="37" t="str">
        <f t="array" ref="BK228">IF($A228="","",IFERROR(INDEX(CS!$B$1:$B$15025,MATCH($A228,CS!$B:$B,0)+COLUMN(E$1),1),""))</f>
        <v>毒の適用</v>
      </c>
      <c r="BL228" s="37" t="str">
        <f t="array" ref="BL228">IF($A228="","",IFERROR(INDEX(CS!$B$1:$B$15025,MATCH($A228,CS!$B:$B,0)+COLUMN(F$1),1),""))</f>
        <v/>
      </c>
      <c r="BM228" s="37" t="str">
        <f t="array" ref="BM228">IF($A228="","",IFERROR(INDEX(CS!$B$1:$B$15025,MATCH($A228,CS!$B:$B,0)+COLUMN(G$1),1),""))</f>
        <v>酸の落流</v>
      </c>
      <c r="BN228" s="37" t="str">
        <f t="array" ref="BN228">IF($A228="","",IFERROR(INDEX(CS!$B$1:$B$15025,MATCH($A228,CS!$B:$B,0)+COLUMN(H$1),1),""))</f>
        <v/>
      </c>
      <c r="BO228" s="37" t="str">
        <f t="array" ref="BO228">IF($A228="","",IFERROR(INDEX(CS!$B$1:$B$15025,MATCH($A228,CS!$B:$B,0)+COLUMN(I$1),1),""))</f>
        <v>毒強化</v>
      </c>
      <c r="BP228" s="37" t="str">
        <f t="array" ref="BP228">IF($A228="","",IFERROR(INDEX(CS!$B$1:$B$15025,MATCH($A228,CS!$B:$B,0)+COLUMN(J$1),1),""))</f>
        <v>酸穿矢</v>
      </c>
      <c r="BR228" s="39" t="s">
        <v>2895</v>
      </c>
      <c r="BS228" s="74"/>
      <c r="BU228" s="39" t="s">
        <v>2896</v>
      </c>
      <c r="CG228" s="37" t="s">
        <v>2813</v>
      </c>
      <c r="CJ228" s="37" t="s">
        <v>2807</v>
      </c>
      <c r="CK228" s="37" t="s">
        <v>2800</v>
      </c>
      <c r="CN228" s="37" t="s">
        <v>2812</v>
      </c>
    </row>
    <row r="229" ht="18.75" customHeight="1" outlineLevel="1">
      <c r="A229" s="39" t="s">
        <v>2341</v>
      </c>
      <c r="B229" s="89"/>
      <c r="C229" s="39" t="s">
        <v>2797</v>
      </c>
      <c r="D229" s="72" t="str">
        <f t="shared" si="11"/>
        <v>760/490/270</v>
      </c>
      <c r="E229" s="39">
        <v>2.0</v>
      </c>
      <c r="F229" s="39">
        <v>75.0</v>
      </c>
      <c r="I229" s="39">
        <v>65.0</v>
      </c>
      <c r="J229" s="39">
        <v>65.0</v>
      </c>
      <c r="K229" s="87">
        <v>60.0</v>
      </c>
      <c r="L229" s="39">
        <v>75.0</v>
      </c>
      <c r="M229" s="39">
        <v>70.0</v>
      </c>
      <c r="N229" s="39">
        <v>80.0</v>
      </c>
      <c r="P229" s="37">
        <v>0.0</v>
      </c>
      <c r="Q229" s="64"/>
      <c r="R229" s="64"/>
      <c r="S229" s="64"/>
      <c r="T229" s="64"/>
      <c r="U229" s="64"/>
      <c r="V229" s="64"/>
      <c r="W229" s="64"/>
      <c r="X229" s="64"/>
      <c r="Y229" s="64"/>
      <c r="Z229" s="64"/>
      <c r="AA229" s="64"/>
      <c r="AJ229" s="37">
        <v>0.0</v>
      </c>
      <c r="AK229" s="37">
        <v>0.0</v>
      </c>
      <c r="AL229" s="37">
        <v>50.0</v>
      </c>
      <c r="AM229" s="37">
        <v>30.0</v>
      </c>
      <c r="AN229" s="37">
        <v>25.0</v>
      </c>
      <c r="AO229" s="37">
        <v>0.0</v>
      </c>
      <c r="AP229" s="37">
        <v>0.0</v>
      </c>
      <c r="AQ229" s="37">
        <v>35.0</v>
      </c>
      <c r="AR229" s="37">
        <v>50.0</v>
      </c>
      <c r="AS229" s="37">
        <v>0.0</v>
      </c>
      <c r="AT229" s="37">
        <v>0.0</v>
      </c>
      <c r="AU229" s="37">
        <v>0.0</v>
      </c>
      <c r="AV229" s="37">
        <v>0.0</v>
      </c>
      <c r="AW229" s="37">
        <v>25.0</v>
      </c>
      <c r="AX229" s="37">
        <v>0.0</v>
      </c>
      <c r="AY229" s="37">
        <v>55.0</v>
      </c>
      <c r="AZ229" s="37">
        <v>0.0</v>
      </c>
      <c r="BG229" s="37" t="str">
        <f t="array" ref="BG229">IF($A229="","",IFERROR(INDEX(CS!$B$1:$B$15025,MATCH($A229,CS!$B:$B,0)+COLUMN(A$1),1),""))</f>
        <v>風の武器</v>
      </c>
      <c r="BH229" s="37" t="str">
        <f t="array" ref="BH229">IF($A229="","",IFERROR(INDEX(CS!$B$1:$B$15025,MATCH($A229,CS!$B:$B,0)+COLUMN(B$1),1),""))</f>
        <v/>
      </c>
      <c r="BI229" s="37" t="str">
        <f t="array" ref="BI229">IF($A229="","",IFERROR(INDEX(CS!$B$1:$B$15025,MATCH($A229,CS!$B:$B,0)+COLUMN(C$1),1),""))</f>
        <v>突風</v>
      </c>
      <c r="BJ229" s="37" t="str">
        <f t="array" ref="BJ229">IF($A229="","",IFERROR(INDEX(CS!$B$1:$B$15025,MATCH($A229,CS!$B:$B,0)+COLUMN(D$1),1),""))</f>
        <v/>
      </c>
      <c r="BK229" s="37" t="str">
        <f t="array" ref="BK229">IF($A229="","",IFERROR(INDEX(CS!$B$1:$B$15025,MATCH($A229,CS!$B:$B,0)+COLUMN(E$1),1),""))</f>
        <v>風の適用</v>
      </c>
      <c r="BL229" s="37" t="str">
        <f t="array" ref="BL229">IF($A229="","",IFERROR(INDEX(CS!$B$1:$B$15025,MATCH($A229,CS!$B:$B,0)+COLUMN(F$1),1),""))</f>
        <v/>
      </c>
      <c r="BM229" s="37" t="str">
        <f t="array" ref="BM229">IF($A229="","",IFERROR(INDEX(CS!$B$1:$B$15025,MATCH($A229,CS!$B:$B,0)+COLUMN(G$1),1),""))</f>
        <v>上昇烈風</v>
      </c>
      <c r="BN229" s="37" t="str">
        <f t="array" ref="BN229">IF($A229="","",IFERROR(INDEX(CS!$B$1:$B$15025,MATCH($A229,CS!$B:$B,0)+COLUMN(H$1),1),""))</f>
        <v/>
      </c>
      <c r="BO229" s="37" t="str">
        <f t="array" ref="BO229">IF($A229="","",IFERROR(INDEX(CS!$B$1:$B$15025,MATCH($A229,CS!$B:$B,0)+COLUMN(I$1),1),""))</f>
        <v>風強化</v>
      </c>
      <c r="BP229" s="37" t="str">
        <f t="array" ref="BP229">IF($A229="","",IFERROR(INDEX(CS!$B$1:$B$15025,MATCH($A229,CS!$B:$B,0)+COLUMN(J$1),1),""))</f>
        <v>風衝矢</v>
      </c>
      <c r="BR229" s="39" t="s">
        <v>2895</v>
      </c>
      <c r="BS229" s="74"/>
      <c r="BU229" s="39" t="s">
        <v>2896</v>
      </c>
      <c r="CG229" s="37" t="s">
        <v>2813</v>
      </c>
      <c r="CJ229" s="37" t="s">
        <v>2807</v>
      </c>
      <c r="CK229" s="37" t="s">
        <v>2800</v>
      </c>
      <c r="CN229" s="37" t="s">
        <v>2812</v>
      </c>
    </row>
    <row r="230" ht="18.75" customHeight="1" outlineLevel="1">
      <c r="A230" s="39" t="s">
        <v>2344</v>
      </c>
      <c r="B230" s="89"/>
      <c r="C230" s="39" t="s">
        <v>2797</v>
      </c>
      <c r="D230" s="72" t="str">
        <f t="shared" si="11"/>
        <v>760/490/270</v>
      </c>
      <c r="E230" s="39">
        <v>2.0</v>
      </c>
      <c r="F230" s="39">
        <v>75.0</v>
      </c>
      <c r="I230" s="39">
        <v>65.0</v>
      </c>
      <c r="J230" s="39">
        <v>65.0</v>
      </c>
      <c r="K230" s="87">
        <v>60.0</v>
      </c>
      <c r="L230" s="39">
        <v>75.0</v>
      </c>
      <c r="M230" s="39">
        <v>70.0</v>
      </c>
      <c r="N230" s="39">
        <v>80.0</v>
      </c>
      <c r="P230" s="37">
        <v>0.0</v>
      </c>
      <c r="Q230" s="64"/>
      <c r="R230" s="64"/>
      <c r="S230" s="64"/>
      <c r="T230" s="64"/>
      <c r="U230" s="64"/>
      <c r="V230" s="64"/>
      <c r="W230" s="64"/>
      <c r="X230" s="64"/>
      <c r="Y230" s="64"/>
      <c r="Z230" s="64"/>
      <c r="AA230" s="64"/>
      <c r="AJ230" s="37">
        <v>0.0</v>
      </c>
      <c r="AK230" s="37">
        <v>0.0</v>
      </c>
      <c r="AL230" s="37">
        <v>50.0</v>
      </c>
      <c r="AM230" s="37">
        <v>30.0</v>
      </c>
      <c r="AN230" s="37">
        <v>25.0</v>
      </c>
      <c r="AO230" s="37">
        <v>0.0</v>
      </c>
      <c r="AP230" s="37">
        <v>0.0</v>
      </c>
      <c r="AQ230" s="37">
        <v>35.0</v>
      </c>
      <c r="AR230" s="37">
        <v>50.0</v>
      </c>
      <c r="AS230" s="37">
        <v>0.0</v>
      </c>
      <c r="AT230" s="37">
        <v>0.0</v>
      </c>
      <c r="AU230" s="37">
        <v>0.0</v>
      </c>
      <c r="AV230" s="37">
        <v>0.0</v>
      </c>
      <c r="AW230" s="37">
        <v>25.0</v>
      </c>
      <c r="AX230" s="37">
        <v>0.0</v>
      </c>
      <c r="AY230" s="37">
        <v>55.0</v>
      </c>
      <c r="AZ230" s="37">
        <v>0.0</v>
      </c>
      <c r="BG230" s="37" t="str">
        <f t="array" ref="BG230">IF($A230="","",IFERROR(INDEX(CS!$B$1:$B$15025,MATCH($A230,CS!$B:$B,0)+COLUMN(A$1),1),""))</f>
        <v>岩の武器</v>
      </c>
      <c r="BH230" s="37" t="str">
        <f t="array" ref="BH230">IF($A230="","",IFERROR(INDEX(CS!$B$1:$B$15025,MATCH($A230,CS!$B:$B,0)+COLUMN(B$1),1),""))</f>
        <v/>
      </c>
      <c r="BI230" s="37" t="str">
        <f t="array" ref="BI230">IF($A230="","",IFERROR(INDEX(CS!$B$1:$B$15025,MATCH($A230,CS!$B:$B,0)+COLUMN(C$1),1),""))</f>
        <v>魔法の石</v>
      </c>
      <c r="BJ230" s="37" t="str">
        <f t="array" ref="BJ230">IF($A230="","",IFERROR(INDEX(CS!$B$1:$B$15025,MATCH($A230,CS!$B:$B,0)+COLUMN(D$1),1),""))</f>
        <v/>
      </c>
      <c r="BK230" s="37" t="str">
        <f t="array" ref="BK230">IF($A230="","",IFERROR(INDEX(CS!$B$1:$B$15025,MATCH($A230,CS!$B:$B,0)+COLUMN(E$1),1),""))</f>
        <v>石の適用</v>
      </c>
      <c r="BL230" s="37" t="str">
        <f t="array" ref="BL230">IF($A230="","",IFERROR(INDEX(CS!$B$1:$B$15025,MATCH($A230,CS!$B:$B,0)+COLUMN(F$1),1),""))</f>
        <v/>
      </c>
      <c r="BM230" s="37" t="str">
        <f t="array" ref="BM230">IF($A230="","",IFERROR(INDEX(CS!$B$1:$B$15025,MATCH($A230,CS!$B:$B,0)+COLUMN(G$1),1),""))</f>
        <v>水晶片</v>
      </c>
      <c r="BN230" s="37" t="str">
        <f t="array" ref="BN230">IF($A230="","",IFERROR(INDEX(CS!$B$1:$B$15025,MATCH($A230,CS!$B:$B,0)+COLUMN(H$1),1),""))</f>
        <v/>
      </c>
      <c r="BO230" s="37" t="str">
        <f t="array" ref="BO230">IF($A230="","",IFERROR(INDEX(CS!$B$1:$B$15025,MATCH($A230,CS!$B:$B,0)+COLUMN(I$1),1),""))</f>
        <v>地強化</v>
      </c>
      <c r="BP230" s="37" t="str">
        <f t="array" ref="BP230">IF($A230="","",IFERROR(INDEX(CS!$B$1:$B$15025,MATCH($A230,CS!$B:$B,0)+COLUMN(J$1),1),""))</f>
        <v>岩砕矢</v>
      </c>
      <c r="BR230" s="39" t="s">
        <v>2895</v>
      </c>
      <c r="BS230" s="74"/>
      <c r="BU230" s="39" t="s">
        <v>2896</v>
      </c>
      <c r="CG230" s="37" t="s">
        <v>2813</v>
      </c>
      <c r="CJ230" s="37" t="s">
        <v>2807</v>
      </c>
      <c r="CK230" s="37" t="s">
        <v>2800</v>
      </c>
      <c r="CN230" s="37" t="s">
        <v>2812</v>
      </c>
    </row>
    <row r="231" ht="18.75" customHeight="1">
      <c r="B231" s="71"/>
      <c r="D231" s="72"/>
      <c r="K231" s="73"/>
      <c r="P231" s="37" t="s">
        <v>29</v>
      </c>
      <c r="Q231" s="64"/>
      <c r="R231" s="64"/>
      <c r="S231" s="64"/>
      <c r="T231" s="64"/>
      <c r="U231" s="64"/>
      <c r="V231" s="64"/>
      <c r="W231" s="64"/>
      <c r="X231" s="64"/>
      <c r="Y231" s="64"/>
      <c r="Z231" s="64"/>
      <c r="AA231" s="64"/>
      <c r="BG231" s="37" t="str">
        <f t="array" ref="BG231">IF($A231="","", INDEX(CS!$B$1:$B$15025,MATCH($A231,CS!$B:$B,0)+COLUMN(A$1),1))</f>
        <v/>
      </c>
      <c r="BH231" s="37" t="str">
        <f t="array" ref="BH231">IF($A231="","", INDEX(CS!$B$1:$B$15025,MATCH($A231,CS!$B:$B,0)+COLUMN(B$1),1))</f>
        <v/>
      </c>
      <c r="BI231" s="37" t="str">
        <f t="array" ref="BI231">IF($A231="","", INDEX(CS!$B$1:$B$15025,MATCH($A231,CS!$B:$B,0)+COLUMN(C$1),1))</f>
        <v/>
      </c>
      <c r="BJ231" s="37" t="str">
        <f t="array" ref="BJ231">IF($A231="","", INDEX(CS!$B$1:$B$15025,MATCH($A231,CS!$B:$B,0)+COLUMN(D$1),1))</f>
        <v/>
      </c>
      <c r="BK231" s="37" t="str">
        <f t="array" ref="BK231">IF($A231="","", INDEX(CS!$B$1:$B$15025,MATCH($A231,CS!$B:$B,0)+COLUMN(E$1),1))</f>
        <v/>
      </c>
      <c r="BL231" s="37" t="str">
        <f t="array" ref="BL231">IF($A231="","", INDEX(CS!$B$1:$B$15025,MATCH($A231,CS!$B:$B,0)+COLUMN(F$1),1))</f>
        <v/>
      </c>
      <c r="BM231" s="37" t="str">
        <f t="array" ref="BM231">IF($A231="","", INDEX(CS!$B$1:$B$15025,MATCH($A231,CS!$B:$B,0)+COLUMN(G$1),1))</f>
        <v/>
      </c>
      <c r="BN231" s="37" t="str">
        <f t="array" ref="BN231">IF($A231="","", INDEX(CS!$B$1:$B$15025,MATCH($A231,CS!$B:$B,0)+COLUMN(H$1),1))</f>
        <v/>
      </c>
      <c r="BO231" s="37" t="str">
        <f t="array" ref="BO231">IF($A231="","", INDEX(CS!$B$1:$B$15025,MATCH($A231,CS!$B:$B,0)+COLUMN(I$1),1))</f>
        <v/>
      </c>
      <c r="BP231" s="37" t="str">
        <f t="array" ref="BP231">IF($A231="","", INDEX(CS!$B$1:$B$15025,MATCH($A231,CS!$B:$B,0)+COLUMN(J$1),1))</f>
        <v/>
      </c>
      <c r="BS231" s="74"/>
      <c r="CI231" s="37" t="s">
        <v>2826</v>
      </c>
      <c r="CJ231" s="37" t="s">
        <v>2807</v>
      </c>
      <c r="CK231" s="37" t="s">
        <v>2800</v>
      </c>
    </row>
    <row r="232" ht="20.25" customHeight="1">
      <c r="B232" s="85" t="s">
        <v>2897</v>
      </c>
      <c r="D232" s="72" t="str">
        <f t="shared" ref="D232:D248" si="12">SUM(AJ232:AZ232,F232:N232)&amp;"/"&amp;SUM(F232:N232)&amp;"/"&amp;SUM(AJ232:AZ232)</f>
        <v>0/0/0</v>
      </c>
      <c r="E232" s="37">
        <v>1.0</v>
      </c>
      <c r="K232" s="73"/>
      <c r="P232" s="37" t="s">
        <v>29</v>
      </c>
      <c r="Q232" s="64"/>
      <c r="R232" s="64"/>
      <c r="S232" s="64"/>
      <c r="T232" s="64"/>
      <c r="U232" s="64"/>
      <c r="V232" s="64"/>
      <c r="W232" s="64"/>
      <c r="X232" s="64"/>
      <c r="Y232" s="64"/>
      <c r="Z232" s="64"/>
      <c r="AA232" s="64"/>
      <c r="BG232" s="37" t="str">
        <f t="array" ref="BG232">IF($A232="","", INDEX(CS!$B$1:$B$15025,MATCH($A232,CS!$B:$B,0)+COLUMN(A$1),1))</f>
        <v/>
      </c>
      <c r="BH232" s="37" t="str">
        <f t="array" ref="BH232">IF($A232="","", INDEX(CS!$B$1:$B$15025,MATCH($A232,CS!$B:$B,0)+COLUMN(B$1),1))</f>
        <v/>
      </c>
      <c r="BI232" s="37" t="str">
        <f t="array" ref="BI232">IF($A232="","", INDEX(CS!$B$1:$B$15025,MATCH($A232,CS!$B:$B,0)+COLUMN(C$1),1))</f>
        <v/>
      </c>
      <c r="BJ232" s="37" t="str">
        <f t="array" ref="BJ232">IF($A232="","", INDEX(CS!$B$1:$B$15025,MATCH($A232,CS!$B:$B,0)+COLUMN(D$1),1))</f>
        <v/>
      </c>
      <c r="BK232" s="37" t="str">
        <f t="array" ref="BK232">IF($A232="","", INDEX(CS!$B$1:$B$15025,MATCH($A232,CS!$B:$B,0)+COLUMN(E$1),1))</f>
        <v/>
      </c>
      <c r="BL232" s="37" t="str">
        <f t="array" ref="BL232">IF($A232="","", INDEX(CS!$B$1:$B$15025,MATCH($A232,CS!$B:$B,0)+COLUMN(F$1),1))</f>
        <v/>
      </c>
      <c r="BM232" s="37" t="str">
        <f t="array" ref="BM232">IF($A232="","", INDEX(CS!$B$1:$B$15025,MATCH($A232,CS!$B:$B,0)+COLUMN(G$1),1))</f>
        <v/>
      </c>
      <c r="BN232" s="37" t="str">
        <f t="array" ref="BN232">IF($A232="","", INDEX(CS!$B$1:$B$15025,MATCH($A232,CS!$B:$B,0)+COLUMN(H$1),1))</f>
        <v/>
      </c>
      <c r="BO232" s="37" t="str">
        <f t="array" ref="BO232">IF($A232="","", INDEX(CS!$B$1:$B$15025,MATCH($A232,CS!$B:$B,0)+COLUMN(I$1),1))</f>
        <v/>
      </c>
      <c r="BP232" s="37" t="str">
        <f t="array" ref="BP232">IF($A232="","", INDEX(CS!$B$1:$B$15025,MATCH($A232,CS!$B:$B,0)+COLUMN(J$1),1))</f>
        <v/>
      </c>
      <c r="BS232" s="74"/>
      <c r="BW232" s="57"/>
      <c r="BX232" s="57"/>
      <c r="BY232" s="57"/>
      <c r="BZ232" s="57"/>
      <c r="CA232" s="57"/>
    </row>
    <row r="233" ht="18.75" customHeight="1" outlineLevel="1">
      <c r="A233" s="37" t="s">
        <v>1494</v>
      </c>
      <c r="B233" s="71"/>
      <c r="C233" s="37" t="s">
        <v>2898</v>
      </c>
      <c r="D233" s="72" t="str">
        <f t="shared" si="12"/>
        <v>740/490/250</v>
      </c>
      <c r="E233" s="37">
        <v>1.0</v>
      </c>
      <c r="F233" s="37">
        <v>100.0</v>
      </c>
      <c r="I233" s="37">
        <v>90.0</v>
      </c>
      <c r="J233" s="37">
        <v>90.0</v>
      </c>
      <c r="K233" s="73">
        <v>0.0</v>
      </c>
      <c r="L233" s="37">
        <v>50.0</v>
      </c>
      <c r="M233" s="37">
        <v>80.0</v>
      </c>
      <c r="N233" s="37">
        <v>80.0</v>
      </c>
      <c r="O233" s="37">
        <v>230.0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75.0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100.0</v>
      </c>
      <c r="BC233" s="39">
        <v>140.0</v>
      </c>
      <c r="BD233" s="39">
        <v>0.0</v>
      </c>
      <c r="BE233" s="39">
        <v>0.0</v>
      </c>
      <c r="BF233" s="39">
        <v>30.0</v>
      </c>
      <c r="BG233" s="37" t="str">
        <f t="array" ref="BG233">IF($A233="","", INDEX(CS!$B$1:$B$15025,MATCH($A233,CS!$B:$B,0)+COLUMN(A$1),1))</f>
        <v>爪</v>
      </c>
      <c r="BH233" s="37" t="str">
        <f t="array" ref="BH233">IF($A233="","", INDEX(CS!$B$1:$B$15025,MATCH($A233,CS!$B:$B,0)+COLUMN(B$1),1))</f>
        <v>牙</v>
      </c>
      <c r="BI233" s="37" t="str">
        <f t="array" ref="BI233">IF($A233="","", INDEX(CS!$B$1:$B$15025,MATCH($A233,CS!$B:$B,0)+COLUMN(C$1),1))</f>
        <v>猛獣の爪</v>
      </c>
      <c r="BJ233" s="37" t="str">
        <f t="array" ref="BJ233">IF($A233="","", INDEX(CS!$B$1:$B$15025,MATCH($A233,CS!$B:$B,0)+COLUMN(D$1),1))</f>
        <v>猛獣の飛びかかり</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120.0</v>
      </c>
      <c r="BX233" s="75">
        <v>10.0</v>
      </c>
      <c r="BY233" s="75">
        <v>10.0</v>
      </c>
      <c r="BZ233" s="75">
        <v>90.0</v>
      </c>
      <c r="CA233" s="75">
        <v>10.0</v>
      </c>
      <c r="CD233" s="75">
        <v>4.0</v>
      </c>
      <c r="CE233" s="75"/>
      <c r="CG233" s="37" t="s">
        <v>2732</v>
      </c>
      <c r="CH233" s="37" t="s">
        <v>2732</v>
      </c>
      <c r="CK233" s="37" t="s">
        <v>2732</v>
      </c>
      <c r="CN233" s="37" t="s">
        <v>2898</v>
      </c>
    </row>
    <row r="234" ht="18.75" customHeight="1" outlineLevel="1">
      <c r="A234" s="37" t="s">
        <v>1501</v>
      </c>
      <c r="B234" s="71"/>
      <c r="C234" s="37" t="s">
        <v>2898</v>
      </c>
      <c r="D234" s="72" t="str">
        <f t="shared" si="12"/>
        <v>710/485/225</v>
      </c>
      <c r="E234" s="37">
        <v>1.0</v>
      </c>
      <c r="F234" s="37">
        <v>90.0</v>
      </c>
      <c r="I234" s="37">
        <v>85.0</v>
      </c>
      <c r="J234" s="37">
        <v>75.0</v>
      </c>
      <c r="K234" s="73">
        <v>0.0</v>
      </c>
      <c r="L234" s="37">
        <v>50.0</v>
      </c>
      <c r="M234" s="37">
        <v>100.0</v>
      </c>
      <c r="N234" s="37">
        <v>85.0</v>
      </c>
      <c r="O234" s="37">
        <v>175.0</v>
      </c>
      <c r="P234" s="37">
        <v>0.0</v>
      </c>
      <c r="Q234" s="64"/>
      <c r="R234" s="64"/>
      <c r="S234" s="64"/>
      <c r="T234" s="64"/>
      <c r="U234" s="64"/>
      <c r="V234" s="64"/>
      <c r="W234" s="64"/>
      <c r="X234" s="64"/>
      <c r="Y234" s="64"/>
      <c r="Z234" s="64"/>
      <c r="AA234" s="64"/>
      <c r="AC234" s="37">
        <v>-35.0</v>
      </c>
      <c r="AD234" s="37">
        <v>10.0</v>
      </c>
      <c r="AF234" s="37">
        <v>15.0</v>
      </c>
      <c r="AG234" s="37">
        <v>10.0</v>
      </c>
      <c r="AJ234" s="39">
        <v>0.0</v>
      </c>
      <c r="AK234" s="39">
        <v>50.0</v>
      </c>
      <c r="AL234" s="39">
        <v>0.0</v>
      </c>
      <c r="AM234" s="39">
        <v>50.0</v>
      </c>
      <c r="AN234" s="39">
        <v>0.0</v>
      </c>
      <c r="AO234" s="39">
        <v>0.0</v>
      </c>
      <c r="AP234" s="39">
        <v>0.0</v>
      </c>
      <c r="AQ234" s="39">
        <v>50.0</v>
      </c>
      <c r="AR234" s="39">
        <v>75.0</v>
      </c>
      <c r="AS234" s="39">
        <v>0.0</v>
      </c>
      <c r="AT234" s="39">
        <v>0.0</v>
      </c>
      <c r="AU234" s="39">
        <v>0.0</v>
      </c>
      <c r="AV234" s="39">
        <v>0.0</v>
      </c>
      <c r="AW234" s="39">
        <v>0.0</v>
      </c>
      <c r="AX234" s="39">
        <v>0.0</v>
      </c>
      <c r="AY234" s="39">
        <v>0.0</v>
      </c>
      <c r="AZ234" s="39">
        <v>0.0</v>
      </c>
      <c r="BA234" s="39">
        <v>0.0</v>
      </c>
      <c r="BB234" s="39">
        <v>120.0</v>
      </c>
      <c r="BC234" s="39">
        <v>50.0</v>
      </c>
      <c r="BD234" s="39">
        <v>0.0</v>
      </c>
      <c r="BE234" s="39">
        <v>0.0</v>
      </c>
      <c r="BF234" s="39">
        <v>20.0</v>
      </c>
      <c r="BG234" s="37" t="str">
        <f t="array" ref="BG234">IF($A234="","", INDEX(CS!$B$1:$B$15025,MATCH($A234,CS!$B:$B,0)+COLUMN(A$1),1))</f>
        <v>爪</v>
      </c>
      <c r="BH234" s="37" t="str">
        <f t="array" ref="BH234">IF($A234="","", INDEX(CS!$B$1:$B$15025,MATCH($A234,CS!$B:$B,0)+COLUMN(B$1),1))</f>
        <v>牙</v>
      </c>
      <c r="BI234" s="37" t="str">
        <f t="array" ref="BI234">IF($A234="","", INDEX(CS!$B$1:$B$15025,MATCH($A234,CS!$B:$B,0)+COLUMN(C$1),1))</f>
        <v>狼の牙</v>
      </c>
      <c r="BJ234" s="37" t="str">
        <f t="array" ref="BJ234">IF($A234="","", INDEX(CS!$B$1:$B$15025,MATCH($A234,CS!$B:$B,0)+COLUMN(D$1),1))</f>
        <v>猛獣の飛びかかり</v>
      </c>
      <c r="BK234" s="37" t="str">
        <f t="array" ref="BK234">IF($A234="","", INDEX(CS!$B$1:$B$15025,MATCH($A234,CS!$B:$B,0)+COLUMN(E$1),1))</f>
        <v>反応</v>
      </c>
      <c r="BL234" s="37" t="str">
        <f t="array" ref="BL234">IF($A234="","", INDEX(CS!$B$1:$B$15025,MATCH($A234,CS!$B:$B,0)+COLUMN(F$1),1))</f>
        <v/>
      </c>
      <c r="BM234" s="37" t="str">
        <f t="array" ref="BM234">IF($A234="","", INDEX(CS!$B$1:$B$15025,MATCH($A234,CS!$B:$B,0)+COLUMN(G$1),1))</f>
        <v>野生感覚</v>
      </c>
      <c r="BN234" s="37" t="str">
        <f t="array" ref="BN234">IF($A234="","", INDEX(CS!$B$1:$B$15025,MATCH($A234,CS!$B:$B,0)+COLUMN(H$1),1))</f>
        <v/>
      </c>
      <c r="BO234" s="37" t="str">
        <f t="array" ref="BO234">IF($A234="","", INDEX(CS!$B$1:$B$15025,MATCH($A234,CS!$B:$B,0)+COLUMN(I$1),1))</f>
        <v/>
      </c>
      <c r="BP234" s="37" t="str">
        <f t="array" ref="BP234">IF($A234="","", INDEX(CS!$B$1:$B$15025,MATCH($A234,CS!$B:$B,0)+COLUMN(J$1),1))</f>
        <v/>
      </c>
      <c r="BS234" s="74"/>
      <c r="BV234" s="37" t="s">
        <v>2659</v>
      </c>
      <c r="BW234" s="57">
        <v>110.0</v>
      </c>
      <c r="BX234" s="75">
        <v>10.0</v>
      </c>
      <c r="BY234" s="75">
        <v>10.0</v>
      </c>
      <c r="BZ234" s="75">
        <v>80.0</v>
      </c>
      <c r="CA234" s="75">
        <v>10.0</v>
      </c>
      <c r="CD234" s="75">
        <v>4.0</v>
      </c>
      <c r="CE234" s="75"/>
      <c r="CG234" s="37" t="s">
        <v>2732</v>
      </c>
      <c r="CH234" s="37" t="s">
        <v>2732</v>
      </c>
      <c r="CK234" s="37" t="s">
        <v>2732</v>
      </c>
      <c r="CN234" s="37" t="s">
        <v>2898</v>
      </c>
    </row>
    <row r="235" ht="18.75" customHeight="1" outlineLevel="1">
      <c r="A235" s="37" t="s">
        <v>1504</v>
      </c>
      <c r="B235" s="71"/>
      <c r="C235" s="37" t="s">
        <v>2898</v>
      </c>
      <c r="D235" s="72" t="str">
        <f t="shared" si="12"/>
        <v>650/450/200</v>
      </c>
      <c r="E235" s="37">
        <v>1.0</v>
      </c>
      <c r="F235" s="37">
        <v>90.0</v>
      </c>
      <c r="I235" s="37">
        <v>85.0</v>
      </c>
      <c r="J235" s="37">
        <v>75.0</v>
      </c>
      <c r="K235" s="73">
        <v>0.0</v>
      </c>
      <c r="L235" s="37">
        <v>50.0</v>
      </c>
      <c r="M235" s="37">
        <v>75.0</v>
      </c>
      <c r="N235" s="37">
        <v>75.0</v>
      </c>
      <c r="O235" s="37">
        <v>150.0</v>
      </c>
      <c r="P235" s="37">
        <v>0.0</v>
      </c>
      <c r="Q235" s="64"/>
      <c r="R235" s="64"/>
      <c r="S235" s="64"/>
      <c r="T235" s="64"/>
      <c r="U235" s="64"/>
      <c r="V235" s="64"/>
      <c r="W235" s="64"/>
      <c r="X235" s="64"/>
      <c r="Y235" s="64"/>
      <c r="Z235" s="64"/>
      <c r="AA235" s="64"/>
      <c r="AC235" s="37">
        <v>-35.0</v>
      </c>
      <c r="AD235" s="37">
        <v>10.0</v>
      </c>
      <c r="AF235" s="37">
        <v>15.0</v>
      </c>
      <c r="AG235" s="37">
        <v>10.0</v>
      </c>
      <c r="AJ235" s="39">
        <v>0.0</v>
      </c>
      <c r="AK235" s="39">
        <v>25.0</v>
      </c>
      <c r="AL235" s="39">
        <v>0.0</v>
      </c>
      <c r="AM235" s="39">
        <v>50.0</v>
      </c>
      <c r="AN235" s="39">
        <v>0.0</v>
      </c>
      <c r="AO235" s="39">
        <v>0.0</v>
      </c>
      <c r="AP235" s="39">
        <v>0.0</v>
      </c>
      <c r="AQ235" s="39">
        <v>75.0</v>
      </c>
      <c r="AR235" s="39">
        <v>50.0</v>
      </c>
      <c r="AS235" s="39">
        <v>0.0</v>
      </c>
      <c r="AT235" s="39">
        <v>0.0</v>
      </c>
      <c r="AU235" s="39">
        <v>0.0</v>
      </c>
      <c r="AV235" s="39">
        <v>0.0</v>
      </c>
      <c r="AW235" s="39">
        <v>0.0</v>
      </c>
      <c r="AX235" s="39">
        <v>0.0</v>
      </c>
      <c r="AY235" s="39">
        <v>0.0</v>
      </c>
      <c r="AZ235" s="39">
        <v>0.0</v>
      </c>
      <c r="BA235" s="39">
        <v>0.0</v>
      </c>
      <c r="BB235" s="39">
        <v>110.0</v>
      </c>
      <c r="BC235" s="39">
        <v>0.0</v>
      </c>
      <c r="BD235" s="39">
        <v>60.0</v>
      </c>
      <c r="BE235" s="39">
        <v>0.0</v>
      </c>
      <c r="BF235" s="39">
        <v>10.0</v>
      </c>
      <c r="BG235" s="37" t="str">
        <f t="array" ref="BG235">IF($A235="","", INDEX(CS!$B$1:$B$15025,MATCH($A235,CS!$B:$B,0)+COLUMN(A$1),1))</f>
        <v>牙</v>
      </c>
      <c r="BH235" s="37" t="str">
        <f t="array" ref="BH235">IF($A235="","", INDEX(CS!$B$1:$B$15025,MATCH($A235,CS!$B:$B,0)+COLUMN(B$1),1))</f>
        <v>尾</v>
      </c>
      <c r="BI235" s="37" t="str">
        <f t="array" ref="BI235">IF($A235="","", INDEX(CS!$B$1:$B$15025,MATCH($A235,CS!$B:$B,0)+COLUMN(C$1),1))</f>
        <v>尾の巻き付き</v>
      </c>
      <c r="BJ235" s="37" t="str">
        <f t="array" ref="BJ235">IF($A235="","", INDEX(CS!$B$1:$B$15025,MATCH($A235,CS!$B:$B,0)+COLUMN(D$1),1))</f>
        <v>蛇の締め</v>
      </c>
      <c r="BK235" s="37" t="str">
        <f t="array" ref="BK235">IF($A235="","", INDEX(CS!$B$1:$B$15025,MATCH($A235,CS!$B:$B,0)+COLUMN(E$1),1))</f>
        <v>反応</v>
      </c>
      <c r="BL235" s="37" t="str">
        <f t="array" ref="BL235">IF($A235="","", INDEX(CS!$B$1:$B$15025,MATCH($A235,CS!$B:$B,0)+COLUMN(F$1),1))</f>
        <v/>
      </c>
      <c r="BM235" s="37" t="str">
        <f t="array" ref="BM235">IF($A235="","", INDEX(CS!$B$1:$B$15025,MATCH($A235,CS!$B:$B,0)+COLUMN(G$1),1))</f>
        <v>野生感覚</v>
      </c>
      <c r="BN235" s="37" t="str">
        <f t="array" ref="BN235">IF($A235="","", INDEX(CS!$B$1:$B$15025,MATCH($A235,CS!$B:$B,0)+COLUMN(H$1),1))</f>
        <v/>
      </c>
      <c r="BO235" s="37" t="str">
        <f t="array" ref="BO235">IF($A235="","", INDEX(CS!$B$1:$B$15025,MATCH($A235,CS!$B:$B,0)+COLUMN(I$1),1))</f>
        <v/>
      </c>
      <c r="BP235" s="37" t="str">
        <f t="array" ref="BP235">IF($A235="","", INDEX(CS!$B$1:$B$15025,MATCH($A235,CS!$B:$B,0)+COLUMN(J$1),1))</f>
        <v/>
      </c>
      <c r="BS235" s="74"/>
      <c r="BV235" s="37" t="s">
        <v>2659</v>
      </c>
      <c r="BW235" s="57">
        <v>85.0</v>
      </c>
      <c r="BX235" s="75">
        <v>5.0</v>
      </c>
      <c r="BY235" s="75">
        <v>0.0</v>
      </c>
      <c r="BZ235" s="75">
        <v>70.0</v>
      </c>
      <c r="CA235" s="75">
        <v>10.0</v>
      </c>
      <c r="CD235" s="75">
        <v>1.0</v>
      </c>
      <c r="CE235" s="75"/>
      <c r="CG235" s="37" t="s">
        <v>2732</v>
      </c>
      <c r="CH235" s="37" t="s">
        <v>2732</v>
      </c>
      <c r="CI235" s="37" t="s">
        <v>2732</v>
      </c>
      <c r="CK235" s="37" t="s">
        <v>2732</v>
      </c>
      <c r="CN235" s="37" t="s">
        <v>2898</v>
      </c>
    </row>
    <row r="236" ht="18.75" customHeight="1" outlineLevel="1">
      <c r="A236" s="41" t="s">
        <v>1507</v>
      </c>
      <c r="B236" s="71"/>
      <c r="C236" s="37" t="s">
        <v>2898</v>
      </c>
      <c r="D236" s="72" t="str">
        <f t="shared" si="12"/>
        <v>675/475/200</v>
      </c>
      <c r="E236" s="37">
        <v>1.0</v>
      </c>
      <c r="F236" s="37">
        <v>75.0</v>
      </c>
      <c r="I236" s="37">
        <v>75.0</v>
      </c>
      <c r="J236" s="37">
        <v>75.0</v>
      </c>
      <c r="K236" s="73">
        <v>0.0</v>
      </c>
      <c r="L236" s="37">
        <v>50.0</v>
      </c>
      <c r="M236" s="37">
        <v>100.0</v>
      </c>
      <c r="N236" s="37">
        <v>100.0</v>
      </c>
      <c r="O236" s="37">
        <v>145.0</v>
      </c>
      <c r="P236" s="37">
        <v>0.0</v>
      </c>
      <c r="Q236" s="64"/>
      <c r="R236" s="64"/>
      <c r="S236" s="64"/>
      <c r="T236" s="64"/>
      <c r="U236" s="64"/>
      <c r="V236" s="64"/>
      <c r="W236" s="64"/>
      <c r="X236" s="64"/>
      <c r="Y236" s="64"/>
      <c r="Z236" s="64"/>
      <c r="AA236" s="64"/>
      <c r="AC236" s="37">
        <v>-35.0</v>
      </c>
      <c r="AD236" s="37">
        <v>10.0</v>
      </c>
      <c r="AF236" s="37">
        <v>15.0</v>
      </c>
      <c r="AG236" s="37">
        <v>10.0</v>
      </c>
      <c r="AJ236" s="39">
        <v>0.0</v>
      </c>
      <c r="AK236" s="39">
        <v>0.0</v>
      </c>
      <c r="AL236" s="39">
        <v>0.0</v>
      </c>
      <c r="AM236" s="39">
        <v>75.0</v>
      </c>
      <c r="AN236" s="39">
        <v>0.0</v>
      </c>
      <c r="AO236" s="39">
        <v>0.0</v>
      </c>
      <c r="AP236" s="39">
        <v>0.0</v>
      </c>
      <c r="AQ236" s="39">
        <v>25.0</v>
      </c>
      <c r="AR236" s="39">
        <v>100.0</v>
      </c>
      <c r="AS236" s="39">
        <v>0.0</v>
      </c>
      <c r="AT236" s="39">
        <v>0.0</v>
      </c>
      <c r="AU236" s="39">
        <v>0.0</v>
      </c>
      <c r="AV236" s="39">
        <v>0.0</v>
      </c>
      <c r="AW236" s="39">
        <v>0.0</v>
      </c>
      <c r="AX236" s="39">
        <v>0.0</v>
      </c>
      <c r="AY236" s="39">
        <v>0.0</v>
      </c>
      <c r="AZ236" s="39">
        <v>0.0</v>
      </c>
      <c r="BA236" s="39">
        <v>0.0</v>
      </c>
      <c r="BB236" s="39">
        <v>0.0</v>
      </c>
      <c r="BC236" s="39">
        <v>100.0</v>
      </c>
      <c r="BD236" s="39">
        <v>0.0</v>
      </c>
      <c r="BE236" s="39">
        <v>60.0</v>
      </c>
      <c r="BF236" s="39">
        <v>10.0</v>
      </c>
      <c r="BG236" s="37" t="str">
        <f t="array" ref="BG236">IF($A236="","", INDEX(CS!$B$1:$B$15025,MATCH($A236,CS!$B:$B,0)+COLUMN(A$1),1))</f>
        <v>爪</v>
      </c>
      <c r="BH236" s="37" t="str">
        <f t="array" ref="BH236">IF($A236="","", INDEX(CS!$B$1:$B$15025,MATCH($A236,CS!$B:$B,0)+COLUMN(B$1),1))</f>
        <v>翼</v>
      </c>
      <c r="BI236" s="37" t="str">
        <f t="array" ref="BI236">IF($A236="","", INDEX(CS!$B$1:$B$15025,MATCH($A236,CS!$B:$B,0)+COLUMN(C$1),1))</f>
        <v>鷹の急降下</v>
      </c>
      <c r="BJ236" s="37" t="str">
        <f t="array" ref="BJ236">IF($A236="","", INDEX(CS!$B$1:$B$15025,MATCH($A236,CS!$B:$B,0)+COLUMN(D$1),1))</f>
        <v>鉤爪強化</v>
      </c>
      <c r="BK236" s="37" t="str">
        <f t="array" ref="BK236">IF($A236="","", INDEX(CS!$B$1:$B$15025,MATCH($A236,CS!$B:$B,0)+COLUMN(E$1),1))</f>
        <v>反応</v>
      </c>
      <c r="BL236" s="37" t="str">
        <f t="array" ref="BL236">IF($A236="","", INDEX(CS!$B$1:$B$15025,MATCH($A236,CS!$B:$B,0)+COLUMN(F$1),1))</f>
        <v/>
      </c>
      <c r="BM236" s="37" t="str">
        <f t="array" ref="BM236">IF($A236="","", INDEX(CS!$B$1:$B$15025,MATCH($A236,CS!$B:$B,0)+COLUMN(G$1),1))</f>
        <v>野生感覚</v>
      </c>
      <c r="BN236" s="37" t="str">
        <f t="array" ref="BN236">IF($A236="","", INDEX(CS!$B$1:$B$15025,MATCH($A236,CS!$B:$B,0)+COLUMN(H$1),1))</f>
        <v/>
      </c>
      <c r="BO236" s="37" t="str">
        <f t="array" ref="BO236">IF($A236="","", INDEX(CS!$B$1:$B$15025,MATCH($A236,CS!$B:$B,0)+COLUMN(I$1),1))</f>
        <v/>
      </c>
      <c r="BP236" s="37" t="str">
        <f t="array" ref="BP236">IF($A236="","", INDEX(CS!$B$1:$B$15025,MATCH($A236,CS!$B:$B,0)+COLUMN(J$1),1))</f>
        <v/>
      </c>
      <c r="BS236" s="74"/>
      <c r="BV236" s="37" t="s">
        <v>2659</v>
      </c>
      <c r="BW236" s="57">
        <v>80.0</v>
      </c>
      <c r="BX236" s="75">
        <v>10.0</v>
      </c>
      <c r="BY236" s="75">
        <v>10.0</v>
      </c>
      <c r="BZ236" s="75">
        <v>50.0</v>
      </c>
      <c r="CA236" s="75">
        <v>10.0</v>
      </c>
      <c r="CD236" s="75">
        <v>2.0</v>
      </c>
      <c r="CE236" s="75"/>
      <c r="CG236" s="37" t="s">
        <v>2732</v>
      </c>
      <c r="CH236" s="37" t="s">
        <v>2732</v>
      </c>
      <c r="CK236" s="37" t="s">
        <v>2732</v>
      </c>
      <c r="CN236" s="37" t="s">
        <v>2898</v>
      </c>
    </row>
    <row r="237" ht="18.75" customHeight="1" outlineLevel="1">
      <c r="A237" s="37" t="s">
        <v>1511</v>
      </c>
      <c r="B237" s="71"/>
      <c r="C237" s="37" t="s">
        <v>2898</v>
      </c>
      <c r="D237" s="72" t="str">
        <f t="shared" si="12"/>
        <v>665/490/175</v>
      </c>
      <c r="E237" s="37">
        <v>1.0</v>
      </c>
      <c r="F237" s="37">
        <v>100.0</v>
      </c>
      <c r="I237" s="37">
        <v>100.0</v>
      </c>
      <c r="J237" s="37">
        <v>90.0</v>
      </c>
      <c r="K237" s="73">
        <v>0.0</v>
      </c>
      <c r="L237" s="37">
        <v>50.0</v>
      </c>
      <c r="M237" s="37">
        <v>75.0</v>
      </c>
      <c r="N237" s="37">
        <v>75.0</v>
      </c>
      <c r="O237" s="37">
        <v>300.0</v>
      </c>
      <c r="P237" s="37">
        <v>0.0</v>
      </c>
      <c r="Q237" s="64"/>
      <c r="R237" s="64"/>
      <c r="S237" s="64"/>
      <c r="T237" s="64"/>
      <c r="U237" s="64"/>
      <c r="V237" s="64"/>
      <c r="W237" s="64"/>
      <c r="X237" s="64"/>
      <c r="Y237" s="64"/>
      <c r="Z237" s="64"/>
      <c r="AA237" s="64"/>
      <c r="AC237" s="37">
        <v>-35.0</v>
      </c>
      <c r="AD237" s="37">
        <v>10.0</v>
      </c>
      <c r="AF237" s="37">
        <v>15.0</v>
      </c>
      <c r="AG237" s="37">
        <v>10.0</v>
      </c>
      <c r="AJ237" s="39">
        <v>0.0</v>
      </c>
      <c r="AK237" s="39">
        <v>75.0</v>
      </c>
      <c r="AL237" s="39">
        <v>0.0</v>
      </c>
      <c r="AM237" s="39">
        <v>25.0</v>
      </c>
      <c r="AN237" s="39">
        <v>0.0</v>
      </c>
      <c r="AO237" s="39">
        <v>0.0</v>
      </c>
      <c r="AP237" s="39">
        <v>0.0</v>
      </c>
      <c r="AQ237" s="39">
        <v>25.0</v>
      </c>
      <c r="AR237" s="39">
        <v>50.0</v>
      </c>
      <c r="AS237" s="39">
        <v>0.0</v>
      </c>
      <c r="AT237" s="39">
        <v>0.0</v>
      </c>
      <c r="AU237" s="39">
        <v>0.0</v>
      </c>
      <c r="AV237" s="39">
        <v>0.0</v>
      </c>
      <c r="AW237" s="39">
        <v>0.0</v>
      </c>
      <c r="AX237" s="39">
        <v>0.0</v>
      </c>
      <c r="AY237" s="39">
        <v>0.0</v>
      </c>
      <c r="AZ237" s="39">
        <v>0.0</v>
      </c>
      <c r="BA237" s="39">
        <v>0.0</v>
      </c>
      <c r="BB237" s="39">
        <v>90.0</v>
      </c>
      <c r="BC237" s="39">
        <v>130.0</v>
      </c>
      <c r="BD237" s="39">
        <v>0.0</v>
      </c>
      <c r="BE237" s="39">
        <v>0.0</v>
      </c>
      <c r="BF237" s="39">
        <v>50.0</v>
      </c>
      <c r="BG237" s="37" t="str">
        <f t="array" ref="BG237">IF($A237="","", INDEX(CS!$B$1:$B$15025,MATCH($A237,CS!$B:$B,0)+COLUMN(A$1),1))</f>
        <v>爪</v>
      </c>
      <c r="BH237" s="37" t="str">
        <f t="array" ref="BH237">IF($A237="","", INDEX(CS!$B$1:$B$15025,MATCH($A237,CS!$B:$B,0)+COLUMN(B$1),1))</f>
        <v>牙</v>
      </c>
      <c r="BI237" s="37" t="str">
        <f t="array" ref="BI237">IF($A237="","", INDEX(CS!$B$1:$B$15025,MATCH($A237,CS!$B:$B,0)+COLUMN(C$1),1))</f>
        <v>熊爪</v>
      </c>
      <c r="BJ237" s="37" t="str">
        <f t="array" ref="BJ237">IF($A237="","", INDEX(CS!$B$1:$B$15025,MATCH($A237,CS!$B:$B,0)+COLUMN(D$1),1))</f>
        <v>熊の強打</v>
      </c>
      <c r="BK237" s="37" t="str">
        <f t="array" ref="BK237">IF($A237="","", INDEX(CS!$B$1:$B$15025,MATCH($A237,CS!$B:$B,0)+COLUMN(E$1),1))</f>
        <v>反応</v>
      </c>
      <c r="BL237" s="37" t="str">
        <f t="array" ref="BL237">IF($A237="","", INDEX(CS!$B$1:$B$15025,MATCH($A237,CS!$B:$B,0)+COLUMN(F$1),1))</f>
        <v/>
      </c>
      <c r="BM237" s="37" t="str">
        <f t="array" ref="BM237">IF($A237="","", INDEX(CS!$B$1:$B$15025,MATCH($A237,CS!$B:$B,0)+COLUMN(G$1),1))</f>
        <v>野生感覚</v>
      </c>
      <c r="BN237" s="37" t="str">
        <f t="array" ref="BN237">IF($A237="","", INDEX(CS!$B$1:$B$15025,MATCH($A237,CS!$B:$B,0)+COLUMN(H$1),1))</f>
        <v/>
      </c>
      <c r="BO237" s="37" t="str">
        <f t="array" ref="BO237">IF($A237="","", INDEX(CS!$B$1:$B$15025,MATCH($A237,CS!$B:$B,0)+COLUMN(I$1),1))</f>
        <v/>
      </c>
      <c r="BP237" s="37" t="str">
        <f t="array" ref="BP237">IF($A237="","", INDEX(CS!$B$1:$B$15025,MATCH($A237,CS!$B:$B,0)+COLUMN(J$1),1))</f>
        <v/>
      </c>
      <c r="BS237" s="74"/>
      <c r="BV237" s="37" t="s">
        <v>2659</v>
      </c>
      <c r="BW237" s="57">
        <v>130.0</v>
      </c>
      <c r="BX237" s="75">
        <v>20.0</v>
      </c>
      <c r="BY237" s="75">
        <v>20.0</v>
      </c>
      <c r="BZ237" s="75">
        <v>80.0</v>
      </c>
      <c r="CA237" s="75">
        <v>10.0</v>
      </c>
      <c r="CD237" s="75">
        <v>4.0</v>
      </c>
      <c r="CE237" s="75"/>
      <c r="CG237" s="37" t="s">
        <v>2732</v>
      </c>
      <c r="CH237" s="37" t="s">
        <v>2732</v>
      </c>
      <c r="CK237" s="37" t="s">
        <v>2732</v>
      </c>
      <c r="CN237" s="37" t="s">
        <v>2898</v>
      </c>
    </row>
    <row r="238" ht="18.75" customHeight="1" outlineLevel="1">
      <c r="A238" s="37" t="s">
        <v>1516</v>
      </c>
      <c r="B238" s="71"/>
      <c r="C238" s="37" t="s">
        <v>2898</v>
      </c>
      <c r="D238" s="72" t="str">
        <f t="shared" si="12"/>
        <v>685/485/200</v>
      </c>
      <c r="E238" s="37">
        <v>1.0</v>
      </c>
      <c r="F238" s="37">
        <v>100.0</v>
      </c>
      <c r="I238" s="37">
        <v>100.0</v>
      </c>
      <c r="J238" s="37">
        <v>90.0</v>
      </c>
      <c r="K238" s="73">
        <v>0.0</v>
      </c>
      <c r="L238" s="37">
        <v>50.0</v>
      </c>
      <c r="M238" s="37">
        <v>65.0</v>
      </c>
      <c r="N238" s="37">
        <v>80.0</v>
      </c>
      <c r="O238" s="37">
        <v>280.0</v>
      </c>
      <c r="P238" s="37">
        <v>0.0</v>
      </c>
      <c r="Q238" s="64"/>
      <c r="R238" s="64"/>
      <c r="S238" s="64"/>
      <c r="T238" s="64"/>
      <c r="U238" s="64"/>
      <c r="V238" s="64"/>
      <c r="W238" s="64"/>
      <c r="X238" s="64"/>
      <c r="Y238" s="64"/>
      <c r="Z238" s="64"/>
      <c r="AA238" s="64"/>
      <c r="AC238" s="37">
        <v>-35.0</v>
      </c>
      <c r="AD238" s="37">
        <v>10.0</v>
      </c>
      <c r="AF238" s="37">
        <v>15.0</v>
      </c>
      <c r="AG238" s="37">
        <v>10.0</v>
      </c>
      <c r="AJ238" s="39">
        <v>0.0</v>
      </c>
      <c r="AK238" s="39">
        <v>50.0</v>
      </c>
      <c r="AL238" s="39">
        <v>0.0</v>
      </c>
      <c r="AM238" s="39">
        <v>25.0</v>
      </c>
      <c r="AN238" s="39">
        <v>0.0</v>
      </c>
      <c r="AO238" s="39">
        <v>0.0</v>
      </c>
      <c r="AP238" s="39">
        <v>0.0</v>
      </c>
      <c r="AQ238" s="39">
        <v>75.0</v>
      </c>
      <c r="AR238" s="39">
        <v>50.0</v>
      </c>
      <c r="AS238" s="39">
        <v>0.0</v>
      </c>
      <c r="AT238" s="39">
        <v>0.0</v>
      </c>
      <c r="AU238" s="39">
        <v>0.0</v>
      </c>
      <c r="AV238" s="39">
        <v>0.0</v>
      </c>
      <c r="AW238" s="39">
        <v>0.0</v>
      </c>
      <c r="AX238" s="39">
        <v>0.0</v>
      </c>
      <c r="AY238" s="39">
        <v>0.0</v>
      </c>
      <c r="AZ238" s="39">
        <v>0.0</v>
      </c>
      <c r="BA238" s="39">
        <v>0.0</v>
      </c>
      <c r="BB238" s="39">
        <v>150.0</v>
      </c>
      <c r="BC238" s="39">
        <v>0.0</v>
      </c>
      <c r="BD238" s="39">
        <v>100.0</v>
      </c>
      <c r="BE238" s="39">
        <v>0.0</v>
      </c>
      <c r="BF238" s="39">
        <v>120.0</v>
      </c>
      <c r="BG238" s="37" t="str">
        <f t="array" ref="BG238">IF($A238="","", INDEX(CS!$B$1:$B$15025,MATCH($A238,CS!$B:$B,0)+COLUMN(A$1),1))</f>
        <v>牙</v>
      </c>
      <c r="BH238" s="37" t="str">
        <f t="array" ref="BH238">IF($A238="","", INDEX(CS!$B$1:$B$15025,MATCH($A238,CS!$B:$B,0)+COLUMN(B$1),1))</f>
        <v>尾</v>
      </c>
      <c r="BI238" s="37" t="str">
        <f t="array" ref="BI238">IF($A238="","", INDEX(CS!$B$1:$B$15025,MATCH($A238,CS!$B:$B,0)+COLUMN(C$1),1))</f>
        <v>デスロール</v>
      </c>
      <c r="BJ238" s="37" t="str">
        <f t="array" ref="BJ238">IF($A238="","", INDEX(CS!$B$1:$B$15025,MATCH($A238,CS!$B:$B,0)+COLUMN(D$1),1))</f>
        <v>強靭な顎</v>
      </c>
      <c r="BK238" s="37" t="str">
        <f t="array" ref="BK238">IF($A238="","", INDEX(CS!$B$1:$B$15025,MATCH($A238,CS!$B:$B,0)+COLUMN(E$1),1))</f>
        <v>反応</v>
      </c>
      <c r="BL238" s="37" t="str">
        <f t="array" ref="BL238">IF($A238="","", INDEX(CS!$B$1:$B$15025,MATCH($A238,CS!$B:$B,0)+COLUMN(F$1),1))</f>
        <v/>
      </c>
      <c r="BM238" s="37" t="str">
        <f t="array" ref="BM238">IF($A238="","", INDEX(CS!$B$1:$B$15025,MATCH($A238,CS!$B:$B,0)+COLUMN(G$1),1))</f>
        <v>野生感覚</v>
      </c>
      <c r="BN238" s="37" t="str">
        <f t="array" ref="BN238">IF($A238="","", INDEX(CS!$B$1:$B$15025,MATCH($A238,CS!$B:$B,0)+COLUMN(H$1),1))</f>
        <v/>
      </c>
      <c r="BO238" s="37" t="str">
        <f t="array" ref="BO238">IF($A238="","", INDEX(CS!$B$1:$B$15025,MATCH($A238,CS!$B:$B,0)+COLUMN(I$1),1))</f>
        <v/>
      </c>
      <c r="BP238" s="37" t="str">
        <f t="array" ref="BP238">IF($A238="","", INDEX(CS!$B$1:$B$15025,MATCH($A238,CS!$B:$B,0)+COLUMN(J$1),1))</f>
        <v/>
      </c>
      <c r="BS238" s="74"/>
      <c r="BV238" s="37" t="s">
        <v>2659</v>
      </c>
      <c r="BW238" s="57">
        <v>130.0</v>
      </c>
      <c r="BX238" s="75">
        <v>10.0</v>
      </c>
      <c r="BY238" s="75">
        <v>0.0</v>
      </c>
      <c r="BZ238" s="75">
        <v>90.0</v>
      </c>
      <c r="CA238" s="75">
        <v>30.0</v>
      </c>
      <c r="CD238" s="75">
        <v>4.0</v>
      </c>
      <c r="CE238" s="75"/>
      <c r="CG238" s="37" t="s">
        <v>2732</v>
      </c>
      <c r="CH238" s="37" t="s">
        <v>2732</v>
      </c>
      <c r="CI238" s="37" t="s">
        <v>2732</v>
      </c>
      <c r="CK238" s="37" t="s">
        <v>2732</v>
      </c>
      <c r="CN238" s="37" t="s">
        <v>2898</v>
      </c>
    </row>
    <row r="239" ht="18.75" customHeight="1" outlineLevel="1">
      <c r="A239" s="90" t="s">
        <v>1521</v>
      </c>
      <c r="B239" s="91"/>
      <c r="C239" s="90" t="s">
        <v>2898</v>
      </c>
      <c r="D239" s="92" t="str">
        <f t="shared" si="12"/>
        <v>515/390/125</v>
      </c>
      <c r="E239" s="93">
        <v>1.0</v>
      </c>
      <c r="F239" s="90">
        <v>90.0</v>
      </c>
      <c r="G239" s="79"/>
      <c r="H239" s="79"/>
      <c r="I239" s="90">
        <v>75.0</v>
      </c>
      <c r="J239" s="90">
        <v>20.0</v>
      </c>
      <c r="K239" s="94">
        <v>0.0</v>
      </c>
      <c r="L239" s="90">
        <v>25.0</v>
      </c>
      <c r="M239" s="90">
        <v>110.0</v>
      </c>
      <c r="N239" s="90">
        <v>70.0</v>
      </c>
      <c r="O239" s="90">
        <v>250.0</v>
      </c>
      <c r="P239" s="90">
        <v>0.0</v>
      </c>
      <c r="Q239" s="82"/>
      <c r="R239" s="82"/>
      <c r="S239" s="82"/>
      <c r="T239" s="82"/>
      <c r="U239" s="82"/>
      <c r="V239" s="82"/>
      <c r="W239" s="82"/>
      <c r="X239" s="82"/>
      <c r="Y239" s="82"/>
      <c r="Z239" s="82"/>
      <c r="AA239" s="82"/>
      <c r="AB239" s="79"/>
      <c r="AC239" s="90">
        <v>-35.0</v>
      </c>
      <c r="AD239" s="90">
        <v>10.0</v>
      </c>
      <c r="AE239" s="79"/>
      <c r="AF239" s="90">
        <v>15.0</v>
      </c>
      <c r="AG239" s="90">
        <v>10.0</v>
      </c>
      <c r="AH239" s="79"/>
      <c r="AI239" s="79"/>
      <c r="AJ239" s="90">
        <v>0.0</v>
      </c>
      <c r="AK239" s="90">
        <v>0.0</v>
      </c>
      <c r="AL239" s="90">
        <v>0.0</v>
      </c>
      <c r="AM239" s="90">
        <v>75.0</v>
      </c>
      <c r="AN239" s="90">
        <v>0.0</v>
      </c>
      <c r="AO239" s="90">
        <v>0.0</v>
      </c>
      <c r="AP239" s="90">
        <v>0.0</v>
      </c>
      <c r="AQ239" s="90">
        <v>0.0</v>
      </c>
      <c r="AR239" s="90">
        <v>50.0</v>
      </c>
      <c r="AS239" s="90">
        <v>0.0</v>
      </c>
      <c r="AT239" s="90">
        <v>0.0</v>
      </c>
      <c r="AU239" s="90">
        <v>0.0</v>
      </c>
      <c r="AV239" s="90">
        <v>0.0</v>
      </c>
      <c r="AW239" s="90">
        <v>0.0</v>
      </c>
      <c r="AX239" s="90">
        <v>0.0</v>
      </c>
      <c r="AY239" s="90">
        <v>0.0</v>
      </c>
      <c r="AZ239" s="90">
        <v>0.0</v>
      </c>
      <c r="BA239" s="90">
        <v>0.0</v>
      </c>
      <c r="BB239" s="90">
        <v>0.0</v>
      </c>
      <c r="BC239" s="90">
        <v>0.0</v>
      </c>
      <c r="BD239" s="90">
        <v>0.0</v>
      </c>
      <c r="BE239" s="90">
        <v>0.0</v>
      </c>
      <c r="BF239" s="90">
        <v>20.0</v>
      </c>
      <c r="BG239" s="79" t="str">
        <f t="array" ref="BG239">IF($A239="","", INDEX(CS!$B$1:$B$15025,MATCH($A239,CS!$B:$B,0)+COLUMN(A$1),1))</f>
        <v>後脚蹴り</v>
      </c>
      <c r="BH239" s="79" t="str">
        <f t="array" ref="BH239">IF($A239="","", INDEX(CS!$B$1:$B$15025,MATCH($A239,CS!$B:$B,0)+COLUMN(B$1),1))</f>
        <v>馬の突進</v>
      </c>
      <c r="BI239" s="79" t="str">
        <f t="array" ref="BI239">IF($A239="","", INDEX(CS!$B$1:$B$15025,MATCH($A239,CS!$B:$B,0)+COLUMN(C$1),1))</f>
        <v>蹄撃強化</v>
      </c>
      <c r="BJ239" s="79" t="str">
        <f t="array" ref="BJ239">IF($A239="","", INDEX(CS!$B$1:$B$15025,MATCH($A239,CS!$B:$B,0)+COLUMN(D$1),1))</f>
        <v>踏みつけ</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1528</v>
      </c>
      <c r="B240" s="91"/>
      <c r="C240" s="90" t="s">
        <v>2898</v>
      </c>
      <c r="D240" s="92" t="str">
        <f t="shared" si="12"/>
        <v>550/375/175</v>
      </c>
      <c r="E240" s="93">
        <v>1.0</v>
      </c>
      <c r="F240" s="90">
        <v>105.0</v>
      </c>
      <c r="G240" s="79"/>
      <c r="H240" s="79"/>
      <c r="I240" s="90">
        <v>95.0</v>
      </c>
      <c r="J240" s="90">
        <v>15.0</v>
      </c>
      <c r="K240" s="94">
        <v>0.0</v>
      </c>
      <c r="L240" s="90">
        <v>25.0</v>
      </c>
      <c r="M240" s="90">
        <v>70.0</v>
      </c>
      <c r="N240" s="90">
        <v>65.0</v>
      </c>
      <c r="O240" s="90">
        <v>250.0</v>
      </c>
      <c r="P240" s="90">
        <v>0.0</v>
      </c>
      <c r="Q240" s="82"/>
      <c r="R240" s="82"/>
      <c r="S240" s="82"/>
      <c r="T240" s="82"/>
      <c r="U240" s="82"/>
      <c r="V240" s="82"/>
      <c r="W240" s="82"/>
      <c r="X240" s="82"/>
      <c r="Y240" s="82"/>
      <c r="Z240" s="82"/>
      <c r="AA240" s="82"/>
      <c r="AB240" s="79"/>
      <c r="AC240" s="90">
        <v>-35.0</v>
      </c>
      <c r="AD240" s="90">
        <v>15.0</v>
      </c>
      <c r="AE240" s="79"/>
      <c r="AF240" s="90">
        <v>10.0</v>
      </c>
      <c r="AG240" s="90">
        <v>10.0</v>
      </c>
      <c r="AH240" s="79"/>
      <c r="AI240" s="79"/>
      <c r="AJ240" s="90">
        <v>0.0</v>
      </c>
      <c r="AK240" s="90">
        <v>50.0</v>
      </c>
      <c r="AL240" s="90">
        <v>0.0</v>
      </c>
      <c r="AM240" s="90">
        <v>25.0</v>
      </c>
      <c r="AN240" s="90">
        <v>0.0</v>
      </c>
      <c r="AO240" s="90">
        <v>0.0</v>
      </c>
      <c r="AP240" s="90">
        <v>0.0</v>
      </c>
      <c r="AQ240" s="90">
        <v>25.0</v>
      </c>
      <c r="AR240" s="90">
        <v>75.0</v>
      </c>
      <c r="AS240" s="90">
        <v>0.0</v>
      </c>
      <c r="AT240" s="90">
        <v>0.0</v>
      </c>
      <c r="AU240" s="90">
        <v>0.0</v>
      </c>
      <c r="AV240" s="90">
        <v>0.0</v>
      </c>
      <c r="AW240" s="90">
        <v>0.0</v>
      </c>
      <c r="AX240" s="90">
        <v>0.0</v>
      </c>
      <c r="AY240" s="90">
        <v>0.0</v>
      </c>
      <c r="AZ240" s="90">
        <v>0.0</v>
      </c>
      <c r="BA240" s="90">
        <v>0.0</v>
      </c>
      <c r="BB240" s="90">
        <v>120.0</v>
      </c>
      <c r="BC240" s="90">
        <v>0.0</v>
      </c>
      <c r="BD240" s="90">
        <v>0.0</v>
      </c>
      <c r="BE240" s="90">
        <v>0.0</v>
      </c>
      <c r="BF240" s="90">
        <v>40.0</v>
      </c>
      <c r="BG240" s="79" t="str">
        <f t="array" ref="BG240">IF($A240="","", INDEX(CS!$B$1:$B$15025,MATCH($A240,CS!$B:$B,0)+COLUMN(A$1),1))</f>
        <v>牙</v>
      </c>
      <c r="BH240" s="79" t="str">
        <f t="array" ref="BH240">IF($A240="","", INDEX(CS!$B$1:$B$15025,MATCH($A240,CS!$B:$B,0)+COLUMN(B$1),1))</f>
        <v>猪の突進</v>
      </c>
      <c r="BI240" s="79" t="str">
        <f t="array" ref="BI240">IF($A240="","", INDEX(CS!$B$1:$B$15025,MATCH($A240,CS!$B:$B,0)+COLUMN(C$1),1))</f>
        <v>猪突猛進</v>
      </c>
      <c r="BJ240" s="79" t="str">
        <f t="array" ref="BJ240">IF($A240="","", INDEX(CS!$B$1:$B$15025,MATCH($A240,CS!$B:$B,0)+COLUMN(D$1),1))</f>
        <v>踏みつけ</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1533</v>
      </c>
      <c r="B241" s="91"/>
      <c r="C241" s="90" t="s">
        <v>2898</v>
      </c>
      <c r="D241" s="92" t="str">
        <f t="shared" si="12"/>
        <v>755/505/250</v>
      </c>
      <c r="E241" s="93">
        <v>1.0</v>
      </c>
      <c r="F241" s="90">
        <v>105.0</v>
      </c>
      <c r="G241" s="79"/>
      <c r="H241" s="79"/>
      <c r="I241" s="90">
        <v>100.0</v>
      </c>
      <c r="J241" s="90">
        <v>90.0</v>
      </c>
      <c r="K241" s="94">
        <v>0.0</v>
      </c>
      <c r="L241" s="90">
        <v>50.0</v>
      </c>
      <c r="M241" s="90">
        <v>80.0</v>
      </c>
      <c r="N241" s="90">
        <v>80.0</v>
      </c>
      <c r="O241" s="90">
        <v>250.0</v>
      </c>
      <c r="P241" s="90">
        <v>0.0</v>
      </c>
      <c r="Q241" s="82"/>
      <c r="R241" s="82"/>
      <c r="S241" s="82"/>
      <c r="T241" s="82"/>
      <c r="U241" s="82"/>
      <c r="V241" s="82"/>
      <c r="W241" s="82"/>
      <c r="X241" s="82"/>
      <c r="Y241" s="82"/>
      <c r="Z241" s="82"/>
      <c r="AA241" s="82"/>
      <c r="AB241" s="79"/>
      <c r="AC241" s="90">
        <v>-35.0</v>
      </c>
      <c r="AD241" s="90">
        <v>15.0</v>
      </c>
      <c r="AE241" s="79"/>
      <c r="AF241" s="90">
        <v>15.0</v>
      </c>
      <c r="AG241" s="90">
        <v>10.0</v>
      </c>
      <c r="AH241" s="79"/>
      <c r="AI241" s="79"/>
      <c r="AJ241" s="90">
        <v>0.0</v>
      </c>
      <c r="AK241" s="90">
        <v>75.0</v>
      </c>
      <c r="AL241" s="90">
        <v>25.0</v>
      </c>
      <c r="AM241" s="90">
        <v>50.0</v>
      </c>
      <c r="AN241" s="90">
        <v>0.0</v>
      </c>
      <c r="AO241" s="90">
        <v>0.0</v>
      </c>
      <c r="AP241" s="90">
        <v>0.0</v>
      </c>
      <c r="AQ241" s="90">
        <v>25.0</v>
      </c>
      <c r="AR241" s="90">
        <v>75.0</v>
      </c>
      <c r="AS241" s="90">
        <v>0.0</v>
      </c>
      <c r="AT241" s="90">
        <v>0.0</v>
      </c>
      <c r="AU241" s="90">
        <v>0.0</v>
      </c>
      <c r="AV241" s="90">
        <v>0.0</v>
      </c>
      <c r="AW241" s="90">
        <v>0.0</v>
      </c>
      <c r="AX241" s="90">
        <v>0.0</v>
      </c>
      <c r="AY241" s="90">
        <v>0.0</v>
      </c>
      <c r="AZ241" s="90">
        <v>0.0</v>
      </c>
      <c r="BA241" s="90"/>
      <c r="BB241" s="90">
        <v>120.0</v>
      </c>
      <c r="BC241" s="90">
        <v>140.0</v>
      </c>
      <c r="BD241" s="90">
        <v>0.0</v>
      </c>
      <c r="BE241" s="90">
        <v>0.0</v>
      </c>
      <c r="BF241" s="90">
        <v>40.0</v>
      </c>
      <c r="BG241" s="79" t="str">
        <f t="array" ref="BG241">IF($A241="","", INDEX(CS!$B$1:$B$15025,MATCH($A241,CS!$B:$B,0)+COLUMN(A$1),1))</f>
        <v>爪</v>
      </c>
      <c r="BH241" s="79" t="str">
        <f t="array" ref="BH241">IF($A241="","", INDEX(CS!$B$1:$B$15025,MATCH($A241,CS!$B:$B,0)+COLUMN(B$1),1))</f>
        <v>牙</v>
      </c>
      <c r="BI241" s="79" t="str">
        <f t="array" ref="BI241">IF($A241="","", INDEX(CS!$B$1:$B$15025,MATCH($A241,CS!$B:$B,0)+COLUMN(C$1),1))</f>
        <v>獅子の咆哮</v>
      </c>
      <c r="BJ241" s="79" t="str">
        <f t="array" ref="BJ241">IF($A241="","", INDEX(CS!$B$1:$B$15025,MATCH($A241,CS!$B:$B,0)+COLUMN(D$1),1))</f>
        <v>猛獣の飛びかかり</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1537</v>
      </c>
      <c r="B242" s="91"/>
      <c r="C242" s="90" t="s">
        <v>2898</v>
      </c>
      <c r="D242" s="92" t="str">
        <f t="shared" si="12"/>
        <v>580/430/150</v>
      </c>
      <c r="E242" s="93">
        <v>1.0</v>
      </c>
      <c r="F242" s="90">
        <v>85.0</v>
      </c>
      <c r="G242" s="79"/>
      <c r="H242" s="79"/>
      <c r="I242" s="90">
        <v>75.0</v>
      </c>
      <c r="J242" s="90">
        <v>70.0</v>
      </c>
      <c r="K242" s="94">
        <v>0.0</v>
      </c>
      <c r="L242" s="90">
        <v>40.0</v>
      </c>
      <c r="M242" s="90">
        <v>85.0</v>
      </c>
      <c r="N242" s="90">
        <v>75.0</v>
      </c>
      <c r="O242" s="90">
        <v>150.0</v>
      </c>
      <c r="P242" s="90">
        <v>0.0</v>
      </c>
      <c r="Q242" s="82"/>
      <c r="R242" s="82"/>
      <c r="S242" s="82"/>
      <c r="T242" s="82"/>
      <c r="U242" s="82"/>
      <c r="V242" s="82"/>
      <c r="W242" s="82"/>
      <c r="X242" s="82"/>
      <c r="Y242" s="82"/>
      <c r="Z242" s="82"/>
      <c r="AA242" s="82"/>
      <c r="AB242" s="79"/>
      <c r="AC242" s="90">
        <v>-35.0</v>
      </c>
      <c r="AD242" s="90">
        <v>10.0</v>
      </c>
      <c r="AE242" s="79"/>
      <c r="AF242" s="90">
        <v>10.0</v>
      </c>
      <c r="AG242" s="90">
        <v>10.0</v>
      </c>
      <c r="AH242" s="79"/>
      <c r="AI242" s="79"/>
      <c r="AJ242" s="90">
        <v>0.0</v>
      </c>
      <c r="AK242" s="90">
        <v>0.0</v>
      </c>
      <c r="AL242" s="90">
        <v>25.0</v>
      </c>
      <c r="AM242" s="90">
        <v>75.0</v>
      </c>
      <c r="AN242" s="90">
        <v>0.0</v>
      </c>
      <c r="AO242" s="90">
        <v>0.0</v>
      </c>
      <c r="AP242" s="90">
        <v>0.0</v>
      </c>
      <c r="AQ242" s="90">
        <v>0.0</v>
      </c>
      <c r="AR242" s="90">
        <v>50.0</v>
      </c>
      <c r="AS242" s="90">
        <v>0.0</v>
      </c>
      <c r="AT242" s="90">
        <v>0.0</v>
      </c>
      <c r="AU242" s="90">
        <v>0.0</v>
      </c>
      <c r="AV242" s="90">
        <v>0.0</v>
      </c>
      <c r="AW242" s="90">
        <v>0.0</v>
      </c>
      <c r="AX242" s="90">
        <v>0.0</v>
      </c>
      <c r="AY242" s="90">
        <v>0.0</v>
      </c>
      <c r="AZ242" s="90">
        <v>0.0</v>
      </c>
      <c r="BA242" s="90">
        <v>120.0</v>
      </c>
      <c r="BB242" s="90"/>
      <c r="BC242" s="90"/>
      <c r="BD242" s="90"/>
      <c r="BE242" s="90"/>
      <c r="BF242" s="90">
        <v>20.0</v>
      </c>
      <c r="BG242" s="79" t="str">
        <f t="array" ref="BG242">IF($A242="","", INDEX(CS!$B$1:$B$15025,MATCH($A242,CS!$B:$B,0)+COLUMN(A$1),1))</f>
        <v>角</v>
      </c>
      <c r="BH242" s="79" t="str">
        <f t="array" ref="BH242">IF($A242="","", INDEX(CS!$B$1:$B$15025,MATCH($A242,CS!$B:$B,0)+COLUMN(B$1),1))</f>
        <v>山羊の突進</v>
      </c>
      <c r="BI242" s="79" t="str">
        <f t="array" ref="BI242">IF($A242="","", INDEX(CS!$B$1:$B$15025,MATCH($A242,CS!$B:$B,0)+COLUMN(C$1),1))</f>
        <v>強靭な角</v>
      </c>
      <c r="BJ242" s="79" t="str">
        <f t="array" ref="BJ242">IF($A242="","", INDEX(CS!$B$1:$B$15025,MATCH($A242,CS!$B:$B,0)+COLUMN(D$1),1))</f>
        <v>岩場適応</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1547</v>
      </c>
      <c r="B243" s="91"/>
      <c r="C243" s="90" t="s">
        <v>2898</v>
      </c>
      <c r="D243" s="92" t="str">
        <f t="shared" si="12"/>
        <v>730/430/300</v>
      </c>
      <c r="E243" s="93">
        <v>1.0</v>
      </c>
      <c r="F243" s="90">
        <v>60.0</v>
      </c>
      <c r="G243" s="79"/>
      <c r="H243" s="79"/>
      <c r="I243" s="90">
        <v>70.0</v>
      </c>
      <c r="J243" s="90">
        <v>45.0</v>
      </c>
      <c r="K243" s="94">
        <v>0.0</v>
      </c>
      <c r="L243" s="90">
        <v>50.0</v>
      </c>
      <c r="M243" s="90">
        <v>105.0</v>
      </c>
      <c r="N243" s="90">
        <v>100.0</v>
      </c>
      <c r="O243" s="90">
        <v>100.0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75.0</v>
      </c>
      <c r="AM243" s="90">
        <v>75.0</v>
      </c>
      <c r="AN243" s="90">
        <v>0.0</v>
      </c>
      <c r="AO243" s="90">
        <v>0.0</v>
      </c>
      <c r="AP243" s="90">
        <v>0.0</v>
      </c>
      <c r="AQ243" s="90">
        <v>50.0</v>
      </c>
      <c r="AR243" s="90">
        <v>100.0</v>
      </c>
      <c r="AS243" s="90">
        <v>0.0</v>
      </c>
      <c r="AT243" s="90">
        <v>0.0</v>
      </c>
      <c r="AU243" s="90">
        <v>0.0</v>
      </c>
      <c r="AV243" s="90">
        <v>0.0</v>
      </c>
      <c r="AW243" s="90">
        <v>0.0</v>
      </c>
      <c r="AX243" s="90">
        <v>0.0</v>
      </c>
      <c r="AY243" s="90">
        <v>0.0</v>
      </c>
      <c r="AZ243" s="90">
        <v>0.0</v>
      </c>
      <c r="BA243" s="90"/>
      <c r="BB243" s="90"/>
      <c r="BC243" s="90">
        <v>100.0</v>
      </c>
      <c r="BD243" s="90"/>
      <c r="BE243" s="90">
        <v>100.0</v>
      </c>
      <c r="BF243" s="90">
        <v>10.0</v>
      </c>
      <c r="BG243" s="79" t="str">
        <f t="array" ref="BG243">IF($A243="","", INDEX(CS!$B$1:$B$15025,MATCH($A243,CS!$B:$B,0)+COLUMN(A$1),1))</f>
        <v>爪</v>
      </c>
      <c r="BH243" s="79" t="str">
        <f t="array" ref="BH243">IF($A243="","", INDEX(CS!$B$1:$B$15025,MATCH($A243,CS!$B:$B,0)+COLUMN(B$1),1))</f>
        <v>翼</v>
      </c>
      <c r="BI243" s="79" t="str">
        <f t="array" ref="BI243">IF($A243="","", INDEX(CS!$B$1:$B$15025,MATCH($A243,CS!$B:$B,0)+COLUMN(C$1),1))</f>
        <v>梟の急降下</v>
      </c>
      <c r="BJ243" s="79" t="str">
        <f t="array" ref="BJ243">IF($A243="","", INDEX(CS!$B$1:$B$15025,MATCH($A243,CS!$B:$B,0)+COLUMN(D$1),1))</f>
        <v>梟の眼</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t="s">
        <v>1554</v>
      </c>
      <c r="B244" s="91"/>
      <c r="C244" s="90" t="s">
        <v>2898</v>
      </c>
      <c r="D244" s="92" t="str">
        <f t="shared" si="12"/>
        <v>575/400/175</v>
      </c>
      <c r="E244" s="93">
        <v>1.0</v>
      </c>
      <c r="F244" s="90">
        <v>75.0</v>
      </c>
      <c r="G244" s="79"/>
      <c r="H244" s="79"/>
      <c r="I244" s="90">
        <v>75.0</v>
      </c>
      <c r="J244" s="90">
        <v>70.0</v>
      </c>
      <c r="K244" s="94">
        <v>0.0</v>
      </c>
      <c r="L244" s="90">
        <v>35.0</v>
      </c>
      <c r="M244" s="90">
        <v>75.0</v>
      </c>
      <c r="N244" s="90">
        <v>70.0</v>
      </c>
      <c r="O244" s="90">
        <v>100.0</v>
      </c>
      <c r="P244" s="90">
        <v>0.0</v>
      </c>
      <c r="Q244" s="82"/>
      <c r="R244" s="82"/>
      <c r="S244" s="82"/>
      <c r="T244" s="82"/>
      <c r="U244" s="82"/>
      <c r="V244" s="82"/>
      <c r="W244" s="82"/>
      <c r="X244" s="82"/>
      <c r="Y244" s="82"/>
      <c r="Z244" s="82"/>
      <c r="AA244" s="82"/>
      <c r="AB244" s="79"/>
      <c r="AC244" s="90">
        <v>-35.0</v>
      </c>
      <c r="AD244" s="90">
        <v>10.0</v>
      </c>
      <c r="AE244" s="79"/>
      <c r="AF244" s="90">
        <v>10.0</v>
      </c>
      <c r="AG244" s="90">
        <v>10.0</v>
      </c>
      <c r="AH244" s="79"/>
      <c r="AI244" s="79"/>
      <c r="AJ244" s="90">
        <v>0.0</v>
      </c>
      <c r="AK244" s="90">
        <v>0.0</v>
      </c>
      <c r="AL244" s="90">
        <v>25.0</v>
      </c>
      <c r="AM244" s="90">
        <v>50.0</v>
      </c>
      <c r="AN244" s="90">
        <v>0.0</v>
      </c>
      <c r="AO244" s="90">
        <v>0.0</v>
      </c>
      <c r="AP244" s="90">
        <v>0.0</v>
      </c>
      <c r="AQ244" s="90">
        <v>50.0</v>
      </c>
      <c r="AR244" s="90">
        <v>50.0</v>
      </c>
      <c r="AS244" s="90">
        <v>0.0</v>
      </c>
      <c r="AT244" s="90">
        <v>0.0</v>
      </c>
      <c r="AU244" s="90">
        <v>0.0</v>
      </c>
      <c r="AV244" s="90">
        <v>0.0</v>
      </c>
      <c r="AW244" s="90">
        <v>0.0</v>
      </c>
      <c r="AX244" s="90">
        <v>0.0</v>
      </c>
      <c r="AY244" s="90">
        <v>0.0</v>
      </c>
      <c r="AZ244" s="90">
        <v>0.0</v>
      </c>
      <c r="BA244" s="90"/>
      <c r="BB244" s="90">
        <v>80.0</v>
      </c>
      <c r="BC244" s="90"/>
      <c r="BD244" s="90">
        <v>80.0</v>
      </c>
      <c r="BE244" s="90"/>
      <c r="BF244" s="90">
        <v>30.0</v>
      </c>
      <c r="BG244" s="79" t="str">
        <f t="array" ref="BG244">IF($A244="","", INDEX(CS!$B$1:$B$15025,MATCH($A244,CS!$B:$B,0)+COLUMN(A$1),1))</f>
        <v>牙</v>
      </c>
      <c r="BH244" s="79" t="str">
        <f t="array" ref="BH244">IF($A244="","", INDEX(CS!$B$1:$B$15025,MATCH($A244,CS!$B:$B,0)+COLUMN(B$1),1))</f>
        <v>尾</v>
      </c>
      <c r="BI244" s="79" t="str">
        <f t="array" ref="BI244">IF($A244="","", INDEX(CS!$B$1:$B$15025,MATCH($A244,CS!$B:$B,0)+COLUMN(C$1),1))</f>
        <v>鱗皮</v>
      </c>
      <c r="BJ244" s="79" t="str">
        <f t="array" ref="BJ244">IF($A244="","", INDEX(CS!$B$1:$B$15025,MATCH($A244,CS!$B:$B,0)+COLUMN(D$1),1))</f>
        <v>爬行</v>
      </c>
      <c r="BK244" s="79" t="str">
        <f t="array" ref="BK244">IF($A244="","", INDEX(CS!$B$1:$B$15025,MATCH($A244,CS!$B:$B,0)+COLUMN(E$1),1))</f>
        <v>反応</v>
      </c>
      <c r="BL244" s="79" t="str">
        <f t="array" ref="BL244">IF($A244="","", INDEX(CS!$B$1:$B$15025,MATCH($A244,CS!$B:$B,0)+COLUMN(F$1),1))</f>
        <v/>
      </c>
      <c r="BM244" s="79" t="str">
        <f t="array" ref="BM244">IF($A244="","", INDEX(CS!$B$1:$B$15025,MATCH($A244,CS!$B:$B,0)+COLUMN(G$1),1))</f>
        <v>野生感覚</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outlineLevel="1">
      <c r="A245" s="90" t="s">
        <v>1561</v>
      </c>
      <c r="B245" s="91"/>
      <c r="C245" s="90" t="s">
        <v>2898</v>
      </c>
      <c r="D245" s="92" t="str">
        <f t="shared" si="12"/>
        <v>720/445/275</v>
      </c>
      <c r="E245" s="93">
        <v>1.0</v>
      </c>
      <c r="F245" s="90">
        <v>80.0</v>
      </c>
      <c r="G245" s="79"/>
      <c r="H245" s="79"/>
      <c r="I245" s="90">
        <v>75.0</v>
      </c>
      <c r="J245" s="90">
        <v>55.0</v>
      </c>
      <c r="K245" s="94">
        <v>0.0</v>
      </c>
      <c r="L245" s="90">
        <v>50.0</v>
      </c>
      <c r="M245" s="90">
        <v>95.0</v>
      </c>
      <c r="N245" s="90">
        <v>90.0</v>
      </c>
      <c r="O245" s="90">
        <v>150.0</v>
      </c>
      <c r="P245" s="90">
        <v>0.0</v>
      </c>
      <c r="Q245" s="82"/>
      <c r="R245" s="82"/>
      <c r="S245" s="82"/>
      <c r="T245" s="82"/>
      <c r="U245" s="82"/>
      <c r="V245" s="82"/>
      <c r="W245" s="82"/>
      <c r="X245" s="82"/>
      <c r="Y245" s="82"/>
      <c r="Z245" s="82"/>
      <c r="AA245" s="82"/>
      <c r="AB245" s="79"/>
      <c r="AC245" s="90">
        <v>-35.0</v>
      </c>
      <c r="AD245" s="90">
        <v>10.0</v>
      </c>
      <c r="AE245" s="79"/>
      <c r="AF245" s="90">
        <v>10.0</v>
      </c>
      <c r="AG245" s="90">
        <v>10.0</v>
      </c>
      <c r="AH245" s="79"/>
      <c r="AI245" s="79"/>
      <c r="AJ245" s="90">
        <v>0.0</v>
      </c>
      <c r="AK245" s="90">
        <v>0.0</v>
      </c>
      <c r="AL245" s="90">
        <v>50.0</v>
      </c>
      <c r="AM245" s="90">
        <v>75.0</v>
      </c>
      <c r="AN245" s="90">
        <v>75.0</v>
      </c>
      <c r="AO245" s="90">
        <v>0.0</v>
      </c>
      <c r="AP245" s="90">
        <v>0.0</v>
      </c>
      <c r="AQ245" s="90">
        <v>25.0</v>
      </c>
      <c r="AR245" s="90">
        <v>50.0</v>
      </c>
      <c r="AS245" s="90">
        <v>0.0</v>
      </c>
      <c r="AT245" s="90">
        <v>0.0</v>
      </c>
      <c r="AU245" s="90">
        <v>0.0</v>
      </c>
      <c r="AV245" s="90">
        <v>0.0</v>
      </c>
      <c r="AW245" s="90">
        <v>0.0</v>
      </c>
      <c r="AX245" s="90">
        <v>0.0</v>
      </c>
      <c r="AY245" s="90">
        <v>0.0</v>
      </c>
      <c r="AZ245" s="90">
        <v>0.0</v>
      </c>
      <c r="BA245" s="90"/>
      <c r="BB245" s="90"/>
      <c r="BC245" s="90"/>
      <c r="BD245" s="90"/>
      <c r="BE245" s="90"/>
      <c r="BF245" s="90">
        <v>10.0</v>
      </c>
      <c r="BG245" s="79" t="str">
        <f t="array" ref="BG245">IF($A245="","", INDEX(CS!$B$1:$B$15025,MATCH($A245,CS!$B:$B,0)+COLUMN(A$1),1))</f>
        <v>猿の拳</v>
      </c>
      <c r="BH245" s="79" t="str">
        <f t="array" ref="BH245">IF($A245="","", INDEX(CS!$B$1:$B$15025,MATCH($A245,CS!$B:$B,0)+COLUMN(B$1),1))</f>
        <v>投石</v>
      </c>
      <c r="BI245" s="79" t="str">
        <f t="array" ref="BI245">IF($A245="","", INDEX(CS!$B$1:$B$15025,MATCH($A245,CS!$B:$B,0)+COLUMN(C$1),1))</f>
        <v>器用な手</v>
      </c>
      <c r="BJ245" s="79" t="str">
        <f t="array" ref="BJ245">IF($A245="","", INDEX(CS!$B$1:$B$15025,MATCH($A245,CS!$B:$B,0)+COLUMN(D$1),1))</f>
        <v>樹上移動</v>
      </c>
      <c r="BK245" s="79" t="str">
        <f t="array" ref="BK245">IF($A245="","", INDEX(CS!$B$1:$B$15025,MATCH($A245,CS!$B:$B,0)+COLUMN(E$1),1))</f>
        <v>反応</v>
      </c>
      <c r="BL245" s="79" t="str">
        <f t="array" ref="BL245">IF($A245="","", INDEX(CS!$B$1:$B$15025,MATCH($A245,CS!$B:$B,0)+COLUMN(F$1),1))</f>
        <v/>
      </c>
      <c r="BM245" s="79" t="str">
        <f t="array" ref="BM245">IF($A245="","", INDEX(CS!$B$1:$B$15025,MATCH($A245,CS!$B:$B,0)+COLUMN(G$1),1))</f>
        <v>野生感覚</v>
      </c>
      <c r="BN245" s="79" t="str">
        <f t="array" ref="BN245">IF($A245="","", INDEX(CS!$B$1:$B$15025,MATCH($A245,CS!$B:$B,0)+COLUMN(H$1),1))</f>
        <v/>
      </c>
      <c r="BO245" s="79" t="str">
        <f t="array" ref="BO245">IF($A245="","", INDEX(CS!$B$1:$B$15025,MATCH($A245,CS!$B:$B,0)+COLUMN(I$1),1))</f>
        <v/>
      </c>
      <c r="BP245" s="79" t="str">
        <f t="array" ref="BP245">IF($A245="","", INDEX(CS!$B$1:$B$15025,MATCH($A245,CS!$B:$B,0)+COLUMN(J$1),1))</f>
        <v/>
      </c>
      <c r="BQ245" s="79"/>
      <c r="BR245" s="79"/>
      <c r="BS245" s="83"/>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row>
    <row r="246" ht="18.75" customHeight="1" outlineLevel="1">
      <c r="A246" s="90" t="s">
        <v>1573</v>
      </c>
      <c r="B246" s="91"/>
      <c r="C246" s="90" t="s">
        <v>2898</v>
      </c>
      <c r="D246" s="92" t="str">
        <f t="shared" si="12"/>
        <v>730/430/300</v>
      </c>
      <c r="E246" s="93">
        <v>1.0</v>
      </c>
      <c r="F246" s="90">
        <v>60.0</v>
      </c>
      <c r="G246" s="79"/>
      <c r="H246" s="79"/>
      <c r="I246" s="90">
        <v>70.0</v>
      </c>
      <c r="J246" s="90">
        <v>45.0</v>
      </c>
      <c r="K246" s="94">
        <v>0.0</v>
      </c>
      <c r="L246" s="90">
        <v>50.0</v>
      </c>
      <c r="M246" s="90">
        <v>110.0</v>
      </c>
      <c r="N246" s="90">
        <v>95.0</v>
      </c>
      <c r="O246" s="90">
        <v>80.0</v>
      </c>
      <c r="P246" s="90">
        <v>0.0</v>
      </c>
      <c r="Q246" s="82"/>
      <c r="R246" s="82"/>
      <c r="S246" s="82"/>
      <c r="T246" s="82"/>
      <c r="U246" s="82"/>
      <c r="V246" s="82"/>
      <c r="W246" s="82"/>
      <c r="X246" s="82"/>
      <c r="Y246" s="82"/>
      <c r="Z246" s="82"/>
      <c r="AA246" s="82"/>
      <c r="AB246" s="79"/>
      <c r="AC246" s="90">
        <v>-35.0</v>
      </c>
      <c r="AD246" s="90">
        <v>10.0</v>
      </c>
      <c r="AE246" s="79"/>
      <c r="AF246" s="90">
        <v>10.0</v>
      </c>
      <c r="AG246" s="90">
        <v>10.0</v>
      </c>
      <c r="AH246" s="79"/>
      <c r="AI246" s="79"/>
      <c r="AJ246" s="90">
        <v>0.0</v>
      </c>
      <c r="AK246" s="90">
        <v>0.0</v>
      </c>
      <c r="AL246" s="90">
        <v>50.0</v>
      </c>
      <c r="AM246" s="90">
        <v>75.0</v>
      </c>
      <c r="AN246" s="90">
        <v>0.0</v>
      </c>
      <c r="AO246" s="90">
        <v>0.0</v>
      </c>
      <c r="AP246" s="90">
        <v>0.0</v>
      </c>
      <c r="AQ246" s="90">
        <v>100.0</v>
      </c>
      <c r="AR246" s="90">
        <v>75.0</v>
      </c>
      <c r="AS246" s="90">
        <v>0.0</v>
      </c>
      <c r="AT246" s="90">
        <v>0.0</v>
      </c>
      <c r="AU246" s="90">
        <v>0.0</v>
      </c>
      <c r="AV246" s="90">
        <v>0.0</v>
      </c>
      <c r="AW246" s="90">
        <v>0.0</v>
      </c>
      <c r="AX246" s="90">
        <v>0.0</v>
      </c>
      <c r="AY246" s="90">
        <v>0.0</v>
      </c>
      <c r="AZ246" s="90">
        <v>0.0</v>
      </c>
      <c r="BA246" s="90"/>
      <c r="BB246" s="90">
        <v>90.0</v>
      </c>
      <c r="BC246" s="90">
        <v>90.0</v>
      </c>
      <c r="BD246" s="90">
        <v>30.0</v>
      </c>
      <c r="BE246" s="90"/>
      <c r="BF246" s="90"/>
      <c r="BG246" s="79" t="str">
        <f t="array" ref="BG246">IF($A246="","", INDEX(CS!$B$1:$B$15025,MATCH($A246,CS!$B:$B,0)+COLUMN(A$1),1))</f>
        <v>牙</v>
      </c>
      <c r="BH246" s="79" t="str">
        <f t="array" ref="BH246">IF($A246="","", INDEX(CS!$B$1:$B$15025,MATCH($A246,CS!$B:$B,0)+COLUMN(B$1),1))</f>
        <v>爪</v>
      </c>
      <c r="BI246" s="79" t="str">
        <f t="array" ref="BI246">IF($A246="","", INDEX(CS!$B$1:$B$15025,MATCH($A246,CS!$B:$B,0)+COLUMN(C$1),1))</f>
        <v>狐の身軽さ</v>
      </c>
      <c r="BJ246" s="79" t="str">
        <f t="array" ref="BJ246">IF($A246="","", INDEX(CS!$B$1:$B$15025,MATCH($A246,CS!$B:$B,0)+COLUMN(D$1),1))</f>
        <v>忍び足</v>
      </c>
      <c r="BK246" s="79" t="str">
        <f t="array" ref="BK246">IF($A246="","", INDEX(CS!$B$1:$B$15025,MATCH($A246,CS!$B:$B,0)+COLUMN(E$1),1))</f>
        <v>反応</v>
      </c>
      <c r="BL246" s="79" t="str">
        <f t="array" ref="BL246">IF($A246="","", INDEX(CS!$B$1:$B$15025,MATCH($A246,CS!$B:$B,0)+COLUMN(F$1),1))</f>
        <v/>
      </c>
      <c r="BM246" s="79" t="str">
        <f t="array" ref="BM246">IF($A246="","", INDEX(CS!$B$1:$B$15025,MATCH($A246,CS!$B:$B,0)+COLUMN(G$1),1))</f>
        <v>野生感覚</v>
      </c>
      <c r="BN246" s="79" t="str">
        <f t="array" ref="BN246">IF($A246="","", INDEX(CS!$B$1:$B$15025,MATCH($A246,CS!$B:$B,0)+COLUMN(H$1),1))</f>
        <v/>
      </c>
      <c r="BO246" s="79" t="str">
        <f t="array" ref="BO246">IF($A246="","", INDEX(CS!$B$1:$B$15025,MATCH($A246,CS!$B:$B,0)+COLUMN(I$1),1))</f>
        <v/>
      </c>
      <c r="BP246" s="79" t="str">
        <f t="array" ref="BP246">IF($A246="","", INDEX(CS!$B$1:$B$15025,MATCH($A246,CS!$B:$B,0)+COLUMN(J$1),1))</f>
        <v/>
      </c>
      <c r="BQ246" s="79"/>
      <c r="BR246" s="79"/>
      <c r="BS246" s="83"/>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row>
    <row r="247" ht="18.75" customHeight="1" outlineLevel="1">
      <c r="A247" s="90" t="s">
        <v>1580</v>
      </c>
      <c r="B247" s="91"/>
      <c r="C247" s="90" t="s">
        <v>2898</v>
      </c>
      <c r="D247" s="92" t="str">
        <f t="shared" si="12"/>
        <v>530/455/75</v>
      </c>
      <c r="E247" s="93">
        <v>1.0</v>
      </c>
      <c r="F247" s="90">
        <v>110.0</v>
      </c>
      <c r="G247" s="79"/>
      <c r="H247" s="79"/>
      <c r="I247" s="90">
        <v>70.0</v>
      </c>
      <c r="J247" s="90">
        <v>120.0</v>
      </c>
      <c r="K247" s="94">
        <v>0.0</v>
      </c>
      <c r="L247" s="90">
        <v>60.0</v>
      </c>
      <c r="M247" s="90">
        <v>35.0</v>
      </c>
      <c r="N247" s="90">
        <v>60.0</v>
      </c>
      <c r="O247" s="90">
        <v>180.0</v>
      </c>
      <c r="P247" s="90">
        <v>0.0</v>
      </c>
      <c r="Q247" s="82"/>
      <c r="R247" s="82"/>
      <c r="S247" s="82"/>
      <c r="T247" s="82"/>
      <c r="U247" s="82"/>
      <c r="V247" s="82"/>
      <c r="W247" s="82"/>
      <c r="X247" s="82"/>
      <c r="Y247" s="82"/>
      <c r="Z247" s="82"/>
      <c r="AA247" s="82"/>
      <c r="AB247" s="79"/>
      <c r="AC247" s="90">
        <v>-35.0</v>
      </c>
      <c r="AD247" s="90">
        <v>20.0</v>
      </c>
      <c r="AE247" s="79"/>
      <c r="AF247" s="90">
        <v>10.0</v>
      </c>
      <c r="AG247" s="90">
        <v>10.0</v>
      </c>
      <c r="AH247" s="79"/>
      <c r="AI247" s="79"/>
      <c r="AJ247" s="90">
        <v>0.0</v>
      </c>
      <c r="AK247" s="90">
        <v>0.0</v>
      </c>
      <c r="AL247" s="90">
        <v>25.0</v>
      </c>
      <c r="AM247" s="90">
        <v>25.0</v>
      </c>
      <c r="AN247" s="90">
        <v>0.0</v>
      </c>
      <c r="AO247" s="90">
        <v>0.0</v>
      </c>
      <c r="AP247" s="90">
        <v>0.0</v>
      </c>
      <c r="AQ247" s="90">
        <v>0.0</v>
      </c>
      <c r="AR247" s="90">
        <v>25.0</v>
      </c>
      <c r="AS247" s="90">
        <v>0.0</v>
      </c>
      <c r="AT247" s="90">
        <v>0.0</v>
      </c>
      <c r="AU247" s="90">
        <v>0.0</v>
      </c>
      <c r="AV247" s="90">
        <v>0.0</v>
      </c>
      <c r="AW247" s="90">
        <v>0.0</v>
      </c>
      <c r="AX247" s="90">
        <v>0.0</v>
      </c>
      <c r="AY247" s="90">
        <v>0.0</v>
      </c>
      <c r="AZ247" s="90">
        <v>0.0</v>
      </c>
      <c r="BA247" s="90"/>
      <c r="BB247" s="90">
        <v>60.0</v>
      </c>
      <c r="BC247" s="90"/>
      <c r="BD247" s="90"/>
      <c r="BE247" s="90"/>
      <c r="BF247" s="90">
        <v>150.0</v>
      </c>
      <c r="BG247" s="79" t="str">
        <f t="array" ref="BG247">IF($A247="","", INDEX(CS!$B$1:$B$15025,MATCH($A247,CS!$B:$B,0)+COLUMN(A$1),1))</f>
        <v>牙</v>
      </c>
      <c r="BH247" s="79" t="str">
        <f t="array" ref="BH247">IF($A247="","", INDEX(CS!$B$1:$B$15025,MATCH($A247,CS!$B:$B,0)+COLUMN(B$1),1))</f>
        <v>甲羅体当たり</v>
      </c>
      <c r="BI247" s="79" t="str">
        <f t="array" ref="BI247">IF($A247="","", INDEX(CS!$B$1:$B$15025,MATCH($A247,CS!$B:$B,0)+COLUMN(C$1),1))</f>
        <v>甲羅</v>
      </c>
      <c r="BJ247" s="79" t="str">
        <f t="array" ref="BJ247">IF($A247="","", INDEX(CS!$B$1:$B$15025,MATCH($A247,CS!$B:$B,0)+COLUMN(D$1),1))</f>
        <v>甲羅防御</v>
      </c>
      <c r="BK247" s="79" t="str">
        <f t="array" ref="BK247">IF($A247="","", INDEX(CS!$B$1:$B$15025,MATCH($A247,CS!$B:$B,0)+COLUMN(E$1),1))</f>
        <v>反応</v>
      </c>
      <c r="BL247" s="79" t="str">
        <f t="array" ref="BL247">IF($A247="","", INDEX(CS!$B$1:$B$15025,MATCH($A247,CS!$B:$B,0)+COLUMN(F$1),1))</f>
        <v/>
      </c>
      <c r="BM247" s="79" t="str">
        <f t="array" ref="BM247">IF($A247="","", INDEX(CS!$B$1:$B$15025,MATCH($A247,CS!$B:$B,0)+COLUMN(G$1),1))</f>
        <v>野生感覚</v>
      </c>
      <c r="BN247" s="79" t="str">
        <f t="array" ref="BN247">IF($A247="","", INDEX(CS!$B$1:$B$15025,MATCH($A247,CS!$B:$B,0)+COLUMN(H$1),1))</f>
        <v/>
      </c>
      <c r="BO247" s="79" t="str">
        <f t="array" ref="BO247">IF($A247="","", INDEX(CS!$B$1:$B$15025,MATCH($A247,CS!$B:$B,0)+COLUMN(I$1),1))</f>
        <v/>
      </c>
      <c r="BP247" s="79" t="str">
        <f t="array" ref="BP247">IF($A247="","", INDEX(CS!$B$1:$B$15025,MATCH($A247,CS!$B:$B,0)+COLUMN(J$1),1))</f>
        <v/>
      </c>
      <c r="BQ247" s="79"/>
      <c r="BR247" s="79"/>
      <c r="BS247" s="83"/>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row>
    <row r="248" ht="18.75" customHeight="1" outlineLevel="1">
      <c r="A248" s="90" t="s">
        <v>1590</v>
      </c>
      <c r="B248" s="91"/>
      <c r="C248" s="90" t="s">
        <v>2898</v>
      </c>
      <c r="D248" s="92" t="str">
        <f t="shared" si="12"/>
        <v>675/450/225</v>
      </c>
      <c r="E248" s="93">
        <v>1.0</v>
      </c>
      <c r="F248" s="90">
        <v>85.0</v>
      </c>
      <c r="G248" s="79"/>
      <c r="H248" s="79"/>
      <c r="I248" s="90">
        <v>75.0</v>
      </c>
      <c r="J248" s="90">
        <v>55.0</v>
      </c>
      <c r="K248" s="94">
        <v>0.0</v>
      </c>
      <c r="L248" s="90">
        <v>40.0</v>
      </c>
      <c r="M248" s="90">
        <v>110.0</v>
      </c>
      <c r="N248" s="90">
        <v>85.0</v>
      </c>
      <c r="O248" s="90">
        <v>200.0</v>
      </c>
      <c r="P248" s="90">
        <v>0.0</v>
      </c>
      <c r="Q248" s="82"/>
      <c r="R248" s="82"/>
      <c r="S248" s="82"/>
      <c r="T248" s="82"/>
      <c r="U248" s="82"/>
      <c r="V248" s="82"/>
      <c r="W248" s="82"/>
      <c r="X248" s="82"/>
      <c r="Y248" s="82"/>
      <c r="Z248" s="82"/>
      <c r="AA248" s="82"/>
      <c r="AB248" s="79"/>
      <c r="AC248" s="90">
        <v>-35.0</v>
      </c>
      <c r="AD248" s="90">
        <v>10.0</v>
      </c>
      <c r="AE248" s="79"/>
      <c r="AF248" s="90">
        <v>10.0</v>
      </c>
      <c r="AG248" s="90">
        <v>10.0</v>
      </c>
      <c r="AH248" s="79"/>
      <c r="AI248" s="79"/>
      <c r="AJ248" s="90">
        <v>0.0</v>
      </c>
      <c r="AK248" s="90">
        <v>0.0</v>
      </c>
      <c r="AL248" s="90">
        <v>50.0</v>
      </c>
      <c r="AM248" s="90">
        <v>75.0</v>
      </c>
      <c r="AN248" s="90">
        <v>0.0</v>
      </c>
      <c r="AO248" s="90">
        <v>0.0</v>
      </c>
      <c r="AP248" s="90">
        <v>0.0</v>
      </c>
      <c r="AQ248" s="90">
        <v>25.0</v>
      </c>
      <c r="AR248" s="90">
        <v>75.0</v>
      </c>
      <c r="AS248" s="90">
        <v>0.0</v>
      </c>
      <c r="AT248" s="90">
        <v>0.0</v>
      </c>
      <c r="AU248" s="90">
        <v>0.0</v>
      </c>
      <c r="AV248" s="90">
        <v>0.0</v>
      </c>
      <c r="AW248" s="90">
        <v>0.0</v>
      </c>
      <c r="AX248" s="90">
        <v>0.0</v>
      </c>
      <c r="AY248" s="90">
        <v>0.0</v>
      </c>
      <c r="AZ248" s="90">
        <v>0.0</v>
      </c>
      <c r="BA248" s="90">
        <v>100.0</v>
      </c>
      <c r="BB248" s="90"/>
      <c r="BC248" s="90"/>
      <c r="BD248" s="90"/>
      <c r="BE248" s="90"/>
      <c r="BF248" s="90">
        <v>20.0</v>
      </c>
      <c r="BG248" s="79" t="str">
        <f t="array" ref="BG248">IF($A248="","", INDEX(CS!$B$1:$B$15025,MATCH($A248,CS!$B:$B,0)+COLUMN(A$1),1))</f>
        <v>角</v>
      </c>
      <c r="BH248" s="79" t="str">
        <f t="array" ref="BH248">IF($A248="","", INDEX(CS!$B$1:$B$15025,MATCH($A248,CS!$B:$B,0)+COLUMN(B$1),1))</f>
        <v>鹿の突進</v>
      </c>
      <c r="BI248" s="79" t="str">
        <f t="array" ref="BI248">IF($A248="","", INDEX(CS!$B$1:$B$15025,MATCH($A248,CS!$B:$B,0)+COLUMN(C$1),1))</f>
        <v>後脚蹴り</v>
      </c>
      <c r="BJ248" s="79" t="str">
        <f t="array" ref="BJ248">IF($A248="","", INDEX(CS!$B$1:$B$15025,MATCH($A248,CS!$B:$B,0)+COLUMN(D$1),1))</f>
        <v>警戒耳</v>
      </c>
      <c r="BK248" s="79" t="str">
        <f t="array" ref="BK248">IF($A248="","", INDEX(CS!$B$1:$B$15025,MATCH($A248,CS!$B:$B,0)+COLUMN(E$1),1))</f>
        <v>反応</v>
      </c>
      <c r="BL248" s="79" t="str">
        <f t="array" ref="BL248">IF($A248="","", INDEX(CS!$B$1:$B$15025,MATCH($A248,CS!$B:$B,0)+COLUMN(F$1),1))</f>
        <v/>
      </c>
      <c r="BM248" s="79" t="str">
        <f t="array" ref="BM248">IF($A248="","", INDEX(CS!$B$1:$B$15025,MATCH($A248,CS!$B:$B,0)+COLUMN(G$1),1))</f>
        <v>野生感覚</v>
      </c>
      <c r="BN248" s="79" t="str">
        <f t="array" ref="BN248">IF($A248="","", INDEX(CS!$B$1:$B$15025,MATCH($A248,CS!$B:$B,0)+COLUMN(H$1),1))</f>
        <v/>
      </c>
      <c r="BO248" s="79" t="str">
        <f t="array" ref="BO248">IF($A248="","", INDEX(CS!$B$1:$B$15025,MATCH($A248,CS!$B:$B,0)+COLUMN(I$1),1))</f>
        <v/>
      </c>
      <c r="BP248" s="79" t="str">
        <f t="array" ref="BP248">IF($A248="","", INDEX(CS!$B$1:$B$15025,MATCH($A248,CS!$B:$B,0)+COLUMN(J$1),1))</f>
        <v/>
      </c>
      <c r="BQ248" s="79"/>
      <c r="BR248" s="79"/>
      <c r="BS248" s="83"/>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row>
    <row r="249" ht="18.75" customHeight="1" outlineLevel="1">
      <c r="A249" s="90"/>
      <c r="B249" s="91"/>
      <c r="C249" s="90"/>
      <c r="D249" s="92"/>
      <c r="E249" s="93"/>
      <c r="F249" s="90"/>
      <c r="G249" s="79"/>
      <c r="H249" s="79"/>
      <c r="I249" s="90"/>
      <c r="J249" s="90"/>
      <c r="K249" s="94"/>
      <c r="L249" s="90"/>
      <c r="M249" s="90"/>
      <c r="N249" s="90"/>
      <c r="O249" s="90"/>
      <c r="P249" s="90" t="s">
        <v>29</v>
      </c>
      <c r="Q249" s="82"/>
      <c r="R249" s="82"/>
      <c r="S249" s="82"/>
      <c r="T249" s="82"/>
      <c r="U249" s="82"/>
      <c r="V249" s="82"/>
      <c r="W249" s="82"/>
      <c r="X249" s="82"/>
      <c r="Y249" s="82"/>
      <c r="Z249" s="82"/>
      <c r="AA249" s="82"/>
      <c r="AB249" s="79"/>
      <c r="AC249" s="90"/>
      <c r="AD249" s="90"/>
      <c r="AE249" s="79"/>
      <c r="AF249" s="90"/>
      <c r="AG249" s="90"/>
      <c r="AH249" s="79"/>
      <c r="AI249" s="79"/>
      <c r="AJ249" s="79"/>
      <c r="AK249" s="90"/>
      <c r="AL249" s="79"/>
      <c r="AM249" s="90"/>
      <c r="AN249" s="79"/>
      <c r="AO249" s="90"/>
      <c r="AP249" s="90"/>
      <c r="AQ249" s="90"/>
      <c r="AR249" s="90"/>
      <c r="AS249" s="79"/>
      <c r="AT249" s="79"/>
      <c r="AU249" s="79"/>
      <c r="AV249" s="79"/>
      <c r="AW249" s="79"/>
      <c r="AX249" s="79"/>
      <c r="AY249" s="79"/>
      <c r="AZ249" s="79"/>
      <c r="BA249" s="90"/>
      <c r="BB249" s="90"/>
      <c r="BC249" s="90"/>
      <c r="BD249" s="90"/>
      <c r="BE249" s="90"/>
      <c r="BF249" s="90"/>
      <c r="BG249" s="79" t="str">
        <f t="array" ref="BG249">IF($A249="","", INDEX(CS!$B$1:$B$15025,MATCH($A249,CS!$B:$B,0)+COLUMN(A$1),1))</f>
        <v/>
      </c>
      <c r="BH249" s="79" t="str">
        <f t="array" ref="BH249">IF($A249="","", INDEX(CS!$B$1:$B$15025,MATCH($A249,CS!$B:$B,0)+COLUMN(B$1),1))</f>
        <v/>
      </c>
      <c r="BI249" s="79" t="str">
        <f t="array" ref="BI249">IF($A249="","", INDEX(CS!$B$1:$B$15025,MATCH($A249,CS!$B:$B,0)+COLUMN(C$1),1))</f>
        <v/>
      </c>
      <c r="BJ249" s="79" t="str">
        <f t="array" ref="BJ249">IF($A249="","", INDEX(CS!$B$1:$B$15025,MATCH($A249,CS!$B:$B,0)+COLUMN(D$1),1))</f>
        <v/>
      </c>
      <c r="BK249" s="79" t="str">
        <f t="array" ref="BK249">IF($A249="","", INDEX(CS!$B$1:$B$15025,MATCH($A249,CS!$B:$B,0)+COLUMN(E$1),1))</f>
        <v/>
      </c>
      <c r="BL249" s="79" t="str">
        <f t="array" ref="BL249">IF($A249="","", INDEX(CS!$B$1:$B$15025,MATCH($A249,CS!$B:$B,0)+COLUMN(F$1),1))</f>
        <v/>
      </c>
      <c r="BM249" s="79" t="str">
        <f t="array" ref="BM249">IF($A249="","", INDEX(CS!$B$1:$B$15025,MATCH($A249,CS!$B:$B,0)+COLUMN(G$1),1))</f>
        <v/>
      </c>
      <c r="BN249" s="79" t="str">
        <f t="array" ref="BN249">IF($A249="","", INDEX(CS!$B$1:$B$15025,MATCH($A249,CS!$B:$B,0)+COLUMN(H$1),1))</f>
        <v/>
      </c>
      <c r="BO249" s="79" t="str">
        <f t="array" ref="BO249">IF($A249="","", INDEX(CS!$B$1:$B$15025,MATCH($A249,CS!$B:$B,0)+COLUMN(I$1),1))</f>
        <v/>
      </c>
      <c r="BP249" s="79" t="str">
        <f t="array" ref="BP249">IF($A249="","", INDEX(CS!$B$1:$B$15025,MATCH($A249,CS!$B:$B,0)+COLUMN(J$1),1))</f>
        <v/>
      </c>
      <c r="BQ249" s="79"/>
      <c r="BR249" s="79"/>
      <c r="BS249" s="83"/>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row>
    <row r="250" ht="18.75" customHeight="1">
      <c r="B250" s="85" t="s">
        <v>2899</v>
      </c>
      <c r="D250" s="72"/>
      <c r="E250" s="39">
        <v>1.0</v>
      </c>
      <c r="K250" s="73"/>
      <c r="P250" s="37" t="s">
        <v>29</v>
      </c>
      <c r="Q250" s="64"/>
      <c r="R250" s="64"/>
      <c r="S250" s="64"/>
      <c r="T250" s="64"/>
      <c r="U250" s="64"/>
      <c r="V250" s="64"/>
      <c r="W250" s="64"/>
      <c r="X250" s="64"/>
      <c r="Y250" s="64"/>
      <c r="Z250" s="64"/>
      <c r="AA250" s="64"/>
      <c r="BG250" s="79" t="str">
        <f t="array" ref="BG250">IF($A250="","", INDEX(CS!$B$1:$B$15025,MATCH($A250,CS!$B:$B,0)+COLUMN(A$1),1))</f>
        <v/>
      </c>
      <c r="BH250" s="79" t="str">
        <f t="array" ref="BH250">IF($A250="","", INDEX(CS!$B$1:$B$15025,MATCH($A250,CS!$B:$B,0)+COLUMN(B$1),1))</f>
        <v/>
      </c>
      <c r="BI250" s="79" t="str">
        <f t="array" ref="BI250">IF($A250="","", INDEX(CS!$B$1:$B$15025,MATCH($A250,CS!$B:$B,0)+COLUMN(C$1),1))</f>
        <v/>
      </c>
      <c r="BJ250" s="79" t="str">
        <f t="array" ref="BJ250">IF($A250="","", INDEX(CS!$B$1:$B$15025,MATCH($A250,CS!$B:$B,0)+COLUMN(D$1),1))</f>
        <v/>
      </c>
      <c r="BK250" s="79" t="str">
        <f t="array" ref="BK250">IF($A250="","", INDEX(CS!$B$1:$B$15025,MATCH($A250,CS!$B:$B,0)+COLUMN(E$1),1))</f>
        <v/>
      </c>
      <c r="BL250" s="79" t="str">
        <f t="array" ref="BL250">IF($A250="","", INDEX(CS!$B$1:$B$15025,MATCH($A250,CS!$B:$B,0)+COLUMN(F$1),1))</f>
        <v/>
      </c>
      <c r="BM250" s="79" t="str">
        <f t="array" ref="BM250">IF($A250="","", INDEX(CS!$B$1:$B$15025,MATCH($A250,CS!$B:$B,0)+COLUMN(G$1),1))</f>
        <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57"/>
      <c r="BY250" s="57"/>
      <c r="BZ250" s="57"/>
      <c r="CA250" s="57"/>
    </row>
    <row r="251" ht="18.75" customHeight="1" outlineLevel="1">
      <c r="A251" s="39" t="s">
        <v>1598</v>
      </c>
      <c r="B251" s="71"/>
      <c r="C251" s="39" t="s">
        <v>2900</v>
      </c>
      <c r="D251" s="72" t="str">
        <f t="shared" ref="D251:D258" si="13">SUM(AJ251:AZ251,F251:N251)&amp;"/"&amp;SUM(F251:N251)&amp;"/"&amp;SUM(AJ251:AZ251)</f>
        <v>635/460/175</v>
      </c>
      <c r="E251" s="39">
        <v>1.0</v>
      </c>
      <c r="F251" s="39">
        <v>105.0</v>
      </c>
      <c r="I251" s="39">
        <v>85.0</v>
      </c>
      <c r="J251" s="39">
        <v>100.0</v>
      </c>
      <c r="K251" s="87">
        <v>0.0</v>
      </c>
      <c r="L251" s="39">
        <v>45.0</v>
      </c>
      <c r="M251" s="39">
        <v>55.0</v>
      </c>
      <c r="N251" s="39">
        <v>70.0</v>
      </c>
      <c r="O251" s="39">
        <v>160.0</v>
      </c>
      <c r="P251" s="37">
        <v>0.0</v>
      </c>
      <c r="Q251" s="64"/>
      <c r="R251" s="64"/>
      <c r="S251" s="64"/>
      <c r="T251" s="64"/>
      <c r="U251" s="64"/>
      <c r="V251" s="64"/>
      <c r="W251" s="64"/>
      <c r="X251" s="64"/>
      <c r="Y251" s="64"/>
      <c r="Z251" s="64"/>
      <c r="AA251" s="64"/>
      <c r="AJ251" s="39">
        <v>0.0</v>
      </c>
      <c r="AK251" s="39">
        <v>50.0</v>
      </c>
      <c r="AL251" s="39">
        <v>25.0</v>
      </c>
      <c r="AM251" s="39">
        <v>25.0</v>
      </c>
      <c r="AN251" s="39">
        <v>0.0</v>
      </c>
      <c r="AO251" s="39">
        <v>0.0</v>
      </c>
      <c r="AP251" s="39">
        <v>0.0</v>
      </c>
      <c r="AQ251" s="39">
        <v>25.0</v>
      </c>
      <c r="AR251" s="39">
        <v>50.0</v>
      </c>
      <c r="AS251" s="39">
        <v>0.0</v>
      </c>
      <c r="AT251" s="39">
        <v>0.0</v>
      </c>
      <c r="AU251" s="39">
        <v>0.0</v>
      </c>
      <c r="AV251" s="39">
        <v>0.0</v>
      </c>
      <c r="AW251" s="39">
        <v>0.0</v>
      </c>
      <c r="AX251" s="39">
        <v>0.0</v>
      </c>
      <c r="AY251" s="39">
        <v>0.0</v>
      </c>
      <c r="AZ251" s="39">
        <v>0.0</v>
      </c>
      <c r="BA251" s="39">
        <v>30.0</v>
      </c>
      <c r="BB251" s="39">
        <v>40.0</v>
      </c>
      <c r="BC251" s="39">
        <v>60.0</v>
      </c>
      <c r="BD251" s="39">
        <v>0.0</v>
      </c>
      <c r="BE251" s="39">
        <v>40.0</v>
      </c>
      <c r="BF251" s="39">
        <v>100.0</v>
      </c>
      <c r="BG251" s="79" t="str">
        <f t="array" ref="BG251">IF($A251="","", INDEX(CS!$B$1:$B$15025,MATCH($A251,CS!$B:$B,0)+COLUMN(A$1),1))</f>
        <v>甲虫角撃</v>
      </c>
      <c r="BH251" s="79" t="str">
        <f t="array" ref="BH251">IF($A251="","", INDEX(CS!$B$1:$B$15025,MATCH($A251,CS!$B:$B,0)+COLUMN(B$1),1))</f>
        <v>甲虫の複眼</v>
      </c>
      <c r="BI251" s="79" t="str">
        <f t="array" ref="BI251">IF($A251="","", INDEX(CS!$B$1:$B$15025,MATCH($A251,CS!$B:$B,0)+COLUMN(C$1),1))</f>
        <v>硬質外殻</v>
      </c>
      <c r="BJ251" s="79" t="str">
        <f t="array" ref="BJ251">IF($A251="","", INDEX(CS!$B$1:$B$15025,MATCH($A251,CS!$B:$B,0)+COLUMN(D$1),1))</f>
        <v>突進甲角</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1609</v>
      </c>
      <c r="B252" s="71"/>
      <c r="C252" s="39" t="s">
        <v>2900</v>
      </c>
      <c r="D252" s="72" t="str">
        <f t="shared" si="13"/>
        <v>685/460/225</v>
      </c>
      <c r="E252" s="39">
        <v>1.0</v>
      </c>
      <c r="F252" s="39">
        <v>95.0</v>
      </c>
      <c r="I252" s="39">
        <v>100.0</v>
      </c>
      <c r="J252" s="39">
        <v>85.0</v>
      </c>
      <c r="K252" s="87">
        <v>0.0</v>
      </c>
      <c r="L252" s="39">
        <v>40.0</v>
      </c>
      <c r="M252" s="39">
        <v>65.0</v>
      </c>
      <c r="N252" s="39">
        <v>75.0</v>
      </c>
      <c r="O252" s="39">
        <v>170.0</v>
      </c>
      <c r="P252" s="37">
        <v>0.0</v>
      </c>
      <c r="Q252" s="64"/>
      <c r="R252" s="64"/>
      <c r="S252" s="64"/>
      <c r="T252" s="64"/>
      <c r="U252" s="64"/>
      <c r="V252" s="64"/>
      <c r="W252" s="64"/>
      <c r="X252" s="64"/>
      <c r="Y252" s="64"/>
      <c r="Z252" s="64"/>
      <c r="AA252" s="64"/>
      <c r="AJ252" s="39">
        <v>0.0</v>
      </c>
      <c r="AK252" s="39">
        <v>75.0</v>
      </c>
      <c r="AL252" s="39">
        <v>25.0</v>
      </c>
      <c r="AM252" s="39">
        <v>50.0</v>
      </c>
      <c r="AN252" s="39">
        <v>0.0</v>
      </c>
      <c r="AO252" s="39">
        <v>0.0</v>
      </c>
      <c r="AP252" s="39">
        <v>0.0</v>
      </c>
      <c r="AQ252" s="39">
        <v>25.0</v>
      </c>
      <c r="AR252" s="39">
        <v>50.0</v>
      </c>
      <c r="AS252" s="39">
        <v>0.0</v>
      </c>
      <c r="AT252" s="39">
        <v>0.0</v>
      </c>
      <c r="AU252" s="39">
        <v>0.0</v>
      </c>
      <c r="AV252" s="39">
        <v>0.0</v>
      </c>
      <c r="AW252" s="39">
        <v>0.0</v>
      </c>
      <c r="AX252" s="39">
        <v>0.0</v>
      </c>
      <c r="AY252" s="39">
        <v>0.0</v>
      </c>
      <c r="AZ252" s="39">
        <v>0.0</v>
      </c>
      <c r="BA252" s="39">
        <v>0.0</v>
      </c>
      <c r="BB252" s="39">
        <v>140.0</v>
      </c>
      <c r="BC252" s="39">
        <v>70.0</v>
      </c>
      <c r="BD252" s="39">
        <v>0.0</v>
      </c>
      <c r="BE252" s="39">
        <v>40.0</v>
      </c>
      <c r="BF252" s="39">
        <v>80.0</v>
      </c>
      <c r="BG252" s="79" t="str">
        <f t="array" ref="BG252">IF($A252="","", INDEX(CS!$B$1:$B$15025,MATCH($A252,CS!$B:$B,0)+COLUMN(A$1),1))</f>
        <v>鍬形大顎</v>
      </c>
      <c r="BH252" s="79" t="str">
        <f t="array" ref="BH252">IF($A252="","", INDEX(CS!$B$1:$B$15025,MATCH($A252,CS!$B:$B,0)+COLUMN(B$1),1))</f>
        <v>挟み込み</v>
      </c>
      <c r="BI252" s="79" t="str">
        <f t="array" ref="BI252">IF($A252="","", INDEX(CS!$B$1:$B$15025,MATCH($A252,CS!$B:$B,0)+COLUMN(C$1),1))</f>
        <v>鍬形の複眼</v>
      </c>
      <c r="BJ252" s="79" t="str">
        <f t="array" ref="BJ252">IF($A252="","", INDEX(CS!$B$1:$B$15025,MATCH($A252,CS!$B:$B,0)+COLUMN(D$1),1))</f>
        <v>大顎強化</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1617</v>
      </c>
      <c r="B253" s="71"/>
      <c r="C253" s="39" t="s">
        <v>2900</v>
      </c>
      <c r="D253" s="72" t="str">
        <f t="shared" si="13"/>
        <v>740/465/275</v>
      </c>
      <c r="E253" s="39">
        <v>1.0</v>
      </c>
      <c r="F253" s="39">
        <v>75.0</v>
      </c>
      <c r="I253" s="39">
        <v>95.0</v>
      </c>
      <c r="J253" s="39">
        <v>55.0</v>
      </c>
      <c r="K253" s="87">
        <v>0.0</v>
      </c>
      <c r="L253" s="39">
        <v>45.0</v>
      </c>
      <c r="M253" s="39">
        <v>100.0</v>
      </c>
      <c r="N253" s="39">
        <v>95.0</v>
      </c>
      <c r="O253" s="39">
        <v>150.0</v>
      </c>
      <c r="P253" s="37">
        <v>0.0</v>
      </c>
      <c r="Q253" s="64"/>
      <c r="R253" s="64"/>
      <c r="S253" s="64"/>
      <c r="T253" s="64"/>
      <c r="U253" s="64"/>
      <c r="V253" s="64"/>
      <c r="W253" s="64"/>
      <c r="X253" s="64"/>
      <c r="Y253" s="64"/>
      <c r="Z253" s="64"/>
      <c r="AA253" s="64"/>
      <c r="AJ253" s="39">
        <v>0.0</v>
      </c>
      <c r="AK253" s="39">
        <v>25.0</v>
      </c>
      <c r="AL253" s="39">
        <v>50.0</v>
      </c>
      <c r="AM253" s="39">
        <v>75.0</v>
      </c>
      <c r="AN253" s="39">
        <v>25.0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20.0</v>
      </c>
      <c r="BC253" s="39">
        <v>140.0</v>
      </c>
      <c r="BD253" s="39">
        <v>0.0</v>
      </c>
      <c r="BE253" s="39">
        <v>40.0</v>
      </c>
      <c r="BF253" s="39">
        <v>20.0</v>
      </c>
      <c r="BG253" s="79" t="str">
        <f t="array" ref="BG253">IF($A253="","", INDEX(CS!$B$1:$B$15025,MATCH($A253,CS!$B:$B,0)+COLUMN(A$1),1))</f>
        <v>鎌爪</v>
      </c>
      <c r="BH253" s="79" t="str">
        <f t="array" ref="BH253">IF($A253="","", INDEX(CS!$B$1:$B$15025,MATCH($A253,CS!$B:$B,0)+COLUMN(B$1),1))</f>
        <v>連続鎌</v>
      </c>
      <c r="BI253" s="79" t="str">
        <f t="array" ref="BI253">IF($A253="","", INDEX(CS!$B$1:$B$15025,MATCH($A253,CS!$B:$B,0)+COLUMN(C$1),1))</f>
        <v>蟷螂の複眼</v>
      </c>
      <c r="BJ253" s="79" t="str">
        <f t="array" ref="BJ253">IF($A253="","", INDEX(CS!$B$1:$B$15025,MATCH($A253,CS!$B:$B,0)+COLUMN(D$1),1))</f>
        <v>待ち伏せ</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outlineLevel="1">
      <c r="A254" s="39" t="s">
        <v>1625</v>
      </c>
      <c r="B254" s="71"/>
      <c r="C254" s="39" t="s">
        <v>2900</v>
      </c>
      <c r="D254" s="72" t="str">
        <f t="shared" si="13"/>
        <v>630/430/200</v>
      </c>
      <c r="E254" s="39">
        <v>1.0</v>
      </c>
      <c r="F254" s="39">
        <v>60.0</v>
      </c>
      <c r="I254" s="39">
        <v>75.0</v>
      </c>
      <c r="J254" s="39">
        <v>45.0</v>
      </c>
      <c r="K254" s="87">
        <v>0.0</v>
      </c>
      <c r="L254" s="39">
        <v>40.0</v>
      </c>
      <c r="M254" s="39">
        <v>120.0</v>
      </c>
      <c r="N254" s="39">
        <v>90.0</v>
      </c>
      <c r="O254" s="39">
        <v>90.0</v>
      </c>
      <c r="P254" s="37">
        <v>0.0</v>
      </c>
      <c r="Q254" s="64"/>
      <c r="R254" s="64"/>
      <c r="S254" s="64"/>
      <c r="T254" s="64"/>
      <c r="U254" s="64"/>
      <c r="V254" s="64"/>
      <c r="W254" s="64"/>
      <c r="X254" s="64"/>
      <c r="Y254" s="64"/>
      <c r="Z254" s="64"/>
      <c r="AA254" s="64"/>
      <c r="AJ254" s="39">
        <v>0.0</v>
      </c>
      <c r="AK254" s="39">
        <v>0.0</v>
      </c>
      <c r="AL254" s="39">
        <v>25.0</v>
      </c>
      <c r="AM254" s="39">
        <v>75.0</v>
      </c>
      <c r="AN254" s="39">
        <v>0.0</v>
      </c>
      <c r="AO254" s="39">
        <v>0.0</v>
      </c>
      <c r="AP254" s="39">
        <v>0.0</v>
      </c>
      <c r="AQ254" s="39">
        <v>25.0</v>
      </c>
      <c r="AR254" s="39">
        <v>75.0</v>
      </c>
      <c r="AS254" s="39">
        <v>0.0</v>
      </c>
      <c r="AT254" s="39">
        <v>0.0</v>
      </c>
      <c r="AU254" s="39">
        <v>0.0</v>
      </c>
      <c r="AV254" s="39">
        <v>0.0</v>
      </c>
      <c r="AW254" s="39">
        <v>0.0</v>
      </c>
      <c r="AX254" s="39">
        <v>0.0</v>
      </c>
      <c r="AY254" s="39">
        <v>0.0</v>
      </c>
      <c r="AZ254" s="39">
        <v>0.0</v>
      </c>
      <c r="BA254" s="39">
        <v>0.0</v>
      </c>
      <c r="BB254" s="39">
        <v>30.0</v>
      </c>
      <c r="BC254" s="39">
        <v>30.0</v>
      </c>
      <c r="BD254" s="39">
        <v>120.0</v>
      </c>
      <c r="BE254" s="39">
        <v>100.0</v>
      </c>
      <c r="BF254" s="39">
        <v>20.0</v>
      </c>
      <c r="BG254" s="79" t="str">
        <f t="array" ref="BG254">IF($A254="","", INDEX(CS!$B$1:$B$15025,MATCH($A254,CS!$B:$B,0)+COLUMN(A$1),1))</f>
        <v>蜂の毒針</v>
      </c>
      <c r="BH254" s="79" t="str">
        <f t="array" ref="BH254">IF($A254="","", INDEX(CS!$B$1:$B$15025,MATCH($A254,CS!$B:$B,0)+COLUMN(B$1),1))</f>
        <v>蜂の複眼</v>
      </c>
      <c r="BI254" s="79" t="str">
        <f t="array" ref="BI254">IF($A254="","", INDEX(CS!$B$1:$B$15025,MATCH($A254,CS!$B:$B,0)+COLUMN(C$1),1))</f>
        <v>翅音加速</v>
      </c>
      <c r="BJ254" s="79" t="str">
        <f t="array" ref="BJ254">IF($A254="","", INDEX(CS!$B$1:$B$15025,MATCH($A254,CS!$B:$B,0)+COLUMN(D$1),1))</f>
        <v>急降下刺突</v>
      </c>
      <c r="BK254" s="79" t="str">
        <f t="array" ref="BK254">IF($A254="","", INDEX(CS!$B$1:$B$15025,MATCH($A254,CS!$B:$B,0)+COLUMN(E$1),1))</f>
        <v>虫の体当たり</v>
      </c>
      <c r="BL254" s="79" t="str">
        <f t="array" ref="BL254">IF($A254="","", INDEX(CS!$B$1:$B$15025,MATCH($A254,CS!$B:$B,0)+COLUMN(F$1),1))</f>
        <v/>
      </c>
      <c r="BM254" s="79" t="str">
        <f t="array" ref="BM254">IF($A254="","", INDEX(CS!$B$1:$B$15025,MATCH($A254,CS!$B:$B,0)+COLUMN(G$1),1))</f>
        <v>虫の反応</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outlineLevel="1">
      <c r="A255" s="39" t="s">
        <v>1633</v>
      </c>
      <c r="B255" s="71"/>
      <c r="C255" s="39" t="s">
        <v>2900</v>
      </c>
      <c r="D255" s="72" t="str">
        <f t="shared" si="13"/>
        <v>655/455/200</v>
      </c>
      <c r="E255" s="39">
        <v>1.0</v>
      </c>
      <c r="F255" s="39">
        <v>85.0</v>
      </c>
      <c r="I255" s="39">
        <v>80.0</v>
      </c>
      <c r="J255" s="39">
        <v>85.0</v>
      </c>
      <c r="K255" s="87">
        <v>0.0</v>
      </c>
      <c r="L255" s="39">
        <v>50.0</v>
      </c>
      <c r="M255" s="39">
        <v>75.0</v>
      </c>
      <c r="N255" s="39">
        <v>80.0</v>
      </c>
      <c r="O255" s="39">
        <v>100.0</v>
      </c>
      <c r="P255" s="37">
        <v>0.0</v>
      </c>
      <c r="Q255" s="64"/>
      <c r="R255" s="64"/>
      <c r="S255" s="64"/>
      <c r="T255" s="64"/>
      <c r="U255" s="64"/>
      <c r="V255" s="64"/>
      <c r="W255" s="64"/>
      <c r="X255" s="64"/>
      <c r="Y255" s="64"/>
      <c r="Z255" s="64"/>
      <c r="AA255" s="64"/>
      <c r="AJ255" s="39">
        <v>50.0</v>
      </c>
      <c r="AK255" s="39">
        <v>0.0</v>
      </c>
      <c r="AL255" s="39">
        <v>25.0</v>
      </c>
      <c r="AM255" s="39">
        <v>25.0</v>
      </c>
      <c r="AN255" s="39">
        <v>50.0</v>
      </c>
      <c r="AO255" s="39">
        <v>0.0</v>
      </c>
      <c r="AP255" s="39">
        <v>0.0</v>
      </c>
      <c r="AQ255" s="39">
        <v>0.0</v>
      </c>
      <c r="AR255" s="39">
        <v>50.0</v>
      </c>
      <c r="AS255" s="39">
        <v>0.0</v>
      </c>
      <c r="AT255" s="39">
        <v>0.0</v>
      </c>
      <c r="AU255" s="39">
        <v>0.0</v>
      </c>
      <c r="AV255" s="39">
        <v>0.0</v>
      </c>
      <c r="AW255" s="39">
        <v>0.0</v>
      </c>
      <c r="AX255" s="39">
        <v>0.0</v>
      </c>
      <c r="AY255" s="39">
        <v>0.0</v>
      </c>
      <c r="AZ255" s="39">
        <v>0.0</v>
      </c>
      <c r="BA255" s="39">
        <v>0.0</v>
      </c>
      <c r="BB255" s="39">
        <v>100.0</v>
      </c>
      <c r="BC255" s="39">
        <v>50.0</v>
      </c>
      <c r="BD255" s="39">
        <v>0.0</v>
      </c>
      <c r="BE255" s="39">
        <v>0.0</v>
      </c>
      <c r="BF255" s="39">
        <v>40.0</v>
      </c>
      <c r="BG255" s="79" t="str">
        <f t="array" ref="BG255">IF($A255="","", INDEX(CS!$B$1:$B$15025,MATCH($A255,CS!$B:$B,0)+COLUMN(A$1),1))</f>
        <v>蟻の大顎</v>
      </c>
      <c r="BH255" s="79" t="str">
        <f t="array" ref="BH255">IF($A255="","", INDEX(CS!$B$1:$B$15025,MATCH($A255,CS!$B:$B,0)+COLUMN(B$1),1))</f>
        <v>群体連携</v>
      </c>
      <c r="BI255" s="79" t="str">
        <f t="array" ref="BI255">IF($A255="","", INDEX(CS!$B$1:$B$15025,MATCH($A255,CS!$B:$B,0)+COLUMN(C$1),1))</f>
        <v>蟻の外殻</v>
      </c>
      <c r="BJ255" s="79" t="str">
        <f t="array" ref="BJ255">IF($A255="","", INDEX(CS!$B$1:$B$15025,MATCH($A255,CS!$B:$B,0)+COLUMN(D$1),1))</f>
        <v>蟻の嗅覚</v>
      </c>
      <c r="BK255" s="79" t="str">
        <f t="array" ref="BK255">IF($A255="","", INDEX(CS!$B$1:$B$15025,MATCH($A255,CS!$B:$B,0)+COLUMN(E$1),1))</f>
        <v>虫の体当たり</v>
      </c>
      <c r="BL255" s="79" t="str">
        <f t="array" ref="BL255">IF($A255="","", INDEX(CS!$B$1:$B$15025,MATCH($A255,CS!$B:$B,0)+COLUMN(F$1),1))</f>
        <v/>
      </c>
      <c r="BM255" s="79" t="str">
        <f t="array" ref="BM255">IF($A255="","", INDEX(CS!$B$1:$B$15025,MATCH($A255,CS!$B:$B,0)+COLUMN(G$1),1))</f>
        <v>挟み込み</v>
      </c>
      <c r="BN255" s="79" t="str">
        <f t="array" ref="BN255">IF($A255="","", INDEX(CS!$B$1:$B$15025,MATCH($A255,CS!$B:$B,0)+COLUMN(H$1),1))</f>
        <v/>
      </c>
      <c r="BO255" s="79" t="str">
        <f t="array" ref="BO255">IF($A255="","", INDEX(CS!$B$1:$B$15025,MATCH($A255,CS!$B:$B,0)+COLUMN(I$1),1))</f>
        <v/>
      </c>
      <c r="BP255" s="79" t="str">
        <f t="array" ref="BP255">IF($A255="","", INDEX(CS!$B$1:$B$15025,MATCH($A255,CS!$B:$B,0)+COLUMN(J$1),1))</f>
        <v/>
      </c>
      <c r="BS255" s="74"/>
      <c r="BW255" s="57"/>
      <c r="BX255" s="75"/>
      <c r="BY255" s="75"/>
      <c r="BZ255" s="75"/>
      <c r="CA255" s="75"/>
      <c r="CD255" s="75"/>
      <c r="CE255" s="75"/>
    </row>
    <row r="256" ht="18.75" customHeight="1" outlineLevel="1">
      <c r="A256" s="39" t="s">
        <v>1640</v>
      </c>
      <c r="B256" s="71"/>
      <c r="C256" s="39" t="s">
        <v>2900</v>
      </c>
      <c r="D256" s="72" t="str">
        <f t="shared" si="13"/>
        <v>740/440/300</v>
      </c>
      <c r="E256" s="39">
        <v>1.0</v>
      </c>
      <c r="F256" s="39">
        <v>70.0</v>
      </c>
      <c r="I256" s="39">
        <v>80.0</v>
      </c>
      <c r="J256" s="39">
        <v>60.0</v>
      </c>
      <c r="K256" s="87">
        <v>0.0</v>
      </c>
      <c r="L256" s="39">
        <v>50.0</v>
      </c>
      <c r="M256" s="39">
        <v>90.0</v>
      </c>
      <c r="N256" s="39">
        <v>90.0</v>
      </c>
      <c r="O256" s="39">
        <v>120.0</v>
      </c>
      <c r="P256" s="37">
        <v>0.0</v>
      </c>
      <c r="Q256" s="64"/>
      <c r="R256" s="64"/>
      <c r="S256" s="64"/>
      <c r="T256" s="64"/>
      <c r="U256" s="64"/>
      <c r="V256" s="64"/>
      <c r="W256" s="64"/>
      <c r="X256" s="64"/>
      <c r="Y256" s="64"/>
      <c r="Z256" s="64"/>
      <c r="AA256" s="64"/>
      <c r="AJ256" s="39">
        <v>0.0</v>
      </c>
      <c r="AK256" s="39">
        <v>0.0</v>
      </c>
      <c r="AL256" s="39">
        <v>50.0</v>
      </c>
      <c r="AM256" s="39">
        <v>50.0</v>
      </c>
      <c r="AN256" s="39">
        <v>50.0</v>
      </c>
      <c r="AO256" s="39">
        <v>0.0</v>
      </c>
      <c r="AP256" s="39">
        <v>0.0</v>
      </c>
      <c r="AQ256" s="39">
        <v>75.0</v>
      </c>
      <c r="AR256" s="39">
        <v>75.0</v>
      </c>
      <c r="AS256" s="39">
        <v>0.0</v>
      </c>
      <c r="AT256" s="39">
        <v>0.0</v>
      </c>
      <c r="AU256" s="39">
        <v>0.0</v>
      </c>
      <c r="AV256" s="39">
        <v>0.0</v>
      </c>
      <c r="AW256" s="39">
        <v>0.0</v>
      </c>
      <c r="AX256" s="39">
        <v>0.0</v>
      </c>
      <c r="AY256" s="39">
        <v>0.0</v>
      </c>
      <c r="AZ256" s="39">
        <v>0.0</v>
      </c>
      <c r="BA256" s="39">
        <v>0.0</v>
      </c>
      <c r="BB256" s="39">
        <v>110.0</v>
      </c>
      <c r="BC256" s="39">
        <v>40.0</v>
      </c>
      <c r="BD256" s="39">
        <v>0.0</v>
      </c>
      <c r="BE256" s="39">
        <v>0.0</v>
      </c>
      <c r="BF256" s="39">
        <v>20.0</v>
      </c>
      <c r="BG256" s="79" t="str">
        <f t="array" ref="BG256">IF($A256="","", INDEX(CS!$B$1:$B$15025,MATCH($A256,CS!$B:$B,0)+COLUMN(A$1),1))</f>
        <v>蜘蛛の毒牙</v>
      </c>
      <c r="BH256" s="79" t="str">
        <f t="array" ref="BH256">IF($A256="","", INDEX(CS!$B$1:$B$15025,MATCH($A256,CS!$B:$B,0)+COLUMN(B$1),1))</f>
        <v>糸吐き</v>
      </c>
      <c r="BI256" s="79" t="str">
        <f t="array" ref="BI256">IF($A256="","", INDEX(CS!$B$1:$B$15025,MATCH($A256,CS!$B:$B,0)+COLUMN(C$1),1))</f>
        <v>蜘蛛の複眼</v>
      </c>
      <c r="BJ256" s="79" t="str">
        <f t="array" ref="BJ256">IF($A256="","", INDEX(CS!$B$1:$B$15025,MATCH($A256,CS!$B:$B,0)+COLUMN(D$1),1))</f>
        <v>巣網感知</v>
      </c>
      <c r="BK256" s="79" t="str">
        <f t="array" ref="BK256">IF($A256="","", INDEX(CS!$B$1:$B$15025,MATCH($A256,CS!$B:$B,0)+COLUMN(E$1),1))</f>
        <v>虫の体当たり</v>
      </c>
      <c r="BL256" s="79" t="str">
        <f t="array" ref="BL256">IF($A256="","", INDEX(CS!$B$1:$B$15025,MATCH($A256,CS!$B:$B,0)+COLUMN(F$1),1))</f>
        <v/>
      </c>
      <c r="BM256" s="79" t="str">
        <f t="array" ref="BM256">IF($A256="","", INDEX(CS!$B$1:$B$15025,MATCH($A256,CS!$B:$B,0)+COLUMN(G$1),1))</f>
        <v>虫の反応</v>
      </c>
      <c r="BN256" s="79" t="str">
        <f t="array" ref="BN256">IF($A256="","", INDEX(CS!$B$1:$B$15025,MATCH($A256,CS!$B:$B,0)+COLUMN(H$1),1))</f>
        <v/>
      </c>
      <c r="BO256" s="79" t="str">
        <f t="array" ref="BO256">IF($A256="","", INDEX(CS!$B$1:$B$15025,MATCH($A256,CS!$B:$B,0)+COLUMN(I$1),1))</f>
        <v/>
      </c>
      <c r="BP256" s="79" t="str">
        <f t="array" ref="BP256">IF($A256="","", INDEX(CS!$B$1:$B$15025,MATCH($A256,CS!$B:$B,0)+COLUMN(J$1),1))</f>
        <v/>
      </c>
      <c r="BS256" s="74"/>
      <c r="BW256" s="57"/>
      <c r="BX256" s="75"/>
      <c r="BY256" s="75"/>
      <c r="BZ256" s="75"/>
      <c r="CA256" s="75"/>
      <c r="CD256" s="75"/>
      <c r="CE256" s="75"/>
    </row>
    <row r="257" ht="18.75" customHeight="1" outlineLevel="1">
      <c r="A257" s="39" t="s">
        <v>1647</v>
      </c>
      <c r="B257" s="71"/>
      <c r="C257" s="39" t="s">
        <v>2900</v>
      </c>
      <c r="D257" s="72" t="str">
        <f t="shared" si="13"/>
        <v>660/460/200</v>
      </c>
      <c r="E257" s="39">
        <v>1.0</v>
      </c>
      <c r="F257" s="39">
        <v>90.0</v>
      </c>
      <c r="I257" s="39">
        <v>90.0</v>
      </c>
      <c r="J257" s="39">
        <v>70.0</v>
      </c>
      <c r="K257" s="87">
        <v>0.0</v>
      </c>
      <c r="L257" s="39">
        <v>40.0</v>
      </c>
      <c r="M257" s="39">
        <v>90.0</v>
      </c>
      <c r="N257" s="39">
        <v>80.0</v>
      </c>
      <c r="O257" s="39">
        <v>180.0</v>
      </c>
      <c r="P257" s="37">
        <v>0.0</v>
      </c>
      <c r="Q257" s="64"/>
      <c r="R257" s="64"/>
      <c r="S257" s="64"/>
      <c r="T257" s="64"/>
      <c r="U257" s="64"/>
      <c r="V257" s="64"/>
      <c r="W257" s="64"/>
      <c r="X257" s="64"/>
      <c r="Y257" s="64"/>
      <c r="Z257" s="64"/>
      <c r="AA257" s="64"/>
      <c r="AJ257" s="39">
        <v>0.0</v>
      </c>
      <c r="AK257" s="39">
        <v>25.0</v>
      </c>
      <c r="AL257" s="39">
        <v>25.0</v>
      </c>
      <c r="AM257" s="39">
        <v>50.0</v>
      </c>
      <c r="AN257" s="39">
        <v>0.0</v>
      </c>
      <c r="AO257" s="39">
        <v>0.0</v>
      </c>
      <c r="AP257" s="39">
        <v>0.0</v>
      </c>
      <c r="AQ257" s="39">
        <v>50.0</v>
      </c>
      <c r="AR257" s="39">
        <v>50.0</v>
      </c>
      <c r="AS257" s="39">
        <v>0.0</v>
      </c>
      <c r="AT257" s="39">
        <v>0.0</v>
      </c>
      <c r="AU257" s="39">
        <v>0.0</v>
      </c>
      <c r="AV257" s="39">
        <v>0.0</v>
      </c>
      <c r="AW257" s="39">
        <v>0.0</v>
      </c>
      <c r="AX257" s="39">
        <v>0.0</v>
      </c>
      <c r="AY257" s="39">
        <v>0.0</v>
      </c>
      <c r="AZ257" s="39">
        <v>0.0</v>
      </c>
      <c r="BA257" s="39">
        <v>0.0</v>
      </c>
      <c r="BB257" s="39">
        <v>100.0</v>
      </c>
      <c r="BC257" s="39">
        <v>50.0</v>
      </c>
      <c r="BD257" s="39">
        <v>30.0</v>
      </c>
      <c r="BE257" s="39">
        <v>0.0</v>
      </c>
      <c r="BF257" s="39">
        <v>50.0</v>
      </c>
      <c r="BG257" s="79" t="str">
        <f t="array" ref="BG257">IF($A257="","", INDEX(CS!$B$1:$B$15025,MATCH($A257,CS!$B:$B,0)+COLUMN(A$1),1))</f>
        <v>百足の毒顎</v>
      </c>
      <c r="BH257" s="79" t="str">
        <f t="array" ref="BH257">IF($A257="","", INDEX(CS!$B$1:$B$15025,MATCH($A257,CS!$B:$B,0)+COLUMN(B$1),1))</f>
        <v>百足連撃</v>
      </c>
      <c r="BI257" s="79" t="str">
        <f t="array" ref="BI257">IF($A257="","", INDEX(CS!$B$1:$B$15025,MATCH($A257,CS!$B:$B,0)+COLUMN(C$1),1))</f>
        <v>多眼感知</v>
      </c>
      <c r="BJ257" s="79" t="str">
        <f t="array" ref="BJ257">IF($A257="","", INDEX(CS!$B$1:$B$15025,MATCH($A257,CS!$B:$B,0)+COLUMN(D$1),1))</f>
        <v>長躯回避</v>
      </c>
      <c r="BK257" s="79" t="str">
        <f t="array" ref="BK257">IF($A257="","", INDEX(CS!$B$1:$B$15025,MATCH($A257,CS!$B:$B,0)+COLUMN(E$1),1))</f>
        <v>虫の体当たり</v>
      </c>
      <c r="BL257" s="79" t="str">
        <f t="array" ref="BL257">IF($A257="","", INDEX(CS!$B$1:$B$15025,MATCH($A257,CS!$B:$B,0)+COLUMN(F$1),1))</f>
        <v/>
      </c>
      <c r="BM257" s="79" t="str">
        <f t="array" ref="BM257">IF($A257="","", INDEX(CS!$B$1:$B$15025,MATCH($A257,CS!$B:$B,0)+COLUMN(G$1),1))</f>
        <v>虫の反応</v>
      </c>
      <c r="BN257" s="79" t="str">
        <f t="array" ref="BN257">IF($A257="","", INDEX(CS!$B$1:$B$15025,MATCH($A257,CS!$B:$B,0)+COLUMN(H$1),1))</f>
        <v/>
      </c>
      <c r="BO257" s="79" t="str">
        <f t="array" ref="BO257">IF($A257="","", INDEX(CS!$B$1:$B$15025,MATCH($A257,CS!$B:$B,0)+COLUMN(I$1),1))</f>
        <v/>
      </c>
      <c r="BP257" s="79" t="str">
        <f t="array" ref="BP257">IF($A257="","", INDEX(CS!$B$1:$B$15025,MATCH($A257,CS!$B:$B,0)+COLUMN(J$1),1))</f>
        <v/>
      </c>
      <c r="BS257" s="74"/>
      <c r="BW257" s="57"/>
      <c r="BX257" s="75"/>
      <c r="BY257" s="75"/>
      <c r="BZ257" s="75"/>
      <c r="CA257" s="75"/>
      <c r="CD257" s="75"/>
      <c r="CE257" s="75"/>
    </row>
    <row r="258" ht="18.75" customHeight="1" outlineLevel="1">
      <c r="A258" s="39" t="s">
        <v>1656</v>
      </c>
      <c r="B258" s="71"/>
      <c r="C258" s="39" t="s">
        <v>2900</v>
      </c>
      <c r="D258" s="72" t="str">
        <f t="shared" si="13"/>
        <v>680/480/200</v>
      </c>
      <c r="E258" s="39">
        <v>1.0</v>
      </c>
      <c r="F258" s="39">
        <v>95.0</v>
      </c>
      <c r="I258" s="39">
        <v>95.0</v>
      </c>
      <c r="J258" s="39">
        <v>95.0</v>
      </c>
      <c r="K258" s="87">
        <v>0.0</v>
      </c>
      <c r="L258" s="39">
        <v>45.0</v>
      </c>
      <c r="M258" s="39">
        <v>65.0</v>
      </c>
      <c r="N258" s="39">
        <v>85.0</v>
      </c>
      <c r="O258" s="39">
        <v>160.0</v>
      </c>
      <c r="P258" s="37">
        <v>0.0</v>
      </c>
      <c r="Q258" s="64"/>
      <c r="R258" s="64"/>
      <c r="S258" s="64"/>
      <c r="T258" s="64"/>
      <c r="U258" s="64"/>
      <c r="V258" s="64"/>
      <c r="W258" s="64"/>
      <c r="X258" s="64"/>
      <c r="Y258" s="64"/>
      <c r="Z258" s="64"/>
      <c r="AA258" s="64"/>
      <c r="AJ258" s="39">
        <v>0.0</v>
      </c>
      <c r="AK258" s="39">
        <v>50.0</v>
      </c>
      <c r="AL258" s="39">
        <v>25.0</v>
      </c>
      <c r="AM258" s="39">
        <v>25.0</v>
      </c>
      <c r="AN258" s="39">
        <v>0.0</v>
      </c>
      <c r="AO258" s="39">
        <v>0.0</v>
      </c>
      <c r="AP258" s="39">
        <v>0.0</v>
      </c>
      <c r="AQ258" s="39">
        <v>50.0</v>
      </c>
      <c r="AR258" s="39">
        <v>50.0</v>
      </c>
      <c r="AS258" s="39">
        <v>0.0</v>
      </c>
      <c r="AT258" s="39">
        <v>0.0</v>
      </c>
      <c r="AU258" s="39">
        <v>0.0</v>
      </c>
      <c r="AV258" s="39">
        <v>0.0</v>
      </c>
      <c r="AW258" s="39">
        <v>0.0</v>
      </c>
      <c r="AX258" s="39">
        <v>0.0</v>
      </c>
      <c r="AY258" s="39">
        <v>0.0</v>
      </c>
      <c r="AZ258" s="39">
        <v>0.0</v>
      </c>
      <c r="BA258" s="39">
        <v>0.0</v>
      </c>
      <c r="BB258" s="39">
        <v>30.0</v>
      </c>
      <c r="BC258" s="39">
        <v>100.0</v>
      </c>
      <c r="BD258" s="39">
        <v>120.0</v>
      </c>
      <c r="BE258" s="39">
        <v>0.0</v>
      </c>
      <c r="BF258" s="39">
        <v>70.0</v>
      </c>
      <c r="BG258" s="79" t="str">
        <f t="array" ref="BG258">IF($A258="","", INDEX(CS!$B$1:$B$15025,MATCH($A258,CS!$B:$B,0)+COLUMN(A$1),1))</f>
        <v>蠍の毒針</v>
      </c>
      <c r="BH258" s="79" t="str">
        <f t="array" ref="BH258">IF($A258="","", INDEX(CS!$B$1:$B$15025,MATCH($A258,CS!$B:$B,0)+COLUMN(B$1),1))</f>
        <v>鋏撃</v>
      </c>
      <c r="BI258" s="79" t="str">
        <f t="array" ref="BI258">IF($A258="","", INDEX(CS!$B$1:$B$15025,MATCH($A258,CS!$B:$B,0)+COLUMN(C$1),1))</f>
        <v>蠍の複眼</v>
      </c>
      <c r="BJ258" s="79" t="str">
        <f t="array" ref="BJ258">IF($A258="","", INDEX(CS!$B$1:$B$15025,MATCH($A258,CS!$B:$B,0)+COLUMN(D$1),1))</f>
        <v>蠍の甲殻</v>
      </c>
      <c r="BK258" s="79" t="str">
        <f t="array" ref="BK258">IF($A258="","", INDEX(CS!$B$1:$B$15025,MATCH($A258,CS!$B:$B,0)+COLUMN(E$1),1))</f>
        <v>虫の体当たり</v>
      </c>
      <c r="BL258" s="79" t="str">
        <f t="array" ref="BL258">IF($A258="","", INDEX(CS!$B$1:$B$15025,MATCH($A258,CS!$B:$B,0)+COLUMN(F$1),1))</f>
        <v/>
      </c>
      <c r="BM258" s="79" t="str">
        <f t="array" ref="BM258">IF($A258="","", INDEX(CS!$B$1:$B$15025,MATCH($A258,CS!$B:$B,0)+COLUMN(G$1),1))</f>
        <v>虫の反応</v>
      </c>
      <c r="BN258" s="79" t="str">
        <f t="array" ref="BN258">IF($A258="","", INDEX(CS!$B$1:$B$15025,MATCH($A258,CS!$B:$B,0)+COLUMN(H$1),1))</f>
        <v/>
      </c>
      <c r="BO258" s="79" t="str">
        <f t="array" ref="BO258">IF($A258="","", INDEX(CS!$B$1:$B$15025,MATCH($A258,CS!$B:$B,0)+COLUMN(I$1),1))</f>
        <v/>
      </c>
      <c r="BP258" s="79" t="str">
        <f t="array" ref="BP258">IF($A258="","", INDEX(CS!$B$1:$B$15025,MATCH($A258,CS!$B:$B,0)+COLUMN(J$1),1))</f>
        <v/>
      </c>
      <c r="BS258" s="74"/>
      <c r="BW258" s="57"/>
      <c r="BX258" s="75"/>
      <c r="BY258" s="75"/>
      <c r="BZ258" s="75"/>
      <c r="CA258" s="75"/>
      <c r="CD258" s="75"/>
      <c r="CE258" s="75"/>
    </row>
    <row r="259" ht="18.75" customHeight="1">
      <c r="A259" s="39"/>
      <c r="B259" s="71"/>
      <c r="C259" s="39"/>
      <c r="D259" s="72"/>
      <c r="E259" s="39"/>
      <c r="K259" s="73"/>
      <c r="P259" s="37" t="s">
        <v>29</v>
      </c>
      <c r="Q259" s="64"/>
      <c r="R259" s="64"/>
      <c r="S259" s="64"/>
      <c r="T259" s="64"/>
      <c r="U259" s="64"/>
      <c r="V259" s="64"/>
      <c r="W259" s="64"/>
      <c r="X259" s="64"/>
      <c r="Y259" s="64"/>
      <c r="Z259" s="64"/>
      <c r="AA259" s="64"/>
      <c r="AK259" s="39"/>
      <c r="AM259" s="39"/>
      <c r="AO259" s="39"/>
      <c r="AP259" s="39"/>
      <c r="AQ259" s="39"/>
      <c r="AR259" s="39"/>
      <c r="BA259" s="39"/>
      <c r="BB259" s="39"/>
      <c r="BC259" s="39"/>
      <c r="BD259" s="39"/>
      <c r="BE259" s="39"/>
      <c r="BF259" s="39"/>
      <c r="BG259" s="79" t="str">
        <f t="array" ref="BG259">IF($A259="","", INDEX(CS!$B$1:$B$15025,MATCH($A259,CS!$B:$B,0)+COLUMN(A$1),1))</f>
        <v/>
      </c>
      <c r="BH259" s="79" t="str">
        <f t="array" ref="BH259">IF($A259="","", INDEX(CS!$B$1:$B$15025,MATCH($A259,CS!$B:$B,0)+COLUMN(B$1),1))</f>
        <v/>
      </c>
      <c r="BI259" s="79" t="str">
        <f t="array" ref="BI259">IF($A259="","", INDEX(CS!$B$1:$B$15025,MATCH($A259,CS!$B:$B,0)+COLUMN(C$1),1))</f>
        <v/>
      </c>
      <c r="BJ259" s="79" t="str">
        <f t="array" ref="BJ259">IF($A259="","", INDEX(CS!$B$1:$B$15025,MATCH($A259,CS!$B:$B,0)+COLUMN(D$1),1))</f>
        <v/>
      </c>
      <c r="BK259" s="79" t="str">
        <f t="array" ref="BK259">IF($A259="","", INDEX(CS!$B$1:$B$15025,MATCH($A259,CS!$B:$B,0)+COLUMN(E$1),1))</f>
        <v/>
      </c>
      <c r="BL259" s="79" t="str">
        <f t="array" ref="BL259">IF($A259="","", INDEX(CS!$B$1:$B$15025,MATCH($A259,CS!$B:$B,0)+COLUMN(F$1),1))</f>
        <v/>
      </c>
      <c r="BM259" s="79" t="str">
        <f t="array" ref="BM259">IF($A259="","", INDEX(CS!$B$1:$B$15025,MATCH($A259,CS!$B:$B,0)+COLUMN(G$1),1))</f>
        <v/>
      </c>
      <c r="BN259" s="79" t="str">
        <f t="array" ref="BN259">IF($A259="","", INDEX(CS!$B$1:$B$15025,MATCH($A259,CS!$B:$B,0)+COLUMN(H$1),1))</f>
        <v/>
      </c>
      <c r="BO259" s="79" t="str">
        <f t="array" ref="BO259">IF($A259="","", INDEX(CS!$B$1:$B$15025,MATCH($A259,CS!$B:$B,0)+COLUMN(I$1),1))</f>
        <v/>
      </c>
      <c r="BP259" s="79" t="str">
        <f t="array" ref="BP259">IF($A259="","", INDEX(CS!$B$1:$B$15025,MATCH($A259,CS!$B:$B,0)+COLUMN(J$1),1))</f>
        <v/>
      </c>
      <c r="BS259" s="74"/>
      <c r="BW259" s="57"/>
      <c r="BX259" s="75"/>
      <c r="BY259" s="75"/>
      <c r="BZ259" s="75"/>
      <c r="CA259" s="75"/>
      <c r="CD259" s="75"/>
      <c r="CE259" s="75"/>
    </row>
    <row r="260" ht="18.75" customHeight="1">
      <c r="A260" s="79"/>
      <c r="B260" s="85" t="s">
        <v>2901</v>
      </c>
      <c r="C260" s="90"/>
      <c r="D260" s="92"/>
      <c r="E260" s="93"/>
      <c r="F260" s="90"/>
      <c r="G260" s="79"/>
      <c r="H260" s="79"/>
      <c r="I260" s="90"/>
      <c r="J260" s="90"/>
      <c r="K260" s="94"/>
      <c r="L260" s="90"/>
      <c r="M260" s="90"/>
      <c r="N260" s="90"/>
      <c r="O260" s="79"/>
      <c r="P260" s="79" t="s">
        <v>29</v>
      </c>
      <c r="Q260" s="82"/>
      <c r="R260" s="82"/>
      <c r="S260" s="82"/>
      <c r="T260" s="82"/>
      <c r="U260" s="82"/>
      <c r="V260" s="82"/>
      <c r="W260" s="82"/>
      <c r="X260" s="82"/>
      <c r="Y260" s="82"/>
      <c r="Z260" s="82"/>
      <c r="AA260" s="82"/>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t="str">
        <f t="array" ref="BG260">IF($A260="","", INDEX(CS!$B$1:$B$15025,MATCH($A260,CS!$B:$B,0)+COLUMN(A$1),1))</f>
        <v/>
      </c>
      <c r="BH260" s="79" t="str">
        <f t="array" ref="BH260">IF($A260="","", INDEX(CS!$B$1:$B$15025,MATCH($A260,CS!$B:$B,0)+COLUMN(B$1),1))</f>
        <v/>
      </c>
      <c r="BI260" s="79" t="str">
        <f t="array" ref="BI260">IF($A260="","", INDEX(CS!$B$1:$B$15025,MATCH($A260,CS!$B:$B,0)+COLUMN(C$1),1))</f>
        <v/>
      </c>
      <c r="BJ260" s="79" t="str">
        <f t="array" ref="BJ260">IF($A260="","", INDEX(CS!$B$1:$B$15025,MATCH($A260,CS!$B:$B,0)+COLUMN(D$1),1))</f>
        <v/>
      </c>
      <c r="BK260" s="79" t="str">
        <f t="array" ref="BK260">IF($A260="","", INDEX(CS!$B$1:$B$15025,MATCH($A260,CS!$B:$B,0)+COLUMN(E$1),1))</f>
        <v/>
      </c>
      <c r="BL260" s="79" t="str">
        <f t="array" ref="BL260">IF($A260="","", INDEX(CS!$B$1:$B$15025,MATCH($A260,CS!$B:$B,0)+COLUMN(F$1),1))</f>
        <v/>
      </c>
      <c r="BM260" s="79" t="str">
        <f t="array" ref="BM260">IF($A260="","", INDEX(CS!$B$1:$B$15025,MATCH($A260,CS!$B:$B,0)+COLUMN(G$1),1))</f>
        <v/>
      </c>
      <c r="BN260" s="79" t="str">
        <f t="array" ref="BN260">IF($A260="","", INDEX(CS!$B$1:$B$15025,MATCH($A260,CS!$B:$B,0)+COLUMN(H$1),1))</f>
        <v/>
      </c>
      <c r="BO260" s="79" t="str">
        <f t="array" ref="BO260">IF($A260="","", INDEX(CS!$B$1:$B$15025,MATCH($A260,CS!$B:$B,0)+COLUMN(I$1),1))</f>
        <v/>
      </c>
      <c r="BP260" s="79" t="str">
        <f t="array" ref="BP260">IF($A260="","", INDEX(CS!$B$1:$B$15025,MATCH($A260,CS!$B:$B,0)+COLUMN(J$1),1))</f>
        <v/>
      </c>
      <c r="BQ260" s="79"/>
      <c r="BR260" s="79"/>
      <c r="BS260" s="83"/>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1664</v>
      </c>
      <c r="B261" s="95"/>
      <c r="C261" s="90" t="s">
        <v>2900</v>
      </c>
      <c r="D261" s="92" t="str">
        <f t="shared" ref="D261:D267" si="14">SUM(AJ261:AZ261,F261:N261)&amp;"/"&amp;SUM(F261:N261)&amp;"/"&amp;SUM(AJ261:AZ261)</f>
        <v>535/435/100</v>
      </c>
      <c r="E261" s="93">
        <v>1.0</v>
      </c>
      <c r="F261" s="39">
        <v>75.0</v>
      </c>
      <c r="G261" s="79"/>
      <c r="H261" s="79"/>
      <c r="I261" s="41">
        <v>90.0</v>
      </c>
      <c r="J261" s="41">
        <v>60.0</v>
      </c>
      <c r="K261" s="96">
        <v>0.0</v>
      </c>
      <c r="L261" s="97">
        <v>50.0</v>
      </c>
      <c r="M261" s="90">
        <v>75.0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0.0</v>
      </c>
      <c r="AO261" s="90">
        <v>0.0</v>
      </c>
      <c r="AP261" s="90">
        <v>0.0</v>
      </c>
      <c r="AQ261" s="90">
        <v>0.0</v>
      </c>
      <c r="AR261" s="90">
        <v>25.0</v>
      </c>
      <c r="AS261" s="90">
        <v>0.0</v>
      </c>
      <c r="AT261" s="90">
        <v>0.0</v>
      </c>
      <c r="AU261" s="90">
        <v>0.0</v>
      </c>
      <c r="AV261" s="90">
        <v>0.0</v>
      </c>
      <c r="AW261" s="90">
        <v>0.0</v>
      </c>
      <c r="AX261" s="90">
        <v>0.0</v>
      </c>
      <c r="AY261" s="90">
        <v>0.0</v>
      </c>
      <c r="AZ261" s="90">
        <v>0.0</v>
      </c>
      <c r="BA261" s="79"/>
      <c r="BB261" s="90">
        <v>50.0</v>
      </c>
      <c r="BC261" s="79"/>
      <c r="BD261" s="79"/>
      <c r="BE261" s="79"/>
      <c r="BF261" s="79"/>
      <c r="BG261" s="79" t="str">
        <f t="array" ref="BG261">IF($A261="","", INDEX(CS!$B$1:$B$15025,MATCH($A261,CS!$B:$B,0)+COLUMN(A$1),1))</f>
        <v>穿牙</v>
      </c>
      <c r="BH261" s="79" t="str">
        <f t="array" ref="BH261">IF($A261="","", INDEX(CS!$B$1:$B$15025,MATCH($A261,CS!$B:$B,0)+COLUMN(B$1),1))</f>
        <v/>
      </c>
      <c r="BI261" s="79" t="str">
        <f t="array" ref="BI261">IF($A261="","", INDEX(CS!$B$1:$B$15025,MATCH($A261,CS!$B:$B,0)+COLUMN(C$1),1))</f>
        <v>変形牙</v>
      </c>
      <c r="BJ261" s="79" t="str">
        <f t="array" ref="BJ261">IF($A261="","", INDEX(CS!$B$1:$B$15025,MATCH($A261,CS!$B:$B,0)+COLUMN(D$1),1))</f>
        <v/>
      </c>
      <c r="BK261" s="79" t="str">
        <f t="array" ref="BK261">IF($A261="","", INDEX(CS!$B$1:$B$15025,MATCH($A261,CS!$B:$B,0)+COLUMN(E$1),1))</f>
        <v>牙強化</v>
      </c>
      <c r="BL261" s="79" t="str">
        <f t="array" ref="BL261">IF($A261="","", INDEX(CS!$B$1:$B$15025,MATCH($A261,CS!$B:$B,0)+COLUMN(F$1),1))</f>
        <v>牙</v>
      </c>
      <c r="BM261" s="79" t="str">
        <f t="array" ref="BM261">IF($A261="","", INDEX(CS!$B$1:$B$15025,MATCH($A261,CS!$B:$B,0)+COLUMN(G$1),1))</f>
        <v>牙操作</v>
      </c>
      <c r="BN261" s="79" t="str">
        <f t="array" ref="BN261">IF($A261="","", INDEX(CS!$B$1:$B$15025,MATCH($A261,CS!$B:$B,0)+COLUMN(H$1),1))</f>
        <v/>
      </c>
      <c r="BO261" s="79" t="str">
        <f t="array" ref="BO261">IF($A261="","", INDEX(CS!$B$1:$B$15025,MATCH($A261,CS!$B:$B,0)+COLUMN(I$1),1))</f>
        <v>鋭き牙</v>
      </c>
      <c r="BP261" s="79" t="str">
        <f t="array" ref="BP261">IF($A261="","", INDEX(CS!$B$1:$B$15025,MATCH($A261,CS!$B:$B,0)+COLUMN(J$1),1))</f>
        <v/>
      </c>
      <c r="BQ261" s="79"/>
      <c r="BR261" s="79"/>
      <c r="BS261" s="83"/>
      <c r="BT261" s="79"/>
      <c r="BU261" s="90" t="s">
        <v>2902</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1675</v>
      </c>
      <c r="B262" s="95"/>
      <c r="C262" s="90" t="s">
        <v>2900</v>
      </c>
      <c r="D262" s="92" t="str">
        <f t="shared" si="14"/>
        <v>575/450/125</v>
      </c>
      <c r="E262" s="93">
        <v>1.0</v>
      </c>
      <c r="F262" s="39">
        <v>75.0</v>
      </c>
      <c r="G262" s="79"/>
      <c r="H262" s="79"/>
      <c r="I262" s="41">
        <v>85.0</v>
      </c>
      <c r="J262" s="41">
        <v>60.0</v>
      </c>
      <c r="K262" s="96">
        <v>0.0</v>
      </c>
      <c r="L262" s="97">
        <v>50.0</v>
      </c>
      <c r="M262" s="90">
        <v>90.0</v>
      </c>
      <c r="N262" s="90">
        <v>90.0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50.0</v>
      </c>
      <c r="AN262" s="90">
        <v>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90">
        <v>50.0</v>
      </c>
      <c r="BD262" s="79"/>
      <c r="BE262" s="79"/>
      <c r="BF262" s="79"/>
      <c r="BG262" s="79" t="str">
        <f t="array" ref="BG262">IF($A262="","", INDEX(CS!$B$1:$B$15025,MATCH($A262,CS!$B:$B,0)+COLUMN(A$1),1))</f>
        <v>裂爪</v>
      </c>
      <c r="BH262" s="79" t="str">
        <f t="array" ref="BH262">IF($A262="","", INDEX(CS!$B$1:$B$15025,MATCH($A262,CS!$B:$B,0)+COLUMN(B$1),1))</f>
        <v/>
      </c>
      <c r="BI262" s="79" t="str">
        <f t="array" ref="BI262">IF($A262="","", INDEX(CS!$B$1:$B$15025,MATCH($A262,CS!$B:$B,0)+COLUMN(C$1),1))</f>
        <v>変形爪</v>
      </c>
      <c r="BJ262" s="79" t="str">
        <f t="array" ref="BJ262">IF($A262="","", INDEX(CS!$B$1:$B$15025,MATCH($A262,CS!$B:$B,0)+COLUMN(D$1),1))</f>
        <v/>
      </c>
      <c r="BK262" s="79" t="str">
        <f t="array" ref="BK262">IF($A262="","", INDEX(CS!$B$1:$B$15025,MATCH($A262,CS!$B:$B,0)+COLUMN(E$1),1))</f>
        <v>爪強化</v>
      </c>
      <c r="BL262" s="79" t="str">
        <f t="array" ref="BL262">IF($A262="","", INDEX(CS!$B$1:$B$15025,MATCH($A262,CS!$B:$B,0)+COLUMN(F$1),1))</f>
        <v>爪</v>
      </c>
      <c r="BM262" s="79" t="str">
        <f t="array" ref="BM262">IF($A262="","", INDEX(CS!$B$1:$B$15025,MATCH($A262,CS!$B:$B,0)+COLUMN(G$1),1))</f>
        <v>爪操作</v>
      </c>
      <c r="BN262" s="79" t="str">
        <f t="array" ref="BN262">IF($A262="","", INDEX(CS!$B$1:$B$15025,MATCH($A262,CS!$B:$B,0)+COLUMN(H$1),1))</f>
        <v/>
      </c>
      <c r="BO262" s="79" t="str">
        <f t="array" ref="BO262">IF($A262="","", INDEX(CS!$B$1:$B$15025,MATCH($A262,CS!$B:$B,0)+COLUMN(I$1),1))</f>
        <v>鋭き爪</v>
      </c>
      <c r="BP262" s="79" t="str">
        <f t="array" ref="BP262">IF($A262="","", INDEX(CS!$B$1:$B$15025,MATCH($A262,CS!$B:$B,0)+COLUMN(J$1),1))</f>
        <v/>
      </c>
      <c r="BQ262" s="79"/>
      <c r="BR262" s="79"/>
      <c r="BS262" s="83"/>
      <c r="BT262" s="79"/>
      <c r="BU262" s="90" t="s">
        <v>2903</v>
      </c>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outlineLevel="1">
      <c r="A263" s="90" t="s">
        <v>1686</v>
      </c>
      <c r="B263" s="95"/>
      <c r="C263" s="90" t="s">
        <v>2900</v>
      </c>
      <c r="D263" s="92" t="str">
        <f t="shared" si="14"/>
        <v>525/450/75</v>
      </c>
      <c r="E263" s="93">
        <v>1.0</v>
      </c>
      <c r="F263" s="39">
        <v>90.0</v>
      </c>
      <c r="G263" s="79"/>
      <c r="H263" s="79"/>
      <c r="I263" s="41">
        <v>100.0</v>
      </c>
      <c r="J263" s="41">
        <v>75.0</v>
      </c>
      <c r="K263" s="96">
        <v>0.0</v>
      </c>
      <c r="L263" s="97">
        <v>50.0</v>
      </c>
      <c r="M263" s="90">
        <v>60.0</v>
      </c>
      <c r="N263" s="90">
        <v>75.0</v>
      </c>
      <c r="O263" s="79"/>
      <c r="P263" s="79">
        <v>0.0</v>
      </c>
      <c r="Q263" s="82"/>
      <c r="R263" s="82"/>
      <c r="S263" s="82"/>
      <c r="T263" s="82"/>
      <c r="U263" s="82"/>
      <c r="V263" s="82"/>
      <c r="W263" s="82"/>
      <c r="X263" s="82"/>
      <c r="Y263" s="82"/>
      <c r="Z263" s="82"/>
      <c r="AA263" s="82"/>
      <c r="AB263" s="79"/>
      <c r="AC263" s="79"/>
      <c r="AD263" s="79"/>
      <c r="AE263" s="79"/>
      <c r="AF263" s="79"/>
      <c r="AG263" s="79"/>
      <c r="AH263" s="79"/>
      <c r="AI263" s="79"/>
      <c r="AJ263" s="90">
        <v>0.0</v>
      </c>
      <c r="AK263" s="90">
        <v>50.0</v>
      </c>
      <c r="AL263" s="90">
        <v>0.0</v>
      </c>
      <c r="AM263" s="90">
        <v>0.0</v>
      </c>
      <c r="AN263" s="90">
        <v>0.0</v>
      </c>
      <c r="AO263" s="90">
        <v>0.0</v>
      </c>
      <c r="AP263" s="90">
        <v>0.0</v>
      </c>
      <c r="AQ263" s="90">
        <v>0.0</v>
      </c>
      <c r="AR263" s="90">
        <v>25.0</v>
      </c>
      <c r="AS263" s="90">
        <v>0.0</v>
      </c>
      <c r="AT263" s="90">
        <v>0.0</v>
      </c>
      <c r="AU263" s="90">
        <v>0.0</v>
      </c>
      <c r="AV263" s="90">
        <v>0.0</v>
      </c>
      <c r="AW263" s="90">
        <v>0.0</v>
      </c>
      <c r="AX263" s="90">
        <v>0.0</v>
      </c>
      <c r="AY263" s="90">
        <v>0.0</v>
      </c>
      <c r="AZ263" s="90">
        <v>0.0</v>
      </c>
      <c r="BA263" s="90">
        <v>50.0</v>
      </c>
      <c r="BB263" s="79"/>
      <c r="BC263" s="79"/>
      <c r="BD263" s="79"/>
      <c r="BE263" s="79"/>
      <c r="BF263" s="79"/>
      <c r="BG263" s="79" t="str">
        <f t="array" ref="BG263">IF($A263="","", INDEX(CS!$B$1:$B$15025,MATCH($A263,CS!$B:$B,0)+COLUMN(A$1),1))</f>
        <v>槍角</v>
      </c>
      <c r="BH263" s="79" t="str">
        <f t="array" ref="BH263">IF($A263="","", INDEX(CS!$B$1:$B$15025,MATCH($A263,CS!$B:$B,0)+COLUMN(B$1),1))</f>
        <v/>
      </c>
      <c r="BI263" s="79" t="str">
        <f t="array" ref="BI263">IF($A263="","", INDEX(CS!$B$1:$B$15025,MATCH($A263,CS!$B:$B,0)+COLUMN(C$1),1))</f>
        <v>変形角</v>
      </c>
      <c r="BJ263" s="79" t="str">
        <f t="array" ref="BJ263">IF($A263="","", INDEX(CS!$B$1:$B$15025,MATCH($A263,CS!$B:$B,0)+COLUMN(D$1),1))</f>
        <v/>
      </c>
      <c r="BK263" s="79" t="str">
        <f t="array" ref="BK263">IF($A263="","", INDEX(CS!$B$1:$B$15025,MATCH($A263,CS!$B:$B,0)+COLUMN(E$1),1))</f>
        <v>角強化</v>
      </c>
      <c r="BL263" s="79" t="str">
        <f t="array" ref="BL263">IF($A263="","", INDEX(CS!$B$1:$B$15025,MATCH($A263,CS!$B:$B,0)+COLUMN(F$1),1))</f>
        <v>角</v>
      </c>
      <c r="BM263" s="79" t="str">
        <f t="array" ref="BM263">IF($A263="","", INDEX(CS!$B$1:$B$15025,MATCH($A263,CS!$B:$B,0)+COLUMN(G$1),1))</f>
        <v>角操作</v>
      </c>
      <c r="BN263" s="79" t="str">
        <f t="array" ref="BN263">IF($A263="","", INDEX(CS!$B$1:$B$15025,MATCH($A263,CS!$B:$B,0)+COLUMN(H$1),1))</f>
        <v/>
      </c>
      <c r="BO263" s="79" t="str">
        <f t="array" ref="BO263">IF($A263="","", INDEX(CS!$B$1:$B$15025,MATCH($A263,CS!$B:$B,0)+COLUMN(I$1),1))</f>
        <v>鋭き角</v>
      </c>
      <c r="BP263" s="79" t="str">
        <f t="array" ref="BP263">IF($A263="","", INDEX(CS!$B$1:$B$15025,MATCH($A263,CS!$B:$B,0)+COLUMN(J$1),1))</f>
        <v/>
      </c>
      <c r="BQ263" s="79"/>
      <c r="BR263" s="79"/>
      <c r="BS263" s="83"/>
      <c r="BT263" s="79"/>
      <c r="BU263" s="90" t="s">
        <v>2904</v>
      </c>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outlineLevel="1">
      <c r="A264" s="90" t="s">
        <v>1697</v>
      </c>
      <c r="B264" s="95"/>
      <c r="C264" s="90" t="s">
        <v>2900</v>
      </c>
      <c r="D264" s="92" t="str">
        <f t="shared" si="14"/>
        <v>530/455/75</v>
      </c>
      <c r="E264" s="93">
        <v>1.0</v>
      </c>
      <c r="F264" s="39">
        <v>100.0</v>
      </c>
      <c r="G264" s="79"/>
      <c r="H264" s="79"/>
      <c r="I264" s="41">
        <v>65.0</v>
      </c>
      <c r="J264" s="41">
        <v>110.0</v>
      </c>
      <c r="K264" s="96">
        <v>0.0</v>
      </c>
      <c r="L264" s="97">
        <v>60.0</v>
      </c>
      <c r="M264" s="90">
        <v>50.0</v>
      </c>
      <c r="N264" s="90">
        <v>70.0</v>
      </c>
      <c r="O264" s="79"/>
      <c r="P264" s="79">
        <v>0.0</v>
      </c>
      <c r="Q264" s="82"/>
      <c r="R264" s="82"/>
      <c r="S264" s="82"/>
      <c r="T264" s="82"/>
      <c r="U264" s="82"/>
      <c r="V264" s="82"/>
      <c r="W264" s="82"/>
      <c r="X264" s="82"/>
      <c r="Y264" s="82"/>
      <c r="Z264" s="82"/>
      <c r="AA264" s="82"/>
      <c r="AB264" s="79"/>
      <c r="AC264" s="79"/>
      <c r="AD264" s="79"/>
      <c r="AE264" s="79"/>
      <c r="AF264" s="79"/>
      <c r="AG264" s="79"/>
      <c r="AH264" s="79"/>
      <c r="AI264" s="79"/>
      <c r="AJ264" s="90">
        <v>0.0</v>
      </c>
      <c r="AK264" s="90">
        <v>25.0</v>
      </c>
      <c r="AL264" s="90">
        <v>0.0</v>
      </c>
      <c r="AM264" s="90">
        <v>0.0</v>
      </c>
      <c r="AN264" s="90">
        <v>25.0</v>
      </c>
      <c r="AO264" s="90">
        <v>0.0</v>
      </c>
      <c r="AP264" s="90">
        <v>0.0</v>
      </c>
      <c r="AQ264" s="90">
        <v>0.0</v>
      </c>
      <c r="AR264" s="90">
        <v>25.0</v>
      </c>
      <c r="AS264" s="90">
        <v>0.0</v>
      </c>
      <c r="AT264" s="90">
        <v>0.0</v>
      </c>
      <c r="AU264" s="90">
        <v>0.0</v>
      </c>
      <c r="AV264" s="90">
        <v>0.0</v>
      </c>
      <c r="AW264" s="90">
        <v>0.0</v>
      </c>
      <c r="AX264" s="90">
        <v>0.0</v>
      </c>
      <c r="AY264" s="90">
        <v>0.0</v>
      </c>
      <c r="AZ264" s="90">
        <v>0.0</v>
      </c>
      <c r="BA264" s="79"/>
      <c r="BB264" s="79"/>
      <c r="BC264" s="79"/>
      <c r="BD264" s="79"/>
      <c r="BE264" s="79"/>
      <c r="BF264" s="90">
        <v>50.0</v>
      </c>
      <c r="BG264" s="79" t="str">
        <f t="array" ref="BG264">IF($A264="","", INDEX(CS!$B$1:$B$15025,MATCH($A264,CS!$B:$B,0)+COLUMN(A$1),1))</f>
        <v>装甲突撃</v>
      </c>
      <c r="BH264" s="79" t="str">
        <f t="array" ref="BH264">IF($A264="","", INDEX(CS!$B$1:$B$15025,MATCH($A264,CS!$B:$B,0)+COLUMN(B$1),1))</f>
        <v/>
      </c>
      <c r="BI264" s="79" t="str">
        <f t="array" ref="BI264">IF($A264="","", INDEX(CS!$B$1:$B$15025,MATCH($A264,CS!$B:$B,0)+COLUMN(C$1),1))</f>
        <v>変形装甲</v>
      </c>
      <c r="BJ264" s="79" t="str">
        <f t="array" ref="BJ264">IF($A264="","", INDEX(CS!$B$1:$B$15025,MATCH($A264,CS!$B:$B,0)+COLUMN(D$1),1))</f>
        <v/>
      </c>
      <c r="BK264" s="79" t="str">
        <f t="array" ref="BK264">IF($A264="","", INDEX(CS!$B$1:$B$15025,MATCH($A264,CS!$B:$B,0)+COLUMN(E$1),1))</f>
        <v>装甲強化</v>
      </c>
      <c r="BL264" s="79" t="str">
        <f t="array" ref="BL264">IF($A264="","", INDEX(CS!$B$1:$B$15025,MATCH($A264,CS!$B:$B,0)+COLUMN(F$1),1))</f>
        <v>踏みつけ</v>
      </c>
      <c r="BM264" s="79" t="str">
        <f t="array" ref="BM264">IF($A264="","", INDEX(CS!$B$1:$B$15025,MATCH($A264,CS!$B:$B,0)+COLUMN(G$1),1))</f>
        <v>装甲操作</v>
      </c>
      <c r="BN264" s="79" t="str">
        <f t="array" ref="BN264">IF($A264="","", INDEX(CS!$B$1:$B$15025,MATCH($A264,CS!$B:$B,0)+COLUMN(H$1),1))</f>
        <v/>
      </c>
      <c r="BO264" s="79" t="str">
        <f t="array" ref="BO264">IF($A264="","", INDEX(CS!$B$1:$B$15025,MATCH($A264,CS!$B:$B,0)+COLUMN(I$1),1))</f>
        <v>鋭き装甲</v>
      </c>
      <c r="BP264" s="79" t="str">
        <f t="array" ref="BP264">IF($A264="","", INDEX(CS!$B$1:$B$15025,MATCH($A264,CS!$B:$B,0)+COLUMN(J$1),1))</f>
        <v/>
      </c>
      <c r="BQ264" s="79"/>
      <c r="BR264" s="79"/>
      <c r="BS264" s="83"/>
      <c r="BT264" s="79"/>
      <c r="BU264" s="90" t="s">
        <v>2905</v>
      </c>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outlineLevel="1">
      <c r="A265" s="90" t="s">
        <v>1708</v>
      </c>
      <c r="B265" s="95"/>
      <c r="C265" s="90" t="s">
        <v>2900</v>
      </c>
      <c r="D265" s="92" t="str">
        <f t="shared" si="14"/>
        <v>625/450/175</v>
      </c>
      <c r="E265" s="93">
        <v>1.0</v>
      </c>
      <c r="F265" s="39">
        <v>70.0</v>
      </c>
      <c r="G265" s="79"/>
      <c r="H265" s="79"/>
      <c r="I265" s="41">
        <v>70.0</v>
      </c>
      <c r="J265" s="41">
        <v>55.0</v>
      </c>
      <c r="K265" s="96">
        <v>0.0</v>
      </c>
      <c r="L265" s="97">
        <v>50.0</v>
      </c>
      <c r="M265" s="90">
        <v>115.0</v>
      </c>
      <c r="N265" s="90">
        <v>90.0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25.0</v>
      </c>
      <c r="AM265" s="90">
        <v>75.0</v>
      </c>
      <c r="AN265" s="90">
        <v>0.0</v>
      </c>
      <c r="AO265" s="90">
        <v>0.0</v>
      </c>
      <c r="AP265" s="90">
        <v>0.0</v>
      </c>
      <c r="AQ265" s="90">
        <v>25.0</v>
      </c>
      <c r="AR265" s="90">
        <v>50.0</v>
      </c>
      <c r="AS265" s="90">
        <v>0.0</v>
      </c>
      <c r="AT265" s="90">
        <v>0.0</v>
      </c>
      <c r="AU265" s="90">
        <v>0.0</v>
      </c>
      <c r="AV265" s="90">
        <v>0.0</v>
      </c>
      <c r="AW265" s="90">
        <v>0.0</v>
      </c>
      <c r="AX265" s="90">
        <v>0.0</v>
      </c>
      <c r="AY265" s="90">
        <v>0.0</v>
      </c>
      <c r="AZ265" s="90">
        <v>0.0</v>
      </c>
      <c r="BA265" s="79"/>
      <c r="BB265" s="79"/>
      <c r="BC265" s="79"/>
      <c r="BD265" s="79"/>
      <c r="BE265" s="90">
        <v>50.0</v>
      </c>
      <c r="BF265" s="79"/>
      <c r="BG265" s="79" t="str">
        <f t="array" ref="BG265">IF($A265="","", INDEX(CS!$B$1:$B$15025,MATCH($A265,CS!$B:$B,0)+COLUMN(A$1),1))</f>
        <v>翼刃</v>
      </c>
      <c r="BH265" s="79" t="str">
        <f t="array" ref="BH265">IF($A265="","", INDEX(CS!$B$1:$B$15025,MATCH($A265,CS!$B:$B,0)+COLUMN(B$1),1))</f>
        <v/>
      </c>
      <c r="BI265" s="79" t="str">
        <f t="array" ref="BI265">IF($A265="","", INDEX(CS!$B$1:$B$15025,MATCH($A265,CS!$B:$B,0)+COLUMN(C$1),1))</f>
        <v>変形翼</v>
      </c>
      <c r="BJ265" s="79" t="str">
        <f t="array" ref="BJ265">IF($A265="","", INDEX(CS!$B$1:$B$15025,MATCH($A265,CS!$B:$B,0)+COLUMN(D$1),1))</f>
        <v/>
      </c>
      <c r="BK265" s="79" t="str">
        <f t="array" ref="BK265">IF($A265="","", INDEX(CS!$B$1:$B$15025,MATCH($A265,CS!$B:$B,0)+COLUMN(E$1),1))</f>
        <v>翼強化</v>
      </c>
      <c r="BL265" s="79" t="str">
        <f t="array" ref="BL265">IF($A265="","", INDEX(CS!$B$1:$B$15025,MATCH($A265,CS!$B:$B,0)+COLUMN(F$1),1))</f>
        <v>翼</v>
      </c>
      <c r="BM265" s="79" t="str">
        <f t="array" ref="BM265">IF($A265="","", INDEX(CS!$B$1:$B$15025,MATCH($A265,CS!$B:$B,0)+COLUMN(G$1),1))</f>
        <v>翼操作</v>
      </c>
      <c r="BN265" s="79" t="str">
        <f t="array" ref="BN265">IF($A265="","", INDEX(CS!$B$1:$B$15025,MATCH($A265,CS!$B:$B,0)+COLUMN(H$1),1))</f>
        <v/>
      </c>
      <c r="BO265" s="79" t="str">
        <f t="array" ref="BO265">IF($A265="","", INDEX(CS!$B$1:$B$15025,MATCH($A265,CS!$B:$B,0)+COLUMN(I$1),1))</f>
        <v>鋭き翼</v>
      </c>
      <c r="BP265" s="79" t="str">
        <f t="array" ref="BP265">IF($A265="","", INDEX(CS!$B$1:$B$15025,MATCH($A265,CS!$B:$B,0)+COLUMN(J$1),1))</f>
        <v/>
      </c>
      <c r="BQ265" s="79"/>
      <c r="BR265" s="79"/>
      <c r="BS265" s="83"/>
      <c r="BT265" s="79"/>
      <c r="BU265" s="90" t="s">
        <v>2906</v>
      </c>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90" t="s">
        <v>1719</v>
      </c>
      <c r="B266" s="95"/>
      <c r="C266" s="90" t="s">
        <v>2900</v>
      </c>
      <c r="D266" s="92" t="str">
        <f t="shared" si="14"/>
        <v>600/450/150</v>
      </c>
      <c r="E266" s="93">
        <v>1.0</v>
      </c>
      <c r="F266" s="39">
        <v>80.0</v>
      </c>
      <c r="G266" s="79"/>
      <c r="H266" s="79"/>
      <c r="I266" s="41">
        <v>85.0</v>
      </c>
      <c r="J266" s="41">
        <v>70.0</v>
      </c>
      <c r="K266" s="96">
        <v>0.0</v>
      </c>
      <c r="L266" s="97">
        <v>50.0</v>
      </c>
      <c r="M266" s="90">
        <v>80.0</v>
      </c>
      <c r="N266" s="90">
        <v>85.0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25.0</v>
      </c>
      <c r="AL266" s="90">
        <v>25.0</v>
      </c>
      <c r="AM266" s="90">
        <v>25.0</v>
      </c>
      <c r="AN266" s="90">
        <v>25.0</v>
      </c>
      <c r="AO266" s="90">
        <v>0.0</v>
      </c>
      <c r="AP266" s="90">
        <v>0.0</v>
      </c>
      <c r="AQ266" s="90">
        <v>25.0</v>
      </c>
      <c r="AR266" s="90">
        <v>25.0</v>
      </c>
      <c r="AS266" s="90">
        <v>0.0</v>
      </c>
      <c r="AT266" s="90">
        <v>0.0</v>
      </c>
      <c r="AU266" s="90">
        <v>0.0</v>
      </c>
      <c r="AV266" s="90">
        <v>0.0</v>
      </c>
      <c r="AW266" s="90">
        <v>0.0</v>
      </c>
      <c r="AX266" s="90">
        <v>0.0</v>
      </c>
      <c r="AY266" s="90">
        <v>0.0</v>
      </c>
      <c r="AZ266" s="90">
        <v>0.0</v>
      </c>
      <c r="BA266" s="79"/>
      <c r="BB266" s="79"/>
      <c r="BC266" s="79"/>
      <c r="BD266" s="90">
        <v>50.0</v>
      </c>
      <c r="BE266" s="79"/>
      <c r="BF266" s="79"/>
      <c r="BG266" s="79" t="str">
        <f t="array" ref="BG266">IF($A266="","", INDEX(CS!$B$1:$B$15025,MATCH($A266,CS!$B:$B,0)+COLUMN(A$1),1))</f>
        <v>尾槍</v>
      </c>
      <c r="BH266" s="79" t="str">
        <f t="array" ref="BH266">IF($A266="","", INDEX(CS!$B$1:$B$15025,MATCH($A266,CS!$B:$B,0)+COLUMN(B$1),1))</f>
        <v/>
      </c>
      <c r="BI266" s="79" t="str">
        <f t="array" ref="BI266">IF($A266="","", INDEX(CS!$B$1:$B$15025,MATCH($A266,CS!$B:$B,0)+COLUMN(C$1),1))</f>
        <v>変形尾</v>
      </c>
      <c r="BJ266" s="79" t="str">
        <f t="array" ref="BJ266">IF($A266="","", INDEX(CS!$B$1:$B$15025,MATCH($A266,CS!$B:$B,0)+COLUMN(D$1),1))</f>
        <v/>
      </c>
      <c r="BK266" s="79" t="str">
        <f t="array" ref="BK266">IF($A266="","", INDEX(CS!$B$1:$B$15025,MATCH($A266,CS!$B:$B,0)+COLUMN(E$1),1))</f>
        <v>尾強化</v>
      </c>
      <c r="BL266" s="79" t="str">
        <f t="array" ref="BL266">IF($A266="","", INDEX(CS!$B$1:$B$15025,MATCH($A266,CS!$B:$B,0)+COLUMN(F$1),1))</f>
        <v>尾</v>
      </c>
      <c r="BM266" s="79" t="str">
        <f t="array" ref="BM266">IF($A266="","", INDEX(CS!$B$1:$B$15025,MATCH($A266,CS!$B:$B,0)+COLUMN(G$1),1))</f>
        <v>尾操作</v>
      </c>
      <c r="BN266" s="79" t="str">
        <f t="array" ref="BN266">IF($A266="","", INDEX(CS!$B$1:$B$15025,MATCH($A266,CS!$B:$B,0)+COLUMN(H$1),1))</f>
        <v/>
      </c>
      <c r="BO266" s="79" t="str">
        <f t="array" ref="BO266">IF($A266="","", INDEX(CS!$B$1:$B$15025,MATCH($A266,CS!$B:$B,0)+COLUMN(I$1),1))</f>
        <v>鋭き尾</v>
      </c>
      <c r="BP266" s="79" t="str">
        <f t="array" ref="BP266">IF($A266="","", INDEX(CS!$B$1:$B$15025,MATCH($A266,CS!$B:$B,0)+COLUMN(J$1),1))</f>
        <v/>
      </c>
      <c r="BQ266" s="79"/>
      <c r="BR266" s="79"/>
      <c r="BS266" s="83"/>
      <c r="BT266" s="79"/>
      <c r="BU266" s="90" t="s">
        <v>2907</v>
      </c>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90" t="s">
        <v>1730</v>
      </c>
      <c r="B267" s="95"/>
      <c r="C267" s="90" t="s">
        <v>2900</v>
      </c>
      <c r="D267" s="92" t="str">
        <f t="shared" si="14"/>
        <v>605/455/150</v>
      </c>
      <c r="E267" s="93">
        <v>1.0</v>
      </c>
      <c r="F267" s="39">
        <v>80.0</v>
      </c>
      <c r="G267" s="79"/>
      <c r="H267" s="79"/>
      <c r="I267" s="41">
        <v>80.0</v>
      </c>
      <c r="J267" s="41">
        <v>85.0</v>
      </c>
      <c r="K267" s="96">
        <v>0.0</v>
      </c>
      <c r="L267" s="97">
        <v>50.0</v>
      </c>
      <c r="M267" s="90">
        <v>75.0</v>
      </c>
      <c r="N267" s="90">
        <v>85.0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25.0</v>
      </c>
      <c r="AM267" s="90">
        <v>25.0</v>
      </c>
      <c r="AN267" s="90">
        <v>50.0</v>
      </c>
      <c r="AO267" s="90">
        <v>0.0</v>
      </c>
      <c r="AP267" s="90">
        <v>0.0</v>
      </c>
      <c r="AQ267" s="90">
        <v>25.0</v>
      </c>
      <c r="AR267" s="90">
        <v>25.0</v>
      </c>
      <c r="AS267" s="90">
        <v>0.0</v>
      </c>
      <c r="AT267" s="90">
        <v>0.0</v>
      </c>
      <c r="AU267" s="90">
        <v>0.0</v>
      </c>
      <c r="AV267" s="90">
        <v>0.0</v>
      </c>
      <c r="AW267" s="90">
        <v>0.0</v>
      </c>
      <c r="AX267" s="90">
        <v>0.0</v>
      </c>
      <c r="AY267" s="90">
        <v>0.0</v>
      </c>
      <c r="AZ267" s="90">
        <v>0.0</v>
      </c>
      <c r="BA267" s="79"/>
      <c r="BB267" s="79"/>
      <c r="BC267" s="79"/>
      <c r="BD267" s="90"/>
      <c r="BE267" s="79"/>
      <c r="BF267" s="90">
        <v>25.0</v>
      </c>
      <c r="BG267" s="90" t="s">
        <v>1732</v>
      </c>
      <c r="BH267" s="79"/>
      <c r="BI267" s="90" t="s">
        <v>1737</v>
      </c>
      <c r="BJ267" s="79"/>
      <c r="BK267" s="90" t="s">
        <v>1742</v>
      </c>
      <c r="BL267" s="79"/>
      <c r="BM267" s="90" t="s">
        <v>1747</v>
      </c>
      <c r="BN267" s="79"/>
      <c r="BO267" s="90" t="s">
        <v>1752</v>
      </c>
      <c r="BP267" s="90" t="s">
        <v>1756</v>
      </c>
      <c r="BQ267" s="79"/>
      <c r="BR267" s="79"/>
      <c r="BS267" s="83"/>
      <c r="BT267" s="79"/>
      <c r="BU267" s="90"/>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c r="A268" s="90"/>
      <c r="B268" s="95"/>
      <c r="C268" s="90"/>
      <c r="D268" s="92"/>
      <c r="E268" s="93"/>
      <c r="G268" s="79"/>
      <c r="H268" s="79"/>
      <c r="I268" s="41"/>
      <c r="J268" s="41"/>
      <c r="K268" s="96"/>
      <c r="L268" s="97"/>
      <c r="M268" s="90"/>
      <c r="N268" s="90"/>
      <c r="O268" s="79"/>
      <c r="P268" s="79" t="s">
        <v>29</v>
      </c>
      <c r="Q268" s="82"/>
      <c r="R268" s="82"/>
      <c r="S268" s="82"/>
      <c r="T268" s="82"/>
      <c r="U268" s="82"/>
      <c r="V268" s="82"/>
      <c r="W268" s="82"/>
      <c r="X268" s="82"/>
      <c r="Y268" s="82"/>
      <c r="Z268" s="82"/>
      <c r="AA268" s="82"/>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t="str">
        <f t="array" ref="BG268">IF($A268="","", INDEX(CS!$B$1:$B$15025,MATCH($A268,CS!$B:$B,0)+COLUMN(A$1),1))</f>
        <v/>
      </c>
      <c r="BH268" s="79" t="str">
        <f t="array" ref="BH268">IF($A268="","", INDEX(CS!$B$1:$B$15025,MATCH($A268,CS!$B:$B,0)+COLUMN(B$1),1))</f>
        <v/>
      </c>
      <c r="BI268" s="79" t="str">
        <f t="array" ref="BI268">IF($A268="","", INDEX(CS!$B$1:$B$15025,MATCH($A268,CS!$B:$B,0)+COLUMN(C$1),1))</f>
        <v/>
      </c>
      <c r="BJ268" s="79" t="str">
        <f t="array" ref="BJ268">IF($A268="","", INDEX(CS!$B$1:$B$15025,MATCH($A268,CS!$B:$B,0)+COLUMN(D$1),1))</f>
        <v/>
      </c>
      <c r="BK268" s="79" t="str">
        <f t="array" ref="BK268">IF($A268="","", INDEX(CS!$B$1:$B$15025,MATCH($A268,CS!$B:$B,0)+COLUMN(E$1),1))</f>
        <v/>
      </c>
      <c r="BL268" s="79" t="str">
        <f t="array" ref="BL268">IF($A268="","", INDEX(CS!$B$1:$B$15025,MATCH($A268,CS!$B:$B,0)+COLUMN(F$1),1))</f>
        <v/>
      </c>
      <c r="BM268" s="79" t="str">
        <f t="array" ref="BM268">IF($A268="","", INDEX(CS!$B$1:$B$15025,MATCH($A268,CS!$B:$B,0)+COLUMN(G$1),1))</f>
        <v/>
      </c>
      <c r="BN268" s="79" t="str">
        <f t="array" ref="BN268">IF($A268="","", INDEX(CS!$B$1:$B$15025,MATCH($A268,CS!$B:$B,0)+COLUMN(H$1),1))</f>
        <v/>
      </c>
      <c r="BO268" s="79" t="str">
        <f t="array" ref="BO268">IF($A268="","", INDEX(CS!$B$1:$B$15025,MATCH($A268,CS!$B:$B,0)+COLUMN(I$1),1))</f>
        <v/>
      </c>
      <c r="BP268" s="79" t="str">
        <f t="array" ref="BP268">IF($A268="","", INDEX(CS!$B$1:$B$15025,MATCH($A268,CS!$B:$B,0)+COLUMN(J$1),1))</f>
        <v/>
      </c>
      <c r="BQ268" s="79"/>
      <c r="BR268" s="79"/>
      <c r="BS268" s="83"/>
      <c r="BT268" s="79"/>
      <c r="BU268" s="90"/>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c r="A269" s="79"/>
      <c r="B269" s="85" t="s">
        <v>2908</v>
      </c>
      <c r="C269" s="90"/>
      <c r="D269" s="92"/>
      <c r="E269" s="93"/>
      <c r="F269" s="90"/>
      <c r="G269" s="79"/>
      <c r="H269" s="79"/>
      <c r="I269" s="90"/>
      <c r="J269" s="90"/>
      <c r="K269" s="94"/>
      <c r="L269" s="90"/>
      <c r="M269" s="90"/>
      <c r="N269" s="90"/>
      <c r="O269" s="79"/>
      <c r="P269" s="79" t="s">
        <v>29</v>
      </c>
      <c r="Q269" s="82"/>
      <c r="R269" s="82"/>
      <c r="S269" s="82"/>
      <c r="T269" s="82"/>
      <c r="U269" s="82"/>
      <c r="V269" s="82"/>
      <c r="W269" s="82"/>
      <c r="X269" s="82"/>
      <c r="Y269" s="82"/>
      <c r="Z269" s="82"/>
      <c r="AA269" s="82"/>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t="str">
        <f t="array" ref="BG269">IF($A269="","", INDEX(CS!$B$1:$B$15025,MATCH($A269,CS!$B:$B,0)+COLUMN(A$1),1))</f>
        <v/>
      </c>
      <c r="BH269" s="79" t="str">
        <f t="array" ref="BH269">IF($A269="","", INDEX(CS!$B$1:$B$15025,MATCH($A269,CS!$B:$B,0)+COLUMN(B$1),1))</f>
        <v/>
      </c>
      <c r="BI269" s="79" t="str">
        <f t="array" ref="BI269">IF($A269="","", INDEX(CS!$B$1:$B$15025,MATCH($A269,CS!$B:$B,0)+COLUMN(C$1),1))</f>
        <v/>
      </c>
      <c r="BJ269" s="79" t="str">
        <f t="array" ref="BJ269">IF($A269="","", INDEX(CS!$B$1:$B$15025,MATCH($A269,CS!$B:$B,0)+COLUMN(D$1),1))</f>
        <v/>
      </c>
      <c r="BK269" s="79" t="str">
        <f t="array" ref="BK269">IF($A269="","", INDEX(CS!$B$1:$B$15025,MATCH($A269,CS!$B:$B,0)+COLUMN(E$1),1))</f>
        <v/>
      </c>
      <c r="BL269" s="79" t="str">
        <f t="array" ref="BL269">IF($A269="","", INDEX(CS!$B$1:$B$15025,MATCH($A269,CS!$B:$B,0)+COLUMN(F$1),1))</f>
        <v/>
      </c>
      <c r="BM269" s="79" t="str">
        <f t="array" ref="BM269">IF($A269="","", INDEX(CS!$B$1:$B$15025,MATCH($A269,CS!$B:$B,0)+COLUMN(G$1),1))</f>
        <v/>
      </c>
      <c r="BN269" s="79" t="str">
        <f t="array" ref="BN269">IF($A269="","", INDEX(CS!$B$1:$B$15025,MATCH($A269,CS!$B:$B,0)+COLUMN(H$1),1))</f>
        <v/>
      </c>
      <c r="BO269" s="79" t="str">
        <f t="array" ref="BO269">IF($A269="","", INDEX(CS!$B$1:$B$15025,MATCH($A269,CS!$B:$B,0)+COLUMN(I$1),1))</f>
        <v/>
      </c>
      <c r="BP269" s="79" t="str">
        <f t="array" ref="BP269">IF($A269="","", INDEX(CS!$B$1:$B$15025,MATCH($A269,CS!$B:$B,0)+COLUMN(J$1),1))</f>
        <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c r="A270" s="79" t="s">
        <v>1760</v>
      </c>
      <c r="B270" s="95"/>
      <c r="C270" s="90" t="s">
        <v>2898</v>
      </c>
      <c r="D270" s="92" t="str">
        <f t="shared" ref="D270:D278" si="15">SUM(AJ270:AZ270,F270:N270)&amp;"/"&amp;SUM(F270:N270)&amp;"/"&amp;SUM(AJ270:AZ270)</f>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炎の適用</v>
      </c>
      <c r="BH270" s="79" t="str">
        <f t="array" ref="BH270">IF($A270="","", INDEX(CS!$B$1:$B$15025,MATCH($A270,CS!$B:$B,0)+COLUMN(B$1),1))</f>
        <v>火炎</v>
      </c>
      <c r="BI270" s="79" t="str">
        <f t="array" ref="BI270">IF($A270="","", INDEX(CS!$B$1:$B$15025,MATCH($A270,CS!$B:$B,0)+COLUMN(C$1),1))</f>
        <v>炎の体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火球</v>
      </c>
      <c r="BN270" s="79" t="str">
        <f t="array" ref="BN270">IF($A270="","", INDEX(CS!$B$1:$B$15025,MATCH($A270,CS!$B:$B,0)+COLUMN(H$1),1))</f>
        <v/>
      </c>
      <c r="BO270" s="79" t="str">
        <f t="array" ref="BO270">IF($A270="","", INDEX(CS!$B$1:$B$15025,MATCH($A270,CS!$B:$B,0)+COLUMN(I$1),1))</f>
        <v>炎強化</v>
      </c>
      <c r="BP270" s="79" t="str">
        <f t="array" ref="BP270">IF($A270="","", INDEX(CS!$B$1:$B$15025,MATCH($A270,CS!$B:$B,0)+COLUMN(J$1),1))</f>
        <v>炎の唾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79" t="s">
        <v>1763</v>
      </c>
      <c r="B271" s="95"/>
      <c r="C271" s="90" t="s">
        <v>2898</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氷の適用</v>
      </c>
      <c r="BH271" s="79" t="str">
        <f t="array" ref="BH271">IF($A271="","", INDEX(CS!$B$1:$B$15025,MATCH($A271,CS!$B:$B,0)+COLUMN(B$1),1))</f>
        <v>冷気の光線</v>
      </c>
      <c r="BI271" s="79" t="str">
        <f t="array" ref="BI271">IF($A271="","", INDEX(CS!$B$1:$B$15025,MATCH($A271,CS!$B:$B,0)+COLUMN(C$1),1))</f>
        <v>氷の体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氷柱弾</v>
      </c>
      <c r="BN271" s="79" t="str">
        <f t="array" ref="BN271">IF($A271="","", INDEX(CS!$B$1:$B$15025,MATCH($A271,CS!$B:$B,0)+COLUMN(H$1),1))</f>
        <v/>
      </c>
      <c r="BO271" s="79" t="str">
        <f t="array" ref="BO271">IF($A271="","", INDEX(CS!$B$1:$B$15025,MATCH($A271,CS!$B:$B,0)+COLUMN(I$1),1))</f>
        <v>氷強化</v>
      </c>
      <c r="BP271" s="79" t="str">
        <f t="array" ref="BP271">IF($A271="","", INDEX(CS!$B$1:$B$15025,MATCH($A271,CS!$B:$B,0)+COLUMN(J$1),1))</f>
        <v>氷の唾</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79" t="s">
        <v>1766</v>
      </c>
      <c r="B272" s="95"/>
      <c r="C272" s="90" t="s">
        <v>2898</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風の適用</v>
      </c>
      <c r="BH272" s="79" t="str">
        <f t="array" ref="BH272">IF($A272="","", INDEX(CS!$B$1:$B$15025,MATCH($A272,CS!$B:$B,0)+COLUMN(B$1),1))</f>
        <v>突風</v>
      </c>
      <c r="BI272" s="79" t="str">
        <f t="array" ref="BI272">IF($A272="","", INDEX(CS!$B$1:$B$15025,MATCH($A272,CS!$B:$B,0)+COLUMN(C$1),1))</f>
        <v>風の体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上昇烈風</v>
      </c>
      <c r="BN272" s="79" t="str">
        <f t="array" ref="BN272">IF($A272="","", INDEX(CS!$B$1:$B$15025,MATCH($A272,CS!$B:$B,0)+COLUMN(H$1),1))</f>
        <v/>
      </c>
      <c r="BO272" s="79" t="str">
        <f t="array" ref="BO272">IF($A272="","", INDEX(CS!$B$1:$B$15025,MATCH($A272,CS!$B:$B,0)+COLUMN(I$1),1))</f>
        <v>風強化</v>
      </c>
      <c r="BP272" s="79" t="str">
        <f t="array" ref="BP272">IF($A272="","", INDEX(CS!$B$1:$B$15025,MATCH($A272,CS!$B:$B,0)+COLUMN(J$1),1))</f>
        <v>風の唾</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79" t="s">
        <v>1775</v>
      </c>
      <c r="B273" s="95"/>
      <c r="C273" s="90" t="s">
        <v>2898</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雷の適用</v>
      </c>
      <c r="BH273" s="79" t="str">
        <f t="array" ref="BH273">IF($A273="","", INDEX(CS!$B$1:$B$15025,MATCH($A273,CS!$B:$B,0)+COLUMN(B$1),1))</f>
        <v>放電</v>
      </c>
      <c r="BI273" s="79" t="str">
        <f t="array" ref="BI273">IF($A273="","", INDEX(CS!$B$1:$B$15025,MATCH($A273,CS!$B:$B,0)+COLUMN(C$1),1))</f>
        <v>雷の体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電弧放電</v>
      </c>
      <c r="BN273" s="79" t="str">
        <f t="array" ref="BN273">IF($A273="","", INDEX(CS!$B$1:$B$15025,MATCH($A273,CS!$B:$B,0)+COLUMN(H$1),1))</f>
        <v/>
      </c>
      <c r="BO273" s="79" t="str">
        <f t="array" ref="BO273">IF($A273="","", INDEX(CS!$B$1:$B$15025,MATCH($A273,CS!$B:$B,0)+COLUMN(I$1),1))</f>
        <v>雷強化</v>
      </c>
      <c r="BP273" s="79" t="str">
        <f t="array" ref="BP273">IF($A273="","", INDEX(CS!$B$1:$B$15025,MATCH($A273,CS!$B:$B,0)+COLUMN(J$1),1))</f>
        <v>雷の唾</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t="s">
        <v>1778</v>
      </c>
      <c r="B274" s="95"/>
      <c r="C274" s="90" t="s">
        <v>2898</v>
      </c>
      <c r="D274" s="92" t="str">
        <f t="shared" si="15"/>
        <v>755/605/150</v>
      </c>
      <c r="E274" s="93">
        <v>1.0</v>
      </c>
      <c r="F274" s="37">
        <v>75.0</v>
      </c>
      <c r="G274" s="79"/>
      <c r="H274" s="79"/>
      <c r="I274" s="41">
        <v>70.0</v>
      </c>
      <c r="J274" s="41">
        <v>50.0</v>
      </c>
      <c r="K274" s="96">
        <v>200.0</v>
      </c>
      <c r="L274" s="97">
        <v>75.0</v>
      </c>
      <c r="M274" s="90">
        <v>70.0</v>
      </c>
      <c r="N274" s="90">
        <v>65.0</v>
      </c>
      <c r="O274" s="79"/>
      <c r="P274" s="79">
        <v>0.0</v>
      </c>
      <c r="Q274" s="82"/>
      <c r="R274" s="82"/>
      <c r="S274" s="82"/>
      <c r="T274" s="82"/>
      <c r="U274" s="82"/>
      <c r="V274" s="82"/>
      <c r="W274" s="82"/>
      <c r="X274" s="82"/>
      <c r="Y274" s="82"/>
      <c r="Z274" s="82"/>
      <c r="AA274" s="82"/>
      <c r="AB274" s="79"/>
      <c r="AC274" s="79"/>
      <c r="AD274" s="79"/>
      <c r="AE274" s="79"/>
      <c r="AF274" s="79"/>
      <c r="AG274" s="79"/>
      <c r="AH274" s="79"/>
      <c r="AI274" s="79"/>
      <c r="AJ274" s="90">
        <v>0.0</v>
      </c>
      <c r="AK274" s="90">
        <v>0.0</v>
      </c>
      <c r="AL274" s="90">
        <v>0.0</v>
      </c>
      <c r="AM274" s="90">
        <v>0.0</v>
      </c>
      <c r="AN274" s="90">
        <v>0.0</v>
      </c>
      <c r="AO274" s="90">
        <v>0.0</v>
      </c>
      <c r="AP274" s="90">
        <v>0.0</v>
      </c>
      <c r="AQ274" s="90">
        <v>0.0</v>
      </c>
      <c r="AR274" s="90">
        <v>0.0</v>
      </c>
      <c r="AS274" s="90">
        <v>0.0</v>
      </c>
      <c r="AT274" s="90">
        <v>0.0</v>
      </c>
      <c r="AU274" s="90">
        <v>0.0</v>
      </c>
      <c r="AV274" s="90">
        <v>0.0</v>
      </c>
      <c r="AW274" s="90">
        <v>0.0</v>
      </c>
      <c r="AX274" s="90">
        <v>0.0</v>
      </c>
      <c r="AY274" s="97">
        <v>150.0</v>
      </c>
      <c r="AZ274" s="90">
        <v>0.0</v>
      </c>
      <c r="BA274" s="79"/>
      <c r="BB274" s="79"/>
      <c r="BC274" s="79"/>
      <c r="BD274" s="79"/>
      <c r="BE274" s="79"/>
      <c r="BF274" s="79"/>
      <c r="BG274" s="79" t="str">
        <f t="array" ref="BG274">IF($A274="","", INDEX(CS!$B$1:$B$15025,MATCH($A274,CS!$B:$B,0)+COLUMN(A$1),1))</f>
        <v>毒の適用</v>
      </c>
      <c r="BH274" s="79" t="str">
        <f t="array" ref="BH274">IF($A274="","", INDEX(CS!$B$1:$B$15025,MATCH($A274,CS!$B:$B,0)+COLUMN(B$1),1))</f>
        <v>酸滴</v>
      </c>
      <c r="BI274" s="79" t="str">
        <f t="array" ref="BI274">IF($A274="","", INDEX(CS!$B$1:$B$15025,MATCH($A274,CS!$B:$B,0)+COLUMN(C$1),1))</f>
        <v>毒の体</v>
      </c>
      <c r="BJ274" s="79" t="str">
        <f t="array" ref="BJ274">IF($A274="","", INDEX(CS!$B$1:$B$15025,MATCH($A274,CS!$B:$B,0)+COLUMN(D$1),1))</f>
        <v/>
      </c>
      <c r="BK274" s="79" t="str">
        <f t="array" ref="BK274">IF($A274="","", INDEX(CS!$B$1:$B$15025,MATCH($A274,CS!$B:$B,0)+COLUMN(E$1),1))</f>
        <v>反応</v>
      </c>
      <c r="BL274" s="79" t="str">
        <f t="array" ref="BL274">IF($A274="","", INDEX(CS!$B$1:$B$15025,MATCH($A274,CS!$B:$B,0)+COLUMN(F$1),1))</f>
        <v/>
      </c>
      <c r="BM274" s="79" t="str">
        <f t="array" ref="BM274">IF($A274="","", INDEX(CS!$B$1:$B$15025,MATCH($A274,CS!$B:$B,0)+COLUMN(G$1),1))</f>
        <v>毒霧</v>
      </c>
      <c r="BN274" s="79" t="str">
        <f t="array" ref="BN274">IF($A274="","", INDEX(CS!$B$1:$B$15025,MATCH($A274,CS!$B:$B,0)+COLUMN(H$1),1))</f>
        <v/>
      </c>
      <c r="BO274" s="79" t="str">
        <f t="array" ref="BO274">IF($A274="","", INDEX(CS!$B$1:$B$15025,MATCH($A274,CS!$B:$B,0)+COLUMN(I$1),1))</f>
        <v>毒強化</v>
      </c>
      <c r="BP274" s="79" t="str">
        <f t="array" ref="BP274">IF($A274="","", INDEX(CS!$B$1:$B$15025,MATCH($A274,CS!$B:$B,0)+COLUMN(J$1),1))</f>
        <v>毒の唾</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79" t="s">
        <v>1781</v>
      </c>
      <c r="B275" s="95"/>
      <c r="C275" s="90" t="s">
        <v>2898</v>
      </c>
      <c r="D275" s="92" t="str">
        <f t="shared" si="15"/>
        <v>755/605/150</v>
      </c>
      <c r="E275" s="93">
        <v>1.0</v>
      </c>
      <c r="F275" s="37">
        <v>75.0</v>
      </c>
      <c r="G275" s="79"/>
      <c r="H275" s="79"/>
      <c r="I275" s="41">
        <v>70.0</v>
      </c>
      <c r="J275" s="41">
        <v>50.0</v>
      </c>
      <c r="K275" s="96">
        <v>200.0</v>
      </c>
      <c r="L275" s="97">
        <v>75.0</v>
      </c>
      <c r="M275" s="90">
        <v>70.0</v>
      </c>
      <c r="N275" s="90">
        <v>65.0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0.0</v>
      </c>
      <c r="AL275" s="90">
        <v>0.0</v>
      </c>
      <c r="AM275" s="90">
        <v>0.0</v>
      </c>
      <c r="AN275" s="90">
        <v>0.0</v>
      </c>
      <c r="AO275" s="90">
        <v>0.0</v>
      </c>
      <c r="AP275" s="90">
        <v>0.0</v>
      </c>
      <c r="AQ275" s="90">
        <v>0.0</v>
      </c>
      <c r="AR275" s="90">
        <v>0.0</v>
      </c>
      <c r="AS275" s="90">
        <v>0.0</v>
      </c>
      <c r="AT275" s="90">
        <v>0.0</v>
      </c>
      <c r="AU275" s="90">
        <v>0.0</v>
      </c>
      <c r="AV275" s="90">
        <v>0.0</v>
      </c>
      <c r="AW275" s="90">
        <v>0.0</v>
      </c>
      <c r="AX275" s="90">
        <v>0.0</v>
      </c>
      <c r="AY275" s="97">
        <v>150.0</v>
      </c>
      <c r="AZ275" s="90">
        <v>0.0</v>
      </c>
      <c r="BA275" s="79"/>
      <c r="BB275" s="79"/>
      <c r="BC275" s="79"/>
      <c r="BD275" s="79"/>
      <c r="BE275" s="79"/>
      <c r="BF275" s="79"/>
      <c r="BG275" s="79" t="str">
        <f t="array" ref="BG275">IF($A275="","", INDEX(CS!$B$1:$B$15025,MATCH($A275,CS!$B:$B,0)+COLUMN(A$1),1))</f>
        <v>水の適用</v>
      </c>
      <c r="BH275" s="79" t="str">
        <f t="array" ref="BH275">IF($A275="","", INDEX(CS!$B$1:$B$15025,MATCH($A275,CS!$B:$B,0)+COLUMN(B$1),1))</f>
        <v>水力</v>
      </c>
      <c r="BI275" s="79" t="str">
        <f t="array" ref="BI275">IF($A275="","", INDEX(CS!$B$1:$B$15025,MATCH($A275,CS!$B:$B,0)+COLUMN(C$1),1))</f>
        <v>水の体</v>
      </c>
      <c r="BJ275" s="79" t="str">
        <f t="array" ref="BJ275">IF($A275="","", INDEX(CS!$B$1:$B$15025,MATCH($A275,CS!$B:$B,0)+COLUMN(D$1),1))</f>
        <v/>
      </c>
      <c r="BK275" s="79" t="str">
        <f t="array" ref="BK275">IF($A275="","", INDEX(CS!$B$1:$B$15025,MATCH($A275,CS!$B:$B,0)+COLUMN(E$1),1))</f>
        <v>反応</v>
      </c>
      <c r="BL275" s="79" t="str">
        <f t="array" ref="BL275">IF($A275="","", INDEX(CS!$B$1:$B$15025,MATCH($A275,CS!$B:$B,0)+COLUMN(F$1),1))</f>
        <v/>
      </c>
      <c r="BM275" s="79" t="str">
        <f t="array" ref="BM275">IF($A275="","", INDEX(CS!$B$1:$B$15025,MATCH($A275,CS!$B:$B,0)+COLUMN(G$1),1))</f>
        <v>川の鞭</v>
      </c>
      <c r="BN275" s="79" t="str">
        <f t="array" ref="BN275">IF($A275="","", INDEX(CS!$B$1:$B$15025,MATCH($A275,CS!$B:$B,0)+COLUMN(H$1),1))</f>
        <v/>
      </c>
      <c r="BO275" s="79" t="str">
        <f t="array" ref="BO275">IF($A275="","", INDEX(CS!$B$1:$B$15025,MATCH($A275,CS!$B:$B,0)+COLUMN(I$1),1))</f>
        <v>水強化</v>
      </c>
      <c r="BP275" s="79" t="str">
        <f t="array" ref="BP275">IF($A275="","", INDEX(CS!$B$1:$B$15025,MATCH($A275,CS!$B:$B,0)+COLUMN(J$1),1))</f>
        <v>水の唾</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7" t="s">
        <v>1788</v>
      </c>
      <c r="B276" s="95"/>
      <c r="C276" s="90" t="s">
        <v>2898</v>
      </c>
      <c r="D276" s="92" t="str">
        <f t="shared" si="15"/>
        <v>755/605/150</v>
      </c>
      <c r="E276" s="93">
        <v>1.0</v>
      </c>
      <c r="F276" s="37">
        <v>75.0</v>
      </c>
      <c r="G276" s="79"/>
      <c r="H276" s="79"/>
      <c r="I276" s="41">
        <v>70.0</v>
      </c>
      <c r="J276" s="41">
        <v>50.0</v>
      </c>
      <c r="K276" s="96">
        <v>200.0</v>
      </c>
      <c r="L276" s="97">
        <v>75.0</v>
      </c>
      <c r="M276" s="90">
        <v>70.0</v>
      </c>
      <c r="N276" s="90">
        <v>65.0</v>
      </c>
      <c r="O276" s="79"/>
      <c r="P276" s="79">
        <v>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0.0</v>
      </c>
      <c r="AM276" s="90">
        <v>0.0</v>
      </c>
      <c r="AN276" s="90">
        <v>0.0</v>
      </c>
      <c r="AO276" s="90">
        <v>0.0</v>
      </c>
      <c r="AP276" s="90">
        <v>0.0</v>
      </c>
      <c r="AQ276" s="90">
        <v>0.0</v>
      </c>
      <c r="AR276" s="90">
        <v>0.0</v>
      </c>
      <c r="AS276" s="90">
        <v>0.0</v>
      </c>
      <c r="AT276" s="90">
        <v>0.0</v>
      </c>
      <c r="AU276" s="90">
        <v>0.0</v>
      </c>
      <c r="AV276" s="90">
        <v>0.0</v>
      </c>
      <c r="AW276" s="90">
        <v>0.0</v>
      </c>
      <c r="AX276" s="90">
        <v>0.0</v>
      </c>
      <c r="AY276" s="97">
        <v>150.0</v>
      </c>
      <c r="AZ276" s="90">
        <v>0.0</v>
      </c>
      <c r="BA276" s="79"/>
      <c r="BB276" s="79"/>
      <c r="BC276" s="79"/>
      <c r="BD276" s="79"/>
      <c r="BE276" s="79"/>
      <c r="BF276" s="79"/>
      <c r="BG276" s="79" t="str">
        <f t="array" ref="BG276">IF($A276="","", INDEX(CS!$B$1:$B$15025,MATCH($A276,CS!$B:$B,0)+COLUMN(A$1),1))</f>
        <v>石の適用</v>
      </c>
      <c r="BH276" s="79" t="str">
        <f t="array" ref="BH276">IF($A276="","", INDEX(CS!$B$1:$B$15025,MATCH($A276,CS!$B:$B,0)+COLUMN(B$1),1))</f>
        <v>魔法の石</v>
      </c>
      <c r="BI276" s="79" t="str">
        <f t="array" ref="BI276">IF($A276="","", INDEX(CS!$B$1:$B$15025,MATCH($A276,CS!$B:$B,0)+COLUMN(C$1),1))</f>
        <v>石の体</v>
      </c>
      <c r="BJ276" s="79" t="str">
        <f t="array" ref="BJ276">IF($A276="","", INDEX(CS!$B$1:$B$15025,MATCH($A276,CS!$B:$B,0)+COLUMN(D$1),1))</f>
        <v/>
      </c>
      <c r="BK276" s="79" t="str">
        <f t="array" ref="BK276">IF($A276="","", INDEX(CS!$B$1:$B$15025,MATCH($A276,CS!$B:$B,0)+COLUMN(E$1),1))</f>
        <v>反応</v>
      </c>
      <c r="BL276" s="79" t="str">
        <f t="array" ref="BL276">IF($A276="","", INDEX(CS!$B$1:$B$15025,MATCH($A276,CS!$B:$B,0)+COLUMN(F$1),1))</f>
        <v/>
      </c>
      <c r="BM276" s="79" t="str">
        <f t="array" ref="BM276">IF($A276="","", INDEX(CS!$B$1:$B$15025,MATCH($A276,CS!$B:$B,0)+COLUMN(G$1),1))</f>
        <v>水晶片</v>
      </c>
      <c r="BN276" s="79" t="str">
        <f t="array" ref="BN276">IF($A276="","", INDEX(CS!$B$1:$B$15025,MATCH($A276,CS!$B:$B,0)+COLUMN(H$1),1))</f>
        <v/>
      </c>
      <c r="BO276" s="79" t="str">
        <f t="array" ref="BO276">IF($A276="","", INDEX(CS!$B$1:$B$15025,MATCH($A276,CS!$B:$B,0)+COLUMN(I$1),1))</f>
        <v>地強化</v>
      </c>
      <c r="BP276" s="79" t="str">
        <f t="array" ref="BP276">IF($A276="","", INDEX(CS!$B$1:$B$15025,MATCH($A276,CS!$B:$B,0)+COLUMN(J$1),1))</f>
        <v>地の吐息</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7" t="s">
        <v>1797</v>
      </c>
      <c r="B277" s="95"/>
      <c r="C277" s="90" t="s">
        <v>2898</v>
      </c>
      <c r="D277" s="92" t="str">
        <f t="shared" si="15"/>
        <v>755/605/150</v>
      </c>
      <c r="E277" s="93">
        <v>1.0</v>
      </c>
      <c r="F277" s="37">
        <v>75.0</v>
      </c>
      <c r="G277" s="79"/>
      <c r="H277" s="79"/>
      <c r="I277" s="41">
        <v>70.0</v>
      </c>
      <c r="J277" s="41">
        <v>50.0</v>
      </c>
      <c r="K277" s="96">
        <v>200.0</v>
      </c>
      <c r="L277" s="97">
        <v>75.0</v>
      </c>
      <c r="M277" s="90">
        <v>70.0</v>
      </c>
      <c r="N277" s="90">
        <v>65.0</v>
      </c>
      <c r="O277" s="79"/>
      <c r="P277" s="79">
        <v>0.0</v>
      </c>
      <c r="Q277" s="82"/>
      <c r="R277" s="82"/>
      <c r="S277" s="82"/>
      <c r="T277" s="82"/>
      <c r="U277" s="82"/>
      <c r="V277" s="82"/>
      <c r="W277" s="82"/>
      <c r="X277" s="82"/>
      <c r="Y277" s="82"/>
      <c r="Z277" s="82"/>
      <c r="AA277" s="82"/>
      <c r="AB277" s="79"/>
      <c r="AC277" s="79"/>
      <c r="AD277" s="79"/>
      <c r="AE277" s="79"/>
      <c r="AF277" s="79"/>
      <c r="AG277" s="79"/>
      <c r="AH277" s="79"/>
      <c r="AI277" s="79"/>
      <c r="AJ277" s="90">
        <v>0.0</v>
      </c>
      <c r="AK277" s="90">
        <v>0.0</v>
      </c>
      <c r="AL277" s="90">
        <v>0.0</v>
      </c>
      <c r="AM277" s="90">
        <v>0.0</v>
      </c>
      <c r="AN277" s="90">
        <v>0.0</v>
      </c>
      <c r="AO277" s="90">
        <v>0.0</v>
      </c>
      <c r="AP277" s="90">
        <v>0.0</v>
      </c>
      <c r="AQ277" s="90">
        <v>0.0</v>
      </c>
      <c r="AR277" s="90">
        <v>0.0</v>
      </c>
      <c r="AS277" s="90">
        <v>0.0</v>
      </c>
      <c r="AT277" s="90">
        <v>0.0</v>
      </c>
      <c r="AU277" s="90">
        <v>0.0</v>
      </c>
      <c r="AV277" s="90">
        <v>0.0</v>
      </c>
      <c r="AW277" s="90">
        <v>0.0</v>
      </c>
      <c r="AX277" s="90">
        <v>0.0</v>
      </c>
      <c r="AY277" s="97">
        <v>150.0</v>
      </c>
      <c r="AZ277" s="90">
        <v>0.0</v>
      </c>
      <c r="BA277" s="79"/>
      <c r="BB277" s="79"/>
      <c r="BC277" s="79"/>
      <c r="BD277" s="79"/>
      <c r="BE277" s="79"/>
      <c r="BF277" s="79"/>
      <c r="BG277" s="79" t="str">
        <f t="array" ref="BG277">IF($A277="","", INDEX(CS!$B$1:$B$15025,MATCH($A277,CS!$B:$B,0)+COLUMN(A$1),1))</f>
        <v>太陽の適用</v>
      </c>
      <c r="BH277" s="79" t="str">
        <f t="array" ref="BH277">IF($A277="","", INDEX(CS!$B$1:$B$15025,MATCH($A277,CS!$B:$B,0)+COLUMN(B$1),1))</f>
        <v>光線</v>
      </c>
      <c r="BI277" s="79" t="str">
        <f t="array" ref="BI277">IF($A277="","", INDEX(CS!$B$1:$B$15025,MATCH($A277,CS!$B:$B,0)+COLUMN(C$1),1))</f>
        <v>太陽の体</v>
      </c>
      <c r="BJ277" s="79" t="str">
        <f t="array" ref="BJ277">IF($A277="","", INDEX(CS!$B$1:$B$15025,MATCH($A277,CS!$B:$B,0)+COLUMN(D$1),1))</f>
        <v/>
      </c>
      <c r="BK277" s="79" t="str">
        <f t="array" ref="BK277">IF($A277="","", INDEX(CS!$B$1:$B$15025,MATCH($A277,CS!$B:$B,0)+COLUMN(E$1),1))</f>
        <v>反応</v>
      </c>
      <c r="BL277" s="79" t="str">
        <f t="array" ref="BL277">IF($A277="","", INDEX(CS!$B$1:$B$15025,MATCH($A277,CS!$B:$B,0)+COLUMN(F$1),1))</f>
        <v/>
      </c>
      <c r="BM277" s="79" t="str">
        <f t="array" ref="BM277">IF($A277="","", INDEX(CS!$B$1:$B$15025,MATCH($A277,CS!$B:$B,0)+COLUMN(G$1),1))</f>
        <v>火球</v>
      </c>
      <c r="BN277" s="79" t="str">
        <f t="array" ref="BN277">IF($A277="","", INDEX(CS!$B$1:$B$15025,MATCH($A277,CS!$B:$B,0)+COLUMN(H$1),1))</f>
        <v/>
      </c>
      <c r="BO277" s="79" t="str">
        <f t="array" ref="BO277">IF($A277="","", INDEX(CS!$B$1:$B$15025,MATCH($A277,CS!$B:$B,0)+COLUMN(I$1),1))</f>
        <v>太陽強化</v>
      </c>
      <c r="BP277" s="79" t="str">
        <f t="array" ref="BP277">IF($A277="","", INDEX(CS!$B$1:$B$15025,MATCH($A277,CS!$B:$B,0)+COLUMN(J$1),1))</f>
        <v>太陽の吐息</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7" t="s">
        <v>1812</v>
      </c>
      <c r="B278" s="95"/>
      <c r="C278" s="90" t="s">
        <v>2898</v>
      </c>
      <c r="D278" s="92" t="str">
        <f t="shared" si="15"/>
        <v>755/605/150</v>
      </c>
      <c r="E278" s="93">
        <v>1.0</v>
      </c>
      <c r="F278" s="37">
        <v>75.0</v>
      </c>
      <c r="G278" s="79"/>
      <c r="H278" s="79"/>
      <c r="I278" s="41">
        <v>70.0</v>
      </c>
      <c r="J278" s="41">
        <v>50.0</v>
      </c>
      <c r="K278" s="96">
        <v>200.0</v>
      </c>
      <c r="L278" s="97">
        <v>75.0</v>
      </c>
      <c r="M278" s="90">
        <v>70.0</v>
      </c>
      <c r="N278" s="90">
        <v>65.0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0.0</v>
      </c>
      <c r="AL278" s="90">
        <v>0.0</v>
      </c>
      <c r="AM278" s="90">
        <v>0.0</v>
      </c>
      <c r="AN278" s="90">
        <v>0.0</v>
      </c>
      <c r="AO278" s="90">
        <v>0.0</v>
      </c>
      <c r="AP278" s="90">
        <v>0.0</v>
      </c>
      <c r="AQ278" s="90">
        <v>0.0</v>
      </c>
      <c r="AR278" s="90">
        <v>0.0</v>
      </c>
      <c r="AS278" s="90">
        <v>0.0</v>
      </c>
      <c r="AT278" s="90">
        <v>0.0</v>
      </c>
      <c r="AU278" s="90">
        <v>0.0</v>
      </c>
      <c r="AV278" s="90">
        <v>0.0</v>
      </c>
      <c r="AW278" s="90">
        <v>0.0</v>
      </c>
      <c r="AX278" s="90">
        <v>0.0</v>
      </c>
      <c r="AY278" s="97">
        <v>150.0</v>
      </c>
      <c r="AZ278" s="90">
        <v>0.0</v>
      </c>
      <c r="BA278" s="79"/>
      <c r="BB278" s="79"/>
      <c r="BC278" s="79"/>
      <c r="BD278" s="79"/>
      <c r="BE278" s="79"/>
      <c r="BF278" s="79"/>
      <c r="BG278" s="79" t="str">
        <f t="array" ref="BG278">IF($A278="","", INDEX(CS!$B$1:$B$15025,MATCH($A278,CS!$B:$B,0)+COLUMN(A$1),1))</f>
        <v>月の適用</v>
      </c>
      <c r="BH278" s="79" t="str">
        <f t="array" ref="BH278">IF($A278="","", INDEX(CS!$B$1:$B$15025,MATCH($A278,CS!$B:$B,0)+COLUMN(B$1),1))</f>
        <v>冷気の光線</v>
      </c>
      <c r="BI278" s="79" t="str">
        <f t="array" ref="BI278">IF($A278="","", INDEX(CS!$B$1:$B$15025,MATCH($A278,CS!$B:$B,0)+COLUMN(C$1),1))</f>
        <v>月の体</v>
      </c>
      <c r="BJ278" s="79" t="str">
        <f t="array" ref="BJ278">IF($A278="","", INDEX(CS!$B$1:$B$15025,MATCH($A278,CS!$B:$B,0)+COLUMN(D$1),1))</f>
        <v/>
      </c>
      <c r="BK278" s="79" t="str">
        <f t="array" ref="BK278">IF($A278="","", INDEX(CS!$B$1:$B$15025,MATCH($A278,CS!$B:$B,0)+COLUMN(E$1),1))</f>
        <v>反応</v>
      </c>
      <c r="BL278" s="79" t="str">
        <f t="array" ref="BL278">IF($A278="","", INDEX(CS!$B$1:$B$15025,MATCH($A278,CS!$B:$B,0)+COLUMN(F$1),1))</f>
        <v/>
      </c>
      <c r="BM278" s="79" t="str">
        <f t="array" ref="BM278">IF($A278="","", INDEX(CS!$B$1:$B$15025,MATCH($A278,CS!$B:$B,0)+COLUMN(G$1),1))</f>
        <v>光線</v>
      </c>
      <c r="BN278" s="79" t="str">
        <f t="array" ref="BN278">IF($A278="","", INDEX(CS!$B$1:$B$15025,MATCH($A278,CS!$B:$B,0)+COLUMN(H$1),1))</f>
        <v/>
      </c>
      <c r="BO278" s="79" t="str">
        <f t="array" ref="BO278">IF($A278="","", INDEX(CS!$B$1:$B$15025,MATCH($A278,CS!$B:$B,0)+COLUMN(I$1),1))</f>
        <v>月光強化</v>
      </c>
      <c r="BP278" s="79" t="str">
        <f t="array" ref="BP278">IF($A278="","", INDEX(CS!$B$1:$B$15025,MATCH($A278,CS!$B:$B,0)+COLUMN(J$1),1))</f>
        <v>月の吐息</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79"/>
      <c r="B279" s="85" t="s">
        <v>2909</v>
      </c>
      <c r="C279" s="90" t="s">
        <v>2898</v>
      </c>
      <c r="D279" s="92"/>
      <c r="E279" s="93"/>
      <c r="F279" s="90"/>
      <c r="G279" s="79"/>
      <c r="H279" s="79"/>
      <c r="I279" s="90"/>
      <c r="J279" s="90"/>
      <c r="K279" s="94"/>
      <c r="L279" s="90"/>
      <c r="M279" s="90"/>
      <c r="N279" s="90"/>
      <c r="O279" s="79"/>
      <c r="P279" s="79" t="s">
        <v>29</v>
      </c>
      <c r="Q279" s="82"/>
      <c r="R279" s="82"/>
      <c r="S279" s="82"/>
      <c r="T279" s="82"/>
      <c r="U279" s="82"/>
      <c r="V279" s="82"/>
      <c r="W279" s="82"/>
      <c r="X279" s="82"/>
      <c r="Y279" s="82"/>
      <c r="Z279" s="82"/>
      <c r="AA279" s="82"/>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t="str">
        <f t="array" ref="BG279">IF($A279="","", INDEX(CS!$B$1:$B$15025,MATCH($A279,CS!$B:$B,0)+COLUMN(A$1),1))</f>
        <v/>
      </c>
      <c r="BH279" s="79" t="str">
        <f t="array" ref="BH279">IF($A279="","", INDEX(CS!$B$1:$B$15025,MATCH($A279,CS!$B:$B,0)+COLUMN(B$1),1))</f>
        <v/>
      </c>
      <c r="BI279" s="79" t="str">
        <f t="array" ref="BI279">IF($A279="","", INDEX(CS!$B$1:$B$15025,MATCH($A279,CS!$B:$B,0)+COLUMN(C$1),1))</f>
        <v/>
      </c>
      <c r="BJ279" s="79" t="str">
        <f t="array" ref="BJ279">IF($A279="","", INDEX(CS!$B$1:$B$15025,MATCH($A279,CS!$B:$B,0)+COLUMN(D$1),1))</f>
        <v/>
      </c>
      <c r="BK279" s="79" t="str">
        <f t="array" ref="BK279">IF($A279="","", INDEX(CS!$B$1:$B$15025,MATCH($A279,CS!$B:$B,0)+COLUMN(E$1),1))</f>
        <v/>
      </c>
      <c r="BL279" s="79" t="str">
        <f t="array" ref="BL279">IF($A279="","", INDEX(CS!$B$1:$B$15025,MATCH($A279,CS!$B:$B,0)+COLUMN(F$1),1))</f>
        <v/>
      </c>
      <c r="BM279" s="79" t="str">
        <f t="array" ref="BM279">IF($A279="","", INDEX(CS!$B$1:$B$15025,MATCH($A279,CS!$B:$B,0)+COLUMN(G$1),1))</f>
        <v/>
      </c>
      <c r="BN279" s="79" t="str">
        <f t="array" ref="BN279">IF($A279="","", INDEX(CS!$B$1:$B$15025,MATCH($A279,CS!$B:$B,0)+COLUMN(H$1),1))</f>
        <v/>
      </c>
      <c r="BO279" s="79" t="str">
        <f t="array" ref="BO279">IF($A279="","", INDEX(CS!$B$1:$B$15025,MATCH($A279,CS!$B:$B,0)+COLUMN(I$1),1))</f>
        <v/>
      </c>
      <c r="BP279" s="79" t="str">
        <f t="array" ref="BP279">IF($A279="","", INDEX(CS!$B$1:$B$15025,MATCH($A279,CS!$B:$B,0)+COLUMN(J$1),1))</f>
        <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0" t="s">
        <v>1820</v>
      </c>
      <c r="B280" s="95"/>
      <c r="C280" s="90" t="s">
        <v>2898</v>
      </c>
      <c r="D280" s="92" t="str">
        <f t="shared" ref="D280:D284" si="16">SUM(AJ280:AZ280,F280:N280)&amp;"/"&amp;SUM(F280:N280)&amp;"/"&amp;SUM(AJ280:AZ280)</f>
        <v>880/630/250</v>
      </c>
      <c r="E280" s="93">
        <v>1.0</v>
      </c>
      <c r="F280" s="39">
        <v>100.0</v>
      </c>
      <c r="G280" s="79"/>
      <c r="H280" s="79"/>
      <c r="I280" s="41">
        <v>90.0</v>
      </c>
      <c r="J280" s="41">
        <v>85.0</v>
      </c>
      <c r="K280" s="96">
        <v>100.0</v>
      </c>
      <c r="L280" s="97">
        <v>85.0</v>
      </c>
      <c r="M280" s="90">
        <v>85.0</v>
      </c>
      <c r="N280" s="90">
        <v>85.0</v>
      </c>
      <c r="O280" s="79"/>
      <c r="P280" s="79">
        <v>0.0</v>
      </c>
      <c r="Q280" s="82"/>
      <c r="R280" s="82"/>
      <c r="S280" s="82"/>
      <c r="T280" s="82"/>
      <c r="U280" s="82"/>
      <c r="V280" s="82"/>
      <c r="W280" s="82"/>
      <c r="X280" s="82"/>
      <c r="Y280" s="82"/>
      <c r="Z280" s="82"/>
      <c r="AA280" s="82"/>
      <c r="AB280" s="79"/>
      <c r="AC280" s="79"/>
      <c r="AD280" s="79"/>
      <c r="AE280" s="79"/>
      <c r="AF280" s="79"/>
      <c r="AG280" s="79"/>
      <c r="AH280" s="79"/>
      <c r="AI280" s="79"/>
      <c r="AJ280" s="90">
        <v>0.0</v>
      </c>
      <c r="AK280" s="90">
        <v>25.0</v>
      </c>
      <c r="AL280" s="90">
        <v>50.0</v>
      </c>
      <c r="AM280" s="90">
        <v>50.0</v>
      </c>
      <c r="AN280" s="90">
        <v>0.0</v>
      </c>
      <c r="AO280" s="90">
        <v>0.0</v>
      </c>
      <c r="AP280" s="90">
        <v>0.0</v>
      </c>
      <c r="AQ280" s="90">
        <v>25.0</v>
      </c>
      <c r="AR280" s="90">
        <v>50.0</v>
      </c>
      <c r="AS280" s="90">
        <v>0.0</v>
      </c>
      <c r="AT280" s="90">
        <v>0.0</v>
      </c>
      <c r="AU280" s="90">
        <v>0.0</v>
      </c>
      <c r="AV280" s="90">
        <v>0.0</v>
      </c>
      <c r="AW280" s="90">
        <v>0.0</v>
      </c>
      <c r="AX280" s="90">
        <v>0.0</v>
      </c>
      <c r="AY280" s="97">
        <v>50.0</v>
      </c>
      <c r="AZ280" s="90">
        <v>0.0</v>
      </c>
      <c r="BA280" s="79"/>
      <c r="BB280" s="79"/>
      <c r="BC280" s="79"/>
      <c r="BD280" s="79"/>
      <c r="BE280" s="79"/>
      <c r="BF280" s="79"/>
      <c r="BG280" s="79" t="str">
        <f t="array" ref="BG280">IF($A280="","", INDEX(CS!$B$1:$B$15025,MATCH($A280,CS!$B:$B,0)+COLUMN(A$1),1))</f>
        <v>幻獣の肉体</v>
      </c>
      <c r="BH280" s="79" t="str">
        <f t="array" ref="BH280">IF($A280="","", INDEX(CS!$B$1:$B$15025,MATCH($A280,CS!$B:$B,0)+COLUMN(B$1),1))</f>
        <v/>
      </c>
      <c r="BI280" s="79" t="str">
        <f t="array" ref="BI280">IF($A280="","", INDEX(CS!$B$1:$B$15025,MATCH($A280,CS!$B:$B,0)+COLUMN(C$1),1))</f>
        <v>再生</v>
      </c>
      <c r="BJ280" s="79" t="str">
        <f t="array" ref="BJ280">IF($A280="","", INDEX(CS!$B$1:$B$15025,MATCH($A280,CS!$B:$B,0)+COLUMN(D$1),1))</f>
        <v/>
      </c>
      <c r="BK280" s="79" t="str">
        <f t="array" ref="BK280">IF($A280="","", INDEX(CS!$B$1:$B$15025,MATCH($A280,CS!$B:$B,0)+COLUMN(E$1),1))</f>
        <v>超常感覚</v>
      </c>
      <c r="BL280" s="79" t="str">
        <f t="array" ref="BL280">IF($A280="","", INDEX(CS!$B$1:$B$15025,MATCH($A280,CS!$B:$B,0)+COLUMN(F$1),1))</f>
        <v/>
      </c>
      <c r="BM280" s="79" t="str">
        <f t="array" ref="BM280">IF($A280="","", INDEX(CS!$B$1:$B$15025,MATCH($A280,CS!$B:$B,0)+COLUMN(G$1),1))</f>
        <v>超常移動</v>
      </c>
      <c r="BN280" s="79" t="str">
        <f t="array" ref="BN280">IF($A280="","", INDEX(CS!$B$1:$B$15025,MATCH($A280,CS!$B:$B,0)+COLUMN(H$1),1))</f>
        <v/>
      </c>
      <c r="BO280" s="79" t="str">
        <f t="array" ref="BO280">IF($A280="","", INDEX(CS!$B$1:$B$15025,MATCH($A280,CS!$B:$B,0)+COLUMN(I$1),1))</f>
        <v>幻獣の生命力</v>
      </c>
      <c r="BP280" s="79" t="str">
        <f t="array" ref="BP280">IF($A280="","", INDEX(CS!$B$1:$B$15025,MATCH($A280,CS!$B:$B,0)+COLUMN(J$1),1))</f>
        <v>幻獣覚醒</v>
      </c>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90" t="s">
        <v>1838</v>
      </c>
      <c r="B281" s="95"/>
      <c r="C281" s="90" t="s">
        <v>2898</v>
      </c>
      <c r="D281" s="92" t="str">
        <f t="shared" si="16"/>
        <v>810/610/200</v>
      </c>
      <c r="E281" s="93">
        <v>1.0</v>
      </c>
      <c r="F281" s="39">
        <v>95.0</v>
      </c>
      <c r="G281" s="79"/>
      <c r="H281" s="79"/>
      <c r="I281" s="41">
        <v>75.0</v>
      </c>
      <c r="J281" s="41">
        <v>100.0</v>
      </c>
      <c r="K281" s="96">
        <v>100.0</v>
      </c>
      <c r="L281" s="97">
        <v>100.0</v>
      </c>
      <c r="M281" s="90">
        <v>65.0</v>
      </c>
      <c r="N281" s="90">
        <v>75.0</v>
      </c>
      <c r="O281" s="79"/>
      <c r="P281" s="90">
        <v>50.0</v>
      </c>
      <c r="Q281" s="82"/>
      <c r="R281" s="82"/>
      <c r="S281" s="82"/>
      <c r="T281" s="82"/>
      <c r="U281" s="82"/>
      <c r="V281" s="82"/>
      <c r="W281" s="82"/>
      <c r="X281" s="82"/>
      <c r="Y281" s="82"/>
      <c r="Z281" s="82"/>
      <c r="AA281" s="82"/>
      <c r="AB281" s="79"/>
      <c r="AC281" s="79"/>
      <c r="AD281" s="79"/>
      <c r="AE281" s="79"/>
      <c r="AF281" s="79"/>
      <c r="AG281" s="79"/>
      <c r="AH281" s="79"/>
      <c r="AI281" s="79"/>
      <c r="AJ281" s="90">
        <v>0.0</v>
      </c>
      <c r="AK281" s="90">
        <v>0.0</v>
      </c>
      <c r="AL281" s="90">
        <v>50.0</v>
      </c>
      <c r="AM281" s="90">
        <v>0.0</v>
      </c>
      <c r="AN281" s="90">
        <v>0.0</v>
      </c>
      <c r="AO281" s="90">
        <v>0.0</v>
      </c>
      <c r="AP281" s="90">
        <v>0.0</v>
      </c>
      <c r="AQ281" s="90">
        <v>0.0</v>
      </c>
      <c r="AR281" s="90">
        <v>50.0</v>
      </c>
      <c r="AS281" s="90">
        <v>0.0</v>
      </c>
      <c r="AT281" s="90">
        <v>0.0</v>
      </c>
      <c r="AU281" s="90">
        <v>0.0</v>
      </c>
      <c r="AV281" s="90">
        <v>0.0</v>
      </c>
      <c r="AW281" s="90">
        <v>0.0</v>
      </c>
      <c r="AX281" s="90">
        <v>0.0</v>
      </c>
      <c r="AY281" s="97">
        <v>50.0</v>
      </c>
      <c r="AZ281" s="90">
        <v>50.0</v>
      </c>
      <c r="BA281" s="79"/>
      <c r="BB281" s="79"/>
      <c r="BC281" s="79"/>
      <c r="BD281" s="79"/>
      <c r="BE281" s="79"/>
      <c r="BF281" s="79"/>
      <c r="BG281" s="79" t="str">
        <f t="array" ref="BG281">IF($A281="","", INDEX(CS!$B$1:$B$15025,MATCH($A281,CS!$B:$B,0)+COLUMN(A$1),1))</f>
        <v>結界</v>
      </c>
      <c r="BH281" s="79" t="str">
        <f t="array" ref="BH281">IF($A281="","", INDEX(CS!$B$1:$B$15025,MATCH($A281,CS!$B:$B,0)+COLUMN(B$1),1))</f>
        <v/>
      </c>
      <c r="BI281" s="79" t="str">
        <f t="array" ref="BI281">IF($A281="","", INDEX(CS!$B$1:$B$15025,MATCH($A281,CS!$B:$B,0)+COLUMN(C$1),1))</f>
        <v>耐性貫通</v>
      </c>
      <c r="BJ281" s="79" t="str">
        <f t="array" ref="BJ281">IF($A281="","", INDEX(CS!$B$1:$B$15025,MATCH($A281,CS!$B:$B,0)+COLUMN(D$1),1))</f>
        <v/>
      </c>
      <c r="BK281" s="79" t="str">
        <f t="array" ref="BK281">IF($A281="","", INDEX(CS!$B$1:$B$15025,MATCH($A281,CS!$B:$B,0)+COLUMN(E$1),1))</f>
        <v>浄化</v>
      </c>
      <c r="BL281" s="79" t="str">
        <f t="array" ref="BL281">IF($A281="","", INDEX(CS!$B$1:$B$15025,MATCH($A281,CS!$B:$B,0)+COLUMN(F$1),1))</f>
        <v/>
      </c>
      <c r="BM281" s="79" t="str">
        <f t="array" ref="BM281">IF($A281="","", INDEX(CS!$B$1:$B$15025,MATCH($A281,CS!$B:$B,0)+COLUMN(G$1),1))</f>
        <v>ダメージ安定化</v>
      </c>
      <c r="BN281" s="79" t="str">
        <f t="array" ref="BN281">IF($A281="","", INDEX(CS!$B$1:$B$15025,MATCH($A281,CS!$B:$B,0)+COLUMN(H$1),1))</f>
        <v/>
      </c>
      <c r="BO281" s="79" t="str">
        <f t="array" ref="BO281">IF($A281="","", INDEX(CS!$B$1:$B$15025,MATCH($A281,CS!$B:$B,0)+COLUMN(I$1),1))</f>
        <v>神獣の加護</v>
      </c>
      <c r="BP281" s="79" t="str">
        <f t="array" ref="BP281">IF($A281="","", INDEX(CS!$B$1:$B$15025,MATCH($A281,CS!$B:$B,0)+COLUMN(J$1),1))</f>
        <v>神眼</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outlineLevel="1">
      <c r="A282" s="90" t="s">
        <v>1857</v>
      </c>
      <c r="B282" s="95"/>
      <c r="C282" s="90" t="s">
        <v>2898</v>
      </c>
      <c r="D282" s="92" t="str">
        <f t="shared" si="16"/>
        <v>850/625/225</v>
      </c>
      <c r="E282" s="93">
        <v>1.0</v>
      </c>
      <c r="F282" s="39">
        <v>110.0</v>
      </c>
      <c r="G282" s="79"/>
      <c r="H282" s="79"/>
      <c r="I282" s="41">
        <v>105.0</v>
      </c>
      <c r="J282" s="41">
        <v>75.0</v>
      </c>
      <c r="K282" s="96">
        <v>100.0</v>
      </c>
      <c r="L282" s="97">
        <v>50.0</v>
      </c>
      <c r="M282" s="90">
        <v>100.0</v>
      </c>
      <c r="N282" s="90">
        <v>85.0</v>
      </c>
      <c r="O282" s="79"/>
      <c r="P282" s="90">
        <v>-25.0</v>
      </c>
      <c r="Q282" s="82"/>
      <c r="R282" s="82"/>
      <c r="S282" s="82"/>
      <c r="T282" s="82"/>
      <c r="U282" s="82"/>
      <c r="V282" s="82"/>
      <c r="W282" s="82"/>
      <c r="X282" s="82"/>
      <c r="Y282" s="82"/>
      <c r="Z282" s="82"/>
      <c r="AA282" s="82"/>
      <c r="AB282" s="79"/>
      <c r="AC282" s="79"/>
      <c r="AD282" s="79"/>
      <c r="AE282" s="79"/>
      <c r="AF282" s="79"/>
      <c r="AG282" s="79"/>
      <c r="AH282" s="79"/>
      <c r="AI282" s="79"/>
      <c r="AJ282" s="90">
        <v>0.0</v>
      </c>
      <c r="AK282" s="90">
        <v>75.0</v>
      </c>
      <c r="AL282" s="90">
        <v>0.0</v>
      </c>
      <c r="AM282" s="90">
        <v>50.0</v>
      </c>
      <c r="AN282" s="90">
        <v>0.0</v>
      </c>
      <c r="AO282" s="90">
        <v>0.0</v>
      </c>
      <c r="AP282" s="90">
        <v>0.0</v>
      </c>
      <c r="AQ282" s="90">
        <v>25.0</v>
      </c>
      <c r="AR282" s="90">
        <v>75.0</v>
      </c>
      <c r="AS282" s="90">
        <v>0.0</v>
      </c>
      <c r="AT282" s="90">
        <v>0.0</v>
      </c>
      <c r="AU282" s="90">
        <v>0.0</v>
      </c>
      <c r="AV282" s="90">
        <v>0.0</v>
      </c>
      <c r="AW282" s="90">
        <v>0.0</v>
      </c>
      <c r="AX282" s="90">
        <v>0.0</v>
      </c>
      <c r="AY282" s="97">
        <v>0.0</v>
      </c>
      <c r="AZ282" s="90">
        <v>0.0</v>
      </c>
      <c r="BA282" s="79"/>
      <c r="BB282" s="79"/>
      <c r="BC282" s="79"/>
      <c r="BD282" s="79"/>
      <c r="BE282" s="79"/>
      <c r="BF282" s="79"/>
      <c r="BG282" s="79" t="str">
        <f t="array" ref="BG282">IF($A282="","", INDEX(CS!$B$1:$B$15025,MATCH($A282,CS!$B:$B,0)+COLUMN(A$1),1))</f>
        <v>高威圧</v>
      </c>
      <c r="BH282" s="79" t="str">
        <f t="array" ref="BH282">IF($A282="","", INDEX(CS!$B$1:$B$15025,MATCH($A282,CS!$B:$B,0)+COLUMN(B$1),1))</f>
        <v/>
      </c>
      <c r="BI282" s="79" t="str">
        <f t="array" ref="BI282">IF($A282="","", INDEX(CS!$B$1:$B$15025,MATCH($A282,CS!$B:$B,0)+COLUMN(C$1),1))</f>
        <v>狂気の咆哮</v>
      </c>
      <c r="BJ282" s="79" t="str">
        <f t="array" ref="BJ282">IF($A282="","", INDEX(CS!$B$1:$B$15025,MATCH($A282,CS!$B:$B,0)+COLUMN(D$1),1))</f>
        <v/>
      </c>
      <c r="BK282" s="79" t="str">
        <f t="array" ref="BK282">IF($A282="","", INDEX(CS!$B$1:$B$15025,MATCH($A282,CS!$B:$B,0)+COLUMN(E$1),1))</f>
        <v>凶獣の疾走</v>
      </c>
      <c r="BL282" s="79" t="str">
        <f t="array" ref="BL282">IF($A282="","", INDEX(CS!$B$1:$B$15025,MATCH($A282,CS!$B:$B,0)+COLUMN(F$1),1))</f>
        <v/>
      </c>
      <c r="BM282" s="79" t="str">
        <f t="array" ref="BM282">IF($A282="","", INDEX(CS!$B$1:$B$15025,MATCH($A282,CS!$B:$B,0)+COLUMN(G$1),1))</f>
        <v>血の匂い</v>
      </c>
      <c r="BN282" s="79" t="str">
        <f t="array" ref="BN282">IF($A282="","", INDEX(CS!$B$1:$B$15025,MATCH($A282,CS!$B:$B,0)+COLUMN(H$1),1))</f>
        <v/>
      </c>
      <c r="BO282" s="79" t="str">
        <f t="array" ref="BO282">IF($A282="","", INDEX(CS!$B$1:$B$15025,MATCH($A282,CS!$B:$B,0)+COLUMN(I$1),1))</f>
        <v>蹂躙強化</v>
      </c>
      <c r="BP282" s="79" t="str">
        <f t="array" ref="BP282">IF($A282="","", INDEX(CS!$B$1:$B$15025,MATCH($A282,CS!$B:$B,0)+COLUMN(J$1),1))</f>
        <v>恐怖の気配</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outlineLevel="1">
      <c r="A283" s="90" t="s">
        <v>1876</v>
      </c>
      <c r="B283" s="95"/>
      <c r="C283" s="90" t="s">
        <v>2898</v>
      </c>
      <c r="D283" s="92" t="str">
        <f t="shared" si="16"/>
        <v>840/590/250</v>
      </c>
      <c r="E283" s="93">
        <v>1.0</v>
      </c>
      <c r="F283" s="39">
        <v>80.0</v>
      </c>
      <c r="G283" s="79"/>
      <c r="H283" s="79"/>
      <c r="I283" s="41">
        <v>70.0</v>
      </c>
      <c r="J283" s="41">
        <v>65.0</v>
      </c>
      <c r="K283" s="96">
        <v>100.0</v>
      </c>
      <c r="L283" s="97">
        <v>90.0</v>
      </c>
      <c r="M283" s="90">
        <v>100.0</v>
      </c>
      <c r="N283" s="90">
        <v>85.0</v>
      </c>
      <c r="O283" s="79"/>
      <c r="P283" s="79">
        <v>0.0</v>
      </c>
      <c r="Q283" s="82"/>
      <c r="R283" s="82"/>
      <c r="S283" s="82"/>
      <c r="T283" s="82"/>
      <c r="U283" s="82"/>
      <c r="V283" s="82"/>
      <c r="W283" s="82"/>
      <c r="X283" s="82"/>
      <c r="Y283" s="82"/>
      <c r="Z283" s="82"/>
      <c r="AA283" s="82"/>
      <c r="AB283" s="79"/>
      <c r="AC283" s="79"/>
      <c r="AD283" s="79"/>
      <c r="AE283" s="79"/>
      <c r="AF283" s="79"/>
      <c r="AG283" s="79"/>
      <c r="AH283" s="79"/>
      <c r="AI283" s="79"/>
      <c r="AJ283" s="90">
        <v>0.0</v>
      </c>
      <c r="AK283" s="90">
        <v>25.0</v>
      </c>
      <c r="AL283" s="90">
        <v>50.0</v>
      </c>
      <c r="AM283" s="90">
        <v>50.0</v>
      </c>
      <c r="AN283" s="90">
        <v>0.0</v>
      </c>
      <c r="AO283" s="90">
        <v>0.0</v>
      </c>
      <c r="AP283" s="90">
        <v>0.0</v>
      </c>
      <c r="AQ283" s="90">
        <v>75.0</v>
      </c>
      <c r="AR283" s="90">
        <v>50.0</v>
      </c>
      <c r="AS283" s="90">
        <v>0.0</v>
      </c>
      <c r="AT283" s="90">
        <v>0.0</v>
      </c>
      <c r="AU283" s="90">
        <v>0.0</v>
      </c>
      <c r="AV283" s="90">
        <v>0.0</v>
      </c>
      <c r="AW283" s="90">
        <v>0.0</v>
      </c>
      <c r="AX283" s="90">
        <v>0.0</v>
      </c>
      <c r="AY283" s="97">
        <v>0.0</v>
      </c>
      <c r="AZ283" s="90">
        <v>0.0</v>
      </c>
      <c r="BA283" s="79"/>
      <c r="BB283" s="79"/>
      <c r="BC283" s="79"/>
      <c r="BD283" s="79"/>
      <c r="BE283" s="79"/>
      <c r="BF283" s="79"/>
      <c r="BG283" s="79" t="str">
        <f t="array" ref="BG283">IF($A283="","", INDEX(CS!$B$1:$B$15025,MATCH($A283,CS!$B:$B,0)+COLUMN(A$1),1))</f>
        <v>妖気</v>
      </c>
      <c r="BH283" s="79" t="str">
        <f t="array" ref="BH283">IF($A283="","", INDEX(CS!$B$1:$B$15025,MATCH($A283,CS!$B:$B,0)+COLUMN(B$1),1))</f>
        <v/>
      </c>
      <c r="BI283" s="79" t="str">
        <f t="array" ref="BI283">IF($A283="","", INDEX(CS!$B$1:$B$15025,MATCH($A283,CS!$B:$B,0)+COLUMN(C$1),1))</f>
        <v>幻惑</v>
      </c>
      <c r="BJ283" s="79" t="str">
        <f t="array" ref="BJ283">IF($A283="","", INDEX(CS!$B$1:$B$15025,MATCH($A283,CS!$B:$B,0)+COLUMN(D$1),1))</f>
        <v/>
      </c>
      <c r="BK283" s="79" t="str">
        <f t="array" ref="BK283">IF($A283="","", INDEX(CS!$B$1:$B$15025,MATCH($A283,CS!$B:$B,0)+COLUMN(E$1),1))</f>
        <v>隠形</v>
      </c>
      <c r="BL283" s="79" t="str">
        <f t="array" ref="BL283">IF($A283="","", INDEX(CS!$B$1:$B$15025,MATCH($A283,CS!$B:$B,0)+COLUMN(F$1),1))</f>
        <v/>
      </c>
      <c r="BM283" s="79" t="str">
        <f t="array" ref="BM283">IF($A283="","", INDEX(CS!$B$1:$B$15025,MATCH($A283,CS!$B:$B,0)+COLUMN(G$1),1))</f>
        <v>変化</v>
      </c>
      <c r="BN283" s="79" t="str">
        <f t="array" ref="BN283">IF($A283="","", INDEX(CS!$B$1:$B$15025,MATCH($A283,CS!$B:$B,0)+COLUMN(H$1),1))</f>
        <v/>
      </c>
      <c r="BO283" s="79" t="str">
        <f t="array" ref="BO283">IF($A283="","", INDEX(CS!$B$1:$B$15025,MATCH($A283,CS!$B:$B,0)+COLUMN(I$1),1))</f>
        <v>呪詛</v>
      </c>
      <c r="BP283" s="79" t="str">
        <f t="array" ref="BP283">IF($A283="","", INDEX(CS!$B$1:$B$15025,MATCH($A283,CS!$B:$B,0)+COLUMN(J$1),1))</f>
        <v>妖足</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outlineLevel="1">
      <c r="A284" s="90" t="s">
        <v>1894</v>
      </c>
      <c r="B284" s="95"/>
      <c r="C284" s="90" t="s">
        <v>2898</v>
      </c>
      <c r="D284" s="92" t="str">
        <f t="shared" si="16"/>
        <v>735/535/200</v>
      </c>
      <c r="E284" s="93">
        <v>1.0</v>
      </c>
      <c r="F284" s="39">
        <v>110.0</v>
      </c>
      <c r="G284" s="79"/>
      <c r="H284" s="79"/>
      <c r="I284" s="41">
        <v>100.0</v>
      </c>
      <c r="J284" s="41">
        <v>85.0</v>
      </c>
      <c r="K284" s="96">
        <v>0.0</v>
      </c>
      <c r="L284" s="97">
        <v>60.0</v>
      </c>
      <c r="M284" s="90">
        <v>90.0</v>
      </c>
      <c r="N284" s="90">
        <v>90.0</v>
      </c>
      <c r="O284" s="79"/>
      <c r="P284" s="79">
        <v>0.0</v>
      </c>
      <c r="Q284" s="82"/>
      <c r="R284" s="82"/>
      <c r="S284" s="82"/>
      <c r="T284" s="82"/>
      <c r="U284" s="82"/>
      <c r="V284" s="82"/>
      <c r="W284" s="82"/>
      <c r="X284" s="82"/>
      <c r="Y284" s="82"/>
      <c r="Z284" s="82"/>
      <c r="AA284" s="82"/>
      <c r="AB284" s="79"/>
      <c r="AC284" s="79"/>
      <c r="AD284" s="79"/>
      <c r="AE284" s="79"/>
      <c r="AF284" s="79"/>
      <c r="AG284" s="79"/>
      <c r="AH284" s="79"/>
      <c r="AI284" s="79"/>
      <c r="AJ284" s="90">
        <v>0.0</v>
      </c>
      <c r="AK284" s="90">
        <v>50.0</v>
      </c>
      <c r="AL284" s="90">
        <v>50.0</v>
      </c>
      <c r="AM284" s="90">
        <v>0.0</v>
      </c>
      <c r="AN284" s="90">
        <v>0.0</v>
      </c>
      <c r="AO284" s="90">
        <v>0.0</v>
      </c>
      <c r="AP284" s="90">
        <v>0.0</v>
      </c>
      <c r="AQ284" s="90">
        <v>0.0</v>
      </c>
      <c r="AR284" s="90">
        <v>100.0</v>
      </c>
      <c r="AS284" s="90">
        <v>0.0</v>
      </c>
      <c r="AT284" s="90">
        <v>0.0</v>
      </c>
      <c r="AU284" s="90">
        <v>0.0</v>
      </c>
      <c r="AV284" s="90">
        <v>0.0</v>
      </c>
      <c r="AW284" s="90">
        <v>0.0</v>
      </c>
      <c r="AX284" s="90">
        <v>0.0</v>
      </c>
      <c r="AY284" s="97">
        <v>0.0</v>
      </c>
      <c r="AZ284" s="90">
        <v>0.0</v>
      </c>
      <c r="BA284" s="79"/>
      <c r="BB284" s="79"/>
      <c r="BC284" s="79"/>
      <c r="BD284" s="79"/>
      <c r="BE284" s="79"/>
      <c r="BF284" s="79"/>
      <c r="BG284" s="79" t="str">
        <f t="array" ref="BG284">IF($A284="","", INDEX(CS!$B$1:$B$15025,MATCH($A284,CS!$B:$B,0)+COLUMN(A$1),1))</f>
        <v>多頭化Ⅰ</v>
      </c>
      <c r="BH284" s="79" t="str">
        <f t="array" ref="BH284">IF($A284="","", INDEX(CS!$B$1:$B$15025,MATCH($A284,CS!$B:$B,0)+COLUMN(B$1),1))</f>
        <v/>
      </c>
      <c r="BI284" s="79" t="str">
        <f t="array" ref="BI284">IF($A284="","", INDEX(CS!$B$1:$B$15025,MATCH($A284,CS!$B:$B,0)+COLUMN(C$1),1))</f>
        <v>多方向警戒</v>
      </c>
      <c r="BJ284" s="79" t="str">
        <f t="array" ref="BJ284">IF($A284="","", INDEX(CS!$B$1:$B$15025,MATCH($A284,CS!$B:$B,0)+COLUMN(D$1),1))</f>
        <v/>
      </c>
      <c r="BK284" s="79" t="str">
        <f t="array" ref="BK284">IF($A284="","", INDEX(CS!$B$1:$B$15025,MATCH($A284,CS!$B:$B,0)+COLUMN(E$1),1))</f>
        <v>多頭制御</v>
      </c>
      <c r="BL284" s="79" t="str">
        <f t="array" ref="BL284">IF($A284="","", INDEX(CS!$B$1:$B$15025,MATCH($A284,CS!$B:$B,0)+COLUMN(F$1),1))</f>
        <v/>
      </c>
      <c r="BM284" s="79" t="str">
        <f t="array" ref="BM284">IF($A284="","", INDEX(CS!$B$1:$B$15025,MATCH($A284,CS!$B:$B,0)+COLUMN(G$1),1))</f>
        <v>多頭連携</v>
      </c>
      <c r="BN284" s="79" t="str">
        <f t="array" ref="BN284">IF($A284="","", INDEX(CS!$B$1:$B$15025,MATCH($A284,CS!$B:$B,0)+COLUMN(H$1),1))</f>
        <v/>
      </c>
      <c r="BO284" s="79" t="str">
        <f t="array" ref="BO284">IF($A284="","", INDEX(CS!$B$1:$B$15025,MATCH($A284,CS!$B:$B,0)+COLUMN(I$1),1))</f>
        <v>多頭化Ⅱ</v>
      </c>
      <c r="BP284" s="79" t="str">
        <f t="array" ref="BP284">IF($A284="","", INDEX(CS!$B$1:$B$15025,MATCH($A284,CS!$B:$B,0)+COLUMN(J$1),1))</f>
        <v>完全統制</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7"/>
      <c r="B285" s="95"/>
      <c r="C285" s="90"/>
      <c r="D285" s="92"/>
      <c r="E285" s="93"/>
      <c r="G285" s="79"/>
      <c r="H285" s="79"/>
      <c r="I285" s="41"/>
      <c r="J285" s="41"/>
      <c r="K285" s="96"/>
      <c r="L285" s="97"/>
      <c r="M285" s="90"/>
      <c r="N285" s="90"/>
      <c r="O285" s="79"/>
      <c r="P285" s="79" t="s">
        <v>29</v>
      </c>
      <c r="Q285" s="82"/>
      <c r="R285" s="82"/>
      <c r="S285" s="82"/>
      <c r="T285" s="82"/>
      <c r="U285" s="82"/>
      <c r="V285" s="82"/>
      <c r="W285" s="82"/>
      <c r="X285" s="82"/>
      <c r="Y285" s="82"/>
      <c r="Z285" s="82"/>
      <c r="AA285" s="82"/>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7"/>
      <c r="AZ285" s="79"/>
      <c r="BA285" s="79"/>
      <c r="BB285" s="79"/>
      <c r="BC285" s="79"/>
      <c r="BD285" s="79"/>
      <c r="BE285" s="79"/>
      <c r="BF285" s="79"/>
      <c r="BG285" s="79"/>
      <c r="BH285" s="79"/>
      <c r="BI285" s="79"/>
      <c r="BJ285" s="79"/>
      <c r="BK285" s="79"/>
      <c r="BL285" s="79"/>
      <c r="BM285" s="79"/>
      <c r="BN285" s="79"/>
      <c r="BO285" s="79"/>
      <c r="BP285" s="79"/>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79"/>
      <c r="B286" s="95"/>
      <c r="C286" s="79"/>
      <c r="D286" s="98"/>
      <c r="E286" s="99"/>
      <c r="F286" s="79"/>
      <c r="G286" s="79"/>
      <c r="H286" s="79"/>
      <c r="I286" s="79"/>
      <c r="J286" s="79"/>
      <c r="K286" s="81"/>
      <c r="L286" s="79"/>
      <c r="M286" s="79"/>
      <c r="N286" s="79"/>
      <c r="O286" s="79"/>
      <c r="P286" s="79" t="s">
        <v>29</v>
      </c>
      <c r="Q286" s="82"/>
      <c r="R286" s="82"/>
      <c r="S286" s="82"/>
      <c r="T286" s="82"/>
      <c r="U286" s="82"/>
      <c r="V286" s="82"/>
      <c r="W286" s="82"/>
      <c r="X286" s="82"/>
      <c r="Y286" s="82"/>
      <c r="Z286" s="82"/>
      <c r="AA286" s="82"/>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t="str">
        <f t="array" ref="BG286">IF($A286="","", INDEX(CS!$B$1:$B$15025,MATCH($A286,CS!$B:$B,0)+COLUMN(A$1),1))</f>
        <v/>
      </c>
      <c r="BH286" s="79" t="str">
        <f t="array" ref="BH286">IF($A286="","", INDEX(CS!$B$1:$B$15025,MATCH($A286,CS!$B:$B,0)+COLUMN(B$1),1))</f>
        <v/>
      </c>
      <c r="BI286" s="79" t="str">
        <f t="array" ref="BI286">IF($A286="","", INDEX(CS!$B$1:$B$15025,MATCH($A286,CS!$B:$B,0)+COLUMN(C$1),1))</f>
        <v/>
      </c>
      <c r="BJ286" s="79" t="str">
        <f t="array" ref="BJ286">IF($A286="","", INDEX(CS!$B$1:$B$15025,MATCH($A286,CS!$B:$B,0)+COLUMN(D$1),1))</f>
        <v/>
      </c>
      <c r="BK286" s="79" t="str">
        <f t="array" ref="BK286">IF($A286="","", INDEX(CS!$B$1:$B$15025,MATCH($A286,CS!$B:$B,0)+COLUMN(E$1),1))</f>
        <v/>
      </c>
      <c r="BL286" s="79" t="str">
        <f t="array" ref="BL286">IF($A286="","", INDEX(CS!$B$1:$B$15025,MATCH($A286,CS!$B:$B,0)+COLUMN(F$1),1))</f>
        <v/>
      </c>
      <c r="BM286" s="79" t="str">
        <f t="array" ref="BM286">IF($A286="","", INDEX(CS!$B$1:$B$15025,MATCH($A286,CS!$B:$B,0)+COLUMN(G$1),1))</f>
        <v/>
      </c>
      <c r="BN286" s="79" t="str">
        <f t="array" ref="BN286">IF($A286="","", INDEX(CS!$B$1:$B$15025,MATCH($A286,CS!$B:$B,0)+COLUMN(H$1),1))</f>
        <v/>
      </c>
      <c r="BO286" s="79" t="str">
        <f t="array" ref="BO286">IF($A286="","", INDEX(CS!$B$1:$B$15025,MATCH($A286,CS!$B:$B,0)+COLUMN(I$1),1))</f>
        <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c r="A287" s="79"/>
      <c r="B287" s="95"/>
      <c r="C287" s="79"/>
      <c r="D287" s="98"/>
      <c r="E287" s="99"/>
      <c r="F287" s="79"/>
      <c r="G287" s="79"/>
      <c r="H287" s="79"/>
      <c r="I287" s="79"/>
      <c r="J287" s="79"/>
      <c r="K287" s="81"/>
      <c r="L287" s="79"/>
      <c r="M287" s="79"/>
      <c r="N287" s="79"/>
      <c r="O287" s="79"/>
      <c r="P287" s="79" t="s">
        <v>29</v>
      </c>
      <c r="Q287" s="82"/>
      <c r="R287" s="82"/>
      <c r="S287" s="82"/>
      <c r="T287" s="82"/>
      <c r="U287" s="82"/>
      <c r="V287" s="82"/>
      <c r="W287" s="82"/>
      <c r="X287" s="82"/>
      <c r="Y287" s="82"/>
      <c r="Z287" s="82"/>
      <c r="AA287" s="82"/>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t="str">
        <f t="array" ref="BG287">IF($A287="","", INDEX(CS!$B$1:$B$15025,MATCH($A287,CS!$B:$B,0)+COLUMN(A$1),1))</f>
        <v/>
      </c>
      <c r="BH287" s="79" t="str">
        <f t="array" ref="BH287">IF($A287="","", INDEX(CS!$B$1:$B$15025,MATCH($A287,CS!$B:$B,0)+COLUMN(B$1),1))</f>
        <v/>
      </c>
      <c r="BI287" s="79" t="str">
        <f t="array" ref="BI287">IF($A287="","", INDEX(CS!$B$1:$B$15025,MATCH($A287,CS!$B:$B,0)+COLUMN(C$1),1))</f>
        <v/>
      </c>
      <c r="BJ287" s="79" t="str">
        <f t="array" ref="BJ287">IF($A287="","", INDEX(CS!$B$1:$B$15025,MATCH($A287,CS!$B:$B,0)+COLUMN(D$1),1))</f>
        <v/>
      </c>
      <c r="BK287" s="79" t="str">
        <f t="array" ref="BK287">IF($A287="","", INDEX(CS!$B$1:$B$15025,MATCH($A287,CS!$B:$B,0)+COLUMN(E$1),1))</f>
        <v/>
      </c>
      <c r="BL287" s="79" t="str">
        <f t="array" ref="BL287">IF($A287="","", INDEX(CS!$B$1:$B$15025,MATCH($A287,CS!$B:$B,0)+COLUMN(F$1),1))</f>
        <v/>
      </c>
      <c r="BM287" s="79" t="str">
        <f t="array" ref="BM287">IF($A287="","", INDEX(CS!$B$1:$B$15025,MATCH($A287,CS!$B:$B,0)+COLUMN(G$1),1))</f>
        <v/>
      </c>
      <c r="BN287" s="79" t="str">
        <f t="array" ref="BN287">IF($A287="","", INDEX(CS!$B$1:$B$15025,MATCH($A287,CS!$B:$B,0)+COLUMN(H$1),1))</f>
        <v/>
      </c>
      <c r="BO287" s="79" t="str">
        <f t="array" ref="BO287">IF($A287="","", INDEX(CS!$B$1:$B$15025,MATCH($A287,CS!$B:$B,0)+COLUMN(I$1),1))</f>
        <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c r="A288" s="79"/>
      <c r="B288" s="95"/>
      <c r="C288" s="79"/>
      <c r="D288" s="98"/>
      <c r="E288" s="99"/>
      <c r="F288" s="79"/>
      <c r="G288" s="79"/>
      <c r="H288" s="79"/>
      <c r="I288" s="79"/>
      <c r="J288" s="79"/>
      <c r="K288" s="81"/>
      <c r="L288" s="79"/>
      <c r="M288" s="79"/>
      <c r="N288" s="79"/>
      <c r="O288" s="79"/>
      <c r="P288" s="79" t="s">
        <v>29</v>
      </c>
      <c r="Q288" s="82"/>
      <c r="R288" s="82"/>
      <c r="S288" s="82"/>
      <c r="T288" s="82"/>
      <c r="U288" s="82"/>
      <c r="V288" s="82"/>
      <c r="W288" s="82"/>
      <c r="X288" s="82"/>
      <c r="Y288" s="82"/>
      <c r="Z288" s="82"/>
      <c r="AA288" s="82"/>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t="str">
        <f t="array" ref="BG288">IF($A288="","", INDEX(CS!$B$1:$B$15025,MATCH($A288,CS!$B:$B,0)+COLUMN(A$1),1))</f>
        <v/>
      </c>
      <c r="BH288" s="79" t="str">
        <f t="array" ref="BH288">IF($A288="","", INDEX(CS!$B$1:$B$15025,MATCH($A288,CS!$B:$B,0)+COLUMN(B$1),1))</f>
        <v/>
      </c>
      <c r="BI288" s="79" t="str">
        <f t="array" ref="BI288">IF($A288="","", INDEX(CS!$B$1:$B$15025,MATCH($A288,CS!$B:$B,0)+COLUMN(C$1),1))</f>
        <v/>
      </c>
      <c r="BJ288" s="79" t="str">
        <f t="array" ref="BJ288">IF($A288="","", INDEX(CS!$B$1:$B$15025,MATCH($A288,CS!$B:$B,0)+COLUMN(D$1),1))</f>
        <v/>
      </c>
      <c r="BK288" s="79" t="str">
        <f t="array" ref="BK288">IF($A288="","", INDEX(CS!$B$1:$B$15025,MATCH($A288,CS!$B:$B,0)+COLUMN(E$1),1))</f>
        <v/>
      </c>
      <c r="BL288" s="79" t="str">
        <f t="array" ref="BL288">IF($A288="","", INDEX(CS!$B$1:$B$15025,MATCH($A288,CS!$B:$B,0)+COLUMN(F$1),1))</f>
        <v/>
      </c>
      <c r="BM288" s="79" t="str">
        <f t="array" ref="BM288">IF($A288="","", INDEX(CS!$B$1:$B$15025,MATCH($A288,CS!$B:$B,0)+COLUMN(G$1),1))</f>
        <v/>
      </c>
      <c r="BN288" s="79" t="str">
        <f t="array" ref="BN288">IF($A288="","", INDEX(CS!$B$1:$B$15025,MATCH($A288,CS!$B:$B,0)+COLUMN(H$1),1))</f>
        <v/>
      </c>
      <c r="BO288" s="79" t="str">
        <f t="array" ref="BO288">IF($A288="","", INDEX(CS!$B$1:$B$15025,MATCH($A288,CS!$B:$B,0)+COLUMN(I$1),1))</f>
        <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c r="A289" s="79"/>
      <c r="B289" s="95" t="s">
        <v>2910</v>
      </c>
      <c r="C289" s="79"/>
      <c r="D289" s="98" t="str">
        <f t="shared" ref="D289:D295" si="17">SUM(AJ289:AZ289,F289:N289)&amp;"/"&amp;SUM(F289:N289)&amp;"/"&amp;SUM(AJ289:AZ289)</f>
        <v>0/0/0</v>
      </c>
      <c r="E289" s="99">
        <v>1.0</v>
      </c>
      <c r="F289" s="79"/>
      <c r="G289" s="79"/>
      <c r="H289" s="79"/>
      <c r="I289" s="79"/>
      <c r="J289" s="79"/>
      <c r="K289" s="81"/>
      <c r="L289" s="79"/>
      <c r="M289" s="79"/>
      <c r="N289" s="79"/>
      <c r="O289" s="79"/>
      <c r="P289" s="79" t="s">
        <v>29</v>
      </c>
      <c r="Q289" s="82"/>
      <c r="R289" s="82"/>
      <c r="S289" s="82"/>
      <c r="T289" s="82"/>
      <c r="U289" s="82"/>
      <c r="V289" s="82"/>
      <c r="W289" s="82"/>
      <c r="X289" s="82"/>
      <c r="Y289" s="82"/>
      <c r="Z289" s="82"/>
      <c r="AA289" s="82"/>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t="str">
        <f t="array" ref="BG289">IF($A289="","", INDEX(CS!$B$1:$B$15025,MATCH($A289,CS!$B:$B,0)+COLUMN(A$1),1))</f>
        <v/>
      </c>
      <c r="BH289" s="79" t="str">
        <f t="array" ref="BH289">IF($A289="","", INDEX(CS!$B$1:$B$15025,MATCH($A289,CS!$B:$B,0)+COLUMN(B$1),1))</f>
        <v/>
      </c>
      <c r="BI289" s="79" t="str">
        <f t="array" ref="BI289">IF($A289="","", INDEX(CS!$B$1:$B$15025,MATCH($A289,CS!$B:$B,0)+COLUMN(C$1),1))</f>
        <v/>
      </c>
      <c r="BJ289" s="79" t="str">
        <f t="array" ref="BJ289">IF($A289="","", INDEX(CS!$B$1:$B$15025,MATCH($A289,CS!$B:$B,0)+COLUMN(D$1),1))</f>
        <v/>
      </c>
      <c r="BK289" s="79" t="str">
        <f t="array" ref="BK289">IF($A289="","", INDEX(CS!$B$1:$B$15025,MATCH($A289,CS!$B:$B,0)+COLUMN(E$1),1))</f>
        <v/>
      </c>
      <c r="BL289" s="79" t="str">
        <f t="array" ref="BL289">IF($A289="","", INDEX(CS!$B$1:$B$15025,MATCH($A289,CS!$B:$B,0)+COLUMN(F$1),1))</f>
        <v/>
      </c>
      <c r="BM289" s="79" t="str">
        <f t="array" ref="BM289">IF($A289="","", INDEX(CS!$B$1:$B$15025,MATCH($A289,CS!$B:$B,0)+COLUMN(G$1),1))</f>
        <v/>
      </c>
      <c r="BN289" s="79" t="str">
        <f t="array" ref="BN289">IF($A289="","", INDEX(CS!$B$1:$B$15025,MATCH($A289,CS!$B:$B,0)+COLUMN(H$1),1))</f>
        <v/>
      </c>
      <c r="BO289" s="79" t="str">
        <f t="array" ref="BO289">IF($A289="","", INDEX(CS!$B$1:$B$15025,MATCH($A289,CS!$B:$B,0)+COLUMN(I$1),1))</f>
        <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1928</v>
      </c>
      <c r="B290" s="91"/>
      <c r="C290" s="79"/>
      <c r="D290" s="92" t="str">
        <f t="shared" si="17"/>
        <v>255/255/0</v>
      </c>
      <c r="E290" s="93">
        <v>1.0</v>
      </c>
      <c r="F290" s="90">
        <v>90.0</v>
      </c>
      <c r="G290" s="79"/>
      <c r="H290" s="79"/>
      <c r="I290" s="90">
        <v>55.0</v>
      </c>
      <c r="J290" s="90">
        <v>5.0</v>
      </c>
      <c r="K290" s="94">
        <v>0.0</v>
      </c>
      <c r="L290" s="90">
        <v>5.0</v>
      </c>
      <c r="M290" s="90">
        <v>40.0</v>
      </c>
      <c r="N290" s="90">
        <v>60.0</v>
      </c>
      <c r="O290" s="90">
        <v>100.0</v>
      </c>
      <c r="P290" s="90">
        <v>0.0</v>
      </c>
      <c r="Q290" s="100">
        <v>10.0</v>
      </c>
      <c r="R290" s="82"/>
      <c r="S290" s="100">
        <v>10.0</v>
      </c>
      <c r="T290" s="100">
        <v>25.0</v>
      </c>
      <c r="U290" s="100">
        <v>25.0</v>
      </c>
      <c r="V290" s="100">
        <v>-15.0</v>
      </c>
      <c r="W290" s="82"/>
      <c r="X290" s="82"/>
      <c r="Y290" s="82"/>
      <c r="Z290" s="100">
        <v>100.0</v>
      </c>
      <c r="AA290" s="82"/>
      <c r="AB290" s="79"/>
      <c r="AC290" s="90">
        <v>100.0</v>
      </c>
      <c r="AD290" s="79"/>
      <c r="AE290" s="90">
        <v>100.0</v>
      </c>
      <c r="AF290" s="90">
        <v>25.0</v>
      </c>
      <c r="AG290" s="90">
        <v>100.0</v>
      </c>
      <c r="AH290" s="90">
        <v>25.0</v>
      </c>
      <c r="AI290" s="90">
        <v>25.0</v>
      </c>
      <c r="AJ290" s="90">
        <v>0.0</v>
      </c>
      <c r="AK290" s="90">
        <v>0.0</v>
      </c>
      <c r="AL290" s="90">
        <v>0.0</v>
      </c>
      <c r="AM290" s="90">
        <v>-25.0</v>
      </c>
      <c r="AN290" s="90">
        <v>0.0</v>
      </c>
      <c r="AO290" s="90">
        <v>0.0</v>
      </c>
      <c r="AP290" s="90">
        <v>0.0</v>
      </c>
      <c r="AQ290" s="90">
        <v>25.0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粘液体当たり</v>
      </c>
      <c r="BH290" s="79" t="str">
        <f t="array" ref="BH290">IF($A290="","", INDEX(CS!$B$1:$B$15025,MATCH($A290,CS!$B:$B,0)+COLUMN(B$1),1))</f>
        <v>粘液拘束</v>
      </c>
      <c r="BI290" s="79" t="str">
        <f t="array" ref="BI290">IF($A290="","", INDEX(CS!$B$1:$B$15025,MATCH($A290,CS!$B:$B,0)+COLUMN(C$1),1))</f>
        <v>軟体</v>
      </c>
      <c r="BJ290" s="79" t="str">
        <f t="array" ref="BJ290">IF($A290="","", INDEX(CS!$B$1:$B$15025,MATCH($A290,CS!$B:$B,0)+COLUMN(D$1),1))</f>
        <v/>
      </c>
      <c r="BK290" s="79" t="str">
        <f t="array" ref="BK290">IF($A290="","", INDEX(CS!$B$1:$B$15025,MATCH($A290,CS!$B:$B,0)+COLUMN(E$1),1))</f>
        <v>粘液噴射</v>
      </c>
      <c r="BL290" s="79" t="str">
        <f t="array" ref="BL290">IF($A290="","", INDEX(CS!$B$1:$B$15025,MATCH($A290,CS!$B:$B,0)+COLUMN(F$1),1))</f>
        <v/>
      </c>
      <c r="BM290" s="79" t="str">
        <f t="array" ref="BM290">IF($A290="","", INDEX(CS!$B$1:$B$15025,MATCH($A290,CS!$B:$B,0)+COLUMN(G$1),1))</f>
        <v>粘液防御</v>
      </c>
      <c r="BN290" s="79" t="str">
        <f t="array" ref="BN290">IF($A290="","", INDEX(CS!$B$1:$B$15025,MATCH($A290,CS!$B:$B,0)+COLUMN(H$1),1))</f>
        <v/>
      </c>
      <c r="BO290" s="79" t="str">
        <f t="array" ref="BO290">IF($A290="","", INDEX(CS!$B$1:$B$15025,MATCH($A290,CS!$B:$B,0)+COLUMN(I$1),1))</f>
        <v>粘液強化</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outlineLevel="1">
      <c r="A291" s="90" t="s">
        <v>1939</v>
      </c>
      <c r="B291" s="91"/>
      <c r="C291" s="79"/>
      <c r="D291" s="92" t="str">
        <f t="shared" si="17"/>
        <v>295/270/25</v>
      </c>
      <c r="E291" s="93">
        <v>1.0</v>
      </c>
      <c r="F291" s="90">
        <v>90.0</v>
      </c>
      <c r="G291" s="79"/>
      <c r="H291" s="79"/>
      <c r="I291" s="90">
        <v>60.0</v>
      </c>
      <c r="J291" s="90">
        <v>5.0</v>
      </c>
      <c r="K291" s="94">
        <v>0.0</v>
      </c>
      <c r="L291" s="90">
        <v>5.0</v>
      </c>
      <c r="M291" s="90">
        <v>45.0</v>
      </c>
      <c r="N291" s="90">
        <v>65.0</v>
      </c>
      <c r="O291" s="90">
        <v>100.0</v>
      </c>
      <c r="P291" s="90">
        <v>0.0</v>
      </c>
      <c r="Q291" s="100">
        <v>10.0</v>
      </c>
      <c r="R291" s="82"/>
      <c r="S291" s="100">
        <v>10.0</v>
      </c>
      <c r="T291" s="100">
        <v>25.0</v>
      </c>
      <c r="U291" s="100">
        <v>25.0</v>
      </c>
      <c r="V291" s="100">
        <v>-15.0</v>
      </c>
      <c r="W291" s="82"/>
      <c r="X291" s="82"/>
      <c r="Y291" s="82"/>
      <c r="Z291" s="100">
        <v>100.0</v>
      </c>
      <c r="AA291" s="82"/>
      <c r="AB291" s="79"/>
      <c r="AC291" s="90">
        <v>100.0</v>
      </c>
      <c r="AD291" s="79"/>
      <c r="AE291" s="90">
        <v>100.0</v>
      </c>
      <c r="AF291" s="90">
        <v>25.0</v>
      </c>
      <c r="AG291" s="90">
        <v>100.0</v>
      </c>
      <c r="AH291" s="90">
        <v>25.0</v>
      </c>
      <c r="AI291" s="90">
        <v>25.0</v>
      </c>
      <c r="AJ291" s="90">
        <v>0.0</v>
      </c>
      <c r="AK291" s="90">
        <v>0.0</v>
      </c>
      <c r="AL291" s="90">
        <v>0.0</v>
      </c>
      <c r="AM291" s="90">
        <v>-25.0</v>
      </c>
      <c r="AN291" s="90">
        <v>0.0</v>
      </c>
      <c r="AO291" s="90">
        <v>0.0</v>
      </c>
      <c r="AP291" s="90">
        <v>0.0</v>
      </c>
      <c r="AQ291" s="90">
        <v>25.0</v>
      </c>
      <c r="AR291" s="90">
        <v>25.0</v>
      </c>
      <c r="AS291" s="90">
        <v>0.0</v>
      </c>
      <c r="AT291" s="90">
        <v>0.0</v>
      </c>
      <c r="AU291" s="90">
        <v>0.0</v>
      </c>
      <c r="AV291" s="90">
        <v>0.0</v>
      </c>
      <c r="AW291" s="90">
        <v>0.0</v>
      </c>
      <c r="AX291" s="90">
        <v>0.0</v>
      </c>
      <c r="AY291" s="90">
        <v>0.0</v>
      </c>
      <c r="AZ291" s="90">
        <v>0.0</v>
      </c>
      <c r="BA291" s="90">
        <v>0.0</v>
      </c>
      <c r="BB291" s="90">
        <v>0.0</v>
      </c>
      <c r="BC291" s="90">
        <v>0.0</v>
      </c>
      <c r="BD291" s="90">
        <v>0.0</v>
      </c>
      <c r="BE291" s="90">
        <v>0.0</v>
      </c>
      <c r="BF291" s="90">
        <v>0.0</v>
      </c>
      <c r="BG291" s="79" t="str">
        <f t="array" ref="BG291">IF($A291="","", INDEX(CS!$B$1:$B$15025,MATCH($A291,CS!$B:$B,0)+COLUMN(A$1),1))</f>
        <v>粘液体当たり</v>
      </c>
      <c r="BH291" s="79" t="str">
        <f t="array" ref="BH291">IF($A291="","", INDEX(CS!$B$1:$B$15025,MATCH($A291,CS!$B:$B,0)+COLUMN(B$1),1))</f>
        <v>毒性粘液</v>
      </c>
      <c r="BI291" s="79" t="str">
        <f t="array" ref="BI291">IF($A291="","", INDEX(CS!$B$1:$B$15025,MATCH($A291,CS!$B:$B,0)+COLUMN(C$1),1))</f>
        <v>粘液拘束</v>
      </c>
      <c r="BJ291" s="79" t="str">
        <f t="array" ref="BJ291">IF($A291="","", INDEX(CS!$B$1:$B$15025,MATCH($A291,CS!$B:$B,0)+COLUMN(D$1),1))</f>
        <v/>
      </c>
      <c r="BK291" s="79" t="str">
        <f t="array" ref="BK291">IF($A291="","", INDEX(CS!$B$1:$B$15025,MATCH($A291,CS!$B:$B,0)+COLUMN(E$1),1))</f>
        <v>粘液噴射</v>
      </c>
      <c r="BL291" s="79" t="str">
        <f t="array" ref="BL291">IF($A291="","", INDEX(CS!$B$1:$B$15025,MATCH($A291,CS!$B:$B,0)+COLUMN(F$1),1))</f>
        <v/>
      </c>
      <c r="BM291" s="79" t="str">
        <f t="array" ref="BM291">IF($A291="","", INDEX(CS!$B$1:$B$15025,MATCH($A291,CS!$B:$B,0)+COLUMN(G$1),1))</f>
        <v>粘液防御</v>
      </c>
      <c r="BN291" s="79" t="str">
        <f t="array" ref="BN291">IF($A291="","", INDEX(CS!$B$1:$B$15025,MATCH($A291,CS!$B:$B,0)+COLUMN(H$1),1))</f>
        <v/>
      </c>
      <c r="BO291" s="79" t="str">
        <f t="array" ref="BO291">IF($A291="","", INDEX(CS!$B$1:$B$15025,MATCH($A291,CS!$B:$B,0)+COLUMN(I$1),1))</f>
        <v>軟体</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outlineLevel="1">
      <c r="A292" s="90" t="s">
        <v>1942</v>
      </c>
      <c r="B292" s="91"/>
      <c r="C292" s="79"/>
      <c r="D292" s="92" t="str">
        <f t="shared" si="17"/>
        <v>340/340/0</v>
      </c>
      <c r="E292" s="93">
        <v>1.0</v>
      </c>
      <c r="F292" s="90">
        <v>105.0</v>
      </c>
      <c r="G292" s="79"/>
      <c r="H292" s="79"/>
      <c r="I292" s="90">
        <v>80.0</v>
      </c>
      <c r="J292" s="90">
        <v>5.0</v>
      </c>
      <c r="K292" s="94">
        <v>40.0</v>
      </c>
      <c r="L292" s="90">
        <v>10.0</v>
      </c>
      <c r="M292" s="90">
        <v>40.0</v>
      </c>
      <c r="N292" s="90">
        <v>60.0</v>
      </c>
      <c r="O292" s="90">
        <v>110.0</v>
      </c>
      <c r="P292" s="90">
        <v>0.0</v>
      </c>
      <c r="Q292" s="100">
        <v>15.0</v>
      </c>
      <c r="R292" s="82"/>
      <c r="S292" s="100">
        <v>10.0</v>
      </c>
      <c r="T292" s="100">
        <v>25.0</v>
      </c>
      <c r="U292" s="100">
        <v>25.0</v>
      </c>
      <c r="V292" s="100">
        <v>-15.0</v>
      </c>
      <c r="W292" s="100">
        <v>100.0</v>
      </c>
      <c r="X292" s="100">
        <v>-45.0</v>
      </c>
      <c r="Y292" s="82"/>
      <c r="Z292" s="100">
        <v>100.0</v>
      </c>
      <c r="AA292" s="82"/>
      <c r="AB292" s="79"/>
      <c r="AC292" s="90">
        <v>100.0</v>
      </c>
      <c r="AD292" s="79"/>
      <c r="AE292" s="90">
        <v>100.0</v>
      </c>
      <c r="AF292" s="90">
        <v>25.0</v>
      </c>
      <c r="AG292" s="90">
        <v>100.0</v>
      </c>
      <c r="AH292" s="90">
        <v>25.0</v>
      </c>
      <c r="AI292" s="90">
        <v>25.0</v>
      </c>
      <c r="AJ292" s="90">
        <v>0.0</v>
      </c>
      <c r="AK292" s="90">
        <v>0.0</v>
      </c>
      <c r="AL292" s="90">
        <v>0.0</v>
      </c>
      <c r="AM292" s="90">
        <v>-25.0</v>
      </c>
      <c r="AN292" s="90">
        <v>0.0</v>
      </c>
      <c r="AO292" s="90">
        <v>0.0</v>
      </c>
      <c r="AP292" s="90">
        <v>0.0</v>
      </c>
      <c r="AQ292" s="90">
        <v>0.0</v>
      </c>
      <c r="AR292" s="90">
        <v>0.0</v>
      </c>
      <c r="AS292" s="90">
        <v>0.0</v>
      </c>
      <c r="AT292" s="90">
        <v>0.0</v>
      </c>
      <c r="AU292" s="90">
        <v>0.0</v>
      </c>
      <c r="AV292" s="90">
        <v>0.0</v>
      </c>
      <c r="AW292" s="90">
        <v>0.0</v>
      </c>
      <c r="AX292" s="90">
        <v>0.0</v>
      </c>
      <c r="AY292" s="90">
        <v>25.0</v>
      </c>
      <c r="AZ292" s="90">
        <v>0.0</v>
      </c>
      <c r="BA292" s="90">
        <v>0.0</v>
      </c>
      <c r="BB292" s="90">
        <v>0.0</v>
      </c>
      <c r="BC292" s="90">
        <v>0.0</v>
      </c>
      <c r="BD292" s="90">
        <v>0.0</v>
      </c>
      <c r="BE292" s="90">
        <v>0.0</v>
      </c>
      <c r="BF292" s="90">
        <v>50.0</v>
      </c>
      <c r="BG292" s="79" t="str">
        <f t="array" ref="BG292">IF($A292="","", INDEX(CS!$B$1:$B$15025,MATCH($A292,CS!$B:$B,0)+COLUMN(A$1),1))</f>
        <v>粘液体当たり</v>
      </c>
      <c r="BH292" s="79" t="str">
        <f t="array" ref="BH292">IF($A292="","", INDEX(CS!$B$1:$B$15025,MATCH($A292,CS!$B:$B,0)+COLUMN(B$1),1))</f>
        <v>灼熱粘液</v>
      </c>
      <c r="BI292" s="79" t="str">
        <f t="array" ref="BI292">IF($A292="","", INDEX(CS!$B$1:$B$15025,MATCH($A292,CS!$B:$B,0)+COLUMN(C$1),1))</f>
        <v>火炎飛沫</v>
      </c>
      <c r="BJ292" s="79" t="str">
        <f t="array" ref="BJ292">IF($A292="","", INDEX(CS!$B$1:$B$15025,MATCH($A292,CS!$B:$B,0)+COLUMN(D$1),1))</f>
        <v/>
      </c>
      <c r="BK292" s="79" t="str">
        <f t="array" ref="BK292">IF($A292="","", INDEX(CS!$B$1:$B$15025,MATCH($A292,CS!$B:$B,0)+COLUMN(E$1),1))</f>
        <v>粘液拘束</v>
      </c>
      <c r="BL292" s="79" t="str">
        <f t="array" ref="BL292">IF($A292="","", INDEX(CS!$B$1:$B$15025,MATCH($A292,CS!$B:$B,0)+COLUMN(F$1),1))</f>
        <v/>
      </c>
      <c r="BM292" s="79" t="str">
        <f t="array" ref="BM292">IF($A292="","", INDEX(CS!$B$1:$B$15025,MATCH($A292,CS!$B:$B,0)+COLUMN(G$1),1))</f>
        <v>軟体</v>
      </c>
      <c r="BN292" s="79" t="str">
        <f t="array" ref="BN292">IF($A292="","", INDEX(CS!$B$1:$B$15025,MATCH($A292,CS!$B:$B,0)+COLUMN(H$1),1))</f>
        <v/>
      </c>
      <c r="BO292" s="79" t="str">
        <f t="array" ref="BO292">IF($A292="","", INDEX(CS!$B$1:$B$15025,MATCH($A292,CS!$B:$B,0)+COLUMN(I$1),1))</f>
        <v>粘液防御</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1947</v>
      </c>
      <c r="B293" s="91"/>
      <c r="C293" s="79"/>
      <c r="D293" s="92" t="str">
        <f t="shared" si="17"/>
        <v>300/300/0</v>
      </c>
      <c r="E293" s="93">
        <v>1.0</v>
      </c>
      <c r="F293" s="90">
        <v>105.0</v>
      </c>
      <c r="G293" s="79"/>
      <c r="H293" s="79"/>
      <c r="I293" s="90">
        <v>60.0</v>
      </c>
      <c r="J293" s="90">
        <v>10.0</v>
      </c>
      <c r="K293" s="94">
        <v>20.0</v>
      </c>
      <c r="L293" s="90">
        <v>10.0</v>
      </c>
      <c r="M293" s="90">
        <v>35.0</v>
      </c>
      <c r="N293" s="90">
        <v>60.0</v>
      </c>
      <c r="O293" s="90">
        <v>100.0</v>
      </c>
      <c r="P293" s="90">
        <v>0.0</v>
      </c>
      <c r="Q293" s="100">
        <v>20.0</v>
      </c>
      <c r="R293" s="100">
        <v>10.0</v>
      </c>
      <c r="S293" s="100">
        <v>20.0</v>
      </c>
      <c r="T293" s="100">
        <v>35.0</v>
      </c>
      <c r="U293" s="100">
        <v>30.0</v>
      </c>
      <c r="V293" s="100">
        <v>-30.0</v>
      </c>
      <c r="W293" s="82"/>
      <c r="X293" s="82"/>
      <c r="Y293" s="82"/>
      <c r="Z293" s="100">
        <v>100.0</v>
      </c>
      <c r="AA293" s="82"/>
      <c r="AB293" s="79"/>
      <c r="AC293" s="90">
        <v>100.0</v>
      </c>
      <c r="AD293" s="79"/>
      <c r="AE293" s="90">
        <v>100.0</v>
      </c>
      <c r="AF293" s="79"/>
      <c r="AG293" s="90">
        <v>100.0</v>
      </c>
      <c r="AH293" s="90">
        <v>35.0</v>
      </c>
      <c r="AI293" s="90">
        <v>25.0</v>
      </c>
      <c r="AJ293" s="90">
        <v>0.0</v>
      </c>
      <c r="AK293" s="90">
        <v>0.0</v>
      </c>
      <c r="AL293" s="90">
        <v>0.0</v>
      </c>
      <c r="AM293" s="90">
        <v>-25.0</v>
      </c>
      <c r="AN293" s="90">
        <v>25.0</v>
      </c>
      <c r="AO293" s="90">
        <v>0.0</v>
      </c>
      <c r="AP293" s="90">
        <v>0.0</v>
      </c>
      <c r="AQ293" s="90">
        <v>0.0</v>
      </c>
      <c r="AR293" s="90">
        <v>0.0</v>
      </c>
      <c r="AS293" s="90">
        <v>0.0</v>
      </c>
      <c r="AT293" s="90">
        <v>0.0</v>
      </c>
      <c r="AU293" s="90">
        <v>0.0</v>
      </c>
      <c r="AV293" s="90">
        <v>0.0</v>
      </c>
      <c r="AW293" s="90">
        <v>0.0</v>
      </c>
      <c r="AX293" s="90">
        <v>0.0</v>
      </c>
      <c r="AY293" s="90">
        <v>0.0</v>
      </c>
      <c r="AZ293" s="90">
        <v>0.0</v>
      </c>
      <c r="BA293" s="90">
        <v>0.0</v>
      </c>
      <c r="BB293" s="90">
        <v>0.0</v>
      </c>
      <c r="BC293" s="90">
        <v>0.0</v>
      </c>
      <c r="BD293" s="90">
        <v>0.0</v>
      </c>
      <c r="BE293" s="90">
        <v>0.0</v>
      </c>
      <c r="BF293" s="90">
        <v>150.0</v>
      </c>
      <c r="BG293" s="79" t="str">
        <f t="array" ref="BG293">IF($A293="","", INDEX(CS!$B$1:$B$15025,MATCH($A293,CS!$B:$B,0)+COLUMN(A$1),1))</f>
        <v>粘液体当たり</v>
      </c>
      <c r="BH293" s="79" t="str">
        <f t="array" ref="BH293">IF($A293="","", INDEX(CS!$B$1:$B$15025,MATCH($A293,CS!$B:$B,0)+COLUMN(B$1),1))</f>
        <v>結晶突起</v>
      </c>
      <c r="BI293" s="79" t="str">
        <f t="array" ref="BI293">IF($A293="","", INDEX(CS!$B$1:$B$15025,MATCH($A293,CS!$B:$B,0)+COLUMN(C$1),1))</f>
        <v>結晶突起強化</v>
      </c>
      <c r="BJ293" s="79" t="str">
        <f t="array" ref="BJ293">IF($A293="","", INDEX(CS!$B$1:$B$15025,MATCH($A293,CS!$B:$B,0)+COLUMN(D$1),1))</f>
        <v/>
      </c>
      <c r="BK293" s="79" t="str">
        <f t="array" ref="BK293">IF($A293="","", INDEX(CS!$B$1:$B$15025,MATCH($A293,CS!$B:$B,0)+COLUMN(E$1),1))</f>
        <v>粘液拘束</v>
      </c>
      <c r="BL293" s="79" t="str">
        <f t="array" ref="BL293">IF($A293="","", INDEX(CS!$B$1:$B$15025,MATCH($A293,CS!$B:$B,0)+COLUMN(F$1),1))</f>
        <v/>
      </c>
      <c r="BM293" s="79" t="str">
        <f t="array" ref="BM293">IF($A293="","", INDEX(CS!$B$1:$B$15025,MATCH($A293,CS!$B:$B,0)+COLUMN(G$1),1))</f>
        <v>軟体</v>
      </c>
      <c r="BN293" s="79" t="str">
        <f t="array" ref="BN293">IF($A293="","", INDEX(CS!$B$1:$B$15025,MATCH($A293,CS!$B:$B,0)+COLUMN(H$1),1))</f>
        <v/>
      </c>
      <c r="BO293" s="79" t="str">
        <f t="array" ref="BO293">IF($A293="","", INDEX(CS!$B$1:$B$15025,MATCH($A293,CS!$B:$B,0)+COLUMN(I$1),1))</f>
        <v>粘液防御</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1952</v>
      </c>
      <c r="B294" s="91"/>
      <c r="C294" s="79"/>
      <c r="D294" s="92" t="str">
        <f t="shared" si="17"/>
        <v>340/315/25</v>
      </c>
      <c r="E294" s="93">
        <v>1.0</v>
      </c>
      <c r="F294" s="90">
        <v>100.0</v>
      </c>
      <c r="G294" s="79"/>
      <c r="H294" s="79"/>
      <c r="I294" s="90">
        <v>65.0</v>
      </c>
      <c r="J294" s="90">
        <v>5.0</v>
      </c>
      <c r="K294" s="94">
        <v>40.0</v>
      </c>
      <c r="L294" s="90">
        <v>10.0</v>
      </c>
      <c r="M294" s="90">
        <v>35.0</v>
      </c>
      <c r="N294" s="90">
        <v>60.0</v>
      </c>
      <c r="O294" s="90">
        <v>105.0</v>
      </c>
      <c r="P294" s="90">
        <v>0.0</v>
      </c>
      <c r="Q294" s="100">
        <v>15.0</v>
      </c>
      <c r="R294" s="82"/>
      <c r="S294" s="100">
        <v>15.0</v>
      </c>
      <c r="T294" s="100">
        <v>25.0</v>
      </c>
      <c r="U294" s="100">
        <v>25.0</v>
      </c>
      <c r="V294" s="100">
        <v>-15.0</v>
      </c>
      <c r="W294" s="100">
        <v>-45.0</v>
      </c>
      <c r="X294" s="100">
        <v>100.0</v>
      </c>
      <c r="Y294" s="82"/>
      <c r="Z294" s="100">
        <v>100.0</v>
      </c>
      <c r="AA294" s="82"/>
      <c r="AB294" s="79"/>
      <c r="AC294" s="90">
        <v>100.0</v>
      </c>
      <c r="AD294" s="79"/>
      <c r="AE294" s="90">
        <v>100.0</v>
      </c>
      <c r="AF294" s="90">
        <v>25.0</v>
      </c>
      <c r="AG294" s="90">
        <v>100.0</v>
      </c>
      <c r="AH294" s="90">
        <v>25.0</v>
      </c>
      <c r="AI294" s="90">
        <v>25.0</v>
      </c>
      <c r="AJ294" s="90">
        <v>0.0</v>
      </c>
      <c r="AK294" s="90">
        <v>0.0</v>
      </c>
      <c r="AL294" s="90">
        <v>0.0</v>
      </c>
      <c r="AM294" s="90">
        <v>-25.0</v>
      </c>
      <c r="AN294" s="90">
        <v>0.0</v>
      </c>
      <c r="AO294" s="90">
        <v>0.0</v>
      </c>
      <c r="AP294" s="90">
        <v>0.0</v>
      </c>
      <c r="AQ294" s="90">
        <v>25.0</v>
      </c>
      <c r="AR294" s="90">
        <v>0.0</v>
      </c>
      <c r="AS294" s="90">
        <v>0.0</v>
      </c>
      <c r="AT294" s="90">
        <v>0.0</v>
      </c>
      <c r="AU294" s="90">
        <v>0.0</v>
      </c>
      <c r="AV294" s="90">
        <v>0.0</v>
      </c>
      <c r="AW294" s="90">
        <v>0.0</v>
      </c>
      <c r="AX294" s="90">
        <v>0.0</v>
      </c>
      <c r="AY294" s="90">
        <v>25.0</v>
      </c>
      <c r="AZ294" s="90">
        <v>0.0</v>
      </c>
      <c r="BA294" s="90">
        <v>0.0</v>
      </c>
      <c r="BB294" s="90">
        <v>0.0</v>
      </c>
      <c r="BC294" s="90">
        <v>0.0</v>
      </c>
      <c r="BD294" s="90">
        <v>0.0</v>
      </c>
      <c r="BE294" s="90">
        <v>0.0</v>
      </c>
      <c r="BF294" s="90">
        <v>80.0</v>
      </c>
      <c r="BG294" s="79" t="str">
        <f t="array" ref="BG294">IF($A294="","", INDEX(CS!$B$1:$B$15025,MATCH($A294,CS!$B:$B,0)+COLUMN(A$1),1))</f>
        <v>粘液体当たり</v>
      </c>
      <c r="BH294" s="79" t="str">
        <f t="array" ref="BH294">IF($A294="","", INDEX(CS!$B$1:$B$15025,MATCH($A294,CS!$B:$B,0)+COLUMN(B$1),1))</f>
        <v>氷結粘液</v>
      </c>
      <c r="BI294" s="79" t="str">
        <f t="array" ref="BI294">IF($A294="","", INDEX(CS!$B$1:$B$15025,MATCH($A294,CS!$B:$B,0)+COLUMN(C$1),1))</f>
        <v>氷片飛ばし</v>
      </c>
      <c r="BJ294" s="79" t="str">
        <f t="array" ref="BJ294">IF($A294="","", INDEX(CS!$B$1:$B$15025,MATCH($A294,CS!$B:$B,0)+COLUMN(D$1),1))</f>
        <v/>
      </c>
      <c r="BK294" s="79" t="str">
        <f t="array" ref="BK294">IF($A294="","", INDEX(CS!$B$1:$B$15025,MATCH($A294,CS!$B:$B,0)+COLUMN(E$1),1))</f>
        <v>粘液拘束</v>
      </c>
      <c r="BL294" s="79" t="str">
        <f t="array" ref="BL294">IF($A294="","", INDEX(CS!$B$1:$B$15025,MATCH($A294,CS!$B:$B,0)+COLUMN(F$1),1))</f>
        <v/>
      </c>
      <c r="BM294" s="79" t="str">
        <f t="array" ref="BM294">IF($A294="","", INDEX(CS!$B$1:$B$15025,MATCH($A294,CS!$B:$B,0)+COLUMN(G$1),1))</f>
        <v>軟体</v>
      </c>
      <c r="BN294" s="79" t="str">
        <f t="array" ref="BN294">IF($A294="","", INDEX(CS!$B$1:$B$15025,MATCH($A294,CS!$B:$B,0)+COLUMN(H$1),1))</f>
        <v/>
      </c>
      <c r="BO294" s="79" t="str">
        <f t="array" ref="BO294">IF($A294="","", INDEX(CS!$B$1:$B$15025,MATCH($A294,CS!$B:$B,0)+COLUMN(I$1),1))</f>
        <v>粘液防御</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1957</v>
      </c>
      <c r="B295" s="91"/>
      <c r="C295" s="79"/>
      <c r="D295" s="92" t="str">
        <f t="shared" si="17"/>
        <v>580/405/175</v>
      </c>
      <c r="E295" s="93">
        <v>1.0</v>
      </c>
      <c r="F295" s="90">
        <v>120.0</v>
      </c>
      <c r="G295" s="79"/>
      <c r="H295" s="79"/>
      <c r="I295" s="90">
        <v>85.0</v>
      </c>
      <c r="J295" s="90">
        <v>10.0</v>
      </c>
      <c r="K295" s="94">
        <v>50.0</v>
      </c>
      <c r="L295" s="90">
        <v>20.0</v>
      </c>
      <c r="M295" s="90">
        <v>55.0</v>
      </c>
      <c r="N295" s="90">
        <v>65.0</v>
      </c>
      <c r="O295" s="90">
        <v>120.0</v>
      </c>
      <c r="P295" s="90">
        <v>-50.0</v>
      </c>
      <c r="Q295" s="100">
        <v>20.0</v>
      </c>
      <c r="R295" s="100">
        <v>10.0</v>
      </c>
      <c r="S295" s="100">
        <v>15.0</v>
      </c>
      <c r="T295" s="100">
        <v>30.0</v>
      </c>
      <c r="U295" s="100">
        <v>30.0</v>
      </c>
      <c r="V295" s="100">
        <v>-10.0</v>
      </c>
      <c r="W295" s="82"/>
      <c r="X295" s="82"/>
      <c r="Y295" s="82"/>
      <c r="Z295" s="100">
        <v>75.0</v>
      </c>
      <c r="AA295" s="82"/>
      <c r="AB295" s="79"/>
      <c r="AC295" s="90">
        <v>50.0</v>
      </c>
      <c r="AD295" s="90">
        <v>25.0</v>
      </c>
      <c r="AE295" s="90">
        <v>75.0</v>
      </c>
      <c r="AF295" s="90">
        <v>35.0</v>
      </c>
      <c r="AG295" s="90">
        <v>50.0</v>
      </c>
      <c r="AH295" s="90">
        <v>25.0</v>
      </c>
      <c r="AI295" s="90">
        <v>25.0</v>
      </c>
      <c r="AJ295" s="90">
        <v>0.0</v>
      </c>
      <c r="AK295" s="90">
        <v>75.0</v>
      </c>
      <c r="AL295" s="90">
        <v>25.0</v>
      </c>
      <c r="AM295" s="90">
        <v>25.0</v>
      </c>
      <c r="AN295" s="90">
        <v>0.0</v>
      </c>
      <c r="AO295" s="90">
        <v>0.0</v>
      </c>
      <c r="AP295" s="90">
        <v>0.0</v>
      </c>
      <c r="AQ295" s="90">
        <v>50.0</v>
      </c>
      <c r="AR295" s="90">
        <v>0.0</v>
      </c>
      <c r="AS295" s="90">
        <v>0.0</v>
      </c>
      <c r="AT295" s="90">
        <v>0.0</v>
      </c>
      <c r="AU295" s="90">
        <v>0.0</v>
      </c>
      <c r="AV295" s="90">
        <v>0.0</v>
      </c>
      <c r="AW295" s="90">
        <v>0.0</v>
      </c>
      <c r="AX295" s="90">
        <v>0.0</v>
      </c>
      <c r="AY295" s="90">
        <v>0.0</v>
      </c>
      <c r="AZ295" s="90">
        <v>0.0</v>
      </c>
      <c r="BA295" s="90">
        <v>0.0</v>
      </c>
      <c r="BB295" s="90">
        <v>0.0</v>
      </c>
      <c r="BC295" s="90">
        <v>0.0</v>
      </c>
      <c r="BD295" s="90">
        <v>0.0</v>
      </c>
      <c r="BE295" s="90">
        <v>0.0</v>
      </c>
      <c r="BF295" s="90">
        <v>0.0</v>
      </c>
      <c r="BG295" s="79" t="str">
        <f t="array" ref="BG295">IF($A295="","", INDEX(CS!$B$1:$B$15025,MATCH($A295,CS!$B:$B,0)+COLUMN(A$1),1))</f>
        <v>触手乱打</v>
      </c>
      <c r="BH295" s="79" t="str">
        <f t="array" ref="BH295">IF($A295="","", INDEX(CS!$B$1:$B$15025,MATCH($A295,CS!$B:$B,0)+COLUMN(B$1),1))</f>
        <v>触手拘束</v>
      </c>
      <c r="BI295" s="79" t="str">
        <f t="array" ref="BI295">IF($A295="","", INDEX(CS!$B$1:$B$15025,MATCH($A295,CS!$B:$B,0)+COLUMN(C$1),1))</f>
        <v>異形の触手</v>
      </c>
      <c r="BJ295" s="79" t="str">
        <f t="array" ref="BJ295">IF($A295="","", INDEX(CS!$B$1:$B$15025,MATCH($A295,CS!$B:$B,0)+COLUMN(D$1),1))</f>
        <v>軟体</v>
      </c>
      <c r="BK295" s="79" t="str">
        <f t="array" ref="BK295">IF($A295="","", INDEX(CS!$B$1:$B$15025,MATCH($A295,CS!$B:$B,0)+COLUMN(E$1),1))</f>
        <v/>
      </c>
      <c r="BL295" s="79" t="str">
        <f t="array" ref="BL295">IF($A295="","", INDEX(CS!$B$1:$B$15025,MATCH($A295,CS!$B:$B,0)+COLUMN(F$1),1))</f>
        <v>粘液噴射</v>
      </c>
      <c r="BM295" s="79" t="str">
        <f t="array" ref="BM295">IF($A295="","", INDEX(CS!$B$1:$B$15025,MATCH($A295,CS!$B:$B,0)+COLUMN(G$1),1))</f>
        <v/>
      </c>
      <c r="BN295" s="79" t="str">
        <f t="array" ref="BN295">IF($A295="","", INDEX(CS!$B$1:$B$15025,MATCH($A295,CS!$B:$B,0)+COLUMN(H$1),1))</f>
        <v>粘液防御</v>
      </c>
      <c r="BO295" s="79" t="str">
        <f t="array" ref="BO295">IF($A295="","", INDEX(CS!$B$1:$B$15025,MATCH($A295,CS!$B:$B,0)+COLUMN(I$1),1))</f>
        <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c r="A296" s="79"/>
      <c r="B296" s="95"/>
      <c r="C296" s="79"/>
      <c r="D296" s="98"/>
      <c r="E296" s="99"/>
      <c r="F296" s="79"/>
      <c r="G296" s="79"/>
      <c r="H296" s="79"/>
      <c r="I296" s="79"/>
      <c r="J296" s="79"/>
      <c r="K296" s="81"/>
      <c r="L296" s="79"/>
      <c r="M296" s="79"/>
      <c r="N296" s="79"/>
      <c r="O296" s="79"/>
      <c r="P296" s="79" t="s">
        <v>29</v>
      </c>
      <c r="Q296" s="82"/>
      <c r="R296" s="82"/>
      <c r="S296" s="82"/>
      <c r="T296" s="82"/>
      <c r="U296" s="82"/>
      <c r="V296" s="82"/>
      <c r="W296" s="82"/>
      <c r="X296" s="82"/>
      <c r="Y296" s="82"/>
      <c r="Z296" s="82"/>
      <c r="AA296" s="82"/>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t="str">
        <f t="array" ref="BG296">IF($A296="","", INDEX(CS!$B$1:$B$15025,MATCH($A296,CS!$B:$B,0)+COLUMN(A$1),1))</f>
        <v/>
      </c>
      <c r="BH296" s="79" t="str">
        <f t="array" ref="BH296">IF($A296="","", INDEX(CS!$B$1:$B$15025,MATCH($A296,CS!$B:$B,0)+COLUMN(B$1),1))</f>
        <v/>
      </c>
      <c r="BI296" s="79" t="str">
        <f t="array" ref="BI296">IF($A296="","", INDEX(CS!$B$1:$B$15025,MATCH($A296,CS!$B:$B,0)+COLUMN(C$1),1))</f>
        <v/>
      </c>
      <c r="BJ296" s="79" t="str">
        <f t="array" ref="BJ296">IF($A296="","", INDEX(CS!$B$1:$B$15025,MATCH($A296,CS!$B:$B,0)+COLUMN(D$1),1))</f>
        <v/>
      </c>
      <c r="BK296" s="79" t="str">
        <f t="array" ref="BK296">IF($A296="","", INDEX(CS!$B$1:$B$15025,MATCH($A296,CS!$B:$B,0)+COLUMN(E$1),1))</f>
        <v/>
      </c>
      <c r="BL296" s="79" t="str">
        <f t="array" ref="BL296">IF($A296="","", INDEX(CS!$B$1:$B$15025,MATCH($A296,CS!$B:$B,0)+COLUMN(F$1),1))</f>
        <v/>
      </c>
      <c r="BM296" s="79" t="str">
        <f t="array" ref="BM296">IF($A296="","", INDEX(CS!$B$1:$B$15025,MATCH($A296,CS!$B:$B,0)+COLUMN(G$1),1))</f>
        <v/>
      </c>
      <c r="BN296" s="79" t="str">
        <f t="array" ref="BN296">IF($A296="","", INDEX(CS!$B$1:$B$15025,MATCH($A296,CS!$B:$B,0)+COLUMN(H$1),1))</f>
        <v/>
      </c>
      <c r="BO296" s="79" t="str">
        <f t="array" ref="BO296">IF($A296="","", INDEX(CS!$B$1:$B$15025,MATCH($A296,CS!$B:$B,0)+COLUMN(I$1),1))</f>
        <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c r="A297" s="79"/>
      <c r="B297" s="95" t="s">
        <v>2911</v>
      </c>
      <c r="C297" s="79"/>
      <c r="D297" s="98" t="str">
        <f t="shared" ref="D297:D451" si="18">SUM(AJ297:AZ297,F297:N297)&amp;"/"&amp;SUM(F297:N297)&amp;"/"&amp;SUM(AJ297:AZ297)</f>
        <v>0/0/0</v>
      </c>
      <c r="E297" s="99">
        <v>1.0</v>
      </c>
      <c r="F297" s="79"/>
      <c r="G297" s="79"/>
      <c r="H297" s="79"/>
      <c r="I297" s="79"/>
      <c r="J297" s="79"/>
      <c r="K297" s="81"/>
      <c r="L297" s="79"/>
      <c r="M297" s="79"/>
      <c r="N297" s="79"/>
      <c r="O297" s="79"/>
      <c r="P297" s="79" t="s">
        <v>29</v>
      </c>
      <c r="Q297" s="82"/>
      <c r="R297" s="82"/>
      <c r="S297" s="82"/>
      <c r="T297" s="82"/>
      <c r="U297" s="82"/>
      <c r="V297" s="82"/>
      <c r="W297" s="82"/>
      <c r="X297" s="82"/>
      <c r="Y297" s="82"/>
      <c r="Z297" s="82"/>
      <c r="AA297" s="82"/>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t="str">
        <f t="array" ref="BG297">IF($A297="","", INDEX(CS!$B$1:$B$15025,MATCH($A297,CS!$B:$B,0)+COLUMN(A$1),1))</f>
        <v/>
      </c>
      <c r="BH297" s="79" t="str">
        <f t="array" ref="BH297">IF($A297="","", INDEX(CS!$B$1:$B$15025,MATCH($A297,CS!$B:$B,0)+COLUMN(B$1),1))</f>
        <v/>
      </c>
      <c r="BI297" s="79" t="str">
        <f t="array" ref="BI297">IF($A297="","", INDEX(CS!$B$1:$B$15025,MATCH($A297,CS!$B:$B,0)+COLUMN(C$1),1))</f>
        <v/>
      </c>
      <c r="BJ297" s="79" t="str">
        <f t="array" ref="BJ297">IF($A297="","", INDEX(CS!$B$1:$B$15025,MATCH($A297,CS!$B:$B,0)+COLUMN(D$1),1))</f>
        <v/>
      </c>
      <c r="BK297" s="79" t="str">
        <f t="array" ref="BK297">IF($A297="","", INDEX(CS!$B$1:$B$15025,MATCH($A297,CS!$B:$B,0)+COLUMN(E$1),1))</f>
        <v/>
      </c>
      <c r="BL297" s="79" t="str">
        <f t="array" ref="BL297">IF($A297="","", INDEX(CS!$B$1:$B$15025,MATCH($A297,CS!$B:$B,0)+COLUMN(F$1),1))</f>
        <v/>
      </c>
      <c r="BM297" s="79" t="str">
        <f t="array" ref="BM297">IF($A297="","", INDEX(CS!$B$1:$B$15025,MATCH($A297,CS!$B:$B,0)+COLUMN(G$1),1))</f>
        <v/>
      </c>
      <c r="BN297" s="79" t="str">
        <f t="array" ref="BN297">IF($A297="","", INDEX(CS!$B$1:$B$15025,MATCH($A297,CS!$B:$B,0)+COLUMN(H$1),1))</f>
        <v/>
      </c>
      <c r="BO297" s="79" t="str">
        <f t="array" ref="BO297">IF($A297="","", INDEX(CS!$B$1:$B$15025,MATCH($A297,CS!$B:$B,0)+COLUMN(I$1),1))</f>
        <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1965</v>
      </c>
      <c r="B298" s="91"/>
      <c r="C298" s="79"/>
      <c r="D298" s="92" t="str">
        <f t="shared" si="18"/>
        <v>320/320/0</v>
      </c>
      <c r="E298" s="93">
        <v>1.0</v>
      </c>
      <c r="F298" s="90">
        <v>110.0</v>
      </c>
      <c r="G298" s="79"/>
      <c r="H298" s="79"/>
      <c r="I298" s="90">
        <v>85.0</v>
      </c>
      <c r="J298" s="90">
        <v>15.0</v>
      </c>
      <c r="K298" s="94">
        <v>0.0</v>
      </c>
      <c r="L298" s="90">
        <v>0.0</v>
      </c>
      <c r="M298" s="90">
        <v>45.0</v>
      </c>
      <c r="N298" s="90">
        <v>65.0</v>
      </c>
      <c r="O298" s="90">
        <v>230.0</v>
      </c>
      <c r="P298" s="90">
        <v>0.0</v>
      </c>
      <c r="Q298" s="100">
        <v>10.0</v>
      </c>
      <c r="R298" s="82"/>
      <c r="S298" s="82"/>
      <c r="T298" s="100">
        <v>-15.0</v>
      </c>
      <c r="U298" s="100">
        <v>10.0</v>
      </c>
      <c r="V298" s="100">
        <v>10.0</v>
      </c>
      <c r="W298" s="100">
        <v>-45.0</v>
      </c>
      <c r="X298" s="82"/>
      <c r="Y298" s="82"/>
      <c r="Z298" s="100">
        <v>100.0</v>
      </c>
      <c r="AA298" s="82"/>
      <c r="AB298" s="79"/>
      <c r="AC298" s="90">
        <v>100.0</v>
      </c>
      <c r="AD298" s="90">
        <v>50.0</v>
      </c>
      <c r="AE298" s="90">
        <v>100.0</v>
      </c>
      <c r="AF298" s="90">
        <v>25.0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樹皮</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90" t="s">
        <v>1974</v>
      </c>
      <c r="B299" s="91"/>
      <c r="C299" s="79"/>
      <c r="D299" s="92" t="str">
        <f t="shared" si="18"/>
        <v>320/320/0</v>
      </c>
      <c r="E299" s="93">
        <v>1.0</v>
      </c>
      <c r="F299" s="90">
        <v>125.0</v>
      </c>
      <c r="G299" s="79"/>
      <c r="H299" s="79"/>
      <c r="I299" s="90">
        <v>90.0</v>
      </c>
      <c r="J299" s="90">
        <v>10.0</v>
      </c>
      <c r="K299" s="94">
        <v>0.0</v>
      </c>
      <c r="L299" s="90">
        <v>0.0</v>
      </c>
      <c r="M299" s="90">
        <v>35.0</v>
      </c>
      <c r="N299" s="90">
        <v>60.0</v>
      </c>
      <c r="O299" s="90">
        <v>260.0</v>
      </c>
      <c r="P299" s="90">
        <v>0.0</v>
      </c>
      <c r="Q299" s="100">
        <v>15.0</v>
      </c>
      <c r="R299" s="82"/>
      <c r="S299" s="100">
        <v>10.0</v>
      </c>
      <c r="T299" s="100">
        <v>20.0</v>
      </c>
      <c r="U299" s="100">
        <v>20.0</v>
      </c>
      <c r="V299" s="100">
        <v>-15.0</v>
      </c>
      <c r="W299" s="82"/>
      <c r="X299" s="82"/>
      <c r="Y299" s="82"/>
      <c r="Z299" s="100">
        <v>100.0</v>
      </c>
      <c r="AA299" s="82"/>
      <c r="AB299" s="79"/>
      <c r="AC299" s="90">
        <v>100.0</v>
      </c>
      <c r="AD299" s="90">
        <v>60.0</v>
      </c>
      <c r="AE299" s="90">
        <v>100.0</v>
      </c>
      <c r="AF299" s="90">
        <v>30.0</v>
      </c>
      <c r="AG299" s="90">
        <v>100.0</v>
      </c>
      <c r="AH299" s="90">
        <v>30.0</v>
      </c>
      <c r="AI299" s="90">
        <v>30.0</v>
      </c>
      <c r="AJ299" s="90">
        <v>0.0</v>
      </c>
      <c r="AK299" s="90">
        <v>0.0</v>
      </c>
      <c r="AL299" s="90">
        <v>0.0</v>
      </c>
      <c r="AM299" s="90">
        <v>0.0</v>
      </c>
      <c r="AN299" s="90">
        <v>0.0</v>
      </c>
      <c r="AO299" s="90">
        <v>0.0</v>
      </c>
      <c r="AP299" s="90">
        <v>0.0</v>
      </c>
      <c r="AQ299" s="90">
        <v>0.0</v>
      </c>
      <c r="AR299" s="90">
        <v>0.0</v>
      </c>
      <c r="AS299" s="90">
        <v>0.0</v>
      </c>
      <c r="AT299" s="90">
        <v>0.0</v>
      </c>
      <c r="AU299" s="90">
        <v>0.0</v>
      </c>
      <c r="AV299" s="90">
        <v>0.0</v>
      </c>
      <c r="AW299" s="90">
        <v>0.0</v>
      </c>
      <c r="AX299" s="90">
        <v>0.0</v>
      </c>
      <c r="AY299" s="90">
        <v>0.0</v>
      </c>
      <c r="AZ299" s="90">
        <v>0.0</v>
      </c>
      <c r="BA299" s="79"/>
      <c r="BB299" s="79"/>
      <c r="BC299" s="79"/>
      <c r="BD299" s="79"/>
      <c r="BE299" s="79"/>
      <c r="BF299" s="79"/>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軟体</v>
      </c>
      <c r="BP299" s="79" t="str">
        <f t="array" ref="BP299">IF($A299="","", INDEX(CS!$B$1:$B$15025,MATCH($A299,CS!$B:$B,0)+COLUMN(J$1),1))</f>
        <v/>
      </c>
      <c r="BQ299" s="79"/>
      <c r="BR299" s="79"/>
      <c r="BS299" s="83"/>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row>
    <row r="300" ht="18.75" customHeight="1" outlineLevel="1">
      <c r="A300" s="90" t="s">
        <v>1975</v>
      </c>
      <c r="B300" s="91"/>
      <c r="C300" s="79"/>
      <c r="D300" s="92" t="str">
        <f t="shared" si="18"/>
        <v>340/340/0</v>
      </c>
      <c r="E300" s="93">
        <v>1.0</v>
      </c>
      <c r="F300" s="90">
        <v>140.0</v>
      </c>
      <c r="G300" s="79"/>
      <c r="H300" s="79"/>
      <c r="I300" s="90">
        <v>100.0</v>
      </c>
      <c r="J300" s="90">
        <v>10.0</v>
      </c>
      <c r="K300" s="94">
        <v>0.0</v>
      </c>
      <c r="L300" s="90">
        <v>0.0</v>
      </c>
      <c r="M300" s="90">
        <v>30.0</v>
      </c>
      <c r="N300" s="90">
        <v>60.0</v>
      </c>
      <c r="O300" s="90">
        <v>300.0</v>
      </c>
      <c r="P300" s="90">
        <v>0.0</v>
      </c>
      <c r="Q300" s="100">
        <v>25.0</v>
      </c>
      <c r="R300" s="82"/>
      <c r="S300" s="100">
        <v>20.0</v>
      </c>
      <c r="T300" s="100">
        <v>30.0</v>
      </c>
      <c r="U300" s="100">
        <v>30.0</v>
      </c>
      <c r="V300" s="100">
        <v>10.0</v>
      </c>
      <c r="W300" s="82"/>
      <c r="X300" s="82"/>
      <c r="Y300" s="82"/>
      <c r="Z300" s="100">
        <v>100.0</v>
      </c>
      <c r="AA300" s="82"/>
      <c r="AB300" s="79"/>
      <c r="AC300" s="90">
        <v>100.0</v>
      </c>
      <c r="AD300" s="90">
        <v>75.0</v>
      </c>
      <c r="AE300" s="90">
        <v>100.0</v>
      </c>
      <c r="AF300" s="90">
        <v>40.0</v>
      </c>
      <c r="AG300" s="90">
        <v>100.0</v>
      </c>
      <c r="AH300" s="90">
        <v>35.0</v>
      </c>
      <c r="AI300" s="90">
        <v>35.0</v>
      </c>
      <c r="AJ300" s="90">
        <v>0.0</v>
      </c>
      <c r="AK300" s="90">
        <v>0.0</v>
      </c>
      <c r="AL300" s="90">
        <v>0.0</v>
      </c>
      <c r="AM300" s="90">
        <v>0.0</v>
      </c>
      <c r="AN300" s="90">
        <v>0.0</v>
      </c>
      <c r="AO300" s="90">
        <v>0.0</v>
      </c>
      <c r="AP300" s="90">
        <v>0.0</v>
      </c>
      <c r="AQ300" s="90">
        <v>0.0</v>
      </c>
      <c r="AR300" s="90">
        <v>0.0</v>
      </c>
      <c r="AS300" s="90">
        <v>0.0</v>
      </c>
      <c r="AT300" s="90">
        <v>0.0</v>
      </c>
      <c r="AU300" s="90">
        <v>0.0</v>
      </c>
      <c r="AV300" s="90">
        <v>0.0</v>
      </c>
      <c r="AW300" s="90">
        <v>0.0</v>
      </c>
      <c r="AX300" s="90">
        <v>0.0</v>
      </c>
      <c r="AY300" s="90">
        <v>0.0</v>
      </c>
      <c r="AZ300" s="90">
        <v>0.0</v>
      </c>
      <c r="BA300" s="79"/>
      <c r="BB300" s="79"/>
      <c r="BC300" s="79"/>
      <c r="BD300" s="79"/>
      <c r="BE300" s="79"/>
      <c r="BF300" s="79"/>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石の体</v>
      </c>
      <c r="BP300" s="79" t="str">
        <f t="array" ref="BP300">IF($A300="","", INDEX(CS!$B$1:$B$15025,MATCH($A300,CS!$B:$B,0)+COLUMN(J$1),1))</f>
        <v/>
      </c>
      <c r="BQ300" s="79"/>
      <c r="BR300" s="79"/>
      <c r="BS300" s="83"/>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row>
    <row r="301" ht="18.75" customHeight="1" outlineLevel="1">
      <c r="A301" s="90" t="s">
        <v>1976</v>
      </c>
      <c r="B301" s="91"/>
      <c r="C301" s="79"/>
      <c r="D301" s="92" t="str">
        <f t="shared" si="18"/>
        <v>370/370/0</v>
      </c>
      <c r="E301" s="93">
        <v>1.0</v>
      </c>
      <c r="F301" s="90">
        <v>155.0</v>
      </c>
      <c r="G301" s="79"/>
      <c r="H301" s="79"/>
      <c r="I301" s="90">
        <v>110.0</v>
      </c>
      <c r="J301" s="90">
        <v>15.0</v>
      </c>
      <c r="K301" s="94">
        <v>0.0</v>
      </c>
      <c r="L301" s="90">
        <v>0.0</v>
      </c>
      <c r="M301" s="90">
        <v>25.0</v>
      </c>
      <c r="N301" s="90">
        <v>65.0</v>
      </c>
      <c r="O301" s="90">
        <v>300.0</v>
      </c>
      <c r="P301" s="90">
        <v>0.0</v>
      </c>
      <c r="Q301" s="100">
        <v>30.0</v>
      </c>
      <c r="R301" s="82"/>
      <c r="S301" s="100">
        <v>25.0</v>
      </c>
      <c r="T301" s="100">
        <v>35.0</v>
      </c>
      <c r="U301" s="100">
        <v>35.0</v>
      </c>
      <c r="V301" s="100">
        <v>20.0</v>
      </c>
      <c r="W301" s="100">
        <v>10.0</v>
      </c>
      <c r="X301" s="82"/>
      <c r="Y301" s="100">
        <v>-30.0</v>
      </c>
      <c r="Z301" s="100">
        <v>100.0</v>
      </c>
      <c r="AA301" s="82"/>
      <c r="AB301" s="79"/>
      <c r="AC301" s="90">
        <v>100.0</v>
      </c>
      <c r="AD301" s="90">
        <v>80.0</v>
      </c>
      <c r="AE301" s="90">
        <v>100.0</v>
      </c>
      <c r="AF301" s="90">
        <v>45.0</v>
      </c>
      <c r="AG301" s="90">
        <v>100.0</v>
      </c>
      <c r="AH301" s="90">
        <v>40.0</v>
      </c>
      <c r="AI301" s="90">
        <v>40.0</v>
      </c>
      <c r="AJ301" s="90">
        <v>0.0</v>
      </c>
      <c r="AK301" s="90">
        <v>0.0</v>
      </c>
      <c r="AL301" s="90">
        <v>0.0</v>
      </c>
      <c r="AM301" s="90">
        <v>0.0</v>
      </c>
      <c r="AN301" s="90">
        <v>0.0</v>
      </c>
      <c r="AO301" s="90">
        <v>0.0</v>
      </c>
      <c r="AP301" s="90">
        <v>0.0</v>
      </c>
      <c r="AQ301" s="90">
        <v>0.0</v>
      </c>
      <c r="AR301" s="90">
        <v>0.0</v>
      </c>
      <c r="AS301" s="90">
        <v>0.0</v>
      </c>
      <c r="AT301" s="90">
        <v>0.0</v>
      </c>
      <c r="AU301" s="90">
        <v>0.0</v>
      </c>
      <c r="AV301" s="90">
        <v>0.0</v>
      </c>
      <c r="AW301" s="90">
        <v>0.0</v>
      </c>
      <c r="AX301" s="90">
        <v>0.0</v>
      </c>
      <c r="AY301" s="90">
        <v>0.0</v>
      </c>
      <c r="AZ301" s="90">
        <v>0.0</v>
      </c>
      <c r="BA301" s="79"/>
      <c r="BB301" s="79"/>
      <c r="BC301" s="79"/>
      <c r="BD301" s="79"/>
      <c r="BE301" s="79"/>
      <c r="BF301" s="79"/>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外皮</v>
      </c>
      <c r="BP301" s="79" t="str">
        <f t="array" ref="BP301">IF($A301="","", INDEX(CS!$B$1:$B$15025,MATCH($A301,CS!$B:$B,0)+COLUMN(J$1),1))</f>
        <v/>
      </c>
      <c r="BQ301" s="79"/>
      <c r="BR301" s="79"/>
      <c r="BS301" s="83"/>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row>
    <row r="302" ht="18.75" customHeight="1" outlineLevel="1">
      <c r="A302" s="90" t="s">
        <v>1977</v>
      </c>
      <c r="B302" s="91"/>
      <c r="C302" s="79"/>
      <c r="D302" s="92" t="str">
        <f t="shared" si="18"/>
        <v>360/360/0</v>
      </c>
      <c r="E302" s="93">
        <v>1.0</v>
      </c>
      <c r="F302" s="90">
        <v>120.0</v>
      </c>
      <c r="G302" s="79"/>
      <c r="H302" s="79"/>
      <c r="I302" s="90">
        <v>95.0</v>
      </c>
      <c r="J302" s="90">
        <v>20.0</v>
      </c>
      <c r="K302" s="94">
        <v>0.0</v>
      </c>
      <c r="L302" s="90">
        <v>10.0</v>
      </c>
      <c r="M302" s="90">
        <v>50.0</v>
      </c>
      <c r="N302" s="90">
        <v>65.0</v>
      </c>
      <c r="O302" s="90">
        <v>260.0</v>
      </c>
      <c r="P302" s="90">
        <v>0.0</v>
      </c>
      <c r="Q302" s="100">
        <v>10.0</v>
      </c>
      <c r="R302" s="82"/>
      <c r="S302" s="82"/>
      <c r="T302" s="100">
        <v>5.0</v>
      </c>
      <c r="U302" s="100">
        <v>5.0</v>
      </c>
      <c r="V302" s="100">
        <v>5.0</v>
      </c>
      <c r="W302" s="100">
        <v>-30.0</v>
      </c>
      <c r="X302" s="82"/>
      <c r="Y302" s="82"/>
      <c r="Z302" s="100">
        <v>50.0</v>
      </c>
      <c r="AA302" s="82"/>
      <c r="AB302" s="79"/>
      <c r="AC302" s="90">
        <v>100.0</v>
      </c>
      <c r="AD302" s="90">
        <v>35.0</v>
      </c>
      <c r="AE302" s="90">
        <v>25.0</v>
      </c>
      <c r="AF302" s="90">
        <v>20.0</v>
      </c>
      <c r="AG302" s="90">
        <v>100.0</v>
      </c>
      <c r="AH302" s="90">
        <v>15.0</v>
      </c>
      <c r="AI302" s="90">
        <v>15.0</v>
      </c>
      <c r="AJ302" s="90">
        <v>0.0</v>
      </c>
      <c r="AK302" s="90">
        <v>0.0</v>
      </c>
      <c r="AL302" s="90">
        <v>0.0</v>
      </c>
      <c r="AM302" s="90">
        <v>0.0</v>
      </c>
      <c r="AN302" s="90">
        <v>0.0</v>
      </c>
      <c r="AO302" s="90">
        <v>0.0</v>
      </c>
      <c r="AP302" s="90">
        <v>0.0</v>
      </c>
      <c r="AQ302" s="90">
        <v>0.0</v>
      </c>
      <c r="AR302" s="90">
        <v>0.0</v>
      </c>
      <c r="AS302" s="90">
        <v>0.0</v>
      </c>
      <c r="AT302" s="90">
        <v>0.0</v>
      </c>
      <c r="AU302" s="90">
        <v>0.0</v>
      </c>
      <c r="AV302" s="90">
        <v>0.0</v>
      </c>
      <c r="AW302" s="90">
        <v>0.0</v>
      </c>
      <c r="AX302" s="90">
        <v>0.0</v>
      </c>
      <c r="AY302" s="90">
        <v>0.0</v>
      </c>
      <c r="AZ302" s="90">
        <v>0.0</v>
      </c>
      <c r="BA302" s="79"/>
      <c r="BB302" s="79"/>
      <c r="BC302" s="79"/>
      <c r="BD302" s="79"/>
      <c r="BE302" s="79"/>
      <c r="BF302" s="79"/>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屍者の肉体</v>
      </c>
      <c r="BP302" s="79" t="str">
        <f t="array" ref="BP302">IF($A302="","", INDEX(CS!$B$1:$B$15025,MATCH($A302,CS!$B:$B,0)+COLUMN(J$1),1))</f>
        <v/>
      </c>
      <c r="BQ302" s="79"/>
      <c r="BR302" s="79"/>
      <c r="BS302" s="83"/>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row>
    <row r="303" ht="18.75" customHeight="1" outlineLevel="1">
      <c r="A303" s="90" t="s">
        <v>1978</v>
      </c>
      <c r="B303" s="91"/>
      <c r="C303" s="79"/>
      <c r="D303" s="92" t="str">
        <f t="shared" si="18"/>
        <v>340/340/0</v>
      </c>
      <c r="E303" s="93">
        <v>1.0</v>
      </c>
      <c r="F303" s="90">
        <v>100.0</v>
      </c>
      <c r="G303" s="79"/>
      <c r="H303" s="79"/>
      <c r="I303" s="90">
        <v>90.0</v>
      </c>
      <c r="J303" s="90">
        <v>20.0</v>
      </c>
      <c r="K303" s="94">
        <v>0.0</v>
      </c>
      <c r="L303" s="90">
        <v>0.0</v>
      </c>
      <c r="M303" s="90">
        <v>60.0</v>
      </c>
      <c r="N303" s="90">
        <v>70.0</v>
      </c>
      <c r="O303" s="90">
        <v>220.0</v>
      </c>
      <c r="P303" s="90">
        <v>0.0</v>
      </c>
      <c r="Q303" s="100">
        <v>15.0</v>
      </c>
      <c r="R303" s="82"/>
      <c r="S303" s="82"/>
      <c r="T303" s="100">
        <v>15.0</v>
      </c>
      <c r="U303" s="100">
        <v>30.0</v>
      </c>
      <c r="V303" s="100">
        <v>-30.0</v>
      </c>
      <c r="W303" s="82"/>
      <c r="X303" s="82"/>
      <c r="Y303" s="82"/>
      <c r="Z303" s="100">
        <v>100.0</v>
      </c>
      <c r="AA303" s="82"/>
      <c r="AB303" s="79"/>
      <c r="AC303" s="90">
        <v>100.0</v>
      </c>
      <c r="AD303" s="90">
        <v>50.0</v>
      </c>
      <c r="AE303" s="90">
        <v>100.0</v>
      </c>
      <c r="AF303" s="90">
        <v>20.0</v>
      </c>
      <c r="AG303" s="90">
        <v>100.0</v>
      </c>
      <c r="AH303" s="90">
        <v>25.0</v>
      </c>
      <c r="AI303" s="90">
        <v>25.0</v>
      </c>
      <c r="AJ303" s="90">
        <v>0.0</v>
      </c>
      <c r="AK303" s="90">
        <v>0.0</v>
      </c>
      <c r="AL303" s="90">
        <v>0.0</v>
      </c>
      <c r="AM303" s="90">
        <v>0.0</v>
      </c>
      <c r="AN303" s="90">
        <v>0.0</v>
      </c>
      <c r="AO303" s="90">
        <v>0.0</v>
      </c>
      <c r="AP303" s="90">
        <v>0.0</v>
      </c>
      <c r="AQ303" s="90">
        <v>0.0</v>
      </c>
      <c r="AR303" s="90">
        <v>0.0</v>
      </c>
      <c r="AS303" s="90">
        <v>0.0</v>
      </c>
      <c r="AT303" s="90">
        <v>0.0</v>
      </c>
      <c r="AU303" s="90">
        <v>0.0</v>
      </c>
      <c r="AV303" s="90">
        <v>0.0</v>
      </c>
      <c r="AW303" s="90">
        <v>0.0</v>
      </c>
      <c r="AX303" s="90">
        <v>0.0</v>
      </c>
      <c r="AY303" s="90">
        <v>0.0</v>
      </c>
      <c r="AZ303" s="90">
        <v>0.0</v>
      </c>
      <c r="BA303" s="79"/>
      <c r="BB303" s="79"/>
      <c r="BC303" s="79"/>
      <c r="BD303" s="79"/>
      <c r="BE303" s="79"/>
      <c r="BF303" s="79"/>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骨の身体</v>
      </c>
      <c r="BP303" s="79" t="str">
        <f t="array" ref="BP303">IF($A303="","", INDEX(CS!$B$1:$B$15025,MATCH($A303,CS!$B:$B,0)+COLUMN(J$1),1))</f>
        <v/>
      </c>
      <c r="BQ303" s="79"/>
      <c r="BR303" s="79"/>
      <c r="BS303" s="83"/>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row>
    <row r="304" ht="18.75" customHeight="1" outlineLevel="1">
      <c r="A304" s="39" t="s">
        <v>1979</v>
      </c>
      <c r="B304" s="71"/>
      <c r="D304" s="101" t="str">
        <f t="shared" si="18"/>
        <v>370/370/0</v>
      </c>
      <c r="E304" s="39">
        <v>1.0</v>
      </c>
      <c r="F304" s="39">
        <v>120.0</v>
      </c>
      <c r="I304" s="39">
        <v>85.0</v>
      </c>
      <c r="J304" s="39">
        <v>15.0</v>
      </c>
      <c r="K304" s="87">
        <v>35.0</v>
      </c>
      <c r="L304" s="39">
        <v>0.0</v>
      </c>
      <c r="M304" s="39">
        <v>50.0</v>
      </c>
      <c r="N304" s="39">
        <v>65.0</v>
      </c>
      <c r="O304" s="39">
        <v>240.0</v>
      </c>
      <c r="P304" s="37">
        <v>0.0</v>
      </c>
      <c r="Q304" s="102">
        <v>20.0</v>
      </c>
      <c r="R304" s="102">
        <v>25.0</v>
      </c>
      <c r="S304" s="102">
        <v>20.0</v>
      </c>
      <c r="T304" s="102">
        <v>30.0</v>
      </c>
      <c r="U304" s="102">
        <v>25.0</v>
      </c>
      <c r="V304" s="102">
        <v>-30.0</v>
      </c>
      <c r="W304" s="64"/>
      <c r="X304" s="64"/>
      <c r="Y304" s="102">
        <v>10.0</v>
      </c>
      <c r="Z304" s="102">
        <v>100.0</v>
      </c>
      <c r="AA304" s="64"/>
      <c r="AC304" s="39">
        <v>100.0</v>
      </c>
      <c r="AD304" s="39">
        <v>60.0</v>
      </c>
      <c r="AE304" s="39">
        <v>100.0</v>
      </c>
      <c r="AF304" s="39">
        <v>30.0</v>
      </c>
      <c r="AG304" s="39">
        <v>100.0</v>
      </c>
      <c r="AH304" s="39">
        <v>35.0</v>
      </c>
      <c r="AI304" s="39">
        <v>30.0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結晶突起</v>
      </c>
      <c r="BP304" s="79" t="str">
        <f t="array" ref="BP304">IF($A304="","", INDEX(CS!$B$1:$B$15025,MATCH($A304,CS!$B:$B,0)+COLUMN(J$1),1))</f>
        <v/>
      </c>
      <c r="BS304" s="74"/>
    </row>
    <row r="305" ht="18.75" customHeight="1" outlineLevel="1">
      <c r="A305" s="39" t="s">
        <v>1980</v>
      </c>
      <c r="B305" s="85"/>
      <c r="D305" s="101" t="str">
        <f t="shared" si="18"/>
        <v>370/370/0</v>
      </c>
      <c r="E305" s="39">
        <v>1.0</v>
      </c>
      <c r="F305" s="39">
        <v>130.0</v>
      </c>
      <c r="I305" s="39">
        <v>95.0</v>
      </c>
      <c r="J305" s="39">
        <v>10.0</v>
      </c>
      <c r="K305" s="87">
        <v>40.0</v>
      </c>
      <c r="L305" s="39">
        <v>0.0</v>
      </c>
      <c r="M305" s="39">
        <v>35.0</v>
      </c>
      <c r="N305" s="39">
        <v>60.0</v>
      </c>
      <c r="O305" s="39">
        <v>260.0</v>
      </c>
      <c r="P305" s="37">
        <v>0.0</v>
      </c>
      <c r="Q305" s="102">
        <v>20.0</v>
      </c>
      <c r="R305" s="64"/>
      <c r="S305" s="102">
        <v>15.0</v>
      </c>
      <c r="T305" s="102">
        <v>25.0</v>
      </c>
      <c r="U305" s="102">
        <v>25.0</v>
      </c>
      <c r="V305" s="102">
        <v>-15.0</v>
      </c>
      <c r="W305" s="102">
        <v>-45.0</v>
      </c>
      <c r="X305" s="102">
        <v>100.0</v>
      </c>
      <c r="Y305" s="64"/>
      <c r="Z305" s="102">
        <v>100.0</v>
      </c>
      <c r="AA305" s="64"/>
      <c r="AC305" s="39">
        <v>100.0</v>
      </c>
      <c r="AD305" s="39">
        <v>60.0</v>
      </c>
      <c r="AE305" s="39">
        <v>100.0</v>
      </c>
      <c r="AF305" s="39">
        <v>35.0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氷の体</v>
      </c>
      <c r="BP305" s="79" t="str">
        <f t="array" ref="BP305">IF($A305="","", INDEX(CS!$B$1:$B$15025,MATCH($A305,CS!$B:$B,0)+COLUMN(J$1),1))</f>
        <v/>
      </c>
      <c r="BS305" s="74"/>
    </row>
    <row r="306" ht="18.75" customHeight="1" outlineLevel="1">
      <c r="A306" s="39" t="s">
        <v>1982</v>
      </c>
      <c r="B306" s="71"/>
      <c r="D306" s="101" t="str">
        <f t="shared" si="18"/>
        <v>405/405/0</v>
      </c>
      <c r="E306" s="39">
        <v>1.0</v>
      </c>
      <c r="F306" s="39">
        <v>145.0</v>
      </c>
      <c r="I306" s="39">
        <v>110.0</v>
      </c>
      <c r="J306" s="39">
        <v>10.0</v>
      </c>
      <c r="K306" s="87">
        <v>50.0</v>
      </c>
      <c r="L306" s="39">
        <v>0.0</v>
      </c>
      <c r="M306" s="39">
        <v>30.0</v>
      </c>
      <c r="N306" s="39">
        <v>60.0</v>
      </c>
      <c r="O306" s="39">
        <v>300.0</v>
      </c>
      <c r="P306" s="37">
        <v>0.0</v>
      </c>
      <c r="Q306" s="102">
        <v>25.0</v>
      </c>
      <c r="R306" s="64"/>
      <c r="S306" s="102">
        <v>20.0</v>
      </c>
      <c r="T306" s="102">
        <v>30.0</v>
      </c>
      <c r="U306" s="102">
        <v>30.0</v>
      </c>
      <c r="V306" s="102">
        <v>10.0</v>
      </c>
      <c r="W306" s="102">
        <v>100.0</v>
      </c>
      <c r="X306" s="102">
        <v>-45.0</v>
      </c>
      <c r="Y306" s="64"/>
      <c r="Z306" s="102">
        <v>100.0</v>
      </c>
      <c r="AA306" s="64"/>
      <c r="AC306" s="39">
        <v>100.0</v>
      </c>
      <c r="AD306" s="39">
        <v>75.0</v>
      </c>
      <c r="AE306" s="39">
        <v>100.0</v>
      </c>
      <c r="AF306" s="39">
        <v>40.0</v>
      </c>
      <c r="AG306" s="39">
        <v>100.0</v>
      </c>
      <c r="AH306" s="39">
        <v>35.0</v>
      </c>
      <c r="AI306" s="39">
        <v>35.0</v>
      </c>
      <c r="AJ306" s="39">
        <v>0.0</v>
      </c>
      <c r="AK306" s="39">
        <v>0.0</v>
      </c>
      <c r="AL306" s="39">
        <v>0.0</v>
      </c>
      <c r="AM306" s="39">
        <v>0.0</v>
      </c>
      <c r="AN306" s="39">
        <v>0.0</v>
      </c>
      <c r="AO306" s="39">
        <v>0.0</v>
      </c>
      <c r="AP306" s="39">
        <v>0.0</v>
      </c>
      <c r="AQ306" s="39">
        <v>0.0</v>
      </c>
      <c r="AR306" s="39">
        <v>0.0</v>
      </c>
      <c r="AS306" s="39">
        <v>0.0</v>
      </c>
      <c r="AT306" s="39">
        <v>0.0</v>
      </c>
      <c r="AU306" s="39">
        <v>0.0</v>
      </c>
      <c r="AV306" s="39">
        <v>0.0</v>
      </c>
      <c r="AW306" s="39">
        <v>0.0</v>
      </c>
      <c r="AX306" s="39">
        <v>0.0</v>
      </c>
      <c r="AY306" s="39">
        <v>0.0</v>
      </c>
      <c r="AZ306" s="39">
        <v>0.0</v>
      </c>
      <c r="BG306" s="79" t="str">
        <f t="array" ref="BG306">IF($A306="","", INDEX(CS!$B$1:$B$15025,MATCH($A306,CS!$B:$B,0)+COLUMN(A$1),1))</f>
        <v>ゴーレム拳</v>
      </c>
      <c r="BH306" s="79" t="str">
        <f t="array" ref="BH306">IF($A306="","", INDEX(CS!$B$1:$B$15025,MATCH($A306,CS!$B:$B,0)+COLUMN(B$1),1))</f>
        <v>ゴーレム投石</v>
      </c>
      <c r="BI306" s="79" t="str">
        <f t="array" ref="BI306">IF($A306="","", INDEX(CS!$B$1:$B$15025,MATCH($A306,CS!$B:$B,0)+COLUMN(C$1),1))</f>
        <v>堅牢な体</v>
      </c>
      <c r="BJ306" s="79" t="str">
        <f t="array" ref="BJ306">IF($A306="","", INDEX(CS!$B$1:$B$15025,MATCH($A306,CS!$B:$B,0)+COLUMN(D$1),1))</f>
        <v/>
      </c>
      <c r="BK306" s="79" t="str">
        <f t="array" ref="BK306">IF($A306="","", INDEX(CS!$B$1:$B$15025,MATCH($A306,CS!$B:$B,0)+COLUMN(E$1),1))</f>
        <v>踏みつけ</v>
      </c>
      <c r="BL306" s="79" t="str">
        <f t="array" ref="BL306">IF($A306="","", INDEX(CS!$B$1:$B$15025,MATCH($A306,CS!$B:$B,0)+COLUMN(F$1),1))</f>
        <v/>
      </c>
      <c r="BM306" s="79" t="str">
        <f t="array" ref="BM306">IF($A306="","", INDEX(CS!$B$1:$B$15025,MATCH($A306,CS!$B:$B,0)+COLUMN(G$1),1))</f>
        <v>魔法核</v>
      </c>
      <c r="BN306" s="79" t="str">
        <f t="array" ref="BN306">IF($A306="","", INDEX(CS!$B$1:$B$15025,MATCH($A306,CS!$B:$B,0)+COLUMN(H$1),1))</f>
        <v/>
      </c>
      <c r="BO306" s="79" t="str">
        <f t="array" ref="BO306">IF($A306="","", INDEX(CS!$B$1:$B$15025,MATCH($A306,CS!$B:$B,0)+COLUMN(I$1),1))</f>
        <v>炎の体</v>
      </c>
      <c r="BP306" s="79" t="str">
        <f t="array" ref="BP306">IF($A306="","", INDEX(CS!$B$1:$B$15025,MATCH($A306,CS!$B:$B,0)+COLUMN(J$1),1))</f>
        <v/>
      </c>
      <c r="BQ306" s="39">
        <v>5.0</v>
      </c>
      <c r="BR306" s="39" t="s">
        <v>2912</v>
      </c>
      <c r="BS306" s="74"/>
    </row>
    <row r="307" ht="18.75" customHeight="1" outlineLevel="1">
      <c r="A307" s="39" t="s">
        <v>1984</v>
      </c>
      <c r="B307" s="71"/>
      <c r="D307" s="101" t="str">
        <f t="shared" si="18"/>
        <v>350/350/0</v>
      </c>
      <c r="E307" s="39">
        <v>1.0</v>
      </c>
      <c r="F307" s="39">
        <v>110.0</v>
      </c>
      <c r="I307" s="39">
        <v>80.0</v>
      </c>
      <c r="J307" s="39">
        <v>10.0</v>
      </c>
      <c r="K307" s="87">
        <v>25.0</v>
      </c>
      <c r="L307" s="39">
        <v>0.0</v>
      </c>
      <c r="M307" s="39">
        <v>60.0</v>
      </c>
      <c r="N307" s="39">
        <v>65.0</v>
      </c>
      <c r="O307" s="39">
        <v>240.0</v>
      </c>
      <c r="P307" s="37">
        <v>0.0</v>
      </c>
      <c r="Q307" s="102">
        <v>20.0</v>
      </c>
      <c r="R307" s="64"/>
      <c r="S307" s="102">
        <v>25.0</v>
      </c>
      <c r="T307" s="102">
        <v>50.0</v>
      </c>
      <c r="U307" s="102">
        <v>50.0</v>
      </c>
      <c r="V307" s="102">
        <v>15.0</v>
      </c>
      <c r="W307" s="64"/>
      <c r="X307" s="64"/>
      <c r="Y307" s="64"/>
      <c r="Z307" s="102">
        <v>100.0</v>
      </c>
      <c r="AA307" s="64"/>
      <c r="AC307" s="39">
        <v>100.0</v>
      </c>
      <c r="AD307" s="39">
        <v>50.0</v>
      </c>
      <c r="AE307" s="39">
        <v>100.0</v>
      </c>
      <c r="AF307" s="39">
        <v>25.0</v>
      </c>
      <c r="AG307" s="39">
        <v>100.0</v>
      </c>
      <c r="AH307" s="39">
        <v>40.0</v>
      </c>
      <c r="AI307" s="39">
        <v>35.0</v>
      </c>
      <c r="AJ307" s="39">
        <v>0.0</v>
      </c>
      <c r="AK307" s="39">
        <v>0.0</v>
      </c>
      <c r="AL307" s="39">
        <v>0.0</v>
      </c>
      <c r="AM307" s="39">
        <v>0.0</v>
      </c>
      <c r="AN307" s="39">
        <v>0.0</v>
      </c>
      <c r="AO307" s="39">
        <v>0.0</v>
      </c>
      <c r="AP307" s="39">
        <v>0.0</v>
      </c>
      <c r="AQ307" s="39">
        <v>0.0</v>
      </c>
      <c r="AR307" s="39">
        <v>0.0</v>
      </c>
      <c r="AS307" s="39">
        <v>0.0</v>
      </c>
      <c r="AT307" s="39">
        <v>0.0</v>
      </c>
      <c r="AU307" s="39">
        <v>0.0</v>
      </c>
      <c r="AV307" s="39">
        <v>0.0</v>
      </c>
      <c r="AW307" s="39">
        <v>0.0</v>
      </c>
      <c r="AX307" s="39">
        <v>0.0</v>
      </c>
      <c r="AY307" s="39">
        <v>0.0</v>
      </c>
      <c r="AZ307" s="39">
        <v>0.0</v>
      </c>
      <c r="BG307" s="79" t="str">
        <f t="array" ref="BG307">IF($A307="","", INDEX(CS!$B$1:$B$15025,MATCH($A307,CS!$B:$B,0)+COLUMN(A$1),1))</f>
        <v>ゴーレム拳</v>
      </c>
      <c r="BH307" s="79" t="str">
        <f t="array" ref="BH307">IF($A307="","", INDEX(CS!$B$1:$B$15025,MATCH($A307,CS!$B:$B,0)+COLUMN(B$1),1))</f>
        <v>ゴーレム投石</v>
      </c>
      <c r="BI307" s="79" t="str">
        <f t="array" ref="BI307">IF($A307="","", INDEX(CS!$B$1:$B$15025,MATCH($A307,CS!$B:$B,0)+COLUMN(C$1),1))</f>
        <v>堅牢な体</v>
      </c>
      <c r="BJ307" s="79" t="str">
        <f t="array" ref="BJ307">IF($A307="","", INDEX(CS!$B$1:$B$15025,MATCH($A307,CS!$B:$B,0)+COLUMN(D$1),1))</f>
        <v/>
      </c>
      <c r="BK307" s="79" t="str">
        <f t="array" ref="BK307">IF($A307="","", INDEX(CS!$B$1:$B$15025,MATCH($A307,CS!$B:$B,0)+COLUMN(E$1),1))</f>
        <v>踏みつけ</v>
      </c>
      <c r="BL307" s="79" t="str">
        <f t="array" ref="BL307">IF($A307="","", INDEX(CS!$B$1:$B$15025,MATCH($A307,CS!$B:$B,0)+COLUMN(F$1),1))</f>
        <v/>
      </c>
      <c r="BM307" s="79" t="str">
        <f t="array" ref="BM307">IF($A307="","", INDEX(CS!$B$1:$B$15025,MATCH($A307,CS!$B:$B,0)+COLUMN(G$1),1))</f>
        <v>魔法核</v>
      </c>
      <c r="BN307" s="79" t="str">
        <f t="array" ref="BN307">IF($A307="","", INDEX(CS!$B$1:$B$15025,MATCH($A307,CS!$B:$B,0)+COLUMN(H$1),1))</f>
        <v/>
      </c>
      <c r="BO307" s="79" t="str">
        <f t="array" ref="BO307">IF($A307="","", INDEX(CS!$B$1:$B$15025,MATCH($A307,CS!$B:$B,0)+COLUMN(I$1),1))</f>
        <v>地の適用</v>
      </c>
      <c r="BP307" s="79" t="str">
        <f t="array" ref="BP307">IF($A307="","", INDEX(CS!$B$1:$B$15025,MATCH($A307,CS!$B:$B,0)+COLUMN(J$1),1))</f>
        <v/>
      </c>
      <c r="BQ307" s="39">
        <v>5.0</v>
      </c>
      <c r="BR307" s="39" t="s">
        <v>2912</v>
      </c>
      <c r="BS307" s="74"/>
    </row>
    <row r="308" ht="18.75" customHeight="1" outlineLevel="1">
      <c r="A308" s="39" t="s">
        <v>1986</v>
      </c>
      <c r="B308" s="71"/>
      <c r="D308" s="101" t="str">
        <f t="shared" si="18"/>
        <v>455/455/0</v>
      </c>
      <c r="E308" s="39">
        <v>1.0</v>
      </c>
      <c r="F308" s="39">
        <v>140.0</v>
      </c>
      <c r="I308" s="39">
        <v>105.0</v>
      </c>
      <c r="J308" s="39">
        <v>30.0</v>
      </c>
      <c r="K308" s="87">
        <v>30.0</v>
      </c>
      <c r="L308" s="39">
        <v>0.0</v>
      </c>
      <c r="M308" s="39">
        <v>75.0</v>
      </c>
      <c r="N308" s="39">
        <v>75.0</v>
      </c>
      <c r="O308" s="39">
        <v>260.0</v>
      </c>
      <c r="P308" s="37">
        <v>0.0</v>
      </c>
      <c r="Q308" s="102">
        <v>35.0</v>
      </c>
      <c r="R308" s="102">
        <v>25.0</v>
      </c>
      <c r="S308" s="102">
        <v>30.0</v>
      </c>
      <c r="T308" s="102">
        <v>40.0</v>
      </c>
      <c r="U308" s="102">
        <v>40.0</v>
      </c>
      <c r="V308" s="102">
        <v>30.0</v>
      </c>
      <c r="W308" s="102">
        <v>20.0</v>
      </c>
      <c r="X308" s="102">
        <v>20.0</v>
      </c>
      <c r="Y308" s="102">
        <v>10.0</v>
      </c>
      <c r="Z308" s="102">
        <v>100.0</v>
      </c>
      <c r="AA308" s="64"/>
      <c r="AC308" s="39">
        <v>100.0</v>
      </c>
      <c r="AD308" s="39">
        <v>85.0</v>
      </c>
      <c r="AE308" s="39">
        <v>100.0</v>
      </c>
      <c r="AF308" s="39">
        <v>50.0</v>
      </c>
      <c r="AG308" s="39">
        <v>100.0</v>
      </c>
      <c r="AH308" s="39">
        <v>45.0</v>
      </c>
      <c r="AI308" s="39">
        <v>45.0</v>
      </c>
      <c r="AJ308" s="39">
        <v>0.0</v>
      </c>
      <c r="AK308" s="39">
        <v>0.0</v>
      </c>
      <c r="AL308" s="39">
        <v>0.0</v>
      </c>
      <c r="AM308" s="39">
        <v>0.0</v>
      </c>
      <c r="AN308" s="39">
        <v>0.0</v>
      </c>
      <c r="AO308" s="39">
        <v>0.0</v>
      </c>
      <c r="AP308" s="39">
        <v>0.0</v>
      </c>
      <c r="AQ308" s="39">
        <v>0.0</v>
      </c>
      <c r="AR308" s="39">
        <v>0.0</v>
      </c>
      <c r="AS308" s="39">
        <v>0.0</v>
      </c>
      <c r="AT308" s="39">
        <v>0.0</v>
      </c>
      <c r="AU308" s="39">
        <v>0.0</v>
      </c>
      <c r="AV308" s="39">
        <v>0.0</v>
      </c>
      <c r="AW308" s="39">
        <v>0.0</v>
      </c>
      <c r="AX308" s="39">
        <v>0.0</v>
      </c>
      <c r="AY308" s="39">
        <v>0.0</v>
      </c>
      <c r="AZ308" s="39">
        <v>0.0</v>
      </c>
      <c r="BG308" s="79" t="str">
        <f t="array" ref="BG308">IF($A308="","", INDEX(CS!$B$1:$B$15025,MATCH($A308,CS!$B:$B,0)+COLUMN(A$1),1))</f>
        <v>ゴーレム拳</v>
      </c>
      <c r="BH308" s="79" t="str">
        <f t="array" ref="BH308">IF($A308="","", INDEX(CS!$B$1:$B$15025,MATCH($A308,CS!$B:$B,0)+COLUMN(B$1),1))</f>
        <v>ゴーレム投石</v>
      </c>
      <c r="BI308" s="79" t="str">
        <f t="array" ref="BI308">IF($A308="","", INDEX(CS!$B$1:$B$15025,MATCH($A308,CS!$B:$B,0)+COLUMN(C$1),1))</f>
        <v>堅牢な体</v>
      </c>
      <c r="BJ308" s="79" t="str">
        <f t="array" ref="BJ308">IF($A308="","", INDEX(CS!$B$1:$B$15025,MATCH($A308,CS!$B:$B,0)+COLUMN(D$1),1))</f>
        <v/>
      </c>
      <c r="BK308" s="79" t="str">
        <f t="array" ref="BK308">IF($A308="","", INDEX(CS!$B$1:$B$15025,MATCH($A308,CS!$B:$B,0)+COLUMN(E$1),1))</f>
        <v>踏みつけ</v>
      </c>
      <c r="BL308" s="79" t="str">
        <f t="array" ref="BL308">IF($A308="","", INDEX(CS!$B$1:$B$15025,MATCH($A308,CS!$B:$B,0)+COLUMN(F$1),1))</f>
        <v/>
      </c>
      <c r="BM308" s="79" t="str">
        <f t="array" ref="BM308">IF($A308="","", INDEX(CS!$B$1:$B$15025,MATCH($A308,CS!$B:$B,0)+COLUMN(G$1),1))</f>
        <v>魔法核</v>
      </c>
      <c r="BN308" s="79" t="str">
        <f t="array" ref="BN308">IF($A308="","", INDEX(CS!$B$1:$B$15025,MATCH($A308,CS!$B:$B,0)+COLUMN(H$1),1))</f>
        <v/>
      </c>
      <c r="BO308" s="79" t="str">
        <f t="array" ref="BO308">IF($A308="","", INDEX(CS!$B$1:$B$15025,MATCH($A308,CS!$B:$B,0)+COLUMN(I$1),1))</f>
        <v>魔法の守り</v>
      </c>
      <c r="BP308" s="79" t="str">
        <f t="array" ref="BP308">IF($A308="","", INDEX(CS!$B$1:$B$15025,MATCH($A308,CS!$B:$B,0)+COLUMN(J$1),1))</f>
        <v/>
      </c>
      <c r="BQ308" s="39">
        <v>5.0</v>
      </c>
      <c r="BR308" s="39" t="s">
        <v>2912</v>
      </c>
      <c r="BS308" s="74"/>
    </row>
    <row r="309" ht="18.75" customHeight="1" outlineLevel="1">
      <c r="A309" s="39" t="s">
        <v>1987</v>
      </c>
      <c r="B309" s="71"/>
      <c r="D309" s="101" t="str">
        <f t="shared" si="18"/>
        <v>405/405/0</v>
      </c>
      <c r="E309" s="39">
        <v>1.0</v>
      </c>
      <c r="F309" s="39">
        <v>180.0</v>
      </c>
      <c r="I309" s="39">
        <v>120.0</v>
      </c>
      <c r="J309" s="39">
        <v>15.0</v>
      </c>
      <c r="K309" s="87">
        <v>0.0</v>
      </c>
      <c r="L309" s="39">
        <v>0.0</v>
      </c>
      <c r="M309" s="39">
        <v>25.0</v>
      </c>
      <c r="N309" s="39">
        <v>65.0</v>
      </c>
      <c r="O309" s="39">
        <v>320.0</v>
      </c>
      <c r="P309" s="37">
        <v>0.0</v>
      </c>
      <c r="Q309" s="102">
        <v>50.0</v>
      </c>
      <c r="R309" s="102">
        <v>15.0</v>
      </c>
      <c r="S309" s="102">
        <v>40.0</v>
      </c>
      <c r="T309" s="102">
        <v>50.0</v>
      </c>
      <c r="U309" s="102">
        <v>50.0</v>
      </c>
      <c r="V309" s="102">
        <v>40.0</v>
      </c>
      <c r="W309" s="102">
        <v>25.0</v>
      </c>
      <c r="X309" s="102">
        <v>25.0</v>
      </c>
      <c r="Y309" s="102">
        <v>15.0</v>
      </c>
      <c r="Z309" s="102">
        <v>100.0</v>
      </c>
      <c r="AA309" s="64"/>
      <c r="AC309" s="39">
        <v>100.0</v>
      </c>
      <c r="AD309" s="39">
        <v>100.0</v>
      </c>
      <c r="AE309" s="39">
        <v>100.0</v>
      </c>
      <c r="AF309" s="39">
        <v>60.0</v>
      </c>
      <c r="AG309" s="39">
        <v>100.0</v>
      </c>
      <c r="AH309" s="39">
        <v>50.0</v>
      </c>
      <c r="AI309" s="39">
        <v>50.0</v>
      </c>
      <c r="AJ309" s="39">
        <v>0.0</v>
      </c>
      <c r="AK309" s="39">
        <v>0.0</v>
      </c>
      <c r="AL309" s="39">
        <v>0.0</v>
      </c>
      <c r="AM309" s="39">
        <v>0.0</v>
      </c>
      <c r="AN309" s="39">
        <v>0.0</v>
      </c>
      <c r="AO309" s="39">
        <v>0.0</v>
      </c>
      <c r="AP309" s="39">
        <v>0.0</v>
      </c>
      <c r="AQ309" s="39">
        <v>0.0</v>
      </c>
      <c r="AR309" s="39">
        <v>0.0</v>
      </c>
      <c r="AS309" s="39">
        <v>0.0</v>
      </c>
      <c r="AT309" s="39">
        <v>0.0</v>
      </c>
      <c r="AU309" s="39">
        <v>0.0</v>
      </c>
      <c r="AV309" s="39">
        <v>0.0</v>
      </c>
      <c r="AW309" s="39">
        <v>0.0</v>
      </c>
      <c r="AX309" s="39">
        <v>0.0</v>
      </c>
      <c r="AY309" s="39">
        <v>0.0</v>
      </c>
      <c r="AZ309" s="39">
        <v>0.0</v>
      </c>
      <c r="BG309" s="79" t="str">
        <f t="array" ref="BG309">IF($A309="","", INDEX(CS!$B$1:$B$15025,MATCH($A309,CS!$B:$B,0)+COLUMN(A$1),1))</f>
        <v>ゴーレム拳</v>
      </c>
      <c r="BH309" s="79" t="str">
        <f t="array" ref="BH309">IF($A309="","", INDEX(CS!$B$1:$B$15025,MATCH($A309,CS!$B:$B,0)+COLUMN(B$1),1))</f>
        <v>ゴーレム投石</v>
      </c>
      <c r="BI309" s="79" t="str">
        <f t="array" ref="BI309">IF($A309="","", INDEX(CS!$B$1:$B$15025,MATCH($A309,CS!$B:$B,0)+COLUMN(C$1),1))</f>
        <v>堅牢な体</v>
      </c>
      <c r="BJ309" s="79" t="str">
        <f t="array" ref="BJ309">IF($A309="","", INDEX(CS!$B$1:$B$15025,MATCH($A309,CS!$B:$B,0)+COLUMN(D$1),1))</f>
        <v/>
      </c>
      <c r="BK309" s="79" t="str">
        <f t="array" ref="BK309">IF($A309="","", INDEX(CS!$B$1:$B$15025,MATCH($A309,CS!$B:$B,0)+COLUMN(E$1),1))</f>
        <v>踏みつけ</v>
      </c>
      <c r="BL309" s="79" t="str">
        <f t="array" ref="BL309">IF($A309="","", INDEX(CS!$B$1:$B$15025,MATCH($A309,CS!$B:$B,0)+COLUMN(F$1),1))</f>
        <v/>
      </c>
      <c r="BM309" s="79" t="str">
        <f t="array" ref="BM309">IF($A309="","", INDEX(CS!$B$1:$B$15025,MATCH($A309,CS!$B:$B,0)+COLUMN(G$1),1))</f>
        <v>魔法核</v>
      </c>
      <c r="BN309" s="79" t="str">
        <f t="array" ref="BN309">IF($A309="","", INDEX(CS!$B$1:$B$15025,MATCH($A309,CS!$B:$B,0)+COLUMN(H$1),1))</f>
        <v/>
      </c>
      <c r="BO309" s="79" t="str">
        <f t="array" ref="BO309">IF($A309="","", INDEX(CS!$B$1:$B$15025,MATCH($A309,CS!$B:$B,0)+COLUMN(I$1),1))</f>
        <v>硬質外殻</v>
      </c>
      <c r="BP309" s="79" t="str">
        <f t="array" ref="BP309">IF($A309="","", INDEX(CS!$B$1:$B$15025,MATCH($A309,CS!$B:$B,0)+COLUMN(J$1),1))</f>
        <v/>
      </c>
      <c r="BQ309" s="39">
        <v>5.0</v>
      </c>
      <c r="BR309" s="39" t="s">
        <v>2912</v>
      </c>
      <c r="BS309" s="74"/>
    </row>
    <row r="310" ht="18.75" customHeight="1" outlineLevel="1">
      <c r="A310" s="39" t="s">
        <v>1988</v>
      </c>
      <c r="B310" s="71"/>
      <c r="D310" s="101" t="str">
        <f t="shared" si="18"/>
        <v>310/310/0</v>
      </c>
      <c r="E310" s="39">
        <v>1.0</v>
      </c>
      <c r="F310" s="39">
        <v>120.0</v>
      </c>
      <c r="I310" s="39">
        <v>90.0</v>
      </c>
      <c r="J310" s="39">
        <v>10.0</v>
      </c>
      <c r="K310" s="87">
        <v>0.0</v>
      </c>
      <c r="L310" s="39">
        <v>0.0</v>
      </c>
      <c r="M310" s="39">
        <v>35.0</v>
      </c>
      <c r="N310" s="39">
        <v>55.0</v>
      </c>
      <c r="O310" s="39">
        <v>260.0</v>
      </c>
      <c r="P310" s="37">
        <v>0.0</v>
      </c>
      <c r="Q310" s="102">
        <v>15.0</v>
      </c>
      <c r="R310" s="64"/>
      <c r="S310" s="102">
        <v>15.0</v>
      </c>
      <c r="T310" s="102">
        <v>30.0</v>
      </c>
      <c r="U310" s="102">
        <v>30.0</v>
      </c>
      <c r="V310" s="102">
        <v>-15.0</v>
      </c>
      <c r="W310" s="102">
        <v>-15.0</v>
      </c>
      <c r="X310" s="102">
        <v>20.0</v>
      </c>
      <c r="Y310" s="64"/>
      <c r="Z310" s="102">
        <v>100.0</v>
      </c>
      <c r="AA310" s="64"/>
      <c r="AC310" s="39">
        <v>100.0</v>
      </c>
      <c r="AD310" s="39">
        <v>55.0</v>
      </c>
      <c r="AE310" s="39">
        <v>100.0</v>
      </c>
      <c r="AF310" s="39">
        <v>30.0</v>
      </c>
      <c r="AG310" s="39">
        <v>100.0</v>
      </c>
      <c r="AH310" s="39">
        <v>30.0</v>
      </c>
      <c r="AI310" s="39">
        <v>30.0</v>
      </c>
      <c r="AJ310" s="39">
        <v>0.0</v>
      </c>
      <c r="AK310" s="39">
        <v>0.0</v>
      </c>
      <c r="AL310" s="39">
        <v>0.0</v>
      </c>
      <c r="AM310" s="39">
        <v>0.0</v>
      </c>
      <c r="AN310" s="39">
        <v>0.0</v>
      </c>
      <c r="AO310" s="39">
        <v>0.0</v>
      </c>
      <c r="AP310" s="39">
        <v>0.0</v>
      </c>
      <c r="AQ310" s="39">
        <v>0.0</v>
      </c>
      <c r="AR310" s="39">
        <v>0.0</v>
      </c>
      <c r="AS310" s="39">
        <v>0.0</v>
      </c>
      <c r="AT310" s="39">
        <v>0.0</v>
      </c>
      <c r="AU310" s="39">
        <v>0.0</v>
      </c>
      <c r="AV310" s="39">
        <v>0.0</v>
      </c>
      <c r="AW310" s="39">
        <v>0.0</v>
      </c>
      <c r="AX310" s="39">
        <v>0.0</v>
      </c>
      <c r="AY310" s="39">
        <v>0.0</v>
      </c>
      <c r="AZ310" s="39">
        <v>0.0</v>
      </c>
      <c r="BG310" s="79" t="str">
        <f t="array" ref="BG310">IF($A310="","", INDEX(CS!$B$1:$B$15025,MATCH($A310,CS!$B:$B,0)+COLUMN(A$1),1))</f>
        <v>ゴーレム拳</v>
      </c>
      <c r="BH310" s="79" t="str">
        <f t="array" ref="BH310">IF($A310="","", INDEX(CS!$B$1:$B$15025,MATCH($A310,CS!$B:$B,0)+COLUMN(B$1),1))</f>
        <v>ゴーレム投石</v>
      </c>
      <c r="BI310" s="79" t="str">
        <f t="array" ref="BI310">IF($A310="","", INDEX(CS!$B$1:$B$15025,MATCH($A310,CS!$B:$B,0)+COLUMN(C$1),1))</f>
        <v>堅牢な体</v>
      </c>
      <c r="BJ310" s="79" t="str">
        <f t="array" ref="BJ310">IF($A310="","", INDEX(CS!$B$1:$B$15025,MATCH($A310,CS!$B:$B,0)+COLUMN(D$1),1))</f>
        <v/>
      </c>
      <c r="BK310" s="79" t="str">
        <f t="array" ref="BK310">IF($A310="","", INDEX(CS!$B$1:$B$15025,MATCH($A310,CS!$B:$B,0)+COLUMN(E$1),1))</f>
        <v>踏みつけ</v>
      </c>
      <c r="BL310" s="79" t="str">
        <f t="array" ref="BL310">IF($A310="","", INDEX(CS!$B$1:$B$15025,MATCH($A310,CS!$B:$B,0)+COLUMN(F$1),1))</f>
        <v/>
      </c>
      <c r="BM310" s="79" t="str">
        <f t="array" ref="BM310">IF($A310="","", INDEX(CS!$B$1:$B$15025,MATCH($A310,CS!$B:$B,0)+COLUMN(G$1),1))</f>
        <v>魔法核</v>
      </c>
      <c r="BN310" s="79" t="str">
        <f t="array" ref="BN310">IF($A310="","", INDEX(CS!$B$1:$B$15025,MATCH($A310,CS!$B:$B,0)+COLUMN(H$1),1))</f>
        <v/>
      </c>
      <c r="BO310" s="79" t="str">
        <f t="array" ref="BO310">IF($A310="","", INDEX(CS!$B$1:$B$15025,MATCH($A310,CS!$B:$B,0)+COLUMN(I$1),1))</f>
        <v>軟体</v>
      </c>
      <c r="BP310" s="79" t="str">
        <f t="array" ref="BP310">IF($A310="","", INDEX(CS!$B$1:$B$15025,MATCH($A310,CS!$B:$B,0)+COLUMN(J$1),1))</f>
        <v/>
      </c>
      <c r="BQ310" s="39">
        <v>5.0</v>
      </c>
      <c r="BR310" s="39" t="s">
        <v>2912</v>
      </c>
      <c r="BS310" s="74"/>
    </row>
    <row r="311" ht="18.75" customHeight="1">
      <c r="A311" s="39"/>
      <c r="B311" s="71"/>
      <c r="D311" s="72" t="str">
        <f t="shared" si="18"/>
        <v>0/0/0</v>
      </c>
      <c r="E311" s="37">
        <v>1.0</v>
      </c>
      <c r="K311" s="73"/>
      <c r="P311" s="37" t="s">
        <v>29</v>
      </c>
      <c r="Q311" s="64"/>
      <c r="R311" s="64"/>
      <c r="S311" s="64"/>
      <c r="T311" s="64"/>
      <c r="U311" s="64"/>
      <c r="V311" s="64"/>
      <c r="W311" s="64"/>
      <c r="X311" s="64">
        <v>30.0</v>
      </c>
      <c r="Y311" s="64"/>
      <c r="Z311" s="64"/>
      <c r="AA311" s="64"/>
      <c r="AF311" s="37">
        <v>30.0</v>
      </c>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S311" s="74"/>
    </row>
    <row r="312" ht="18.75" customHeight="1">
      <c r="B312" s="85" t="s">
        <v>2913</v>
      </c>
      <c r="C312" s="37" t="s">
        <v>2898</v>
      </c>
      <c r="D312" s="72" t="str">
        <f t="shared" si="18"/>
        <v>0/0/0</v>
      </c>
      <c r="E312" s="37">
        <v>1.0</v>
      </c>
      <c r="K312" s="73"/>
      <c r="P312" s="37" t="s">
        <v>29</v>
      </c>
      <c r="Q312" s="64"/>
      <c r="R312" s="64"/>
      <c r="S312" s="64"/>
      <c r="T312" s="64"/>
      <c r="U312" s="64"/>
      <c r="V312" s="64"/>
      <c r="W312" s="64"/>
      <c r="X312" s="64"/>
      <c r="Y312" s="64"/>
      <c r="Z312" s="64"/>
      <c r="AA312" s="64"/>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S312" s="74"/>
      <c r="BW312" s="57"/>
      <c r="BX312" s="57"/>
      <c r="BY312" s="57"/>
      <c r="BZ312" s="57"/>
      <c r="CA312" s="57"/>
    </row>
    <row r="313" ht="18.75" customHeight="1" outlineLevel="1">
      <c r="A313" s="37" t="s">
        <v>1920</v>
      </c>
      <c r="B313" s="85" t="s">
        <v>2914</v>
      </c>
      <c r="C313" s="37" t="s">
        <v>2898</v>
      </c>
      <c r="D313" s="72" t="str">
        <f t="shared" si="18"/>
        <v>635/505/130</v>
      </c>
      <c r="E313" s="37">
        <v>1.0</v>
      </c>
      <c r="F313" s="37">
        <v>100.0</v>
      </c>
      <c r="I313" s="37">
        <v>85.0</v>
      </c>
      <c r="J313" s="37">
        <v>70.0</v>
      </c>
      <c r="K313" s="73">
        <v>50.0</v>
      </c>
      <c r="L313" s="37">
        <v>50.0</v>
      </c>
      <c r="M313" s="37">
        <v>75.0</v>
      </c>
      <c r="N313" s="37">
        <v>75.0</v>
      </c>
      <c r="O313" s="37">
        <v>250.0</v>
      </c>
      <c r="P313" s="37">
        <v>0.0</v>
      </c>
      <c r="Q313" s="64">
        <v>5.0</v>
      </c>
      <c r="R313" s="64">
        <v>5.0</v>
      </c>
      <c r="S313" s="64"/>
      <c r="T313" s="64"/>
      <c r="U313" s="64"/>
      <c r="V313" s="64"/>
      <c r="W313" s="64"/>
      <c r="X313" s="64"/>
      <c r="Y313" s="64"/>
      <c r="Z313" s="64">
        <v>5.0</v>
      </c>
      <c r="AA313" s="64"/>
      <c r="AC313" s="37">
        <v>-15.0</v>
      </c>
      <c r="AD313" s="37">
        <v>5.0</v>
      </c>
      <c r="AE313" s="37">
        <v>5.0</v>
      </c>
      <c r="AJ313" s="39">
        <v>0.0</v>
      </c>
      <c r="AK313" s="39">
        <v>50.0</v>
      </c>
      <c r="AL313" s="39">
        <v>0.0</v>
      </c>
      <c r="AM313" s="39">
        <v>0.0</v>
      </c>
      <c r="AN313" s="39">
        <v>0.0</v>
      </c>
      <c r="AO313" s="41">
        <v>0.0</v>
      </c>
      <c r="AP313" s="41">
        <v>0.0</v>
      </c>
      <c r="AQ313" s="41">
        <v>40.0</v>
      </c>
      <c r="AR313" s="41">
        <v>40.0</v>
      </c>
      <c r="AS313" s="39">
        <v>0.0</v>
      </c>
      <c r="AT313" s="39">
        <v>0.0</v>
      </c>
      <c r="AU313" s="39">
        <v>0.0</v>
      </c>
      <c r="AV313" s="39">
        <v>0.0</v>
      </c>
      <c r="AW313" s="39">
        <v>0.0</v>
      </c>
      <c r="AX313" s="39">
        <v>0.0</v>
      </c>
      <c r="AY313" s="39">
        <v>0.0</v>
      </c>
      <c r="AZ313" s="39">
        <v>0.0</v>
      </c>
      <c r="BA313" s="39">
        <v>0.0</v>
      </c>
      <c r="BB313" s="39">
        <v>120.0</v>
      </c>
      <c r="BC313" s="39">
        <v>110.0</v>
      </c>
      <c r="BD313" s="39">
        <v>130.0</v>
      </c>
      <c r="BE313" s="39">
        <v>80.0</v>
      </c>
      <c r="BF313" s="39">
        <v>100.0</v>
      </c>
      <c r="BG313" s="79" t="str">
        <f t="array" ref="BG313">IF($A313="","", INDEX(CS!$B$1:$B$15025,MATCH($A313,CS!$B:$B,0)+COLUMN(A$1),1))</f>
        <v>爪</v>
      </c>
      <c r="BH313" s="79" t="str">
        <f t="array" ref="BH313">IF($A313="","", INDEX(CS!$B$1:$B$15025,MATCH($A313,CS!$B:$B,0)+COLUMN(B$1),1))</f>
        <v/>
      </c>
      <c r="BI313" s="79" t="str">
        <f t="array" ref="BI313">IF($A313="","", INDEX(CS!$B$1:$B$15025,MATCH($A313,CS!$B:$B,0)+COLUMN(C$1),1))</f>
        <v>翼</v>
      </c>
      <c r="BJ313" s="79" t="str">
        <f t="array" ref="BJ313">IF($A313="","", INDEX(CS!$B$1:$B$15025,MATCH($A313,CS!$B:$B,0)+COLUMN(D$1),1))</f>
        <v/>
      </c>
      <c r="BK313" s="79" t="str">
        <f t="array" ref="BK313">IF($A313="","", INDEX(CS!$B$1:$B$15025,MATCH($A313,CS!$B:$B,0)+COLUMN(E$1),1))</f>
        <v>威圧</v>
      </c>
      <c r="BL313" s="79" t="str">
        <f t="array" ref="BL313">IF($A313="","", INDEX(CS!$B$1:$B$15025,MATCH($A313,CS!$B:$B,0)+COLUMN(F$1),1))</f>
        <v>毒の唾</v>
      </c>
      <c r="BM313" s="79" t="str">
        <f t="array" ref="BM313">IF($A313="","", INDEX(CS!$B$1:$B$15025,MATCH($A313,CS!$B:$B,0)+COLUMN(G$1),1))</f>
        <v/>
      </c>
      <c r="BN313" s="79" t="str">
        <f t="array" ref="BN313">IF($A313="","", INDEX(CS!$B$1:$B$15025,MATCH($A313,CS!$B:$B,0)+COLUMN(H$1),1))</f>
        <v>毒の尾</v>
      </c>
      <c r="BO313" s="79" t="str">
        <f t="array" ref="BO313">IF($A313="","", INDEX(CS!$B$1:$B$15025,MATCH($A313,CS!$B:$B,0)+COLUMN(I$1),1))</f>
        <v>外皮</v>
      </c>
      <c r="BP313" s="79" t="str">
        <f t="array" ref="BP313">IF($A313="","", INDEX(CS!$B$1:$B$15025,MATCH($A313,CS!$B:$B,0)+COLUMN(J$1),1))</f>
        <v/>
      </c>
      <c r="BS313" s="74"/>
      <c r="BV313" s="37" t="s">
        <v>2659</v>
      </c>
      <c r="BW313" s="57">
        <v>200.0</v>
      </c>
      <c r="BX313" s="75">
        <v>0.0</v>
      </c>
      <c r="BY313" s="75">
        <v>0.0</v>
      </c>
      <c r="BZ313" s="75">
        <v>180.0</v>
      </c>
      <c r="CA313" s="75">
        <v>20.0</v>
      </c>
      <c r="CD313" s="75">
        <v>2.0</v>
      </c>
      <c r="CE313" s="75"/>
      <c r="CG313" s="37" t="s">
        <v>2732</v>
      </c>
      <c r="CH313" s="37" t="s">
        <v>2732</v>
      </c>
      <c r="CI313" s="37" t="s">
        <v>2732</v>
      </c>
      <c r="CJ313" s="37" t="s">
        <v>2732</v>
      </c>
      <c r="CK313" s="37" t="s">
        <v>2732</v>
      </c>
      <c r="CN313" s="37" t="s">
        <v>2915</v>
      </c>
    </row>
    <row r="314" ht="18.75" customHeight="1" outlineLevel="1">
      <c r="A314" s="41" t="s">
        <v>1914</v>
      </c>
      <c r="B314" s="85" t="s">
        <v>2916</v>
      </c>
      <c r="C314" s="37" t="s">
        <v>2898</v>
      </c>
      <c r="D314" s="72" t="str">
        <f t="shared" si="18"/>
        <v>635/505/130</v>
      </c>
      <c r="E314" s="37">
        <v>1.0</v>
      </c>
      <c r="F314" s="37">
        <v>100.0</v>
      </c>
      <c r="I314" s="41">
        <v>90.0</v>
      </c>
      <c r="J314" s="41">
        <v>90.0</v>
      </c>
      <c r="K314" s="73">
        <v>50.0</v>
      </c>
      <c r="L314" s="37">
        <v>50.0</v>
      </c>
      <c r="M314" s="41">
        <v>50.0</v>
      </c>
      <c r="N314" s="37">
        <v>75.0</v>
      </c>
      <c r="O314" s="37">
        <v>250.0</v>
      </c>
      <c r="P314" s="37">
        <v>0.0</v>
      </c>
      <c r="Q314" s="64">
        <v>5.0</v>
      </c>
      <c r="R314" s="64">
        <v>5.0</v>
      </c>
      <c r="S314" s="64"/>
      <c r="T314" s="64"/>
      <c r="U314" s="64"/>
      <c r="V314" s="64"/>
      <c r="W314" s="64"/>
      <c r="X314" s="64"/>
      <c r="Y314" s="64"/>
      <c r="Z314" s="64">
        <v>5.0</v>
      </c>
      <c r="AA314" s="64"/>
      <c r="AC314" s="37">
        <v>-15.0</v>
      </c>
      <c r="AD314" s="37">
        <v>5.0</v>
      </c>
      <c r="AE314" s="37">
        <v>5.0</v>
      </c>
      <c r="AJ314" s="39">
        <v>0.0</v>
      </c>
      <c r="AK314" s="39">
        <v>50.0</v>
      </c>
      <c r="AL314" s="39">
        <v>0.0</v>
      </c>
      <c r="AM314" s="39">
        <v>0.0</v>
      </c>
      <c r="AN314" s="39">
        <v>0.0</v>
      </c>
      <c r="AO314" s="41">
        <v>0.0</v>
      </c>
      <c r="AP314" s="41">
        <v>0.0</v>
      </c>
      <c r="AQ314" s="41">
        <v>40.0</v>
      </c>
      <c r="AR314" s="41">
        <v>40.0</v>
      </c>
      <c r="AS314" s="39">
        <v>0.0</v>
      </c>
      <c r="AT314" s="39">
        <v>0.0</v>
      </c>
      <c r="AU314" s="39">
        <v>0.0</v>
      </c>
      <c r="AV314" s="39">
        <v>0.0</v>
      </c>
      <c r="AW314" s="39">
        <v>0.0</v>
      </c>
      <c r="AX314" s="39">
        <v>0.0</v>
      </c>
      <c r="AY314" s="39">
        <v>0.0</v>
      </c>
      <c r="AZ314" s="39">
        <v>0.0</v>
      </c>
      <c r="BA314" s="39">
        <v>0.0</v>
      </c>
      <c r="BB314" s="39">
        <v>120.0</v>
      </c>
      <c r="BC314" s="41">
        <v>130.0</v>
      </c>
      <c r="BD314" s="39">
        <v>130.0</v>
      </c>
      <c r="BE314" s="41">
        <v>0.0</v>
      </c>
      <c r="BF314" s="41">
        <v>125.0</v>
      </c>
      <c r="BG314" s="37" t="str">
        <f t="array" ref="BG314">IF($A314="","", INDEX(CS!$B$1:$B$15025,MATCH($A314,CS!$B:$B,0)+COLUMN(A$1),1))</f>
        <v>毒の唾</v>
      </c>
      <c r="BH314" s="37" t="str">
        <f t="array" ref="BH314">IF($A314="","", INDEX(CS!$B$1:$B$15025,MATCH($A314,CS!$B:$B,0)+COLUMN(B$1),1))</f>
        <v>爪</v>
      </c>
      <c r="BI314" s="37" t="str">
        <f t="array" ref="BI314">IF($A314="","", INDEX(CS!$B$1:$B$15025,MATCH($A314,CS!$B:$B,0)+COLUMN(C$1),1))</f>
        <v>外皮</v>
      </c>
      <c r="BJ314" s="37" t="str">
        <f t="array" ref="BJ314">IF($A314="","", INDEX(CS!$B$1:$B$15025,MATCH($A314,CS!$B:$B,0)+COLUMN(D$1),1))</f>
        <v/>
      </c>
      <c r="BK314" s="37" t="str">
        <f t="array" ref="BK314">IF($A314="","", INDEX(CS!$B$1:$B$15025,MATCH($A314,CS!$B:$B,0)+COLUMN(E$1),1))</f>
        <v>地竜の吐息</v>
      </c>
      <c r="BL314" s="37" t="str">
        <f t="array" ref="BL314">IF($A314="","", INDEX(CS!$B$1:$B$15025,MATCH($A314,CS!$B:$B,0)+COLUMN(F$1),1))</f>
        <v/>
      </c>
      <c r="BM314" s="37" t="str">
        <f t="array" ref="BM314">IF($A314="","", INDEX(CS!$B$1:$B$15025,MATCH($A314,CS!$B:$B,0)+COLUMN(G$1),1))</f>
        <v>踏みつけ</v>
      </c>
      <c r="BN314" s="37" t="str">
        <f t="array" ref="BN314">IF($A314="","", INDEX(CS!$B$1:$B$15025,MATCH($A314,CS!$B:$B,0)+COLUMN(H$1),1))</f>
        <v/>
      </c>
      <c r="BO314" s="37" t="str">
        <f t="array" ref="BO314">IF($A314="","", INDEX(CS!$B$1:$B$15025,MATCH($A314,CS!$B:$B,0)+COLUMN(I$1),1))</f>
        <v>尾</v>
      </c>
      <c r="BP314" s="37" t="str">
        <f t="array" ref="BP314">IF($A314="","", INDEX(CS!$B$1:$B$15025,MATCH($A314,CS!$B:$B,0)+COLUMN(J$1),1))</f>
        <v/>
      </c>
      <c r="BS314" s="74"/>
      <c r="BV314" s="37" t="s">
        <v>2659</v>
      </c>
      <c r="BW314" s="57">
        <v>200.0</v>
      </c>
      <c r="BX314" s="75">
        <v>0.0</v>
      </c>
      <c r="BY314" s="75">
        <v>0.0</v>
      </c>
      <c r="BZ314" s="75">
        <v>180.0</v>
      </c>
      <c r="CA314" s="75">
        <v>20.0</v>
      </c>
      <c r="CD314" s="75">
        <v>2.0</v>
      </c>
      <c r="CE314" s="75"/>
      <c r="CG314" s="37" t="s">
        <v>2732</v>
      </c>
      <c r="CH314" s="37" t="s">
        <v>2732</v>
      </c>
      <c r="CI314" s="37" t="s">
        <v>2732</v>
      </c>
      <c r="CJ314" s="37" t="s">
        <v>2732</v>
      </c>
      <c r="CK314" s="37" t="s">
        <v>2732</v>
      </c>
      <c r="CN314" s="37" t="s">
        <v>2915</v>
      </c>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90"/>
      <c r="B317" s="91"/>
      <c r="C317" s="79"/>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90"/>
      <c r="B318" s="91"/>
      <c r="C318" s="79"/>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90"/>
      <c r="B319" s="91"/>
      <c r="C319" s="79"/>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90"/>
      <c r="B320" s="91"/>
      <c r="C320" s="79"/>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90"/>
      <c r="B321" s="91"/>
      <c r="C321" s="79"/>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2898</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2898</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A324" s="79"/>
      <c r="B324" s="91"/>
      <c r="C324" s="79" t="s">
        <v>2898</v>
      </c>
      <c r="D324" s="98" t="str">
        <f t="shared" si="18"/>
        <v>0/0/0</v>
      </c>
      <c r="E324" s="99">
        <v>1.0</v>
      </c>
      <c r="F324" s="79"/>
      <c r="G324" s="79"/>
      <c r="H324" s="79"/>
      <c r="I324" s="79"/>
      <c r="J324" s="79"/>
      <c r="K324" s="81"/>
      <c r="L324" s="79"/>
      <c r="M324" s="79"/>
      <c r="N324" s="79"/>
      <c r="O324" s="79"/>
      <c r="P324" s="79" t="s">
        <v>29</v>
      </c>
      <c r="Q324" s="82"/>
      <c r="R324" s="82"/>
      <c r="S324" s="82"/>
      <c r="T324" s="82"/>
      <c r="U324" s="82"/>
      <c r="V324" s="82"/>
      <c r="W324" s="82"/>
      <c r="X324" s="82"/>
      <c r="Y324" s="82"/>
      <c r="Z324" s="82"/>
      <c r="AA324" s="82"/>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t="str">
        <f t="array" ref="BG324">IF($A324="","", INDEX(CS!$B$1:$B$15025,MATCH($A324,CS!$B:$B,0)+COLUMN(A$1),1))</f>
        <v/>
      </c>
      <c r="BH324" s="79" t="str">
        <f t="array" ref="BH324">IF($A324="","", INDEX(CS!$B$1:$B$15025,MATCH($A324,CS!$B:$B,0)+COLUMN(B$1),1))</f>
        <v/>
      </c>
      <c r="BI324" s="79" t="str">
        <f t="array" ref="BI324">IF($A324="","", INDEX(CS!$B$1:$B$15025,MATCH($A324,CS!$B:$B,0)+COLUMN(C$1),1))</f>
        <v/>
      </c>
      <c r="BJ324" s="79" t="str">
        <f t="array" ref="BJ324">IF($A324="","", INDEX(CS!$B$1:$B$15025,MATCH($A324,CS!$B:$B,0)+COLUMN(D$1),1))</f>
        <v/>
      </c>
      <c r="BK324" s="79" t="str">
        <f t="array" ref="BK324">IF($A324="","", INDEX(CS!$B$1:$B$15025,MATCH($A324,CS!$B:$B,0)+COLUMN(E$1),1))</f>
        <v/>
      </c>
      <c r="BL324" s="79" t="str">
        <f t="array" ref="BL324">IF($A324="","", INDEX(CS!$B$1:$B$15025,MATCH($A324,CS!$B:$B,0)+COLUMN(F$1),1))</f>
        <v/>
      </c>
      <c r="BM324" s="79" t="str">
        <f t="array" ref="BM324">IF($A324="","", INDEX(CS!$B$1:$B$15025,MATCH($A324,CS!$B:$B,0)+COLUMN(G$1),1))</f>
        <v/>
      </c>
      <c r="BN324" s="79" t="str">
        <f t="array" ref="BN324">IF($A324="","", INDEX(CS!$B$1:$B$15025,MATCH($A324,CS!$B:$B,0)+COLUMN(H$1),1))</f>
        <v/>
      </c>
      <c r="BO324" s="79" t="str">
        <f t="array" ref="BO324">IF($A324="","", INDEX(CS!$B$1:$B$15025,MATCH($A324,CS!$B:$B,0)+COLUMN(I$1),1))</f>
        <v/>
      </c>
      <c r="BP324" s="79" t="str">
        <f t="array" ref="BP324">IF($A324="","", INDEX(CS!$B$1:$B$15025,MATCH($A324,CS!$B:$B,0)+COLUMN(J$1),1))</f>
        <v/>
      </c>
      <c r="BQ324" s="79"/>
      <c r="BR324" s="79"/>
      <c r="BS324" s="83"/>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row>
    <row r="325" ht="18.75" customHeight="1">
      <c r="A325" s="79"/>
      <c r="B325" s="91"/>
      <c r="C325" s="79" t="s">
        <v>2898</v>
      </c>
      <c r="D325" s="98" t="str">
        <f t="shared" si="18"/>
        <v>0/0/0</v>
      </c>
      <c r="E325" s="99">
        <v>1.0</v>
      </c>
      <c r="F325" s="79"/>
      <c r="G325" s="79"/>
      <c r="H325" s="79"/>
      <c r="I325" s="79"/>
      <c r="J325" s="79"/>
      <c r="K325" s="81"/>
      <c r="L325" s="79"/>
      <c r="M325" s="79"/>
      <c r="N325" s="79"/>
      <c r="O325" s="79"/>
      <c r="P325" s="79" t="s">
        <v>29</v>
      </c>
      <c r="Q325" s="82"/>
      <c r="R325" s="82"/>
      <c r="S325" s="82"/>
      <c r="T325" s="82"/>
      <c r="U325" s="82"/>
      <c r="V325" s="82"/>
      <c r="W325" s="82"/>
      <c r="X325" s="82"/>
      <c r="Y325" s="82"/>
      <c r="Z325" s="82"/>
      <c r="AA325" s="82"/>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t="str">
        <f t="array" ref="BG325">IF($A325="","", INDEX(CS!$B$1:$B$15025,MATCH($A325,CS!$B:$B,0)+COLUMN(A$1),1))</f>
        <v/>
      </c>
      <c r="BH325" s="79" t="str">
        <f t="array" ref="BH325">IF($A325="","", INDEX(CS!$B$1:$B$15025,MATCH($A325,CS!$B:$B,0)+COLUMN(B$1),1))</f>
        <v/>
      </c>
      <c r="BI325" s="79" t="str">
        <f t="array" ref="BI325">IF($A325="","", INDEX(CS!$B$1:$B$15025,MATCH($A325,CS!$B:$B,0)+COLUMN(C$1),1))</f>
        <v/>
      </c>
      <c r="BJ325" s="79" t="str">
        <f t="array" ref="BJ325">IF($A325="","", INDEX(CS!$B$1:$B$15025,MATCH($A325,CS!$B:$B,0)+COLUMN(D$1),1))</f>
        <v/>
      </c>
      <c r="BK325" s="79" t="str">
        <f t="array" ref="BK325">IF($A325="","", INDEX(CS!$B$1:$B$15025,MATCH($A325,CS!$B:$B,0)+COLUMN(E$1),1))</f>
        <v/>
      </c>
      <c r="BL325" s="79" t="str">
        <f t="array" ref="BL325">IF($A325="","", INDEX(CS!$B$1:$B$15025,MATCH($A325,CS!$B:$B,0)+COLUMN(F$1),1))</f>
        <v/>
      </c>
      <c r="BM325" s="79" t="str">
        <f t="array" ref="BM325">IF($A325="","", INDEX(CS!$B$1:$B$15025,MATCH($A325,CS!$B:$B,0)+COLUMN(G$1),1))</f>
        <v/>
      </c>
      <c r="BN325" s="79" t="str">
        <f t="array" ref="BN325">IF($A325="","", INDEX(CS!$B$1:$B$15025,MATCH($A325,CS!$B:$B,0)+COLUMN(H$1),1))</f>
        <v/>
      </c>
      <c r="BO325" s="79" t="str">
        <f t="array" ref="BO325">IF($A325="","", INDEX(CS!$B$1:$B$15025,MATCH($A325,CS!$B:$B,0)+COLUMN(I$1),1))</f>
        <v/>
      </c>
      <c r="BP325" s="79" t="str">
        <f t="array" ref="BP325">IF($A325="","", INDEX(CS!$B$1:$B$15025,MATCH($A325,CS!$B:$B,0)+COLUMN(J$1),1))</f>
        <v/>
      </c>
      <c r="BQ325" s="79"/>
      <c r="BR325" s="79"/>
      <c r="BS325" s="83"/>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row>
    <row r="326" ht="18.75" customHeight="1">
      <c r="A326" s="79"/>
      <c r="B326" s="91"/>
      <c r="C326" s="79" t="s">
        <v>2898</v>
      </c>
      <c r="D326" s="98" t="str">
        <f t="shared" si="18"/>
        <v>0/0/0</v>
      </c>
      <c r="E326" s="99">
        <v>1.0</v>
      </c>
      <c r="F326" s="79"/>
      <c r="G326" s="79"/>
      <c r="H326" s="79"/>
      <c r="I326" s="79"/>
      <c r="J326" s="79"/>
      <c r="K326" s="81"/>
      <c r="L326" s="79"/>
      <c r="M326" s="79"/>
      <c r="N326" s="79"/>
      <c r="O326" s="79"/>
      <c r="P326" s="79" t="s">
        <v>29</v>
      </c>
      <c r="Q326" s="82"/>
      <c r="R326" s="82"/>
      <c r="S326" s="82"/>
      <c r="T326" s="82"/>
      <c r="U326" s="82"/>
      <c r="V326" s="82"/>
      <c r="W326" s="82"/>
      <c r="X326" s="82"/>
      <c r="Y326" s="82"/>
      <c r="Z326" s="82"/>
      <c r="AA326" s="82"/>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t="str">
        <f t="array" ref="BG326">IF($A326="","", INDEX(CS!$B$1:$B$15025,MATCH($A326,CS!$B:$B,0)+COLUMN(A$1),1))</f>
        <v/>
      </c>
      <c r="BH326" s="79" t="str">
        <f t="array" ref="BH326">IF($A326="","", INDEX(CS!$B$1:$B$15025,MATCH($A326,CS!$B:$B,0)+COLUMN(B$1),1))</f>
        <v/>
      </c>
      <c r="BI326" s="79" t="str">
        <f t="array" ref="BI326">IF($A326="","", INDEX(CS!$B$1:$B$15025,MATCH($A326,CS!$B:$B,0)+COLUMN(C$1),1))</f>
        <v/>
      </c>
      <c r="BJ326" s="79" t="str">
        <f t="array" ref="BJ326">IF($A326="","", INDEX(CS!$B$1:$B$15025,MATCH($A326,CS!$B:$B,0)+COLUMN(D$1),1))</f>
        <v/>
      </c>
      <c r="BK326" s="79" t="str">
        <f t="array" ref="BK326">IF($A326="","", INDEX(CS!$B$1:$B$15025,MATCH($A326,CS!$B:$B,0)+COLUMN(E$1),1))</f>
        <v/>
      </c>
      <c r="BL326" s="79" t="str">
        <f t="array" ref="BL326">IF($A326="","", INDEX(CS!$B$1:$B$15025,MATCH($A326,CS!$B:$B,0)+COLUMN(F$1),1))</f>
        <v/>
      </c>
      <c r="BM326" s="79" t="str">
        <f t="array" ref="BM326">IF($A326="","", INDEX(CS!$B$1:$B$15025,MATCH($A326,CS!$B:$B,0)+COLUMN(G$1),1))</f>
        <v/>
      </c>
      <c r="BN326" s="79" t="str">
        <f t="array" ref="BN326">IF($A326="","", INDEX(CS!$B$1:$B$15025,MATCH($A326,CS!$B:$B,0)+COLUMN(H$1),1))</f>
        <v/>
      </c>
      <c r="BO326" s="79" t="str">
        <f t="array" ref="BO326">IF($A326="","", INDEX(CS!$B$1:$B$15025,MATCH($A326,CS!$B:$B,0)+COLUMN(I$1),1))</f>
        <v/>
      </c>
      <c r="BP326" s="79" t="str">
        <f t="array" ref="BP326">IF($A326="","", INDEX(CS!$B$1:$B$15025,MATCH($A326,CS!$B:$B,0)+COLUMN(J$1),1))</f>
        <v/>
      </c>
      <c r="BQ326" s="79"/>
      <c r="BR326" s="79"/>
      <c r="BS326" s="83"/>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row>
    <row r="327" ht="18.75" customHeight="1">
      <c r="A327" s="79"/>
      <c r="B327" s="91"/>
      <c r="C327" s="79" t="s">
        <v>2898</v>
      </c>
      <c r="D327" s="98" t="str">
        <f t="shared" si="18"/>
        <v>0/0/0</v>
      </c>
      <c r="E327" s="99">
        <v>1.0</v>
      </c>
      <c r="F327" s="79"/>
      <c r="G327" s="79"/>
      <c r="H327" s="79"/>
      <c r="I327" s="79"/>
      <c r="J327" s="79"/>
      <c r="K327" s="81"/>
      <c r="L327" s="79"/>
      <c r="M327" s="79"/>
      <c r="N327" s="79"/>
      <c r="O327" s="79"/>
      <c r="P327" s="79" t="s">
        <v>29</v>
      </c>
      <c r="Q327" s="82"/>
      <c r="R327" s="82"/>
      <c r="S327" s="82"/>
      <c r="T327" s="82"/>
      <c r="U327" s="82"/>
      <c r="V327" s="82"/>
      <c r="W327" s="82"/>
      <c r="X327" s="82"/>
      <c r="Y327" s="82"/>
      <c r="Z327" s="82"/>
      <c r="AA327" s="82"/>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t="str">
        <f t="array" ref="BG327">IF($A327="","", INDEX(CS!$B$1:$B$15025,MATCH($A327,CS!$B:$B,0)+COLUMN(A$1),1))</f>
        <v/>
      </c>
      <c r="BH327" s="79" t="str">
        <f t="array" ref="BH327">IF($A327="","", INDEX(CS!$B$1:$B$15025,MATCH($A327,CS!$B:$B,0)+COLUMN(B$1),1))</f>
        <v/>
      </c>
      <c r="BI327" s="79" t="str">
        <f t="array" ref="BI327">IF($A327="","", INDEX(CS!$B$1:$B$15025,MATCH($A327,CS!$B:$B,0)+COLUMN(C$1),1))</f>
        <v/>
      </c>
      <c r="BJ327" s="79" t="str">
        <f t="array" ref="BJ327">IF($A327="","", INDEX(CS!$B$1:$B$15025,MATCH($A327,CS!$B:$B,0)+COLUMN(D$1),1))</f>
        <v/>
      </c>
      <c r="BK327" s="79" t="str">
        <f t="array" ref="BK327">IF($A327="","", INDEX(CS!$B$1:$B$15025,MATCH($A327,CS!$B:$B,0)+COLUMN(E$1),1))</f>
        <v/>
      </c>
      <c r="BL327" s="79" t="str">
        <f t="array" ref="BL327">IF($A327="","", INDEX(CS!$B$1:$B$15025,MATCH($A327,CS!$B:$B,0)+COLUMN(F$1),1))</f>
        <v/>
      </c>
      <c r="BM327" s="79" t="str">
        <f t="array" ref="BM327">IF($A327="","", INDEX(CS!$B$1:$B$15025,MATCH($A327,CS!$B:$B,0)+COLUMN(G$1),1))</f>
        <v/>
      </c>
      <c r="BN327" s="79" t="str">
        <f t="array" ref="BN327">IF($A327="","", INDEX(CS!$B$1:$B$15025,MATCH($A327,CS!$B:$B,0)+COLUMN(H$1),1))</f>
        <v/>
      </c>
      <c r="BO327" s="79" t="str">
        <f t="array" ref="BO327">IF($A327="","", INDEX(CS!$B$1:$B$15025,MATCH($A327,CS!$B:$B,0)+COLUMN(I$1),1))</f>
        <v/>
      </c>
      <c r="BP327" s="79" t="str">
        <f t="array" ref="BP327">IF($A327="","", INDEX(CS!$B$1:$B$15025,MATCH($A327,CS!$B:$B,0)+COLUMN(J$1),1))</f>
        <v/>
      </c>
      <c r="BQ327" s="79"/>
      <c r="BR327" s="79"/>
      <c r="BS327" s="83"/>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row>
    <row r="328" ht="18.75" customHeight="1">
      <c r="A328" s="79"/>
      <c r="B328" s="91"/>
      <c r="C328" s="79" t="s">
        <v>2898</v>
      </c>
      <c r="D328" s="98" t="str">
        <f t="shared" si="18"/>
        <v>0/0/0</v>
      </c>
      <c r="E328" s="99">
        <v>1.0</v>
      </c>
      <c r="F328" s="79"/>
      <c r="G328" s="79"/>
      <c r="H328" s="79"/>
      <c r="I328" s="79"/>
      <c r="J328" s="79"/>
      <c r="K328" s="81"/>
      <c r="L328" s="79"/>
      <c r="M328" s="79"/>
      <c r="N328" s="79"/>
      <c r="O328" s="79"/>
      <c r="P328" s="79" t="s">
        <v>29</v>
      </c>
      <c r="Q328" s="82"/>
      <c r="R328" s="82"/>
      <c r="S328" s="82"/>
      <c r="T328" s="82"/>
      <c r="U328" s="82"/>
      <c r="V328" s="82"/>
      <c r="W328" s="82"/>
      <c r="X328" s="82"/>
      <c r="Y328" s="82"/>
      <c r="Z328" s="82"/>
      <c r="AA328" s="82"/>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t="str">
        <f t="array" ref="BG328">IF($A328="","", INDEX(CS!$B$1:$B$15025,MATCH($A328,CS!$B:$B,0)+COLUMN(A$1),1))</f>
        <v/>
      </c>
      <c r="BH328" s="79" t="str">
        <f t="array" ref="BH328">IF($A328="","", INDEX(CS!$B$1:$B$15025,MATCH($A328,CS!$B:$B,0)+COLUMN(B$1),1))</f>
        <v/>
      </c>
      <c r="BI328" s="79" t="str">
        <f t="array" ref="BI328">IF($A328="","", INDEX(CS!$B$1:$B$15025,MATCH($A328,CS!$B:$B,0)+COLUMN(C$1),1))</f>
        <v/>
      </c>
      <c r="BJ328" s="79" t="str">
        <f t="array" ref="BJ328">IF($A328="","", INDEX(CS!$B$1:$B$15025,MATCH($A328,CS!$B:$B,0)+COLUMN(D$1),1))</f>
        <v/>
      </c>
      <c r="BK328" s="79" t="str">
        <f t="array" ref="BK328">IF($A328="","", INDEX(CS!$B$1:$B$15025,MATCH($A328,CS!$B:$B,0)+COLUMN(E$1),1))</f>
        <v/>
      </c>
      <c r="BL328" s="79" t="str">
        <f t="array" ref="BL328">IF($A328="","", INDEX(CS!$B$1:$B$15025,MATCH($A328,CS!$B:$B,0)+COLUMN(F$1),1))</f>
        <v/>
      </c>
      <c r="BM328" s="79" t="str">
        <f t="array" ref="BM328">IF($A328="","", INDEX(CS!$B$1:$B$15025,MATCH($A328,CS!$B:$B,0)+COLUMN(G$1),1))</f>
        <v/>
      </c>
      <c r="BN328" s="79" t="str">
        <f t="array" ref="BN328">IF($A328="","", INDEX(CS!$B$1:$B$15025,MATCH($A328,CS!$B:$B,0)+COLUMN(H$1),1))</f>
        <v/>
      </c>
      <c r="BO328" s="79" t="str">
        <f t="array" ref="BO328">IF($A328="","", INDEX(CS!$B$1:$B$15025,MATCH($A328,CS!$B:$B,0)+COLUMN(I$1),1))</f>
        <v/>
      </c>
      <c r="BP328" s="79" t="str">
        <f t="array" ref="BP328">IF($A328="","", INDEX(CS!$B$1:$B$15025,MATCH($A328,CS!$B:$B,0)+COLUMN(J$1),1))</f>
        <v/>
      </c>
      <c r="BQ328" s="79"/>
      <c r="BR328" s="79"/>
      <c r="BS328" s="83"/>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row>
    <row r="329" ht="18.75" customHeight="1">
      <c r="B329" s="71"/>
      <c r="C329" s="37" t="s">
        <v>2898</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2898</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2898</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2898</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2898</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2898</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2898</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2898</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2898</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2898</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2898</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2898</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2898</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2898</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2898</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2898</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2898</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2898</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2898</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2898</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2898</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2898</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2898</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2898</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2898</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2898</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2898</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2898</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2898</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2898</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2898</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2898</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2898</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2898</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2898</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2898</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2898</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2898</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2898</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2898</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2898</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2898</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2898</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2898</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2898</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2898</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2898</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2898</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2898</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2898</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2898</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2898</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2898</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2898</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2898</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2898</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2898</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2898</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2898</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2898</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2898</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2898</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2898</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2898</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2898</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2898</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2898</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2898</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2898</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2898</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2898</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2898</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2898</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2898</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2898</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2898</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2898</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2898</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2898</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2898</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2898</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2898</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2898</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2898</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2898</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2898</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2898</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2898</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2898</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INDEX(CS!$B$1:$B$15025,MATCH($A417,CS!$B:$B,0)+COLUMN(G$1),1))</f>
        <v/>
      </c>
      <c r="BN417" s="37" t="str">
        <f t="array" ref="BN417">IF($A417="","", INDEX(CS!$B$1:$B$15025,MATCH($A417,CS!$B:$B,0)+COLUMN(H$1),1))</f>
        <v/>
      </c>
      <c r="BO417" s="37" t="str">
        <f t="array" ref="BO417">IF($A417="","", INDEX(CS!$B$1:$B$15025,MATCH($A417,CS!$B:$B,0)+COLUMN(I$1),1))</f>
        <v/>
      </c>
      <c r="BP417" s="37" t="str">
        <f t="array" ref="BP417">IF($A417="","", INDEX(CS!$B$1:$B$15025,MATCH($A417,CS!$B:$B,0)+COLUMN(J$1),1))</f>
        <v/>
      </c>
      <c r="BS417" s="74"/>
    </row>
    <row r="418" ht="18.75" customHeight="1">
      <c r="B418" s="71"/>
      <c r="C418" s="37" t="s">
        <v>2898</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INDEX(CS!$B$1:$B$15025,MATCH($A418,CS!$B:$B,0)+COLUMN(G$1),1))</f>
        <v/>
      </c>
      <c r="BN418" s="37" t="str">
        <f t="array" ref="BN418">IF($A418="","", INDEX(CS!$B$1:$B$15025,MATCH($A418,CS!$B:$B,0)+COLUMN(H$1),1))</f>
        <v/>
      </c>
      <c r="BO418" s="37" t="str">
        <f t="array" ref="BO418">IF($A418="","", INDEX(CS!$B$1:$B$15025,MATCH($A418,CS!$B:$B,0)+COLUMN(I$1),1))</f>
        <v/>
      </c>
      <c r="BP418" s="37" t="str">
        <f t="array" ref="BP418">IF($A418="","", INDEX(CS!$B$1:$B$15025,MATCH($A418,CS!$B:$B,0)+COLUMN(J$1),1))</f>
        <v/>
      </c>
      <c r="BS418" s="74"/>
    </row>
    <row r="419" ht="18.75" customHeight="1">
      <c r="B419" s="71"/>
      <c r="C419" s="37" t="s">
        <v>2898</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INDEX(CS!$B$1:$B$15025,MATCH($A419,CS!$B:$B,0)+COLUMN(G$1),1))</f>
        <v/>
      </c>
      <c r="BN419" s="37" t="str">
        <f t="array" ref="BN419">IF($A419="","", INDEX(CS!$B$1:$B$15025,MATCH($A419,CS!$B:$B,0)+COLUMN(H$1),1))</f>
        <v/>
      </c>
      <c r="BO419" s="37" t="str">
        <f t="array" ref="BO419">IF($A419="","", INDEX(CS!$B$1:$B$15025,MATCH($A419,CS!$B:$B,0)+COLUMN(I$1),1))</f>
        <v/>
      </c>
      <c r="BP419" s="37" t="str">
        <f t="array" ref="BP419">IF($A419="","", INDEX(CS!$B$1:$B$15025,MATCH($A419,CS!$B:$B,0)+COLUMN(J$1),1))</f>
        <v/>
      </c>
      <c r="BS419" s="74"/>
    </row>
    <row r="420" ht="18.75" customHeight="1">
      <c r="B420" s="71"/>
      <c r="C420" s="37" t="s">
        <v>2898</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INDEX(CS!$B$1:$B$15025,MATCH($A420,CS!$B:$B,0)+COLUMN(G$1),1))</f>
        <v/>
      </c>
      <c r="BN420" s="37" t="str">
        <f t="array" ref="BN420">IF($A420="","", INDEX(CS!$B$1:$B$15025,MATCH($A420,CS!$B:$B,0)+COLUMN(H$1),1))</f>
        <v/>
      </c>
      <c r="BO420" s="37" t="str">
        <f t="array" ref="BO420">IF($A420="","", INDEX(CS!$B$1:$B$15025,MATCH($A420,CS!$B:$B,0)+COLUMN(I$1),1))</f>
        <v/>
      </c>
      <c r="BP420" s="37" t="str">
        <f t="array" ref="BP420">IF($A420="","", INDEX(CS!$B$1:$B$15025,MATCH($A420,CS!$B:$B,0)+COLUMN(J$1),1))</f>
        <v/>
      </c>
      <c r="BS420" s="74"/>
    </row>
    <row r="421" ht="18.75" customHeight="1">
      <c r="B421" s="71"/>
      <c r="C421" s="37" t="s">
        <v>2898</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INDEX(CS!$B$1:$B$15025,MATCH($A421,CS!$B:$B,0)+COLUMN(G$1),1))</f>
        <v/>
      </c>
      <c r="BN421" s="37" t="str">
        <f t="array" ref="BN421">IF($A421="","", INDEX(CS!$B$1:$B$15025,MATCH($A421,CS!$B:$B,0)+COLUMN(H$1),1))</f>
        <v/>
      </c>
      <c r="BO421" s="37" t="str">
        <f t="array" ref="BO421">IF($A421="","", INDEX(CS!$B$1:$B$15025,MATCH($A421,CS!$B:$B,0)+COLUMN(I$1),1))</f>
        <v/>
      </c>
      <c r="BP421" s="37" t="str">
        <f t="array" ref="BP421">IF($A421="","", INDEX(CS!$B$1:$B$15025,MATCH($A421,CS!$B:$B,0)+COLUMN(J$1),1))</f>
        <v/>
      </c>
      <c r="BS421" s="74"/>
    </row>
    <row r="422" ht="18.75" customHeight="1">
      <c r="B422" s="71"/>
      <c r="C422" s="37" t="s">
        <v>2898</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2898</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2898</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2898</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2898</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2898</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2898</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2898</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2898</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2898</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2898</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2898</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2898</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2898</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2898</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2898</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2898</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2898</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2898</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2898</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2898</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2898</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2898</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2898</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2898</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C447" s="37" t="s">
        <v>2898</v>
      </c>
      <c r="D447" s="72" t="str">
        <f t="shared" si="18"/>
        <v>0/0/0</v>
      </c>
      <c r="E447" s="37">
        <v>1.0</v>
      </c>
      <c r="K447" s="73"/>
      <c r="P447" s="37" t="s">
        <v>29</v>
      </c>
      <c r="Q447" s="64"/>
      <c r="R447" s="64"/>
      <c r="S447" s="64"/>
      <c r="T447" s="64"/>
      <c r="U447" s="64"/>
      <c r="V447" s="64"/>
      <c r="W447" s="64"/>
      <c r="X447" s="64"/>
      <c r="Y447" s="64"/>
      <c r="Z447" s="64"/>
      <c r="AA447" s="64"/>
      <c r="BG447" s="37" t="str">
        <f t="array" ref="BG447">IF($A447="","", INDEX(CS!$B$1:$B$15025,MATCH($A447,CS!$B:$B,0)+COLUMN(A$1),1))</f>
        <v/>
      </c>
      <c r="BH447" s="37" t="str">
        <f t="array" ref="BH447">IF($A447="","", INDEX(CS!$B$1:$B$15025,MATCH($A447,CS!$B:$B,0)+COLUMN(B$1),1))</f>
        <v/>
      </c>
      <c r="BI447" s="37" t="str">
        <f t="array" ref="BI447">IF($A447="","", INDEX(CS!$B$1:$B$15025,MATCH($A447,CS!$B:$B,0)+COLUMN(C$1),1))</f>
        <v/>
      </c>
      <c r="BJ447" s="37" t="str">
        <f t="array" ref="BJ447">IF($A447="","", INDEX(CS!$B$1:$B$15025,MATCH($A447,CS!$B:$B,0)+COLUMN(D$1),1))</f>
        <v/>
      </c>
      <c r="BK447" s="37" t="str">
        <f t="array" ref="BK447">IF($A447="","", INDEX(CS!$B$1:$B$15025,MATCH($A447,CS!$B:$B,0)+COLUMN(E$1),1))</f>
        <v/>
      </c>
      <c r="BL447" s="37" t="str">
        <f t="array" ref="BL447">IF($A447="","", INDEX(CS!$B$1:$B$15025,MATCH($A447,CS!$B:$B,0)+COLUMN(F$1),1))</f>
        <v/>
      </c>
      <c r="BM447" s="37" t="str">
        <f t="array" ref="BM447">IF($A447="","", INDEX(CS!$B$1:$B$15025,MATCH($A447,CS!$B:$B,0)+COLUMN(I$1),1))</f>
        <v/>
      </c>
      <c r="BN447" s="37" t="str">
        <f t="array" ref="BN447">IF($A447="","", INDEX(CS!$B$1:$B$15025,MATCH($A447,CS!$B:$B,0)+COLUMN(J$1),1))</f>
        <v/>
      </c>
      <c r="BO447" s="37" t="str">
        <f t="array" ref="BO447">IF($A447="","", INDEX(CS!$B$1:$B$15025,MATCH($A447,CS!$B:$B,0)+COLUMN(K$1),1))</f>
        <v/>
      </c>
      <c r="BP447" s="37" t="str">
        <f t="array" ref="BP447">IF($A447="","", INDEX(CS!$B$1:$B$15025,MATCH($A447,CS!$B:$B,0)+COLUMN(L$1),1))</f>
        <v/>
      </c>
      <c r="BS447" s="74"/>
    </row>
    <row r="448" ht="18.75" customHeight="1">
      <c r="B448" s="71"/>
      <c r="C448" s="37" t="s">
        <v>2898</v>
      </c>
      <c r="D448" s="72" t="str">
        <f t="shared" si="18"/>
        <v>0/0/0</v>
      </c>
      <c r="E448" s="37">
        <v>1.0</v>
      </c>
      <c r="K448" s="73"/>
      <c r="P448" s="37" t="s">
        <v>29</v>
      </c>
      <c r="Q448" s="64"/>
      <c r="R448" s="64"/>
      <c r="S448" s="64"/>
      <c r="T448" s="64"/>
      <c r="U448" s="64"/>
      <c r="V448" s="64"/>
      <c r="W448" s="64"/>
      <c r="X448" s="64"/>
      <c r="Y448" s="64"/>
      <c r="Z448" s="64"/>
      <c r="AA448" s="64"/>
      <c r="BG448" s="37" t="str">
        <f t="array" ref="BG448">IF($A448="","", INDEX(CS!$B$1:$B$15025,MATCH($A448,CS!$B:$B,0)+COLUMN(A$1),1))</f>
        <v/>
      </c>
      <c r="BH448" s="37" t="str">
        <f t="array" ref="BH448">IF($A448="","", INDEX(CS!$B$1:$B$15025,MATCH($A448,CS!$B:$B,0)+COLUMN(B$1),1))</f>
        <v/>
      </c>
      <c r="BI448" s="37" t="str">
        <f t="array" ref="BI448">IF($A448="","", INDEX(CS!$B$1:$B$15025,MATCH($A448,CS!$B:$B,0)+COLUMN(C$1),1))</f>
        <v/>
      </c>
      <c r="BJ448" s="37" t="str">
        <f t="array" ref="BJ448">IF($A448="","", INDEX(CS!$B$1:$B$15025,MATCH($A448,CS!$B:$B,0)+COLUMN(D$1),1))</f>
        <v/>
      </c>
      <c r="BK448" s="37" t="str">
        <f t="array" ref="BK448">IF($A448="","", INDEX(CS!$B$1:$B$15025,MATCH($A448,CS!$B:$B,0)+COLUMN(E$1),1))</f>
        <v/>
      </c>
      <c r="BL448" s="37" t="str">
        <f t="array" ref="BL448">IF($A448="","", INDEX(CS!$B$1:$B$15025,MATCH($A448,CS!$B:$B,0)+COLUMN(F$1),1))</f>
        <v/>
      </c>
      <c r="BM448" s="37" t="str">
        <f t="array" ref="BM448">IF($A448="","", INDEX(CS!$B$1:$B$15025,MATCH($A448,CS!$B:$B,0)+COLUMN(I$1),1))</f>
        <v/>
      </c>
      <c r="BN448" s="37" t="str">
        <f t="array" ref="BN448">IF($A448="","", INDEX(CS!$B$1:$B$15025,MATCH($A448,CS!$B:$B,0)+COLUMN(J$1),1))</f>
        <v/>
      </c>
      <c r="BO448" s="37" t="str">
        <f t="array" ref="BO448">IF($A448="","", INDEX(CS!$B$1:$B$15025,MATCH($A448,CS!$B:$B,0)+COLUMN(K$1),1))</f>
        <v/>
      </c>
      <c r="BP448" s="37" t="str">
        <f t="array" ref="BP448">IF($A448="","", INDEX(CS!$B$1:$B$15025,MATCH($A448,CS!$B:$B,0)+COLUMN(L$1),1))</f>
        <v/>
      </c>
      <c r="BS448" s="74"/>
    </row>
    <row r="449" ht="18.75" customHeight="1">
      <c r="B449" s="71"/>
      <c r="C449" s="37" t="s">
        <v>2898</v>
      </c>
      <c r="D449" s="72" t="str">
        <f t="shared" si="18"/>
        <v>0/0/0</v>
      </c>
      <c r="E449" s="37">
        <v>1.0</v>
      </c>
      <c r="K449" s="73"/>
      <c r="P449" s="37" t="s">
        <v>29</v>
      </c>
      <c r="Q449" s="64"/>
      <c r="R449" s="64"/>
      <c r="S449" s="64"/>
      <c r="T449" s="64"/>
      <c r="U449" s="64"/>
      <c r="V449" s="64"/>
      <c r="W449" s="64"/>
      <c r="X449" s="64"/>
      <c r="Y449" s="64"/>
      <c r="Z449" s="64"/>
      <c r="AA449" s="64"/>
      <c r="BG449" s="37" t="str">
        <f t="array" ref="BG449">IF($A449="","", INDEX(CS!$B$1:$B$15025,MATCH($A449,CS!$B:$B,0)+COLUMN(A$1),1))</f>
        <v/>
      </c>
      <c r="BH449" s="37" t="str">
        <f t="array" ref="BH449">IF($A449="","", INDEX(CS!$B$1:$B$15025,MATCH($A449,CS!$B:$B,0)+COLUMN(B$1),1))</f>
        <v/>
      </c>
      <c r="BI449" s="37" t="str">
        <f t="array" ref="BI449">IF($A449="","", INDEX(CS!$B$1:$B$15025,MATCH($A449,CS!$B:$B,0)+COLUMN(C$1),1))</f>
        <v/>
      </c>
      <c r="BJ449" s="37" t="str">
        <f t="array" ref="BJ449">IF($A449="","", INDEX(CS!$B$1:$B$15025,MATCH($A449,CS!$B:$B,0)+COLUMN(D$1),1))</f>
        <v/>
      </c>
      <c r="BK449" s="37" t="str">
        <f t="array" ref="BK449">IF($A449="","", INDEX(CS!$B$1:$B$15025,MATCH($A449,CS!$B:$B,0)+COLUMN(E$1),1))</f>
        <v/>
      </c>
      <c r="BL449" s="37" t="str">
        <f t="array" ref="BL449">IF($A449="","", INDEX(CS!$B$1:$B$15025,MATCH($A449,CS!$B:$B,0)+COLUMN(F$1),1))</f>
        <v/>
      </c>
      <c r="BM449" s="37" t="str">
        <f t="array" ref="BM449">IF($A449="","", INDEX(CS!$B$1:$B$15025,MATCH($A449,CS!$B:$B,0)+COLUMN(I$1),1))</f>
        <v/>
      </c>
      <c r="BN449" s="37" t="str">
        <f t="array" ref="BN449">IF($A449="","", INDEX(CS!$B$1:$B$15025,MATCH($A449,CS!$B:$B,0)+COLUMN(J$1),1))</f>
        <v/>
      </c>
      <c r="BO449" s="37" t="str">
        <f t="array" ref="BO449">IF($A449="","", INDEX(CS!$B$1:$B$15025,MATCH($A449,CS!$B:$B,0)+COLUMN(K$1),1))</f>
        <v/>
      </c>
      <c r="BP449" s="37" t="str">
        <f t="array" ref="BP449">IF($A449="","", INDEX(CS!$B$1:$B$15025,MATCH($A449,CS!$B:$B,0)+COLUMN(L$1),1))</f>
        <v/>
      </c>
      <c r="BS449" s="74"/>
    </row>
    <row r="450" ht="18.75" customHeight="1">
      <c r="B450" s="71"/>
      <c r="C450" s="37" t="s">
        <v>2898</v>
      </c>
      <c r="D450" s="72" t="str">
        <f t="shared" si="18"/>
        <v>0/0/0</v>
      </c>
      <c r="E450" s="37">
        <v>1.0</v>
      </c>
      <c r="K450" s="73"/>
      <c r="P450" s="37" t="s">
        <v>29</v>
      </c>
      <c r="Q450" s="64"/>
      <c r="R450" s="64"/>
      <c r="S450" s="64"/>
      <c r="T450" s="64"/>
      <c r="U450" s="64"/>
      <c r="V450" s="64"/>
      <c r="W450" s="64"/>
      <c r="X450" s="64"/>
      <c r="Y450" s="64"/>
      <c r="Z450" s="64"/>
      <c r="AA450" s="64"/>
      <c r="BG450" s="37" t="str">
        <f t="array" ref="BG450">IF($A450="","", INDEX(CS!$B$1:$B$15025,MATCH($A450,CS!$B:$B,0)+COLUMN(A$1),1))</f>
        <v/>
      </c>
      <c r="BH450" s="37" t="str">
        <f t="array" ref="BH450">IF($A450="","", INDEX(CS!$B$1:$B$15025,MATCH($A450,CS!$B:$B,0)+COLUMN(B$1),1))</f>
        <v/>
      </c>
      <c r="BI450" s="37" t="str">
        <f t="array" ref="BI450">IF($A450="","", INDEX(CS!$B$1:$B$15025,MATCH($A450,CS!$B:$B,0)+COLUMN(C$1),1))</f>
        <v/>
      </c>
      <c r="BJ450" s="37" t="str">
        <f t="array" ref="BJ450">IF($A450="","", INDEX(CS!$B$1:$B$15025,MATCH($A450,CS!$B:$B,0)+COLUMN(D$1),1))</f>
        <v/>
      </c>
      <c r="BK450" s="37" t="str">
        <f t="array" ref="BK450">IF($A450="","", INDEX(CS!$B$1:$B$15025,MATCH($A450,CS!$B:$B,0)+COLUMN(E$1),1))</f>
        <v/>
      </c>
      <c r="BL450" s="37" t="str">
        <f t="array" ref="BL450">IF($A450="","", INDEX(CS!$B$1:$B$15025,MATCH($A450,CS!$B:$B,0)+COLUMN(F$1),1))</f>
        <v/>
      </c>
      <c r="BM450" s="37" t="str">
        <f t="array" ref="BM450">IF($A450="","", INDEX(CS!$B$1:$B$15025,MATCH($A450,CS!$B:$B,0)+COLUMN(I$1),1))</f>
        <v/>
      </c>
      <c r="BN450" s="37" t="str">
        <f t="array" ref="BN450">IF($A450="","", INDEX(CS!$B$1:$B$15025,MATCH($A450,CS!$B:$B,0)+COLUMN(J$1),1))</f>
        <v/>
      </c>
      <c r="BO450" s="37" t="str">
        <f t="array" ref="BO450">IF($A450="","", INDEX(CS!$B$1:$B$15025,MATCH($A450,CS!$B:$B,0)+COLUMN(K$1),1))</f>
        <v/>
      </c>
      <c r="BP450" s="37" t="str">
        <f t="array" ref="BP450">IF($A450="","", INDEX(CS!$B$1:$B$15025,MATCH($A450,CS!$B:$B,0)+COLUMN(L$1),1))</f>
        <v/>
      </c>
      <c r="BS450" s="74"/>
    </row>
    <row r="451" ht="18.75" customHeight="1">
      <c r="B451" s="71"/>
      <c r="C451" s="37" t="s">
        <v>2898</v>
      </c>
      <c r="D451" s="72" t="str">
        <f t="shared" si="18"/>
        <v>0/0/0</v>
      </c>
      <c r="E451" s="37">
        <v>1.0</v>
      </c>
      <c r="K451" s="73"/>
      <c r="P451" s="37" t="s">
        <v>29</v>
      </c>
      <c r="Q451" s="64"/>
      <c r="R451" s="64"/>
      <c r="S451" s="64"/>
      <c r="T451" s="64"/>
      <c r="U451" s="64"/>
      <c r="V451" s="64"/>
      <c r="W451" s="64"/>
      <c r="X451" s="64"/>
      <c r="Y451" s="64"/>
      <c r="Z451" s="64"/>
      <c r="AA451" s="64"/>
      <c r="BG451" s="37" t="str">
        <f t="array" ref="BG451">IF($A451="","", INDEX(CS!$B$1:$B$15025,MATCH($A451,CS!$B:$B,0)+COLUMN(A$1),1))</f>
        <v/>
      </c>
      <c r="BH451" s="37" t="str">
        <f t="array" ref="BH451">IF($A451="","", INDEX(CS!$B$1:$B$15025,MATCH($A451,CS!$B:$B,0)+COLUMN(B$1),1))</f>
        <v/>
      </c>
      <c r="BI451" s="37" t="str">
        <f t="array" ref="BI451">IF($A451="","", INDEX(CS!$B$1:$B$15025,MATCH($A451,CS!$B:$B,0)+COLUMN(C$1),1))</f>
        <v/>
      </c>
      <c r="BJ451" s="37" t="str">
        <f t="array" ref="BJ451">IF($A451="","", INDEX(CS!$B$1:$B$15025,MATCH($A451,CS!$B:$B,0)+COLUMN(D$1),1))</f>
        <v/>
      </c>
      <c r="BK451" s="37" t="str">
        <f t="array" ref="BK451">IF($A451="","", INDEX(CS!$B$1:$B$15025,MATCH($A451,CS!$B:$B,0)+COLUMN(E$1),1))</f>
        <v/>
      </c>
      <c r="BL451" s="37" t="str">
        <f t="array" ref="BL451">IF($A451="","", INDEX(CS!$B$1:$B$15025,MATCH($A451,CS!$B:$B,0)+COLUMN(F$1),1))</f>
        <v/>
      </c>
      <c r="BM451" s="37" t="str">
        <f t="array" ref="BM451">IF($A451="","", INDEX(CS!$B$1:$B$15025,MATCH($A451,CS!$B:$B,0)+COLUMN(I$1),1))</f>
        <v/>
      </c>
      <c r="BN451" s="37" t="str">
        <f t="array" ref="BN451">IF($A451="","", INDEX(CS!$B$1:$B$15025,MATCH($A451,CS!$B:$B,0)+COLUMN(J$1),1))</f>
        <v/>
      </c>
      <c r="BO451" s="37" t="str">
        <f t="array" ref="BO451">IF($A451="","", INDEX(CS!$B$1:$B$15025,MATCH($A451,CS!$B:$B,0)+COLUMN(K$1),1))</f>
        <v/>
      </c>
      <c r="BP451" s="37" t="str">
        <f t="array" ref="BP451">IF($A451="","", INDEX(CS!$B$1:$B$15025,MATCH($A451,CS!$B:$B,0)+COLUMN(L$1),1))</f>
        <v/>
      </c>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71"/>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85"/>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B1110" s="71"/>
      <c r="D1110" s="72"/>
      <c r="K1110" s="73"/>
      <c r="P1110" s="37" t="s">
        <v>29</v>
      </c>
      <c r="Q1110" s="64"/>
      <c r="R1110" s="64"/>
      <c r="S1110" s="64"/>
      <c r="T1110" s="64"/>
      <c r="U1110" s="64"/>
      <c r="V1110" s="64"/>
      <c r="W1110" s="64"/>
      <c r="X1110" s="64"/>
      <c r="Y1110" s="64"/>
      <c r="Z1110" s="64"/>
      <c r="AA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c r="BT1113" s="39"/>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A1115" s="25"/>
      <c r="B1115" s="71"/>
      <c r="D1115" s="72"/>
      <c r="K1115" s="73"/>
      <c r="P1115" s="37" t="s">
        <v>29</v>
      </c>
      <c r="Q1115" s="64"/>
      <c r="R1115" s="64"/>
      <c r="S1115" s="64"/>
      <c r="T1115" s="64"/>
      <c r="U1115" s="64"/>
      <c r="V1115" s="64"/>
      <c r="W1115" s="64"/>
      <c r="X1115" s="64"/>
      <c r="Y1115" s="64"/>
      <c r="Z1115" s="64"/>
      <c r="AA1115" s="64"/>
      <c r="AB1115" s="64"/>
      <c r="AC1115" s="64"/>
      <c r="AD1115" s="64"/>
      <c r="AE1115" s="64"/>
      <c r="AF1115" s="64"/>
      <c r="AG1115" s="64"/>
      <c r="AH1115" s="64"/>
      <c r="AI1115" s="64"/>
      <c r="AJ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71"/>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B1195" s="71"/>
      <c r="D1195" s="72"/>
      <c r="K1195" s="73"/>
      <c r="P1195" s="37" t="s">
        <v>29</v>
      </c>
      <c r="Q1195" s="64"/>
      <c r="R1195" s="64"/>
      <c r="S1195" s="64"/>
      <c r="T1195" s="64"/>
      <c r="U1195" s="64"/>
      <c r="V1195" s="64"/>
      <c r="W1195" s="64"/>
      <c r="X1195" s="64"/>
      <c r="Y1195" s="64"/>
      <c r="Z1195" s="64"/>
      <c r="AA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85"/>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A1200" s="25"/>
      <c r="B1200" s="71"/>
      <c r="D1200" s="72"/>
      <c r="K1200" s="73"/>
      <c r="P1200" s="37" t="s">
        <v>29</v>
      </c>
      <c r="Q1200" s="64"/>
      <c r="R1200" s="64"/>
      <c r="S1200" s="64"/>
      <c r="T1200" s="64"/>
      <c r="U1200" s="64"/>
      <c r="V1200" s="64"/>
      <c r="W1200" s="64"/>
      <c r="X1200" s="64"/>
      <c r="Y1200" s="64"/>
      <c r="Z1200" s="64"/>
      <c r="AA1200" s="64"/>
      <c r="AB1200" s="64"/>
      <c r="AC1200" s="64"/>
      <c r="AD1200" s="64"/>
      <c r="AE1200" s="64"/>
      <c r="AF1200" s="64"/>
      <c r="AG1200" s="64"/>
      <c r="AH1200" s="64"/>
      <c r="AI1200" s="64"/>
      <c r="AJ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c r="BT1213" s="39"/>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row r="1228" ht="18.75" customHeight="1">
      <c r="B1228" s="71"/>
      <c r="D1228" s="72"/>
      <c r="K1228" s="73"/>
      <c r="P1228" s="37" t="s">
        <v>29</v>
      </c>
      <c r="Q1228" s="64"/>
      <c r="R1228" s="64"/>
      <c r="S1228" s="64"/>
      <c r="T1228" s="64"/>
      <c r="U1228" s="64"/>
      <c r="V1228" s="64"/>
      <c r="W1228" s="64"/>
      <c r="X1228" s="64"/>
      <c r="Y1228" s="64"/>
      <c r="Z1228" s="64"/>
      <c r="AA1228" s="64"/>
      <c r="BS1228" s="74"/>
    </row>
    <row r="1229" ht="18.75" customHeight="1">
      <c r="B1229" s="71"/>
      <c r="D1229" s="72"/>
      <c r="K1229" s="73"/>
      <c r="P1229" s="37" t="s">
        <v>29</v>
      </c>
      <c r="Q1229" s="64"/>
      <c r="R1229" s="64"/>
      <c r="S1229" s="64"/>
      <c r="T1229" s="64"/>
      <c r="U1229" s="64"/>
      <c r="V1229" s="64"/>
      <c r="W1229" s="64"/>
      <c r="X1229" s="64"/>
      <c r="Y1229" s="64"/>
      <c r="Z1229" s="64"/>
      <c r="AA1229" s="64"/>
      <c r="BS1229" s="74"/>
    </row>
    <row r="1230" ht="18.75" customHeight="1">
      <c r="B1230" s="71"/>
      <c r="D1230" s="72"/>
      <c r="K1230" s="73"/>
      <c r="P1230" s="37" t="s">
        <v>29</v>
      </c>
      <c r="Q1230" s="64"/>
      <c r="R1230" s="64"/>
      <c r="S1230" s="64"/>
      <c r="T1230" s="64"/>
      <c r="U1230" s="64"/>
      <c r="V1230" s="64"/>
      <c r="W1230" s="64"/>
      <c r="X1230" s="64"/>
      <c r="Y1230" s="64"/>
      <c r="Z1230" s="64"/>
      <c r="AA1230" s="64"/>
      <c r="BS1230" s="74"/>
    </row>
    <row r="1231" ht="18.75" customHeight="1">
      <c r="B1231" s="71"/>
      <c r="D1231" s="72"/>
      <c r="K1231" s="73"/>
      <c r="P1231" s="37" t="s">
        <v>29</v>
      </c>
      <c r="Q1231" s="64"/>
      <c r="R1231" s="64"/>
      <c r="S1231" s="64"/>
      <c r="T1231" s="64"/>
      <c r="U1231" s="64"/>
      <c r="V1231" s="64"/>
      <c r="W1231" s="64"/>
      <c r="X1231" s="64"/>
      <c r="Y1231" s="64"/>
      <c r="Z1231" s="64"/>
      <c r="AA1231" s="64"/>
      <c r="BS1231" s="74"/>
    </row>
    <row r="1232" ht="18.75" customHeight="1">
      <c r="B1232" s="71"/>
      <c r="D1232" s="72"/>
      <c r="K1232" s="73"/>
      <c r="P1232" s="37" t="s">
        <v>29</v>
      </c>
      <c r="Q1232" s="64"/>
      <c r="R1232" s="64"/>
      <c r="S1232" s="64"/>
      <c r="T1232" s="64"/>
      <c r="U1232" s="64"/>
      <c r="V1232" s="64"/>
      <c r="W1232" s="64"/>
      <c r="X1232" s="64"/>
      <c r="Y1232" s="64"/>
      <c r="Z1232" s="64"/>
      <c r="AA1232" s="64"/>
      <c r="BS1232"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2917</v>
      </c>
      <c r="C1" s="103" t="s">
        <v>2918</v>
      </c>
      <c r="D1" s="103" t="s">
        <v>2919</v>
      </c>
      <c r="E1" s="104" t="s">
        <v>2920</v>
      </c>
      <c r="F1" s="103" t="s">
        <v>2921</v>
      </c>
      <c r="G1" s="103" t="s">
        <v>2620</v>
      </c>
      <c r="H1" s="103" t="s">
        <v>2922</v>
      </c>
      <c r="I1" s="103" t="s">
        <v>2923</v>
      </c>
      <c r="J1" s="103" t="s">
        <v>2924</v>
      </c>
      <c r="K1" s="103" t="s">
        <v>2925</v>
      </c>
      <c r="L1" s="103" t="s">
        <v>2926</v>
      </c>
      <c r="M1" s="103" t="s">
        <v>2927</v>
      </c>
      <c r="N1" s="103" t="s">
        <v>2928</v>
      </c>
      <c r="O1" s="103" t="s">
        <v>2929</v>
      </c>
      <c r="P1" s="103" t="s">
        <v>2930</v>
      </c>
      <c r="Q1" s="105" t="s">
        <v>2931</v>
      </c>
      <c r="R1" s="105" t="s">
        <v>2932</v>
      </c>
      <c r="S1" s="1"/>
      <c r="T1" s="1"/>
      <c r="U1" s="1"/>
      <c r="V1" s="1"/>
      <c r="W1" s="1"/>
      <c r="X1" s="1"/>
      <c r="Y1" s="1"/>
      <c r="Z1" s="1"/>
    </row>
    <row r="2">
      <c r="A2" s="106" t="s">
        <v>2660</v>
      </c>
      <c r="B2" s="106" t="s">
        <v>1204</v>
      </c>
      <c r="C2" s="106" t="b">
        <v>1</v>
      </c>
      <c r="D2" s="106" t="s">
        <v>2933</v>
      </c>
      <c r="E2" s="107" t="s">
        <v>2934</v>
      </c>
      <c r="F2" s="106" t="s">
        <v>2935</v>
      </c>
      <c r="G2" s="106" t="s">
        <v>2936</v>
      </c>
      <c r="H2" s="106" t="s">
        <v>2937</v>
      </c>
      <c r="I2" s="106" t="s">
        <v>2938</v>
      </c>
      <c r="J2" s="106" t="s">
        <v>2939</v>
      </c>
      <c r="K2" s="106">
        <v>50.0</v>
      </c>
      <c r="L2" s="106">
        <v>0.0</v>
      </c>
      <c r="M2" s="106">
        <v>1.0</v>
      </c>
      <c r="N2" s="108">
        <v>0.15</v>
      </c>
      <c r="O2" s="106" t="s">
        <v>54</v>
      </c>
      <c r="P2" s="106" t="s">
        <v>29</v>
      </c>
      <c r="Q2" s="109" t="s">
        <v>29</v>
      </c>
      <c r="R2" s="109" t="s">
        <v>2940</v>
      </c>
    </row>
    <row r="3">
      <c r="A3" s="106" t="s">
        <v>1205</v>
      </c>
      <c r="B3" s="106" t="s">
        <v>1205</v>
      </c>
      <c r="C3" s="106" t="b">
        <v>1</v>
      </c>
      <c r="D3" s="106" t="s">
        <v>2941</v>
      </c>
      <c r="E3" s="107" t="s">
        <v>2942</v>
      </c>
      <c r="F3" s="106" t="s">
        <v>2943</v>
      </c>
      <c r="G3" s="106" t="s">
        <v>2944</v>
      </c>
      <c r="H3" s="106" t="s">
        <v>2945</v>
      </c>
      <c r="I3" s="106" t="s">
        <v>56</v>
      </c>
      <c r="J3" s="106" t="s">
        <v>2946</v>
      </c>
      <c r="K3" s="106">
        <v>50.0</v>
      </c>
      <c r="L3" s="106">
        <v>0.0</v>
      </c>
      <c r="M3" s="106">
        <v>1.0</v>
      </c>
      <c r="N3" s="108">
        <v>0.1</v>
      </c>
      <c r="O3" s="106" t="s">
        <v>56</v>
      </c>
      <c r="P3" s="106" t="s">
        <v>29</v>
      </c>
      <c r="Q3" s="110" t="s">
        <v>2947</v>
      </c>
      <c r="R3" s="109" t="s">
        <v>2948</v>
      </c>
    </row>
    <row r="4">
      <c r="A4" s="106" t="s">
        <v>1206</v>
      </c>
      <c r="B4" s="106" t="s">
        <v>1206</v>
      </c>
      <c r="C4" s="106" t="b">
        <v>0</v>
      </c>
      <c r="D4" s="106" t="s">
        <v>2949</v>
      </c>
      <c r="E4" s="107" t="s">
        <v>29</v>
      </c>
      <c r="F4" s="106" t="s">
        <v>29</v>
      </c>
      <c r="G4" s="106" t="s">
        <v>29</v>
      </c>
      <c r="H4" s="106" t="s">
        <v>29</v>
      </c>
      <c r="I4" s="106" t="s">
        <v>2950</v>
      </c>
      <c r="J4" s="106" t="s">
        <v>2951</v>
      </c>
      <c r="K4" s="106">
        <v>50.0</v>
      </c>
      <c r="L4" s="106">
        <v>1.0</v>
      </c>
      <c r="M4" s="106">
        <v>1.0</v>
      </c>
      <c r="N4" s="108">
        <v>0.1</v>
      </c>
      <c r="O4" s="110" t="s">
        <v>2952</v>
      </c>
      <c r="P4" s="106" t="s">
        <v>2953</v>
      </c>
      <c r="Q4" s="110" t="s">
        <v>2954</v>
      </c>
      <c r="R4" s="109" t="s">
        <v>29</v>
      </c>
    </row>
    <row r="5">
      <c r="A5" s="106" t="s">
        <v>2669</v>
      </c>
      <c r="B5" s="106" t="s">
        <v>1208</v>
      </c>
      <c r="C5" s="106" t="b">
        <v>0</v>
      </c>
      <c r="D5" s="106" t="s">
        <v>2955</v>
      </c>
      <c r="E5" s="107" t="s">
        <v>29</v>
      </c>
      <c r="F5" s="106" t="s">
        <v>29</v>
      </c>
      <c r="G5" s="106" t="s">
        <v>29</v>
      </c>
      <c r="H5" s="106" t="s">
        <v>29</v>
      </c>
      <c r="I5" s="106" t="s">
        <v>2956</v>
      </c>
      <c r="J5" s="106" t="s">
        <v>2957</v>
      </c>
      <c r="K5" s="106">
        <v>60.0</v>
      </c>
      <c r="L5" s="106">
        <v>1.0</v>
      </c>
      <c r="M5" s="106">
        <v>0.8</v>
      </c>
      <c r="N5" s="108">
        <v>0.2</v>
      </c>
      <c r="O5" s="106" t="s">
        <v>54</v>
      </c>
      <c r="P5" s="106" t="s">
        <v>2953</v>
      </c>
      <c r="Q5" s="110" t="s">
        <v>2958</v>
      </c>
      <c r="R5" s="109" t="s">
        <v>29</v>
      </c>
    </row>
    <row r="6">
      <c r="A6" s="106" t="s">
        <v>2671</v>
      </c>
      <c r="B6" s="106" t="s">
        <v>1217</v>
      </c>
      <c r="C6" s="106" t="b">
        <v>1</v>
      </c>
      <c r="D6" s="106" t="s">
        <v>2959</v>
      </c>
      <c r="E6" s="107" t="s">
        <v>2960</v>
      </c>
      <c r="F6" s="106" t="s">
        <v>2961</v>
      </c>
      <c r="G6" s="106" t="s">
        <v>2962</v>
      </c>
      <c r="H6" s="106" t="s">
        <v>2963</v>
      </c>
      <c r="I6" s="106" t="s">
        <v>2915</v>
      </c>
      <c r="J6" s="106" t="s">
        <v>2964</v>
      </c>
      <c r="K6" s="106">
        <v>25.0</v>
      </c>
      <c r="L6" s="106">
        <v>1.0</v>
      </c>
      <c r="M6" s="106">
        <v>1.25</v>
      </c>
      <c r="N6" s="108">
        <v>0.25</v>
      </c>
      <c r="O6" s="106" t="s">
        <v>2965</v>
      </c>
      <c r="P6" s="106" t="s">
        <v>29</v>
      </c>
      <c r="Q6" s="109" t="s">
        <v>2966</v>
      </c>
      <c r="R6" s="109" t="s">
        <v>2967</v>
      </c>
    </row>
    <row r="7">
      <c r="A7" s="106" t="s">
        <v>1225</v>
      </c>
      <c r="B7" s="106" t="s">
        <v>1225</v>
      </c>
      <c r="C7" s="106" t="b">
        <v>1</v>
      </c>
      <c r="D7" s="106" t="s">
        <v>2968</v>
      </c>
      <c r="E7" s="107" t="s">
        <v>2969</v>
      </c>
      <c r="F7" s="106" t="s">
        <v>2970</v>
      </c>
      <c r="G7" s="106" t="s">
        <v>2971</v>
      </c>
      <c r="H7" s="106" t="s">
        <v>2972</v>
      </c>
      <c r="I7" s="106" t="s">
        <v>2973</v>
      </c>
      <c r="J7" s="106" t="s">
        <v>2974</v>
      </c>
      <c r="K7" s="106">
        <v>25.0</v>
      </c>
      <c r="L7" s="106">
        <v>1.0</v>
      </c>
      <c r="M7" s="106">
        <v>0.8</v>
      </c>
      <c r="N7" s="108">
        <v>0.35</v>
      </c>
      <c r="O7" s="106" t="s">
        <v>2975</v>
      </c>
      <c r="P7" s="106" t="s">
        <v>29</v>
      </c>
      <c r="Q7" s="109" t="s">
        <v>2966</v>
      </c>
      <c r="R7" s="109" t="s">
        <v>2967</v>
      </c>
    </row>
    <row r="8">
      <c r="A8" s="106" t="s">
        <v>2676</v>
      </c>
      <c r="B8" s="106" t="s">
        <v>1238</v>
      </c>
      <c r="C8" s="106" t="b">
        <v>0</v>
      </c>
      <c r="D8" s="106" t="s">
        <v>2976</v>
      </c>
      <c r="E8" s="107" t="s">
        <v>29</v>
      </c>
      <c r="F8" s="106" t="s">
        <v>29</v>
      </c>
      <c r="G8" s="106" t="s">
        <v>29</v>
      </c>
      <c r="H8" s="106" t="s">
        <v>29</v>
      </c>
      <c r="I8" s="106" t="s">
        <v>2977</v>
      </c>
      <c r="J8" s="106" t="s">
        <v>2978</v>
      </c>
      <c r="K8" s="106">
        <v>15.0</v>
      </c>
      <c r="L8" s="106">
        <v>2.0</v>
      </c>
      <c r="M8" s="106">
        <v>1.2</v>
      </c>
      <c r="N8" s="108">
        <v>0.45</v>
      </c>
      <c r="O8" s="106" t="s">
        <v>2979</v>
      </c>
      <c r="P8" s="106" t="s">
        <v>2953</v>
      </c>
      <c r="Q8" s="109" t="s">
        <v>29</v>
      </c>
      <c r="R8" s="109" t="s">
        <v>29</v>
      </c>
    </row>
    <row r="9">
      <c r="A9" s="106" t="s">
        <v>1252</v>
      </c>
      <c r="B9" s="106" t="s">
        <v>1252</v>
      </c>
      <c r="C9" s="106" t="b">
        <v>1</v>
      </c>
      <c r="D9" s="106" t="s">
        <v>2980</v>
      </c>
      <c r="E9" s="107" t="s">
        <v>2981</v>
      </c>
      <c r="F9" s="106" t="s">
        <v>2982</v>
      </c>
      <c r="G9" s="106" t="s">
        <v>2983</v>
      </c>
      <c r="H9" s="106" t="s">
        <v>2984</v>
      </c>
      <c r="I9" s="106" t="s">
        <v>2985</v>
      </c>
      <c r="J9" s="106" t="s">
        <v>2986</v>
      </c>
      <c r="K9" s="106">
        <v>75.0</v>
      </c>
      <c r="L9" s="106">
        <v>0.0</v>
      </c>
      <c r="M9" s="106">
        <v>0.5</v>
      </c>
      <c r="N9" s="108">
        <v>0.1</v>
      </c>
      <c r="O9" s="106" t="s">
        <v>2987</v>
      </c>
      <c r="P9" s="106" t="s">
        <v>29</v>
      </c>
      <c r="Q9" s="109" t="s">
        <v>2988</v>
      </c>
      <c r="R9" s="109" t="s">
        <v>2989</v>
      </c>
    </row>
    <row r="10">
      <c r="A10" s="106" t="s">
        <v>2685</v>
      </c>
      <c r="B10" s="106" t="s">
        <v>1280</v>
      </c>
      <c r="C10" s="106" t="b">
        <v>1</v>
      </c>
      <c r="D10" s="106" t="s">
        <v>2990</v>
      </c>
      <c r="E10" s="107" t="s">
        <v>2991</v>
      </c>
      <c r="F10" s="106" t="s">
        <v>2992</v>
      </c>
      <c r="G10" s="106" t="s">
        <v>2993</v>
      </c>
      <c r="H10" s="106" t="s">
        <v>2994</v>
      </c>
      <c r="I10" s="106" t="s">
        <v>2995</v>
      </c>
      <c r="J10" s="106" t="s">
        <v>2996</v>
      </c>
      <c r="K10" s="106">
        <v>10.0</v>
      </c>
      <c r="L10" s="106">
        <v>3.0</v>
      </c>
      <c r="M10" s="106">
        <v>1.5</v>
      </c>
      <c r="N10" s="108">
        <v>0.6</v>
      </c>
      <c r="O10" s="106" t="s">
        <v>2997</v>
      </c>
      <c r="P10" s="106" t="s">
        <v>29</v>
      </c>
      <c r="Q10" s="110" t="s">
        <v>2998</v>
      </c>
      <c r="R10" s="109" t="s">
        <v>2999</v>
      </c>
    </row>
    <row r="11">
      <c r="A11" s="106" t="s">
        <v>2703</v>
      </c>
      <c r="B11" s="106" t="s">
        <v>1295</v>
      </c>
      <c r="C11" s="106" t="b">
        <v>1</v>
      </c>
      <c r="D11" s="106" t="s">
        <v>3000</v>
      </c>
      <c r="E11" s="107" t="s">
        <v>3001</v>
      </c>
      <c r="F11" s="106" t="s">
        <v>3002</v>
      </c>
      <c r="G11" s="106" t="s">
        <v>3003</v>
      </c>
      <c r="H11" s="106" t="s">
        <v>3004</v>
      </c>
      <c r="I11" s="106" t="s">
        <v>3005</v>
      </c>
      <c r="J11" s="106" t="s">
        <v>3006</v>
      </c>
      <c r="K11" s="106">
        <v>15.0</v>
      </c>
      <c r="L11" s="106">
        <v>3.0</v>
      </c>
      <c r="M11" s="106">
        <v>1.5</v>
      </c>
      <c r="N11" s="108">
        <v>0.6</v>
      </c>
      <c r="O11" s="106" t="s">
        <v>3007</v>
      </c>
      <c r="P11" s="106" t="s">
        <v>29</v>
      </c>
      <c r="Q11" s="110" t="s">
        <v>3008</v>
      </c>
      <c r="R11" s="109" t="s">
        <v>3009</v>
      </c>
    </row>
    <row r="12">
      <c r="A12" s="106" t="s">
        <v>1302</v>
      </c>
      <c r="B12" s="106" t="s">
        <v>1302</v>
      </c>
      <c r="C12" s="111" t="b">
        <v>1</v>
      </c>
      <c r="D12" s="106" t="s">
        <v>3010</v>
      </c>
      <c r="E12" s="107" t="s">
        <v>3011</v>
      </c>
      <c r="F12" s="106" t="s">
        <v>3012</v>
      </c>
      <c r="G12" s="106" t="s">
        <v>3013</v>
      </c>
      <c r="H12" s="106" t="s">
        <v>3014</v>
      </c>
      <c r="I12" s="106" t="s">
        <v>3015</v>
      </c>
      <c r="J12" s="106" t="s">
        <v>3016</v>
      </c>
      <c r="K12" s="106">
        <v>10.0</v>
      </c>
      <c r="L12" s="110">
        <v>3.0</v>
      </c>
      <c r="M12" s="106">
        <v>1.5</v>
      </c>
      <c r="N12" s="108">
        <v>0.6</v>
      </c>
      <c r="O12" s="106" t="s">
        <v>3017</v>
      </c>
      <c r="P12" s="106" t="s">
        <v>3018</v>
      </c>
      <c r="Q12" s="110" t="s">
        <v>3019</v>
      </c>
      <c r="R12" s="109" t="s">
        <v>3020</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3021</v>
      </c>
      <c r="B1" s="114" t="s">
        <v>3022</v>
      </c>
      <c r="D1" s="113" t="s">
        <v>3023</v>
      </c>
      <c r="E1" s="114" t="s">
        <v>3022</v>
      </c>
      <c r="G1" s="113" t="s">
        <v>3024</v>
      </c>
      <c r="H1" s="114" t="s">
        <v>3022</v>
      </c>
      <c r="I1" s="113" t="s">
        <v>3025</v>
      </c>
    </row>
    <row r="2">
      <c r="A2" s="109" t="s">
        <v>3026</v>
      </c>
      <c r="B2" s="115" t="s">
        <v>3027</v>
      </c>
      <c r="C2" s="109"/>
      <c r="D2" s="109" t="s">
        <v>2593</v>
      </c>
      <c r="E2" s="115" t="s">
        <v>2642</v>
      </c>
      <c r="F2" s="109"/>
      <c r="G2" s="109" t="s">
        <v>3028</v>
      </c>
      <c r="H2" s="115" t="s">
        <v>3029</v>
      </c>
      <c r="I2" s="109" t="s">
        <v>3030</v>
      </c>
    </row>
    <row r="3">
      <c r="A3" s="109" t="s">
        <v>3031</v>
      </c>
      <c r="B3" s="115" t="s">
        <v>3032</v>
      </c>
      <c r="C3" s="109"/>
      <c r="D3" s="109" t="s">
        <v>1921</v>
      </c>
      <c r="E3" s="115" t="s">
        <v>2643</v>
      </c>
      <c r="F3" s="109"/>
      <c r="G3" s="109" t="s">
        <v>3033</v>
      </c>
      <c r="H3" s="115" t="s">
        <v>3034</v>
      </c>
      <c r="I3" s="109" t="s">
        <v>3035</v>
      </c>
    </row>
    <row r="4">
      <c r="A4" s="109" t="s">
        <v>3036</v>
      </c>
      <c r="B4" s="115" t="s">
        <v>3037</v>
      </c>
      <c r="C4" s="109"/>
      <c r="D4" s="109" t="s">
        <v>2594</v>
      </c>
      <c r="E4" s="115" t="s">
        <v>2644</v>
      </c>
      <c r="F4" s="109"/>
      <c r="G4" s="109" t="s">
        <v>3038</v>
      </c>
      <c r="H4" s="115" t="s">
        <v>3039</v>
      </c>
      <c r="I4" s="109" t="s">
        <v>3040</v>
      </c>
    </row>
    <row r="5">
      <c r="A5" s="109" t="s">
        <v>3041</v>
      </c>
      <c r="B5" s="115" t="s">
        <v>3042</v>
      </c>
      <c r="C5" s="109"/>
      <c r="D5" s="109" t="s">
        <v>2595</v>
      </c>
      <c r="E5" s="115" t="s">
        <v>2645</v>
      </c>
      <c r="F5" s="109"/>
      <c r="G5" s="109" t="s">
        <v>3043</v>
      </c>
      <c r="H5" s="115" t="s">
        <v>3044</v>
      </c>
      <c r="I5" s="109" t="s">
        <v>3045</v>
      </c>
    </row>
    <row r="6">
      <c r="A6" s="109" t="s">
        <v>3046</v>
      </c>
      <c r="B6" s="115" t="s">
        <v>3047</v>
      </c>
      <c r="C6" s="109"/>
      <c r="D6" s="109" t="s">
        <v>2596</v>
      </c>
      <c r="E6" s="115" t="s">
        <v>2646</v>
      </c>
      <c r="F6" s="109"/>
      <c r="G6" s="109" t="s">
        <v>3048</v>
      </c>
      <c r="H6" s="115" t="s">
        <v>3049</v>
      </c>
      <c r="I6" s="109" t="s">
        <v>3050</v>
      </c>
    </row>
    <row r="7">
      <c r="A7" s="109" t="s">
        <v>3051</v>
      </c>
      <c r="B7" s="115" t="s">
        <v>3052</v>
      </c>
      <c r="C7" s="109"/>
      <c r="D7" s="109" t="s">
        <v>1139</v>
      </c>
      <c r="E7" s="115" t="s">
        <v>2647</v>
      </c>
      <c r="F7" s="109"/>
      <c r="G7" s="109" t="s">
        <v>3053</v>
      </c>
      <c r="H7" s="115" t="s">
        <v>3054</v>
      </c>
      <c r="I7" s="109" t="s">
        <v>3055</v>
      </c>
    </row>
    <row r="8">
      <c r="A8" s="109" t="s">
        <v>3056</v>
      </c>
      <c r="B8" s="115" t="s">
        <v>3057</v>
      </c>
      <c r="C8" s="109"/>
      <c r="D8" s="109" t="s">
        <v>2598</v>
      </c>
      <c r="E8" s="115" t="s">
        <v>2648</v>
      </c>
      <c r="F8" s="109"/>
      <c r="G8" s="109" t="s">
        <v>3058</v>
      </c>
      <c r="H8" s="115" t="s">
        <v>3059</v>
      </c>
      <c r="I8" s="109" t="s">
        <v>3035</v>
      </c>
    </row>
    <row r="9">
      <c r="A9" s="109" t="s">
        <v>3060</v>
      </c>
      <c r="B9" s="115" t="s">
        <v>3061</v>
      </c>
      <c r="C9" s="109"/>
      <c r="D9" s="109" t="s">
        <v>2599</v>
      </c>
      <c r="E9" s="115" t="s">
        <v>2649</v>
      </c>
      <c r="F9" s="109"/>
      <c r="G9" s="109" t="s">
        <v>3062</v>
      </c>
      <c r="H9" s="115" t="s">
        <v>3063</v>
      </c>
      <c r="I9" s="109" t="s">
        <v>3064</v>
      </c>
    </row>
    <row r="10">
      <c r="A10" s="109" t="s">
        <v>3065</v>
      </c>
      <c r="B10" s="115" t="s">
        <v>3066</v>
      </c>
      <c r="C10" s="109"/>
      <c r="D10" s="109" t="s">
        <v>2600</v>
      </c>
      <c r="E10" s="115" t="s">
        <v>2650</v>
      </c>
      <c r="F10" s="109"/>
      <c r="G10" s="109"/>
      <c r="H10" s="115"/>
      <c r="I10" s="109"/>
    </row>
    <row r="11">
      <c r="A11" s="109" t="s">
        <v>3067</v>
      </c>
      <c r="B11" s="115" t="s">
        <v>3068</v>
      </c>
      <c r="C11" s="109"/>
      <c r="D11" s="109" t="s">
        <v>2601</v>
      </c>
      <c r="E11" s="115" t="s">
        <v>2651</v>
      </c>
      <c r="F11" s="109"/>
      <c r="G11" s="109" t="s">
        <v>3069</v>
      </c>
      <c r="H11" s="115"/>
      <c r="I11" s="109" t="s">
        <v>3064</v>
      </c>
    </row>
    <row r="12">
      <c r="A12" s="109" t="s">
        <v>3070</v>
      </c>
      <c r="B12" s="115" t="s">
        <v>3071</v>
      </c>
      <c r="C12" s="109"/>
      <c r="D12" s="109" t="s">
        <v>2602</v>
      </c>
      <c r="E12" s="115" t="s">
        <v>2652</v>
      </c>
      <c r="F12" s="109"/>
      <c r="G12" s="109" t="s">
        <v>3072</v>
      </c>
      <c r="H12" s="115"/>
      <c r="I12" s="109" t="s">
        <v>3064</v>
      </c>
    </row>
    <row r="13">
      <c r="A13" s="109" t="s">
        <v>3073</v>
      </c>
      <c r="B13" s="115" t="s">
        <v>3074</v>
      </c>
      <c r="C13" s="109"/>
      <c r="D13" s="109" t="s">
        <v>2603</v>
      </c>
      <c r="E13" s="115" t="s">
        <v>2653</v>
      </c>
      <c r="F13" s="109"/>
      <c r="G13" s="109" t="s">
        <v>3075</v>
      </c>
      <c r="H13" s="115"/>
      <c r="I13" s="109" t="s">
        <v>3064</v>
      </c>
    </row>
    <row r="14">
      <c r="A14" s="109" t="s">
        <v>3076</v>
      </c>
      <c r="B14" s="115" t="s">
        <v>3077</v>
      </c>
      <c r="C14" s="109"/>
      <c r="D14" s="109" t="s">
        <v>2604</v>
      </c>
      <c r="E14" s="115" t="s">
        <v>2654</v>
      </c>
      <c r="F14" s="109"/>
      <c r="G14" s="109" t="s">
        <v>3078</v>
      </c>
      <c r="H14" s="115"/>
      <c r="I14" s="109" t="s">
        <v>3064</v>
      </c>
    </row>
    <row r="15">
      <c r="A15" s="109" t="s">
        <v>3079</v>
      </c>
      <c r="B15" s="115" t="s">
        <v>3080</v>
      </c>
      <c r="C15" s="109"/>
      <c r="D15" s="109" t="s">
        <v>2429</v>
      </c>
      <c r="E15" s="115" t="s">
        <v>3081</v>
      </c>
      <c r="F15" s="109"/>
      <c r="G15" s="109" t="s">
        <v>3082</v>
      </c>
      <c r="H15" s="115" t="s">
        <v>3083</v>
      </c>
      <c r="I15" s="109" t="s">
        <v>3040</v>
      </c>
    </row>
    <row r="16">
      <c r="A16" s="109" t="s">
        <v>398</v>
      </c>
      <c r="B16" s="115" t="s">
        <v>3084</v>
      </c>
      <c r="C16" s="109"/>
      <c r="D16" s="109" t="s">
        <v>1179</v>
      </c>
      <c r="E16" s="115" t="s">
        <v>3085</v>
      </c>
      <c r="F16" s="109"/>
      <c r="G16" s="109" t="s">
        <v>3086</v>
      </c>
      <c r="H16" s="115" t="s">
        <v>3087</v>
      </c>
      <c r="I16" s="109" t="s">
        <v>3040</v>
      </c>
    </row>
    <row r="17">
      <c r="A17" s="109" t="s">
        <v>3088</v>
      </c>
      <c r="B17" s="115" t="s">
        <v>3089</v>
      </c>
      <c r="C17" s="109"/>
      <c r="D17" s="109"/>
      <c r="E17" s="109"/>
      <c r="F17" s="109"/>
      <c r="G17" s="109" t="s">
        <v>3090</v>
      </c>
      <c r="H17" s="115" t="s">
        <v>3091</v>
      </c>
      <c r="I17" s="109" t="s">
        <v>3035</v>
      </c>
    </row>
    <row r="18">
      <c r="A18" s="109" t="s">
        <v>1779</v>
      </c>
      <c r="B18" s="115" t="s">
        <v>3092</v>
      </c>
      <c r="C18" s="109"/>
      <c r="D18" s="109"/>
      <c r="E18" s="109"/>
      <c r="F18" s="109"/>
      <c r="G18" s="109" t="s">
        <v>3093</v>
      </c>
      <c r="H18" s="115" t="s">
        <v>3094</v>
      </c>
      <c r="I18" s="109" t="s">
        <v>3045</v>
      </c>
    </row>
    <row r="19">
      <c r="A19" s="109" t="s">
        <v>3095</v>
      </c>
      <c r="B19" s="115" t="s">
        <v>3096</v>
      </c>
      <c r="C19" s="109"/>
      <c r="D19" s="109"/>
      <c r="E19" s="109"/>
      <c r="F19" s="109"/>
      <c r="G19" s="109" t="s">
        <v>3097</v>
      </c>
      <c r="H19" s="115" t="s">
        <v>3098</v>
      </c>
      <c r="I19" s="109" t="s">
        <v>3045</v>
      </c>
    </row>
    <row r="20">
      <c r="A20" s="109" t="s">
        <v>3099</v>
      </c>
      <c r="B20" s="115" t="s">
        <v>3100</v>
      </c>
      <c r="C20" s="109"/>
      <c r="D20" s="109"/>
      <c r="E20" s="109"/>
      <c r="F20" s="109"/>
      <c r="G20" s="106" t="s">
        <v>3101</v>
      </c>
      <c r="H20" s="116" t="s">
        <v>3102</v>
      </c>
      <c r="I20" s="109"/>
    </row>
    <row r="21">
      <c r="A21" s="109" t="s">
        <v>1222</v>
      </c>
      <c r="B21" s="115" t="s">
        <v>3103</v>
      </c>
      <c r="C21" s="109"/>
      <c r="D21" s="109"/>
      <c r="E21" s="109"/>
      <c r="F21" s="109"/>
      <c r="G21" s="106" t="s">
        <v>3104</v>
      </c>
      <c r="H21" s="116" t="s">
        <v>3105</v>
      </c>
      <c r="I21" s="109"/>
    </row>
    <row r="22">
      <c r="A22" s="109" t="s">
        <v>3106</v>
      </c>
      <c r="B22" s="115" t="s">
        <v>3107</v>
      </c>
      <c r="C22" s="109"/>
      <c r="D22" s="109"/>
      <c r="E22" s="109"/>
      <c r="F22" s="109"/>
      <c r="G22" s="106" t="s">
        <v>3108</v>
      </c>
      <c r="H22" s="116" t="s">
        <v>3109</v>
      </c>
      <c r="I22" s="109"/>
    </row>
    <row r="23">
      <c r="A23" s="109" t="s">
        <v>3110</v>
      </c>
      <c r="B23" s="115" t="s">
        <v>3111</v>
      </c>
      <c r="C23" s="109"/>
      <c r="D23" s="109"/>
      <c r="E23" s="109"/>
      <c r="F23" s="109"/>
      <c r="G23" s="106" t="s">
        <v>3112</v>
      </c>
      <c r="H23" s="116" t="s">
        <v>3113</v>
      </c>
      <c r="I23" s="109"/>
    </row>
    <row r="24">
      <c r="A24" s="109" t="s">
        <v>1303</v>
      </c>
      <c r="B24" s="115" t="s">
        <v>3114</v>
      </c>
      <c r="C24" s="109"/>
      <c r="D24" s="109"/>
      <c r="E24" s="109"/>
      <c r="F24" s="109"/>
      <c r="G24" s="106" t="s">
        <v>3115</v>
      </c>
      <c r="H24" s="116" t="s">
        <v>3116</v>
      </c>
      <c r="I24" s="109"/>
    </row>
    <row r="25">
      <c r="A25" s="109" t="s">
        <v>3117</v>
      </c>
      <c r="B25" s="115" t="s">
        <v>3118</v>
      </c>
      <c r="C25" s="109"/>
      <c r="D25" s="109"/>
      <c r="E25" s="109"/>
      <c r="F25" s="109"/>
      <c r="G25" s="106" t="s">
        <v>3119</v>
      </c>
      <c r="H25" s="116" t="s">
        <v>3120</v>
      </c>
      <c r="I25" s="106" t="s">
        <v>3045</v>
      </c>
    </row>
    <row r="26">
      <c r="A26" s="109" t="s">
        <v>3121</v>
      </c>
      <c r="B26" s="115" t="s">
        <v>3122</v>
      </c>
      <c r="C26" s="109"/>
      <c r="D26" s="109"/>
      <c r="E26" s="109"/>
      <c r="F26" s="109"/>
      <c r="G26" s="109"/>
      <c r="H26" s="109"/>
      <c r="I26" s="109"/>
    </row>
    <row r="27">
      <c r="A27" s="109" t="s">
        <v>3123</v>
      </c>
      <c r="B27" s="115" t="s">
        <v>3124</v>
      </c>
      <c r="C27" s="109"/>
      <c r="D27" s="109"/>
      <c r="E27" s="109"/>
      <c r="F27" s="109"/>
      <c r="G27" s="109"/>
      <c r="H27" s="109"/>
      <c r="I27" s="109"/>
    </row>
    <row r="28">
      <c r="A28" s="109" t="s">
        <v>3125</v>
      </c>
      <c r="B28" s="115" t="s">
        <v>3126</v>
      </c>
      <c r="C28" s="109"/>
      <c r="D28" s="109"/>
      <c r="E28" s="109"/>
      <c r="F28" s="109"/>
      <c r="G28" s="109"/>
      <c r="H28" s="109"/>
      <c r="I28" s="109"/>
    </row>
    <row r="29">
      <c r="A29" s="109"/>
      <c r="B29" s="115"/>
      <c r="C29" s="109"/>
      <c r="D29" s="109"/>
      <c r="E29" s="109"/>
      <c r="F29" s="109"/>
      <c r="G29" s="109"/>
      <c r="H29" s="109"/>
      <c r="I29" s="109"/>
    </row>
    <row r="30">
      <c r="A30" s="109" t="s">
        <v>1249</v>
      </c>
      <c r="B30" s="115" t="s">
        <v>3127</v>
      </c>
      <c r="C30" s="109"/>
      <c r="D30" s="109"/>
      <c r="E30" s="109"/>
      <c r="F30" s="109"/>
      <c r="G30" s="109"/>
      <c r="H30" s="109"/>
      <c r="I30" s="109"/>
    </row>
    <row r="31">
      <c r="A31" s="109" t="s">
        <v>3128</v>
      </c>
      <c r="B31" s="115" t="s">
        <v>3129</v>
      </c>
      <c r="C31" s="109"/>
      <c r="D31" s="109"/>
      <c r="E31" s="109"/>
      <c r="F31" s="109"/>
      <c r="G31" s="109"/>
      <c r="H31" s="109"/>
      <c r="I31" s="109"/>
    </row>
    <row r="32">
      <c r="A32" s="109" t="s">
        <v>3130</v>
      </c>
      <c r="B32" s="115" t="s">
        <v>3131</v>
      </c>
      <c r="C32" s="109"/>
      <c r="D32" s="109"/>
      <c r="E32" s="109"/>
      <c r="F32" s="109"/>
      <c r="G32" s="109"/>
      <c r="H32" s="109"/>
      <c r="I32" s="109"/>
    </row>
    <row r="33">
      <c r="A33" s="109" t="s">
        <v>3132</v>
      </c>
      <c r="B33" s="115" t="s">
        <v>3133</v>
      </c>
      <c r="C33" s="109"/>
      <c r="D33" s="109"/>
      <c r="E33" s="109"/>
      <c r="F33" s="109"/>
      <c r="G33" s="109"/>
      <c r="H33" s="109"/>
      <c r="I33" s="109"/>
    </row>
    <row r="34">
      <c r="A34" s="109" t="s">
        <v>1296</v>
      </c>
      <c r="B34" s="115" t="s">
        <v>3134</v>
      </c>
      <c r="C34" s="109"/>
      <c r="D34" s="109"/>
      <c r="E34" s="109"/>
      <c r="F34" s="109"/>
      <c r="G34" s="109"/>
      <c r="H34" s="109"/>
      <c r="I34" s="109"/>
    </row>
    <row r="35">
      <c r="A35" s="109" t="s">
        <v>3135</v>
      </c>
      <c r="B35" s="115" t="s">
        <v>3136</v>
      </c>
      <c r="C35" s="109"/>
      <c r="D35" s="109"/>
      <c r="E35" s="109"/>
      <c r="F35" s="109"/>
      <c r="G35" s="109"/>
      <c r="H35" s="109"/>
      <c r="I35" s="109"/>
    </row>
    <row r="36">
      <c r="A36" s="109"/>
      <c r="B36" s="115"/>
      <c r="C36" s="109"/>
      <c r="D36" s="109"/>
      <c r="E36" s="109"/>
      <c r="F36" s="109"/>
      <c r="G36" s="109"/>
      <c r="H36" s="109"/>
      <c r="I36" s="109"/>
    </row>
    <row r="37">
      <c r="A37" s="109" t="s">
        <v>3137</v>
      </c>
      <c r="B37" s="115" t="s">
        <v>3138</v>
      </c>
      <c r="C37" s="109"/>
      <c r="D37" s="109"/>
      <c r="E37" s="109"/>
      <c r="F37" s="109"/>
      <c r="G37" s="109"/>
      <c r="H37" s="109"/>
      <c r="I37" s="109"/>
    </row>
    <row r="38">
      <c r="A38" s="109" t="s">
        <v>1330</v>
      </c>
      <c r="B38" s="115" t="s">
        <v>3139</v>
      </c>
      <c r="C38" s="109"/>
      <c r="D38" s="109"/>
      <c r="E38" s="109"/>
      <c r="F38" s="109"/>
      <c r="G38" s="109"/>
      <c r="H38" s="109"/>
      <c r="I38" s="109"/>
    </row>
    <row r="39">
      <c r="A39" s="109" t="s">
        <v>3140</v>
      </c>
      <c r="B39" s="115" t="s">
        <v>3141</v>
      </c>
      <c r="C39" s="109"/>
      <c r="D39" s="109"/>
      <c r="E39" s="109"/>
      <c r="F39" s="109"/>
      <c r="G39" s="109"/>
      <c r="H39" s="109"/>
      <c r="I39" s="109"/>
    </row>
    <row r="40">
      <c r="A40" s="109"/>
      <c r="B40" s="115"/>
      <c r="C40" s="109"/>
      <c r="D40" s="109"/>
      <c r="E40" s="109"/>
      <c r="F40" s="109"/>
      <c r="G40" s="109"/>
      <c r="H40" s="109"/>
      <c r="I40" s="109"/>
    </row>
    <row r="41">
      <c r="A41" s="109" t="s">
        <v>3142</v>
      </c>
      <c r="B41" s="115" t="s">
        <v>3143</v>
      </c>
      <c r="C41" s="109"/>
      <c r="D41" s="109"/>
      <c r="E41" s="109"/>
      <c r="F41" s="109"/>
      <c r="G41" s="109"/>
      <c r="H41" s="109"/>
      <c r="I41" s="109"/>
    </row>
    <row r="42">
      <c r="A42" s="109" t="s">
        <v>3144</v>
      </c>
      <c r="B42" s="115" t="s">
        <v>3145</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3146</v>
      </c>
      <c r="B46" s="115" t="s">
        <v>3147</v>
      </c>
      <c r="C46" s="109"/>
      <c r="D46" s="109"/>
      <c r="E46" s="109"/>
      <c r="F46" s="109"/>
      <c r="G46" s="109"/>
      <c r="H46" s="109"/>
      <c r="I46" s="109"/>
    </row>
    <row r="47">
      <c r="A47" s="109" t="s">
        <v>3148</v>
      </c>
      <c r="B47" s="115" t="s">
        <v>3149</v>
      </c>
      <c r="C47" s="109"/>
      <c r="D47" s="109"/>
      <c r="E47" s="109"/>
      <c r="F47" s="109"/>
      <c r="G47" s="109"/>
      <c r="H47" s="109"/>
      <c r="I47" s="109"/>
    </row>
    <row r="48">
      <c r="A48" s="109" t="s">
        <v>3150</v>
      </c>
      <c r="B48" s="115" t="s">
        <v>3151</v>
      </c>
      <c r="C48" s="109"/>
      <c r="D48" s="109"/>
      <c r="E48" s="109"/>
      <c r="F48" s="109"/>
      <c r="G48" s="109"/>
      <c r="H48" s="109"/>
      <c r="I48" s="109"/>
    </row>
    <row r="49">
      <c r="A49" s="109" t="s">
        <v>3152</v>
      </c>
      <c r="B49" s="115" t="s">
        <v>3153</v>
      </c>
      <c r="C49" s="109"/>
      <c r="D49" s="109"/>
      <c r="E49" s="109"/>
      <c r="F49" s="109"/>
      <c r="G49" s="109"/>
      <c r="H49" s="109"/>
      <c r="I49" s="109"/>
    </row>
    <row r="50">
      <c r="A50" s="109" t="s">
        <v>3154</v>
      </c>
      <c r="B50" s="115" t="s">
        <v>3155</v>
      </c>
      <c r="C50" s="109"/>
      <c r="D50" s="109"/>
      <c r="E50" s="109"/>
      <c r="F50" s="109"/>
      <c r="G50" s="109"/>
      <c r="H50" s="109"/>
      <c r="I50" s="109"/>
    </row>
    <row r="51">
      <c r="A51" s="109" t="s">
        <v>3156</v>
      </c>
      <c r="B51" s="115" t="s">
        <v>3157</v>
      </c>
      <c r="C51" s="109"/>
      <c r="D51" s="109"/>
      <c r="E51" s="109"/>
      <c r="F51" s="109"/>
      <c r="G51" s="109"/>
      <c r="H51" s="109"/>
      <c r="I51" s="109"/>
    </row>
    <row r="52">
      <c r="A52" s="109" t="s">
        <v>3158</v>
      </c>
      <c r="B52" s="115" t="s">
        <v>3159</v>
      </c>
      <c r="C52" s="109"/>
      <c r="D52" s="109"/>
      <c r="E52" s="109"/>
      <c r="F52" s="109"/>
      <c r="G52" s="109"/>
      <c r="H52" s="109"/>
      <c r="I52" s="109"/>
    </row>
    <row r="53">
      <c r="A53" s="109" t="s">
        <v>3160</v>
      </c>
      <c r="B53" s="115" t="s">
        <v>3161</v>
      </c>
      <c r="C53" s="109"/>
      <c r="D53" s="109"/>
      <c r="E53" s="109"/>
      <c r="F53" s="109"/>
      <c r="G53" s="109"/>
      <c r="H53" s="109"/>
      <c r="I53" s="109"/>
    </row>
    <row r="54">
      <c r="A54" s="109" t="s">
        <v>3162</v>
      </c>
      <c r="B54" s="115" t="s">
        <v>3163</v>
      </c>
      <c r="C54" s="109"/>
      <c r="D54" s="109"/>
      <c r="E54" s="109"/>
      <c r="F54" s="109"/>
      <c r="G54" s="109"/>
      <c r="H54" s="109"/>
      <c r="I54" s="109"/>
    </row>
    <row r="55">
      <c r="A55" s="109" t="s">
        <v>3164</v>
      </c>
      <c r="B55" s="115" t="s">
        <v>3165</v>
      </c>
      <c r="C55" s="109"/>
      <c r="D55" s="109"/>
      <c r="E55" s="109"/>
      <c r="F55" s="109"/>
      <c r="G55" s="109"/>
      <c r="H55" s="109"/>
      <c r="I55" s="109"/>
    </row>
    <row r="56">
      <c r="A56" s="109" t="s">
        <v>3166</v>
      </c>
      <c r="B56" s="115" t="s">
        <v>3167</v>
      </c>
      <c r="C56" s="109"/>
      <c r="D56" s="109"/>
      <c r="E56" s="109"/>
      <c r="F56" s="109"/>
      <c r="G56" s="109"/>
      <c r="H56" s="109"/>
      <c r="I56" s="109"/>
    </row>
    <row r="57">
      <c r="A57" s="109" t="s">
        <v>3168</v>
      </c>
      <c r="B57" s="115" t="s">
        <v>3169</v>
      </c>
      <c r="C57" s="109"/>
      <c r="D57" s="109"/>
      <c r="E57" s="109"/>
      <c r="F57" s="109"/>
      <c r="G57" s="109"/>
      <c r="H57" s="109"/>
      <c r="I57" s="109"/>
    </row>
    <row r="58">
      <c r="A58" s="109" t="s">
        <v>3170</v>
      </c>
      <c r="B58" s="115" t="s">
        <v>3171</v>
      </c>
      <c r="C58" s="109"/>
      <c r="D58" s="109"/>
      <c r="E58" s="109"/>
      <c r="F58" s="109"/>
      <c r="G58" s="109"/>
      <c r="H58" s="109"/>
      <c r="I58" s="109"/>
    </row>
    <row r="59">
      <c r="A59" s="109" t="s">
        <v>3172</v>
      </c>
      <c r="B59" s="115" t="s">
        <v>3173</v>
      </c>
      <c r="C59" s="109"/>
      <c r="D59" s="109"/>
      <c r="E59" s="109"/>
      <c r="F59" s="109"/>
      <c r="G59" s="109"/>
      <c r="H59" s="109"/>
      <c r="I59" s="109"/>
    </row>
    <row r="60">
      <c r="A60" s="109" t="s">
        <v>3174</v>
      </c>
      <c r="B60" s="115" t="s">
        <v>3175</v>
      </c>
      <c r="C60" s="109"/>
      <c r="D60" s="109"/>
      <c r="E60" s="109"/>
      <c r="F60" s="109"/>
      <c r="G60" s="109"/>
      <c r="H60" s="109"/>
      <c r="I60" s="109"/>
    </row>
    <row r="61">
      <c r="A61" s="109" t="s">
        <v>3176</v>
      </c>
      <c r="B61" s="115" t="s">
        <v>3177</v>
      </c>
      <c r="C61" s="109"/>
      <c r="D61" s="109"/>
      <c r="E61" s="109"/>
      <c r="F61" s="109"/>
      <c r="G61" s="109"/>
      <c r="H61" s="109"/>
      <c r="I61" s="109"/>
    </row>
    <row r="62">
      <c r="A62" s="109" t="s">
        <v>3178</v>
      </c>
      <c r="B62" s="115" t="s">
        <v>3179</v>
      </c>
      <c r="C62" s="109"/>
      <c r="D62" s="109"/>
      <c r="E62" s="109"/>
      <c r="F62" s="109"/>
      <c r="G62" s="109"/>
      <c r="H62" s="109"/>
      <c r="I62" s="109"/>
    </row>
    <row r="63">
      <c r="A63" s="109" t="s">
        <v>3180</v>
      </c>
      <c r="B63" s="115" t="s">
        <v>3181</v>
      </c>
      <c r="C63" s="109"/>
      <c r="D63" s="109"/>
      <c r="E63" s="109"/>
      <c r="F63" s="109"/>
      <c r="G63" s="109"/>
      <c r="H63" s="109"/>
      <c r="I63" s="109"/>
    </row>
    <row r="64">
      <c r="A64" s="109" t="s">
        <v>3182</v>
      </c>
      <c r="B64" s="115" t="s">
        <v>3183</v>
      </c>
      <c r="C64" s="109"/>
      <c r="D64" s="109"/>
      <c r="E64" s="109"/>
      <c r="F64" s="109"/>
      <c r="G64" s="109"/>
      <c r="H64" s="109"/>
      <c r="I64" s="109"/>
    </row>
    <row r="65">
      <c r="A65" s="109" t="s">
        <v>3184</v>
      </c>
      <c r="B65" s="115" t="s">
        <v>3185</v>
      </c>
      <c r="C65" s="109"/>
      <c r="D65" s="109"/>
      <c r="E65" s="109"/>
      <c r="F65" s="109"/>
      <c r="G65" s="109"/>
      <c r="H65" s="109"/>
      <c r="I65" s="109"/>
    </row>
    <row r="66">
      <c r="A66" s="109" t="s">
        <v>3186</v>
      </c>
      <c r="B66" s="115" t="s">
        <v>3187</v>
      </c>
      <c r="C66" s="109"/>
      <c r="D66" s="109"/>
      <c r="E66" s="109"/>
      <c r="F66" s="109"/>
      <c r="G66" s="109"/>
      <c r="H66" s="109"/>
      <c r="I66" s="109"/>
    </row>
    <row r="67">
      <c r="A67" s="109" t="s">
        <v>3188</v>
      </c>
      <c r="B67" s="115" t="s">
        <v>3189</v>
      </c>
      <c r="C67" s="109"/>
      <c r="D67" s="109"/>
      <c r="E67" s="109"/>
      <c r="F67" s="109"/>
      <c r="G67" s="109"/>
      <c r="H67" s="109"/>
      <c r="I67" s="109"/>
    </row>
    <row r="68">
      <c r="A68" s="109" t="s">
        <v>3190</v>
      </c>
      <c r="B68" s="115" t="s">
        <v>3191</v>
      </c>
      <c r="C68" s="109"/>
      <c r="D68" s="109"/>
      <c r="E68" s="109"/>
      <c r="F68" s="109"/>
      <c r="G68" s="109"/>
      <c r="H68" s="109"/>
      <c r="I68" s="109"/>
    </row>
    <row r="69">
      <c r="A69" s="109"/>
      <c r="B69" s="115"/>
      <c r="C69" s="109"/>
      <c r="D69" s="109"/>
      <c r="E69" s="109"/>
      <c r="F69" s="109"/>
      <c r="G69" s="109"/>
      <c r="H69" s="109"/>
      <c r="I69" s="109"/>
    </row>
    <row r="70">
      <c r="A70" s="109" t="s">
        <v>3192</v>
      </c>
      <c r="B70" s="115" t="s">
        <v>3193</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3194</v>
      </c>
      <c r="B1" s="117" t="s">
        <v>2620</v>
      </c>
      <c r="C1" s="11" t="s">
        <v>3195</v>
      </c>
      <c r="D1" s="11" t="s">
        <v>3196</v>
      </c>
      <c r="E1" s="11" t="s">
        <v>3197</v>
      </c>
      <c r="F1" s="11" t="s">
        <v>3198</v>
      </c>
      <c r="G1" s="11" t="s">
        <v>2623</v>
      </c>
      <c r="H1" s="11" t="s">
        <v>2624</v>
      </c>
      <c r="I1" s="11" t="s">
        <v>2625</v>
      </c>
      <c r="J1" s="11" t="s">
        <v>2626</v>
      </c>
      <c r="K1" s="11" t="s">
        <v>3199</v>
      </c>
      <c r="L1" s="11" t="s">
        <v>3200</v>
      </c>
      <c r="M1" s="11" t="s">
        <v>3201</v>
      </c>
      <c r="N1" s="11" t="s">
        <v>3202</v>
      </c>
      <c r="O1" s="11" t="s">
        <v>3203</v>
      </c>
      <c r="P1" s="11" t="s">
        <v>3204</v>
      </c>
      <c r="Q1" s="11" t="s">
        <v>3205</v>
      </c>
      <c r="R1" s="11" t="s">
        <v>3206</v>
      </c>
      <c r="S1" s="11" t="s">
        <v>3207</v>
      </c>
      <c r="T1" s="11" t="s">
        <v>3208</v>
      </c>
      <c r="U1" s="11" t="s">
        <v>3209</v>
      </c>
      <c r="V1" s="11" t="s">
        <v>3210</v>
      </c>
      <c r="W1" s="11" t="s">
        <v>944</v>
      </c>
      <c r="X1" s="11" t="s">
        <v>425</v>
      </c>
      <c r="Y1" s="11" t="s">
        <v>336</v>
      </c>
      <c r="Z1" s="11" t="s">
        <v>1018</v>
      </c>
      <c r="AA1" s="11" t="s">
        <v>3211</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3212</v>
      </c>
      <c r="BE1" s="64" t="s">
        <v>1845</v>
      </c>
      <c r="BF1" s="64" t="s">
        <v>3213</v>
      </c>
      <c r="BG1" s="64" t="s">
        <v>849</v>
      </c>
      <c r="BH1" s="37" t="s">
        <v>2927</v>
      </c>
      <c r="BI1" s="37" t="s">
        <v>2928</v>
      </c>
      <c r="BJ1" s="117" t="s">
        <v>3214</v>
      </c>
      <c r="BK1" s="117" t="s">
        <v>3215</v>
      </c>
      <c r="BL1" s="117" t="s">
        <v>3216</v>
      </c>
      <c r="BM1" s="117" t="s">
        <v>3217</v>
      </c>
      <c r="BN1" s="117" t="s">
        <v>3218</v>
      </c>
      <c r="BO1" s="117" t="s">
        <v>3219</v>
      </c>
      <c r="BP1" s="117" t="s">
        <v>3220</v>
      </c>
      <c r="BQ1" s="117" t="s">
        <v>3221</v>
      </c>
      <c r="BR1" s="117" t="s">
        <v>3222</v>
      </c>
      <c r="BS1" s="117" t="s">
        <v>3223</v>
      </c>
      <c r="BT1" s="31" t="s">
        <v>3224</v>
      </c>
      <c r="BU1" s="31" t="s">
        <v>3225</v>
      </c>
      <c r="BV1" s="31" t="s">
        <v>3226</v>
      </c>
      <c r="BW1" s="31" t="s">
        <v>3227</v>
      </c>
    </row>
    <row r="2" ht="18.75" customHeight="1">
      <c r="A2" s="19" t="s">
        <v>54</v>
      </c>
      <c r="B2" s="117" t="s">
        <v>3228</v>
      </c>
      <c r="C2" s="118">
        <v>0.2</v>
      </c>
      <c r="D2" s="37">
        <v>1.0</v>
      </c>
      <c r="E2" s="37">
        <v>1.0</v>
      </c>
      <c r="F2" s="37" t="s">
        <v>3229</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3230</v>
      </c>
      <c r="BM2" s="37">
        <v>26.0</v>
      </c>
      <c r="BN2" s="37" t="s">
        <v>3231</v>
      </c>
      <c r="BO2" s="37" t="s">
        <v>3232</v>
      </c>
      <c r="BT2" s="119" t="s">
        <v>3232</v>
      </c>
      <c r="BU2" s="119"/>
      <c r="BV2" s="119"/>
      <c r="BW2" s="119"/>
    </row>
    <row r="3" ht="18.75" customHeight="1">
      <c r="A3" s="19" t="s">
        <v>56</v>
      </c>
      <c r="B3" s="117" t="s">
        <v>3233</v>
      </c>
      <c r="C3" s="118">
        <v>0.6</v>
      </c>
      <c r="D3" s="37">
        <v>3.0</v>
      </c>
      <c r="E3" s="37">
        <v>2.0</v>
      </c>
      <c r="F3" s="37" t="s">
        <v>3229</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3234</v>
      </c>
      <c r="BM3" s="37">
        <v>18.0</v>
      </c>
      <c r="BN3" s="37" t="s">
        <v>56</v>
      </c>
      <c r="BO3" s="37" t="s">
        <v>3232</v>
      </c>
      <c r="BT3" s="119" t="s">
        <v>3232</v>
      </c>
      <c r="BU3" s="119"/>
      <c r="BV3" s="119"/>
      <c r="BW3" s="119"/>
    </row>
    <row r="4" ht="18.75" customHeight="1">
      <c r="A4" s="19" t="s">
        <v>58</v>
      </c>
      <c r="B4" s="117" t="s">
        <v>3235</v>
      </c>
      <c r="C4" s="118">
        <v>0.5</v>
      </c>
      <c r="D4" s="37">
        <v>3.0</v>
      </c>
      <c r="E4" s="37">
        <v>2.0</v>
      </c>
      <c r="F4" s="37" t="s">
        <v>3229</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3236</v>
      </c>
      <c r="BM4" s="37">
        <v>12.0</v>
      </c>
      <c r="BN4" s="37" t="s">
        <v>3237</v>
      </c>
      <c r="BO4" s="37" t="s">
        <v>3232</v>
      </c>
      <c r="BQ4" s="37" t="s">
        <v>3237</v>
      </c>
    </row>
    <row r="5" ht="18.75" customHeight="1">
      <c r="A5" s="19" t="s">
        <v>57</v>
      </c>
      <c r="B5" s="117" t="s">
        <v>3238</v>
      </c>
      <c r="C5" s="118">
        <v>0.8</v>
      </c>
      <c r="D5" s="37">
        <v>5.0</v>
      </c>
      <c r="E5" s="37">
        <v>2.0</v>
      </c>
      <c r="F5" s="37" t="s">
        <v>3229</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3239</v>
      </c>
      <c r="BM5" s="37">
        <v>10.0</v>
      </c>
      <c r="BN5" s="37" t="s">
        <v>3240</v>
      </c>
      <c r="BO5" s="37" t="s">
        <v>3232</v>
      </c>
      <c r="BP5" s="37">
        <v>0.2</v>
      </c>
      <c r="BQ5" s="37" t="s">
        <v>3240</v>
      </c>
    </row>
    <row r="6" ht="18.75" customHeight="1">
      <c r="A6" s="19" t="s">
        <v>60</v>
      </c>
      <c r="B6" s="117" t="s">
        <v>3241</v>
      </c>
      <c r="C6" s="118">
        <v>0.5</v>
      </c>
      <c r="D6" s="37">
        <v>2.0</v>
      </c>
      <c r="E6" s="37">
        <v>1.0</v>
      </c>
      <c r="F6" s="37" t="s">
        <v>3242</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3243</v>
      </c>
      <c r="BM6" s="37">
        <v>8.0</v>
      </c>
      <c r="BN6" s="37" t="s">
        <v>60</v>
      </c>
      <c r="BO6" s="37" t="s">
        <v>3232</v>
      </c>
    </row>
    <row r="7" ht="18.75" customHeight="1">
      <c r="A7" s="19" t="s">
        <v>59</v>
      </c>
      <c r="B7" s="117" t="s">
        <v>3244</v>
      </c>
      <c r="C7" s="118">
        <v>0.4</v>
      </c>
      <c r="D7" s="37">
        <v>2.0</v>
      </c>
      <c r="E7" s="37">
        <v>1.0</v>
      </c>
      <c r="F7" s="37" t="s">
        <v>3229</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3245</v>
      </c>
      <c r="BM7" s="37">
        <v>10.0</v>
      </c>
      <c r="BN7" s="37" t="s">
        <v>3246</v>
      </c>
      <c r="BO7" s="37" t="s">
        <v>3232</v>
      </c>
      <c r="BQ7" s="37" t="s">
        <v>3247</v>
      </c>
    </row>
    <row r="8" ht="18.75" customHeight="1">
      <c r="A8" s="19" t="s">
        <v>3248</v>
      </c>
      <c r="B8" s="117" t="s">
        <v>3249</v>
      </c>
      <c r="C8" s="118">
        <v>0.4</v>
      </c>
      <c r="D8" s="37">
        <v>2.0</v>
      </c>
      <c r="E8" s="37">
        <v>4.0</v>
      </c>
      <c r="F8" s="37" t="s">
        <v>3229</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3250</v>
      </c>
      <c r="C9" s="118">
        <v>0.75</v>
      </c>
      <c r="D9" s="37">
        <v>4.0</v>
      </c>
      <c r="E9" s="37">
        <v>2.0</v>
      </c>
      <c r="F9" s="37" t="s">
        <v>3242</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3251</v>
      </c>
      <c r="BM9" s="37">
        <v>7.0</v>
      </c>
      <c r="BN9" s="37" t="s">
        <v>61</v>
      </c>
    </row>
    <row r="10" ht="18.75" customHeight="1">
      <c r="A10" s="19" t="s">
        <v>3252</v>
      </c>
      <c r="B10" s="117" t="s">
        <v>3228</v>
      </c>
      <c r="C10" s="118">
        <v>0.3</v>
      </c>
      <c r="D10" s="37">
        <v>1.0</v>
      </c>
      <c r="E10" s="37">
        <v>1.0</v>
      </c>
      <c r="F10" s="37" t="s">
        <v>3229</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3253</v>
      </c>
      <c r="BM10" s="37">
        <v>12.0</v>
      </c>
      <c r="BN10" s="37" t="s">
        <v>3254</v>
      </c>
      <c r="BO10" s="37" t="s">
        <v>3232</v>
      </c>
      <c r="BQ10" s="37" t="s">
        <v>3254</v>
      </c>
      <c r="BT10" s="119" t="s">
        <v>3232</v>
      </c>
      <c r="BU10" s="119"/>
      <c r="BV10" s="119"/>
      <c r="BW10" s="119"/>
    </row>
    <row r="11" ht="18.75" customHeight="1">
      <c r="A11" s="19" t="s">
        <v>62</v>
      </c>
      <c r="B11" s="117" t="s">
        <v>3255</v>
      </c>
      <c r="C11" s="118">
        <v>0.5</v>
      </c>
      <c r="D11" s="37">
        <v>4.0</v>
      </c>
      <c r="E11" s="37">
        <v>2.0</v>
      </c>
      <c r="F11" s="37" t="s">
        <v>3229</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3256</v>
      </c>
      <c r="BM11" s="37">
        <v>7.0</v>
      </c>
      <c r="BN11" s="37" t="s">
        <v>3257</v>
      </c>
      <c r="BO11" s="37" t="s">
        <v>3232</v>
      </c>
      <c r="BT11" s="119" t="s">
        <v>3232</v>
      </c>
      <c r="BU11" s="119"/>
      <c r="BV11" s="119"/>
      <c r="BW11" s="119"/>
    </row>
    <row r="12" ht="18.75" customHeight="1">
      <c r="A12" s="19" t="s">
        <v>63</v>
      </c>
      <c r="B12" s="117" t="s">
        <v>3258</v>
      </c>
      <c r="C12" s="118">
        <v>0.65</v>
      </c>
      <c r="D12" s="37">
        <v>4.0</v>
      </c>
      <c r="E12" s="37">
        <v>3.0</v>
      </c>
      <c r="F12" s="37" t="s">
        <v>3229</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3259</v>
      </c>
      <c r="BQ12" s="37" t="s">
        <v>3260</v>
      </c>
      <c r="BT12" s="119" t="s">
        <v>3259</v>
      </c>
      <c r="BU12" s="119"/>
      <c r="BV12" s="119"/>
      <c r="BW12" s="119"/>
    </row>
    <row r="13" ht="18.75" customHeight="1">
      <c r="A13" s="19" t="s">
        <v>3261</v>
      </c>
      <c r="B13" s="117" t="s">
        <v>3258</v>
      </c>
      <c r="C13" s="118">
        <v>0.65</v>
      </c>
      <c r="D13" s="37">
        <v>4.0</v>
      </c>
      <c r="E13" s="37">
        <v>3.0</v>
      </c>
      <c r="F13" s="37" t="s">
        <v>3229</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3259</v>
      </c>
      <c r="BU13" s="119"/>
      <c r="BV13" s="119"/>
      <c r="BW13" s="119"/>
    </row>
    <row r="14" ht="18.75" customHeight="1">
      <c r="A14" s="19" t="s">
        <v>64</v>
      </c>
      <c r="B14" s="117" t="s">
        <v>3262</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3259</v>
      </c>
      <c r="BQ14" s="37" t="s">
        <v>3263</v>
      </c>
    </row>
    <row r="15" ht="18.75" customHeight="1">
      <c r="A15" s="19" t="s">
        <v>65</v>
      </c>
      <c r="B15" s="117" t="s">
        <v>3264</v>
      </c>
      <c r="C15" s="118">
        <v>0.9</v>
      </c>
      <c r="D15" s="37">
        <v>6.0</v>
      </c>
      <c r="E15" s="37">
        <v>1.0</v>
      </c>
      <c r="F15" s="37" t="s">
        <v>3229</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3259</v>
      </c>
      <c r="BQ15" s="37" t="s">
        <v>3265</v>
      </c>
      <c r="BU15" s="39" t="s">
        <v>3266</v>
      </c>
      <c r="BV15" s="39">
        <v>1.0</v>
      </c>
      <c r="BW15" s="39"/>
    </row>
    <row r="16" ht="18.75" customHeight="1">
      <c r="A16" s="19" t="s">
        <v>66</v>
      </c>
      <c r="B16" s="117" t="s">
        <v>3267</v>
      </c>
      <c r="C16" s="118">
        <v>0.65</v>
      </c>
      <c r="D16" s="37">
        <v>3.0</v>
      </c>
      <c r="E16" s="37">
        <v>1.0</v>
      </c>
      <c r="F16" s="37" t="s">
        <v>3229</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3268</v>
      </c>
      <c r="BM16" s="37">
        <v>6.0</v>
      </c>
      <c r="BN16" s="37" t="s">
        <v>3269</v>
      </c>
      <c r="BO16" s="37" t="s">
        <v>3232</v>
      </c>
      <c r="BQ16" s="37" t="s">
        <v>3269</v>
      </c>
      <c r="BT16" s="119" t="s">
        <v>3232</v>
      </c>
      <c r="BU16" s="119"/>
      <c r="BV16" s="119"/>
      <c r="BW16" s="119"/>
    </row>
    <row r="17" ht="18.75" customHeight="1">
      <c r="A17" s="19" t="s">
        <v>67</v>
      </c>
      <c r="B17" s="117" t="s">
        <v>3270</v>
      </c>
      <c r="C17" s="118">
        <v>0.95</v>
      </c>
      <c r="D17" s="37">
        <v>6.0</v>
      </c>
      <c r="E17" s="37">
        <v>2.0</v>
      </c>
      <c r="F17" s="37" t="s">
        <v>3229</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3271</v>
      </c>
      <c r="BM17" s="37">
        <v>4.0</v>
      </c>
      <c r="BN17" s="37" t="s">
        <v>3272</v>
      </c>
      <c r="BO17" s="37" t="s">
        <v>3232</v>
      </c>
    </row>
    <row r="18" ht="18.75" customHeight="1">
      <c r="A18" s="19" t="s">
        <v>68</v>
      </c>
      <c r="B18" s="117" t="s">
        <v>3273</v>
      </c>
      <c r="C18" s="118">
        <v>0.9</v>
      </c>
      <c r="D18" s="37">
        <v>3.0</v>
      </c>
      <c r="E18" s="37">
        <v>2.0</v>
      </c>
      <c r="F18" s="37" t="s">
        <v>3274</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3275</v>
      </c>
      <c r="C19" s="118">
        <v>0.9</v>
      </c>
      <c r="D19" s="37">
        <v>4.0</v>
      </c>
      <c r="E19" s="37">
        <v>0.0</v>
      </c>
      <c r="F19" s="37" t="s">
        <v>3229</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3259</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3276</v>
      </c>
      <c r="B21" s="117"/>
      <c r="C21" s="118"/>
      <c r="G21" s="37">
        <v>15.0</v>
      </c>
      <c r="H21" s="37">
        <v>15.0</v>
      </c>
      <c r="V21" s="118"/>
      <c r="W21" s="118"/>
      <c r="X21" s="118"/>
      <c r="Y21" s="118"/>
      <c r="Z21" s="118"/>
      <c r="AA21" s="118"/>
      <c r="AB21" s="118"/>
      <c r="AC21" s="118"/>
      <c r="AK21" s="64"/>
      <c r="AL21" s="64"/>
      <c r="AS21" s="64"/>
      <c r="BE21" s="37">
        <v>5.0</v>
      </c>
      <c r="BG21" s="37">
        <v>10.0</v>
      </c>
      <c r="BT21" s="119" t="s">
        <v>3259</v>
      </c>
      <c r="BU21" s="119" t="s">
        <v>3277</v>
      </c>
      <c r="BV21" s="119">
        <v>1.0</v>
      </c>
      <c r="BW21" s="119"/>
    </row>
    <row r="22" ht="18.75" customHeight="1">
      <c r="A22" s="19" t="s">
        <v>3278</v>
      </c>
      <c r="B22" s="117"/>
      <c r="C22" s="118">
        <v>0.3</v>
      </c>
      <c r="S22" s="37">
        <v>40.0</v>
      </c>
      <c r="V22" s="118"/>
      <c r="W22" s="118"/>
      <c r="X22" s="118"/>
      <c r="Y22" s="118"/>
      <c r="Z22" s="118"/>
      <c r="AA22" s="118"/>
      <c r="AB22" s="118"/>
      <c r="AC22" s="118"/>
      <c r="AK22" s="64"/>
      <c r="AL22" s="64"/>
      <c r="AS22" s="64"/>
      <c r="BU22" s="39" t="s">
        <v>3279</v>
      </c>
      <c r="BV22" s="39">
        <v>1.0</v>
      </c>
      <c r="BW22" s="39"/>
    </row>
    <row r="23" ht="18.75" customHeight="1">
      <c r="A23" s="19" t="s">
        <v>3280</v>
      </c>
      <c r="B23" s="117"/>
      <c r="C23" s="118">
        <v>0.15</v>
      </c>
      <c r="T23" s="39">
        <v>0.0</v>
      </c>
      <c r="V23" s="118"/>
      <c r="W23" s="118"/>
      <c r="X23" s="118"/>
      <c r="Y23" s="118"/>
      <c r="Z23" s="118"/>
      <c r="AA23" s="118"/>
      <c r="AB23" s="118"/>
      <c r="AC23" s="118"/>
      <c r="AK23" s="64"/>
      <c r="AL23" s="64"/>
      <c r="AS23" s="64"/>
      <c r="BU23" s="39" t="s">
        <v>3279</v>
      </c>
      <c r="BV23" s="39">
        <v>1.0</v>
      </c>
      <c r="BW23" s="39"/>
    </row>
    <row r="24" ht="18.75" customHeight="1">
      <c r="A24" s="19" t="s">
        <v>3281</v>
      </c>
      <c r="B24" s="117"/>
      <c r="C24" s="118">
        <v>0.15</v>
      </c>
      <c r="U24" s="39">
        <v>0.0</v>
      </c>
      <c r="V24" s="118"/>
      <c r="W24" s="118"/>
      <c r="X24" s="118"/>
      <c r="Y24" s="118"/>
      <c r="Z24" s="118"/>
      <c r="AA24" s="118"/>
      <c r="AB24" s="118"/>
      <c r="AC24" s="118"/>
      <c r="AK24" s="64"/>
      <c r="AL24" s="64"/>
      <c r="AS24" s="64"/>
      <c r="BU24" s="39" t="s">
        <v>3279</v>
      </c>
      <c r="BV24" s="39">
        <v>2.0</v>
      </c>
      <c r="BW24" s="39"/>
    </row>
    <row r="25" ht="18.75" customHeight="1">
      <c r="A25" s="19" t="s">
        <v>3282</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3283</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3284</v>
      </c>
      <c r="B29" s="120" t="s">
        <v>3285</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3286</v>
      </c>
      <c r="B30" s="117" t="s">
        <v>3287</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3288</v>
      </c>
      <c r="B31" s="117" t="s">
        <v>3289</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3290</v>
      </c>
      <c r="B32" s="121" t="s">
        <v>3291</v>
      </c>
    </row>
    <row r="33" ht="18.75" customHeight="1">
      <c r="A33" s="28" t="s">
        <v>3292</v>
      </c>
      <c r="B33" s="121" t="s">
        <v>3293</v>
      </c>
    </row>
    <row r="34" ht="18.75" customHeight="1">
      <c r="A34" s="28" t="s">
        <v>3294</v>
      </c>
      <c r="B34" s="121" t="s">
        <v>3295</v>
      </c>
    </row>
    <row r="35" ht="18.75" customHeight="1">
      <c r="A35" s="28" t="s">
        <v>3296</v>
      </c>
      <c r="B35" s="121" t="s">
        <v>3297</v>
      </c>
    </row>
    <row r="36" ht="18.75" customHeight="1">
      <c r="A36" s="28" t="s">
        <v>3298</v>
      </c>
      <c r="B36" s="121" t="s">
        <v>3299</v>
      </c>
      <c r="BJ36" s="39" t="b">
        <v>0</v>
      </c>
      <c r="BM36" s="39">
        <v>0.0</v>
      </c>
      <c r="BT36" s="39" t="s">
        <v>2630</v>
      </c>
      <c r="BV36" s="39">
        <v>0.0</v>
      </c>
      <c r="BW36" s="39" t="s">
        <v>3300</v>
      </c>
    </row>
    <row r="37" ht="18.75" customHeight="1">
      <c r="A37" s="28" t="s">
        <v>3301</v>
      </c>
      <c r="B37" s="121" t="s">
        <v>3302</v>
      </c>
      <c r="BJ37" s="39" t="b">
        <v>0</v>
      </c>
      <c r="BM37" s="39">
        <v>0.0</v>
      </c>
      <c r="BT37" s="39" t="s">
        <v>2630</v>
      </c>
      <c r="BV37" s="39">
        <v>0.0</v>
      </c>
      <c r="BW37" s="39" t="s">
        <v>3303</v>
      </c>
    </row>
    <row r="38" ht="18.75" customHeight="1">
      <c r="A38" s="28" t="s">
        <v>3304</v>
      </c>
      <c r="B38" s="121" t="s">
        <v>3305</v>
      </c>
      <c r="BJ38" s="39" t="b">
        <v>0</v>
      </c>
      <c r="BM38" s="39">
        <v>0.0</v>
      </c>
      <c r="BT38" s="39" t="s">
        <v>2630</v>
      </c>
      <c r="BV38" s="39">
        <v>0.0</v>
      </c>
      <c r="BW38" s="39" t="s">
        <v>3306</v>
      </c>
    </row>
    <row r="39" ht="18.75" customHeight="1">
      <c r="A39" s="28" t="s">
        <v>3307</v>
      </c>
      <c r="B39" s="121" t="s">
        <v>3308</v>
      </c>
      <c r="BJ39" s="39" t="b">
        <v>0</v>
      </c>
      <c r="BM39" s="39">
        <v>0.0</v>
      </c>
      <c r="BT39" s="39" t="s">
        <v>2630</v>
      </c>
      <c r="BV39" s="39">
        <v>0.0</v>
      </c>
      <c r="BW39" s="39" t="s">
        <v>3309</v>
      </c>
    </row>
    <row r="40" ht="18.75" customHeight="1">
      <c r="A40" s="28" t="s">
        <v>3310</v>
      </c>
      <c r="B40" s="121" t="s">
        <v>3311</v>
      </c>
      <c r="BJ40" s="39" t="b">
        <v>0</v>
      </c>
      <c r="BM40" s="39">
        <v>0.0</v>
      </c>
      <c r="BT40" s="39" t="s">
        <v>2630</v>
      </c>
      <c r="BV40" s="39">
        <v>0.0</v>
      </c>
      <c r="BW40" s="39" t="s">
        <v>3312</v>
      </c>
    </row>
    <row r="41" ht="18.75" customHeight="1">
      <c r="A41" s="28" t="s">
        <v>3313</v>
      </c>
      <c r="B41" s="121" t="s">
        <v>3314</v>
      </c>
      <c r="BJ41" s="39" t="b">
        <v>0</v>
      </c>
      <c r="BM41" s="39">
        <v>0.0</v>
      </c>
      <c r="BT41" s="39" t="s">
        <v>2630</v>
      </c>
      <c r="BV41" s="39">
        <v>0.0</v>
      </c>
      <c r="BW41" s="39" t="s">
        <v>3315</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3316</v>
      </c>
      <c r="B1" s="11" t="s">
        <v>3317</v>
      </c>
      <c r="C1" s="1" t="s">
        <v>3318</v>
      </c>
      <c r="D1" s="1" t="s">
        <v>3319</v>
      </c>
      <c r="E1" s="1" t="s">
        <v>2657</v>
      </c>
      <c r="F1" s="1" t="s">
        <v>3320</v>
      </c>
      <c r="G1" s="122" t="s">
        <v>3321</v>
      </c>
      <c r="H1" s="122" t="s">
        <v>3322</v>
      </c>
      <c r="I1" s="122" t="s">
        <v>3323</v>
      </c>
      <c r="J1" s="11" t="s">
        <v>3324</v>
      </c>
      <c r="K1" s="11" t="s">
        <v>3325</v>
      </c>
      <c r="L1" s="11" t="s">
        <v>3326</v>
      </c>
      <c r="M1" s="11" t="s">
        <v>3327</v>
      </c>
      <c r="N1" s="11" t="s">
        <v>2634</v>
      </c>
      <c r="O1" s="11" t="s">
        <v>2636</v>
      </c>
      <c r="P1" s="11" t="s">
        <v>2637</v>
      </c>
      <c r="Q1" s="11" t="s">
        <v>2638</v>
      </c>
      <c r="R1" s="11" t="s">
        <v>2920</v>
      </c>
      <c r="S1" s="11" t="s">
        <v>3328</v>
      </c>
      <c r="T1" s="11"/>
      <c r="U1" s="11"/>
      <c r="V1" s="11"/>
      <c r="W1" s="11" t="s">
        <v>3329</v>
      </c>
      <c r="X1" s="22" t="s">
        <v>3330</v>
      </c>
      <c r="Y1" s="22" t="s">
        <v>3331</v>
      </c>
      <c r="Z1" s="22" t="s">
        <v>3332</v>
      </c>
      <c r="AA1" s="22" t="s">
        <v>3333</v>
      </c>
      <c r="AB1" s="22" t="s">
        <v>3334</v>
      </c>
      <c r="AC1" s="22" t="s">
        <v>3335</v>
      </c>
      <c r="AD1" s="22" t="s">
        <v>3336</v>
      </c>
      <c r="AE1" s="123" t="s">
        <v>3337</v>
      </c>
      <c r="AF1" s="123" t="s">
        <v>3338</v>
      </c>
      <c r="AG1" s="123" t="s">
        <v>3339</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3340</v>
      </c>
      <c r="S3" s="37" t="str">
        <f t="shared" ref="S3:S107" si="1">IFERROR(VLOOKUP(B3,$U:$V,2,FALSE),"")</f>
        <v>鳥系生物の巣</v>
      </c>
      <c r="U3" s="37" t="s">
        <v>1507</v>
      </c>
      <c r="V3" s="37" t="s">
        <v>3341</v>
      </c>
      <c r="W3" s="37" t="s">
        <v>3342</v>
      </c>
      <c r="X3" s="39" t="s">
        <v>3343</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3344</v>
      </c>
      <c r="W4" s="37" t="s">
        <v>3345</v>
      </c>
      <c r="X4" s="39" t="s">
        <v>3343</v>
      </c>
      <c r="Y4" s="39">
        <v>7.0</v>
      </c>
      <c r="AA4" s="37"/>
      <c r="AD4" s="39">
        <v>1.0</v>
      </c>
      <c r="AE4" s="39">
        <v>0.0</v>
      </c>
      <c r="AF4" s="39">
        <v>45.0</v>
      </c>
      <c r="AG4" s="39" t="s">
        <v>3346</v>
      </c>
    </row>
    <row r="5" ht="18.75" customHeight="1" outlineLevel="1">
      <c r="A5" s="1" t="s">
        <v>54</v>
      </c>
      <c r="B5" s="11" t="s">
        <v>3347</v>
      </c>
      <c r="C5" s="37" t="str">
        <f>LET(
 _xlpm.dOK,COUNTIF('クラス'!A:A,E5)&gt;0,
 _xlpm.eOK,COUNTIF('クラス'!A:A,F5)&gt;0,
 IF(_xlpm.dOK,"○","×") &amp; IF(_xlpm.eOK,"○","×")
)</f>
        <v>××</v>
      </c>
      <c r="G5" s="39">
        <v>5.0</v>
      </c>
      <c r="H5" s="39">
        <v>10.0</v>
      </c>
      <c r="S5" s="37" t="str">
        <f t="shared" si="1"/>
        <v>虫系の巣</v>
      </c>
      <c r="U5" s="37" t="s">
        <v>3347</v>
      </c>
      <c r="V5" s="37" t="s">
        <v>3348</v>
      </c>
      <c r="W5" s="37" t="s">
        <v>3349</v>
      </c>
      <c r="X5" s="39" t="s">
        <v>3350</v>
      </c>
      <c r="Y5" s="39">
        <v>1.0</v>
      </c>
      <c r="AA5" s="37"/>
      <c r="AD5" s="39">
        <v>1.0</v>
      </c>
      <c r="AE5" s="39"/>
      <c r="AF5" s="39"/>
      <c r="AG5" s="39"/>
    </row>
    <row r="6" ht="18.75" customHeight="1" outlineLevel="1">
      <c r="A6" s="1" t="s">
        <v>54</v>
      </c>
      <c r="B6" s="11" t="s">
        <v>3351</v>
      </c>
      <c r="C6" s="37" t="str">
        <f>LET(
 _xlpm.dOK,COUNTIF('クラス'!A:A,E6)&gt;0,
 _xlpm.eOK,COUNTIF('クラス'!A:A,F6)&gt;0,
 IF(_xlpm.dOK,"○","×") &amp; IF(_xlpm.eOK,"○","×")
)</f>
        <v>××</v>
      </c>
      <c r="S6" s="37" t="str">
        <f t="shared" si="1"/>
        <v>地中生物の巣</v>
      </c>
      <c r="U6" s="37" t="s">
        <v>3351</v>
      </c>
      <c r="V6" s="37" t="s">
        <v>3352</v>
      </c>
      <c r="W6" s="37" t="s">
        <v>3353</v>
      </c>
      <c r="X6" s="39" t="s">
        <v>29</v>
      </c>
      <c r="Y6" s="39" t="s">
        <v>29</v>
      </c>
      <c r="AA6" s="37"/>
      <c r="AD6" s="39">
        <v>1.0</v>
      </c>
      <c r="AE6" s="39"/>
      <c r="AF6" s="39"/>
      <c r="AG6" s="39"/>
    </row>
    <row r="7" ht="18.75" customHeight="1" outlineLevel="1">
      <c r="A7" s="1" t="s">
        <v>54</v>
      </c>
      <c r="B7" s="11" t="s">
        <v>3354</v>
      </c>
      <c r="C7" s="37" t="str">
        <f>LET(
 _xlpm.dOK,COUNTIF('クラス'!A:A,E7)&gt;0,
 _xlpm.eOK,COUNTIF('クラス'!A:A,F7)&gt;0,
 IF(_xlpm.dOK,"○","×") &amp; IF(_xlpm.eOK,"○","×")
)</f>
        <v>○○</v>
      </c>
      <c r="D7" s="37" t="b">
        <v>1</v>
      </c>
      <c r="E7" s="37" t="s">
        <v>1494</v>
      </c>
      <c r="F7" s="37" t="s">
        <v>1507</v>
      </c>
      <c r="G7" s="39">
        <v>5.0</v>
      </c>
      <c r="H7" s="39">
        <v>15.0</v>
      </c>
      <c r="R7" s="37" t="s">
        <v>3354</v>
      </c>
      <c r="S7" s="37" t="str">
        <f t="shared" si="1"/>
        <v>肉食生物の巣</v>
      </c>
      <c r="U7" s="37" t="s">
        <v>3354</v>
      </c>
      <c r="V7" s="37" t="s">
        <v>3344</v>
      </c>
      <c r="W7" s="37" t="s">
        <v>3355</v>
      </c>
      <c r="X7" s="39" t="s">
        <v>3356</v>
      </c>
      <c r="Y7" s="39">
        <v>1.0</v>
      </c>
      <c r="AA7" s="37"/>
      <c r="AD7" s="39">
        <v>1.0</v>
      </c>
      <c r="AE7" s="39"/>
      <c r="AF7" s="39"/>
      <c r="AG7" s="39"/>
    </row>
    <row r="8" ht="18.75" customHeight="1" outlineLevel="1">
      <c r="A8" s="1" t="s">
        <v>54</v>
      </c>
      <c r="B8" s="11" t="s">
        <v>3357</v>
      </c>
      <c r="C8" s="37" t="str">
        <f>LET(
 _xlpm.dOK,COUNTIF('クラス'!A:A,E8)&gt;0,
 _xlpm.eOK,COUNTIF('クラス'!A:A,F8)&gt;0,
 IF(_xlpm.dOK,"○","×") &amp; IF(_xlpm.eOK,"○","×")
)</f>
        <v>○○</v>
      </c>
      <c r="E8" s="37" t="s">
        <v>1501</v>
      </c>
      <c r="F8" s="37" t="s">
        <v>1344</v>
      </c>
      <c r="G8" s="39">
        <v>5.0</v>
      </c>
      <c r="H8" s="39">
        <v>15.0</v>
      </c>
      <c r="R8" s="37" t="s">
        <v>3357</v>
      </c>
      <c r="S8" s="37" t="str">
        <f t="shared" si="1"/>
        <v>肉食生物の巣</v>
      </c>
      <c r="U8" s="37" t="s">
        <v>3357</v>
      </c>
      <c r="V8" s="37" t="s">
        <v>3344</v>
      </c>
      <c r="W8" s="37" t="s">
        <v>3358</v>
      </c>
      <c r="X8" s="39" t="s">
        <v>3356</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3359</v>
      </c>
      <c r="W9" s="37" t="s">
        <v>3360</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3252</v>
      </c>
      <c r="B11" s="11" t="s">
        <v>1501</v>
      </c>
      <c r="C11" s="37" t="str">
        <f>LET(
 _xlpm.dOK,COUNTIF('クラス'!A:A,E11)&gt;0,
 _xlpm.eOK,COUNTIF('クラス'!A:A,F11)&gt;0,
 IF(_xlpm.dOK,"○","×") &amp; IF(_xlpm.eOK,"○","×")
)</f>
        <v>○×</v>
      </c>
      <c r="D11" s="37" t="b">
        <v>1</v>
      </c>
      <c r="E11" s="37" t="s">
        <v>1501</v>
      </c>
      <c r="G11" s="39">
        <v>3.0</v>
      </c>
      <c r="H11" s="39">
        <v>7.0</v>
      </c>
      <c r="R11" s="37" t="s">
        <v>3361</v>
      </c>
      <c r="S11" s="37" t="str">
        <f t="shared" si="1"/>
        <v>肉食生物の巣</v>
      </c>
      <c r="U11" s="37" t="s">
        <v>1501</v>
      </c>
      <c r="V11" s="37" t="s">
        <v>3344</v>
      </c>
      <c r="W11" s="37" t="s">
        <v>3362</v>
      </c>
      <c r="X11" s="39" t="s">
        <v>3363</v>
      </c>
      <c r="Y11" s="39">
        <v>3.0</v>
      </c>
      <c r="AA11" s="37"/>
      <c r="AD11" s="39">
        <v>1.0</v>
      </c>
      <c r="AE11" s="39"/>
      <c r="AF11" s="39"/>
      <c r="AG11" s="39"/>
    </row>
    <row r="12" ht="18.75" customHeight="1" outlineLevel="1">
      <c r="A12" s="1" t="s">
        <v>3252</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3344</v>
      </c>
      <c r="W12" s="37" t="s">
        <v>3364</v>
      </c>
      <c r="X12" s="39" t="s">
        <v>3343</v>
      </c>
      <c r="Y12" s="39">
        <v>7.0</v>
      </c>
      <c r="AA12" s="37"/>
      <c r="AD12" s="39">
        <v>1.0</v>
      </c>
      <c r="AE12" s="39">
        <v>0.0</v>
      </c>
      <c r="AF12" s="39">
        <v>45.0</v>
      </c>
      <c r="AG12" s="39" t="s">
        <v>3346</v>
      </c>
    </row>
    <row r="13" ht="18.75" customHeight="1" outlineLevel="1">
      <c r="A13" s="1" t="s">
        <v>3252</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3344</v>
      </c>
      <c r="W13" s="37" t="s">
        <v>3365</v>
      </c>
      <c r="X13" s="39" t="s">
        <v>3366</v>
      </c>
      <c r="Y13" s="39">
        <v>1.0</v>
      </c>
      <c r="AA13" s="37"/>
      <c r="AD13" s="39">
        <v>1.0</v>
      </c>
      <c r="AE13" s="39">
        <v>0.0</v>
      </c>
      <c r="AF13" s="39">
        <v>45.0</v>
      </c>
      <c r="AG13" s="39" t="s">
        <v>3346</v>
      </c>
    </row>
    <row r="14" ht="18.75" customHeight="1" outlineLevel="1">
      <c r="A14" s="1" t="s">
        <v>3252</v>
      </c>
      <c r="B14" s="11" t="s">
        <v>3367</v>
      </c>
      <c r="C14" s="37" t="str">
        <f>LET(
 _xlpm.dOK,COUNTIF('クラス'!A:A,E14)&gt;0,
 _xlpm.eOK,COUNTIF('クラス'!A:A,F14)&gt;0,
 IF(_xlpm.dOK,"○","×") &amp; IF(_xlpm.eOK,"○","×")
)</f>
        <v>○×</v>
      </c>
      <c r="E14" s="37" t="s">
        <v>1504</v>
      </c>
      <c r="G14" s="39">
        <v>5.0</v>
      </c>
      <c r="H14" s="39">
        <v>10.0</v>
      </c>
      <c r="S14" s="37" t="str">
        <f t="shared" si="1"/>
        <v>地中生物の巣</v>
      </c>
      <c r="U14" s="37" t="s">
        <v>3367</v>
      </c>
      <c r="V14" s="37" t="s">
        <v>3352</v>
      </c>
      <c r="W14" s="37" t="s">
        <v>3368</v>
      </c>
      <c r="X14" s="39" t="s">
        <v>3369</v>
      </c>
      <c r="Y14" s="39">
        <v>2.0</v>
      </c>
      <c r="AA14" s="37"/>
      <c r="AD14" s="39">
        <v>1.0</v>
      </c>
      <c r="AE14" s="39">
        <v>0.0</v>
      </c>
      <c r="AF14" s="39">
        <v>45.0</v>
      </c>
      <c r="AG14" s="39" t="s">
        <v>3346</v>
      </c>
    </row>
    <row r="15" ht="18.75" customHeight="1" outlineLevel="1">
      <c r="A15" s="1" t="s">
        <v>3252</v>
      </c>
      <c r="B15" s="11" t="s">
        <v>3354</v>
      </c>
      <c r="C15" s="37" t="str">
        <f>LET(
 _xlpm.dOK,COUNTIF('クラス'!A:A,E15)&gt;0,
 _xlpm.eOK,COUNTIF('クラス'!A:A,F15)&gt;0,
 IF(_xlpm.dOK,"○","×") &amp; IF(_xlpm.eOK,"○","×")
)</f>
        <v>○○</v>
      </c>
      <c r="D15" s="37" t="b">
        <v>1</v>
      </c>
      <c r="E15" s="37" t="s">
        <v>1494</v>
      </c>
      <c r="F15" s="37" t="s">
        <v>1507</v>
      </c>
      <c r="G15" s="39">
        <v>5.0</v>
      </c>
      <c r="H15" s="39">
        <v>15.0</v>
      </c>
      <c r="R15" s="37" t="s">
        <v>3354</v>
      </c>
      <c r="S15" s="37" t="str">
        <f t="shared" si="1"/>
        <v>肉食生物の巣</v>
      </c>
      <c r="U15" s="37" t="s">
        <v>3354</v>
      </c>
      <c r="V15" s="37" t="s">
        <v>3344</v>
      </c>
      <c r="W15" s="37" t="s">
        <v>3370</v>
      </c>
      <c r="X15" s="39" t="s">
        <v>3356</v>
      </c>
      <c r="Y15" s="39">
        <v>1.0</v>
      </c>
      <c r="AA15" s="37"/>
      <c r="AD15" s="39">
        <v>1.0</v>
      </c>
      <c r="AE15" s="39"/>
      <c r="AF15" s="39"/>
      <c r="AG15" s="39"/>
    </row>
    <row r="16" ht="18.75" customHeight="1" outlineLevel="1">
      <c r="A16" s="1" t="s">
        <v>3252</v>
      </c>
      <c r="B16" s="11" t="s">
        <v>3357</v>
      </c>
      <c r="C16" s="37" t="str">
        <f>LET(
 _xlpm.dOK,COUNTIF('クラス'!A:A,E16)&gt;0,
 _xlpm.eOK,COUNTIF('クラス'!A:A,F16)&gt;0,
 IF(_xlpm.dOK,"○","×") &amp; IF(_xlpm.eOK,"○","×")
)</f>
        <v>○○</v>
      </c>
      <c r="E16" s="37" t="s">
        <v>1501</v>
      </c>
      <c r="F16" s="37" t="s">
        <v>1344</v>
      </c>
      <c r="G16" s="39">
        <v>5.0</v>
      </c>
      <c r="H16" s="39">
        <v>15.0</v>
      </c>
      <c r="R16" s="37" t="s">
        <v>3357</v>
      </c>
      <c r="S16" s="37" t="str">
        <f t="shared" si="1"/>
        <v>肉食生物の巣</v>
      </c>
      <c r="U16" s="37" t="s">
        <v>3357</v>
      </c>
      <c r="V16" s="37" t="s">
        <v>3344</v>
      </c>
      <c r="W16" s="37" t="s">
        <v>3371</v>
      </c>
      <c r="X16" s="39" t="s">
        <v>3356</v>
      </c>
      <c r="Y16" s="39">
        <v>6.0</v>
      </c>
      <c r="AA16" s="37"/>
      <c r="AD16" s="39">
        <v>1.0</v>
      </c>
      <c r="AE16" s="39"/>
      <c r="AF16" s="39"/>
      <c r="AG16" s="39"/>
    </row>
    <row r="17" ht="18.75" customHeight="1" outlineLevel="1">
      <c r="A17" s="1" t="s">
        <v>3252</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3359</v>
      </c>
      <c r="W17" s="37" t="s">
        <v>3372</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3373</v>
      </c>
      <c r="C19" s="37" t="str">
        <f>LET(
 _xlpm.dOK,COUNTIF('クラス'!A:A,E19)&gt;0,
 _xlpm.eOK,COUNTIF('クラス'!A:A,F19)&gt;0,
 IF(_xlpm.dOK,"○","×") &amp; IF(_xlpm.eOK,"○","×")
)</f>
        <v>××</v>
      </c>
      <c r="S19" s="37" t="str">
        <f t="shared" si="1"/>
        <v>死霊の巣</v>
      </c>
      <c r="U19" s="37" t="s">
        <v>3373</v>
      </c>
      <c r="V19" s="37" t="s">
        <v>3374</v>
      </c>
      <c r="W19" s="37" t="s">
        <v>3375</v>
      </c>
      <c r="X19" s="39" t="s">
        <v>29</v>
      </c>
      <c r="Y19" s="39" t="s">
        <v>29</v>
      </c>
      <c r="AA19" s="37"/>
      <c r="AD19" s="39">
        <v>1.0</v>
      </c>
      <c r="AE19" s="39"/>
      <c r="AF19" s="39"/>
      <c r="AG19" s="39"/>
    </row>
    <row r="20" ht="18.75" customHeight="1" outlineLevel="1">
      <c r="A20" s="1" t="s">
        <v>62</v>
      </c>
      <c r="B20" s="11" t="s">
        <v>3376</v>
      </c>
      <c r="C20" s="37" t="str">
        <f>LET(
 _xlpm.dOK,COUNTIF('クラス'!A:A,E20)&gt;0,
 _xlpm.eOK,COUNTIF('クラス'!A:A,F20)&gt;0,
 IF(_xlpm.dOK,"○","×") &amp; IF(_xlpm.eOK,"○","×")
)</f>
        <v>××</v>
      </c>
      <c r="S20" s="37" t="str">
        <f t="shared" si="1"/>
        <v>毒生成物の巣</v>
      </c>
      <c r="U20" s="37" t="s">
        <v>3376</v>
      </c>
      <c r="V20" s="37" t="s">
        <v>3377</v>
      </c>
      <c r="W20" s="37" t="s">
        <v>3378</v>
      </c>
      <c r="X20" s="39" t="s">
        <v>29</v>
      </c>
      <c r="Y20" s="39" t="s">
        <v>29</v>
      </c>
      <c r="AA20" s="37"/>
      <c r="AD20" s="39">
        <v>1.0</v>
      </c>
      <c r="AE20" s="39"/>
      <c r="AF20" s="39"/>
      <c r="AG20" s="39"/>
    </row>
    <row r="21" ht="18.75" customHeight="1" outlineLevel="1">
      <c r="A21" s="1" t="s">
        <v>62</v>
      </c>
      <c r="B21" s="11" t="s">
        <v>3379</v>
      </c>
      <c r="C21" s="37" t="str">
        <f>LET(
 _xlpm.dOK,COUNTIF('クラス'!A:A,E21)&gt;0,
 _xlpm.eOK,COUNTIF('クラス'!A:A,F21)&gt;0,
 IF(_xlpm.dOK,"○","×") &amp; IF(_xlpm.eOK,"○","×")
)</f>
        <v>××</v>
      </c>
      <c r="S21" s="37" t="str">
        <f t="shared" si="1"/>
        <v>飛竜の巣</v>
      </c>
      <c r="U21" s="37" t="s">
        <v>3379</v>
      </c>
      <c r="V21" s="37" t="s">
        <v>3359</v>
      </c>
      <c r="W21" s="37" t="s">
        <v>3380</v>
      </c>
      <c r="X21" s="39" t="s">
        <v>29</v>
      </c>
      <c r="Y21" s="39" t="s">
        <v>29</v>
      </c>
      <c r="AA21" s="37"/>
      <c r="AD21" s="39">
        <v>1.0</v>
      </c>
      <c r="AE21" s="39"/>
      <c r="AF21" s="39"/>
      <c r="AG21" s="39"/>
    </row>
    <row r="22" ht="18.75" customHeight="1" outlineLevel="1">
      <c r="A22" s="1" t="s">
        <v>62</v>
      </c>
      <c r="B22" s="11" t="s">
        <v>3381</v>
      </c>
      <c r="C22" s="37" t="str">
        <f>LET(
 _xlpm.dOK,COUNTIF('クラス'!A:A,E22)&gt;0,
 _xlpm.eOK,COUNTIF('クラス'!A:A,F22)&gt;0,
 IF(_xlpm.dOK,"○","×") &amp; IF(_xlpm.eOK,"○","×")
)</f>
        <v>××</v>
      </c>
      <c r="R22" s="37" t="s">
        <v>3381</v>
      </c>
      <c r="S22" s="37" t="str">
        <f t="shared" si="1"/>
        <v>地中生物の巣</v>
      </c>
      <c r="U22" s="37" t="s">
        <v>3381</v>
      </c>
      <c r="V22" s="37" t="s">
        <v>3352</v>
      </c>
      <c r="W22" s="37" t="s">
        <v>3382</v>
      </c>
      <c r="X22" s="39" t="s">
        <v>3369</v>
      </c>
      <c r="Y22" s="39">
        <v>3.0</v>
      </c>
      <c r="AA22" s="37"/>
      <c r="AD22" s="39">
        <v>1.0</v>
      </c>
      <c r="AE22" s="39"/>
      <c r="AF22" s="39"/>
      <c r="AG22" s="39"/>
    </row>
    <row r="23" ht="18.75" customHeight="1" outlineLevel="1">
      <c r="A23" s="1" t="s">
        <v>62</v>
      </c>
      <c r="B23" s="11" t="s">
        <v>3383</v>
      </c>
      <c r="C23" s="37" t="str">
        <f>LET(
 _xlpm.dOK,COUNTIF('クラス'!A:A,E23)&gt;0,
 _xlpm.eOK,COUNTIF('クラス'!A:A,F23)&gt;0,
 IF(_xlpm.dOK,"○","×") &amp; IF(_xlpm.eOK,"○","×")
)</f>
        <v>××</v>
      </c>
      <c r="G23" s="39">
        <v>5.0</v>
      </c>
      <c r="H23" s="39">
        <v>10.0</v>
      </c>
      <c r="R23" s="37" t="s">
        <v>3384</v>
      </c>
      <c r="S23" s="37" t="str">
        <f t="shared" si="1"/>
        <v>虫系の巣</v>
      </c>
      <c r="U23" s="37" t="s">
        <v>3383</v>
      </c>
      <c r="V23" s="37" t="s">
        <v>3348</v>
      </c>
      <c r="W23" s="37" t="s">
        <v>3385</v>
      </c>
      <c r="X23" s="39" t="s">
        <v>3350</v>
      </c>
      <c r="Y23" s="39">
        <v>7.0</v>
      </c>
      <c r="AA23" s="37"/>
      <c r="AD23" s="39">
        <v>1.0</v>
      </c>
      <c r="AE23" s="39"/>
      <c r="AF23" s="39"/>
      <c r="AG23" s="39"/>
    </row>
    <row r="24" ht="18.75" customHeight="1" outlineLevel="1">
      <c r="A24" s="1" t="s">
        <v>62</v>
      </c>
      <c r="B24" s="11" t="s">
        <v>3386</v>
      </c>
      <c r="C24" s="37" t="str">
        <f>LET(
 _xlpm.dOK,COUNTIF('クラス'!A:A,E24)&gt;0,
 _xlpm.eOK,COUNTIF('クラス'!A:A,F24)&gt;0,
 IF(_xlpm.dOK,"○","×") &amp; IF(_xlpm.eOK,"○","×")
)</f>
        <v>××</v>
      </c>
      <c r="S24" s="37" t="str">
        <f t="shared" si="1"/>
        <v>肉食生物の巣</v>
      </c>
      <c r="U24" s="37" t="s">
        <v>3386</v>
      </c>
      <c r="V24" s="37" t="s">
        <v>3344</v>
      </c>
      <c r="W24" s="37" t="s">
        <v>3387</v>
      </c>
      <c r="X24" s="39" t="s">
        <v>3356</v>
      </c>
      <c r="Y24" s="39">
        <v>5.0</v>
      </c>
      <c r="AA24" s="37"/>
      <c r="AD24" s="39">
        <v>1.0</v>
      </c>
      <c r="AE24" s="39"/>
      <c r="AF24" s="39"/>
      <c r="AG24" s="39"/>
    </row>
    <row r="25" ht="18.75" customHeight="1" outlineLevel="1">
      <c r="A25" s="1" t="s">
        <v>62</v>
      </c>
      <c r="B25" s="11" t="s">
        <v>3388</v>
      </c>
      <c r="C25" s="37" t="str">
        <f>LET(
 _xlpm.dOK,COUNTIF('クラス'!A:A,E25)&gt;0,
 _xlpm.eOK,COUNTIF('クラス'!A:A,F25)&gt;0,
 IF(_xlpm.dOK,"○","×") &amp; IF(_xlpm.eOK,"○","×")
)</f>
        <v>××</v>
      </c>
      <c r="S25" s="37" t="str">
        <f t="shared" si="1"/>
        <v>土の輪</v>
      </c>
      <c r="U25" s="37" t="s">
        <v>3388</v>
      </c>
      <c r="V25" s="37" t="s">
        <v>3389</v>
      </c>
      <c r="W25" s="37" t="s">
        <v>3390</v>
      </c>
      <c r="X25" s="39" t="s">
        <v>29</v>
      </c>
      <c r="Y25" s="39" t="s">
        <v>29</v>
      </c>
      <c r="AA25" s="37"/>
      <c r="AD25" s="39">
        <v>1.0</v>
      </c>
      <c r="AE25" s="39"/>
      <c r="AF25" s="39"/>
      <c r="AG25" s="39"/>
    </row>
    <row r="26" ht="18.75" customHeight="1" outlineLevel="1">
      <c r="A26" s="1" t="s">
        <v>62</v>
      </c>
      <c r="B26" s="11" t="s">
        <v>3367</v>
      </c>
      <c r="C26" s="37" t="str">
        <f>LET(
 _xlpm.dOK,COUNTIF('クラス'!A:A,E26)&gt;0,
 _xlpm.eOK,COUNTIF('クラス'!A:A,F26)&gt;0,
 IF(_xlpm.dOK,"○","×") &amp; IF(_xlpm.eOK,"○","×")
)</f>
        <v>××</v>
      </c>
      <c r="G26" s="39">
        <v>5.0</v>
      </c>
      <c r="H26" s="39">
        <v>10.0</v>
      </c>
      <c r="R26" s="37" t="s">
        <v>3367</v>
      </c>
      <c r="S26" s="37" t="str">
        <f t="shared" si="1"/>
        <v>地中生物の巣</v>
      </c>
      <c r="U26" s="37" t="s">
        <v>3367</v>
      </c>
      <c r="V26" s="37" t="s">
        <v>3352</v>
      </c>
      <c r="W26" s="37" t="s">
        <v>3391</v>
      </c>
      <c r="X26" s="39" t="s">
        <v>3369</v>
      </c>
      <c r="Y26" s="39">
        <v>2.0</v>
      </c>
      <c r="AA26" s="37"/>
      <c r="AD26" s="39">
        <v>1.0</v>
      </c>
      <c r="AE26" s="39"/>
      <c r="AF26" s="39"/>
      <c r="AG26" s="39"/>
    </row>
    <row r="27" ht="18.75" customHeight="1" outlineLevel="1">
      <c r="A27" s="1" t="s">
        <v>62</v>
      </c>
      <c r="B27" s="11" t="s">
        <v>3392</v>
      </c>
      <c r="C27" s="37" t="str">
        <f>LET(
 _xlpm.dOK,COUNTIF('クラス'!A:A,E27)&gt;0,
 _xlpm.eOK,COUNTIF('クラス'!A:A,F27)&gt;0,
 IF(_xlpm.dOK,"○","×") &amp; IF(_xlpm.eOK,"○","×")
)</f>
        <v>××</v>
      </c>
      <c r="S27" s="37" t="str">
        <f t="shared" si="1"/>
        <v>死霊の巣</v>
      </c>
      <c r="U27" s="37" t="s">
        <v>3392</v>
      </c>
      <c r="V27" s="37" t="s">
        <v>3374</v>
      </c>
      <c r="W27" s="37" t="s">
        <v>3393</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3394</v>
      </c>
      <c r="V29" s="37" t="s">
        <v>3395</v>
      </c>
      <c r="X29" s="39" t="s">
        <v>29</v>
      </c>
      <c r="Y29" s="39" t="s">
        <v>29</v>
      </c>
      <c r="AA29" s="37"/>
      <c r="AD29" s="37"/>
      <c r="AE29" s="37"/>
      <c r="AF29" s="37"/>
      <c r="AG29" s="37"/>
    </row>
    <row r="30" ht="18.75" customHeight="1">
      <c r="A30" s="1" t="s">
        <v>56</v>
      </c>
      <c r="B30" s="11" t="s">
        <v>3394</v>
      </c>
      <c r="C30" s="37" t="str">
        <f>LET(
 _xlpm.dOK,COUNTIF('クラス'!A:A,E30)&gt;0,
 _xlpm.eOK,COUNTIF('クラス'!A:A,F30)&gt;0,
 IF(_xlpm.dOK,"○","×") &amp; IF(_xlpm.eOK,"○","×")
)</f>
        <v>××</v>
      </c>
      <c r="S30" s="37" t="str">
        <f t="shared" si="1"/>
        <v>植物生物の巣</v>
      </c>
      <c r="U30" s="37" t="s">
        <v>1265</v>
      </c>
      <c r="V30" s="37" t="s">
        <v>3395</v>
      </c>
      <c r="W30" s="37" t="s">
        <v>3396</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3397</v>
      </c>
      <c r="V31" s="37" t="s">
        <v>3344</v>
      </c>
      <c r="W31" s="37" t="s">
        <v>3398</v>
      </c>
      <c r="X31" s="39" t="s">
        <v>29</v>
      </c>
      <c r="Y31" s="39" t="s">
        <v>29</v>
      </c>
      <c r="AA31" s="37"/>
      <c r="AD31" s="39">
        <v>1.0</v>
      </c>
      <c r="AE31" s="39"/>
      <c r="AF31" s="39"/>
      <c r="AG31" s="39"/>
    </row>
    <row r="32" ht="18.75" customHeight="1" outlineLevel="1">
      <c r="A32" s="1" t="s">
        <v>56</v>
      </c>
      <c r="B32" s="11" t="s">
        <v>3397</v>
      </c>
      <c r="C32" s="37" t="str">
        <f>LET(
 _xlpm.dOK,COUNTIF('クラス'!A:A,E32)&gt;0,
 _xlpm.eOK,COUNTIF('クラス'!A:A,F32)&gt;0,
 IF(_xlpm.dOK,"○","×") &amp; IF(_xlpm.eOK,"○","×")
)</f>
        <v>○○</v>
      </c>
      <c r="D32" s="37" t="b">
        <v>1</v>
      </c>
      <c r="E32" s="37" t="s">
        <v>1511</v>
      </c>
      <c r="F32" s="37" t="s">
        <v>1766</v>
      </c>
      <c r="G32" s="37">
        <v>15.0</v>
      </c>
      <c r="H32" s="37">
        <v>25.0</v>
      </c>
      <c r="R32" s="37" t="s">
        <v>3397</v>
      </c>
      <c r="S32" s="37" t="str">
        <f t="shared" si="1"/>
        <v>肉食生物の巣</v>
      </c>
      <c r="U32" s="37" t="s">
        <v>3399</v>
      </c>
      <c r="V32" s="37" t="s">
        <v>3377</v>
      </c>
      <c r="W32" s="37" t="s">
        <v>3400</v>
      </c>
      <c r="X32" s="39" t="s">
        <v>3356</v>
      </c>
      <c r="Y32" s="39">
        <v>4.0</v>
      </c>
      <c r="AA32" s="37"/>
      <c r="AD32" s="39">
        <v>1.0</v>
      </c>
      <c r="AE32" s="39"/>
      <c r="AF32" s="39"/>
      <c r="AG32" s="39"/>
    </row>
    <row r="33" ht="18.75" customHeight="1" outlineLevel="1">
      <c r="A33" s="1" t="s">
        <v>56</v>
      </c>
      <c r="B33" s="11" t="s">
        <v>3399</v>
      </c>
      <c r="C33" s="37" t="str">
        <f>LET(
 _xlpm.dOK,COUNTIF('クラス'!A:A,E33)&gt;0,
 _xlpm.eOK,COUNTIF('クラス'!A:A,F33)&gt;0,
 IF(_xlpm.dOK,"○","×") &amp; IF(_xlpm.eOK,"○","×")
)</f>
        <v>××</v>
      </c>
      <c r="S33" s="37" t="str">
        <f t="shared" si="1"/>
        <v>毒生成物の巣</v>
      </c>
      <c r="U33" s="37" t="s">
        <v>3401</v>
      </c>
      <c r="V33" s="37" t="s">
        <v>3395</v>
      </c>
      <c r="W33" s="37" t="s">
        <v>3402</v>
      </c>
      <c r="X33" s="39" t="s">
        <v>29</v>
      </c>
      <c r="Y33" s="39" t="s">
        <v>29</v>
      </c>
      <c r="AA33" s="37"/>
      <c r="AD33" s="39">
        <v>1.0</v>
      </c>
      <c r="AE33" s="39"/>
      <c r="AF33" s="39"/>
      <c r="AG33" s="39"/>
    </row>
    <row r="34" ht="18.75" customHeight="1" outlineLevel="1">
      <c r="A34" s="1" t="s">
        <v>56</v>
      </c>
      <c r="B34" s="11" t="s">
        <v>3401</v>
      </c>
      <c r="C34" s="37" t="str">
        <f>LET(
 _xlpm.dOK,COUNTIF('クラス'!A:A,E34)&gt;0,
 _xlpm.eOK,COUNTIF('クラス'!A:A,F34)&gt;0,
 IF(_xlpm.dOK,"○","×") &amp; IF(_xlpm.eOK,"○","×")
)</f>
        <v>××</v>
      </c>
      <c r="S34" s="37" t="str">
        <f t="shared" si="1"/>
        <v>植物生物の巣</v>
      </c>
      <c r="U34" s="37" t="s">
        <v>3403</v>
      </c>
      <c r="V34" s="37" t="s">
        <v>3395</v>
      </c>
      <c r="W34" s="37" t="s">
        <v>3404</v>
      </c>
      <c r="X34" s="39" t="s">
        <v>29</v>
      </c>
      <c r="Y34" s="39" t="s">
        <v>29</v>
      </c>
      <c r="AA34" s="37"/>
      <c r="AD34" s="39">
        <v>1.0</v>
      </c>
      <c r="AE34" s="39"/>
      <c r="AF34" s="39"/>
      <c r="AG34" s="39"/>
    </row>
    <row r="35" ht="18.75" customHeight="1" outlineLevel="1">
      <c r="A35" s="1" t="s">
        <v>56</v>
      </c>
      <c r="B35" s="11" t="s">
        <v>3403</v>
      </c>
      <c r="C35" s="37" t="str">
        <f>LET(
 _xlpm.dOK,COUNTIF('クラス'!A:A,E35)&gt;0,
 _xlpm.eOK,COUNTIF('クラス'!A:A,F35)&gt;0,
 IF(_xlpm.dOK,"○","×") &amp; IF(_xlpm.eOK,"○","×")
)</f>
        <v>××</v>
      </c>
      <c r="S35" s="37" t="str">
        <f t="shared" si="1"/>
        <v>植物生物の巣</v>
      </c>
      <c r="U35" s="37" t="s">
        <v>3405</v>
      </c>
      <c r="V35" s="37" t="s">
        <v>3395</v>
      </c>
      <c r="W35" s="37" t="s">
        <v>3406</v>
      </c>
      <c r="X35" s="39" t="s">
        <v>29</v>
      </c>
      <c r="Y35" s="39" t="s">
        <v>29</v>
      </c>
      <c r="AA35" s="37"/>
      <c r="AD35" s="39">
        <v>1.0</v>
      </c>
      <c r="AE35" s="39"/>
      <c r="AF35" s="39"/>
      <c r="AG35" s="39"/>
    </row>
    <row r="36" ht="18.75" customHeight="1" outlineLevel="1">
      <c r="A36" s="1" t="s">
        <v>56</v>
      </c>
      <c r="B36" s="11" t="s">
        <v>3405</v>
      </c>
      <c r="C36" s="37" t="str">
        <f>LET(
 _xlpm.dOK,COUNTIF('クラス'!A:A,E36)&gt;0,
 _xlpm.eOK,COUNTIF('クラス'!A:A,F36)&gt;0,
 IF(_xlpm.dOK,"○","×") &amp; IF(_xlpm.eOK,"○","×")
)</f>
        <v>××</v>
      </c>
      <c r="S36" s="37" t="str">
        <f t="shared" si="1"/>
        <v>植物生物の巣</v>
      </c>
      <c r="U36" s="37" t="s">
        <v>3407</v>
      </c>
      <c r="V36" s="37" t="s">
        <v>3408</v>
      </c>
      <c r="W36" s="37" t="s">
        <v>3409</v>
      </c>
      <c r="X36" s="39" t="s">
        <v>29</v>
      </c>
      <c r="Y36" s="39" t="s">
        <v>29</v>
      </c>
      <c r="AA36" s="37"/>
      <c r="AD36" s="39">
        <v>1.0</v>
      </c>
      <c r="AE36" s="39"/>
      <c r="AF36" s="39"/>
      <c r="AG36" s="39"/>
    </row>
    <row r="37" ht="18.75" customHeight="1" outlineLevel="1">
      <c r="A37" s="1" t="s">
        <v>56</v>
      </c>
      <c r="B37" s="11" t="s">
        <v>3407</v>
      </c>
      <c r="C37" s="37" t="str">
        <f>LET(
 _xlpm.dOK,COUNTIF('クラス'!A:A,E37)&gt;0,
 _xlpm.eOK,COUNTIF('クラス'!A:A,F37)&gt;0,
 IF(_xlpm.dOK,"○","×") &amp; IF(_xlpm.eOK,"○","×")
)</f>
        <v>××</v>
      </c>
      <c r="S37" s="37" t="str">
        <f t="shared" si="1"/>
        <v>風の輪</v>
      </c>
      <c r="U37" s="37" t="s">
        <v>1494</v>
      </c>
      <c r="V37" s="37" t="s">
        <v>3344</v>
      </c>
      <c r="W37" s="37" t="s">
        <v>3410</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3344</v>
      </c>
      <c r="W38" s="37" t="s">
        <v>3411</v>
      </c>
      <c r="X38" s="39" t="s">
        <v>3366</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3361</v>
      </c>
      <c r="S39" s="37" t="str">
        <f t="shared" si="1"/>
        <v>肉食生物の巣</v>
      </c>
      <c r="W39" s="37" t="s">
        <v>3412</v>
      </c>
      <c r="X39" s="39" t="s">
        <v>3363</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3413</v>
      </c>
      <c r="V40" s="37" t="s">
        <v>3359</v>
      </c>
      <c r="X40" s="39" t="s">
        <v>29</v>
      </c>
      <c r="Y40" s="39" t="s">
        <v>29</v>
      </c>
      <c r="AA40" s="37"/>
      <c r="AD40" s="37"/>
      <c r="AE40" s="37"/>
      <c r="AF40" s="37"/>
      <c r="AG40" s="37"/>
    </row>
    <row r="41" ht="18.75" customHeight="1" outlineLevel="1">
      <c r="A41" s="1" t="s">
        <v>63</v>
      </c>
      <c r="B41" s="11" t="s">
        <v>3413</v>
      </c>
      <c r="C41" s="37" t="str">
        <f>LET(
 _xlpm.dOK,COUNTIF('クラス'!A:A,E41)&gt;0,
 _xlpm.eOK,COUNTIF('クラス'!A:A,F41)&gt;0,
 IF(_xlpm.dOK,"○","×") &amp; IF(_xlpm.eOK,"○","×")
)</f>
        <v>××</v>
      </c>
      <c r="S41" s="37" t="str">
        <f t="shared" si="1"/>
        <v>飛竜の巣</v>
      </c>
      <c r="U41" s="37" t="s">
        <v>3401</v>
      </c>
      <c r="V41" s="37" t="s">
        <v>3395</v>
      </c>
      <c r="W41" s="37" t="s">
        <v>3414</v>
      </c>
      <c r="X41" s="39" t="s">
        <v>29</v>
      </c>
      <c r="Y41" s="39" t="s">
        <v>29</v>
      </c>
      <c r="AA41" s="37"/>
      <c r="AD41" s="39">
        <v>1.0</v>
      </c>
      <c r="AE41" s="39"/>
      <c r="AF41" s="39"/>
      <c r="AG41" s="39"/>
    </row>
    <row r="42" ht="18.75" customHeight="1" outlineLevel="1">
      <c r="A42" s="1" t="s">
        <v>63</v>
      </c>
      <c r="B42" s="11" t="s">
        <v>3401</v>
      </c>
      <c r="C42" s="37" t="str">
        <f>LET(
 _xlpm.dOK,COUNTIF('クラス'!A:A,E42)&gt;0,
 _xlpm.eOK,COUNTIF('クラス'!A:A,F42)&gt;0,
 IF(_xlpm.dOK,"○","×") &amp; IF(_xlpm.eOK,"○","×")
)</f>
        <v>××</v>
      </c>
      <c r="S42" s="37" t="str">
        <f t="shared" si="1"/>
        <v>植物生物の巣</v>
      </c>
      <c r="U42" s="37" t="s">
        <v>3415</v>
      </c>
      <c r="V42" s="37" t="s">
        <v>3416</v>
      </c>
      <c r="W42" s="37" t="s">
        <v>3417</v>
      </c>
      <c r="X42" s="39" t="s">
        <v>29</v>
      </c>
      <c r="Y42" s="39" t="s">
        <v>29</v>
      </c>
      <c r="AA42" s="37"/>
      <c r="AD42" s="39">
        <v>1.0</v>
      </c>
      <c r="AE42" s="39"/>
      <c r="AF42" s="39"/>
      <c r="AG42" s="39"/>
    </row>
    <row r="43" ht="18.75" customHeight="1" outlineLevel="1">
      <c r="A43" s="1" t="s">
        <v>63</v>
      </c>
      <c r="B43" s="11" t="s">
        <v>3415</v>
      </c>
      <c r="C43" s="37" t="str">
        <f>LET(
 _xlpm.dOK,COUNTIF('クラス'!A:A,E43)&gt;0,
 _xlpm.eOK,COUNTIF('クラス'!A:A,F43)&gt;0,
 IF(_xlpm.dOK,"○","×") &amp; IF(_xlpm.eOK,"○","×")
)</f>
        <v>××</v>
      </c>
      <c r="S43" s="37" t="str">
        <f t="shared" si="1"/>
        <v>闇の輪</v>
      </c>
      <c r="U43" s="37" t="s">
        <v>3418</v>
      </c>
      <c r="V43" s="37" t="s">
        <v>3344</v>
      </c>
      <c r="W43" s="37" t="s">
        <v>3419</v>
      </c>
      <c r="X43" s="39" t="s">
        <v>29</v>
      </c>
      <c r="Y43" s="39" t="s">
        <v>29</v>
      </c>
      <c r="AA43" s="37"/>
      <c r="AD43" s="39">
        <v>1.0</v>
      </c>
      <c r="AE43" s="39"/>
      <c r="AF43" s="39"/>
      <c r="AG43" s="39"/>
    </row>
    <row r="44" ht="18.75" customHeight="1" outlineLevel="1">
      <c r="A44" s="1" t="s">
        <v>63</v>
      </c>
      <c r="B44" s="11" t="s">
        <v>3418</v>
      </c>
      <c r="C44" s="37" t="str">
        <f>LET(
 _xlpm.dOK,COUNTIF('クラス'!A:A,E44)&gt;0,
 _xlpm.eOK,COUNTIF('クラス'!A:A,F44)&gt;0,
 IF(_xlpm.dOK,"○","×") &amp; IF(_xlpm.eOK,"○","×")
)</f>
        <v>××</v>
      </c>
      <c r="S44" s="37" t="str">
        <f t="shared" si="1"/>
        <v>肉食生物の巣</v>
      </c>
      <c r="U44" s="37" t="s">
        <v>3420</v>
      </c>
      <c r="V44" s="37" t="s">
        <v>3344</v>
      </c>
      <c r="W44" s="37" t="s">
        <v>3421</v>
      </c>
      <c r="X44" s="39" t="s">
        <v>29</v>
      </c>
      <c r="Y44" s="39" t="s">
        <v>29</v>
      </c>
      <c r="AA44" s="37"/>
      <c r="AD44" s="39">
        <v>1.0</v>
      </c>
      <c r="AE44" s="39"/>
      <c r="AF44" s="39"/>
      <c r="AG44" s="39"/>
    </row>
    <row r="45" ht="18.75" customHeight="1" outlineLevel="1">
      <c r="A45" s="1" t="s">
        <v>63</v>
      </c>
      <c r="B45" s="11" t="s">
        <v>3420</v>
      </c>
      <c r="C45" s="37" t="str">
        <f>LET(
 _xlpm.dOK,COUNTIF('クラス'!A:A,E45)&gt;0,
 _xlpm.eOK,COUNTIF('クラス'!A:A,F45)&gt;0,
 IF(_xlpm.dOK,"○","×") &amp; IF(_xlpm.eOK,"○","×")
)</f>
        <v>××</v>
      </c>
      <c r="S45" s="37" t="str">
        <f t="shared" si="1"/>
        <v>肉食生物の巣</v>
      </c>
      <c r="U45" s="37" t="s">
        <v>1988</v>
      </c>
      <c r="V45" s="37" t="s">
        <v>3352</v>
      </c>
      <c r="W45" s="37" t="s">
        <v>3422</v>
      </c>
      <c r="X45" s="39" t="s">
        <v>3356</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3423</v>
      </c>
      <c r="V46" s="37" t="s">
        <v>3359</v>
      </c>
      <c r="W46" s="37" t="s">
        <v>3424</v>
      </c>
      <c r="X46" s="39" t="s">
        <v>29</v>
      </c>
      <c r="Y46" s="39" t="s">
        <v>29</v>
      </c>
      <c r="AA46" s="37"/>
      <c r="AD46" s="39">
        <v>1.0</v>
      </c>
      <c r="AE46" s="39"/>
      <c r="AF46" s="39"/>
      <c r="AG46" s="39"/>
    </row>
    <row r="47" ht="18.75" customHeight="1" outlineLevel="1">
      <c r="A47" s="1" t="s">
        <v>63</v>
      </c>
      <c r="B47" s="11" t="s">
        <v>3423</v>
      </c>
      <c r="C47" s="37" t="str">
        <f>LET(
 _xlpm.dOK,COUNTIF('クラス'!A:A,E47)&gt;0,
 _xlpm.eOK,COUNTIF('クラス'!A:A,F47)&gt;0,
 IF(_xlpm.dOK,"○","×") &amp; IF(_xlpm.eOK,"○","×")
)</f>
        <v>××</v>
      </c>
      <c r="S47" s="37" t="str">
        <f t="shared" si="1"/>
        <v>飛竜の巣</v>
      </c>
      <c r="W47" s="37" t="s">
        <v>3425</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3426</v>
      </c>
      <c r="V48" s="37" t="s">
        <v>3341</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3341</v>
      </c>
      <c r="X49" s="39" t="s">
        <v>29</v>
      </c>
      <c r="Y49" s="39" t="s">
        <v>29</v>
      </c>
      <c r="AA49" s="37"/>
      <c r="AD49" s="37"/>
      <c r="AE49" s="37"/>
      <c r="AF49" s="37"/>
      <c r="AG49" s="37"/>
    </row>
    <row r="50" ht="18.75" customHeight="1">
      <c r="A50" s="1" t="s">
        <v>58</v>
      </c>
      <c r="B50" s="11" t="s">
        <v>3426</v>
      </c>
      <c r="C50" s="37" t="str">
        <f>LET(
 _xlpm.dOK,COUNTIF('クラス'!A:A,E50)&gt;0,
 _xlpm.eOK,COUNTIF('クラス'!A:A,F50)&gt;0,
 IF(_xlpm.dOK,"○","×") &amp; IF(_xlpm.eOK,"○","×")
)</f>
        <v>○○</v>
      </c>
      <c r="D50" s="37" t="b">
        <v>1</v>
      </c>
      <c r="E50" s="37" t="s">
        <v>1494</v>
      </c>
      <c r="F50" s="37" t="s">
        <v>1507</v>
      </c>
      <c r="G50" s="39">
        <v>5.0</v>
      </c>
      <c r="H50" s="39">
        <v>15.0</v>
      </c>
      <c r="R50" s="37" t="s">
        <v>3426</v>
      </c>
      <c r="S50" s="37" t="str">
        <f t="shared" si="1"/>
        <v>鳥系生物の巣</v>
      </c>
      <c r="U50" s="37" t="s">
        <v>1491</v>
      </c>
      <c r="V50" s="37" t="s">
        <v>3389</v>
      </c>
      <c r="W50" s="37" t="s">
        <v>3427</v>
      </c>
      <c r="X50" s="39" t="s">
        <v>3356</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3428</v>
      </c>
      <c r="R51" s="37" t="s">
        <v>1507</v>
      </c>
      <c r="S51" s="37" t="str">
        <f t="shared" si="1"/>
        <v>鳥系生物の巣</v>
      </c>
      <c r="U51" s="37" t="s">
        <v>3429</v>
      </c>
      <c r="V51" s="37" t="s">
        <v>3344</v>
      </c>
      <c r="W51" s="37" t="s">
        <v>3430</v>
      </c>
      <c r="X51" s="39" t="s">
        <v>3343</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3431</v>
      </c>
      <c r="S52" s="37" t="str">
        <f t="shared" si="1"/>
        <v>土の輪</v>
      </c>
      <c r="U52" s="37" t="s">
        <v>3351</v>
      </c>
      <c r="V52" s="37" t="s">
        <v>3352</v>
      </c>
      <c r="W52" s="37" t="s">
        <v>3432</v>
      </c>
      <c r="X52" s="39" t="s">
        <v>3433</v>
      </c>
      <c r="Y52" s="39">
        <v>1.0</v>
      </c>
      <c r="Z52" s="39" t="b">
        <v>1</v>
      </c>
      <c r="AA52" s="39"/>
      <c r="AB52" s="39"/>
      <c r="AC52" s="39"/>
      <c r="AD52" s="39">
        <v>1.0</v>
      </c>
      <c r="AE52" s="39"/>
      <c r="AF52" s="39"/>
      <c r="AG52" s="39"/>
    </row>
    <row r="53" ht="18.75" customHeight="1" outlineLevel="1">
      <c r="A53" s="1" t="s">
        <v>58</v>
      </c>
      <c r="B53" s="11" t="s">
        <v>3429</v>
      </c>
      <c r="C53" s="37" t="str">
        <f>LET(
 _xlpm.dOK,COUNTIF('クラス'!A:A,E53)&gt;0,
 _xlpm.eOK,COUNTIF('クラス'!A:A,F53)&gt;0,
 IF(_xlpm.dOK,"○","×") &amp; IF(_xlpm.eOK,"○","×")
)</f>
        <v>○○</v>
      </c>
      <c r="E53" s="37" t="s">
        <v>1494</v>
      </c>
      <c r="F53" s="37" t="s">
        <v>1504</v>
      </c>
      <c r="G53" s="39">
        <v>5.0</v>
      </c>
      <c r="H53" s="39">
        <v>15.0</v>
      </c>
      <c r="R53" s="37" t="s">
        <v>3429</v>
      </c>
      <c r="S53" s="37" t="str">
        <f t="shared" si="1"/>
        <v>肉食生物の巣</v>
      </c>
      <c r="U53" s="37" t="s">
        <v>3434</v>
      </c>
      <c r="V53" s="37" t="s">
        <v>3352</v>
      </c>
      <c r="W53" s="37" t="s">
        <v>3435</v>
      </c>
      <c r="X53" s="39" t="s">
        <v>3356</v>
      </c>
      <c r="Y53" s="39">
        <v>2.0</v>
      </c>
      <c r="AA53" s="37"/>
      <c r="AD53" s="39">
        <v>1.0</v>
      </c>
      <c r="AE53" s="39"/>
      <c r="AF53" s="39"/>
      <c r="AG53" s="39"/>
    </row>
    <row r="54" ht="18.75" customHeight="1" outlineLevel="1">
      <c r="A54" s="1" t="s">
        <v>58</v>
      </c>
      <c r="B54" s="11" t="s">
        <v>3351</v>
      </c>
      <c r="C54" s="37" t="str">
        <f>LET(
 _xlpm.dOK,COUNTIF('クラス'!A:A,E54)&gt;0,
 _xlpm.eOK,COUNTIF('クラス'!A:A,F54)&gt;0,
 IF(_xlpm.dOK,"○","×") &amp; IF(_xlpm.eOK,"○","×")
)</f>
        <v>××</v>
      </c>
      <c r="S54" s="37" t="str">
        <f t="shared" si="1"/>
        <v>地中生物の巣</v>
      </c>
      <c r="U54" s="37" t="s">
        <v>3354</v>
      </c>
      <c r="V54" s="37" t="s">
        <v>3344</v>
      </c>
      <c r="W54" s="37" t="s">
        <v>3436</v>
      </c>
      <c r="X54" s="39" t="s">
        <v>29</v>
      </c>
      <c r="Y54" s="39" t="s">
        <v>29</v>
      </c>
      <c r="AA54" s="37"/>
      <c r="AD54" s="39">
        <v>1.0</v>
      </c>
      <c r="AE54" s="39"/>
      <c r="AF54" s="39"/>
      <c r="AG54" s="39"/>
    </row>
    <row r="55" ht="18.75" customHeight="1" outlineLevel="1">
      <c r="A55" s="1" t="s">
        <v>58</v>
      </c>
      <c r="B55" s="11" t="s">
        <v>3434</v>
      </c>
      <c r="C55" s="37" t="str">
        <f>LET(
 _xlpm.dOK,COUNTIF('クラス'!A:A,E55)&gt;0,
 _xlpm.eOK,COUNTIF('クラス'!A:A,F55)&gt;0,
 IF(_xlpm.dOK,"○","×") &amp; IF(_xlpm.eOK,"○","×")
)</f>
        <v>××</v>
      </c>
      <c r="S55" s="37" t="str">
        <f t="shared" si="1"/>
        <v>地中生物の巣</v>
      </c>
      <c r="U55" s="37" t="s">
        <v>1920</v>
      </c>
      <c r="V55" s="37" t="s">
        <v>3359</v>
      </c>
      <c r="W55" s="37" t="s">
        <v>3437</v>
      </c>
      <c r="X55" s="39" t="s">
        <v>29</v>
      </c>
      <c r="Y55" s="39" t="s">
        <v>29</v>
      </c>
      <c r="AA55" s="37"/>
      <c r="AD55" s="39">
        <v>1.0</v>
      </c>
      <c r="AE55" s="39"/>
      <c r="AF55" s="39"/>
      <c r="AG55" s="39"/>
    </row>
    <row r="56" ht="18.75" customHeight="1" outlineLevel="1">
      <c r="A56" s="1" t="s">
        <v>58</v>
      </c>
      <c r="B56" s="11" t="s">
        <v>3354</v>
      </c>
      <c r="C56" s="37" t="str">
        <f>LET(
 _xlpm.dOK,COUNTIF('クラス'!A:A,E56)&gt;0,
 _xlpm.eOK,COUNTIF('クラス'!A:A,F56)&gt;0,
 IF(_xlpm.dOK,"○","×") &amp; IF(_xlpm.eOK,"○","×")
)</f>
        <v>××</v>
      </c>
      <c r="S56" s="37" t="str">
        <f t="shared" si="1"/>
        <v>肉食生物の巣</v>
      </c>
      <c r="W56" s="37" t="s">
        <v>3438</v>
      </c>
      <c r="X56" s="39" t="s">
        <v>3356</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3439</v>
      </c>
      <c r="R57" s="37" t="s">
        <v>1920</v>
      </c>
      <c r="S57" s="37" t="str">
        <f t="shared" si="1"/>
        <v>飛竜の巣</v>
      </c>
      <c r="U57" s="37" t="s">
        <v>3440</v>
      </c>
      <c r="V57" s="37" t="s">
        <v>3408</v>
      </c>
      <c r="W57" s="37" t="s">
        <v>3441</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3389</v>
      </c>
      <c r="X58" s="39" t="s">
        <v>29</v>
      </c>
      <c r="Y58" s="39" t="s">
        <v>29</v>
      </c>
      <c r="AA58" s="37"/>
      <c r="AD58" s="37"/>
      <c r="AE58" s="37"/>
      <c r="AF58" s="37"/>
      <c r="AG58" s="37"/>
    </row>
    <row r="59" ht="18.75" customHeight="1" outlineLevel="1">
      <c r="A59" s="1" t="s">
        <v>57</v>
      </c>
      <c r="B59" s="11" t="s">
        <v>3440</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3442</v>
      </c>
      <c r="V59" s="37" t="s">
        <v>3344</v>
      </c>
      <c r="W59" s="37" t="s">
        <v>3443</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3444</v>
      </c>
      <c r="R60" s="37" t="s">
        <v>3431</v>
      </c>
      <c r="S60" s="37" t="str">
        <f t="shared" si="1"/>
        <v>土の輪</v>
      </c>
      <c r="U60" s="37" t="s">
        <v>3445</v>
      </c>
      <c r="V60" s="37" t="s">
        <v>3352</v>
      </c>
      <c r="W60" s="37" t="s">
        <v>3446</v>
      </c>
      <c r="X60" s="39" t="s">
        <v>3433</v>
      </c>
      <c r="Y60" s="39">
        <v>1.0</v>
      </c>
      <c r="Z60" s="39" t="b">
        <v>1</v>
      </c>
      <c r="AA60" s="39"/>
      <c r="AB60" s="39"/>
      <c r="AC60" s="39"/>
      <c r="AD60" s="39">
        <v>1.0</v>
      </c>
      <c r="AE60" s="39"/>
      <c r="AF60" s="39"/>
      <c r="AG60" s="39"/>
    </row>
    <row r="61" ht="18.75" customHeight="1" outlineLevel="1">
      <c r="A61" s="1" t="s">
        <v>57</v>
      </c>
      <c r="B61" s="11" t="s">
        <v>3442</v>
      </c>
      <c r="C61" s="37" t="str">
        <f>LET(
 _xlpm.dOK,COUNTIF('クラス'!A:A,E61)&gt;0,
 _xlpm.eOK,COUNTIF('クラス'!A:A,F61)&gt;0,
 IF(_xlpm.dOK,"○","×") &amp; IF(_xlpm.eOK,"○","×")
)</f>
        <v>○○</v>
      </c>
      <c r="D61" s="37" t="b">
        <v>1</v>
      </c>
      <c r="E61" s="37" t="s">
        <v>1511</v>
      </c>
      <c r="F61" s="37" t="s">
        <v>1491</v>
      </c>
      <c r="G61" s="37">
        <v>25.0</v>
      </c>
      <c r="H61" s="37">
        <v>30.0</v>
      </c>
      <c r="R61" s="37" t="s">
        <v>3447</v>
      </c>
      <c r="S61" s="37" t="str">
        <f t="shared" si="1"/>
        <v>肉食生物の巣</v>
      </c>
      <c r="U61" s="37" t="s">
        <v>3448</v>
      </c>
      <c r="V61" s="37" t="s">
        <v>3449</v>
      </c>
      <c r="W61" s="37" t="s">
        <v>3450</v>
      </c>
      <c r="X61" s="39" t="s">
        <v>29</v>
      </c>
      <c r="Y61" s="39" t="s">
        <v>29</v>
      </c>
      <c r="AA61" s="37"/>
      <c r="AD61" s="39">
        <v>1.0</v>
      </c>
      <c r="AE61" s="39"/>
      <c r="AF61" s="39"/>
      <c r="AG61" s="39"/>
    </row>
    <row r="62" ht="18.75" customHeight="1" outlineLevel="1">
      <c r="A62" s="1" t="s">
        <v>57</v>
      </c>
      <c r="B62" s="11" t="s">
        <v>3445</v>
      </c>
      <c r="C62" s="37" t="str">
        <f>LET(
 _xlpm.dOK,COUNTIF('クラス'!A:A,E62)&gt;0,
 _xlpm.eOK,COUNTIF('クラス'!A:A,F62)&gt;0,
 IF(_xlpm.dOK,"○","×") &amp; IF(_xlpm.eOK,"○","×")
)</f>
        <v>××</v>
      </c>
      <c r="S62" s="37" t="str">
        <f t="shared" si="1"/>
        <v>地中生物の巣</v>
      </c>
      <c r="U62" s="37" t="s">
        <v>3451</v>
      </c>
      <c r="V62" s="37" t="s">
        <v>3352</v>
      </c>
      <c r="W62" s="37" t="s">
        <v>3452</v>
      </c>
      <c r="X62" s="39" t="s">
        <v>29</v>
      </c>
      <c r="Y62" s="39" t="s">
        <v>29</v>
      </c>
      <c r="AA62" s="37"/>
      <c r="AD62" s="39">
        <v>1.0</v>
      </c>
      <c r="AE62" s="39"/>
      <c r="AF62" s="39"/>
      <c r="AG62" s="39"/>
    </row>
    <row r="63" ht="18.75" customHeight="1" outlineLevel="1">
      <c r="A63" s="1" t="s">
        <v>57</v>
      </c>
      <c r="B63" s="11" t="s">
        <v>3448</v>
      </c>
      <c r="C63" s="37" t="str">
        <f>LET(
 _xlpm.dOK,COUNTIF('クラス'!A:A,E63)&gt;0,
 _xlpm.eOK,COUNTIF('クラス'!A:A,F63)&gt;0,
 IF(_xlpm.dOK,"○","×") &amp; IF(_xlpm.eOK,"○","×")
)</f>
        <v>××</v>
      </c>
      <c r="S63" s="37" t="str">
        <f t="shared" si="1"/>
        <v>水の輪</v>
      </c>
      <c r="U63" s="37" t="s">
        <v>3453</v>
      </c>
      <c r="V63" s="37" t="s">
        <v>3359</v>
      </c>
      <c r="W63" s="37" t="s">
        <v>3454</v>
      </c>
      <c r="X63" s="39" t="s">
        <v>29</v>
      </c>
      <c r="Y63" s="39" t="s">
        <v>29</v>
      </c>
      <c r="AA63" s="37"/>
      <c r="AD63" s="39">
        <v>1.0</v>
      </c>
      <c r="AE63" s="39"/>
      <c r="AF63" s="39"/>
      <c r="AG63" s="39"/>
    </row>
    <row r="64" ht="18.75" customHeight="1" outlineLevel="1">
      <c r="A64" s="1" t="s">
        <v>57</v>
      </c>
      <c r="B64" s="11" t="s">
        <v>3451</v>
      </c>
      <c r="C64" s="37" t="str">
        <f>LET(
 _xlpm.dOK,COUNTIF('クラス'!A:A,E64)&gt;0,
 _xlpm.eOK,COUNTIF('クラス'!A:A,F64)&gt;0,
 IF(_xlpm.dOK,"○","×") &amp; IF(_xlpm.eOK,"○","×")
)</f>
        <v>××</v>
      </c>
      <c r="S64" s="37" t="str">
        <f t="shared" si="1"/>
        <v>地中生物の巣</v>
      </c>
      <c r="U64" s="37" t="s">
        <v>3455</v>
      </c>
      <c r="V64" s="37" t="s">
        <v>3341</v>
      </c>
      <c r="W64" s="37" t="s">
        <v>3456</v>
      </c>
      <c r="X64" s="39" t="s">
        <v>29</v>
      </c>
      <c r="Y64" s="39" t="s">
        <v>29</v>
      </c>
      <c r="AA64" s="37"/>
      <c r="AD64" s="39">
        <v>1.0</v>
      </c>
      <c r="AE64" s="39"/>
      <c r="AF64" s="39"/>
      <c r="AG64" s="39"/>
    </row>
    <row r="65" ht="18.75" customHeight="1" outlineLevel="1">
      <c r="A65" s="1" t="s">
        <v>57</v>
      </c>
      <c r="B65" s="11" t="s">
        <v>3453</v>
      </c>
      <c r="C65" s="37" t="str">
        <f>LET(
 _xlpm.dOK,COUNTIF('クラス'!A:A,E65)&gt;0,
 _xlpm.eOK,COUNTIF('クラス'!A:A,F65)&gt;0,
 IF(_xlpm.dOK,"○","×") &amp; IF(_xlpm.eOK,"○","×")
)</f>
        <v>××</v>
      </c>
      <c r="S65" s="37" t="str">
        <f t="shared" si="1"/>
        <v>飛竜の巣</v>
      </c>
      <c r="U65" s="37" t="s">
        <v>3457</v>
      </c>
      <c r="V65" s="37" t="s">
        <v>3344</v>
      </c>
      <c r="W65" s="37" t="s">
        <v>3458</v>
      </c>
      <c r="X65" s="39" t="s">
        <v>29</v>
      </c>
      <c r="Y65" s="39" t="s">
        <v>29</v>
      </c>
      <c r="AA65" s="37"/>
      <c r="AD65" s="39">
        <v>1.0</v>
      </c>
      <c r="AE65" s="39"/>
      <c r="AF65" s="39"/>
      <c r="AG65" s="39"/>
    </row>
    <row r="66" ht="18.75" customHeight="1" outlineLevel="1">
      <c r="A66" s="1" t="s">
        <v>57</v>
      </c>
      <c r="B66" s="11" t="s">
        <v>3455</v>
      </c>
      <c r="C66" s="37" t="str">
        <f>LET(
 _xlpm.dOK,COUNTIF('クラス'!A:A,E66)&gt;0,
 _xlpm.eOK,COUNTIF('クラス'!A:A,F66)&gt;0,
 IF(_xlpm.dOK,"○","×") &amp; IF(_xlpm.eOK,"○","×")
)</f>
        <v>××</v>
      </c>
      <c r="S66" s="37" t="str">
        <f t="shared" si="1"/>
        <v>鳥系生物の巣</v>
      </c>
      <c r="W66" s="37" t="s">
        <v>3459</v>
      </c>
      <c r="X66" s="39" t="s">
        <v>29</v>
      </c>
      <c r="Y66" s="39" t="s">
        <v>29</v>
      </c>
      <c r="AA66" s="37"/>
      <c r="AD66" s="39">
        <v>1.0</v>
      </c>
      <c r="AE66" s="39"/>
      <c r="AF66" s="39"/>
      <c r="AG66" s="39"/>
    </row>
    <row r="67" ht="18.75" customHeight="1" outlineLevel="1">
      <c r="A67" s="1" t="s">
        <v>57</v>
      </c>
      <c r="B67" s="11" t="s">
        <v>3457</v>
      </c>
      <c r="C67" s="37" t="str">
        <f>LET(
 _xlpm.dOK,COUNTIF('クラス'!A:A,E67)&gt;0,
 _xlpm.eOK,COUNTIF('クラス'!A:A,F67)&gt;0,
 IF(_xlpm.dOK,"○","×") &amp; IF(_xlpm.eOK,"○","×")
)</f>
        <v>××</v>
      </c>
      <c r="S67" s="37" t="str">
        <f t="shared" si="1"/>
        <v>肉食生物の巣</v>
      </c>
      <c r="U67" s="37" t="s">
        <v>3451</v>
      </c>
      <c r="V67" s="37" t="s">
        <v>3352</v>
      </c>
      <c r="W67" s="37" t="s">
        <v>3460</v>
      </c>
      <c r="X67" s="39" t="s">
        <v>3356</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3359</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3354</v>
      </c>
      <c r="V69" s="37" t="s">
        <v>3344</v>
      </c>
      <c r="X69" s="39" t="s">
        <v>29</v>
      </c>
      <c r="Y69" s="39" t="s">
        <v>29</v>
      </c>
      <c r="AA69" s="37"/>
      <c r="AD69" s="37"/>
      <c r="AE69" s="37"/>
      <c r="AF69" s="37"/>
      <c r="AG69" s="37"/>
    </row>
    <row r="70" ht="18.75" customHeight="1">
      <c r="A70" s="1" t="s">
        <v>64</v>
      </c>
      <c r="B70" s="11" t="s">
        <v>3451</v>
      </c>
      <c r="C70" s="37" t="str">
        <f>LET(
 _xlpm.dOK,COUNTIF('クラス'!A:A,E70)&gt;0,
 _xlpm.eOK,COUNTIF('クラス'!A:A,F70)&gt;0,
 IF(_xlpm.dOK,"○","×") &amp; IF(_xlpm.eOK,"○","×")
)</f>
        <v>××</v>
      </c>
      <c r="S70" s="37" t="str">
        <f t="shared" si="1"/>
        <v>地中生物の巣</v>
      </c>
      <c r="U70" s="37" t="s">
        <v>3445</v>
      </c>
      <c r="V70" s="37" t="s">
        <v>3352</v>
      </c>
      <c r="W70" s="37" t="s">
        <v>3461</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3462</v>
      </c>
      <c r="V71" s="37" t="s">
        <v>3341</v>
      </c>
      <c r="W71" s="37" t="s">
        <v>3463</v>
      </c>
      <c r="X71" s="39" t="s">
        <v>29</v>
      </c>
      <c r="Y71" s="39" t="s">
        <v>29</v>
      </c>
      <c r="AA71" s="37"/>
      <c r="AD71" s="39">
        <v>1.0</v>
      </c>
      <c r="AE71" s="39"/>
      <c r="AF71" s="39"/>
      <c r="AG71" s="39"/>
    </row>
    <row r="72" ht="18.75" customHeight="1" outlineLevel="1">
      <c r="A72" s="1" t="s">
        <v>64</v>
      </c>
      <c r="B72" s="11" t="s">
        <v>3354</v>
      </c>
      <c r="C72" s="37" t="str">
        <f>LET(
 _xlpm.dOK,COUNTIF('クラス'!A:A,E72)&gt;0,
 _xlpm.eOK,COUNTIF('クラス'!A:A,F72)&gt;0,
 IF(_xlpm.dOK,"○","×") &amp; IF(_xlpm.eOK,"○","×")
)</f>
        <v>××</v>
      </c>
      <c r="S72" s="37" t="str">
        <f t="shared" si="1"/>
        <v>肉食生物の巣</v>
      </c>
      <c r="W72" s="37" t="s">
        <v>3464</v>
      </c>
      <c r="X72" s="39" t="s">
        <v>3356</v>
      </c>
      <c r="Y72" s="39">
        <v>1.0</v>
      </c>
      <c r="AA72" s="37"/>
      <c r="AD72" s="39">
        <v>1.0</v>
      </c>
      <c r="AE72" s="39"/>
      <c r="AF72" s="39"/>
      <c r="AG72" s="39"/>
    </row>
    <row r="73" ht="18.75" customHeight="1" outlineLevel="1">
      <c r="A73" s="1" t="s">
        <v>64</v>
      </c>
      <c r="B73" s="11" t="s">
        <v>3445</v>
      </c>
      <c r="C73" s="37" t="str">
        <f>LET(
 _xlpm.dOK,COUNTIF('クラス'!A:A,E73)&gt;0,
 _xlpm.eOK,COUNTIF('クラス'!A:A,F73)&gt;0,
 IF(_xlpm.dOK,"○","×") &amp; IF(_xlpm.eOK,"○","×")
)</f>
        <v>××</v>
      </c>
      <c r="S73" s="37" t="str">
        <f t="shared" si="1"/>
        <v>地中生物の巣</v>
      </c>
      <c r="U73" s="37" t="s">
        <v>3465</v>
      </c>
      <c r="V73" s="37" t="s">
        <v>3416</v>
      </c>
      <c r="W73" s="37" t="s">
        <v>3466</v>
      </c>
      <c r="X73" s="39" t="s">
        <v>29</v>
      </c>
      <c r="Y73" s="39" t="s">
        <v>29</v>
      </c>
      <c r="AA73" s="37"/>
      <c r="AD73" s="39">
        <v>1.0</v>
      </c>
      <c r="AE73" s="39"/>
      <c r="AF73" s="39"/>
      <c r="AG73" s="39"/>
    </row>
    <row r="74" ht="18.75" customHeight="1" outlineLevel="1">
      <c r="A74" s="1" t="s">
        <v>64</v>
      </c>
      <c r="B74" s="11" t="s">
        <v>3462</v>
      </c>
      <c r="C74" s="37" t="str">
        <f>LET(
 _xlpm.dOK,COUNTIF('クラス'!A:A,E74)&gt;0,
 _xlpm.eOK,COUNTIF('クラス'!A:A,F74)&gt;0,
 IF(_xlpm.dOK,"○","×") &amp; IF(_xlpm.eOK,"○","×")
)</f>
        <v>××</v>
      </c>
      <c r="S74" s="37" t="str">
        <f t="shared" si="1"/>
        <v>鳥系生物の巣</v>
      </c>
      <c r="U74" s="37" t="s">
        <v>3467</v>
      </c>
      <c r="V74" s="37" t="s">
        <v>3416</v>
      </c>
      <c r="W74" s="37" t="s">
        <v>3468</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3347</v>
      </c>
      <c r="V75" s="37" t="s">
        <v>3348</v>
      </c>
      <c r="X75" s="39" t="s">
        <v>29</v>
      </c>
      <c r="Y75" s="39" t="s">
        <v>29</v>
      </c>
      <c r="AA75" s="37"/>
      <c r="AD75" s="37"/>
      <c r="AE75" s="37"/>
      <c r="AF75" s="37"/>
      <c r="AG75" s="37"/>
    </row>
    <row r="76" ht="18.75" customHeight="1" outlineLevel="1">
      <c r="A76" s="1" t="s">
        <v>65</v>
      </c>
      <c r="B76" s="11" t="s">
        <v>3465</v>
      </c>
      <c r="C76" s="37" t="str">
        <f>LET(
 _xlpm.dOK,COUNTIF('クラス'!A:A,E76)&gt;0,
 _xlpm.eOK,COUNTIF('クラス'!A:A,F76)&gt;0,
 IF(_xlpm.dOK,"○","×") &amp; IF(_xlpm.eOK,"○","×")
)</f>
        <v>××</v>
      </c>
      <c r="S76" s="37" t="str">
        <f t="shared" si="1"/>
        <v>闇の輪</v>
      </c>
      <c r="U76" s="37" t="s">
        <v>3451</v>
      </c>
      <c r="V76" s="37" t="s">
        <v>3352</v>
      </c>
      <c r="W76" s="37" t="s">
        <v>3469</v>
      </c>
      <c r="X76" s="39" t="s">
        <v>29</v>
      </c>
      <c r="Y76" s="39" t="s">
        <v>29</v>
      </c>
      <c r="AA76" s="39" t="s">
        <v>3470</v>
      </c>
      <c r="AB76" s="39">
        <v>1.0</v>
      </c>
      <c r="AC76" s="39">
        <v>1.0</v>
      </c>
      <c r="AD76" s="39">
        <v>1.0</v>
      </c>
      <c r="AE76" s="39"/>
      <c r="AF76" s="39"/>
      <c r="AG76" s="39"/>
    </row>
    <row r="77" ht="18.75" customHeight="1" outlineLevel="1">
      <c r="A77" s="1" t="s">
        <v>65</v>
      </c>
      <c r="B77" s="11" t="s">
        <v>3467</v>
      </c>
      <c r="C77" s="37" t="str">
        <f>LET(
 _xlpm.dOK,COUNTIF('クラス'!A:A,E77)&gt;0,
 _xlpm.eOK,COUNTIF('クラス'!A:A,F77)&gt;0,
 IF(_xlpm.dOK,"○","×") &amp; IF(_xlpm.eOK,"○","×")
)</f>
        <v>××</v>
      </c>
      <c r="S77" s="37" t="str">
        <f t="shared" si="1"/>
        <v>闇の輪</v>
      </c>
      <c r="U77" s="37" t="s">
        <v>3457</v>
      </c>
      <c r="V77" s="37" t="s">
        <v>3344</v>
      </c>
      <c r="W77" s="37" t="s">
        <v>3471</v>
      </c>
      <c r="X77" s="39" t="s">
        <v>29</v>
      </c>
      <c r="Y77" s="39" t="s">
        <v>29</v>
      </c>
      <c r="AA77" s="39" t="s">
        <v>3472</v>
      </c>
      <c r="AB77" s="39">
        <v>2.0</v>
      </c>
      <c r="AC77" s="39">
        <v>3.0</v>
      </c>
      <c r="AD77" s="39">
        <v>1.0</v>
      </c>
      <c r="AE77" s="39"/>
      <c r="AF77" s="39"/>
      <c r="AG77" s="39"/>
    </row>
    <row r="78" ht="18.75" customHeight="1" outlineLevel="1">
      <c r="A78" s="1" t="s">
        <v>65</v>
      </c>
      <c r="B78" s="11" t="s">
        <v>3347</v>
      </c>
      <c r="C78" s="37" t="str">
        <f>LET(
 _xlpm.dOK,COUNTIF('クラス'!A:A,E78)&gt;0,
 _xlpm.eOK,COUNTIF('クラス'!A:A,F78)&gt;0,
 IF(_xlpm.dOK,"○","×") &amp; IF(_xlpm.eOK,"○","×")
)</f>
        <v>××</v>
      </c>
      <c r="G78" s="39">
        <v>5.0</v>
      </c>
      <c r="H78" s="39">
        <v>10.0</v>
      </c>
      <c r="S78" s="37" t="str">
        <f t="shared" si="1"/>
        <v>虫系の巣</v>
      </c>
      <c r="U78" s="37" t="s">
        <v>3381</v>
      </c>
      <c r="V78" s="37" t="s">
        <v>3352</v>
      </c>
      <c r="W78" s="37" t="s">
        <v>3473</v>
      </c>
      <c r="X78" s="39" t="s">
        <v>3350</v>
      </c>
      <c r="Y78" s="39">
        <v>1.0</v>
      </c>
      <c r="AA78" s="39" t="s">
        <v>3470</v>
      </c>
      <c r="AB78" s="39">
        <v>1.0</v>
      </c>
      <c r="AC78" s="39">
        <v>1.0</v>
      </c>
      <c r="AD78" s="39">
        <v>1.0</v>
      </c>
      <c r="AE78" s="39"/>
      <c r="AF78" s="39"/>
      <c r="AG78" s="39"/>
    </row>
    <row r="79" ht="18.75" customHeight="1" outlineLevel="1">
      <c r="A79" s="1" t="s">
        <v>65</v>
      </c>
      <c r="B79" s="11" t="s">
        <v>3451</v>
      </c>
      <c r="C79" s="37" t="str">
        <f>LET(
 _xlpm.dOK,COUNTIF('クラス'!A:A,E79)&gt;0,
 _xlpm.eOK,COUNTIF('クラス'!A:A,F79)&gt;0,
 IF(_xlpm.dOK,"○","×") &amp; IF(_xlpm.eOK,"○","×")
)</f>
        <v>××</v>
      </c>
      <c r="S79" s="37" t="str">
        <f t="shared" si="1"/>
        <v>地中生物の巣</v>
      </c>
      <c r="W79" s="37" t="s">
        <v>3474</v>
      </c>
      <c r="X79" s="39" t="s">
        <v>29</v>
      </c>
      <c r="Y79" s="39" t="s">
        <v>29</v>
      </c>
      <c r="AA79" s="39" t="s">
        <v>3470</v>
      </c>
      <c r="AB79" s="39">
        <v>1.0</v>
      </c>
      <c r="AC79" s="39">
        <v>1.0</v>
      </c>
      <c r="AD79" s="39">
        <v>1.0</v>
      </c>
      <c r="AE79" s="39"/>
      <c r="AF79" s="39"/>
      <c r="AG79" s="39"/>
    </row>
    <row r="80" ht="18.75" customHeight="1" outlineLevel="1">
      <c r="A80" s="1" t="s">
        <v>65</v>
      </c>
      <c r="B80" s="11" t="s">
        <v>3457</v>
      </c>
      <c r="C80" s="37" t="str">
        <f>LET(
 _xlpm.dOK,COUNTIF('クラス'!A:A,E80)&gt;0,
 _xlpm.eOK,COUNTIF('クラス'!A:A,F80)&gt;0,
 IF(_xlpm.dOK,"○","×") &amp; IF(_xlpm.eOK,"○","×")
)</f>
        <v>××</v>
      </c>
      <c r="R80" s="37" t="s">
        <v>3457</v>
      </c>
      <c r="S80" s="37" t="str">
        <f t="shared" si="1"/>
        <v>肉食生物の巣</v>
      </c>
      <c r="U80" s="37" t="s">
        <v>1480</v>
      </c>
      <c r="V80" s="37" t="s">
        <v>3449</v>
      </c>
      <c r="W80" s="37" t="s">
        <v>3475</v>
      </c>
      <c r="X80" s="39" t="s">
        <v>3356</v>
      </c>
      <c r="Y80" s="39">
        <v>7.0</v>
      </c>
      <c r="AA80" s="39" t="s">
        <v>3470</v>
      </c>
      <c r="AB80" s="39">
        <v>1.0</v>
      </c>
      <c r="AC80" s="39">
        <v>1.0</v>
      </c>
      <c r="AD80" s="39">
        <v>1.0</v>
      </c>
      <c r="AE80" s="39"/>
      <c r="AF80" s="39"/>
      <c r="AG80" s="39"/>
    </row>
    <row r="81" ht="18.75" customHeight="1" outlineLevel="1">
      <c r="A81" s="1" t="s">
        <v>65</v>
      </c>
      <c r="B81" s="11" t="s">
        <v>3381</v>
      </c>
      <c r="C81" s="37" t="str">
        <f>LET(
 _xlpm.dOK,COUNTIF('クラス'!A:A,E81)&gt;0,
 _xlpm.eOK,COUNTIF('クラス'!A:A,F81)&gt;0,
 IF(_xlpm.dOK,"○","×") &amp; IF(_xlpm.eOK,"○","×")
)</f>
        <v>××</v>
      </c>
      <c r="R81" s="37" t="s">
        <v>3381</v>
      </c>
      <c r="S81" s="37" t="str">
        <f t="shared" si="1"/>
        <v>地中生物の巣</v>
      </c>
      <c r="U81" s="37" t="s">
        <v>3476</v>
      </c>
      <c r="V81" s="37" t="s">
        <v>3377</v>
      </c>
      <c r="W81" s="37" t="s">
        <v>3477</v>
      </c>
      <c r="X81" s="39" t="s">
        <v>3369</v>
      </c>
      <c r="Y81" s="39">
        <v>3.0</v>
      </c>
      <c r="AA81" s="39" t="s">
        <v>3470</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3449</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3478</v>
      </c>
      <c r="V84" s="37" t="s">
        <v>3344</v>
      </c>
      <c r="W84" s="37" t="s">
        <v>3479</v>
      </c>
      <c r="X84" s="39" t="s">
        <v>3480</v>
      </c>
      <c r="Y84" s="39">
        <v>9.0</v>
      </c>
      <c r="Z84" s="39" t="b">
        <v>1</v>
      </c>
      <c r="AA84" s="39"/>
      <c r="AB84" s="39"/>
      <c r="AC84" s="39"/>
      <c r="AD84" s="39">
        <v>1.0</v>
      </c>
      <c r="AE84" s="39"/>
      <c r="AF84" s="39"/>
      <c r="AG84" s="39"/>
    </row>
    <row r="85" ht="18.75" customHeight="1" outlineLevel="1">
      <c r="A85" s="1" t="s">
        <v>59</v>
      </c>
      <c r="B85" s="11" t="s">
        <v>3476</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3481</v>
      </c>
      <c r="X85" s="39" t="s">
        <v>3343</v>
      </c>
      <c r="Y85" s="39">
        <v>8.0</v>
      </c>
      <c r="AA85" s="37"/>
      <c r="AD85" s="39">
        <v>1.0</v>
      </c>
      <c r="AE85" s="39">
        <v>0.0</v>
      </c>
      <c r="AF85" s="39">
        <v>45.0</v>
      </c>
      <c r="AG85" s="39" t="s">
        <v>3346</v>
      </c>
    </row>
    <row r="86" ht="18.75" customHeight="1" outlineLevel="1">
      <c r="A86" s="1"/>
      <c r="B86" s="11"/>
      <c r="C86" s="37" t="str">
        <f>LET(
 _xlpm.dOK,COUNTIF('クラス'!A:A,E86)&gt;0,
 _xlpm.eOK,COUNTIF('クラス'!A:A,F86)&gt;0,
 IF(_xlpm.dOK,"○","×") &amp; IF(_xlpm.eOK,"○","×")
)</f>
        <v>××</v>
      </c>
      <c r="S86" s="37" t="str">
        <f t="shared" si="1"/>
        <v/>
      </c>
      <c r="U86" s="37" t="s">
        <v>3478</v>
      </c>
      <c r="V86" s="37" t="s">
        <v>3344</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3449</v>
      </c>
      <c r="W87" s="37" t="s">
        <v>3482</v>
      </c>
      <c r="X87" s="39" t="s">
        <v>3480</v>
      </c>
      <c r="Y87" s="39">
        <v>9.0</v>
      </c>
      <c r="Z87" s="39" t="b">
        <v>1</v>
      </c>
      <c r="AA87" s="39"/>
      <c r="AB87" s="39"/>
      <c r="AC87" s="39"/>
      <c r="AD87" s="39">
        <v>1.0</v>
      </c>
      <c r="AE87" s="39"/>
      <c r="AF87" s="39"/>
      <c r="AG87" s="39"/>
    </row>
    <row r="88" ht="18.75" customHeight="1" outlineLevel="1">
      <c r="A88" s="1" t="s">
        <v>60</v>
      </c>
      <c r="B88" s="11" t="s">
        <v>3478</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3483</v>
      </c>
      <c r="X88" s="39" t="s">
        <v>29</v>
      </c>
      <c r="Y88" s="39" t="s">
        <v>29</v>
      </c>
      <c r="AA88" s="37"/>
      <c r="AD88" s="39">
        <v>1.0</v>
      </c>
      <c r="AE88" s="39">
        <v>0.0</v>
      </c>
      <c r="AF88" s="39">
        <v>45.0</v>
      </c>
      <c r="AG88" s="39" t="s">
        <v>3346</v>
      </c>
    </row>
    <row r="89" ht="18.75" customHeight="1" outlineLevel="1">
      <c r="A89" s="1"/>
      <c r="B89" s="11"/>
      <c r="C89" s="37" t="str">
        <f>LET(
 _xlpm.dOK,COUNTIF('クラス'!A:A,E89)&gt;0,
 _xlpm.eOK,COUNTIF('クラス'!A:A,F89)&gt;0,
 IF(_xlpm.dOK,"○","×") &amp; IF(_xlpm.eOK,"○","×")
)</f>
        <v>××</v>
      </c>
      <c r="S89" s="37" t="str">
        <f t="shared" si="1"/>
        <v/>
      </c>
      <c r="U89" s="37" t="s">
        <v>3453</v>
      </c>
      <c r="V89" s="37" t="s">
        <v>3359</v>
      </c>
      <c r="X89" s="39" t="s">
        <v>29</v>
      </c>
      <c r="Y89" s="39" t="s">
        <v>29</v>
      </c>
      <c r="AA89" s="37"/>
      <c r="AD89" s="37"/>
      <c r="AE89" s="37"/>
      <c r="AF89" s="37"/>
      <c r="AG89" s="37"/>
    </row>
    <row r="90" ht="18.75" customHeight="1" outlineLevel="1">
      <c r="A90" s="1" t="s">
        <v>61</v>
      </c>
      <c r="B90" s="11" t="s">
        <v>3478</v>
      </c>
      <c r="C90" s="37" t="str">
        <f>LET(
 _xlpm.dOK,COUNTIF('クラス'!A:A,E90)&gt;0,
 _xlpm.eOK,COUNTIF('クラス'!A:A,F90)&gt;0,
 IF(_xlpm.dOK,"○","×") &amp; IF(_xlpm.eOK,"○","×")
)</f>
        <v>○○</v>
      </c>
      <c r="E90" s="37" t="s">
        <v>1504</v>
      </c>
      <c r="F90" s="37" t="s">
        <v>1781</v>
      </c>
      <c r="G90" s="39">
        <v>8.0</v>
      </c>
      <c r="H90" s="39">
        <v>13.0</v>
      </c>
      <c r="S90" s="37" t="str">
        <f t="shared" si="1"/>
        <v>肉食生物の巣</v>
      </c>
      <c r="U90" s="37" t="s">
        <v>3484</v>
      </c>
      <c r="V90" s="37" t="s">
        <v>3485</v>
      </c>
      <c r="W90" s="37" t="s">
        <v>3486</v>
      </c>
      <c r="X90" s="39" t="s">
        <v>29</v>
      </c>
      <c r="Y90" s="39" t="s">
        <v>29</v>
      </c>
      <c r="AA90" s="37"/>
      <c r="AD90" s="39">
        <v>1.0</v>
      </c>
      <c r="AE90" s="39">
        <v>0.0</v>
      </c>
      <c r="AF90" s="39">
        <v>45.0</v>
      </c>
      <c r="AG90" s="39" t="s">
        <v>3346</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3487</v>
      </c>
      <c r="V91" s="37" t="s">
        <v>3485</v>
      </c>
      <c r="W91" s="37" t="s">
        <v>3488</v>
      </c>
      <c r="X91" s="39" t="s">
        <v>3480</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3484</v>
      </c>
      <c r="V93" s="37" t="s">
        <v>3485</v>
      </c>
      <c r="X93" s="39" t="s">
        <v>29</v>
      </c>
      <c r="Y93" s="39" t="s">
        <v>29</v>
      </c>
      <c r="AA93" s="37"/>
      <c r="AD93" s="37"/>
      <c r="AE93" s="37"/>
      <c r="AF93" s="37"/>
      <c r="AG93" s="37"/>
    </row>
    <row r="94" ht="18.75" customHeight="1">
      <c r="A94" s="1" t="s">
        <v>67</v>
      </c>
      <c r="B94" s="11" t="s">
        <v>3453</v>
      </c>
      <c r="C94" s="37" t="str">
        <f>LET(
 _xlpm.dOK,COUNTIF('クラス'!A:A,E94)&gt;0,
 _xlpm.eOK,COUNTIF('クラス'!A:A,F94)&gt;0,
 IF(_xlpm.dOK,"○","×") &amp; IF(_xlpm.eOK,"○","×")
)</f>
        <v>××</v>
      </c>
      <c r="S94" s="37" t="str">
        <f t="shared" si="1"/>
        <v>飛竜の巣</v>
      </c>
      <c r="U94" s="37" t="s">
        <v>3489</v>
      </c>
      <c r="V94" s="37" t="s">
        <v>3485</v>
      </c>
      <c r="W94" s="37" t="s">
        <v>3490</v>
      </c>
      <c r="X94" s="39" t="s">
        <v>29</v>
      </c>
      <c r="Y94" s="39" t="s">
        <v>29</v>
      </c>
      <c r="AA94" s="37"/>
      <c r="AD94" s="39">
        <v>1.0</v>
      </c>
      <c r="AE94" s="39"/>
      <c r="AF94" s="39"/>
      <c r="AG94" s="39"/>
    </row>
    <row r="95" ht="18.75" customHeight="1" outlineLevel="1">
      <c r="A95" s="1" t="s">
        <v>67</v>
      </c>
      <c r="B95" s="11" t="s">
        <v>3484</v>
      </c>
      <c r="C95" s="37" t="str">
        <f>LET(
 _xlpm.dOK,COUNTIF('クラス'!A:A,E95)&gt;0,
 _xlpm.eOK,COUNTIF('クラス'!A:A,F95)&gt;0,
 IF(_xlpm.dOK,"○","×") &amp; IF(_xlpm.eOK,"○","×")
)</f>
        <v>○×</v>
      </c>
      <c r="D95" s="11"/>
      <c r="E95" s="11" t="s">
        <v>1477</v>
      </c>
      <c r="G95" s="37">
        <v>15.0</v>
      </c>
      <c r="H95" s="37">
        <v>30.0</v>
      </c>
      <c r="R95" s="37" t="s">
        <v>3491</v>
      </c>
      <c r="S95" s="37" t="str">
        <f t="shared" si="1"/>
        <v>炎の輪</v>
      </c>
      <c r="U95" s="37" t="s">
        <v>1942</v>
      </c>
      <c r="V95" s="37" t="s">
        <v>3377</v>
      </c>
      <c r="W95" s="37" t="s">
        <v>3492</v>
      </c>
      <c r="X95" s="39" t="s">
        <v>3493</v>
      </c>
      <c r="Y95" s="39">
        <v>1.0</v>
      </c>
      <c r="Z95" s="39" t="b">
        <v>1</v>
      </c>
      <c r="AA95" s="39"/>
      <c r="AB95" s="39"/>
      <c r="AC95" s="39"/>
      <c r="AD95" s="39">
        <v>1.0</v>
      </c>
      <c r="AE95" s="39">
        <v>15.0</v>
      </c>
      <c r="AF95" s="39">
        <v>60.0</v>
      </c>
      <c r="AG95" s="39" t="s">
        <v>3494</v>
      </c>
    </row>
    <row r="96" ht="18.75" customHeight="1" outlineLevel="1">
      <c r="A96" s="1" t="s">
        <v>67</v>
      </c>
      <c r="B96" s="11" t="s">
        <v>3487</v>
      </c>
      <c r="C96" s="37" t="str">
        <f>LET(
 _xlpm.dOK,COUNTIF('クラス'!A:A,E96)&gt;0,
 _xlpm.eOK,COUNTIF('クラス'!A:A,F96)&gt;0,
 IF(_xlpm.dOK,"○","×") &amp; IF(_xlpm.eOK,"○","×")
)</f>
        <v>××</v>
      </c>
      <c r="S96" s="37" t="str">
        <f t="shared" si="1"/>
        <v>炎の輪</v>
      </c>
      <c r="W96" s="37" t="s">
        <v>3495</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3448</v>
      </c>
      <c r="V97" s="37" t="s">
        <v>3449</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3496</v>
      </c>
      <c r="V98" s="37" t="s">
        <v>3344</v>
      </c>
      <c r="X98" s="39" t="s">
        <v>29</v>
      </c>
      <c r="Y98" s="39" t="s">
        <v>29</v>
      </c>
      <c r="AA98" s="37"/>
      <c r="AD98" s="37"/>
      <c r="AE98" s="37"/>
      <c r="AF98" s="37"/>
      <c r="AG98" s="37"/>
    </row>
    <row r="99" ht="18.75" customHeight="1" outlineLevel="1">
      <c r="A99" s="1" t="s">
        <v>68</v>
      </c>
      <c r="B99" s="11" t="s">
        <v>3484</v>
      </c>
      <c r="C99" s="37" t="str">
        <f>LET(
 _xlpm.dOK,COUNTIF('クラス'!A:A,E99)&gt;0,
 _xlpm.eOK,COUNTIF('クラス'!A:A,F99)&gt;0,
 IF(_xlpm.dOK,"○","×") &amp; IF(_xlpm.eOK,"○","×")
)</f>
        <v>○×</v>
      </c>
      <c r="D99" s="11"/>
      <c r="E99" s="11" t="s">
        <v>1477</v>
      </c>
      <c r="G99" s="39">
        <v>5.0</v>
      </c>
      <c r="H99" s="39">
        <v>15.0</v>
      </c>
      <c r="R99" s="37" t="s">
        <v>3491</v>
      </c>
      <c r="S99" s="37" t="str">
        <f t="shared" si="1"/>
        <v>炎の輪</v>
      </c>
      <c r="U99" s="37" t="s">
        <v>3497</v>
      </c>
      <c r="V99" s="37" t="s">
        <v>3344</v>
      </c>
      <c r="W99" s="37" t="s">
        <v>3498</v>
      </c>
      <c r="X99" s="39" t="s">
        <v>3493</v>
      </c>
      <c r="Y99" s="39">
        <v>1.0</v>
      </c>
      <c r="Z99" s="39" t="b">
        <v>1</v>
      </c>
      <c r="AA99" s="39"/>
      <c r="AB99" s="39"/>
      <c r="AC99" s="39"/>
      <c r="AD99" s="39">
        <v>1.0</v>
      </c>
      <c r="AE99" s="39">
        <v>15.0</v>
      </c>
      <c r="AF99" s="39">
        <v>60.0</v>
      </c>
      <c r="AG99" s="39" t="s">
        <v>3494</v>
      </c>
    </row>
    <row r="100" ht="18.75" customHeight="1" outlineLevel="1">
      <c r="A100" s="1" t="s">
        <v>68</v>
      </c>
      <c r="B100" s="11" t="s">
        <v>3489</v>
      </c>
      <c r="C100" s="37" t="str">
        <f>LET(
 _xlpm.dOK,COUNTIF('クラス'!A:A,E100)&gt;0,
 _xlpm.eOK,COUNTIF('クラス'!A:A,F100)&gt;0,
 IF(_xlpm.dOK,"○","×") &amp; IF(_xlpm.eOK,"○","×")
)</f>
        <v>××</v>
      </c>
      <c r="S100" s="37" t="str">
        <f t="shared" si="1"/>
        <v>炎の輪</v>
      </c>
      <c r="U100" s="37" t="s">
        <v>1479</v>
      </c>
      <c r="V100" s="37" t="s">
        <v>3449</v>
      </c>
      <c r="W100" s="37" t="s">
        <v>3499</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3500</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3448</v>
      </c>
      <c r="C104" s="37" t="str">
        <f>LET(
 _xlpm.dOK,COUNTIF('クラス'!A:A,E104)&gt;0,
 _xlpm.eOK,COUNTIF('クラス'!A:A,F104)&gt;0,
 IF(_xlpm.dOK,"○","×") &amp; IF(_xlpm.eOK,"○","×")
)</f>
        <v>××</v>
      </c>
      <c r="S104" s="37" t="str">
        <f t="shared" si="1"/>
        <v>水の輪</v>
      </c>
      <c r="W104" s="37" t="s">
        <v>3501</v>
      </c>
      <c r="X104" s="39" t="s">
        <v>29</v>
      </c>
      <c r="Y104" s="39" t="s">
        <v>29</v>
      </c>
      <c r="AA104" s="37"/>
      <c r="AD104" s="39">
        <v>1.0</v>
      </c>
      <c r="AE104" s="39"/>
      <c r="AF104" s="39"/>
      <c r="AG104" s="39"/>
    </row>
    <row r="105" ht="18.75" customHeight="1" outlineLevel="1">
      <c r="A105" s="1" t="s">
        <v>66</v>
      </c>
      <c r="B105" s="11" t="s">
        <v>3496</v>
      </c>
      <c r="C105" s="37" t="str">
        <f>LET(
 _xlpm.dOK,COUNTIF('クラス'!A:A,E105)&gt;0,
 _xlpm.eOK,COUNTIF('クラス'!A:A,F105)&gt;0,
 IF(_xlpm.dOK,"○","×") &amp; IF(_xlpm.eOK,"○","×")
)</f>
        <v>××</v>
      </c>
      <c r="S105" s="37" t="str">
        <f t="shared" si="1"/>
        <v>肉食生物の巣</v>
      </c>
      <c r="W105" s="37" t="s">
        <v>3502</v>
      </c>
      <c r="X105" s="39" t="s">
        <v>29</v>
      </c>
      <c r="Y105" s="39" t="s">
        <v>29</v>
      </c>
      <c r="AA105" s="37"/>
      <c r="AD105" s="39">
        <v>1.0</v>
      </c>
      <c r="AE105" s="39"/>
      <c r="AF105" s="39"/>
      <c r="AG105" s="39"/>
    </row>
    <row r="106" ht="18.75" customHeight="1" outlineLevel="1">
      <c r="A106" s="1" t="s">
        <v>66</v>
      </c>
      <c r="B106" s="11" t="s">
        <v>3497</v>
      </c>
      <c r="C106" s="37" t="str">
        <f>LET(
 _xlpm.dOK,COUNTIF('クラス'!A:A,E106)&gt;0,
 _xlpm.eOK,COUNTIF('クラス'!A:A,F106)&gt;0,
 IF(_xlpm.dOK,"○","×") &amp; IF(_xlpm.eOK,"○","×")
)</f>
        <v>××</v>
      </c>
      <c r="S106" s="37" t="str">
        <f t="shared" si="1"/>
        <v>肉食生物の巣</v>
      </c>
      <c r="W106" s="37" t="s">
        <v>3503</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3504</v>
      </c>
      <c r="X107" s="39" t="s">
        <v>3493</v>
      </c>
      <c r="Y107" s="39">
        <v>5.0</v>
      </c>
      <c r="Z107" s="39" t="b">
        <v>1</v>
      </c>
      <c r="AA107" s="39"/>
      <c r="AB107" s="39"/>
      <c r="AC107" s="39"/>
      <c r="AD107" s="39">
        <v>1.0</v>
      </c>
      <c r="AE107" s="39">
        <v>-40.0</v>
      </c>
      <c r="AF107" s="39">
        <v>15.0</v>
      </c>
      <c r="AG107" s="39" t="s">
        <v>3505</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3506</v>
      </c>
      <c r="R108" s="39" t="s">
        <v>1521</v>
      </c>
      <c r="S108" s="39" t="s">
        <v>3507</v>
      </c>
      <c r="W108" s="39" t="s">
        <v>3508</v>
      </c>
      <c r="X108" s="39" t="s">
        <v>3509</v>
      </c>
      <c r="Y108" s="39">
        <v>7.0</v>
      </c>
      <c r="Z108" s="39" t="b">
        <v>0</v>
      </c>
      <c r="AA108" s="39"/>
      <c r="AB108" s="39"/>
      <c r="AC108" s="39"/>
      <c r="AD108" s="39">
        <v>1.0</v>
      </c>
      <c r="AE108" s="39"/>
      <c r="AF108" s="39"/>
      <c r="AG108" s="39"/>
    </row>
    <row r="109" ht="18.75" customHeight="1" outlineLevel="1">
      <c r="A109" s="26" t="s">
        <v>3252</v>
      </c>
      <c r="B109" s="22" t="s">
        <v>1521</v>
      </c>
      <c r="C109" s="37" t="str">
        <f>IF(COUNTIF('クラス'!A:A,E109)&gt;0,"○","×")&amp;IF(COUNTIF('クラス'!A:A,F109)&gt;0,"○","×")</f>
        <v>○×</v>
      </c>
      <c r="D109" s="39" t="b">
        <v>0</v>
      </c>
      <c r="E109" s="39" t="s">
        <v>1521</v>
      </c>
      <c r="G109" s="39">
        <v>2.0</v>
      </c>
      <c r="H109" s="39">
        <v>5.0</v>
      </c>
      <c r="J109" s="39" t="s">
        <v>3506</v>
      </c>
      <c r="R109" s="39" t="s">
        <v>1521</v>
      </c>
      <c r="S109" s="39" t="s">
        <v>3507</v>
      </c>
      <c r="W109" s="39" t="s">
        <v>3510</v>
      </c>
      <c r="X109" s="39" t="s">
        <v>3509</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3506</v>
      </c>
      <c r="R110" s="39" t="s">
        <v>1528</v>
      </c>
      <c r="S110" s="39" t="s">
        <v>3344</v>
      </c>
      <c r="W110" s="39" t="s">
        <v>3511</v>
      </c>
      <c r="X110" s="39" t="s">
        <v>3512</v>
      </c>
      <c r="Y110" s="39">
        <v>7.0</v>
      </c>
      <c r="Z110" s="39" t="b">
        <v>0</v>
      </c>
      <c r="AA110" s="39"/>
      <c r="AB110" s="39"/>
      <c r="AC110" s="39"/>
      <c r="AD110" s="39">
        <v>1.0</v>
      </c>
      <c r="AE110" s="39"/>
      <c r="AF110" s="39"/>
      <c r="AG110" s="39"/>
    </row>
    <row r="111" ht="18.75" customHeight="1" outlineLevel="1">
      <c r="A111" s="26" t="s">
        <v>3252</v>
      </c>
      <c r="B111" s="22" t="s">
        <v>1528</v>
      </c>
      <c r="C111" s="37" t="str">
        <f>IF(COUNTIF('クラス'!A:A,E111)&gt;0,"○","×")&amp;IF(COUNTIF('クラス'!A:A,F111)&gt;0,"○","×")</f>
        <v>○×</v>
      </c>
      <c r="D111" s="39" t="b">
        <v>0</v>
      </c>
      <c r="E111" s="39" t="s">
        <v>1528</v>
      </c>
      <c r="G111" s="39">
        <v>3.0</v>
      </c>
      <c r="H111" s="39">
        <v>7.0</v>
      </c>
      <c r="J111" s="39" t="s">
        <v>3506</v>
      </c>
      <c r="R111" s="39" t="s">
        <v>1528</v>
      </c>
      <c r="S111" s="39" t="s">
        <v>3344</v>
      </c>
      <c r="W111" s="39" t="s">
        <v>3513</v>
      </c>
      <c r="X111" s="39" t="s">
        <v>3512</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3506</v>
      </c>
      <c r="R112" s="39" t="s">
        <v>1528</v>
      </c>
      <c r="S112" s="39" t="s">
        <v>3344</v>
      </c>
      <c r="W112" s="39" t="s">
        <v>3514</v>
      </c>
      <c r="X112" s="39" t="s">
        <v>3512</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3506</v>
      </c>
      <c r="R113" s="39" t="s">
        <v>1914</v>
      </c>
      <c r="S113" s="39" t="s">
        <v>3359</v>
      </c>
      <c r="W113" s="39" t="s">
        <v>3515</v>
      </c>
      <c r="X113" s="39" t="s">
        <v>3516</v>
      </c>
      <c r="Y113" s="39">
        <v>7.0</v>
      </c>
      <c r="Z113" s="39" t="b">
        <v>0</v>
      </c>
      <c r="AA113" s="39" t="s">
        <v>3470</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3517</v>
      </c>
      <c r="R114" s="39" t="s">
        <v>1598</v>
      </c>
      <c r="S114" s="39" t="s">
        <v>3348</v>
      </c>
      <c r="W114" s="39" t="s">
        <v>3518</v>
      </c>
      <c r="X114" s="39" t="s">
        <v>3519</v>
      </c>
      <c r="Y114" s="39">
        <v>1.0</v>
      </c>
      <c r="Z114" s="39" t="b">
        <v>0</v>
      </c>
      <c r="AA114" s="39"/>
      <c r="AB114" s="39"/>
      <c r="AC114" s="39"/>
      <c r="AD114" s="39">
        <v>1.0</v>
      </c>
      <c r="AE114" s="39">
        <v>5.0</v>
      </c>
      <c r="AF114" s="39">
        <v>45.0</v>
      </c>
      <c r="AG114" s="39" t="s">
        <v>3520</v>
      </c>
    </row>
    <row r="115" ht="18.75" customHeight="1">
      <c r="A115" s="26" t="s">
        <v>54</v>
      </c>
      <c r="B115" s="22" t="s">
        <v>1617</v>
      </c>
      <c r="C115" s="37" t="str">
        <f>IF(COUNTIF('クラス'!A:A,E115)&gt;0,"○","×")&amp;IF(COUNTIF('クラス'!A:A,F115)&gt;0,"○","×")</f>
        <v>○×</v>
      </c>
      <c r="D115" s="39" t="b">
        <v>1</v>
      </c>
      <c r="E115" s="39" t="s">
        <v>1617</v>
      </c>
      <c r="G115" s="39">
        <v>3.0</v>
      </c>
      <c r="H115" s="39">
        <v>7.0</v>
      </c>
      <c r="J115" s="39" t="s">
        <v>3517</v>
      </c>
      <c r="R115" s="39" t="s">
        <v>1617</v>
      </c>
      <c r="S115" s="39" t="s">
        <v>3348</v>
      </c>
      <c r="W115" s="39" t="s">
        <v>3521</v>
      </c>
      <c r="X115" s="39" t="s">
        <v>3522</v>
      </c>
      <c r="Y115" s="39">
        <v>1.0</v>
      </c>
      <c r="Z115" s="39" t="b">
        <v>0</v>
      </c>
      <c r="AA115" s="39"/>
      <c r="AB115" s="39"/>
      <c r="AC115" s="39"/>
      <c r="AD115" s="39">
        <v>1.0</v>
      </c>
      <c r="AE115" s="39">
        <v>5.0</v>
      </c>
      <c r="AF115" s="39">
        <v>45.0</v>
      </c>
      <c r="AG115" s="39" t="s">
        <v>3494</v>
      </c>
    </row>
    <row r="116" ht="18.75" customHeight="1">
      <c r="A116" s="26" t="s">
        <v>54</v>
      </c>
      <c r="B116" s="22" t="s">
        <v>1625</v>
      </c>
      <c r="C116" s="37" t="str">
        <f>IF(COUNTIF('クラス'!A:A,E116)&gt;0,"○","×")&amp;IF(COUNTIF('クラス'!A:A,F116)&gt;0,"○","×")</f>
        <v>○×</v>
      </c>
      <c r="D116" s="39" t="b">
        <v>1</v>
      </c>
      <c r="E116" s="39" t="s">
        <v>1625</v>
      </c>
      <c r="G116" s="39">
        <v>1.0</v>
      </c>
      <c r="H116" s="39">
        <v>5.0</v>
      </c>
      <c r="J116" s="39" t="s">
        <v>3517</v>
      </c>
      <c r="R116" s="39" t="s">
        <v>1625</v>
      </c>
      <c r="S116" s="39" t="s">
        <v>3348</v>
      </c>
      <c r="W116" s="39" t="s">
        <v>3523</v>
      </c>
      <c r="X116" s="39" t="s">
        <v>3524</v>
      </c>
      <c r="Y116" s="39">
        <v>7.0</v>
      </c>
      <c r="Z116" s="39" t="b">
        <v>0</v>
      </c>
      <c r="AA116" s="39"/>
      <c r="AB116" s="39"/>
      <c r="AC116" s="39"/>
      <c r="AD116" s="39">
        <v>1.0</v>
      </c>
      <c r="AE116" s="39">
        <v>5.0</v>
      </c>
      <c r="AF116" s="39">
        <v>45.0</v>
      </c>
      <c r="AG116" s="39" t="s">
        <v>3494</v>
      </c>
    </row>
    <row r="117" ht="18.75" customHeight="1">
      <c r="A117" s="26" t="s">
        <v>54</v>
      </c>
      <c r="B117" s="22" t="s">
        <v>1633</v>
      </c>
      <c r="C117" s="37" t="str">
        <f>IF(COUNTIF('クラス'!A:A,E117)&gt;0,"○","×")&amp;IF(COUNTIF('クラス'!A:A,F117)&gt;0,"○","×")</f>
        <v>○×</v>
      </c>
      <c r="D117" s="39" t="b">
        <v>1</v>
      </c>
      <c r="E117" s="39" t="s">
        <v>1633</v>
      </c>
      <c r="G117" s="39">
        <v>1.0</v>
      </c>
      <c r="H117" s="39">
        <v>4.0</v>
      </c>
      <c r="J117" s="39" t="s">
        <v>3517</v>
      </c>
      <c r="R117" s="39" t="s">
        <v>1633</v>
      </c>
      <c r="S117" s="39" t="s">
        <v>3348</v>
      </c>
      <c r="W117" s="39" t="s">
        <v>3525</v>
      </c>
      <c r="X117" s="39" t="s">
        <v>3524</v>
      </c>
      <c r="Y117" s="39">
        <v>1.0</v>
      </c>
      <c r="Z117" s="39" t="b">
        <v>0</v>
      </c>
      <c r="AA117" s="39"/>
      <c r="AB117" s="39"/>
      <c r="AC117" s="39"/>
      <c r="AD117" s="39">
        <v>1.0</v>
      </c>
      <c r="AE117" s="39">
        <v>5.0</v>
      </c>
      <c r="AF117" s="39">
        <v>45.0</v>
      </c>
      <c r="AG117" s="39" t="s">
        <v>3520</v>
      </c>
    </row>
    <row r="118" ht="18.75" customHeight="1">
      <c r="A118" s="26" t="s">
        <v>3252</v>
      </c>
      <c r="B118" s="22" t="s">
        <v>1598</v>
      </c>
      <c r="C118" s="37" t="str">
        <f>IF(COUNTIF('クラス'!A:A,E118)&gt;0,"○","×")&amp;IF(COUNTIF('クラス'!A:A,F118)&gt;0,"○","×")</f>
        <v>○×</v>
      </c>
      <c r="D118" s="39" t="b">
        <v>0</v>
      </c>
      <c r="E118" s="39" t="s">
        <v>1598</v>
      </c>
      <c r="G118" s="39">
        <v>2.0</v>
      </c>
      <c r="H118" s="39">
        <v>5.0</v>
      </c>
      <c r="J118" s="39" t="s">
        <v>3517</v>
      </c>
      <c r="R118" s="39" t="s">
        <v>1598</v>
      </c>
      <c r="S118" s="39" t="s">
        <v>3348</v>
      </c>
      <c r="W118" s="39" t="s">
        <v>3526</v>
      </c>
      <c r="X118" s="39" t="s">
        <v>3519</v>
      </c>
      <c r="Y118" s="39">
        <v>1.0</v>
      </c>
      <c r="Z118" s="39" t="b">
        <v>0</v>
      </c>
      <c r="AA118" s="39"/>
      <c r="AB118" s="39"/>
      <c r="AC118" s="39"/>
      <c r="AD118" s="39">
        <v>1.0</v>
      </c>
      <c r="AE118" s="39">
        <v>5.0</v>
      </c>
      <c r="AF118" s="39">
        <v>45.0</v>
      </c>
      <c r="AG118" s="39" t="s">
        <v>3520</v>
      </c>
    </row>
    <row r="119" ht="18.75" customHeight="1">
      <c r="A119" s="26" t="s">
        <v>3252</v>
      </c>
      <c r="B119" s="22" t="s">
        <v>1633</v>
      </c>
      <c r="C119" s="37" t="str">
        <f>IF(COUNTIF('クラス'!A:A,E119)&gt;0,"○","×")&amp;IF(COUNTIF('クラス'!A:A,F119)&gt;0,"○","×")</f>
        <v>○×</v>
      </c>
      <c r="D119" s="39" t="b">
        <v>1</v>
      </c>
      <c r="E119" s="39" t="s">
        <v>1633</v>
      </c>
      <c r="G119" s="39">
        <v>1.0</v>
      </c>
      <c r="H119" s="39">
        <v>4.0</v>
      </c>
      <c r="J119" s="39" t="s">
        <v>3517</v>
      </c>
      <c r="R119" s="39" t="s">
        <v>1633</v>
      </c>
      <c r="S119" s="39" t="s">
        <v>3348</v>
      </c>
      <c r="W119" s="39" t="s">
        <v>3527</v>
      </c>
      <c r="X119" s="39" t="s">
        <v>3524</v>
      </c>
      <c r="Y119" s="39">
        <v>1.0</v>
      </c>
      <c r="Z119" s="39" t="b">
        <v>0</v>
      </c>
      <c r="AA119" s="39"/>
      <c r="AB119" s="39"/>
      <c r="AC119" s="39"/>
      <c r="AD119" s="39">
        <v>1.0</v>
      </c>
      <c r="AE119" s="39">
        <v>5.0</v>
      </c>
      <c r="AF119" s="39">
        <v>45.0</v>
      </c>
      <c r="AG119" s="39" t="s">
        <v>3520</v>
      </c>
    </row>
    <row r="120" ht="18.75" customHeight="1">
      <c r="A120" s="26" t="s">
        <v>3252</v>
      </c>
      <c r="B120" s="22" t="s">
        <v>1656</v>
      </c>
      <c r="C120" s="37" t="str">
        <f>IF(COUNTIF('クラス'!A:A,E120)&gt;0,"○","×")&amp;IF(COUNTIF('クラス'!A:A,F120)&gt;0,"○","×")</f>
        <v>○×</v>
      </c>
      <c r="D120" s="39" t="b">
        <v>1</v>
      </c>
      <c r="E120" s="39" t="s">
        <v>1656</v>
      </c>
      <c r="G120" s="39">
        <v>3.0</v>
      </c>
      <c r="H120" s="39">
        <v>8.0</v>
      </c>
      <c r="J120" s="39" t="s">
        <v>3517</v>
      </c>
      <c r="R120" s="39" t="s">
        <v>1656</v>
      </c>
      <c r="S120" s="39" t="s">
        <v>3348</v>
      </c>
      <c r="W120" s="39" t="s">
        <v>3528</v>
      </c>
      <c r="X120" s="39" t="s">
        <v>3350</v>
      </c>
      <c r="Y120" s="39">
        <v>7.0</v>
      </c>
      <c r="Z120" s="39" t="b">
        <v>0</v>
      </c>
      <c r="AA120" s="39"/>
      <c r="AB120" s="39"/>
      <c r="AC120" s="39"/>
      <c r="AD120" s="39">
        <v>1.0</v>
      </c>
      <c r="AE120" s="39">
        <v>5.0</v>
      </c>
      <c r="AF120" s="39">
        <v>45.0</v>
      </c>
      <c r="AG120" s="39" t="s">
        <v>3520</v>
      </c>
    </row>
    <row r="121" ht="18.75" customHeight="1">
      <c r="A121" s="26" t="s">
        <v>62</v>
      </c>
      <c r="B121" s="22" t="s">
        <v>1656</v>
      </c>
      <c r="C121" s="37" t="str">
        <f>IF(COUNTIF('クラス'!A:A,E121)&gt;0,"○","×")&amp;IF(COUNTIF('クラス'!A:A,F121)&gt;0,"○","×")</f>
        <v>○×</v>
      </c>
      <c r="D121" s="39" t="b">
        <v>1</v>
      </c>
      <c r="E121" s="39" t="s">
        <v>1656</v>
      </c>
      <c r="G121" s="39">
        <v>3.0</v>
      </c>
      <c r="H121" s="39">
        <v>8.0</v>
      </c>
      <c r="J121" s="39" t="s">
        <v>3517</v>
      </c>
      <c r="R121" s="39" t="s">
        <v>1656</v>
      </c>
      <c r="S121" s="39" t="s">
        <v>3348</v>
      </c>
      <c r="W121" s="39" t="s">
        <v>3529</v>
      </c>
      <c r="X121" s="39" t="s">
        <v>3350</v>
      </c>
      <c r="Y121" s="39">
        <v>7.0</v>
      </c>
      <c r="Z121" s="39" t="b">
        <v>0</v>
      </c>
      <c r="AA121" s="39"/>
      <c r="AB121" s="39"/>
      <c r="AC121" s="39"/>
      <c r="AD121" s="39">
        <v>1.0</v>
      </c>
      <c r="AE121" s="39">
        <v>5.0</v>
      </c>
      <c r="AF121" s="39">
        <v>45.0</v>
      </c>
      <c r="AG121" s="39" t="s">
        <v>3520</v>
      </c>
    </row>
    <row r="122" ht="18.75" customHeight="1">
      <c r="A122" s="26" t="s">
        <v>62</v>
      </c>
      <c r="B122" s="22" t="s">
        <v>1647</v>
      </c>
      <c r="C122" s="37" t="str">
        <f>IF(COUNTIF('クラス'!A:A,E122)&gt;0,"○","×")&amp;IF(COUNTIF('クラス'!A:A,F122)&gt;0,"○","×")</f>
        <v>○×</v>
      </c>
      <c r="D122" s="39" t="b">
        <v>1</v>
      </c>
      <c r="E122" s="39" t="s">
        <v>1647</v>
      </c>
      <c r="G122" s="39">
        <v>3.0</v>
      </c>
      <c r="H122" s="39">
        <v>7.0</v>
      </c>
      <c r="J122" s="39" t="s">
        <v>3517</v>
      </c>
      <c r="R122" s="39" t="s">
        <v>1647</v>
      </c>
      <c r="S122" s="39" t="s">
        <v>3348</v>
      </c>
      <c r="W122" s="39" t="s">
        <v>3530</v>
      </c>
      <c r="X122" s="39" t="s">
        <v>3531</v>
      </c>
      <c r="Y122" s="39">
        <v>7.0</v>
      </c>
      <c r="Z122" s="39" t="b">
        <v>0</v>
      </c>
      <c r="AA122" s="39"/>
      <c r="AB122" s="39"/>
      <c r="AC122" s="39"/>
      <c r="AD122" s="39">
        <v>1.0</v>
      </c>
      <c r="AE122" s="39">
        <v>5.0</v>
      </c>
      <c r="AF122" s="39">
        <v>45.0</v>
      </c>
      <c r="AG122" s="39" t="s">
        <v>3520</v>
      </c>
    </row>
    <row r="123" ht="18.75" customHeight="1">
      <c r="A123" s="26" t="s">
        <v>56</v>
      </c>
      <c r="B123" s="22" t="s">
        <v>1609</v>
      </c>
      <c r="C123" s="37" t="str">
        <f>IF(COUNTIF('クラス'!A:A,E123)&gt;0,"○","×")&amp;IF(COUNTIF('クラス'!A:A,F123)&gt;0,"○","×")</f>
        <v>○×</v>
      </c>
      <c r="D123" s="39" t="b">
        <v>1</v>
      </c>
      <c r="E123" s="39" t="s">
        <v>1609</v>
      </c>
      <c r="G123" s="39">
        <v>2.0</v>
      </c>
      <c r="H123" s="39">
        <v>6.0</v>
      </c>
      <c r="J123" s="39" t="s">
        <v>3517</v>
      </c>
      <c r="R123" s="39"/>
      <c r="S123" s="39" t="s">
        <v>3348</v>
      </c>
      <c r="W123" s="39" t="s">
        <v>3532</v>
      </c>
      <c r="X123" s="39"/>
      <c r="Y123" s="39"/>
      <c r="Z123" s="39" t="b">
        <v>0</v>
      </c>
      <c r="AA123" s="39"/>
      <c r="AB123" s="39"/>
      <c r="AC123" s="39"/>
      <c r="AD123" s="39">
        <v>1.0</v>
      </c>
      <c r="AE123" s="39">
        <v>5.0</v>
      </c>
      <c r="AF123" s="39">
        <v>45.0</v>
      </c>
      <c r="AG123" s="39" t="s">
        <v>3520</v>
      </c>
    </row>
    <row r="124" ht="18.75" customHeight="1">
      <c r="A124" s="26" t="s">
        <v>56</v>
      </c>
      <c r="B124" s="22" t="s">
        <v>1617</v>
      </c>
      <c r="C124" s="37" t="str">
        <f>IF(COUNTIF('クラス'!A:A,E124)&gt;0,"○","×")&amp;IF(COUNTIF('クラス'!A:A,F124)&gt;0,"○","×")</f>
        <v>○×</v>
      </c>
      <c r="D124" s="39" t="b">
        <v>1</v>
      </c>
      <c r="E124" s="39" t="s">
        <v>1617</v>
      </c>
      <c r="G124" s="39">
        <v>3.0</v>
      </c>
      <c r="H124" s="39">
        <v>7.0</v>
      </c>
      <c r="J124" s="39" t="s">
        <v>3517</v>
      </c>
      <c r="R124" s="39" t="s">
        <v>1617</v>
      </c>
      <c r="S124" s="39" t="s">
        <v>3348</v>
      </c>
      <c r="W124" s="39" t="s">
        <v>3533</v>
      </c>
      <c r="X124" s="39" t="s">
        <v>3522</v>
      </c>
      <c r="Y124" s="39">
        <v>1.0</v>
      </c>
      <c r="Z124" s="39" t="b">
        <v>0</v>
      </c>
      <c r="AA124" s="39"/>
      <c r="AB124" s="39"/>
      <c r="AC124" s="39"/>
      <c r="AD124" s="39">
        <v>1.0</v>
      </c>
      <c r="AE124" s="39">
        <v>5.0</v>
      </c>
      <c r="AF124" s="39">
        <v>45.0</v>
      </c>
      <c r="AG124" s="39" t="s">
        <v>3494</v>
      </c>
    </row>
    <row r="125" ht="18.75" customHeight="1">
      <c r="A125" s="26" t="s">
        <v>56</v>
      </c>
      <c r="B125" s="22" t="s">
        <v>1625</v>
      </c>
      <c r="C125" s="37" t="str">
        <f>IF(COUNTIF('クラス'!A:A,E125)&gt;0,"○","×")&amp;IF(COUNTIF('クラス'!A:A,F125)&gt;0,"○","×")</f>
        <v>○×</v>
      </c>
      <c r="D125" s="39" t="b">
        <v>1</v>
      </c>
      <c r="E125" s="39" t="s">
        <v>1625</v>
      </c>
      <c r="G125" s="39">
        <v>1.0</v>
      </c>
      <c r="H125" s="39">
        <v>5.0</v>
      </c>
      <c r="J125" s="39" t="s">
        <v>3517</v>
      </c>
      <c r="R125" s="39" t="s">
        <v>1625</v>
      </c>
      <c r="S125" s="39" t="s">
        <v>3348</v>
      </c>
      <c r="W125" s="39" t="s">
        <v>3534</v>
      </c>
      <c r="X125" s="39" t="s">
        <v>3524</v>
      </c>
      <c r="Y125" s="39">
        <v>7.0</v>
      </c>
      <c r="Z125" s="39" t="b">
        <v>0</v>
      </c>
      <c r="AA125" s="39"/>
      <c r="AB125" s="39"/>
      <c r="AC125" s="39"/>
      <c r="AD125" s="39">
        <v>1.0</v>
      </c>
      <c r="AE125" s="39">
        <v>5.0</v>
      </c>
      <c r="AF125" s="39">
        <v>45.0</v>
      </c>
      <c r="AG125" s="39" t="s">
        <v>3494</v>
      </c>
    </row>
    <row r="126" ht="18.75" customHeight="1">
      <c r="A126" s="26" t="s">
        <v>56</v>
      </c>
      <c r="B126" s="22" t="s">
        <v>1633</v>
      </c>
      <c r="C126" s="37" t="str">
        <f>IF(COUNTIF('クラス'!A:A,E126)&gt;0,"○","×")&amp;IF(COUNTIF('クラス'!A:A,F126)&gt;0,"○","×")</f>
        <v>○×</v>
      </c>
      <c r="D126" s="39" t="b">
        <v>1</v>
      </c>
      <c r="E126" s="39" t="s">
        <v>1633</v>
      </c>
      <c r="G126" s="39">
        <v>1.0</v>
      </c>
      <c r="H126" s="39">
        <v>4.0</v>
      </c>
      <c r="J126" s="39" t="s">
        <v>3517</v>
      </c>
      <c r="R126" s="39" t="s">
        <v>1633</v>
      </c>
      <c r="S126" s="39" t="s">
        <v>3348</v>
      </c>
      <c r="W126" s="39" t="s">
        <v>3535</v>
      </c>
      <c r="X126" s="39" t="s">
        <v>3524</v>
      </c>
      <c r="Y126" s="39">
        <v>1.0</v>
      </c>
      <c r="Z126" s="39" t="b">
        <v>0</v>
      </c>
      <c r="AA126" s="39"/>
      <c r="AB126" s="39"/>
      <c r="AC126" s="39"/>
      <c r="AD126" s="39">
        <v>1.0</v>
      </c>
      <c r="AE126" s="39">
        <v>5.0</v>
      </c>
      <c r="AF126" s="39">
        <v>45.0</v>
      </c>
      <c r="AG126" s="39" t="s">
        <v>3520</v>
      </c>
    </row>
    <row r="127" ht="18.75" customHeight="1">
      <c r="A127" s="26" t="s">
        <v>56</v>
      </c>
      <c r="B127" s="22" t="s">
        <v>1640</v>
      </c>
      <c r="C127" s="37" t="str">
        <f>IF(COUNTIF('クラス'!A:A,E127)&gt;0,"○","×")&amp;IF(COUNTIF('クラス'!A:A,F127)&gt;0,"○","×")</f>
        <v>○×</v>
      </c>
      <c r="D127" s="39" t="b">
        <v>1</v>
      </c>
      <c r="E127" s="39" t="s">
        <v>1640</v>
      </c>
      <c r="G127" s="39">
        <v>2.0</v>
      </c>
      <c r="H127" s="39">
        <v>6.0</v>
      </c>
      <c r="J127" s="39" t="s">
        <v>3517</v>
      </c>
      <c r="R127" s="39" t="s">
        <v>1640</v>
      </c>
      <c r="S127" s="39" t="s">
        <v>3348</v>
      </c>
      <c r="W127" s="39" t="s">
        <v>3536</v>
      </c>
      <c r="X127" s="39" t="s">
        <v>3531</v>
      </c>
      <c r="Y127" s="39">
        <v>1.0</v>
      </c>
      <c r="Z127" s="39" t="b">
        <v>0</v>
      </c>
      <c r="AA127" s="39"/>
      <c r="AB127" s="39"/>
      <c r="AC127" s="39"/>
      <c r="AD127" s="39">
        <v>1.0</v>
      </c>
      <c r="AE127" s="39">
        <v>5.0</v>
      </c>
      <c r="AF127" s="39">
        <v>45.0</v>
      </c>
      <c r="AG127" s="39" t="s">
        <v>3520</v>
      </c>
    </row>
    <row r="128" ht="18.75" customHeight="1">
      <c r="A128" s="26" t="s">
        <v>56</v>
      </c>
      <c r="B128" s="22" t="s">
        <v>1647</v>
      </c>
      <c r="C128" s="37" t="str">
        <f>IF(COUNTIF('クラス'!A:A,E128)&gt;0,"○","×")&amp;IF(COUNTIF('クラス'!A:A,F128)&gt;0,"○","×")</f>
        <v>○×</v>
      </c>
      <c r="D128" s="39" t="b">
        <v>1</v>
      </c>
      <c r="E128" s="39" t="s">
        <v>1647</v>
      </c>
      <c r="G128" s="39">
        <v>3.0</v>
      </c>
      <c r="H128" s="39">
        <v>7.0</v>
      </c>
      <c r="J128" s="39" t="s">
        <v>3517</v>
      </c>
      <c r="R128" s="39" t="s">
        <v>1647</v>
      </c>
      <c r="S128" s="39" t="s">
        <v>3348</v>
      </c>
      <c r="W128" s="39" t="s">
        <v>3537</v>
      </c>
      <c r="X128" s="39" t="s">
        <v>3531</v>
      </c>
      <c r="Y128" s="39">
        <v>7.0</v>
      </c>
      <c r="Z128" s="39" t="b">
        <v>0</v>
      </c>
      <c r="AA128" s="39"/>
      <c r="AB128" s="39"/>
      <c r="AC128" s="39"/>
      <c r="AD128" s="39">
        <v>1.0</v>
      </c>
      <c r="AE128" s="39">
        <v>5.0</v>
      </c>
      <c r="AF128" s="39">
        <v>45.0</v>
      </c>
      <c r="AG128" s="39" t="s">
        <v>3520</v>
      </c>
    </row>
    <row r="129" ht="18.75" customHeight="1">
      <c r="A129" s="26" t="s">
        <v>63</v>
      </c>
      <c r="B129" s="22" t="s">
        <v>1640</v>
      </c>
      <c r="C129" s="37" t="str">
        <f>IF(COUNTIF('クラス'!A:A,E129)&gt;0,"○","×")&amp;IF(COUNTIF('クラス'!A:A,F129)&gt;0,"○","×")</f>
        <v>○×</v>
      </c>
      <c r="D129" s="39" t="b">
        <v>1</v>
      </c>
      <c r="E129" s="39" t="s">
        <v>1640</v>
      </c>
      <c r="G129" s="39">
        <v>2.0</v>
      </c>
      <c r="H129" s="39">
        <v>6.0</v>
      </c>
      <c r="J129" s="39" t="s">
        <v>3517</v>
      </c>
      <c r="R129" s="39" t="s">
        <v>1640</v>
      </c>
      <c r="S129" s="39" t="s">
        <v>3348</v>
      </c>
      <c r="W129" s="39" t="s">
        <v>3538</v>
      </c>
      <c r="X129" s="39" t="s">
        <v>3531</v>
      </c>
      <c r="Y129" s="39">
        <v>1.0</v>
      </c>
      <c r="Z129" s="39" t="b">
        <v>0</v>
      </c>
      <c r="AA129" s="39"/>
      <c r="AB129" s="39"/>
      <c r="AC129" s="39"/>
      <c r="AD129" s="39">
        <v>1.0</v>
      </c>
      <c r="AE129" s="39">
        <v>5.0</v>
      </c>
      <c r="AF129" s="39">
        <v>45.0</v>
      </c>
      <c r="AG129" s="39" t="s">
        <v>3520</v>
      </c>
    </row>
    <row r="130" ht="18.75" customHeight="1">
      <c r="A130" s="26" t="s">
        <v>63</v>
      </c>
      <c r="B130" s="22" t="s">
        <v>1647</v>
      </c>
      <c r="C130" s="37" t="str">
        <f>IF(COUNTIF('クラス'!A:A,E130)&gt;0,"○","×")&amp;IF(COUNTIF('クラス'!A:A,F130)&gt;0,"○","×")</f>
        <v>○×</v>
      </c>
      <c r="D130" s="39" t="b">
        <v>1</v>
      </c>
      <c r="E130" s="39" t="s">
        <v>1647</v>
      </c>
      <c r="G130" s="39">
        <v>3.0</v>
      </c>
      <c r="H130" s="39">
        <v>7.0</v>
      </c>
      <c r="J130" s="39" t="s">
        <v>3517</v>
      </c>
      <c r="R130" s="39" t="s">
        <v>1647</v>
      </c>
      <c r="S130" s="39" t="s">
        <v>3348</v>
      </c>
      <c r="W130" s="39" t="s">
        <v>3539</v>
      </c>
      <c r="X130" s="39" t="s">
        <v>3531</v>
      </c>
      <c r="Y130" s="39">
        <v>7.0</v>
      </c>
      <c r="Z130" s="39" t="b">
        <v>0</v>
      </c>
      <c r="AA130" s="39"/>
      <c r="AB130" s="39"/>
      <c r="AC130" s="39"/>
      <c r="AD130" s="39">
        <v>1.0</v>
      </c>
      <c r="AE130" s="39">
        <v>5.0</v>
      </c>
      <c r="AF130" s="39">
        <v>45.0</v>
      </c>
      <c r="AG130" s="39" t="s">
        <v>3520</v>
      </c>
    </row>
    <row r="131" ht="18.75" customHeight="1">
      <c r="A131" s="26" t="s">
        <v>65</v>
      </c>
      <c r="B131" s="22" t="s">
        <v>1598</v>
      </c>
      <c r="C131" s="37" t="str">
        <f>IF(COUNTIF('クラス'!A:A,E131)&gt;0,"○","×")&amp;IF(COUNTIF('クラス'!A:A,F131)&gt;0,"○","×")</f>
        <v>○×</v>
      </c>
      <c r="D131" s="39" t="b">
        <v>0</v>
      </c>
      <c r="E131" s="39" t="s">
        <v>1598</v>
      </c>
      <c r="G131" s="39">
        <v>2.0</v>
      </c>
      <c r="H131" s="39">
        <v>5.0</v>
      </c>
      <c r="J131" s="39" t="s">
        <v>3517</v>
      </c>
      <c r="R131" s="39" t="s">
        <v>1598</v>
      </c>
      <c r="S131" s="39" t="s">
        <v>3348</v>
      </c>
      <c r="W131" s="39" t="s">
        <v>3540</v>
      </c>
      <c r="X131" s="39" t="s">
        <v>3519</v>
      </c>
      <c r="Y131" s="39">
        <v>1.0</v>
      </c>
      <c r="Z131" s="39" t="b">
        <v>0</v>
      </c>
      <c r="AA131" s="39" t="s">
        <v>3541</v>
      </c>
      <c r="AB131" s="39">
        <v>5.0</v>
      </c>
      <c r="AC131" s="39">
        <v>8.0</v>
      </c>
      <c r="AD131" s="39">
        <v>1.0</v>
      </c>
      <c r="AE131" s="39">
        <v>5.0</v>
      </c>
      <c r="AF131" s="39">
        <v>45.0</v>
      </c>
      <c r="AG131" s="39" t="s">
        <v>3520</v>
      </c>
    </row>
    <row r="132" ht="18.75" customHeight="1">
      <c r="A132" s="26" t="s">
        <v>65</v>
      </c>
      <c r="B132" s="22" t="s">
        <v>1640</v>
      </c>
      <c r="C132" s="37" t="str">
        <f>IF(COUNTIF('クラス'!A:A,E132)&gt;0,"○","×")&amp;IF(COUNTIF('クラス'!A:A,F132)&gt;0,"○","×")</f>
        <v>○×</v>
      </c>
      <c r="D132" s="39" t="b">
        <v>1</v>
      </c>
      <c r="E132" s="39" t="s">
        <v>1640</v>
      </c>
      <c r="G132" s="39">
        <v>2.0</v>
      </c>
      <c r="H132" s="39">
        <v>6.0</v>
      </c>
      <c r="J132" s="39" t="s">
        <v>3517</v>
      </c>
      <c r="R132" s="39" t="s">
        <v>1640</v>
      </c>
      <c r="S132" s="39" t="s">
        <v>3348</v>
      </c>
      <c r="W132" s="39" t="s">
        <v>3542</v>
      </c>
      <c r="X132" s="39" t="s">
        <v>3531</v>
      </c>
      <c r="Y132" s="39">
        <v>1.0</v>
      </c>
      <c r="Z132" s="39" t="b">
        <v>0</v>
      </c>
      <c r="AA132" s="39" t="s">
        <v>3472</v>
      </c>
      <c r="AB132" s="39">
        <v>2.0</v>
      </c>
      <c r="AC132" s="39">
        <v>3.0</v>
      </c>
      <c r="AD132" s="39">
        <v>1.0</v>
      </c>
      <c r="AE132" s="39">
        <v>5.0</v>
      </c>
      <c r="AF132" s="39">
        <v>45.0</v>
      </c>
      <c r="AG132" s="39" t="s">
        <v>3520</v>
      </c>
    </row>
    <row r="133" ht="18.75" customHeight="1">
      <c r="A133" s="26" t="s">
        <v>65</v>
      </c>
      <c r="B133" s="22" t="s">
        <v>1647</v>
      </c>
      <c r="C133" s="37" t="str">
        <f>IF(COUNTIF('クラス'!A:A,E133)&gt;0,"○","×")&amp;IF(COUNTIF('クラス'!A:A,F133)&gt;0,"○","×")</f>
        <v>○×</v>
      </c>
      <c r="D133" s="39" t="b">
        <v>1</v>
      </c>
      <c r="E133" s="39" t="s">
        <v>1647</v>
      </c>
      <c r="G133" s="39">
        <v>3.0</v>
      </c>
      <c r="H133" s="39">
        <v>7.0</v>
      </c>
      <c r="J133" s="39" t="s">
        <v>3517</v>
      </c>
      <c r="R133" s="39" t="s">
        <v>1647</v>
      </c>
      <c r="S133" s="39" t="s">
        <v>3348</v>
      </c>
      <c r="W133" s="39" t="s">
        <v>3543</v>
      </c>
      <c r="X133" s="39" t="s">
        <v>3531</v>
      </c>
      <c r="Y133" s="39">
        <v>7.0</v>
      </c>
      <c r="Z133" s="39" t="b">
        <v>0</v>
      </c>
      <c r="AA133" s="39" t="s">
        <v>3472</v>
      </c>
      <c r="AB133" s="39">
        <v>2.0</v>
      </c>
      <c r="AC133" s="39">
        <v>3.0</v>
      </c>
      <c r="AD133" s="39">
        <v>1.0</v>
      </c>
      <c r="AE133" s="39">
        <v>5.0</v>
      </c>
      <c r="AF133" s="39">
        <v>45.0</v>
      </c>
      <c r="AG133" s="39" t="s">
        <v>3520</v>
      </c>
    </row>
    <row r="134" ht="18.75" customHeight="1">
      <c r="A134" s="26" t="s">
        <v>69</v>
      </c>
      <c r="B134" s="22" t="s">
        <v>1317</v>
      </c>
      <c r="C134" s="37" t="str">
        <f>IF(COUNTIF('クラス'!A:A,E134)&gt;0,"○","×")&amp;IF(COUNTIF('クラス'!A:A,F134)&gt;0,"○","×")</f>
        <v>○×</v>
      </c>
      <c r="D134" s="39" t="b">
        <v>1</v>
      </c>
      <c r="E134" s="39" t="s">
        <v>1317</v>
      </c>
      <c r="G134" s="39">
        <v>5.0</v>
      </c>
      <c r="H134" s="39">
        <v>15.0</v>
      </c>
      <c r="J134" s="39" t="s">
        <v>3544</v>
      </c>
      <c r="R134" s="39" t="s">
        <v>1317</v>
      </c>
      <c r="S134" s="39" t="s">
        <v>3374</v>
      </c>
      <c r="W134" s="39" t="s">
        <v>3545</v>
      </c>
      <c r="X134" s="39" t="s">
        <v>3546</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3544</v>
      </c>
      <c r="R135" s="39" t="s">
        <v>1331</v>
      </c>
      <c r="S135" s="39" t="s">
        <v>3374</v>
      </c>
      <c r="W135" s="39" t="s">
        <v>3547</v>
      </c>
      <c r="X135" s="39" t="s">
        <v>3546</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3544</v>
      </c>
      <c r="R136" s="39" t="s">
        <v>1344</v>
      </c>
      <c r="S136" s="39" t="s">
        <v>3374</v>
      </c>
      <c r="W136" s="39" t="s">
        <v>3548</v>
      </c>
      <c r="X136" s="39" t="s">
        <v>3546</v>
      </c>
      <c r="Y136" s="39">
        <v>6.0</v>
      </c>
      <c r="Z136" s="39" t="b">
        <v>0</v>
      </c>
      <c r="AA136" s="39"/>
      <c r="AB136" s="39"/>
      <c r="AC136" s="39"/>
      <c r="AD136" s="39">
        <v>1.0</v>
      </c>
      <c r="AE136" s="39"/>
      <c r="AF136" s="39"/>
      <c r="AG136" s="39"/>
    </row>
    <row r="137" ht="18.75" customHeight="1">
      <c r="A137" s="26" t="s">
        <v>56</v>
      </c>
      <c r="B137" s="22" t="s">
        <v>3549</v>
      </c>
      <c r="C137" s="39" t="s">
        <v>3550</v>
      </c>
      <c r="E137" s="39" t="s">
        <v>1501</v>
      </c>
      <c r="F137" s="39" t="s">
        <v>1812</v>
      </c>
      <c r="G137" s="39">
        <v>11.0</v>
      </c>
      <c r="H137" s="39">
        <v>14.0</v>
      </c>
      <c r="J137" s="39" t="s">
        <v>3551</v>
      </c>
      <c r="W137" s="39" t="s">
        <v>3552</v>
      </c>
      <c r="AA137" s="37"/>
      <c r="AD137" s="39">
        <v>1.0</v>
      </c>
      <c r="AE137" s="39"/>
      <c r="AF137" s="39"/>
      <c r="AG137" s="39"/>
    </row>
    <row r="138" ht="18.75" customHeight="1">
      <c r="A138" s="26" t="s">
        <v>3252</v>
      </c>
      <c r="B138" s="22" t="s">
        <v>3549</v>
      </c>
      <c r="C138" s="39" t="s">
        <v>3550</v>
      </c>
      <c r="E138" s="39" t="s">
        <v>1501</v>
      </c>
      <c r="F138" s="39" t="s">
        <v>1812</v>
      </c>
      <c r="G138" s="39">
        <v>11.0</v>
      </c>
      <c r="H138" s="39">
        <v>14.0</v>
      </c>
      <c r="J138" s="39" t="s">
        <v>3551</v>
      </c>
      <c r="W138" s="39" t="s">
        <v>3553</v>
      </c>
      <c r="AA138" s="37"/>
      <c r="AD138" s="39">
        <v>1.0</v>
      </c>
      <c r="AE138" s="39"/>
      <c r="AF138" s="39"/>
      <c r="AG138" s="39"/>
    </row>
    <row r="139" ht="18.75" customHeight="1">
      <c r="A139" s="26" t="s">
        <v>66</v>
      </c>
      <c r="B139" s="22" t="s">
        <v>3554</v>
      </c>
      <c r="C139" s="39" t="s">
        <v>3550</v>
      </c>
      <c r="E139" s="39" t="s">
        <v>1501</v>
      </c>
      <c r="F139" s="39" t="s">
        <v>1763</v>
      </c>
      <c r="G139" s="39">
        <v>11.0</v>
      </c>
      <c r="H139" s="39">
        <v>14.0</v>
      </c>
      <c r="J139" s="39" t="s">
        <v>3551</v>
      </c>
      <c r="W139" s="39" t="s">
        <v>3555</v>
      </c>
      <c r="AA139" s="37"/>
      <c r="AD139" s="39">
        <v>1.0</v>
      </c>
      <c r="AE139" s="39">
        <v>-40.0</v>
      </c>
      <c r="AF139" s="39">
        <v>15.0</v>
      </c>
      <c r="AG139" s="39" t="s">
        <v>3505</v>
      </c>
    </row>
    <row r="140" ht="18.75" customHeight="1">
      <c r="A140" s="26" t="s">
        <v>57</v>
      </c>
      <c r="B140" s="22" t="s">
        <v>3554</v>
      </c>
      <c r="C140" s="39" t="s">
        <v>3550</v>
      </c>
      <c r="E140" s="39" t="s">
        <v>1501</v>
      </c>
      <c r="F140" s="39" t="s">
        <v>1763</v>
      </c>
      <c r="G140" s="39">
        <v>11.0</v>
      </c>
      <c r="H140" s="39">
        <v>14.0</v>
      </c>
      <c r="J140" s="39" t="s">
        <v>3551</v>
      </c>
      <c r="W140" s="39" t="s">
        <v>3556</v>
      </c>
      <c r="AA140" s="37"/>
      <c r="AD140" s="39">
        <v>1.0</v>
      </c>
      <c r="AE140" s="39">
        <v>-40.0</v>
      </c>
      <c r="AF140" s="39">
        <v>15.0</v>
      </c>
      <c r="AG140" s="39" t="s">
        <v>3505</v>
      </c>
    </row>
    <row r="141" ht="18.75" customHeight="1">
      <c r="A141" s="26" t="s">
        <v>54</v>
      </c>
      <c r="B141" s="22" t="s">
        <v>3557</v>
      </c>
      <c r="C141" s="39" t="s">
        <v>3550</v>
      </c>
      <c r="E141" s="39" t="s">
        <v>1521</v>
      </c>
      <c r="F141" s="39" t="s">
        <v>1812</v>
      </c>
      <c r="G141" s="39">
        <v>11.0</v>
      </c>
      <c r="H141" s="39">
        <v>14.0</v>
      </c>
      <c r="J141" s="39" t="s">
        <v>3551</v>
      </c>
      <c r="W141" s="39" t="s">
        <v>3558</v>
      </c>
      <c r="AA141" s="37"/>
      <c r="AD141" s="39">
        <v>1.0</v>
      </c>
      <c r="AE141" s="39"/>
      <c r="AF141" s="39"/>
      <c r="AG141" s="39"/>
    </row>
    <row r="142" ht="18.75" customHeight="1">
      <c r="A142" s="26" t="s">
        <v>3252</v>
      </c>
      <c r="B142" s="22" t="s">
        <v>3557</v>
      </c>
      <c r="C142" s="39" t="s">
        <v>3550</v>
      </c>
      <c r="E142" s="39" t="s">
        <v>1521</v>
      </c>
      <c r="F142" s="39" t="s">
        <v>1812</v>
      </c>
      <c r="G142" s="39">
        <v>11.0</v>
      </c>
      <c r="H142" s="39">
        <v>14.0</v>
      </c>
      <c r="J142" s="39" t="s">
        <v>3551</v>
      </c>
      <c r="W142" s="39" t="s">
        <v>3559</v>
      </c>
      <c r="AA142" s="37"/>
      <c r="AD142" s="39">
        <v>1.0</v>
      </c>
      <c r="AE142" s="39"/>
      <c r="AF142" s="39"/>
      <c r="AG142" s="39"/>
    </row>
    <row r="143" ht="18.75" customHeight="1">
      <c r="A143" s="26" t="s">
        <v>58</v>
      </c>
      <c r="B143" s="22" t="s">
        <v>3560</v>
      </c>
      <c r="C143" s="39" t="s">
        <v>3550</v>
      </c>
      <c r="E143" s="39" t="s">
        <v>1507</v>
      </c>
      <c r="F143" s="39" t="s">
        <v>1775</v>
      </c>
      <c r="G143" s="39">
        <v>11.0</v>
      </c>
      <c r="H143" s="39">
        <v>14.0</v>
      </c>
      <c r="J143" s="39" t="s">
        <v>3551</v>
      </c>
      <c r="W143" s="39" t="s">
        <v>3561</v>
      </c>
      <c r="AA143" s="37"/>
      <c r="AD143" s="39">
        <v>1.0</v>
      </c>
      <c r="AE143" s="39"/>
      <c r="AF143" s="39"/>
      <c r="AG143" s="39"/>
    </row>
    <row r="144" ht="18.75" customHeight="1">
      <c r="A144" s="26" t="s">
        <v>57</v>
      </c>
      <c r="B144" s="22" t="s">
        <v>3560</v>
      </c>
      <c r="C144" s="39" t="s">
        <v>3550</v>
      </c>
      <c r="E144" s="39" t="s">
        <v>1507</v>
      </c>
      <c r="F144" s="39" t="s">
        <v>1775</v>
      </c>
      <c r="G144" s="39">
        <v>11.0</v>
      </c>
      <c r="H144" s="39">
        <v>14.0</v>
      </c>
      <c r="J144" s="39" t="s">
        <v>3551</v>
      </c>
      <c r="W144" s="39" t="s">
        <v>3562</v>
      </c>
      <c r="AA144" s="37"/>
      <c r="AD144" s="39">
        <v>1.0</v>
      </c>
      <c r="AE144" s="39"/>
      <c r="AF144" s="39"/>
      <c r="AG144" s="39"/>
    </row>
    <row r="145" ht="18.75" customHeight="1">
      <c r="A145" s="26" t="s">
        <v>54</v>
      </c>
      <c r="B145" s="22" t="s">
        <v>3563</v>
      </c>
      <c r="C145" s="39" t="s">
        <v>3550</v>
      </c>
      <c r="E145" s="39" t="s">
        <v>1507</v>
      </c>
      <c r="F145" s="39" t="s">
        <v>1766</v>
      </c>
      <c r="G145" s="39">
        <v>11.0</v>
      </c>
      <c r="H145" s="39">
        <v>14.0</v>
      </c>
      <c r="J145" s="39" t="s">
        <v>3551</v>
      </c>
      <c r="W145" s="39" t="s">
        <v>3564</v>
      </c>
      <c r="AA145" s="37"/>
      <c r="AD145" s="39">
        <v>1.0</v>
      </c>
      <c r="AE145" s="39"/>
      <c r="AF145" s="39"/>
      <c r="AG145" s="39"/>
    </row>
    <row r="146" ht="18.75" customHeight="1">
      <c r="A146" s="26" t="s">
        <v>58</v>
      </c>
      <c r="B146" s="22" t="s">
        <v>3563</v>
      </c>
      <c r="C146" s="39" t="s">
        <v>3550</v>
      </c>
      <c r="E146" s="39" t="s">
        <v>1507</v>
      </c>
      <c r="F146" s="39" t="s">
        <v>1766</v>
      </c>
      <c r="G146" s="39">
        <v>11.0</v>
      </c>
      <c r="H146" s="39">
        <v>14.0</v>
      </c>
      <c r="J146" s="39" t="s">
        <v>3551</v>
      </c>
      <c r="W146" s="39" t="s">
        <v>3565</v>
      </c>
      <c r="AA146" s="37"/>
      <c r="AD146" s="39">
        <v>1.0</v>
      </c>
      <c r="AE146" s="39"/>
      <c r="AF146" s="39"/>
      <c r="AG146" s="39"/>
    </row>
    <row r="147" ht="18.75" customHeight="1">
      <c r="A147" s="26" t="s">
        <v>57</v>
      </c>
      <c r="B147" s="22" t="s">
        <v>3563</v>
      </c>
      <c r="C147" s="39" t="s">
        <v>3550</v>
      </c>
      <c r="E147" s="39" t="s">
        <v>1507</v>
      </c>
      <c r="F147" s="39" t="s">
        <v>1766</v>
      </c>
      <c r="G147" s="39">
        <v>11.0</v>
      </c>
      <c r="H147" s="39">
        <v>14.0</v>
      </c>
      <c r="J147" s="39" t="s">
        <v>3551</v>
      </c>
      <c r="W147" s="39" t="s">
        <v>3566</v>
      </c>
      <c r="AA147" s="37"/>
      <c r="AD147" s="39">
        <v>1.0</v>
      </c>
      <c r="AE147" s="39"/>
      <c r="AF147" s="39"/>
      <c r="AG147" s="39"/>
    </row>
    <row r="148" ht="18.75" customHeight="1">
      <c r="A148" s="26" t="s">
        <v>63</v>
      </c>
      <c r="B148" s="22" t="s">
        <v>3567</v>
      </c>
      <c r="C148" s="39" t="s">
        <v>3550</v>
      </c>
      <c r="E148" s="39" t="s">
        <v>1504</v>
      </c>
      <c r="F148" s="39" t="s">
        <v>1778</v>
      </c>
      <c r="G148" s="39">
        <v>11.0</v>
      </c>
      <c r="H148" s="39">
        <v>14.0</v>
      </c>
      <c r="J148" s="39" t="s">
        <v>3551</v>
      </c>
      <c r="W148" s="39" t="s">
        <v>3568</v>
      </c>
      <c r="AA148" s="37"/>
      <c r="AD148" s="39">
        <v>1.0</v>
      </c>
      <c r="AE148" s="39">
        <v>0.0</v>
      </c>
      <c r="AF148" s="39">
        <v>45.0</v>
      </c>
      <c r="AG148" s="39" t="s">
        <v>3346</v>
      </c>
    </row>
    <row r="149" ht="18.75" customHeight="1">
      <c r="A149" s="26" t="s">
        <v>59</v>
      </c>
      <c r="B149" s="22" t="s">
        <v>3567</v>
      </c>
      <c r="C149" s="39" t="s">
        <v>3550</v>
      </c>
      <c r="E149" s="39" t="s">
        <v>1504</v>
      </c>
      <c r="F149" s="39" t="s">
        <v>1778</v>
      </c>
      <c r="G149" s="39">
        <v>11.0</v>
      </c>
      <c r="H149" s="39">
        <v>14.0</v>
      </c>
      <c r="J149" s="39" t="s">
        <v>3551</v>
      </c>
      <c r="W149" s="39" t="s">
        <v>3569</v>
      </c>
      <c r="AA149" s="37"/>
      <c r="AD149" s="39">
        <v>1.0</v>
      </c>
      <c r="AE149" s="39">
        <v>0.0</v>
      </c>
      <c r="AF149" s="39">
        <v>45.0</v>
      </c>
      <c r="AG149" s="39" t="s">
        <v>3346</v>
      </c>
    </row>
    <row r="150" ht="18.75" customHeight="1">
      <c r="A150" s="26" t="s">
        <v>56</v>
      </c>
      <c r="B150" s="22" t="s">
        <v>3567</v>
      </c>
      <c r="C150" s="39" t="s">
        <v>3550</v>
      </c>
      <c r="E150" s="39" t="s">
        <v>1504</v>
      </c>
      <c r="F150" s="39" t="s">
        <v>1778</v>
      </c>
      <c r="G150" s="39">
        <v>11.0</v>
      </c>
      <c r="H150" s="39">
        <v>14.0</v>
      </c>
      <c r="J150" s="39" t="s">
        <v>3551</v>
      </c>
      <c r="W150" s="39" t="s">
        <v>3570</v>
      </c>
      <c r="AA150" s="37"/>
      <c r="AD150" s="39">
        <v>1.0</v>
      </c>
      <c r="AE150" s="39">
        <v>0.0</v>
      </c>
      <c r="AF150" s="39">
        <v>45.0</v>
      </c>
      <c r="AG150" s="39" t="s">
        <v>3346</v>
      </c>
    </row>
    <row r="151" ht="18.75" customHeight="1">
      <c r="A151" s="26" t="s">
        <v>59</v>
      </c>
      <c r="B151" s="22" t="s">
        <v>3571</v>
      </c>
      <c r="C151" s="39" t="s">
        <v>3550</v>
      </c>
      <c r="E151" s="39" t="s">
        <v>1504</v>
      </c>
      <c r="F151" s="39" t="s">
        <v>1781</v>
      </c>
      <c r="G151" s="39">
        <v>11.0</v>
      </c>
      <c r="H151" s="39">
        <v>14.0</v>
      </c>
      <c r="J151" s="39" t="s">
        <v>3551</v>
      </c>
      <c r="W151" s="39" t="s">
        <v>3572</v>
      </c>
      <c r="AA151" s="37"/>
      <c r="AD151" s="39">
        <v>1.0</v>
      </c>
      <c r="AE151" s="39">
        <v>0.0</v>
      </c>
      <c r="AF151" s="39">
        <v>45.0</v>
      </c>
      <c r="AG151" s="39" t="s">
        <v>3346</v>
      </c>
    </row>
    <row r="152" ht="18.75" customHeight="1">
      <c r="A152" s="26" t="s">
        <v>60</v>
      </c>
      <c r="B152" s="22" t="s">
        <v>3571</v>
      </c>
      <c r="C152" s="39" t="s">
        <v>3550</v>
      </c>
      <c r="E152" s="39" t="s">
        <v>1504</v>
      </c>
      <c r="F152" s="39" t="s">
        <v>1781</v>
      </c>
      <c r="G152" s="39">
        <v>11.0</v>
      </c>
      <c r="H152" s="39">
        <v>14.0</v>
      </c>
      <c r="J152" s="39" t="s">
        <v>3551</v>
      </c>
      <c r="W152" s="39" t="s">
        <v>3573</v>
      </c>
      <c r="AA152" s="37"/>
      <c r="AD152" s="39">
        <v>1.0</v>
      </c>
      <c r="AE152" s="39">
        <v>0.0</v>
      </c>
      <c r="AF152" s="39">
        <v>45.0</v>
      </c>
      <c r="AG152" s="39" t="s">
        <v>3346</v>
      </c>
    </row>
    <row r="153" ht="18.75" customHeight="1">
      <c r="A153" s="26" t="s">
        <v>61</v>
      </c>
      <c r="B153" s="22" t="s">
        <v>3571</v>
      </c>
      <c r="C153" s="39" t="s">
        <v>3550</v>
      </c>
      <c r="E153" s="39" t="s">
        <v>1504</v>
      </c>
      <c r="F153" s="39" t="s">
        <v>1781</v>
      </c>
      <c r="G153" s="39">
        <v>11.0</v>
      </c>
      <c r="H153" s="39">
        <v>14.0</v>
      </c>
      <c r="J153" s="39" t="s">
        <v>3551</v>
      </c>
      <c r="W153" s="39" t="s">
        <v>3574</v>
      </c>
      <c r="AA153" s="37"/>
      <c r="AD153" s="39">
        <v>1.0</v>
      </c>
      <c r="AE153" s="39">
        <v>0.0</v>
      </c>
      <c r="AF153" s="39">
        <v>45.0</v>
      </c>
      <c r="AG153" s="39" t="s">
        <v>3346</v>
      </c>
    </row>
    <row r="154" ht="18.75" customHeight="1">
      <c r="A154" s="26" t="s">
        <v>59</v>
      </c>
      <c r="B154" s="22" t="s">
        <v>3575</v>
      </c>
      <c r="C154" s="39" t="s">
        <v>3550</v>
      </c>
      <c r="E154" s="39" t="s">
        <v>1516</v>
      </c>
      <c r="F154" s="39" t="s">
        <v>1781</v>
      </c>
      <c r="G154" s="39">
        <v>13.0</v>
      </c>
      <c r="H154" s="39">
        <v>16.0</v>
      </c>
      <c r="J154" s="39" t="s">
        <v>3576</v>
      </c>
      <c r="W154" s="39" t="s">
        <v>3577</v>
      </c>
      <c r="AA154" s="37"/>
      <c r="AD154" s="39">
        <v>1.0</v>
      </c>
      <c r="AE154" s="39">
        <v>0.0</v>
      </c>
      <c r="AF154" s="39">
        <v>45.0</v>
      </c>
      <c r="AG154" s="39" t="s">
        <v>3346</v>
      </c>
    </row>
    <row r="155" ht="18.75" customHeight="1">
      <c r="A155" s="26" t="s">
        <v>60</v>
      </c>
      <c r="B155" s="22" t="s">
        <v>3575</v>
      </c>
      <c r="C155" s="39" t="s">
        <v>3550</v>
      </c>
      <c r="E155" s="39" t="s">
        <v>1516</v>
      </c>
      <c r="F155" s="39" t="s">
        <v>1781</v>
      </c>
      <c r="G155" s="39">
        <v>13.0</v>
      </c>
      <c r="H155" s="39">
        <v>16.0</v>
      </c>
      <c r="J155" s="39" t="s">
        <v>3576</v>
      </c>
      <c r="W155" s="39" t="s">
        <v>3578</v>
      </c>
      <c r="AA155" s="37"/>
      <c r="AD155" s="39">
        <v>1.0</v>
      </c>
      <c r="AE155" s="39">
        <v>0.0</v>
      </c>
      <c r="AF155" s="39">
        <v>45.0</v>
      </c>
      <c r="AG155" s="39" t="s">
        <v>3346</v>
      </c>
    </row>
    <row r="156" ht="18.75" customHeight="1">
      <c r="A156" s="26" t="s">
        <v>63</v>
      </c>
      <c r="B156" s="22" t="s">
        <v>3575</v>
      </c>
      <c r="C156" s="39" t="s">
        <v>3550</v>
      </c>
      <c r="E156" s="39" t="s">
        <v>1516</v>
      </c>
      <c r="F156" s="39" t="s">
        <v>1781</v>
      </c>
      <c r="G156" s="39">
        <v>13.0</v>
      </c>
      <c r="H156" s="39">
        <v>16.0</v>
      </c>
      <c r="J156" s="39" t="s">
        <v>3576</v>
      </c>
      <c r="W156" s="39" t="s">
        <v>3579</v>
      </c>
      <c r="AA156" s="37"/>
      <c r="AD156" s="39">
        <v>1.0</v>
      </c>
      <c r="AE156" s="39">
        <v>0.0</v>
      </c>
      <c r="AF156" s="39">
        <v>45.0</v>
      </c>
      <c r="AG156" s="39" t="s">
        <v>3346</v>
      </c>
    </row>
    <row r="157" ht="18.75" customHeight="1">
      <c r="A157" s="26" t="s">
        <v>3252</v>
      </c>
      <c r="B157" s="22" t="s">
        <v>3580</v>
      </c>
      <c r="C157" s="39" t="s">
        <v>3550</v>
      </c>
      <c r="E157" s="39" t="s">
        <v>1516</v>
      </c>
      <c r="F157" s="39" t="s">
        <v>1788</v>
      </c>
      <c r="G157" s="39">
        <v>13.0</v>
      </c>
      <c r="H157" s="39">
        <v>16.0</v>
      </c>
      <c r="J157" s="39" t="s">
        <v>3576</v>
      </c>
      <c r="W157" s="39" t="s">
        <v>3581</v>
      </c>
      <c r="AA157" s="37"/>
      <c r="AD157" s="39">
        <v>1.0</v>
      </c>
      <c r="AE157" s="39">
        <v>0.0</v>
      </c>
      <c r="AF157" s="39">
        <v>45.0</v>
      </c>
      <c r="AG157" s="39" t="s">
        <v>3346</v>
      </c>
    </row>
    <row r="158" ht="18.75" customHeight="1">
      <c r="A158" s="26" t="s">
        <v>63</v>
      </c>
      <c r="B158" s="22" t="s">
        <v>3580</v>
      </c>
      <c r="C158" s="39" t="s">
        <v>3550</v>
      </c>
      <c r="E158" s="39" t="s">
        <v>1516</v>
      </c>
      <c r="F158" s="39" t="s">
        <v>1788</v>
      </c>
      <c r="G158" s="39">
        <v>13.0</v>
      </c>
      <c r="H158" s="39">
        <v>16.0</v>
      </c>
      <c r="J158" s="39" t="s">
        <v>3576</v>
      </c>
      <c r="W158" s="39" t="s">
        <v>3582</v>
      </c>
      <c r="AA158" s="37"/>
      <c r="AD158" s="39">
        <v>1.0</v>
      </c>
      <c r="AE158" s="39">
        <v>0.0</v>
      </c>
      <c r="AF158" s="39">
        <v>45.0</v>
      </c>
      <c r="AG158" s="39" t="s">
        <v>3346</v>
      </c>
    </row>
    <row r="159" ht="18.75" customHeight="1">
      <c r="A159" s="26" t="s">
        <v>63</v>
      </c>
      <c r="B159" s="22" t="s">
        <v>3583</v>
      </c>
      <c r="C159" s="39" t="s">
        <v>3550</v>
      </c>
      <c r="E159" s="39" t="s">
        <v>1516</v>
      </c>
      <c r="F159" s="39" t="s">
        <v>1778</v>
      </c>
      <c r="G159" s="39">
        <v>13.0</v>
      </c>
      <c r="H159" s="39">
        <v>16.0</v>
      </c>
      <c r="J159" s="39" t="s">
        <v>3576</v>
      </c>
      <c r="W159" s="39" t="s">
        <v>3584</v>
      </c>
      <c r="AA159" s="37"/>
      <c r="AD159" s="39">
        <v>1.0</v>
      </c>
      <c r="AE159" s="39">
        <v>0.0</v>
      </c>
      <c r="AF159" s="39">
        <v>45.0</v>
      </c>
      <c r="AG159" s="39" t="s">
        <v>3346</v>
      </c>
    </row>
    <row r="160" ht="18.75" customHeight="1">
      <c r="A160" s="26" t="s">
        <v>56</v>
      </c>
      <c r="B160" s="22" t="s">
        <v>3585</v>
      </c>
      <c r="C160" s="39" t="s">
        <v>3550</v>
      </c>
      <c r="E160" s="39" t="s">
        <v>1494</v>
      </c>
      <c r="F160" s="39" t="s">
        <v>1775</v>
      </c>
      <c r="G160" s="39">
        <v>13.0</v>
      </c>
      <c r="H160" s="39">
        <v>16.0</v>
      </c>
      <c r="J160" s="39" t="s">
        <v>3576</v>
      </c>
      <c r="W160" s="39" t="s">
        <v>3586</v>
      </c>
      <c r="AA160" s="37"/>
      <c r="AD160" s="39">
        <v>1.0</v>
      </c>
      <c r="AE160" s="39"/>
      <c r="AF160" s="39"/>
      <c r="AG160" s="39"/>
    </row>
    <row r="161" ht="18.75" customHeight="1">
      <c r="A161" s="26" t="s">
        <v>58</v>
      </c>
      <c r="B161" s="22" t="s">
        <v>3585</v>
      </c>
      <c r="C161" s="39" t="s">
        <v>3550</v>
      </c>
      <c r="E161" s="39" t="s">
        <v>1494</v>
      </c>
      <c r="F161" s="39" t="s">
        <v>1775</v>
      </c>
      <c r="G161" s="39">
        <v>13.0</v>
      </c>
      <c r="H161" s="39">
        <v>16.0</v>
      </c>
      <c r="J161" s="39" t="s">
        <v>3576</v>
      </c>
      <c r="W161" s="39" t="s">
        <v>3587</v>
      </c>
      <c r="AA161" s="37"/>
      <c r="AD161" s="39">
        <v>1.0</v>
      </c>
      <c r="AE161" s="39"/>
      <c r="AF161" s="39"/>
      <c r="AG161" s="39"/>
    </row>
    <row r="162" ht="18.75" customHeight="1">
      <c r="A162" s="26" t="s">
        <v>56</v>
      </c>
      <c r="B162" s="22" t="s">
        <v>3588</v>
      </c>
      <c r="C162" s="39" t="s">
        <v>3550</v>
      </c>
      <c r="E162" s="39" t="s">
        <v>1494</v>
      </c>
      <c r="F162" s="39" t="s">
        <v>1788</v>
      </c>
      <c r="G162" s="39">
        <v>13.0</v>
      </c>
      <c r="H162" s="39">
        <v>16.0</v>
      </c>
      <c r="J162" s="39" t="s">
        <v>3576</v>
      </c>
      <c r="W162" s="39" t="s">
        <v>3589</v>
      </c>
      <c r="AA162" s="37"/>
      <c r="AD162" s="39">
        <v>1.0</v>
      </c>
      <c r="AE162" s="39"/>
      <c r="AF162" s="39"/>
      <c r="AG162" s="39"/>
    </row>
    <row r="163" ht="18.75" customHeight="1">
      <c r="A163" s="26" t="s">
        <v>58</v>
      </c>
      <c r="B163" s="22" t="s">
        <v>3588</v>
      </c>
      <c r="C163" s="39" t="s">
        <v>3550</v>
      </c>
      <c r="E163" s="39" t="s">
        <v>1494</v>
      </c>
      <c r="F163" s="39" t="s">
        <v>1788</v>
      </c>
      <c r="G163" s="39">
        <v>13.0</v>
      </c>
      <c r="H163" s="39">
        <v>16.0</v>
      </c>
      <c r="J163" s="39" t="s">
        <v>3576</v>
      </c>
      <c r="W163" s="39" t="s">
        <v>3590</v>
      </c>
      <c r="AA163" s="37"/>
      <c r="AD163" s="39">
        <v>1.0</v>
      </c>
      <c r="AE163" s="39"/>
      <c r="AF163" s="39"/>
      <c r="AG163" s="39"/>
    </row>
    <row r="164" ht="18.75" customHeight="1">
      <c r="A164" s="26" t="s">
        <v>57</v>
      </c>
      <c r="B164" s="22" t="s">
        <v>3588</v>
      </c>
      <c r="C164" s="39" t="s">
        <v>3550</v>
      </c>
      <c r="E164" s="39" t="s">
        <v>1494</v>
      </c>
      <c r="F164" s="39" t="s">
        <v>1788</v>
      </c>
      <c r="G164" s="39">
        <v>13.0</v>
      </c>
      <c r="H164" s="39">
        <v>16.0</v>
      </c>
      <c r="J164" s="39" t="s">
        <v>3576</v>
      </c>
      <c r="W164" s="39" t="s">
        <v>3591</v>
      </c>
      <c r="AA164" s="37"/>
      <c r="AD164" s="39">
        <v>1.0</v>
      </c>
      <c r="AE164" s="39"/>
      <c r="AF164" s="39"/>
      <c r="AG164" s="39"/>
    </row>
    <row r="165" ht="18.75" customHeight="1">
      <c r="A165" s="26" t="s">
        <v>54</v>
      </c>
      <c r="B165" s="22" t="s">
        <v>3592</v>
      </c>
      <c r="C165" s="39" t="s">
        <v>3550</v>
      </c>
      <c r="E165" s="39" t="s">
        <v>1494</v>
      </c>
      <c r="F165" s="39" t="s">
        <v>1797</v>
      </c>
      <c r="G165" s="39">
        <v>13.0</v>
      </c>
      <c r="H165" s="39">
        <v>16.0</v>
      </c>
      <c r="J165" s="39" t="s">
        <v>3576</v>
      </c>
      <c r="W165" s="39" t="s">
        <v>3593</v>
      </c>
      <c r="AA165" s="37"/>
      <c r="AD165" s="39">
        <v>1.0</v>
      </c>
      <c r="AE165" s="39">
        <v>5.0</v>
      </c>
      <c r="AF165" s="39">
        <v>50.0</v>
      </c>
      <c r="AG165" s="39" t="s">
        <v>3494</v>
      </c>
    </row>
    <row r="166" ht="18.75" customHeight="1">
      <c r="A166" s="26" t="s">
        <v>3252</v>
      </c>
      <c r="B166" s="22" t="s">
        <v>3592</v>
      </c>
      <c r="C166" s="39" t="s">
        <v>3550</v>
      </c>
      <c r="E166" s="39" t="s">
        <v>1494</v>
      </c>
      <c r="F166" s="39" t="s">
        <v>1797</v>
      </c>
      <c r="G166" s="39">
        <v>13.0</v>
      </c>
      <c r="H166" s="39">
        <v>16.0</v>
      </c>
      <c r="J166" s="39" t="s">
        <v>3576</v>
      </c>
      <c r="W166" s="39" t="s">
        <v>3594</v>
      </c>
      <c r="AA166" s="37"/>
      <c r="AD166" s="39">
        <v>1.0</v>
      </c>
      <c r="AE166" s="39">
        <v>5.0</v>
      </c>
      <c r="AF166" s="39">
        <v>50.0</v>
      </c>
      <c r="AG166" s="39" t="s">
        <v>3494</v>
      </c>
    </row>
    <row r="167" ht="18.75" customHeight="1">
      <c r="A167" s="26" t="s">
        <v>56</v>
      </c>
      <c r="B167" s="22" t="s">
        <v>3595</v>
      </c>
      <c r="C167" s="39" t="s">
        <v>3550</v>
      </c>
      <c r="E167" s="39" t="s">
        <v>1528</v>
      </c>
      <c r="F167" s="39" t="s">
        <v>1788</v>
      </c>
      <c r="G167" s="39">
        <v>11.0</v>
      </c>
      <c r="H167" s="39">
        <v>14.0</v>
      </c>
      <c r="J167" s="39" t="s">
        <v>3551</v>
      </c>
      <c r="W167" s="39" t="s">
        <v>3596</v>
      </c>
      <c r="AA167" s="37"/>
      <c r="AD167" s="39">
        <v>1.0</v>
      </c>
      <c r="AE167" s="39"/>
      <c r="AF167" s="39"/>
      <c r="AG167" s="39"/>
    </row>
    <row r="168" ht="18.75" customHeight="1">
      <c r="A168" s="26" t="s">
        <v>3252</v>
      </c>
      <c r="B168" s="22" t="s">
        <v>3595</v>
      </c>
      <c r="C168" s="39" t="s">
        <v>3550</v>
      </c>
      <c r="E168" s="39" t="s">
        <v>1528</v>
      </c>
      <c r="F168" s="39" t="s">
        <v>1788</v>
      </c>
      <c r="G168" s="39">
        <v>11.0</v>
      </c>
      <c r="H168" s="39">
        <v>14.0</v>
      </c>
      <c r="J168" s="39" t="s">
        <v>3551</v>
      </c>
      <c r="W168" s="39" t="s">
        <v>3597</v>
      </c>
      <c r="AA168" s="37"/>
      <c r="AD168" s="39">
        <v>1.0</v>
      </c>
      <c r="AE168" s="39"/>
      <c r="AF168" s="39"/>
      <c r="AG168" s="39"/>
    </row>
    <row r="169" ht="18.75" customHeight="1">
      <c r="A169" s="26" t="s">
        <v>58</v>
      </c>
      <c r="B169" s="22" t="s">
        <v>3595</v>
      </c>
      <c r="C169" s="39" t="s">
        <v>3550</v>
      </c>
      <c r="E169" s="39" t="s">
        <v>1528</v>
      </c>
      <c r="F169" s="39" t="s">
        <v>1788</v>
      </c>
      <c r="G169" s="39">
        <v>11.0</v>
      </c>
      <c r="H169" s="39">
        <v>14.0</v>
      </c>
      <c r="J169" s="39" t="s">
        <v>3551</v>
      </c>
      <c r="W169" s="39" t="s">
        <v>3598</v>
      </c>
      <c r="AA169" s="37"/>
      <c r="AD169" s="39">
        <v>1.0</v>
      </c>
      <c r="AE169" s="39"/>
      <c r="AF169" s="39"/>
      <c r="AG169" s="39"/>
    </row>
    <row r="170" ht="18.75" customHeight="1">
      <c r="A170" s="26" t="s">
        <v>56</v>
      </c>
      <c r="B170" s="22" t="s">
        <v>3599</v>
      </c>
      <c r="C170" s="39" t="s">
        <v>3550</v>
      </c>
      <c r="E170" s="39" t="s">
        <v>1528</v>
      </c>
      <c r="F170" s="39" t="s">
        <v>1778</v>
      </c>
      <c r="G170" s="39">
        <v>11.0</v>
      </c>
      <c r="H170" s="39">
        <v>14.0</v>
      </c>
      <c r="J170" s="39" t="s">
        <v>3551</v>
      </c>
      <c r="W170" s="39" t="s">
        <v>3600</v>
      </c>
      <c r="AA170" s="37"/>
      <c r="AD170" s="39">
        <v>1.0</v>
      </c>
      <c r="AE170" s="39"/>
      <c r="AF170" s="39"/>
      <c r="AG170" s="39"/>
    </row>
    <row r="171" ht="18.75" customHeight="1">
      <c r="A171" s="26" t="s">
        <v>63</v>
      </c>
      <c r="B171" s="22" t="s">
        <v>3599</v>
      </c>
      <c r="C171" s="39" t="s">
        <v>3550</v>
      </c>
      <c r="E171" s="39" t="s">
        <v>1528</v>
      </c>
      <c r="F171" s="39" t="s">
        <v>1778</v>
      </c>
      <c r="G171" s="39">
        <v>11.0</v>
      </c>
      <c r="H171" s="39">
        <v>14.0</v>
      </c>
      <c r="J171" s="39" t="s">
        <v>3551</v>
      </c>
      <c r="W171" s="39" t="s">
        <v>3601</v>
      </c>
      <c r="AA171" s="37"/>
      <c r="AD171" s="39">
        <v>1.0</v>
      </c>
      <c r="AE171" s="39"/>
      <c r="AF171" s="39"/>
      <c r="AG171" s="39"/>
    </row>
    <row r="172" ht="18.75" customHeight="1">
      <c r="A172" s="26" t="s">
        <v>3252</v>
      </c>
      <c r="B172" s="22" t="s">
        <v>3602</v>
      </c>
      <c r="C172" s="39" t="s">
        <v>3550</v>
      </c>
      <c r="E172" s="39" t="s">
        <v>1528</v>
      </c>
      <c r="F172" s="39" t="s">
        <v>1760</v>
      </c>
      <c r="G172" s="39">
        <v>11.0</v>
      </c>
      <c r="H172" s="39">
        <v>14.0</v>
      </c>
      <c r="J172" s="39" t="s">
        <v>3551</v>
      </c>
      <c r="W172" s="39" t="s">
        <v>3603</v>
      </c>
      <c r="AA172" s="37"/>
      <c r="AD172" s="39">
        <v>1.0</v>
      </c>
      <c r="AE172" s="39">
        <v>15.0</v>
      </c>
      <c r="AF172" s="39">
        <v>60.0</v>
      </c>
      <c r="AG172" s="39" t="s">
        <v>3494</v>
      </c>
    </row>
    <row r="173" ht="18.75" customHeight="1">
      <c r="A173" s="26" t="s">
        <v>67</v>
      </c>
      <c r="B173" s="22" t="s">
        <v>3602</v>
      </c>
      <c r="C173" s="39" t="s">
        <v>3550</v>
      </c>
      <c r="E173" s="39" t="s">
        <v>1528</v>
      </c>
      <c r="F173" s="39" t="s">
        <v>1760</v>
      </c>
      <c r="G173" s="39">
        <v>11.0</v>
      </c>
      <c r="H173" s="39">
        <v>14.0</v>
      </c>
      <c r="J173" s="39" t="s">
        <v>3551</v>
      </c>
      <c r="W173" s="39" t="s">
        <v>3604</v>
      </c>
      <c r="AA173" s="37"/>
      <c r="AD173" s="39">
        <v>1.0</v>
      </c>
      <c r="AE173" s="39">
        <v>15.0</v>
      </c>
      <c r="AF173" s="39">
        <v>60.0</v>
      </c>
      <c r="AG173" s="39" t="s">
        <v>3494</v>
      </c>
    </row>
    <row r="174" ht="18.75" customHeight="1">
      <c r="A174" s="26" t="s">
        <v>56</v>
      </c>
      <c r="B174" s="22" t="s">
        <v>3605</v>
      </c>
      <c r="C174" s="39" t="s">
        <v>3550</v>
      </c>
      <c r="E174" s="39" t="s">
        <v>1573</v>
      </c>
      <c r="F174" s="39" t="s">
        <v>1760</v>
      </c>
      <c r="G174" s="39">
        <v>11.0</v>
      </c>
      <c r="H174" s="39">
        <v>14.0</v>
      </c>
      <c r="J174" s="39" t="s">
        <v>3551</v>
      </c>
      <c r="W174" s="39" t="s">
        <v>3606</v>
      </c>
      <c r="AA174" s="37"/>
      <c r="AD174" s="39">
        <v>1.0</v>
      </c>
      <c r="AE174" s="39">
        <v>15.0</v>
      </c>
      <c r="AF174" s="39">
        <v>60.0</v>
      </c>
      <c r="AG174" s="39" t="s">
        <v>3494</v>
      </c>
    </row>
    <row r="175" ht="18.75" customHeight="1">
      <c r="A175" s="26" t="s">
        <v>3252</v>
      </c>
      <c r="B175" s="22" t="s">
        <v>3605</v>
      </c>
      <c r="C175" s="39" t="s">
        <v>3550</v>
      </c>
      <c r="E175" s="39" t="s">
        <v>1573</v>
      </c>
      <c r="F175" s="39" t="s">
        <v>1760</v>
      </c>
      <c r="G175" s="39">
        <v>11.0</v>
      </c>
      <c r="H175" s="39">
        <v>14.0</v>
      </c>
      <c r="J175" s="39" t="s">
        <v>3551</v>
      </c>
      <c r="W175" s="39" t="s">
        <v>3607</v>
      </c>
      <c r="AA175" s="37"/>
      <c r="AD175" s="39">
        <v>1.0</v>
      </c>
      <c r="AE175" s="39">
        <v>15.0</v>
      </c>
      <c r="AF175" s="39">
        <v>60.0</v>
      </c>
      <c r="AG175" s="39" t="s">
        <v>3494</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3340</v>
      </c>
      <c r="S178" s="37" t="str">
        <f t="shared" ref="S178:S197" si="2">IFERROR(VLOOKUP(B178,$U:$V,2,FALSE),"")</f>
        <v>鳥系生物の巣</v>
      </c>
      <c r="W178" s="39" t="s">
        <v>3608</v>
      </c>
      <c r="X178" s="39" t="s">
        <v>3343</v>
      </c>
      <c r="Y178" s="39">
        <v>1.0</v>
      </c>
      <c r="AA178" s="39" t="s">
        <v>3470</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3609</v>
      </c>
      <c r="X179" s="39" t="s">
        <v>3343</v>
      </c>
      <c r="Y179" s="39">
        <v>7.0</v>
      </c>
      <c r="AA179" s="39" t="s">
        <v>3470</v>
      </c>
      <c r="AB179" s="39">
        <v>1.0</v>
      </c>
      <c r="AC179" s="39">
        <v>1.0</v>
      </c>
      <c r="AD179" s="39">
        <v>3.0</v>
      </c>
      <c r="AE179" s="39">
        <v>0.0</v>
      </c>
      <c r="AF179" s="39">
        <v>45.0</v>
      </c>
      <c r="AG179" s="39" t="s">
        <v>3346</v>
      </c>
    </row>
    <row r="180" ht="18.75" customHeight="1">
      <c r="A180" s="1" t="s">
        <v>54</v>
      </c>
      <c r="B180" s="11" t="s">
        <v>3354</v>
      </c>
      <c r="C180" s="37" t="str">
        <f>LET(
 _xlpm.dOK,COUNTIF('クラス'!A:A,E180)&gt;0,
 _xlpm.eOK,COUNTIF('クラス'!A:A,F180)&gt;0,
 IF(_xlpm.dOK,"○","×") &amp; IF(_xlpm.eOK,"○","×")
)</f>
        <v>○○</v>
      </c>
      <c r="D180" s="37" t="b">
        <v>1</v>
      </c>
      <c r="E180" s="37" t="s">
        <v>1494</v>
      </c>
      <c r="F180" s="37" t="s">
        <v>1507</v>
      </c>
      <c r="G180" s="39">
        <v>1.0</v>
      </c>
      <c r="H180" s="39">
        <v>10.0</v>
      </c>
      <c r="R180" s="37" t="s">
        <v>3354</v>
      </c>
      <c r="S180" s="37" t="str">
        <f t="shared" si="2"/>
        <v>肉食生物の巣</v>
      </c>
      <c r="W180" s="39" t="s">
        <v>3610</v>
      </c>
      <c r="X180" s="39" t="s">
        <v>3356</v>
      </c>
      <c r="Y180" s="39">
        <v>1.0</v>
      </c>
      <c r="AA180" s="39" t="s">
        <v>3470</v>
      </c>
      <c r="AB180" s="39">
        <v>1.0</v>
      </c>
      <c r="AC180" s="39">
        <v>1.0</v>
      </c>
      <c r="AD180" s="39">
        <v>3.0</v>
      </c>
      <c r="AE180" s="39"/>
      <c r="AF180" s="39"/>
      <c r="AG180" s="39"/>
    </row>
    <row r="181" ht="18.75" customHeight="1">
      <c r="A181" s="1" t="s">
        <v>54</v>
      </c>
      <c r="B181" s="11" t="s">
        <v>3357</v>
      </c>
      <c r="C181" s="37" t="str">
        <f>LET(
 _xlpm.dOK,COUNTIF('クラス'!A:A,E181)&gt;0,
 _xlpm.eOK,COUNTIF('クラス'!A:A,F181)&gt;0,
 IF(_xlpm.dOK,"○","×") &amp; IF(_xlpm.eOK,"○","×")
)</f>
        <v>○○</v>
      </c>
      <c r="E181" s="37" t="s">
        <v>1501</v>
      </c>
      <c r="F181" s="37" t="s">
        <v>1344</v>
      </c>
      <c r="G181" s="39">
        <v>1.0</v>
      </c>
      <c r="H181" s="39">
        <v>10.0</v>
      </c>
      <c r="R181" s="37" t="s">
        <v>3357</v>
      </c>
      <c r="S181" s="37" t="str">
        <f t="shared" si="2"/>
        <v>肉食生物の巣</v>
      </c>
      <c r="W181" s="39" t="s">
        <v>3611</v>
      </c>
      <c r="X181" s="39" t="s">
        <v>3356</v>
      </c>
      <c r="Y181" s="39">
        <v>6.0</v>
      </c>
      <c r="AA181" s="39" t="s">
        <v>3470</v>
      </c>
      <c r="AB181" s="39">
        <v>1.0</v>
      </c>
      <c r="AC181" s="39">
        <v>1.0</v>
      </c>
      <c r="AD181" s="39">
        <v>3.0</v>
      </c>
      <c r="AE181" s="39"/>
      <c r="AF181" s="39"/>
      <c r="AG181" s="39"/>
    </row>
    <row r="182" ht="18.75" customHeight="1">
      <c r="A182" s="1" t="s">
        <v>3252</v>
      </c>
      <c r="B182" s="11" t="s">
        <v>1501</v>
      </c>
      <c r="C182" s="37" t="str">
        <f>LET(
 _xlpm.dOK,COUNTIF('クラス'!A:A,E182)&gt;0,
 _xlpm.eOK,COUNTIF('クラス'!A:A,F182)&gt;0,
 IF(_xlpm.dOK,"○","×") &amp; IF(_xlpm.eOK,"○","×")
)</f>
        <v>○×</v>
      </c>
      <c r="D182" s="37" t="b">
        <v>1</v>
      </c>
      <c r="E182" s="37" t="s">
        <v>1501</v>
      </c>
      <c r="G182" s="39">
        <v>3.0</v>
      </c>
      <c r="H182" s="39">
        <v>7.0</v>
      </c>
      <c r="R182" s="37" t="s">
        <v>3361</v>
      </c>
      <c r="S182" s="37" t="str">
        <f t="shared" si="2"/>
        <v>肉食生物の巣</v>
      </c>
      <c r="W182" s="39" t="s">
        <v>3612</v>
      </c>
      <c r="X182" s="39" t="s">
        <v>3363</v>
      </c>
      <c r="Y182" s="39">
        <v>3.0</v>
      </c>
      <c r="AA182" s="39" t="s">
        <v>3470</v>
      </c>
      <c r="AB182" s="39">
        <v>1.0</v>
      </c>
      <c r="AC182" s="39">
        <v>1.0</v>
      </c>
      <c r="AD182" s="39">
        <v>3.0</v>
      </c>
      <c r="AE182" s="39"/>
      <c r="AF182" s="39"/>
      <c r="AG182" s="39"/>
    </row>
    <row r="183" ht="18.75" customHeight="1">
      <c r="A183" s="1" t="s">
        <v>3252</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3613</v>
      </c>
      <c r="X183" s="39" t="s">
        <v>3343</v>
      </c>
      <c r="Y183" s="39">
        <v>7.0</v>
      </c>
      <c r="AA183" s="39" t="s">
        <v>3470</v>
      </c>
      <c r="AB183" s="39">
        <v>1.0</v>
      </c>
      <c r="AC183" s="39">
        <v>1.0</v>
      </c>
      <c r="AD183" s="39">
        <v>3.0</v>
      </c>
      <c r="AE183" s="39">
        <v>0.0</v>
      </c>
      <c r="AF183" s="39">
        <v>45.0</v>
      </c>
      <c r="AG183" s="39" t="s">
        <v>3346</v>
      </c>
    </row>
    <row r="184" ht="18.75" customHeight="1">
      <c r="A184" s="1" t="s">
        <v>3252</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3614</v>
      </c>
      <c r="X184" s="39" t="s">
        <v>3366</v>
      </c>
      <c r="Y184" s="39">
        <v>1.0</v>
      </c>
      <c r="AA184" s="39" t="s">
        <v>3470</v>
      </c>
      <c r="AB184" s="39">
        <v>1.0</v>
      </c>
      <c r="AC184" s="39">
        <v>1.0</v>
      </c>
      <c r="AD184" s="39">
        <v>3.0</v>
      </c>
      <c r="AE184" s="39">
        <v>0.0</v>
      </c>
      <c r="AF184" s="39">
        <v>45.0</v>
      </c>
      <c r="AG184" s="39" t="s">
        <v>3346</v>
      </c>
    </row>
    <row r="185" ht="18.75" customHeight="1">
      <c r="A185" s="1" t="s">
        <v>3252</v>
      </c>
      <c r="B185" s="11" t="s">
        <v>3367</v>
      </c>
      <c r="C185" s="37" t="str">
        <f>LET(
 _xlpm.dOK,COUNTIF('クラス'!A:A,E185)&gt;0,
 _xlpm.eOK,COUNTIF('クラス'!A:A,F185)&gt;0,
 IF(_xlpm.dOK,"○","×") &amp; IF(_xlpm.eOK,"○","×")
)</f>
        <v>○×</v>
      </c>
      <c r="E185" s="37" t="s">
        <v>1504</v>
      </c>
      <c r="G185" s="39">
        <v>5.0</v>
      </c>
      <c r="H185" s="39">
        <v>10.0</v>
      </c>
      <c r="S185" s="37" t="str">
        <f t="shared" si="2"/>
        <v>地中生物の巣</v>
      </c>
      <c r="W185" s="39" t="s">
        <v>3615</v>
      </c>
      <c r="X185" s="39" t="s">
        <v>3369</v>
      </c>
      <c r="Y185" s="39">
        <v>2.0</v>
      </c>
      <c r="AA185" s="39" t="s">
        <v>3470</v>
      </c>
      <c r="AB185" s="39">
        <v>1.0</v>
      </c>
      <c r="AC185" s="39">
        <v>1.0</v>
      </c>
      <c r="AD185" s="39">
        <v>3.0</v>
      </c>
      <c r="AE185" s="39">
        <v>0.0</v>
      </c>
      <c r="AF185" s="39">
        <v>45.0</v>
      </c>
      <c r="AG185" s="39" t="s">
        <v>3346</v>
      </c>
    </row>
    <row r="186" ht="18.75" customHeight="1">
      <c r="A186" s="1" t="s">
        <v>3252</v>
      </c>
      <c r="B186" s="11" t="s">
        <v>3354</v>
      </c>
      <c r="C186" s="37" t="str">
        <f>LET(
 _xlpm.dOK,COUNTIF('クラス'!A:A,E186)&gt;0,
 _xlpm.eOK,COUNTIF('クラス'!A:A,F186)&gt;0,
 IF(_xlpm.dOK,"○","×") &amp; IF(_xlpm.eOK,"○","×")
)</f>
        <v>○○</v>
      </c>
      <c r="D186" s="37" t="b">
        <v>1</v>
      </c>
      <c r="E186" s="37" t="s">
        <v>1494</v>
      </c>
      <c r="F186" s="37" t="s">
        <v>1507</v>
      </c>
      <c r="G186" s="39">
        <v>1.0</v>
      </c>
      <c r="H186" s="39">
        <v>10.0</v>
      </c>
      <c r="R186" s="37" t="s">
        <v>3354</v>
      </c>
      <c r="S186" s="37" t="str">
        <f t="shared" si="2"/>
        <v>肉食生物の巣</v>
      </c>
      <c r="W186" s="39" t="s">
        <v>3616</v>
      </c>
      <c r="X186" s="39" t="s">
        <v>3356</v>
      </c>
      <c r="Y186" s="39">
        <v>1.0</v>
      </c>
      <c r="AA186" s="39" t="s">
        <v>3470</v>
      </c>
      <c r="AB186" s="39">
        <v>1.0</v>
      </c>
      <c r="AC186" s="39">
        <v>1.0</v>
      </c>
      <c r="AD186" s="39">
        <v>3.0</v>
      </c>
      <c r="AE186" s="39"/>
      <c r="AF186" s="39"/>
      <c r="AG186" s="39"/>
    </row>
    <row r="187" ht="18.75" customHeight="1">
      <c r="A187" s="1" t="s">
        <v>3252</v>
      </c>
      <c r="B187" s="11" t="s">
        <v>3357</v>
      </c>
      <c r="C187" s="37" t="str">
        <f>LET(
 _xlpm.dOK,COUNTIF('クラス'!A:A,E187)&gt;0,
 _xlpm.eOK,COUNTIF('クラス'!A:A,F187)&gt;0,
 IF(_xlpm.dOK,"○","×") &amp; IF(_xlpm.eOK,"○","×")
)</f>
        <v>○○</v>
      </c>
      <c r="E187" s="37" t="s">
        <v>1501</v>
      </c>
      <c r="F187" s="37" t="s">
        <v>1344</v>
      </c>
      <c r="G187" s="39">
        <v>1.0</v>
      </c>
      <c r="H187" s="39">
        <v>10.0</v>
      </c>
      <c r="R187" s="37" t="s">
        <v>3357</v>
      </c>
      <c r="S187" s="37" t="str">
        <f t="shared" si="2"/>
        <v>肉食生物の巣</v>
      </c>
      <c r="W187" s="39" t="s">
        <v>3617</v>
      </c>
      <c r="X187" s="39" t="s">
        <v>3356</v>
      </c>
      <c r="Y187" s="39">
        <v>6.0</v>
      </c>
      <c r="AA187" s="39" t="s">
        <v>3470</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3618</v>
      </c>
      <c r="X188" s="39" t="s">
        <v>3366</v>
      </c>
      <c r="Y188" s="39">
        <v>7.0</v>
      </c>
      <c r="AA188" s="39" t="s">
        <v>3470</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3361</v>
      </c>
      <c r="S189" s="37" t="str">
        <f t="shared" si="2"/>
        <v>肉食生物の巣</v>
      </c>
      <c r="W189" s="39" t="s">
        <v>3619</v>
      </c>
      <c r="X189" s="39" t="s">
        <v>3363</v>
      </c>
      <c r="Y189" s="39">
        <v>3.0</v>
      </c>
      <c r="AA189" s="39" t="s">
        <v>3470</v>
      </c>
      <c r="AB189" s="39">
        <v>1.0</v>
      </c>
      <c r="AC189" s="39">
        <v>1.0</v>
      </c>
      <c r="AD189" s="39">
        <v>3.0</v>
      </c>
      <c r="AE189" s="39"/>
      <c r="AF189" s="39"/>
      <c r="AG189" s="39"/>
    </row>
    <row r="190" ht="18.75" customHeight="1">
      <c r="A190" s="1" t="s">
        <v>58</v>
      </c>
      <c r="B190" s="11" t="s">
        <v>3426</v>
      </c>
      <c r="C190" s="37" t="str">
        <f>LET(
 _xlpm.dOK,COUNTIF('クラス'!A:A,E190)&gt;0,
 _xlpm.eOK,COUNTIF('クラス'!A:A,F190)&gt;0,
 IF(_xlpm.dOK,"○","×") &amp; IF(_xlpm.eOK,"○","×")
)</f>
        <v>○○</v>
      </c>
      <c r="D190" s="37" t="b">
        <v>1</v>
      </c>
      <c r="E190" s="37" t="s">
        <v>1494</v>
      </c>
      <c r="F190" s="37" t="s">
        <v>1507</v>
      </c>
      <c r="G190" s="39">
        <v>1.0</v>
      </c>
      <c r="H190" s="39">
        <v>10.0</v>
      </c>
      <c r="R190" s="37" t="s">
        <v>3426</v>
      </c>
      <c r="S190" s="37" t="str">
        <f t="shared" si="2"/>
        <v>鳥系生物の巣</v>
      </c>
      <c r="W190" s="39" t="s">
        <v>3620</v>
      </c>
      <c r="X190" s="39" t="s">
        <v>3356</v>
      </c>
      <c r="Y190" s="39">
        <v>3.0</v>
      </c>
      <c r="AA190" s="39" t="s">
        <v>3470</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3428</v>
      </c>
      <c r="R191" s="37" t="s">
        <v>1507</v>
      </c>
      <c r="S191" s="37" t="str">
        <f t="shared" si="2"/>
        <v>鳥系生物の巣</v>
      </c>
      <c r="W191" s="39" t="s">
        <v>3621</v>
      </c>
      <c r="X191" s="39" t="s">
        <v>3343</v>
      </c>
      <c r="Y191" s="39">
        <v>1.0</v>
      </c>
      <c r="AA191" s="39" t="s">
        <v>3470</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3431</v>
      </c>
      <c r="S192" s="37" t="str">
        <f t="shared" si="2"/>
        <v>土の輪</v>
      </c>
      <c r="W192" s="39" t="s">
        <v>3622</v>
      </c>
      <c r="X192" s="39" t="s">
        <v>3433</v>
      </c>
      <c r="Y192" s="39">
        <v>1.0</v>
      </c>
      <c r="Z192" s="39" t="b">
        <v>1</v>
      </c>
      <c r="AA192" s="39" t="s">
        <v>3470</v>
      </c>
      <c r="AB192" s="39">
        <v>1.0</v>
      </c>
      <c r="AC192" s="39">
        <v>1.0</v>
      </c>
      <c r="AD192" s="39">
        <v>3.0</v>
      </c>
      <c r="AE192" s="39"/>
      <c r="AF192" s="39"/>
      <c r="AG192" s="39"/>
    </row>
    <row r="193" ht="18.75" customHeight="1">
      <c r="A193" s="1" t="s">
        <v>58</v>
      </c>
      <c r="B193" s="11" t="s">
        <v>3429</v>
      </c>
      <c r="C193" s="37" t="str">
        <f>LET(
 _xlpm.dOK,COUNTIF('クラス'!A:A,E193)&gt;0,
 _xlpm.eOK,COUNTIF('クラス'!A:A,F193)&gt;0,
 IF(_xlpm.dOK,"○","×") &amp; IF(_xlpm.eOK,"○","×")
)</f>
        <v>○○</v>
      </c>
      <c r="E193" s="37" t="s">
        <v>1494</v>
      </c>
      <c r="F193" s="37" t="s">
        <v>1504</v>
      </c>
      <c r="G193" s="39">
        <v>1.0</v>
      </c>
      <c r="H193" s="39">
        <v>10.0</v>
      </c>
      <c r="R193" s="37" t="s">
        <v>3429</v>
      </c>
      <c r="S193" s="37" t="str">
        <f t="shared" si="2"/>
        <v>肉食生物の巣</v>
      </c>
      <c r="W193" s="39" t="s">
        <v>3623</v>
      </c>
      <c r="X193" s="39" t="s">
        <v>3356</v>
      </c>
      <c r="Y193" s="39">
        <v>2.0</v>
      </c>
      <c r="AA193" s="39" t="s">
        <v>3470</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3624</v>
      </c>
      <c r="X194" s="39" t="s">
        <v>3480</v>
      </c>
      <c r="Y194" s="39">
        <v>9.0</v>
      </c>
      <c r="Z194" s="39" t="b">
        <v>1</v>
      </c>
      <c r="AA194" s="39" t="s">
        <v>3470</v>
      </c>
      <c r="AB194" s="39">
        <v>1.0</v>
      </c>
      <c r="AC194" s="39">
        <v>1.0</v>
      </c>
      <c r="AD194" s="39">
        <v>3.0</v>
      </c>
      <c r="AE194" s="39"/>
      <c r="AF194" s="39"/>
      <c r="AG194" s="39"/>
    </row>
    <row r="195" ht="18.75" customHeight="1">
      <c r="A195" s="1" t="s">
        <v>59</v>
      </c>
      <c r="B195" s="11" t="s">
        <v>3476</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3625</v>
      </c>
      <c r="X195" s="39" t="s">
        <v>3343</v>
      </c>
      <c r="Y195" s="39">
        <v>8.0</v>
      </c>
      <c r="AA195" s="39" t="s">
        <v>3470</v>
      </c>
      <c r="AB195" s="39">
        <v>1.0</v>
      </c>
      <c r="AC195" s="39">
        <v>1.0</v>
      </c>
      <c r="AD195" s="39">
        <v>3.0</v>
      </c>
      <c r="AE195" s="39">
        <v>0.0</v>
      </c>
      <c r="AF195" s="39">
        <v>45.0</v>
      </c>
      <c r="AG195" s="39" t="s">
        <v>3346</v>
      </c>
    </row>
    <row r="196" ht="18.75" customHeight="1">
      <c r="A196" s="1" t="s">
        <v>61</v>
      </c>
      <c r="B196" s="11" t="s">
        <v>3478</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3626</v>
      </c>
      <c r="X196" s="39" t="s">
        <v>29</v>
      </c>
      <c r="Y196" s="39" t="s">
        <v>29</v>
      </c>
      <c r="AA196" s="39" t="s">
        <v>3470</v>
      </c>
      <c r="AB196" s="39">
        <v>1.0</v>
      </c>
      <c r="AC196" s="39">
        <v>1.0</v>
      </c>
      <c r="AD196" s="39">
        <v>3.0</v>
      </c>
      <c r="AE196" s="39">
        <v>0.0</v>
      </c>
      <c r="AF196" s="39">
        <v>45.0</v>
      </c>
      <c r="AG196" s="39" t="s">
        <v>3346</v>
      </c>
    </row>
    <row r="197" ht="18.75" customHeight="1">
      <c r="A197" s="1" t="s">
        <v>68</v>
      </c>
      <c r="B197" s="11" t="s">
        <v>3484</v>
      </c>
      <c r="C197" s="37" t="str">
        <f>LET(
 _xlpm.dOK,COUNTIF('クラス'!A:A,E197)&gt;0,
 _xlpm.eOK,COUNTIF('クラス'!A:A,F197)&gt;0,
 IF(_xlpm.dOK,"○","×") &amp; IF(_xlpm.eOK,"○","×")
)</f>
        <v>○×</v>
      </c>
      <c r="D197" s="11"/>
      <c r="E197" s="11" t="s">
        <v>1477</v>
      </c>
      <c r="G197" s="39">
        <v>1.0</v>
      </c>
      <c r="H197" s="39">
        <v>10.0</v>
      </c>
      <c r="R197" s="37" t="s">
        <v>3491</v>
      </c>
      <c r="S197" s="37" t="str">
        <f t="shared" si="2"/>
        <v>炎の輪</v>
      </c>
      <c r="W197" s="39" t="s">
        <v>3627</v>
      </c>
      <c r="X197" s="39" t="s">
        <v>3493</v>
      </c>
      <c r="Y197" s="39">
        <v>1.0</v>
      </c>
      <c r="Z197" s="39" t="b">
        <v>1</v>
      </c>
      <c r="AA197" s="39" t="s">
        <v>3470</v>
      </c>
      <c r="AB197" s="39">
        <v>1.0</v>
      </c>
      <c r="AC197" s="39">
        <v>1.0</v>
      </c>
      <c r="AD197" s="39">
        <v>3.0</v>
      </c>
      <c r="AE197" s="39">
        <v>15.0</v>
      </c>
      <c r="AF197" s="39">
        <v>60.0</v>
      </c>
      <c r="AG197" s="39" t="s">
        <v>3494</v>
      </c>
    </row>
    <row r="198" ht="18.75" customHeight="1">
      <c r="A198" s="26" t="s">
        <v>54</v>
      </c>
      <c r="B198" s="22" t="s">
        <v>1521</v>
      </c>
      <c r="C198" s="37" t="str">
        <f>IF(COUNTIF('クラス'!A:A,E198)&gt;0,"○","×")&amp;IF(COUNTIF('クラス'!A:A,F198)&gt;0,"○","×")</f>
        <v>○×</v>
      </c>
      <c r="D198" s="39" t="b">
        <v>0</v>
      </c>
      <c r="E198" s="39" t="s">
        <v>1521</v>
      </c>
      <c r="G198" s="39">
        <v>2.0</v>
      </c>
      <c r="H198" s="39">
        <v>5.0</v>
      </c>
      <c r="J198" s="39" t="s">
        <v>3506</v>
      </c>
      <c r="R198" s="39" t="s">
        <v>1521</v>
      </c>
      <c r="S198" s="39" t="s">
        <v>3507</v>
      </c>
      <c r="W198" s="39" t="s">
        <v>3628</v>
      </c>
      <c r="X198" s="39" t="s">
        <v>3509</v>
      </c>
      <c r="Y198" s="39">
        <v>7.0</v>
      </c>
      <c r="Z198" s="39" t="b">
        <v>0</v>
      </c>
      <c r="AA198" s="39" t="s">
        <v>3470</v>
      </c>
      <c r="AB198" s="39">
        <v>1.0</v>
      </c>
      <c r="AC198" s="39">
        <v>1.0</v>
      </c>
      <c r="AD198" s="39">
        <v>3.0</v>
      </c>
      <c r="AE198" s="39"/>
      <c r="AF198" s="39"/>
      <c r="AG198" s="39"/>
    </row>
    <row r="199" ht="18.75" customHeight="1">
      <c r="A199" s="26" t="s">
        <v>3252</v>
      </c>
      <c r="B199" s="22" t="s">
        <v>1521</v>
      </c>
      <c r="C199" s="37" t="str">
        <f>IF(COUNTIF('クラス'!A:A,E199)&gt;0,"○","×")&amp;IF(COUNTIF('クラス'!A:A,F199)&gt;0,"○","×")</f>
        <v>○×</v>
      </c>
      <c r="D199" s="39" t="b">
        <v>0</v>
      </c>
      <c r="E199" s="39" t="s">
        <v>1521</v>
      </c>
      <c r="G199" s="39">
        <v>2.0</v>
      </c>
      <c r="H199" s="39">
        <v>5.0</v>
      </c>
      <c r="J199" s="39" t="s">
        <v>3506</v>
      </c>
      <c r="R199" s="39" t="s">
        <v>1521</v>
      </c>
      <c r="S199" s="39" t="s">
        <v>3507</v>
      </c>
      <c r="W199" s="39" t="s">
        <v>3629</v>
      </c>
      <c r="X199" s="39" t="s">
        <v>3509</v>
      </c>
      <c r="Y199" s="39">
        <v>7.0</v>
      </c>
      <c r="Z199" s="39" t="b">
        <v>0</v>
      </c>
      <c r="AA199" s="39" t="s">
        <v>3470</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3506</v>
      </c>
      <c r="R200" s="39" t="s">
        <v>1528</v>
      </c>
      <c r="S200" s="39" t="s">
        <v>3344</v>
      </c>
      <c r="W200" s="39" t="s">
        <v>3630</v>
      </c>
      <c r="X200" s="39" t="s">
        <v>3512</v>
      </c>
      <c r="Y200" s="39">
        <v>7.0</v>
      </c>
      <c r="Z200" s="39" t="b">
        <v>0</v>
      </c>
      <c r="AA200" s="39" t="s">
        <v>3470</v>
      </c>
      <c r="AB200" s="39">
        <v>1.0</v>
      </c>
      <c r="AC200" s="39">
        <v>1.0</v>
      </c>
      <c r="AD200" s="39">
        <v>3.0</v>
      </c>
      <c r="AE200" s="39"/>
      <c r="AF200" s="39"/>
      <c r="AG200" s="39"/>
    </row>
    <row r="201" ht="18.75" customHeight="1">
      <c r="A201" s="26" t="s">
        <v>3252</v>
      </c>
      <c r="B201" s="22" t="s">
        <v>1528</v>
      </c>
      <c r="C201" s="37" t="str">
        <f>IF(COUNTIF('クラス'!A:A,E201)&gt;0,"○","×")&amp;IF(COUNTIF('クラス'!A:A,F201)&gt;0,"○","×")</f>
        <v>○×</v>
      </c>
      <c r="D201" s="39" t="b">
        <v>0</v>
      </c>
      <c r="E201" s="39" t="s">
        <v>1528</v>
      </c>
      <c r="G201" s="39">
        <v>3.0</v>
      </c>
      <c r="H201" s="39">
        <v>7.0</v>
      </c>
      <c r="J201" s="39" t="s">
        <v>3506</v>
      </c>
      <c r="R201" s="39" t="s">
        <v>1528</v>
      </c>
      <c r="S201" s="39" t="s">
        <v>3344</v>
      </c>
      <c r="W201" s="39" t="s">
        <v>3631</v>
      </c>
      <c r="X201" s="39" t="s">
        <v>3512</v>
      </c>
      <c r="Y201" s="39">
        <v>7.0</v>
      </c>
      <c r="Z201" s="39" t="b">
        <v>0</v>
      </c>
      <c r="AA201" s="39" t="s">
        <v>3470</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3506</v>
      </c>
      <c r="R202" s="39" t="s">
        <v>1528</v>
      </c>
      <c r="S202" s="39" t="s">
        <v>3344</v>
      </c>
      <c r="W202" s="39" t="s">
        <v>3632</v>
      </c>
      <c r="X202" s="39" t="s">
        <v>3512</v>
      </c>
      <c r="Y202" s="39">
        <v>7.0</v>
      </c>
      <c r="Z202" s="39" t="b">
        <v>0</v>
      </c>
      <c r="AA202" s="39" t="s">
        <v>3470</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3517</v>
      </c>
      <c r="R203" s="39" t="s">
        <v>1598</v>
      </c>
      <c r="S203" s="39" t="s">
        <v>3348</v>
      </c>
      <c r="W203" s="39" t="s">
        <v>3633</v>
      </c>
      <c r="X203" s="39" t="s">
        <v>3519</v>
      </c>
      <c r="Y203" s="39">
        <v>1.0</v>
      </c>
      <c r="Z203" s="39" t="b">
        <v>0</v>
      </c>
      <c r="AA203" s="39" t="s">
        <v>3470</v>
      </c>
      <c r="AB203" s="39">
        <v>1.0</v>
      </c>
      <c r="AC203" s="39">
        <v>1.0</v>
      </c>
      <c r="AD203" s="39">
        <v>3.0</v>
      </c>
      <c r="AE203" s="39">
        <v>5.0</v>
      </c>
      <c r="AF203" s="39">
        <v>45.0</v>
      </c>
      <c r="AG203" s="39" t="s">
        <v>3520</v>
      </c>
    </row>
    <row r="204" ht="18.75" customHeight="1">
      <c r="A204" s="26" t="s">
        <v>54</v>
      </c>
      <c r="B204" s="22" t="s">
        <v>1617</v>
      </c>
      <c r="C204" s="37" t="str">
        <f>IF(COUNTIF('クラス'!A:A,E204)&gt;0,"○","×")&amp;IF(COUNTIF('クラス'!A:A,F204)&gt;0,"○","×")</f>
        <v>○×</v>
      </c>
      <c r="D204" s="39" t="b">
        <v>1</v>
      </c>
      <c r="E204" s="39" t="s">
        <v>1617</v>
      </c>
      <c r="G204" s="39">
        <v>3.0</v>
      </c>
      <c r="H204" s="39">
        <v>7.0</v>
      </c>
      <c r="J204" s="39" t="s">
        <v>3517</v>
      </c>
      <c r="R204" s="39" t="s">
        <v>1617</v>
      </c>
      <c r="S204" s="39" t="s">
        <v>3348</v>
      </c>
      <c r="W204" s="39" t="s">
        <v>3634</v>
      </c>
      <c r="X204" s="39" t="s">
        <v>3522</v>
      </c>
      <c r="Y204" s="39">
        <v>1.0</v>
      </c>
      <c r="Z204" s="39" t="b">
        <v>0</v>
      </c>
      <c r="AA204" s="39" t="s">
        <v>3470</v>
      </c>
      <c r="AB204" s="39">
        <v>1.0</v>
      </c>
      <c r="AC204" s="39">
        <v>1.0</v>
      </c>
      <c r="AD204" s="39">
        <v>3.0</v>
      </c>
      <c r="AE204" s="39">
        <v>5.0</v>
      </c>
      <c r="AF204" s="39">
        <v>45.0</v>
      </c>
      <c r="AG204" s="39" t="s">
        <v>3494</v>
      </c>
    </row>
    <row r="205" ht="18.75" customHeight="1">
      <c r="A205" s="26" t="s">
        <v>54</v>
      </c>
      <c r="B205" s="22" t="s">
        <v>1625</v>
      </c>
      <c r="C205" s="37" t="str">
        <f>IF(COUNTIF('クラス'!A:A,E205)&gt;0,"○","×")&amp;IF(COUNTIF('クラス'!A:A,F205)&gt;0,"○","×")</f>
        <v>○×</v>
      </c>
      <c r="D205" s="39" t="b">
        <v>1</v>
      </c>
      <c r="E205" s="39" t="s">
        <v>1625</v>
      </c>
      <c r="G205" s="39">
        <v>1.0</v>
      </c>
      <c r="H205" s="39">
        <v>5.0</v>
      </c>
      <c r="J205" s="39" t="s">
        <v>3517</v>
      </c>
      <c r="R205" s="39" t="s">
        <v>1625</v>
      </c>
      <c r="S205" s="39" t="s">
        <v>3348</v>
      </c>
      <c r="W205" s="39" t="s">
        <v>3635</v>
      </c>
      <c r="X205" s="39" t="s">
        <v>3524</v>
      </c>
      <c r="Y205" s="39">
        <v>7.0</v>
      </c>
      <c r="Z205" s="39" t="b">
        <v>0</v>
      </c>
      <c r="AA205" s="39" t="s">
        <v>3470</v>
      </c>
      <c r="AB205" s="39">
        <v>1.0</v>
      </c>
      <c r="AC205" s="39">
        <v>1.0</v>
      </c>
      <c r="AD205" s="39">
        <v>3.0</v>
      </c>
      <c r="AE205" s="39">
        <v>5.0</v>
      </c>
      <c r="AF205" s="39">
        <v>45.0</v>
      </c>
      <c r="AG205" s="39" t="s">
        <v>3494</v>
      </c>
    </row>
    <row r="206" ht="18.75" customHeight="1">
      <c r="A206" s="26" t="s">
        <v>54</v>
      </c>
      <c r="B206" s="22" t="s">
        <v>1633</v>
      </c>
      <c r="C206" s="37" t="str">
        <f>IF(COUNTIF('クラス'!A:A,E206)&gt;0,"○","×")&amp;IF(COUNTIF('クラス'!A:A,F206)&gt;0,"○","×")</f>
        <v>○×</v>
      </c>
      <c r="D206" s="39" t="b">
        <v>1</v>
      </c>
      <c r="E206" s="39" t="s">
        <v>1633</v>
      </c>
      <c r="G206" s="39">
        <v>1.0</v>
      </c>
      <c r="H206" s="39">
        <v>4.0</v>
      </c>
      <c r="J206" s="39" t="s">
        <v>3517</v>
      </c>
      <c r="R206" s="39" t="s">
        <v>1633</v>
      </c>
      <c r="S206" s="39" t="s">
        <v>3348</v>
      </c>
      <c r="W206" s="39" t="s">
        <v>3636</v>
      </c>
      <c r="X206" s="39" t="s">
        <v>3524</v>
      </c>
      <c r="Y206" s="39">
        <v>1.0</v>
      </c>
      <c r="Z206" s="39" t="b">
        <v>0</v>
      </c>
      <c r="AA206" s="39" t="s">
        <v>3470</v>
      </c>
      <c r="AB206" s="39">
        <v>1.0</v>
      </c>
      <c r="AC206" s="39">
        <v>1.0</v>
      </c>
      <c r="AD206" s="39">
        <v>3.0</v>
      </c>
      <c r="AE206" s="39">
        <v>5.0</v>
      </c>
      <c r="AF206" s="39">
        <v>45.0</v>
      </c>
      <c r="AG206" s="39" t="s">
        <v>3520</v>
      </c>
    </row>
    <row r="207" ht="18.75" customHeight="1">
      <c r="A207" s="26" t="s">
        <v>3252</v>
      </c>
      <c r="B207" s="22" t="s">
        <v>1598</v>
      </c>
      <c r="C207" s="37" t="str">
        <f>IF(COUNTIF('クラス'!A:A,E207)&gt;0,"○","×")&amp;IF(COUNTIF('クラス'!A:A,F207)&gt;0,"○","×")</f>
        <v>○×</v>
      </c>
      <c r="D207" s="39" t="b">
        <v>0</v>
      </c>
      <c r="E207" s="39" t="s">
        <v>1598</v>
      </c>
      <c r="G207" s="39">
        <v>2.0</v>
      </c>
      <c r="H207" s="39">
        <v>5.0</v>
      </c>
      <c r="J207" s="39" t="s">
        <v>3517</v>
      </c>
      <c r="R207" s="39" t="s">
        <v>1598</v>
      </c>
      <c r="S207" s="39" t="s">
        <v>3348</v>
      </c>
      <c r="W207" s="39" t="s">
        <v>3637</v>
      </c>
      <c r="X207" s="39" t="s">
        <v>3519</v>
      </c>
      <c r="Y207" s="39">
        <v>1.0</v>
      </c>
      <c r="Z207" s="39" t="b">
        <v>0</v>
      </c>
      <c r="AA207" s="39" t="s">
        <v>3470</v>
      </c>
      <c r="AB207" s="39">
        <v>1.0</v>
      </c>
      <c r="AC207" s="39">
        <v>1.0</v>
      </c>
      <c r="AD207" s="39">
        <v>3.0</v>
      </c>
      <c r="AE207" s="39">
        <v>5.0</v>
      </c>
      <c r="AF207" s="39">
        <v>45.0</v>
      </c>
      <c r="AG207" s="39" t="s">
        <v>3520</v>
      </c>
    </row>
    <row r="208" ht="18.75" customHeight="1">
      <c r="A208" s="26" t="s">
        <v>3252</v>
      </c>
      <c r="B208" s="22" t="s">
        <v>1633</v>
      </c>
      <c r="C208" s="37" t="str">
        <f>IF(COUNTIF('クラス'!A:A,E208)&gt;0,"○","×")&amp;IF(COUNTIF('クラス'!A:A,F208)&gt;0,"○","×")</f>
        <v>○×</v>
      </c>
      <c r="D208" s="39" t="b">
        <v>1</v>
      </c>
      <c r="E208" s="39" t="s">
        <v>1633</v>
      </c>
      <c r="G208" s="39">
        <v>1.0</v>
      </c>
      <c r="H208" s="39">
        <v>4.0</v>
      </c>
      <c r="J208" s="39" t="s">
        <v>3517</v>
      </c>
      <c r="R208" s="39" t="s">
        <v>1633</v>
      </c>
      <c r="S208" s="39" t="s">
        <v>3348</v>
      </c>
      <c r="W208" s="39" t="s">
        <v>3638</v>
      </c>
      <c r="X208" s="39" t="s">
        <v>3524</v>
      </c>
      <c r="Y208" s="39">
        <v>1.0</v>
      </c>
      <c r="Z208" s="39" t="b">
        <v>0</v>
      </c>
      <c r="AA208" s="39" t="s">
        <v>3470</v>
      </c>
      <c r="AB208" s="39">
        <v>1.0</v>
      </c>
      <c r="AC208" s="39">
        <v>1.0</v>
      </c>
      <c r="AD208" s="39">
        <v>3.0</v>
      </c>
      <c r="AE208" s="39">
        <v>5.0</v>
      </c>
      <c r="AF208" s="39">
        <v>45.0</v>
      </c>
      <c r="AG208" s="39" t="s">
        <v>3520</v>
      </c>
    </row>
    <row r="209" ht="18.75" customHeight="1">
      <c r="A209" s="26" t="s">
        <v>3252</v>
      </c>
      <c r="B209" s="22" t="s">
        <v>1656</v>
      </c>
      <c r="C209" s="37" t="str">
        <f>IF(COUNTIF('クラス'!A:A,E209)&gt;0,"○","×")&amp;IF(COUNTIF('クラス'!A:A,F209)&gt;0,"○","×")</f>
        <v>○×</v>
      </c>
      <c r="D209" s="39" t="b">
        <v>1</v>
      </c>
      <c r="E209" s="39" t="s">
        <v>1656</v>
      </c>
      <c r="G209" s="39">
        <v>3.0</v>
      </c>
      <c r="H209" s="39">
        <v>8.0</v>
      </c>
      <c r="J209" s="39" t="s">
        <v>3517</v>
      </c>
      <c r="R209" s="39" t="s">
        <v>1656</v>
      </c>
      <c r="S209" s="39" t="s">
        <v>3348</v>
      </c>
      <c r="W209" s="39" t="s">
        <v>3639</v>
      </c>
      <c r="X209" s="39" t="s">
        <v>3350</v>
      </c>
      <c r="Y209" s="39">
        <v>7.0</v>
      </c>
      <c r="Z209" s="39" t="b">
        <v>0</v>
      </c>
      <c r="AA209" s="39" t="s">
        <v>3470</v>
      </c>
      <c r="AB209" s="39">
        <v>1.0</v>
      </c>
      <c r="AC209" s="39">
        <v>1.0</v>
      </c>
      <c r="AD209" s="39">
        <v>3.0</v>
      </c>
      <c r="AE209" s="39">
        <v>5.0</v>
      </c>
      <c r="AF209" s="39">
        <v>45.0</v>
      </c>
      <c r="AG209" s="39" t="s">
        <v>3520</v>
      </c>
    </row>
    <row r="210" ht="18.75" customHeight="1">
      <c r="A210" s="26" t="s">
        <v>62</v>
      </c>
      <c r="B210" s="22" t="s">
        <v>1656</v>
      </c>
      <c r="C210" s="37" t="str">
        <f>IF(COUNTIF('クラス'!A:A,E210)&gt;0,"○","×")&amp;IF(COUNTIF('クラス'!A:A,F210)&gt;0,"○","×")</f>
        <v>○×</v>
      </c>
      <c r="D210" s="39" t="b">
        <v>1</v>
      </c>
      <c r="E210" s="39" t="s">
        <v>1656</v>
      </c>
      <c r="G210" s="39">
        <v>3.0</v>
      </c>
      <c r="H210" s="39">
        <v>8.0</v>
      </c>
      <c r="J210" s="39" t="s">
        <v>3517</v>
      </c>
      <c r="R210" s="39" t="s">
        <v>1656</v>
      </c>
      <c r="S210" s="39" t="s">
        <v>3348</v>
      </c>
      <c r="W210" s="39" t="s">
        <v>3640</v>
      </c>
      <c r="X210" s="39" t="s">
        <v>3350</v>
      </c>
      <c r="Y210" s="39">
        <v>7.0</v>
      </c>
      <c r="Z210" s="39" t="b">
        <v>0</v>
      </c>
      <c r="AA210" s="39" t="s">
        <v>3470</v>
      </c>
      <c r="AB210" s="39">
        <v>1.0</v>
      </c>
      <c r="AC210" s="39">
        <v>1.0</v>
      </c>
      <c r="AD210" s="39">
        <v>3.0</v>
      </c>
      <c r="AE210" s="39">
        <v>5.0</v>
      </c>
      <c r="AF210" s="39">
        <v>45.0</v>
      </c>
      <c r="AG210" s="39" t="s">
        <v>3520</v>
      </c>
    </row>
    <row r="211" ht="18.75" customHeight="1">
      <c r="A211" s="26" t="s">
        <v>62</v>
      </c>
      <c r="B211" s="22" t="s">
        <v>1647</v>
      </c>
      <c r="C211" s="37" t="str">
        <f>IF(COUNTIF('クラス'!A:A,E211)&gt;0,"○","×")&amp;IF(COUNTIF('クラス'!A:A,F211)&gt;0,"○","×")</f>
        <v>○×</v>
      </c>
      <c r="D211" s="39" t="b">
        <v>1</v>
      </c>
      <c r="E211" s="39" t="s">
        <v>1647</v>
      </c>
      <c r="G211" s="39">
        <v>3.0</v>
      </c>
      <c r="H211" s="39">
        <v>7.0</v>
      </c>
      <c r="J211" s="39" t="s">
        <v>3517</v>
      </c>
      <c r="R211" s="39" t="s">
        <v>1647</v>
      </c>
      <c r="S211" s="39" t="s">
        <v>3348</v>
      </c>
      <c r="W211" s="39" t="s">
        <v>3641</v>
      </c>
      <c r="X211" s="39" t="s">
        <v>3531</v>
      </c>
      <c r="Y211" s="39">
        <v>7.0</v>
      </c>
      <c r="Z211" s="39" t="b">
        <v>0</v>
      </c>
      <c r="AA211" s="39" t="s">
        <v>3470</v>
      </c>
      <c r="AB211" s="39">
        <v>1.0</v>
      </c>
      <c r="AC211" s="39">
        <v>1.0</v>
      </c>
      <c r="AD211" s="39">
        <v>3.0</v>
      </c>
      <c r="AE211" s="39">
        <v>5.0</v>
      </c>
      <c r="AF211" s="39">
        <v>45.0</v>
      </c>
      <c r="AG211" s="39" t="s">
        <v>3520</v>
      </c>
    </row>
    <row r="212" ht="18.75" customHeight="1">
      <c r="A212" s="26" t="s">
        <v>56</v>
      </c>
      <c r="B212" s="22" t="s">
        <v>1609</v>
      </c>
      <c r="C212" s="37" t="str">
        <f>IF(COUNTIF('クラス'!A:A,E212)&gt;0,"○","×")&amp;IF(COUNTIF('クラス'!A:A,F212)&gt;0,"○","×")</f>
        <v>○×</v>
      </c>
      <c r="D212" s="39" t="b">
        <v>1</v>
      </c>
      <c r="E212" s="39" t="s">
        <v>1609</v>
      </c>
      <c r="G212" s="39">
        <v>2.0</v>
      </c>
      <c r="H212" s="39">
        <v>6.0</v>
      </c>
      <c r="J212" s="39" t="s">
        <v>3517</v>
      </c>
      <c r="R212" s="39"/>
      <c r="S212" s="39" t="s">
        <v>3348</v>
      </c>
      <c r="W212" s="39" t="s">
        <v>3642</v>
      </c>
      <c r="X212" s="39"/>
      <c r="Y212" s="39"/>
      <c r="Z212" s="39" t="b">
        <v>0</v>
      </c>
      <c r="AA212" s="39" t="s">
        <v>3470</v>
      </c>
      <c r="AB212" s="39">
        <v>1.0</v>
      </c>
      <c r="AC212" s="39">
        <v>1.0</v>
      </c>
      <c r="AD212" s="39">
        <v>3.0</v>
      </c>
      <c r="AE212" s="39">
        <v>5.0</v>
      </c>
      <c r="AF212" s="39">
        <v>45.0</v>
      </c>
      <c r="AG212" s="39" t="s">
        <v>3520</v>
      </c>
    </row>
    <row r="213" ht="18.75" customHeight="1">
      <c r="A213" s="26" t="s">
        <v>56</v>
      </c>
      <c r="B213" s="22" t="s">
        <v>1617</v>
      </c>
      <c r="C213" s="37" t="str">
        <f>IF(COUNTIF('クラス'!A:A,E213)&gt;0,"○","×")&amp;IF(COUNTIF('クラス'!A:A,F213)&gt;0,"○","×")</f>
        <v>○×</v>
      </c>
      <c r="D213" s="39" t="b">
        <v>1</v>
      </c>
      <c r="E213" s="39" t="s">
        <v>1617</v>
      </c>
      <c r="G213" s="39">
        <v>3.0</v>
      </c>
      <c r="H213" s="39">
        <v>7.0</v>
      </c>
      <c r="J213" s="39" t="s">
        <v>3517</v>
      </c>
      <c r="R213" s="39" t="s">
        <v>1617</v>
      </c>
      <c r="S213" s="39" t="s">
        <v>3348</v>
      </c>
      <c r="W213" s="39" t="s">
        <v>3643</v>
      </c>
      <c r="X213" s="39" t="s">
        <v>3522</v>
      </c>
      <c r="Y213" s="39">
        <v>1.0</v>
      </c>
      <c r="Z213" s="39" t="b">
        <v>0</v>
      </c>
      <c r="AA213" s="39" t="s">
        <v>3470</v>
      </c>
      <c r="AB213" s="39">
        <v>1.0</v>
      </c>
      <c r="AC213" s="39">
        <v>1.0</v>
      </c>
      <c r="AD213" s="39">
        <v>3.0</v>
      </c>
      <c r="AE213" s="39">
        <v>5.0</v>
      </c>
      <c r="AF213" s="39">
        <v>45.0</v>
      </c>
      <c r="AG213" s="39" t="s">
        <v>3494</v>
      </c>
    </row>
    <row r="214" ht="18.75" customHeight="1">
      <c r="A214" s="26" t="s">
        <v>56</v>
      </c>
      <c r="B214" s="22" t="s">
        <v>1625</v>
      </c>
      <c r="C214" s="37" t="str">
        <f>IF(COUNTIF('クラス'!A:A,E214)&gt;0,"○","×")&amp;IF(COUNTIF('クラス'!A:A,F214)&gt;0,"○","×")</f>
        <v>○×</v>
      </c>
      <c r="D214" s="39" t="b">
        <v>1</v>
      </c>
      <c r="E214" s="39" t="s">
        <v>1625</v>
      </c>
      <c r="G214" s="39">
        <v>1.0</v>
      </c>
      <c r="H214" s="39">
        <v>5.0</v>
      </c>
      <c r="J214" s="39" t="s">
        <v>3517</v>
      </c>
      <c r="R214" s="39" t="s">
        <v>1625</v>
      </c>
      <c r="S214" s="39" t="s">
        <v>3348</v>
      </c>
      <c r="W214" s="39" t="s">
        <v>3644</v>
      </c>
      <c r="X214" s="39" t="s">
        <v>3524</v>
      </c>
      <c r="Y214" s="39">
        <v>7.0</v>
      </c>
      <c r="Z214" s="39" t="b">
        <v>0</v>
      </c>
      <c r="AA214" s="39" t="s">
        <v>3470</v>
      </c>
      <c r="AB214" s="39">
        <v>1.0</v>
      </c>
      <c r="AC214" s="39">
        <v>1.0</v>
      </c>
      <c r="AD214" s="39">
        <v>3.0</v>
      </c>
      <c r="AE214" s="39">
        <v>5.0</v>
      </c>
      <c r="AF214" s="39">
        <v>45.0</v>
      </c>
      <c r="AG214" s="39" t="s">
        <v>3494</v>
      </c>
    </row>
    <row r="215" ht="18.75" customHeight="1">
      <c r="A215" s="26" t="s">
        <v>56</v>
      </c>
      <c r="B215" s="22" t="s">
        <v>1633</v>
      </c>
      <c r="C215" s="37" t="str">
        <f>IF(COUNTIF('クラス'!A:A,E215)&gt;0,"○","×")&amp;IF(COUNTIF('クラス'!A:A,F215)&gt;0,"○","×")</f>
        <v>○×</v>
      </c>
      <c r="D215" s="39" t="b">
        <v>1</v>
      </c>
      <c r="E215" s="39" t="s">
        <v>1633</v>
      </c>
      <c r="G215" s="39">
        <v>1.0</v>
      </c>
      <c r="H215" s="39">
        <v>4.0</v>
      </c>
      <c r="J215" s="39" t="s">
        <v>3517</v>
      </c>
      <c r="R215" s="39" t="s">
        <v>1633</v>
      </c>
      <c r="S215" s="39" t="s">
        <v>3348</v>
      </c>
      <c r="W215" s="39" t="s">
        <v>3645</v>
      </c>
      <c r="X215" s="39" t="s">
        <v>3524</v>
      </c>
      <c r="Y215" s="39">
        <v>1.0</v>
      </c>
      <c r="Z215" s="39" t="b">
        <v>0</v>
      </c>
      <c r="AA215" s="39" t="s">
        <v>3470</v>
      </c>
      <c r="AB215" s="39">
        <v>1.0</v>
      </c>
      <c r="AC215" s="39">
        <v>1.0</v>
      </c>
      <c r="AD215" s="39">
        <v>3.0</v>
      </c>
      <c r="AE215" s="39">
        <v>5.0</v>
      </c>
      <c r="AF215" s="39">
        <v>45.0</v>
      </c>
      <c r="AG215" s="39" t="s">
        <v>3520</v>
      </c>
    </row>
    <row r="216" ht="18.75" customHeight="1">
      <c r="A216" s="26" t="s">
        <v>56</v>
      </c>
      <c r="B216" s="22" t="s">
        <v>1640</v>
      </c>
      <c r="C216" s="37" t="str">
        <f>IF(COUNTIF('クラス'!A:A,E216)&gt;0,"○","×")&amp;IF(COUNTIF('クラス'!A:A,F216)&gt;0,"○","×")</f>
        <v>○×</v>
      </c>
      <c r="D216" s="39" t="b">
        <v>1</v>
      </c>
      <c r="E216" s="39" t="s">
        <v>1640</v>
      </c>
      <c r="G216" s="39">
        <v>2.0</v>
      </c>
      <c r="H216" s="39">
        <v>6.0</v>
      </c>
      <c r="J216" s="39" t="s">
        <v>3517</v>
      </c>
      <c r="R216" s="39" t="s">
        <v>1640</v>
      </c>
      <c r="S216" s="39" t="s">
        <v>3348</v>
      </c>
      <c r="W216" s="39" t="s">
        <v>3646</v>
      </c>
      <c r="X216" s="39" t="s">
        <v>3531</v>
      </c>
      <c r="Y216" s="39">
        <v>1.0</v>
      </c>
      <c r="Z216" s="39" t="b">
        <v>0</v>
      </c>
      <c r="AA216" s="39" t="s">
        <v>3470</v>
      </c>
      <c r="AB216" s="39">
        <v>1.0</v>
      </c>
      <c r="AC216" s="39">
        <v>1.0</v>
      </c>
      <c r="AD216" s="39">
        <v>3.0</v>
      </c>
      <c r="AE216" s="39">
        <v>5.0</v>
      </c>
      <c r="AF216" s="39">
        <v>45.0</v>
      </c>
      <c r="AG216" s="39" t="s">
        <v>3520</v>
      </c>
    </row>
    <row r="217" ht="18.75" customHeight="1">
      <c r="A217" s="26" t="s">
        <v>56</v>
      </c>
      <c r="B217" s="22" t="s">
        <v>1647</v>
      </c>
      <c r="C217" s="37" t="str">
        <f>IF(COUNTIF('クラス'!A:A,E217)&gt;0,"○","×")&amp;IF(COUNTIF('クラス'!A:A,F217)&gt;0,"○","×")</f>
        <v>○×</v>
      </c>
      <c r="D217" s="39" t="b">
        <v>1</v>
      </c>
      <c r="E217" s="39" t="s">
        <v>1647</v>
      </c>
      <c r="G217" s="39">
        <v>3.0</v>
      </c>
      <c r="H217" s="39">
        <v>7.0</v>
      </c>
      <c r="J217" s="39" t="s">
        <v>3517</v>
      </c>
      <c r="R217" s="39" t="s">
        <v>1647</v>
      </c>
      <c r="S217" s="39" t="s">
        <v>3348</v>
      </c>
      <c r="W217" s="39" t="s">
        <v>3647</v>
      </c>
      <c r="X217" s="39" t="s">
        <v>3531</v>
      </c>
      <c r="Y217" s="39">
        <v>7.0</v>
      </c>
      <c r="Z217" s="39" t="b">
        <v>0</v>
      </c>
      <c r="AA217" s="39" t="s">
        <v>3470</v>
      </c>
      <c r="AB217" s="39">
        <v>1.0</v>
      </c>
      <c r="AC217" s="39">
        <v>1.0</v>
      </c>
      <c r="AD217" s="39">
        <v>3.0</v>
      </c>
      <c r="AE217" s="39">
        <v>5.0</v>
      </c>
      <c r="AF217" s="39">
        <v>45.0</v>
      </c>
      <c r="AG217" s="39" t="s">
        <v>3520</v>
      </c>
    </row>
    <row r="218" ht="18.75" customHeight="1">
      <c r="A218" s="26" t="s">
        <v>63</v>
      </c>
      <c r="B218" s="22" t="s">
        <v>1640</v>
      </c>
      <c r="C218" s="37" t="str">
        <f>IF(COUNTIF('クラス'!A:A,E218)&gt;0,"○","×")&amp;IF(COUNTIF('クラス'!A:A,F218)&gt;0,"○","×")</f>
        <v>○×</v>
      </c>
      <c r="D218" s="39" t="b">
        <v>1</v>
      </c>
      <c r="E218" s="39" t="s">
        <v>1640</v>
      </c>
      <c r="G218" s="39">
        <v>2.0</v>
      </c>
      <c r="H218" s="39">
        <v>6.0</v>
      </c>
      <c r="J218" s="39" t="s">
        <v>3517</v>
      </c>
      <c r="R218" s="39" t="s">
        <v>1640</v>
      </c>
      <c r="S218" s="39" t="s">
        <v>3348</v>
      </c>
      <c r="W218" s="39" t="s">
        <v>3648</v>
      </c>
      <c r="X218" s="39" t="s">
        <v>3531</v>
      </c>
      <c r="Y218" s="39">
        <v>1.0</v>
      </c>
      <c r="Z218" s="39" t="b">
        <v>0</v>
      </c>
      <c r="AA218" s="39" t="s">
        <v>3470</v>
      </c>
      <c r="AB218" s="39">
        <v>1.0</v>
      </c>
      <c r="AC218" s="39">
        <v>1.0</v>
      </c>
      <c r="AD218" s="39">
        <v>3.0</v>
      </c>
      <c r="AE218" s="39">
        <v>5.0</v>
      </c>
      <c r="AF218" s="39">
        <v>45.0</v>
      </c>
      <c r="AG218" s="39" t="s">
        <v>3520</v>
      </c>
    </row>
    <row r="219" ht="18.75" customHeight="1">
      <c r="A219" s="26" t="s">
        <v>63</v>
      </c>
      <c r="B219" s="22" t="s">
        <v>1647</v>
      </c>
      <c r="C219" s="37" t="str">
        <f>IF(COUNTIF('クラス'!A:A,E219)&gt;0,"○","×")&amp;IF(COUNTIF('クラス'!A:A,F219)&gt;0,"○","×")</f>
        <v>○×</v>
      </c>
      <c r="D219" s="39" t="b">
        <v>1</v>
      </c>
      <c r="E219" s="39" t="s">
        <v>1647</v>
      </c>
      <c r="G219" s="39">
        <v>3.0</v>
      </c>
      <c r="H219" s="39">
        <v>7.0</v>
      </c>
      <c r="J219" s="39" t="s">
        <v>3517</v>
      </c>
      <c r="R219" s="39" t="s">
        <v>1647</v>
      </c>
      <c r="S219" s="39" t="s">
        <v>3348</v>
      </c>
      <c r="W219" s="39" t="s">
        <v>3649</v>
      </c>
      <c r="X219" s="39" t="s">
        <v>3531</v>
      </c>
      <c r="Y219" s="39">
        <v>7.0</v>
      </c>
      <c r="Z219" s="39" t="b">
        <v>0</v>
      </c>
      <c r="AA219" s="39" t="s">
        <v>3470</v>
      </c>
      <c r="AB219" s="39">
        <v>1.0</v>
      </c>
      <c r="AC219" s="39">
        <v>1.0</v>
      </c>
      <c r="AD219" s="39">
        <v>3.0</v>
      </c>
      <c r="AE219" s="39">
        <v>5.0</v>
      </c>
      <c r="AF219" s="39">
        <v>45.0</v>
      </c>
      <c r="AG219" s="39" t="s">
        <v>3520</v>
      </c>
    </row>
    <row r="220" ht="18.75" customHeight="1">
      <c r="A220" s="26" t="s">
        <v>65</v>
      </c>
      <c r="B220" s="22" t="s">
        <v>1598</v>
      </c>
      <c r="C220" s="37" t="str">
        <f>IF(COUNTIF('クラス'!A:A,E220)&gt;0,"○","×")&amp;IF(COUNTIF('クラス'!A:A,F220)&gt;0,"○","×")</f>
        <v>○×</v>
      </c>
      <c r="D220" s="39" t="b">
        <v>0</v>
      </c>
      <c r="E220" s="39" t="s">
        <v>1598</v>
      </c>
      <c r="G220" s="39">
        <v>2.0</v>
      </c>
      <c r="H220" s="39">
        <v>5.0</v>
      </c>
      <c r="J220" s="39" t="s">
        <v>3517</v>
      </c>
      <c r="R220" s="39" t="s">
        <v>1598</v>
      </c>
      <c r="S220" s="39" t="s">
        <v>3348</v>
      </c>
      <c r="W220" s="39" t="s">
        <v>3650</v>
      </c>
      <c r="X220" s="39" t="s">
        <v>3519</v>
      </c>
      <c r="Y220" s="39">
        <v>1.0</v>
      </c>
      <c r="Z220" s="39" t="b">
        <v>0</v>
      </c>
      <c r="AA220" s="39" t="s">
        <v>3470</v>
      </c>
      <c r="AB220" s="39">
        <v>1.0</v>
      </c>
      <c r="AC220" s="39">
        <v>1.0</v>
      </c>
      <c r="AD220" s="39">
        <v>3.0</v>
      </c>
      <c r="AE220" s="39">
        <v>5.0</v>
      </c>
      <c r="AF220" s="39">
        <v>45.0</v>
      </c>
      <c r="AG220" s="39" t="s">
        <v>3520</v>
      </c>
    </row>
    <row r="221" ht="18.75" customHeight="1">
      <c r="A221" s="26" t="s">
        <v>65</v>
      </c>
      <c r="B221" s="22" t="s">
        <v>1640</v>
      </c>
      <c r="C221" s="37" t="str">
        <f>IF(COUNTIF('クラス'!A:A,E221)&gt;0,"○","×")&amp;IF(COUNTIF('クラス'!A:A,F221)&gt;0,"○","×")</f>
        <v>○×</v>
      </c>
      <c r="D221" s="39" t="b">
        <v>1</v>
      </c>
      <c r="E221" s="39" t="s">
        <v>1640</v>
      </c>
      <c r="G221" s="39">
        <v>2.0</v>
      </c>
      <c r="H221" s="39">
        <v>6.0</v>
      </c>
      <c r="J221" s="39" t="s">
        <v>3517</v>
      </c>
      <c r="R221" s="39" t="s">
        <v>1640</v>
      </c>
      <c r="S221" s="39" t="s">
        <v>3348</v>
      </c>
      <c r="W221" s="39" t="s">
        <v>3651</v>
      </c>
      <c r="X221" s="39" t="s">
        <v>3531</v>
      </c>
      <c r="Y221" s="39">
        <v>1.0</v>
      </c>
      <c r="Z221" s="39" t="b">
        <v>0</v>
      </c>
      <c r="AA221" s="39" t="s">
        <v>3470</v>
      </c>
      <c r="AB221" s="39">
        <v>1.0</v>
      </c>
      <c r="AC221" s="39">
        <v>1.0</v>
      </c>
      <c r="AD221" s="39">
        <v>3.0</v>
      </c>
      <c r="AE221" s="39">
        <v>5.0</v>
      </c>
      <c r="AF221" s="39">
        <v>45.0</v>
      </c>
      <c r="AG221" s="39" t="s">
        <v>3520</v>
      </c>
    </row>
    <row r="222" ht="18.75" customHeight="1">
      <c r="A222" s="26" t="s">
        <v>65</v>
      </c>
      <c r="B222" s="22" t="s">
        <v>1647</v>
      </c>
      <c r="C222" s="37" t="str">
        <f>IF(COUNTIF('クラス'!A:A,E222)&gt;0,"○","×")&amp;IF(COUNTIF('クラス'!A:A,F222)&gt;0,"○","×")</f>
        <v>○×</v>
      </c>
      <c r="D222" s="39" t="b">
        <v>1</v>
      </c>
      <c r="E222" s="39" t="s">
        <v>1647</v>
      </c>
      <c r="G222" s="39">
        <v>3.0</v>
      </c>
      <c r="H222" s="39">
        <v>7.0</v>
      </c>
      <c r="J222" s="39" t="s">
        <v>3517</v>
      </c>
      <c r="R222" s="39" t="s">
        <v>1647</v>
      </c>
      <c r="S222" s="39" t="s">
        <v>3348</v>
      </c>
      <c r="W222" s="39" t="s">
        <v>3652</v>
      </c>
      <c r="X222" s="39" t="s">
        <v>3531</v>
      </c>
      <c r="Y222" s="39">
        <v>7.0</v>
      </c>
      <c r="Z222" s="39" t="b">
        <v>0</v>
      </c>
      <c r="AA222" s="39" t="s">
        <v>3470</v>
      </c>
      <c r="AB222" s="39">
        <v>1.0</v>
      </c>
      <c r="AC222" s="39">
        <v>1.0</v>
      </c>
      <c r="AD222" s="39">
        <v>3.0</v>
      </c>
      <c r="AE222" s="39">
        <v>5.0</v>
      </c>
      <c r="AF222" s="39">
        <v>45.0</v>
      </c>
      <c r="AG222" s="39" t="s">
        <v>3520</v>
      </c>
    </row>
    <row r="223" ht="18.75" customHeight="1">
      <c r="A223" s="26" t="s">
        <v>69</v>
      </c>
      <c r="B223" s="22" t="s">
        <v>1317</v>
      </c>
      <c r="C223" s="37" t="str">
        <f>IF(COUNTIF('クラス'!A:A,E223)&gt;0,"○","×")&amp;IF(COUNTIF('クラス'!A:A,F223)&gt;0,"○","×")</f>
        <v>○×</v>
      </c>
      <c r="D223" s="39" t="b">
        <v>1</v>
      </c>
      <c r="E223" s="39" t="s">
        <v>1317</v>
      </c>
      <c r="G223" s="39">
        <v>1.0</v>
      </c>
      <c r="H223" s="39">
        <v>10.0</v>
      </c>
      <c r="J223" s="39" t="s">
        <v>3544</v>
      </c>
      <c r="R223" s="39" t="s">
        <v>1317</v>
      </c>
      <c r="S223" s="39" t="s">
        <v>3374</v>
      </c>
      <c r="W223" s="39" t="s">
        <v>3653</v>
      </c>
      <c r="X223" s="39" t="s">
        <v>3546</v>
      </c>
      <c r="Y223" s="39">
        <v>1.0</v>
      </c>
      <c r="Z223" s="39" t="b">
        <v>0</v>
      </c>
      <c r="AA223" s="39" t="s">
        <v>3470</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3544</v>
      </c>
      <c r="R224" s="39" t="s">
        <v>1331</v>
      </c>
      <c r="S224" s="39" t="s">
        <v>3374</v>
      </c>
      <c r="W224" s="39" t="s">
        <v>3654</v>
      </c>
      <c r="X224" s="39" t="s">
        <v>3546</v>
      </c>
      <c r="Y224" s="39">
        <v>2.0</v>
      </c>
      <c r="Z224" s="39" t="b">
        <v>0</v>
      </c>
      <c r="AA224" s="39" t="s">
        <v>3470</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3544</v>
      </c>
      <c r="R225" s="39" t="s">
        <v>1344</v>
      </c>
      <c r="S225" s="39" t="s">
        <v>3374</v>
      </c>
      <c r="W225" s="39" t="s">
        <v>3655</v>
      </c>
      <c r="X225" s="39" t="s">
        <v>3546</v>
      </c>
      <c r="Y225" s="39">
        <v>6.0</v>
      </c>
      <c r="Z225" s="39" t="b">
        <v>0</v>
      </c>
      <c r="AA225" s="39" t="s">
        <v>3470</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3656</v>
      </c>
      <c r="B1" s="124" t="s">
        <v>3657</v>
      </c>
      <c r="C1" s="125" t="s">
        <v>3658</v>
      </c>
      <c r="D1" s="124" t="s">
        <v>3659</v>
      </c>
      <c r="E1" s="125" t="s">
        <v>3324</v>
      </c>
      <c r="F1" s="124" t="s">
        <v>3325</v>
      </c>
      <c r="G1" s="124" t="s">
        <v>3326</v>
      </c>
      <c r="H1" s="124" t="s">
        <v>3327</v>
      </c>
      <c r="I1" s="124" t="s">
        <v>2634</v>
      </c>
      <c r="J1" s="124" t="s">
        <v>2636</v>
      </c>
      <c r="K1" s="124" t="s">
        <v>2637</v>
      </c>
      <c r="L1" s="124" t="s">
        <v>2638</v>
      </c>
      <c r="M1" s="124" t="s">
        <v>3660</v>
      </c>
      <c r="N1" s="124" t="s">
        <v>3661</v>
      </c>
    </row>
    <row r="2">
      <c r="A2" s="39" t="s">
        <v>1317</v>
      </c>
      <c r="B2" s="39" t="s">
        <v>3662</v>
      </c>
      <c r="C2" s="126" t="s">
        <v>3663</v>
      </c>
      <c r="D2" s="89">
        <v>3.0</v>
      </c>
      <c r="E2" s="127"/>
      <c r="F2" s="89"/>
      <c r="G2" s="89"/>
      <c r="H2" s="89"/>
      <c r="I2" s="89"/>
      <c r="J2" s="89"/>
      <c r="K2" s="89"/>
      <c r="L2" s="89"/>
      <c r="M2" s="89"/>
      <c r="N2" s="89"/>
    </row>
    <row r="3">
      <c r="A3" s="39" t="s">
        <v>1331</v>
      </c>
      <c r="B3" s="39" t="s">
        <v>3662</v>
      </c>
      <c r="C3" s="126" t="s">
        <v>3664</v>
      </c>
      <c r="D3" s="89">
        <v>6.0</v>
      </c>
      <c r="E3" s="127" t="s">
        <v>3665</v>
      </c>
      <c r="F3" s="89" t="s">
        <v>3666</v>
      </c>
      <c r="G3" s="89"/>
      <c r="H3" s="89"/>
      <c r="I3" s="89"/>
      <c r="J3" s="89"/>
      <c r="K3" s="89"/>
      <c r="L3" s="89"/>
      <c r="M3" s="89"/>
      <c r="N3" s="89"/>
    </row>
    <row r="4">
      <c r="A4" s="39" t="s">
        <v>1344</v>
      </c>
      <c r="B4" s="39" t="s">
        <v>3662</v>
      </c>
      <c r="C4" s="126" t="s">
        <v>2742</v>
      </c>
      <c r="D4" s="89">
        <v>10.0</v>
      </c>
      <c r="E4" s="127"/>
      <c r="F4" s="89"/>
      <c r="G4" s="89"/>
      <c r="H4" s="89"/>
      <c r="I4" s="89"/>
      <c r="J4" s="89"/>
      <c r="K4" s="89"/>
      <c r="L4" s="89"/>
      <c r="M4" s="89"/>
      <c r="N4" s="89"/>
    </row>
    <row r="5">
      <c r="A5" s="39" t="s">
        <v>1357</v>
      </c>
      <c r="B5" s="39" t="s">
        <v>3662</v>
      </c>
      <c r="C5" s="126" t="s">
        <v>3667</v>
      </c>
      <c r="D5" s="89">
        <v>12.0</v>
      </c>
      <c r="E5" s="127"/>
      <c r="F5" s="89"/>
      <c r="G5" s="89"/>
      <c r="H5" s="89"/>
      <c r="I5" s="89"/>
      <c r="J5" s="89"/>
      <c r="K5" s="89"/>
      <c r="L5" s="89"/>
      <c r="M5" s="89"/>
      <c r="N5" s="89"/>
    </row>
    <row r="6">
      <c r="A6" s="39" t="s">
        <v>1370</v>
      </c>
      <c r="B6" s="39" t="s">
        <v>3662</v>
      </c>
      <c r="C6" s="126" t="s">
        <v>3668</v>
      </c>
      <c r="D6" s="89">
        <v>14.0</v>
      </c>
      <c r="E6" s="127"/>
      <c r="F6" s="89" t="s">
        <v>3669</v>
      </c>
      <c r="G6" s="89" t="s">
        <v>3670</v>
      </c>
      <c r="H6" s="89" t="s">
        <v>3671</v>
      </c>
      <c r="I6" s="89"/>
      <c r="J6" s="89" t="s">
        <v>3672</v>
      </c>
      <c r="K6" s="89"/>
      <c r="L6" s="89"/>
      <c r="M6" s="89"/>
      <c r="N6" s="89"/>
    </row>
    <row r="7">
      <c r="A7" s="39" t="s">
        <v>1383</v>
      </c>
      <c r="B7" s="39" t="s">
        <v>3662</v>
      </c>
      <c r="C7" s="126" t="s">
        <v>3673</v>
      </c>
      <c r="D7" s="89">
        <v>16.0</v>
      </c>
      <c r="E7" s="127"/>
      <c r="F7" s="89"/>
      <c r="G7" s="89"/>
      <c r="H7" s="89"/>
      <c r="I7" s="89"/>
      <c r="J7" s="89"/>
      <c r="K7" s="89"/>
      <c r="L7" s="89"/>
      <c r="M7" s="89"/>
      <c r="N7" s="89"/>
    </row>
    <row r="8">
      <c r="A8" s="39" t="s">
        <v>1396</v>
      </c>
      <c r="B8" s="39" t="s">
        <v>3662</v>
      </c>
      <c r="C8" s="126" t="s">
        <v>3674</v>
      </c>
      <c r="D8" s="89">
        <v>18.0</v>
      </c>
      <c r="E8" s="127"/>
      <c r="F8" s="89"/>
      <c r="G8" s="89"/>
      <c r="H8" s="89"/>
      <c r="I8" s="89"/>
      <c r="J8" s="89"/>
      <c r="K8" s="89"/>
      <c r="L8" s="89"/>
      <c r="M8" s="89"/>
      <c r="N8" s="89"/>
    </row>
    <row r="9">
      <c r="A9" s="39" t="s">
        <v>1448</v>
      </c>
      <c r="B9" s="39" t="s">
        <v>3662</v>
      </c>
      <c r="C9" s="126" t="s">
        <v>3675</v>
      </c>
      <c r="D9" s="89">
        <v>20.0</v>
      </c>
      <c r="E9" s="127"/>
      <c r="F9" s="89" t="s">
        <v>3676</v>
      </c>
      <c r="G9" s="89" t="s">
        <v>3677</v>
      </c>
      <c r="H9" s="89" t="s">
        <v>3678</v>
      </c>
      <c r="I9" s="89"/>
      <c r="J9" s="89" t="s">
        <v>3672</v>
      </c>
      <c r="K9" s="89"/>
      <c r="L9" s="89"/>
      <c r="M9" s="89"/>
      <c r="N9" s="89"/>
    </row>
    <row r="10">
      <c r="A10" s="39" t="s">
        <v>1409</v>
      </c>
      <c r="B10" s="39" t="s">
        <v>3662</v>
      </c>
      <c r="C10" s="126" t="s">
        <v>3679</v>
      </c>
      <c r="D10" s="89">
        <v>20.0</v>
      </c>
      <c r="E10" s="127"/>
      <c r="F10" s="89"/>
      <c r="G10" s="89"/>
      <c r="H10" s="89"/>
      <c r="I10" s="89"/>
      <c r="J10" s="89"/>
      <c r="K10" s="89"/>
      <c r="L10" s="89"/>
      <c r="M10" s="89"/>
      <c r="N10" s="89"/>
    </row>
    <row r="11">
      <c r="A11" s="39" t="s">
        <v>2546</v>
      </c>
      <c r="B11" s="39" t="s">
        <v>3662</v>
      </c>
      <c r="C11" s="126" t="s">
        <v>3680</v>
      </c>
      <c r="D11" s="89">
        <v>23.0</v>
      </c>
      <c r="E11" s="127"/>
      <c r="F11" s="89"/>
      <c r="G11" s="89"/>
      <c r="H11" s="89"/>
      <c r="I11" s="89"/>
      <c r="J11" s="89"/>
      <c r="K11" s="89"/>
      <c r="L11" s="89"/>
      <c r="M11" s="89"/>
      <c r="N11" s="89"/>
    </row>
    <row r="12">
      <c r="A12" s="39" t="s">
        <v>1435</v>
      </c>
      <c r="B12" s="39" t="s">
        <v>3662</v>
      </c>
      <c r="C12" s="126" t="s">
        <v>3681</v>
      </c>
      <c r="D12" s="89">
        <v>23.0</v>
      </c>
      <c r="E12" s="127" t="s">
        <v>3682</v>
      </c>
      <c r="F12" s="89" t="s">
        <v>3683</v>
      </c>
      <c r="G12" s="89"/>
      <c r="H12" s="89" t="s">
        <v>3684</v>
      </c>
      <c r="I12" s="89"/>
      <c r="J12" s="89"/>
      <c r="K12" s="89"/>
      <c r="L12" s="89"/>
      <c r="M12" s="89"/>
      <c r="N12" s="89"/>
    </row>
    <row r="13">
      <c r="A13" s="39" t="s">
        <v>2740</v>
      </c>
      <c r="B13" s="39" t="s">
        <v>3662</v>
      </c>
      <c r="C13" s="126" t="s">
        <v>3685</v>
      </c>
      <c r="D13" s="89">
        <v>25.0</v>
      </c>
      <c r="E13" s="127"/>
      <c r="F13" s="89"/>
      <c r="G13" s="89"/>
      <c r="H13" s="89"/>
      <c r="I13" s="89"/>
      <c r="J13" s="89"/>
      <c r="K13" s="89"/>
      <c r="L13" s="89"/>
      <c r="M13" s="89"/>
      <c r="N13" s="89"/>
    </row>
    <row r="14">
      <c r="A14" s="39" t="s">
        <v>2744</v>
      </c>
      <c r="B14" s="39" t="s">
        <v>3662</v>
      </c>
      <c r="C14" s="126" t="s">
        <v>3686</v>
      </c>
      <c r="D14" s="89">
        <v>27.0</v>
      </c>
      <c r="E14" s="127"/>
      <c r="F14" s="89"/>
      <c r="G14" s="89"/>
      <c r="H14" s="89"/>
      <c r="I14" s="89"/>
      <c r="J14" s="89"/>
      <c r="K14" s="89"/>
      <c r="L14" s="89"/>
      <c r="M14" s="89"/>
      <c r="N14" s="89"/>
    </row>
    <row r="15">
      <c r="A15" s="39" t="s">
        <v>1462</v>
      </c>
      <c r="B15" s="39" t="s">
        <v>3662</v>
      </c>
      <c r="C15" s="126" t="s">
        <v>3687</v>
      </c>
      <c r="D15" s="89">
        <v>30.0</v>
      </c>
      <c r="E15" s="127"/>
      <c r="F15" s="89" t="s">
        <v>3688</v>
      </c>
      <c r="G15" s="89" t="s">
        <v>3689</v>
      </c>
      <c r="H15" s="89" t="s">
        <v>3678</v>
      </c>
      <c r="I15" s="89"/>
      <c r="J15" s="89" t="s">
        <v>3690</v>
      </c>
      <c r="K15" s="89"/>
      <c r="L15" s="89"/>
      <c r="M15" s="89"/>
      <c r="N15" s="89"/>
    </row>
    <row r="16">
      <c r="A16" s="41" t="s">
        <v>3691</v>
      </c>
      <c r="B16" s="39" t="s">
        <v>1280</v>
      </c>
      <c r="C16" s="128" t="s">
        <v>3692</v>
      </c>
      <c r="D16" s="89">
        <v>3.0</v>
      </c>
      <c r="E16" s="129" t="s">
        <v>3693</v>
      </c>
      <c r="F16" s="130"/>
      <c r="G16" s="71"/>
      <c r="H16" s="130"/>
      <c r="I16" s="71"/>
      <c r="J16" s="130"/>
      <c r="K16" s="71"/>
      <c r="L16" s="71"/>
      <c r="M16" s="71"/>
      <c r="N16" s="71"/>
    </row>
    <row r="17">
      <c r="A17" s="39" t="s">
        <v>3694</v>
      </c>
      <c r="B17" s="39" t="s">
        <v>1280</v>
      </c>
      <c r="C17" s="128" t="s">
        <v>3695</v>
      </c>
      <c r="D17" s="89">
        <v>6.0</v>
      </c>
      <c r="E17" s="127" t="s">
        <v>3696</v>
      </c>
      <c r="F17" s="130" t="s">
        <v>3697</v>
      </c>
      <c r="G17" s="71"/>
      <c r="H17" s="130" t="s">
        <v>3698</v>
      </c>
      <c r="I17" s="71"/>
      <c r="J17" s="130" t="s">
        <v>3699</v>
      </c>
      <c r="K17" s="71"/>
      <c r="L17" s="71"/>
      <c r="M17" s="71"/>
      <c r="N17" s="71"/>
    </row>
    <row r="18">
      <c r="A18" s="41" t="s">
        <v>3700</v>
      </c>
      <c r="B18" s="39" t="s">
        <v>1280</v>
      </c>
      <c r="C18" s="126" t="s">
        <v>3701</v>
      </c>
      <c r="D18" s="89">
        <v>9.0</v>
      </c>
      <c r="E18" s="127" t="s">
        <v>3702</v>
      </c>
      <c r="F18" s="130" t="s">
        <v>3703</v>
      </c>
      <c r="G18" s="71"/>
      <c r="H18" s="130" t="s">
        <v>3698</v>
      </c>
      <c r="I18" s="71"/>
      <c r="J18" s="130" t="s">
        <v>3699</v>
      </c>
      <c r="K18" s="71"/>
      <c r="L18" s="71"/>
      <c r="M18" s="71"/>
      <c r="N18" s="71"/>
    </row>
    <row r="19">
      <c r="A19" s="39" t="s">
        <v>3704</v>
      </c>
      <c r="B19" s="39" t="s">
        <v>1280</v>
      </c>
      <c r="C19" s="126" t="s">
        <v>3705</v>
      </c>
      <c r="D19" s="89">
        <v>12.0</v>
      </c>
      <c r="E19" s="127" t="s">
        <v>3706</v>
      </c>
      <c r="F19" s="71"/>
      <c r="G19" s="71"/>
      <c r="H19" s="71"/>
      <c r="I19" s="71"/>
      <c r="J19" s="71"/>
      <c r="K19" s="71"/>
      <c r="L19" s="71"/>
      <c r="M19" s="71"/>
      <c r="N19" s="71"/>
    </row>
    <row r="20">
      <c r="A20" s="39" t="s">
        <v>3707</v>
      </c>
      <c r="B20" s="39" t="s">
        <v>1280</v>
      </c>
      <c r="C20" s="126" t="s">
        <v>3708</v>
      </c>
      <c r="D20" s="89">
        <v>15.0</v>
      </c>
      <c r="E20" s="127" t="s">
        <v>3709</v>
      </c>
      <c r="F20" s="71"/>
      <c r="G20" s="71"/>
      <c r="H20" s="71"/>
      <c r="I20" s="71"/>
      <c r="J20" s="71"/>
      <c r="K20" s="71"/>
      <c r="L20" s="71"/>
      <c r="M20" s="71"/>
      <c r="N20" s="71"/>
    </row>
    <row r="21">
      <c r="A21" s="39" t="s">
        <v>3710</v>
      </c>
      <c r="B21" s="39" t="s">
        <v>1280</v>
      </c>
      <c r="C21" s="126" t="s">
        <v>3711</v>
      </c>
      <c r="D21" s="89">
        <v>18.0</v>
      </c>
      <c r="E21" s="127" t="s">
        <v>3712</v>
      </c>
      <c r="F21" s="130" t="s">
        <v>3713</v>
      </c>
      <c r="G21" s="71"/>
      <c r="H21" s="130" t="s">
        <v>3678</v>
      </c>
      <c r="I21" s="130" t="s">
        <v>3714</v>
      </c>
      <c r="J21" s="130" t="s">
        <v>3690</v>
      </c>
      <c r="K21" s="71"/>
      <c r="L21" s="71"/>
      <c r="M21" s="71"/>
      <c r="N21" s="71"/>
    </row>
    <row r="22">
      <c r="A22" s="39" t="s">
        <v>3715</v>
      </c>
      <c r="B22" s="39" t="s">
        <v>1280</v>
      </c>
      <c r="C22" s="126" t="s">
        <v>3716</v>
      </c>
      <c r="D22" s="89">
        <v>21.0</v>
      </c>
      <c r="E22" s="127" t="s">
        <v>3717</v>
      </c>
      <c r="F22" s="130" t="s">
        <v>3713</v>
      </c>
      <c r="G22" s="71"/>
      <c r="H22" s="130" t="s">
        <v>3678</v>
      </c>
      <c r="I22" s="71"/>
      <c r="J22" s="130" t="s">
        <v>3690</v>
      </c>
      <c r="K22" s="71"/>
      <c r="L22" s="71"/>
      <c r="M22" s="71"/>
      <c r="N22" s="71"/>
    </row>
    <row r="23">
      <c r="A23" s="39" t="s">
        <v>3718</v>
      </c>
      <c r="B23" s="39" t="s">
        <v>1280</v>
      </c>
      <c r="C23" s="126" t="s">
        <v>3719</v>
      </c>
      <c r="D23" s="89">
        <v>24.0</v>
      </c>
      <c r="E23" s="127" t="s">
        <v>3720</v>
      </c>
      <c r="F23" s="130" t="s">
        <v>3713</v>
      </c>
      <c r="G23" s="71"/>
      <c r="H23" s="130" t="s">
        <v>3678</v>
      </c>
      <c r="I23" s="130" t="s">
        <v>3714</v>
      </c>
      <c r="J23" s="130" t="s">
        <v>3690</v>
      </c>
      <c r="K23" s="71"/>
      <c r="L23" s="71"/>
      <c r="M23" s="71"/>
      <c r="N23" s="71"/>
    </row>
    <row r="24">
      <c r="A24" s="39" t="s">
        <v>3721</v>
      </c>
      <c r="B24" s="39" t="s">
        <v>1280</v>
      </c>
      <c r="C24" s="126" t="s">
        <v>3722</v>
      </c>
      <c r="D24" s="89">
        <v>27.0</v>
      </c>
      <c r="E24" s="127" t="s">
        <v>3723</v>
      </c>
      <c r="F24" s="130" t="s">
        <v>3724</v>
      </c>
      <c r="G24" s="130" t="s">
        <v>3676</v>
      </c>
      <c r="H24" s="130" t="s">
        <v>3678</v>
      </c>
      <c r="I24" s="130" t="s">
        <v>3714</v>
      </c>
      <c r="J24" s="130" t="s">
        <v>3690</v>
      </c>
      <c r="K24" s="71"/>
      <c r="L24" s="71"/>
      <c r="M24" s="71"/>
      <c r="N24" s="71"/>
    </row>
    <row r="25">
      <c r="A25" s="39" t="s">
        <v>3725</v>
      </c>
      <c r="B25" s="39" t="s">
        <v>1280</v>
      </c>
      <c r="C25" s="128" t="s">
        <v>3726</v>
      </c>
      <c r="D25" s="89">
        <v>30.0</v>
      </c>
      <c r="E25" s="127" t="s">
        <v>3727</v>
      </c>
      <c r="F25" s="130" t="s">
        <v>3728</v>
      </c>
      <c r="G25" s="71"/>
      <c r="H25" s="130" t="s">
        <v>3678</v>
      </c>
      <c r="I25" s="130" t="s">
        <v>3714</v>
      </c>
      <c r="J25" s="130" t="s">
        <v>3690</v>
      </c>
      <c r="K25" s="71"/>
      <c r="L25" s="71"/>
      <c r="M25" s="71"/>
      <c r="N25" s="71"/>
    </row>
    <row r="26">
      <c r="A26" s="39" t="s">
        <v>3729</v>
      </c>
      <c r="B26" s="39" t="s">
        <v>1280</v>
      </c>
      <c r="C26" s="128" t="s">
        <v>3730</v>
      </c>
      <c r="D26" s="89">
        <v>33.0</v>
      </c>
      <c r="E26" s="127" t="s">
        <v>3731</v>
      </c>
      <c r="F26" s="130" t="s">
        <v>3732</v>
      </c>
      <c r="G26" s="71"/>
      <c r="H26" s="130" t="s">
        <v>3733</v>
      </c>
      <c r="I26" s="130" t="s">
        <v>3734</v>
      </c>
      <c r="J26" s="130" t="s">
        <v>3735</v>
      </c>
      <c r="K26" s="71"/>
      <c r="L26" s="71"/>
      <c r="M26" s="71"/>
      <c r="N26" s="71"/>
    </row>
    <row r="27">
      <c r="A27" s="39" t="s">
        <v>3736</v>
      </c>
      <c r="B27" s="39" t="s">
        <v>1280</v>
      </c>
      <c r="C27" s="128" t="s">
        <v>3737</v>
      </c>
      <c r="D27" s="89">
        <v>35.0</v>
      </c>
      <c r="E27" s="127" t="s">
        <v>3738</v>
      </c>
      <c r="F27" s="130" t="s">
        <v>3739</v>
      </c>
      <c r="G27" s="71"/>
      <c r="H27" s="130" t="s">
        <v>3684</v>
      </c>
      <c r="I27" s="130" t="s">
        <v>3740</v>
      </c>
      <c r="J27" s="130" t="s">
        <v>3735</v>
      </c>
      <c r="K27" s="71"/>
      <c r="L27" s="71"/>
      <c r="M27" s="71"/>
      <c r="N27" s="71"/>
    </row>
    <row r="28">
      <c r="A28" s="39" t="s">
        <v>3741</v>
      </c>
      <c r="B28" s="39" t="s">
        <v>3742</v>
      </c>
      <c r="C28" s="128" t="s">
        <v>3743</v>
      </c>
      <c r="D28" s="85">
        <v>6.0</v>
      </c>
      <c r="E28" s="127" t="s">
        <v>3744</v>
      </c>
      <c r="F28" s="130" t="s">
        <v>3745</v>
      </c>
      <c r="G28" s="130"/>
      <c r="H28" s="130" t="s">
        <v>3698</v>
      </c>
      <c r="I28" s="130" t="s">
        <v>3746</v>
      </c>
      <c r="J28" s="130" t="s">
        <v>3699</v>
      </c>
      <c r="K28" s="71"/>
      <c r="L28" s="71"/>
      <c r="M28" s="71"/>
      <c r="N28" s="71"/>
    </row>
    <row r="29">
      <c r="A29" s="39" t="s">
        <v>3747</v>
      </c>
      <c r="B29" s="39" t="s">
        <v>3742</v>
      </c>
      <c r="C29" s="128" t="s">
        <v>3748</v>
      </c>
      <c r="D29" s="85">
        <v>9.0</v>
      </c>
      <c r="E29" s="127" t="s">
        <v>3749</v>
      </c>
      <c r="F29" s="130" t="s">
        <v>3670</v>
      </c>
      <c r="G29" s="130"/>
      <c r="H29" s="130" t="s">
        <v>3698</v>
      </c>
      <c r="I29" s="130"/>
      <c r="J29" s="130" t="s">
        <v>3699</v>
      </c>
      <c r="K29" s="71"/>
      <c r="L29" s="71"/>
      <c r="M29" s="71"/>
      <c r="N29" s="71"/>
    </row>
    <row r="30">
      <c r="A30" s="39" t="s">
        <v>2708</v>
      </c>
      <c r="B30" s="39" t="s">
        <v>3742</v>
      </c>
      <c r="C30" s="128" t="s">
        <v>3750</v>
      </c>
      <c r="D30" s="85">
        <v>10.0</v>
      </c>
      <c r="E30" s="127" t="s">
        <v>3751</v>
      </c>
      <c r="F30" s="130" t="s">
        <v>3697</v>
      </c>
      <c r="G30" s="130" t="s">
        <v>3670</v>
      </c>
      <c r="H30" s="130" t="s">
        <v>3698</v>
      </c>
      <c r="I30" s="130" t="s">
        <v>3746</v>
      </c>
      <c r="J30" s="130" t="s">
        <v>3699</v>
      </c>
      <c r="K30" s="71"/>
      <c r="L30" s="71"/>
      <c r="M30" s="71"/>
      <c r="N30" s="71"/>
    </row>
    <row r="31">
      <c r="A31" s="39" t="s">
        <v>3752</v>
      </c>
      <c r="B31" s="39" t="s">
        <v>3742</v>
      </c>
      <c r="C31" s="128" t="s">
        <v>3753</v>
      </c>
      <c r="D31" s="85">
        <v>12.0</v>
      </c>
      <c r="E31" s="127" t="s">
        <v>3754</v>
      </c>
      <c r="F31" s="130" t="s">
        <v>3669</v>
      </c>
      <c r="G31" s="130" t="s">
        <v>3677</v>
      </c>
      <c r="H31" s="130" t="s">
        <v>3671</v>
      </c>
      <c r="I31" s="130" t="s">
        <v>3755</v>
      </c>
      <c r="J31" s="130" t="s">
        <v>3672</v>
      </c>
      <c r="K31" s="71"/>
      <c r="L31" s="71"/>
      <c r="M31" s="71"/>
      <c r="N31" s="71"/>
    </row>
    <row r="32">
      <c r="A32" s="41" t="s">
        <v>2711</v>
      </c>
      <c r="B32" s="39" t="s">
        <v>3742</v>
      </c>
      <c r="C32" s="128" t="s">
        <v>3756</v>
      </c>
      <c r="D32" s="89">
        <v>15.0</v>
      </c>
      <c r="E32" s="127" t="s">
        <v>3757</v>
      </c>
      <c r="F32" s="130" t="s">
        <v>3669</v>
      </c>
      <c r="G32" s="130" t="s">
        <v>3677</v>
      </c>
      <c r="H32" s="130" t="s">
        <v>3671</v>
      </c>
      <c r="I32" s="130" t="s">
        <v>3755</v>
      </c>
      <c r="J32" s="130" t="s">
        <v>3672</v>
      </c>
      <c r="K32" s="71"/>
      <c r="L32" s="71"/>
      <c r="M32" s="71"/>
      <c r="N32" s="71"/>
    </row>
    <row r="33">
      <c r="A33" s="39" t="s">
        <v>3758</v>
      </c>
      <c r="B33" s="39" t="s">
        <v>3742</v>
      </c>
      <c r="C33" s="128" t="s">
        <v>3759</v>
      </c>
      <c r="D33" s="85">
        <v>18.0</v>
      </c>
      <c r="E33" s="127" t="s">
        <v>3760</v>
      </c>
      <c r="F33" s="130" t="s">
        <v>3713</v>
      </c>
      <c r="G33" s="89"/>
      <c r="H33" s="130" t="s">
        <v>3678</v>
      </c>
      <c r="I33" s="89" t="s">
        <v>3714</v>
      </c>
      <c r="J33" s="130" t="s">
        <v>3690</v>
      </c>
      <c r="K33" s="71"/>
      <c r="L33" s="71"/>
      <c r="M33" s="71"/>
      <c r="N33" s="71"/>
    </row>
    <row r="34">
      <c r="A34" s="39" t="s">
        <v>2714</v>
      </c>
      <c r="B34" s="39" t="s">
        <v>3742</v>
      </c>
      <c r="C34" s="126" t="s">
        <v>3761</v>
      </c>
      <c r="D34" s="89">
        <v>21.0</v>
      </c>
      <c r="E34" s="127" t="s">
        <v>3762</v>
      </c>
      <c r="F34" s="130" t="s">
        <v>3676</v>
      </c>
      <c r="G34" s="89" t="s">
        <v>3689</v>
      </c>
      <c r="H34" s="130" t="s">
        <v>3678</v>
      </c>
      <c r="I34" s="89" t="s">
        <v>3714</v>
      </c>
      <c r="J34" s="130" t="s">
        <v>3690</v>
      </c>
      <c r="K34" s="71"/>
      <c r="L34" s="71"/>
      <c r="M34" s="71"/>
      <c r="N34" s="71"/>
    </row>
    <row r="35">
      <c r="A35" s="39" t="s">
        <v>3763</v>
      </c>
      <c r="B35" s="39" t="s">
        <v>3742</v>
      </c>
      <c r="C35" s="126" t="s">
        <v>3764</v>
      </c>
      <c r="D35" s="89">
        <v>24.0</v>
      </c>
      <c r="E35" s="127" t="s">
        <v>3765</v>
      </c>
      <c r="F35" s="130" t="s">
        <v>3683</v>
      </c>
      <c r="G35" s="71"/>
      <c r="H35" s="130" t="s">
        <v>3684</v>
      </c>
      <c r="I35" s="89" t="s">
        <v>3740</v>
      </c>
      <c r="J35" s="130" t="s">
        <v>3735</v>
      </c>
      <c r="K35" s="71"/>
      <c r="L35" s="71"/>
      <c r="M35" s="71"/>
      <c r="N35" s="71"/>
    </row>
    <row r="36">
      <c r="A36" s="39" t="s">
        <v>3766</v>
      </c>
      <c r="B36" s="39" t="s">
        <v>3742</v>
      </c>
      <c r="C36" s="126" t="s">
        <v>3767</v>
      </c>
      <c r="D36" s="89">
        <v>27.0</v>
      </c>
      <c r="E36" s="127" t="s">
        <v>3768</v>
      </c>
      <c r="F36" s="130" t="s">
        <v>3769</v>
      </c>
      <c r="G36" s="89" t="s">
        <v>3689</v>
      </c>
      <c r="H36" s="130" t="s">
        <v>3678</v>
      </c>
      <c r="I36" s="89" t="s">
        <v>3714</v>
      </c>
      <c r="J36" s="130" t="s">
        <v>3690</v>
      </c>
      <c r="K36" s="71"/>
      <c r="L36" s="71"/>
      <c r="M36" s="71"/>
      <c r="N36" s="71"/>
    </row>
    <row r="37">
      <c r="A37" s="39" t="s">
        <v>2717</v>
      </c>
      <c r="B37" s="39" t="s">
        <v>3742</v>
      </c>
      <c r="C37" s="126" t="s">
        <v>3770</v>
      </c>
      <c r="D37" s="89">
        <v>28.0</v>
      </c>
      <c r="E37" s="127" t="s">
        <v>3771</v>
      </c>
      <c r="F37" s="130" t="s">
        <v>3676</v>
      </c>
      <c r="G37" s="89" t="s">
        <v>3689</v>
      </c>
      <c r="H37" s="130" t="s">
        <v>3678</v>
      </c>
      <c r="I37" s="89" t="s">
        <v>3714</v>
      </c>
      <c r="J37" s="130" t="s">
        <v>3690</v>
      </c>
      <c r="K37" s="71"/>
      <c r="L37" s="71"/>
      <c r="M37" s="71"/>
      <c r="N37" s="71"/>
    </row>
    <row r="38">
      <c r="A38" s="39" t="s">
        <v>3772</v>
      </c>
      <c r="B38" s="39" t="s">
        <v>3742</v>
      </c>
      <c r="C38" s="126" t="s">
        <v>3773</v>
      </c>
      <c r="D38" s="89">
        <v>30.0</v>
      </c>
      <c r="E38" s="127" t="s">
        <v>3774</v>
      </c>
      <c r="F38" s="130" t="s">
        <v>3688</v>
      </c>
      <c r="G38" s="89" t="s">
        <v>3689</v>
      </c>
      <c r="H38" s="130" t="s">
        <v>3678</v>
      </c>
      <c r="I38" s="89" t="s">
        <v>3714</v>
      </c>
      <c r="J38" s="130" t="s">
        <v>3690</v>
      </c>
      <c r="K38" s="71"/>
      <c r="L38" s="71"/>
      <c r="M38" s="71"/>
      <c r="N38" s="71"/>
    </row>
    <row r="39">
      <c r="A39" s="39" t="s">
        <v>2720</v>
      </c>
      <c r="B39" s="39" t="s">
        <v>3742</v>
      </c>
      <c r="C39" s="126" t="s">
        <v>3775</v>
      </c>
      <c r="D39" s="89">
        <v>35.0</v>
      </c>
      <c r="E39" s="127" t="s">
        <v>3776</v>
      </c>
      <c r="F39" s="130"/>
      <c r="G39" s="89"/>
      <c r="H39" s="130" t="s">
        <v>3777</v>
      </c>
      <c r="I39" s="89"/>
      <c r="J39" s="130" t="s">
        <v>3735</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3778</v>
      </c>
      <c r="C43" s="126" t="s">
        <v>2752</v>
      </c>
      <c r="D43" s="89">
        <v>10.0</v>
      </c>
      <c r="E43" s="127" t="s">
        <v>3779</v>
      </c>
      <c r="F43" s="130"/>
      <c r="G43" s="71"/>
      <c r="H43" s="130"/>
      <c r="I43" s="71"/>
      <c r="J43" s="130"/>
      <c r="K43" s="71"/>
      <c r="L43" s="71"/>
      <c r="M43" s="71"/>
      <c r="N43" s="71"/>
    </row>
    <row r="44">
      <c r="A44" s="39" t="s">
        <v>2751</v>
      </c>
      <c r="B44" s="39" t="s">
        <v>3778</v>
      </c>
      <c r="C44" s="126" t="s">
        <v>3780</v>
      </c>
      <c r="D44" s="89">
        <v>20.0</v>
      </c>
      <c r="E44" s="127" t="s">
        <v>3781</v>
      </c>
      <c r="F44" s="130"/>
      <c r="G44" s="71"/>
      <c r="H44" s="130"/>
      <c r="I44" s="71"/>
      <c r="J44" s="130"/>
      <c r="K44" s="71"/>
      <c r="L44" s="71"/>
      <c r="M44" s="71"/>
      <c r="N44" s="71"/>
    </row>
    <row r="45">
      <c r="A45" s="39" t="s">
        <v>2754</v>
      </c>
      <c r="B45" s="39" t="s">
        <v>3778</v>
      </c>
      <c r="C45" s="126" t="s">
        <v>3782</v>
      </c>
      <c r="D45" s="89">
        <v>30.0</v>
      </c>
      <c r="E45" s="127" t="s">
        <v>3781</v>
      </c>
      <c r="F45" s="130"/>
      <c r="G45" s="71"/>
      <c r="H45" s="130"/>
      <c r="I45" s="71"/>
      <c r="J45" s="130"/>
      <c r="K45" s="71"/>
      <c r="L45" s="71"/>
      <c r="M45" s="71"/>
      <c r="N45" s="71"/>
    </row>
    <row r="46">
      <c r="A46" s="39" t="s">
        <v>1479</v>
      </c>
      <c r="B46" s="39" t="s">
        <v>3778</v>
      </c>
      <c r="C46" s="126" t="s">
        <v>2761</v>
      </c>
      <c r="D46" s="89">
        <v>10.0</v>
      </c>
      <c r="E46" s="127" t="s">
        <v>3783</v>
      </c>
      <c r="F46" s="130"/>
      <c r="G46" s="71"/>
      <c r="H46" s="130"/>
      <c r="I46" s="71"/>
      <c r="J46" s="130"/>
      <c r="K46" s="71"/>
      <c r="L46" s="71"/>
      <c r="M46" s="71"/>
      <c r="N46" s="71"/>
    </row>
    <row r="47">
      <c r="A47" s="39" t="s">
        <v>2760</v>
      </c>
      <c r="B47" s="39" t="s">
        <v>3778</v>
      </c>
      <c r="C47" s="126" t="s">
        <v>3784</v>
      </c>
      <c r="D47" s="89">
        <v>20.0</v>
      </c>
      <c r="E47" s="127" t="s">
        <v>3785</v>
      </c>
      <c r="F47" s="130"/>
      <c r="G47" s="71"/>
      <c r="H47" s="130"/>
      <c r="I47" s="71"/>
      <c r="J47" s="130"/>
      <c r="K47" s="71"/>
      <c r="L47" s="71"/>
      <c r="M47" s="71"/>
      <c r="N47" s="71"/>
    </row>
    <row r="48">
      <c r="A48" s="39" t="s">
        <v>2763</v>
      </c>
      <c r="B48" s="39" t="s">
        <v>3778</v>
      </c>
      <c r="C48" s="126" t="s">
        <v>3786</v>
      </c>
      <c r="D48" s="89">
        <v>30.0</v>
      </c>
      <c r="E48" s="127" t="s">
        <v>3785</v>
      </c>
      <c r="F48" s="130"/>
      <c r="G48" s="71"/>
      <c r="H48" s="130"/>
      <c r="I48" s="71"/>
      <c r="J48" s="130"/>
      <c r="K48" s="71"/>
      <c r="L48" s="71"/>
      <c r="M48" s="71"/>
      <c r="N48" s="71"/>
    </row>
    <row r="49">
      <c r="A49" s="39" t="s">
        <v>1480</v>
      </c>
      <c r="B49" s="39" t="s">
        <v>3778</v>
      </c>
      <c r="C49" s="126" t="s">
        <v>2770</v>
      </c>
      <c r="D49" s="89">
        <v>10.0</v>
      </c>
      <c r="E49" s="127" t="s">
        <v>3787</v>
      </c>
      <c r="F49" s="130"/>
      <c r="G49" s="71"/>
      <c r="H49" s="130"/>
      <c r="I49" s="71"/>
      <c r="J49" s="130"/>
      <c r="K49" s="71"/>
      <c r="L49" s="71"/>
      <c r="M49" s="71"/>
      <c r="N49" s="71"/>
    </row>
    <row r="50">
      <c r="A50" s="39" t="s">
        <v>2769</v>
      </c>
      <c r="B50" s="39" t="s">
        <v>3778</v>
      </c>
      <c r="C50" s="126" t="s">
        <v>3788</v>
      </c>
      <c r="D50" s="89">
        <v>20.0</v>
      </c>
      <c r="E50" s="127" t="s">
        <v>3789</v>
      </c>
      <c r="F50" s="130"/>
      <c r="G50" s="71"/>
      <c r="H50" s="130"/>
      <c r="I50" s="71"/>
      <c r="J50" s="130"/>
      <c r="K50" s="71"/>
      <c r="L50" s="71"/>
      <c r="M50" s="71"/>
      <c r="N50" s="71"/>
    </row>
    <row r="51">
      <c r="A51" s="39" t="s">
        <v>2772</v>
      </c>
      <c r="B51" s="39" t="s">
        <v>3778</v>
      </c>
      <c r="C51" s="126" t="s">
        <v>3790</v>
      </c>
      <c r="D51" s="89">
        <v>30.0</v>
      </c>
      <c r="E51" s="127" t="s">
        <v>3789</v>
      </c>
      <c r="F51" s="130"/>
      <c r="G51" s="71"/>
      <c r="H51" s="130"/>
      <c r="I51" s="71"/>
      <c r="J51" s="130"/>
      <c r="K51" s="71"/>
      <c r="L51" s="71"/>
      <c r="M51" s="71"/>
      <c r="N51" s="71"/>
    </row>
    <row r="52">
      <c r="A52" s="39" t="s">
        <v>1489</v>
      </c>
      <c r="B52" s="39" t="s">
        <v>3778</v>
      </c>
      <c r="C52" s="126" t="s">
        <v>2779</v>
      </c>
      <c r="D52" s="89">
        <v>10.0</v>
      </c>
      <c r="E52" s="127" t="s">
        <v>3791</v>
      </c>
      <c r="F52" s="130"/>
      <c r="G52" s="71"/>
      <c r="H52" s="130"/>
      <c r="I52" s="71"/>
      <c r="J52" s="130"/>
      <c r="K52" s="71"/>
      <c r="L52" s="71"/>
      <c r="M52" s="71"/>
      <c r="N52" s="71"/>
    </row>
    <row r="53">
      <c r="A53" s="39" t="s">
        <v>2778</v>
      </c>
      <c r="B53" s="39" t="s">
        <v>3778</v>
      </c>
      <c r="C53" s="126" t="s">
        <v>3792</v>
      </c>
      <c r="D53" s="89">
        <v>20.0</v>
      </c>
      <c r="E53" s="127" t="s">
        <v>3793</v>
      </c>
      <c r="F53" s="130"/>
      <c r="G53" s="71"/>
      <c r="H53" s="130"/>
      <c r="I53" s="71"/>
      <c r="J53" s="130"/>
      <c r="K53" s="71"/>
      <c r="L53" s="71"/>
      <c r="M53" s="71"/>
      <c r="N53" s="71"/>
    </row>
    <row r="54">
      <c r="A54" s="39" t="s">
        <v>2781</v>
      </c>
      <c r="B54" s="39" t="s">
        <v>3778</v>
      </c>
      <c r="C54" s="126" t="s">
        <v>3794</v>
      </c>
      <c r="D54" s="89">
        <v>30.0</v>
      </c>
      <c r="E54" s="127" t="s">
        <v>3793</v>
      </c>
      <c r="F54" s="130"/>
      <c r="G54" s="71"/>
      <c r="H54" s="130"/>
      <c r="I54" s="71"/>
      <c r="J54" s="130"/>
      <c r="K54" s="71"/>
      <c r="L54" s="71"/>
      <c r="M54" s="71"/>
      <c r="N54" s="71"/>
    </row>
    <row r="55">
      <c r="A55" s="39" t="s">
        <v>1491</v>
      </c>
      <c r="B55" s="39" t="s">
        <v>3778</v>
      </c>
      <c r="C55" s="126" t="s">
        <v>2788</v>
      </c>
      <c r="D55" s="89">
        <v>10.0</v>
      </c>
      <c r="E55" s="127" t="s">
        <v>3795</v>
      </c>
      <c r="F55" s="130"/>
      <c r="G55" s="71"/>
      <c r="H55" s="130"/>
      <c r="I55" s="71"/>
      <c r="J55" s="130"/>
      <c r="K55" s="71"/>
      <c r="L55" s="71"/>
      <c r="M55" s="71"/>
      <c r="N55" s="71"/>
    </row>
    <row r="56">
      <c r="A56" s="39" t="s">
        <v>2787</v>
      </c>
      <c r="B56" s="39" t="s">
        <v>3778</v>
      </c>
      <c r="C56" s="126" t="s">
        <v>3796</v>
      </c>
      <c r="D56" s="89">
        <v>20.0</v>
      </c>
      <c r="E56" s="127" t="s">
        <v>3797</v>
      </c>
      <c r="F56" s="130"/>
      <c r="G56" s="71"/>
      <c r="H56" s="130"/>
      <c r="I56" s="71"/>
      <c r="J56" s="130"/>
      <c r="K56" s="71"/>
      <c r="L56" s="71"/>
      <c r="M56" s="71"/>
      <c r="N56" s="71"/>
    </row>
    <row r="57">
      <c r="A57" s="39" t="s">
        <v>2790</v>
      </c>
      <c r="B57" s="39" t="s">
        <v>3778</v>
      </c>
      <c r="C57" s="126" t="s">
        <v>3798</v>
      </c>
      <c r="D57" s="89">
        <v>30.0</v>
      </c>
      <c r="E57" s="127" t="s">
        <v>3797</v>
      </c>
      <c r="F57" s="130"/>
      <c r="G57" s="71"/>
      <c r="H57" s="130"/>
      <c r="I57" s="71"/>
      <c r="J57" s="130"/>
      <c r="K57" s="71"/>
      <c r="L57" s="71"/>
      <c r="M57" s="71"/>
      <c r="N57" s="71"/>
    </row>
    <row r="58">
      <c r="A58" s="39" t="s">
        <v>3799</v>
      </c>
      <c r="B58" s="39" t="s">
        <v>3778</v>
      </c>
      <c r="C58" s="126" t="s">
        <v>3800</v>
      </c>
      <c r="D58" s="89">
        <v>15.0</v>
      </c>
      <c r="E58" s="127" t="s">
        <v>3801</v>
      </c>
      <c r="F58" s="130" t="s">
        <v>3669</v>
      </c>
      <c r="G58" s="71"/>
      <c r="H58" s="130" t="s">
        <v>3698</v>
      </c>
      <c r="I58" s="71"/>
      <c r="J58" s="130" t="s">
        <v>3699</v>
      </c>
      <c r="K58" s="71"/>
      <c r="L58" s="71"/>
      <c r="M58" s="71"/>
      <c r="N58" s="71"/>
    </row>
    <row r="59">
      <c r="A59" s="39" t="s">
        <v>3802</v>
      </c>
      <c r="B59" s="39" t="s">
        <v>3778</v>
      </c>
      <c r="C59" s="126" t="s">
        <v>3803</v>
      </c>
      <c r="D59" s="89">
        <v>15.0</v>
      </c>
      <c r="E59" s="127" t="s">
        <v>3804</v>
      </c>
      <c r="F59" s="130" t="s">
        <v>3669</v>
      </c>
      <c r="G59" s="89" t="s">
        <v>3677</v>
      </c>
      <c r="H59" s="130" t="s">
        <v>3671</v>
      </c>
      <c r="I59" s="71"/>
      <c r="J59" s="130" t="s">
        <v>3672</v>
      </c>
      <c r="K59" s="71"/>
      <c r="L59" s="71"/>
      <c r="M59" s="71"/>
      <c r="N59" s="71"/>
    </row>
    <row r="60">
      <c r="A60" s="39" t="s">
        <v>3805</v>
      </c>
      <c r="B60" s="39" t="s">
        <v>3778</v>
      </c>
      <c r="C60" s="126" t="s">
        <v>3806</v>
      </c>
      <c r="D60" s="89">
        <v>15.0</v>
      </c>
      <c r="E60" s="127" t="s">
        <v>3807</v>
      </c>
      <c r="F60" s="130" t="s">
        <v>3669</v>
      </c>
      <c r="G60" s="71"/>
      <c r="H60" s="130" t="s">
        <v>3698</v>
      </c>
      <c r="I60" s="71"/>
      <c r="J60" s="130" t="s">
        <v>3699</v>
      </c>
      <c r="K60" s="71"/>
      <c r="L60" s="71"/>
      <c r="M60" s="71"/>
      <c r="N60" s="71"/>
    </row>
    <row r="61">
      <c r="A61" s="39" t="s">
        <v>3808</v>
      </c>
      <c r="B61" s="39" t="s">
        <v>3778</v>
      </c>
      <c r="C61" s="126" t="s">
        <v>3809</v>
      </c>
      <c r="D61" s="89">
        <v>15.0</v>
      </c>
      <c r="E61" s="127" t="s">
        <v>3810</v>
      </c>
      <c r="F61" s="130" t="s">
        <v>3669</v>
      </c>
      <c r="G61" s="89" t="s">
        <v>3677</v>
      </c>
      <c r="H61" s="130" t="s">
        <v>3671</v>
      </c>
      <c r="I61" s="71"/>
      <c r="J61" s="130" t="s">
        <v>3672</v>
      </c>
      <c r="K61" s="71"/>
      <c r="L61" s="71"/>
      <c r="M61" s="71"/>
      <c r="N61" s="71"/>
    </row>
    <row r="62">
      <c r="A62" s="39" t="s">
        <v>3811</v>
      </c>
      <c r="B62" s="39" t="s">
        <v>3778</v>
      </c>
      <c r="C62" s="126" t="s">
        <v>3812</v>
      </c>
      <c r="D62" s="89">
        <v>15.0</v>
      </c>
      <c r="E62" s="127" t="s">
        <v>3813</v>
      </c>
      <c r="F62" s="130" t="s">
        <v>3745</v>
      </c>
      <c r="G62" s="71"/>
      <c r="H62" s="130" t="s">
        <v>3814</v>
      </c>
      <c r="I62" s="71"/>
      <c r="J62" s="130" t="s">
        <v>3699</v>
      </c>
      <c r="K62" s="71"/>
      <c r="L62" s="71"/>
      <c r="M62" s="71"/>
      <c r="N62" s="71"/>
    </row>
    <row r="63">
      <c r="A63" s="39" t="s">
        <v>3815</v>
      </c>
      <c r="B63" s="39" t="s">
        <v>3778</v>
      </c>
      <c r="C63" s="126" t="s">
        <v>3816</v>
      </c>
      <c r="D63" s="89">
        <v>25.0</v>
      </c>
      <c r="E63" s="127" t="s">
        <v>3817</v>
      </c>
      <c r="F63" s="130" t="s">
        <v>3676</v>
      </c>
      <c r="G63" s="71"/>
      <c r="H63" s="130" t="s">
        <v>3733</v>
      </c>
      <c r="I63" s="71"/>
      <c r="J63" s="130" t="s">
        <v>3735</v>
      </c>
      <c r="K63" s="71"/>
      <c r="L63" s="71"/>
      <c r="M63" s="71"/>
      <c r="N63" s="71"/>
    </row>
    <row r="64">
      <c r="A64" s="39" t="s">
        <v>3818</v>
      </c>
      <c r="B64" s="39" t="s">
        <v>3778</v>
      </c>
      <c r="C64" s="126" t="s">
        <v>3819</v>
      </c>
      <c r="D64" s="89">
        <v>25.0</v>
      </c>
      <c r="E64" s="127" t="s">
        <v>3820</v>
      </c>
      <c r="F64" s="130" t="s">
        <v>3676</v>
      </c>
      <c r="G64" s="89" t="s">
        <v>3689</v>
      </c>
      <c r="H64" s="130" t="s">
        <v>3678</v>
      </c>
      <c r="I64" s="71"/>
      <c r="J64" s="130" t="s">
        <v>3690</v>
      </c>
      <c r="K64" s="71"/>
      <c r="L64" s="71"/>
      <c r="M64" s="71"/>
      <c r="N64" s="71"/>
    </row>
    <row r="65">
      <c r="A65" s="39" t="s">
        <v>3821</v>
      </c>
      <c r="B65" s="39" t="s">
        <v>3778</v>
      </c>
      <c r="C65" s="126" t="s">
        <v>3822</v>
      </c>
      <c r="D65" s="89">
        <v>25.0</v>
      </c>
      <c r="E65" s="127" t="s">
        <v>3823</v>
      </c>
      <c r="F65" s="130" t="s">
        <v>3676</v>
      </c>
      <c r="G65" s="71"/>
      <c r="H65" s="130" t="s">
        <v>3733</v>
      </c>
      <c r="I65" s="71"/>
      <c r="J65" s="130" t="s">
        <v>3735</v>
      </c>
      <c r="K65" s="71"/>
      <c r="L65" s="71"/>
      <c r="M65" s="71"/>
      <c r="N65" s="71"/>
    </row>
    <row r="66">
      <c r="A66" s="39" t="s">
        <v>3824</v>
      </c>
      <c r="B66" s="39" t="s">
        <v>3778</v>
      </c>
      <c r="C66" s="126" t="s">
        <v>3825</v>
      </c>
      <c r="D66" s="89">
        <v>25.0</v>
      </c>
      <c r="E66" s="127" t="s">
        <v>3826</v>
      </c>
      <c r="F66" s="130" t="s">
        <v>3676</v>
      </c>
      <c r="G66" s="89" t="s">
        <v>3689</v>
      </c>
      <c r="H66" s="130" t="s">
        <v>3678</v>
      </c>
      <c r="I66" s="71"/>
      <c r="J66" s="130" t="s">
        <v>3690</v>
      </c>
      <c r="K66" s="71"/>
      <c r="L66" s="71"/>
      <c r="M66" s="71"/>
      <c r="N66" s="71"/>
    </row>
    <row r="67">
      <c r="A67" s="39" t="s">
        <v>3827</v>
      </c>
      <c r="B67" s="39" t="s">
        <v>3778</v>
      </c>
      <c r="C67" s="126" t="s">
        <v>3828</v>
      </c>
      <c r="D67" s="89">
        <v>25.0</v>
      </c>
      <c r="E67" s="127" t="s">
        <v>3829</v>
      </c>
      <c r="F67" s="130" t="s">
        <v>3683</v>
      </c>
      <c r="G67" s="71"/>
      <c r="H67" s="130" t="s">
        <v>3684</v>
      </c>
      <c r="I67" s="71"/>
      <c r="J67" s="130" t="s">
        <v>3735</v>
      </c>
      <c r="K67" s="71"/>
      <c r="L67" s="71"/>
      <c r="M67" s="71"/>
      <c r="N67" s="71"/>
    </row>
    <row r="68">
      <c r="C68" s="131"/>
      <c r="E68" s="132"/>
    </row>
    <row r="69">
      <c r="A69" s="39" t="s">
        <v>3830</v>
      </c>
      <c r="B69" s="39" t="s">
        <v>3742</v>
      </c>
      <c r="C69" s="126" t="s">
        <v>3831</v>
      </c>
      <c r="D69" s="89">
        <v>9.0</v>
      </c>
      <c r="E69" s="127" t="s">
        <v>3832</v>
      </c>
      <c r="F69" s="71"/>
      <c r="G69" s="71"/>
      <c r="H69" s="71"/>
      <c r="I69" s="71"/>
      <c r="J69" s="71"/>
      <c r="K69" s="71"/>
      <c r="L69" s="71"/>
      <c r="M69" s="71"/>
      <c r="N69" s="71"/>
    </row>
    <row r="70">
      <c r="A70" s="39" t="s">
        <v>3833</v>
      </c>
      <c r="B70" s="39" t="s">
        <v>3742</v>
      </c>
      <c r="C70" s="126" t="s">
        <v>3834</v>
      </c>
      <c r="D70" s="89">
        <v>15.0</v>
      </c>
      <c r="E70" s="127" t="s">
        <v>3835</v>
      </c>
      <c r="F70" s="71"/>
      <c r="G70" s="71"/>
      <c r="H70" s="71"/>
      <c r="I70" s="71"/>
      <c r="J70" s="71"/>
      <c r="K70" s="71"/>
      <c r="L70" s="71"/>
      <c r="M70" s="71"/>
      <c r="N70" s="71"/>
    </row>
    <row r="71">
      <c r="A71" s="39" t="s">
        <v>3836</v>
      </c>
      <c r="B71" s="39" t="s">
        <v>3742</v>
      </c>
      <c r="C71" s="126" t="s">
        <v>3837</v>
      </c>
      <c r="D71" s="89">
        <v>21.0</v>
      </c>
      <c r="E71" s="127" t="s">
        <v>3838</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3839</v>
      </c>
      <c r="B1" s="133" t="s">
        <v>3840</v>
      </c>
      <c r="C1" s="133" t="s">
        <v>3841</v>
      </c>
      <c r="D1" s="133" t="s">
        <v>3842</v>
      </c>
      <c r="E1" s="133" t="s">
        <v>3843</v>
      </c>
      <c r="F1" s="133" t="s">
        <v>3844</v>
      </c>
      <c r="G1" s="133" t="s">
        <v>3324</v>
      </c>
      <c r="H1" s="133"/>
      <c r="I1" s="134"/>
      <c r="J1" s="133" t="s">
        <v>3845</v>
      </c>
      <c r="K1" s="133" t="s">
        <v>3846</v>
      </c>
      <c r="L1" s="133" t="s">
        <v>3847</v>
      </c>
      <c r="M1" s="133" t="s">
        <v>3844</v>
      </c>
      <c r="N1" s="133" t="s">
        <v>3324</v>
      </c>
      <c r="O1" s="133"/>
      <c r="P1" s="135" t="s">
        <v>3848</v>
      </c>
      <c r="Q1" s="135" t="s">
        <v>3657</v>
      </c>
      <c r="R1" s="135" t="s">
        <v>3849</v>
      </c>
      <c r="S1" s="135" t="s">
        <v>3850</v>
      </c>
      <c r="T1" s="135" t="s">
        <v>3851</v>
      </c>
      <c r="U1" s="135" t="s">
        <v>3844</v>
      </c>
      <c r="V1" s="135" t="s">
        <v>3324</v>
      </c>
      <c r="W1" s="135"/>
    </row>
    <row r="2">
      <c r="A2" s="119" t="s">
        <v>3852</v>
      </c>
      <c r="B2" s="119" t="s">
        <v>3853</v>
      </c>
      <c r="C2" s="119" t="s">
        <v>3854</v>
      </c>
      <c r="D2" s="119" t="s">
        <v>3855</v>
      </c>
      <c r="E2" s="111" t="s">
        <v>3856</v>
      </c>
      <c r="F2" s="119" t="s">
        <v>3857</v>
      </c>
      <c r="G2" s="119" t="s">
        <v>3858</v>
      </c>
      <c r="H2" s="119"/>
      <c r="I2" s="136"/>
      <c r="J2" s="119" t="s">
        <v>1501</v>
      </c>
      <c r="K2" s="119" t="s">
        <v>1812</v>
      </c>
      <c r="L2" s="119" t="s">
        <v>3549</v>
      </c>
      <c r="M2" s="119" t="s">
        <v>3857</v>
      </c>
      <c r="N2" s="119" t="s">
        <v>3859</v>
      </c>
      <c r="O2" s="119"/>
      <c r="P2" s="137" t="s">
        <v>1820</v>
      </c>
      <c r="Q2" s="137" t="s">
        <v>3860</v>
      </c>
      <c r="R2" s="137" t="s">
        <v>29</v>
      </c>
      <c r="S2" s="137" t="s">
        <v>3861</v>
      </c>
      <c r="T2" s="137" t="s">
        <v>3862</v>
      </c>
      <c r="U2" s="137" t="s">
        <v>3863</v>
      </c>
      <c r="V2" s="137" t="s">
        <v>3864</v>
      </c>
      <c r="W2" s="137"/>
    </row>
    <row r="3">
      <c r="A3" s="119" t="s">
        <v>3865</v>
      </c>
      <c r="B3" s="119" t="s">
        <v>3836</v>
      </c>
      <c r="C3" s="119" t="s">
        <v>1820</v>
      </c>
      <c r="D3" s="119" t="s">
        <v>3866</v>
      </c>
      <c r="E3" s="111" t="s">
        <v>3867</v>
      </c>
      <c r="F3" s="119" t="s">
        <v>3868</v>
      </c>
      <c r="G3" s="119" t="s">
        <v>3869</v>
      </c>
      <c r="H3" s="119"/>
      <c r="I3" s="136"/>
      <c r="J3" s="119" t="s">
        <v>1501</v>
      </c>
      <c r="K3" s="119" t="s">
        <v>1763</v>
      </c>
      <c r="L3" s="119" t="s">
        <v>3554</v>
      </c>
      <c r="M3" s="119" t="s">
        <v>3857</v>
      </c>
      <c r="N3" s="119" t="s">
        <v>3859</v>
      </c>
      <c r="O3" s="119"/>
      <c r="P3" s="137" t="s">
        <v>1838</v>
      </c>
      <c r="Q3" s="137" t="s">
        <v>3870</v>
      </c>
      <c r="R3" s="137" t="s">
        <v>1820</v>
      </c>
      <c r="S3" s="137" t="s">
        <v>3871</v>
      </c>
      <c r="T3" s="137" t="s">
        <v>3872</v>
      </c>
      <c r="U3" s="137" t="s">
        <v>3863</v>
      </c>
      <c r="V3" s="137" t="s">
        <v>3873</v>
      </c>
      <c r="W3" s="137"/>
    </row>
    <row r="4">
      <c r="A4" s="119" t="s">
        <v>3874</v>
      </c>
      <c r="B4" s="119" t="s">
        <v>3704</v>
      </c>
      <c r="C4" s="119"/>
      <c r="D4" s="119"/>
      <c r="E4" s="111"/>
      <c r="F4" s="119" t="s">
        <v>3868</v>
      </c>
      <c r="G4" s="119" t="s">
        <v>3869</v>
      </c>
      <c r="H4" s="119"/>
      <c r="I4" s="136"/>
      <c r="J4" s="119" t="s">
        <v>1501</v>
      </c>
      <c r="K4" s="119"/>
      <c r="L4" s="119" t="s">
        <v>3875</v>
      </c>
      <c r="M4" s="119" t="s">
        <v>3857</v>
      </c>
      <c r="N4" s="119" t="s">
        <v>3876</v>
      </c>
      <c r="O4" s="119"/>
      <c r="P4" s="137" t="s">
        <v>1857</v>
      </c>
      <c r="Q4" s="137" t="s">
        <v>3870</v>
      </c>
      <c r="R4" s="137" t="s">
        <v>1820</v>
      </c>
      <c r="S4" s="137" t="s">
        <v>3877</v>
      </c>
      <c r="T4" s="137" t="s">
        <v>3878</v>
      </c>
      <c r="U4" s="137" t="s">
        <v>3863</v>
      </c>
      <c r="V4" s="137" t="s">
        <v>3879</v>
      </c>
      <c r="W4" s="137"/>
    </row>
    <row r="5">
      <c r="A5" s="119" t="s">
        <v>3880</v>
      </c>
      <c r="B5" s="119" t="s">
        <v>3881</v>
      </c>
      <c r="C5" s="119"/>
      <c r="D5" s="119"/>
      <c r="E5" s="111"/>
      <c r="F5" s="119" t="s">
        <v>3882</v>
      </c>
      <c r="G5" s="119" t="s">
        <v>3883</v>
      </c>
      <c r="H5" s="119"/>
      <c r="I5" s="136"/>
      <c r="J5" s="119" t="s">
        <v>1521</v>
      </c>
      <c r="K5" s="119" t="s">
        <v>1812</v>
      </c>
      <c r="L5" s="119" t="s">
        <v>3557</v>
      </c>
      <c r="M5" s="119" t="s">
        <v>3857</v>
      </c>
      <c r="N5" s="119" t="s">
        <v>3884</v>
      </c>
      <c r="O5" s="119"/>
      <c r="P5" s="137" t="s">
        <v>1876</v>
      </c>
      <c r="Q5" s="137" t="s">
        <v>3870</v>
      </c>
      <c r="R5" s="137" t="s">
        <v>1820</v>
      </c>
      <c r="S5" s="137" t="s">
        <v>3885</v>
      </c>
      <c r="T5" s="137" t="s">
        <v>3886</v>
      </c>
      <c r="U5" s="137" t="s">
        <v>3863</v>
      </c>
      <c r="V5" s="137" t="s">
        <v>3887</v>
      </c>
      <c r="W5" s="137"/>
    </row>
    <row r="6">
      <c r="A6" s="119" t="s">
        <v>3888</v>
      </c>
      <c r="B6" s="119" t="s">
        <v>3889</v>
      </c>
      <c r="C6" s="119"/>
      <c r="D6" s="119"/>
      <c r="E6" s="111"/>
      <c r="F6" s="119" t="s">
        <v>3882</v>
      </c>
      <c r="G6" s="119" t="s">
        <v>3890</v>
      </c>
      <c r="H6" s="119"/>
      <c r="I6" s="136"/>
      <c r="J6" s="119" t="s">
        <v>1507</v>
      </c>
      <c r="K6" s="119" t="s">
        <v>1775</v>
      </c>
      <c r="L6" s="119" t="s">
        <v>3560</v>
      </c>
      <c r="M6" s="119" t="s">
        <v>3857</v>
      </c>
      <c r="N6" s="119" t="s">
        <v>3859</v>
      </c>
      <c r="O6" s="119"/>
      <c r="P6" s="137" t="s">
        <v>1894</v>
      </c>
      <c r="Q6" s="137" t="s">
        <v>3891</v>
      </c>
      <c r="R6" s="137" t="s">
        <v>29</v>
      </c>
      <c r="S6" s="137" t="s">
        <v>3892</v>
      </c>
      <c r="T6" s="137" t="s">
        <v>3893</v>
      </c>
      <c r="U6" s="137" t="s">
        <v>3894</v>
      </c>
      <c r="V6" s="137" t="s">
        <v>3895</v>
      </c>
      <c r="W6" s="137"/>
    </row>
    <row r="7">
      <c r="A7" s="119" t="s">
        <v>3896</v>
      </c>
      <c r="B7" s="119" t="s">
        <v>3354</v>
      </c>
      <c r="C7" s="119" t="s">
        <v>1820</v>
      </c>
      <c r="D7" s="119" t="s">
        <v>3897</v>
      </c>
      <c r="E7" s="111" t="s">
        <v>3898</v>
      </c>
      <c r="F7" s="119" t="s">
        <v>3868</v>
      </c>
      <c r="G7" s="119" t="s">
        <v>3899</v>
      </c>
      <c r="H7" s="119"/>
      <c r="I7" s="136"/>
      <c r="J7" s="119" t="s">
        <v>1507</v>
      </c>
      <c r="K7" s="119" t="s">
        <v>1766</v>
      </c>
      <c r="L7" s="119" t="s">
        <v>3563</v>
      </c>
      <c r="M7" s="119" t="s">
        <v>3857</v>
      </c>
      <c r="N7" s="119" t="s">
        <v>3859</v>
      </c>
      <c r="O7" s="119"/>
      <c r="P7" s="137" t="s">
        <v>3900</v>
      </c>
      <c r="Q7" s="137" t="s">
        <v>3891</v>
      </c>
      <c r="R7" s="137" t="s">
        <v>29</v>
      </c>
      <c r="S7" s="137" t="s">
        <v>3901</v>
      </c>
      <c r="T7" s="137" t="s">
        <v>3902</v>
      </c>
      <c r="U7" s="137" t="s">
        <v>3894</v>
      </c>
      <c r="V7" s="137" t="s">
        <v>3903</v>
      </c>
      <c r="W7" s="137"/>
    </row>
    <row r="8">
      <c r="A8" s="119" t="s">
        <v>3904</v>
      </c>
      <c r="B8" s="119" t="s">
        <v>3357</v>
      </c>
      <c r="C8" s="119"/>
      <c r="D8" s="119" t="s">
        <v>3905</v>
      </c>
      <c r="E8" s="111" t="s">
        <v>3906</v>
      </c>
      <c r="F8" s="119" t="s">
        <v>3868</v>
      </c>
      <c r="G8" s="119" t="s">
        <v>3907</v>
      </c>
      <c r="H8" s="119"/>
      <c r="I8" s="136"/>
      <c r="J8" s="119" t="s">
        <v>1507</v>
      </c>
      <c r="K8" s="119"/>
      <c r="L8" s="119" t="s">
        <v>3908</v>
      </c>
      <c r="M8" s="119" t="s">
        <v>3857</v>
      </c>
      <c r="N8" s="119" t="s">
        <v>3876</v>
      </c>
      <c r="O8" s="119"/>
    </row>
    <row r="9">
      <c r="A9" s="119" t="s">
        <v>3909</v>
      </c>
      <c r="B9" s="119" t="s">
        <v>3426</v>
      </c>
      <c r="C9" s="119" t="s">
        <v>1820</v>
      </c>
      <c r="D9" s="119" t="s">
        <v>3910</v>
      </c>
      <c r="E9" s="111" t="s">
        <v>3911</v>
      </c>
      <c r="F9" s="119" t="s">
        <v>3868</v>
      </c>
      <c r="G9" s="119" t="s">
        <v>3912</v>
      </c>
      <c r="H9" s="119"/>
      <c r="I9" s="136"/>
      <c r="J9" s="119" t="s">
        <v>1504</v>
      </c>
      <c r="K9" s="119" t="s">
        <v>1778</v>
      </c>
      <c r="L9" s="119" t="s">
        <v>3567</v>
      </c>
      <c r="M9" s="119" t="s">
        <v>3857</v>
      </c>
      <c r="N9" s="119" t="s">
        <v>3859</v>
      </c>
      <c r="O9" s="119"/>
      <c r="P9" s="119"/>
      <c r="Q9" s="119"/>
      <c r="R9" s="119"/>
      <c r="S9" s="119"/>
      <c r="T9" s="119"/>
      <c r="U9" s="119"/>
      <c r="V9" s="119"/>
      <c r="W9" s="119"/>
    </row>
    <row r="10">
      <c r="A10" s="119" t="s">
        <v>3913</v>
      </c>
      <c r="B10" s="119" t="s">
        <v>3429</v>
      </c>
      <c r="C10" s="119" t="s">
        <v>1820</v>
      </c>
      <c r="D10" s="119" t="s">
        <v>3914</v>
      </c>
      <c r="E10" s="111" t="s">
        <v>3915</v>
      </c>
      <c r="F10" s="119" t="s">
        <v>3868</v>
      </c>
      <c r="G10" s="119" t="s">
        <v>3916</v>
      </c>
      <c r="H10" s="119"/>
      <c r="I10" s="136"/>
      <c r="J10" s="119" t="s">
        <v>1504</v>
      </c>
      <c r="K10" s="119"/>
      <c r="L10" s="119" t="s">
        <v>3917</v>
      </c>
      <c r="M10" s="119" t="s">
        <v>3857</v>
      </c>
      <c r="N10" s="119" t="s">
        <v>3876</v>
      </c>
      <c r="O10" s="119"/>
      <c r="P10" s="111"/>
      <c r="Q10" s="111"/>
      <c r="R10" s="111"/>
      <c r="S10" s="111"/>
      <c r="T10" s="111"/>
      <c r="U10" s="111"/>
      <c r="V10" s="111"/>
      <c r="W10" s="111"/>
    </row>
    <row r="11">
      <c r="A11" s="119" t="s">
        <v>3918</v>
      </c>
      <c r="B11" s="119" t="s">
        <v>3397</v>
      </c>
      <c r="C11" s="119"/>
      <c r="D11" s="119" t="s">
        <v>3919</v>
      </c>
      <c r="E11" s="111" t="s">
        <v>3920</v>
      </c>
      <c r="F11" s="119" t="s">
        <v>3868</v>
      </c>
      <c r="G11" s="119" t="s">
        <v>3921</v>
      </c>
      <c r="H11" s="119"/>
      <c r="I11" s="136"/>
      <c r="J11" s="119" t="s">
        <v>1504</v>
      </c>
      <c r="K11" s="119" t="s">
        <v>1781</v>
      </c>
      <c r="L11" s="119" t="s">
        <v>3571</v>
      </c>
      <c r="M11" s="119" t="s">
        <v>3857</v>
      </c>
      <c r="N11" s="119" t="s">
        <v>3859</v>
      </c>
      <c r="O11" s="119"/>
      <c r="P11" s="111"/>
      <c r="Q11" s="111"/>
      <c r="R11" s="111"/>
      <c r="S11" s="111"/>
      <c r="T11" s="111"/>
      <c r="U11" s="111"/>
      <c r="V11" s="111"/>
      <c r="W11" s="111"/>
    </row>
    <row r="12">
      <c r="A12" s="119" t="s">
        <v>3922</v>
      </c>
      <c r="B12" s="119" t="s">
        <v>3386</v>
      </c>
      <c r="C12" s="119" t="s">
        <v>1820</v>
      </c>
      <c r="D12" s="119" t="s">
        <v>3923</v>
      </c>
      <c r="E12" s="111" t="s">
        <v>3924</v>
      </c>
      <c r="F12" s="119" t="s">
        <v>3868</v>
      </c>
      <c r="G12" s="119" t="s">
        <v>3925</v>
      </c>
      <c r="H12" s="119"/>
      <c r="I12" s="136"/>
      <c r="J12" s="119" t="s">
        <v>1516</v>
      </c>
      <c r="K12" s="119" t="s">
        <v>1781</v>
      </c>
      <c r="L12" s="119" t="s">
        <v>3575</v>
      </c>
      <c r="M12" s="119" t="s">
        <v>3857</v>
      </c>
      <c r="N12" s="119" t="s">
        <v>3859</v>
      </c>
      <c r="O12" s="119"/>
      <c r="P12" s="111"/>
      <c r="Q12" s="111"/>
      <c r="R12" s="111"/>
      <c r="S12" s="111"/>
      <c r="T12" s="111"/>
      <c r="U12" s="111"/>
      <c r="V12" s="111"/>
      <c r="W12" s="111"/>
    </row>
    <row r="13">
      <c r="A13" s="119" t="s">
        <v>3926</v>
      </c>
      <c r="B13" s="119" t="s">
        <v>3457</v>
      </c>
      <c r="C13" s="119" t="s">
        <v>3927</v>
      </c>
      <c r="D13" s="119" t="s">
        <v>3928</v>
      </c>
      <c r="E13" s="111" t="s">
        <v>3929</v>
      </c>
      <c r="F13" s="119" t="s">
        <v>3868</v>
      </c>
      <c r="G13" s="119" t="s">
        <v>3930</v>
      </c>
      <c r="H13" s="119"/>
      <c r="I13" s="136"/>
      <c r="J13" s="119" t="s">
        <v>1516</v>
      </c>
      <c r="K13" s="119" t="s">
        <v>1788</v>
      </c>
      <c r="L13" s="119" t="s">
        <v>3580</v>
      </c>
      <c r="M13" s="119" t="s">
        <v>3857</v>
      </c>
      <c r="N13" s="119" t="s">
        <v>3859</v>
      </c>
      <c r="O13" s="119"/>
      <c r="P13" s="111"/>
      <c r="Q13" s="111"/>
      <c r="R13" s="111"/>
      <c r="S13" s="111"/>
      <c r="T13" s="111"/>
      <c r="U13" s="111"/>
      <c r="V13" s="111"/>
      <c r="W13" s="111"/>
    </row>
    <row r="14">
      <c r="A14" s="119" t="s">
        <v>3931</v>
      </c>
      <c r="B14" s="119" t="s">
        <v>3420</v>
      </c>
      <c r="C14" s="119" t="s">
        <v>3932</v>
      </c>
      <c r="D14" s="119" t="s">
        <v>3933</v>
      </c>
      <c r="E14" s="109" t="s">
        <v>3934</v>
      </c>
      <c r="F14" s="119" t="s">
        <v>3868</v>
      </c>
      <c r="G14" s="119" t="s">
        <v>3935</v>
      </c>
      <c r="H14" s="119"/>
      <c r="I14" s="136"/>
      <c r="J14" s="119" t="s">
        <v>1516</v>
      </c>
      <c r="K14" s="119" t="s">
        <v>1778</v>
      </c>
      <c r="L14" s="119" t="s">
        <v>3583</v>
      </c>
      <c r="M14" s="119" t="s">
        <v>3857</v>
      </c>
      <c r="N14" s="119" t="s">
        <v>3859</v>
      </c>
      <c r="O14" s="119"/>
      <c r="P14" s="111"/>
      <c r="Q14" s="111"/>
      <c r="R14" s="111"/>
      <c r="S14" s="111"/>
      <c r="T14" s="111"/>
      <c r="U14" s="111"/>
      <c r="V14" s="111"/>
      <c r="W14" s="111"/>
    </row>
    <row r="15">
      <c r="A15" s="119" t="s">
        <v>3936</v>
      </c>
      <c r="B15" s="119" t="s">
        <v>1920</v>
      </c>
      <c r="C15" s="119"/>
      <c r="D15" s="119" t="s">
        <v>3937</v>
      </c>
      <c r="E15" s="111" t="s">
        <v>3938</v>
      </c>
      <c r="F15" s="119" t="s">
        <v>3868</v>
      </c>
      <c r="G15" s="119" t="s">
        <v>3939</v>
      </c>
      <c r="H15" s="138"/>
      <c r="I15" s="136"/>
      <c r="J15" s="119" t="s">
        <v>1494</v>
      </c>
      <c r="K15" s="119" t="s">
        <v>1775</v>
      </c>
      <c r="L15" s="119" t="s">
        <v>3585</v>
      </c>
      <c r="M15" s="119" t="s">
        <v>3857</v>
      </c>
      <c r="N15" s="119" t="s">
        <v>3859</v>
      </c>
      <c r="O15" s="119"/>
      <c r="P15" s="111"/>
      <c r="Q15" s="111"/>
      <c r="R15" s="111"/>
      <c r="S15" s="111"/>
      <c r="T15" s="111"/>
      <c r="U15" s="111"/>
      <c r="V15" s="111"/>
      <c r="W15" s="111"/>
    </row>
    <row r="16">
      <c r="A16" s="119" t="s">
        <v>3940</v>
      </c>
      <c r="B16" s="119" t="s">
        <v>3351</v>
      </c>
      <c r="C16" s="119"/>
      <c r="D16" s="119" t="s">
        <v>3941</v>
      </c>
      <c r="E16" s="111" t="s">
        <v>3942</v>
      </c>
      <c r="F16" s="119" t="s">
        <v>3868</v>
      </c>
      <c r="G16" s="119" t="s">
        <v>3943</v>
      </c>
      <c r="I16" s="139"/>
      <c r="J16" s="39" t="s">
        <v>1494</v>
      </c>
      <c r="K16" s="39" t="s">
        <v>1788</v>
      </c>
      <c r="L16" s="39" t="s">
        <v>3588</v>
      </c>
      <c r="M16" s="39" t="s">
        <v>3857</v>
      </c>
      <c r="N16" s="39" t="s">
        <v>3859</v>
      </c>
      <c r="O16" s="39"/>
      <c r="P16" s="106"/>
      <c r="Q16" s="106"/>
      <c r="R16" s="106"/>
      <c r="S16" s="106"/>
      <c r="T16" s="106"/>
      <c r="U16" s="106"/>
      <c r="V16" s="106"/>
      <c r="W16" s="106"/>
    </row>
    <row r="17">
      <c r="A17" s="119" t="s">
        <v>3944</v>
      </c>
      <c r="B17" s="119" t="s">
        <v>3487</v>
      </c>
      <c r="C17" s="119"/>
      <c r="D17" s="119" t="s">
        <v>3945</v>
      </c>
      <c r="E17" s="111" t="s">
        <v>3946</v>
      </c>
      <c r="F17" s="119" t="s">
        <v>3868</v>
      </c>
      <c r="G17" s="119" t="s">
        <v>3947</v>
      </c>
      <c r="I17" s="139"/>
      <c r="J17" s="39" t="s">
        <v>1494</v>
      </c>
      <c r="K17" s="39" t="s">
        <v>1797</v>
      </c>
      <c r="L17" s="39" t="s">
        <v>3592</v>
      </c>
      <c r="M17" s="39" t="s">
        <v>3857</v>
      </c>
      <c r="N17" s="39" t="s">
        <v>3859</v>
      </c>
      <c r="O17" s="39"/>
      <c r="P17" s="106"/>
      <c r="Q17" s="106"/>
      <c r="R17" s="106"/>
      <c r="S17" s="109"/>
      <c r="T17" s="109"/>
      <c r="U17" s="106"/>
      <c r="V17" s="109"/>
      <c r="W17" s="106"/>
    </row>
    <row r="18">
      <c r="A18" s="119" t="s">
        <v>3948</v>
      </c>
      <c r="B18" s="119" t="s">
        <v>3496</v>
      </c>
      <c r="C18" s="119"/>
      <c r="D18" s="119" t="s">
        <v>3949</v>
      </c>
      <c r="E18" s="111" t="s">
        <v>3950</v>
      </c>
      <c r="F18" s="119" t="s">
        <v>3868</v>
      </c>
      <c r="G18" s="119" t="s">
        <v>3951</v>
      </c>
      <c r="I18" s="139"/>
      <c r="J18" s="39" t="s">
        <v>1511</v>
      </c>
      <c r="K18" s="39"/>
      <c r="L18" s="39" t="s">
        <v>3952</v>
      </c>
      <c r="M18" s="39" t="s">
        <v>3857</v>
      </c>
      <c r="N18" s="39" t="s">
        <v>3876</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3595</v>
      </c>
      <c r="M19" s="39" t="s">
        <v>3857</v>
      </c>
      <c r="N19" s="39" t="s">
        <v>3859</v>
      </c>
      <c r="O19" s="39"/>
      <c r="P19" s="106"/>
      <c r="Q19" s="106"/>
      <c r="R19" s="106"/>
      <c r="S19" s="106"/>
      <c r="T19" s="106"/>
      <c r="U19" s="106"/>
      <c r="V19" s="106"/>
      <c r="W19" s="106"/>
    </row>
    <row r="20">
      <c r="A20" s="39" t="s">
        <v>3953</v>
      </c>
      <c r="B20" s="39" t="s">
        <v>3465</v>
      </c>
      <c r="C20" s="39" t="s">
        <v>147</v>
      </c>
      <c r="D20" s="39" t="s">
        <v>3954</v>
      </c>
      <c r="E20" s="106" t="s">
        <v>3955</v>
      </c>
      <c r="F20" s="39" t="s">
        <v>3868</v>
      </c>
      <c r="G20" s="39" t="s">
        <v>3956</v>
      </c>
      <c r="I20" s="139"/>
      <c r="J20" s="39" t="s">
        <v>1528</v>
      </c>
      <c r="K20" s="39" t="s">
        <v>1778</v>
      </c>
      <c r="L20" s="39" t="s">
        <v>3599</v>
      </c>
      <c r="M20" s="39" t="s">
        <v>3857</v>
      </c>
      <c r="N20" s="39" t="s">
        <v>3859</v>
      </c>
      <c r="O20" s="39"/>
      <c r="P20" s="106"/>
      <c r="Q20" s="106"/>
      <c r="R20" s="106"/>
      <c r="S20" s="106"/>
      <c r="T20" s="106"/>
      <c r="U20" s="106"/>
      <c r="V20" s="106"/>
      <c r="W20" s="106"/>
    </row>
    <row r="21">
      <c r="A21" s="39" t="s">
        <v>3957</v>
      </c>
      <c r="B21" s="39" t="s">
        <v>3958</v>
      </c>
      <c r="C21" s="39" t="s">
        <v>1820</v>
      </c>
      <c r="D21" s="39" t="s">
        <v>3959</v>
      </c>
      <c r="E21" s="106" t="s">
        <v>3960</v>
      </c>
      <c r="F21" s="39" t="s">
        <v>3868</v>
      </c>
      <c r="G21" s="39" t="s">
        <v>3961</v>
      </c>
      <c r="I21" s="139"/>
      <c r="J21" s="39" t="s">
        <v>1528</v>
      </c>
      <c r="K21" s="39" t="s">
        <v>1760</v>
      </c>
      <c r="L21" s="39" t="s">
        <v>3602</v>
      </c>
      <c r="M21" s="39" t="s">
        <v>3857</v>
      </c>
      <c r="N21" s="39" t="s">
        <v>3859</v>
      </c>
      <c r="O21" s="39"/>
      <c r="P21" s="106"/>
      <c r="Q21" s="106"/>
      <c r="R21" s="106"/>
      <c r="S21" s="106"/>
      <c r="T21" s="106"/>
      <c r="U21" s="106"/>
      <c r="V21" s="106"/>
      <c r="W21" s="106"/>
    </row>
    <row r="22">
      <c r="A22" s="39" t="s">
        <v>3962</v>
      </c>
      <c r="B22" s="39" t="s">
        <v>3963</v>
      </c>
      <c r="C22" s="39" t="s">
        <v>3964</v>
      </c>
      <c r="D22" s="39" t="s">
        <v>3965</v>
      </c>
      <c r="E22" s="106" t="s">
        <v>3966</v>
      </c>
      <c r="F22" s="39" t="s">
        <v>3868</v>
      </c>
      <c r="G22" s="39" t="s">
        <v>3967</v>
      </c>
      <c r="I22" s="139"/>
      <c r="J22" s="39" t="s">
        <v>1573</v>
      </c>
      <c r="K22" s="39" t="s">
        <v>1760</v>
      </c>
      <c r="L22" s="39" t="s">
        <v>3605</v>
      </c>
      <c r="M22" s="39" t="s">
        <v>3857</v>
      </c>
      <c r="N22" s="39" t="s">
        <v>3968</v>
      </c>
      <c r="O22" s="39"/>
      <c r="P22" s="106"/>
      <c r="Q22" s="106"/>
      <c r="R22" s="106"/>
      <c r="S22" s="106"/>
      <c r="T22" s="106"/>
      <c r="U22" s="106"/>
      <c r="V22" s="106"/>
      <c r="W22" s="106"/>
    </row>
    <row r="23">
      <c r="A23" s="39" t="s">
        <v>3969</v>
      </c>
      <c r="B23" s="39" t="s">
        <v>3970</v>
      </c>
      <c r="E23" s="109"/>
      <c r="F23" s="39" t="s">
        <v>3868</v>
      </c>
      <c r="G23" s="39" t="s">
        <v>3971</v>
      </c>
      <c r="I23" s="139"/>
      <c r="J23" s="39" t="s">
        <v>1511</v>
      </c>
      <c r="K23" s="39" t="s">
        <v>1766</v>
      </c>
      <c r="L23" s="39" t="s">
        <v>3397</v>
      </c>
      <c r="M23" s="39" t="s">
        <v>3868</v>
      </c>
      <c r="N23" s="39" t="s">
        <v>3972</v>
      </c>
      <c r="O23" s="39"/>
      <c r="P23" s="106"/>
      <c r="Q23" s="106"/>
      <c r="R23" s="106"/>
      <c r="S23" s="106"/>
      <c r="T23" s="106"/>
      <c r="U23" s="106"/>
      <c r="V23" s="106"/>
      <c r="W23" s="106"/>
    </row>
    <row r="24">
      <c r="A24" s="39" t="s">
        <v>3973</v>
      </c>
      <c r="B24" s="39" t="s">
        <v>3974</v>
      </c>
      <c r="E24" s="109"/>
      <c r="F24" s="39" t="s">
        <v>3868</v>
      </c>
      <c r="G24" s="39" t="s">
        <v>3975</v>
      </c>
      <c r="I24" s="139"/>
      <c r="J24" s="39" t="s">
        <v>1507</v>
      </c>
      <c r="K24" s="39" t="s">
        <v>1775</v>
      </c>
      <c r="L24" s="39" t="s">
        <v>3440</v>
      </c>
      <c r="M24" s="39" t="s">
        <v>3868</v>
      </c>
      <c r="N24" s="39" t="s">
        <v>3976</v>
      </c>
      <c r="O24" s="39"/>
      <c r="P24" s="106"/>
      <c r="Q24" s="106"/>
      <c r="R24" s="106"/>
      <c r="S24" s="106"/>
      <c r="T24" s="106"/>
      <c r="U24" s="106"/>
      <c r="V24" s="106"/>
      <c r="W24" s="106"/>
    </row>
    <row r="25">
      <c r="A25" s="39" t="s">
        <v>3977</v>
      </c>
      <c r="B25" s="39" t="s">
        <v>3978</v>
      </c>
      <c r="E25" s="109"/>
      <c r="F25" s="39" t="s">
        <v>3868</v>
      </c>
      <c r="G25" s="39" t="s">
        <v>3979</v>
      </c>
      <c r="I25" s="140"/>
      <c r="J25" s="39" t="s">
        <v>1511</v>
      </c>
      <c r="K25" s="39" t="s">
        <v>1491</v>
      </c>
      <c r="L25" s="39" t="s">
        <v>3442</v>
      </c>
      <c r="M25" s="39" t="s">
        <v>3868</v>
      </c>
      <c r="N25" s="39" t="s">
        <v>3980</v>
      </c>
      <c r="O25" s="39"/>
      <c r="P25" s="106"/>
      <c r="Q25" s="106"/>
      <c r="R25" s="106"/>
      <c r="S25" s="106"/>
      <c r="T25" s="106"/>
      <c r="U25" s="106"/>
      <c r="V25" s="106"/>
      <c r="W25" s="106"/>
    </row>
    <row r="26">
      <c r="A26" s="39" t="s">
        <v>3981</v>
      </c>
      <c r="B26" s="39" t="s">
        <v>3982</v>
      </c>
      <c r="E26" s="109"/>
      <c r="F26" s="39" t="s">
        <v>3868</v>
      </c>
      <c r="G26" s="39" t="s">
        <v>3983</v>
      </c>
      <c r="I26" s="140"/>
      <c r="J26" s="39" t="s">
        <v>1504</v>
      </c>
      <c r="K26" s="39" t="s">
        <v>1778</v>
      </c>
      <c r="L26" s="39" t="s">
        <v>3476</v>
      </c>
      <c r="M26" s="39" t="s">
        <v>3868</v>
      </c>
      <c r="N26" s="39" t="s">
        <v>3984</v>
      </c>
      <c r="O26" s="39"/>
      <c r="P26" s="106"/>
      <c r="Q26" s="106"/>
      <c r="R26" s="106"/>
      <c r="S26" s="106"/>
      <c r="T26" s="106"/>
      <c r="U26" s="106"/>
      <c r="V26" s="106"/>
      <c r="W26" s="106"/>
    </row>
    <row r="27">
      <c r="A27" s="39" t="s">
        <v>3985</v>
      </c>
      <c r="B27" s="39" t="s">
        <v>3986</v>
      </c>
      <c r="E27" s="109"/>
      <c r="F27" s="39" t="s">
        <v>3868</v>
      </c>
      <c r="G27" s="39" t="s">
        <v>3987</v>
      </c>
      <c r="I27" s="140"/>
      <c r="J27" s="39" t="s">
        <v>1504</v>
      </c>
      <c r="K27" s="39" t="s">
        <v>1781</v>
      </c>
      <c r="L27" s="39" t="s">
        <v>3478</v>
      </c>
      <c r="M27" s="39" t="s">
        <v>3868</v>
      </c>
      <c r="N27" s="39" t="s">
        <v>3988</v>
      </c>
      <c r="O27" s="39"/>
      <c r="P27" s="106"/>
      <c r="Q27" s="106"/>
      <c r="R27" s="106"/>
      <c r="S27" s="106"/>
      <c r="T27" s="106"/>
      <c r="U27" s="106"/>
      <c r="V27" s="106"/>
      <c r="W27" s="106"/>
    </row>
    <row r="28">
      <c r="A28" s="39" t="s">
        <v>3989</v>
      </c>
      <c r="B28" s="39" t="s">
        <v>3990</v>
      </c>
      <c r="E28" s="109"/>
      <c r="F28" s="39" t="s">
        <v>3868</v>
      </c>
      <c r="G28" s="39" t="s">
        <v>3991</v>
      </c>
      <c r="I28" s="140"/>
      <c r="J28" s="39" t="s">
        <v>1533</v>
      </c>
      <c r="K28" s="39" t="s">
        <v>1760</v>
      </c>
      <c r="M28" s="39" t="s">
        <v>3857</v>
      </c>
      <c r="N28" s="39" t="s">
        <v>3992</v>
      </c>
      <c r="O28" s="39"/>
      <c r="P28" s="106"/>
      <c r="Q28" s="106"/>
      <c r="R28" s="106"/>
      <c r="S28" s="106"/>
      <c r="T28" s="106"/>
      <c r="U28" s="106"/>
      <c r="V28" s="106"/>
      <c r="W28" s="106"/>
    </row>
    <row r="29">
      <c r="A29" s="39" t="s">
        <v>3993</v>
      </c>
      <c r="B29" s="39" t="s">
        <v>3994</v>
      </c>
      <c r="C29" s="39" t="s">
        <v>3995</v>
      </c>
      <c r="D29" s="39" t="s">
        <v>3996</v>
      </c>
      <c r="E29" s="106" t="s">
        <v>3997</v>
      </c>
      <c r="F29" s="39" t="s">
        <v>3868</v>
      </c>
      <c r="G29" s="39" t="s">
        <v>3998</v>
      </c>
      <c r="I29" s="140"/>
      <c r="J29" s="39" t="s">
        <v>1533</v>
      </c>
      <c r="K29" s="39" t="s">
        <v>1797</v>
      </c>
      <c r="M29" s="39" t="s">
        <v>3857</v>
      </c>
      <c r="N29" s="39" t="s">
        <v>3992</v>
      </c>
      <c r="O29" s="39"/>
      <c r="P29" s="106"/>
      <c r="Q29" s="106"/>
      <c r="R29" s="106"/>
      <c r="S29" s="106"/>
      <c r="T29" s="106"/>
      <c r="U29" s="106"/>
      <c r="V29" s="106"/>
      <c r="W29" s="106"/>
    </row>
    <row r="30">
      <c r="A30" s="39" t="s">
        <v>3999</v>
      </c>
      <c r="B30" s="39" t="s">
        <v>4000</v>
      </c>
      <c r="E30" s="109"/>
      <c r="F30" s="39" t="s">
        <v>3868</v>
      </c>
      <c r="G30" s="39" t="s">
        <v>4001</v>
      </c>
      <c r="I30" s="140"/>
      <c r="J30" s="39" t="s">
        <v>1533</v>
      </c>
      <c r="K30" s="39" t="s">
        <v>1788</v>
      </c>
      <c r="M30" s="39" t="s">
        <v>3857</v>
      </c>
      <c r="N30" s="39" t="s">
        <v>3992</v>
      </c>
      <c r="O30" s="39"/>
      <c r="P30" s="106"/>
      <c r="Q30" s="106"/>
      <c r="R30" s="106"/>
      <c r="S30" s="106"/>
      <c r="T30" s="106"/>
      <c r="U30" s="106"/>
      <c r="V30" s="106"/>
      <c r="W30" s="106"/>
    </row>
    <row r="31">
      <c r="A31" s="39" t="s">
        <v>4002</v>
      </c>
      <c r="B31" s="39" t="s">
        <v>4003</v>
      </c>
      <c r="C31" s="39" t="s">
        <v>3995</v>
      </c>
      <c r="E31" s="109"/>
      <c r="F31" s="39" t="s">
        <v>3868</v>
      </c>
      <c r="G31" s="39" t="s">
        <v>4004</v>
      </c>
      <c r="I31" s="140"/>
      <c r="J31" s="39" t="s">
        <v>4005</v>
      </c>
      <c r="K31" s="39" t="s">
        <v>1788</v>
      </c>
      <c r="M31" s="39" t="s">
        <v>3857</v>
      </c>
      <c r="N31" s="39" t="s">
        <v>3992</v>
      </c>
      <c r="O31" s="39"/>
      <c r="P31" s="106"/>
      <c r="Q31" s="106"/>
      <c r="R31" s="106"/>
      <c r="S31" s="106"/>
      <c r="T31" s="106"/>
      <c r="U31" s="106"/>
      <c r="V31" s="106"/>
      <c r="W31" s="106"/>
    </row>
    <row r="32">
      <c r="A32" s="39" t="s">
        <v>4006</v>
      </c>
      <c r="B32" s="39" t="s">
        <v>4007</v>
      </c>
      <c r="C32" s="39" t="s">
        <v>4008</v>
      </c>
      <c r="D32" s="39" t="s">
        <v>4009</v>
      </c>
      <c r="E32" s="106" t="s">
        <v>4010</v>
      </c>
      <c r="F32" s="39" t="s">
        <v>3868</v>
      </c>
      <c r="G32" s="39" t="s">
        <v>4011</v>
      </c>
      <c r="I32" s="140"/>
      <c r="J32" s="39" t="s">
        <v>4005</v>
      </c>
      <c r="K32" s="39" t="s">
        <v>1775</v>
      </c>
      <c r="M32" s="39" t="s">
        <v>3857</v>
      </c>
      <c r="N32" s="39" t="s">
        <v>3992</v>
      </c>
      <c r="O32" s="39"/>
      <c r="P32" s="106"/>
      <c r="Q32" s="106"/>
      <c r="R32" s="106"/>
      <c r="S32" s="106"/>
      <c r="T32" s="106"/>
      <c r="U32" s="106"/>
      <c r="V32" s="106"/>
      <c r="W32" s="106"/>
    </row>
    <row r="33">
      <c r="A33" s="39" t="s">
        <v>4012</v>
      </c>
      <c r="B33" s="39" t="s">
        <v>4013</v>
      </c>
      <c r="C33" s="39" t="s">
        <v>4008</v>
      </c>
      <c r="D33" s="39" t="s">
        <v>4014</v>
      </c>
      <c r="E33" s="106" t="s">
        <v>4015</v>
      </c>
      <c r="F33" s="39" t="s">
        <v>3868</v>
      </c>
      <c r="G33" s="39" t="s">
        <v>4016</v>
      </c>
      <c r="I33" s="140"/>
      <c r="J33" s="39" t="s">
        <v>4005</v>
      </c>
      <c r="K33" s="39" t="s">
        <v>1763</v>
      </c>
      <c r="M33" s="39" t="s">
        <v>3857</v>
      </c>
      <c r="N33" s="39" t="s">
        <v>3992</v>
      </c>
      <c r="O33" s="39"/>
      <c r="P33" s="106"/>
      <c r="Q33" s="106"/>
      <c r="R33" s="106"/>
      <c r="S33" s="106"/>
      <c r="T33" s="106"/>
      <c r="U33" s="106"/>
      <c r="V33" s="106"/>
      <c r="W33" s="106"/>
    </row>
    <row r="34">
      <c r="A34" s="39" t="s">
        <v>4017</v>
      </c>
      <c r="B34" s="39" t="s">
        <v>4018</v>
      </c>
      <c r="C34" s="39" t="s">
        <v>4008</v>
      </c>
      <c r="D34" s="39" t="s">
        <v>4019</v>
      </c>
      <c r="E34" s="106" t="s">
        <v>4020</v>
      </c>
      <c r="F34" s="39" t="s">
        <v>3868</v>
      </c>
      <c r="G34" s="39" t="s">
        <v>4021</v>
      </c>
      <c r="I34" s="140"/>
      <c r="J34" s="39" t="s">
        <v>4022</v>
      </c>
      <c r="K34" s="39" t="s">
        <v>1788</v>
      </c>
      <c r="M34" s="39" t="s">
        <v>3857</v>
      </c>
      <c r="N34" s="39" t="s">
        <v>3992</v>
      </c>
      <c r="O34" s="39"/>
      <c r="P34" s="106"/>
      <c r="Q34" s="106"/>
      <c r="R34" s="106"/>
      <c r="S34" s="106"/>
      <c r="T34" s="106"/>
      <c r="U34" s="106"/>
      <c r="V34" s="106"/>
      <c r="W34" s="106"/>
    </row>
    <row r="35">
      <c r="A35" s="39" t="s">
        <v>4023</v>
      </c>
      <c r="B35" s="39" t="s">
        <v>4024</v>
      </c>
      <c r="C35" s="39" t="s">
        <v>4008</v>
      </c>
      <c r="D35" s="39" t="s">
        <v>4025</v>
      </c>
      <c r="E35" s="106" t="s">
        <v>4026</v>
      </c>
      <c r="F35" s="39" t="s">
        <v>3868</v>
      </c>
      <c r="G35" s="39" t="s">
        <v>4027</v>
      </c>
      <c r="I35" s="140"/>
      <c r="J35" s="39" t="s">
        <v>4022</v>
      </c>
      <c r="K35" s="39" t="s">
        <v>1781</v>
      </c>
      <c r="M35" s="39" t="s">
        <v>3857</v>
      </c>
      <c r="N35" s="39" t="s">
        <v>3992</v>
      </c>
      <c r="O35" s="39"/>
      <c r="P35" s="106"/>
      <c r="Q35" s="106"/>
      <c r="R35" s="106"/>
      <c r="S35" s="106"/>
      <c r="T35" s="106"/>
      <c r="U35" s="106"/>
      <c r="V35" s="106"/>
      <c r="W35" s="106"/>
    </row>
    <row r="36">
      <c r="A36" s="39" t="s">
        <v>4028</v>
      </c>
      <c r="B36" s="39" t="s">
        <v>4029</v>
      </c>
      <c r="C36" s="39" t="s">
        <v>4030</v>
      </c>
      <c r="D36" s="39" t="s">
        <v>4031</v>
      </c>
      <c r="E36" s="106" t="s">
        <v>4032</v>
      </c>
      <c r="F36" s="39" t="s">
        <v>3868</v>
      </c>
      <c r="G36" s="39" t="s">
        <v>4033</v>
      </c>
      <c r="I36" s="140"/>
      <c r="J36" s="39" t="s">
        <v>4022</v>
      </c>
      <c r="K36" s="39" t="s">
        <v>1775</v>
      </c>
      <c r="M36" s="39" t="s">
        <v>3857</v>
      </c>
      <c r="N36" s="39" t="s">
        <v>3992</v>
      </c>
      <c r="O36" s="39"/>
      <c r="P36" s="39"/>
      <c r="Q36" s="39"/>
      <c r="R36" s="39"/>
      <c r="S36" s="39"/>
      <c r="T36" s="39"/>
      <c r="U36" s="39"/>
      <c r="V36" s="39"/>
      <c r="W36" s="39"/>
    </row>
    <row r="37">
      <c r="A37" s="39" t="s">
        <v>4034</v>
      </c>
      <c r="B37" s="39" t="s">
        <v>4035</v>
      </c>
      <c r="C37" s="39" t="s">
        <v>4030</v>
      </c>
      <c r="D37" s="39" t="s">
        <v>4036</v>
      </c>
      <c r="E37" s="106" t="s">
        <v>4037</v>
      </c>
      <c r="F37" s="39" t="s">
        <v>3868</v>
      </c>
      <c r="G37" s="39" t="s">
        <v>4038</v>
      </c>
      <c r="I37" s="140"/>
      <c r="J37" s="39" t="s">
        <v>1547</v>
      </c>
      <c r="K37" s="39" t="s">
        <v>1766</v>
      </c>
      <c r="M37" s="39" t="s">
        <v>3857</v>
      </c>
      <c r="N37" s="39" t="s">
        <v>3992</v>
      </c>
      <c r="O37" s="39"/>
      <c r="P37" s="39"/>
      <c r="Q37" s="39"/>
      <c r="R37" s="39"/>
      <c r="S37" s="39"/>
      <c r="T37" s="39"/>
      <c r="U37" s="39"/>
      <c r="V37" s="39"/>
      <c r="W37" s="39"/>
    </row>
    <row r="38">
      <c r="A38" s="39" t="s">
        <v>4039</v>
      </c>
      <c r="B38" s="39" t="s">
        <v>4040</v>
      </c>
      <c r="C38" s="39" t="s">
        <v>4030</v>
      </c>
      <c r="D38" s="39" t="s">
        <v>4041</v>
      </c>
      <c r="E38" s="106" t="s">
        <v>4042</v>
      </c>
      <c r="F38" s="39" t="s">
        <v>3868</v>
      </c>
      <c r="G38" s="39" t="s">
        <v>4043</v>
      </c>
      <c r="I38" s="140"/>
      <c r="J38" s="39" t="s">
        <v>1547</v>
      </c>
      <c r="K38" s="39" t="s">
        <v>1812</v>
      </c>
      <c r="M38" s="39" t="s">
        <v>3857</v>
      </c>
      <c r="N38" s="39" t="s">
        <v>3992</v>
      </c>
      <c r="O38" s="39"/>
      <c r="P38" s="39"/>
      <c r="Q38" s="39"/>
      <c r="R38" s="39"/>
      <c r="S38" s="39"/>
      <c r="T38" s="39"/>
      <c r="U38" s="39"/>
      <c r="V38" s="39"/>
      <c r="W38" s="39"/>
    </row>
    <row r="39">
      <c r="A39" s="39" t="s">
        <v>4044</v>
      </c>
      <c r="B39" s="39" t="s">
        <v>4045</v>
      </c>
      <c r="C39" s="39" t="s">
        <v>4030</v>
      </c>
      <c r="D39" s="39" t="s">
        <v>4046</v>
      </c>
      <c r="E39" s="106" t="s">
        <v>4047</v>
      </c>
      <c r="F39" s="39" t="s">
        <v>3868</v>
      </c>
      <c r="G39" s="39" t="s">
        <v>4048</v>
      </c>
      <c r="J39" s="39" t="s">
        <v>1547</v>
      </c>
      <c r="K39" s="39" t="s">
        <v>1295</v>
      </c>
      <c r="L39" s="37"/>
      <c r="M39" s="39" t="s">
        <v>3857</v>
      </c>
      <c r="N39" s="39" t="s">
        <v>3992</v>
      </c>
      <c r="O39" s="39"/>
      <c r="P39" s="39"/>
      <c r="Q39" s="39"/>
      <c r="R39" s="39"/>
      <c r="S39" s="39"/>
      <c r="T39" s="39"/>
      <c r="U39" s="39"/>
      <c r="V39" s="39"/>
      <c r="W39" s="39"/>
    </row>
    <row r="40">
      <c r="A40" s="39" t="s">
        <v>4049</v>
      </c>
      <c r="B40" s="39" t="s">
        <v>4050</v>
      </c>
      <c r="C40" s="39" t="s">
        <v>4051</v>
      </c>
      <c r="D40" s="39" t="s">
        <v>4052</v>
      </c>
      <c r="E40" s="106" t="s">
        <v>4053</v>
      </c>
      <c r="F40" s="39" t="s">
        <v>3868</v>
      </c>
      <c r="G40" s="39" t="s">
        <v>4054</v>
      </c>
      <c r="J40" s="39" t="s">
        <v>4055</v>
      </c>
      <c r="K40" s="39" t="s">
        <v>1788</v>
      </c>
      <c r="L40" s="37"/>
      <c r="M40" s="39" t="s">
        <v>3857</v>
      </c>
      <c r="N40" s="39" t="s">
        <v>3992</v>
      </c>
      <c r="O40" s="39"/>
      <c r="P40" s="39"/>
      <c r="Q40" s="39"/>
      <c r="R40" s="39"/>
      <c r="S40" s="39"/>
      <c r="T40" s="39"/>
      <c r="U40" s="39"/>
      <c r="V40" s="39"/>
      <c r="W40" s="39"/>
    </row>
    <row r="41">
      <c r="A41" s="39" t="s">
        <v>4056</v>
      </c>
      <c r="B41" s="39" t="s">
        <v>4057</v>
      </c>
      <c r="C41" s="39" t="s">
        <v>4030</v>
      </c>
      <c r="D41" s="39" t="s">
        <v>4058</v>
      </c>
      <c r="E41" s="106" t="s">
        <v>4059</v>
      </c>
      <c r="F41" s="39" t="s">
        <v>3868</v>
      </c>
      <c r="G41" s="39" t="s">
        <v>4060</v>
      </c>
      <c r="J41" s="39" t="s">
        <v>4055</v>
      </c>
      <c r="K41" s="39" t="s">
        <v>1760</v>
      </c>
      <c r="L41" s="37"/>
      <c r="M41" s="39" t="s">
        <v>3857</v>
      </c>
      <c r="N41" s="39" t="s">
        <v>3992</v>
      </c>
      <c r="O41" s="39"/>
      <c r="P41" s="39"/>
      <c r="Q41" s="39"/>
      <c r="R41" s="39"/>
      <c r="S41" s="39"/>
      <c r="T41" s="39"/>
      <c r="U41" s="39"/>
      <c r="V41" s="39"/>
      <c r="W41" s="39"/>
    </row>
    <row r="42">
      <c r="A42" s="39" t="s">
        <v>4061</v>
      </c>
      <c r="B42" s="39" t="s">
        <v>4062</v>
      </c>
      <c r="C42" s="39" t="s">
        <v>4063</v>
      </c>
      <c r="D42" s="39" t="s">
        <v>4064</v>
      </c>
      <c r="E42" s="106" t="s">
        <v>4065</v>
      </c>
      <c r="F42" s="39" t="s">
        <v>3868</v>
      </c>
      <c r="G42" s="39" t="s">
        <v>4066</v>
      </c>
      <c r="J42" s="39" t="s">
        <v>4055</v>
      </c>
      <c r="K42" s="39" t="s">
        <v>1766</v>
      </c>
      <c r="L42" s="37"/>
      <c r="M42" s="39" t="s">
        <v>3857</v>
      </c>
      <c r="N42" s="39" t="s">
        <v>3992</v>
      </c>
      <c r="O42" s="39"/>
      <c r="P42" s="39"/>
      <c r="Q42" s="39"/>
      <c r="R42" s="39"/>
      <c r="S42" s="39"/>
      <c r="T42" s="39"/>
      <c r="U42" s="39"/>
      <c r="V42" s="39"/>
      <c r="W42" s="39"/>
    </row>
    <row r="43">
      <c r="A43" s="39" t="s">
        <v>4067</v>
      </c>
      <c r="B43" s="39" t="s">
        <v>4068</v>
      </c>
      <c r="C43" s="39" t="s">
        <v>4069</v>
      </c>
      <c r="D43" s="39" t="s">
        <v>4070</v>
      </c>
      <c r="E43" s="106" t="s">
        <v>4071</v>
      </c>
      <c r="F43" s="39" t="s">
        <v>3868</v>
      </c>
      <c r="G43" s="39" t="s">
        <v>4072</v>
      </c>
      <c r="J43" s="39" t="s">
        <v>1590</v>
      </c>
      <c r="K43" s="39" t="s">
        <v>1766</v>
      </c>
      <c r="L43" s="37"/>
      <c r="M43" s="39" t="s">
        <v>3857</v>
      </c>
      <c r="N43" s="39" t="s">
        <v>3992</v>
      </c>
      <c r="O43" s="39"/>
      <c r="P43" s="39"/>
      <c r="Q43" s="39"/>
      <c r="R43" s="39"/>
      <c r="S43" s="39"/>
      <c r="T43" s="39"/>
      <c r="U43" s="39"/>
      <c r="V43" s="39"/>
      <c r="W43" s="39"/>
    </row>
    <row r="44">
      <c r="A44" s="39" t="s">
        <v>4073</v>
      </c>
      <c r="B44" s="39" t="s">
        <v>4074</v>
      </c>
      <c r="C44" s="39" t="s">
        <v>4075</v>
      </c>
      <c r="D44" s="39" t="s">
        <v>4076</v>
      </c>
      <c r="E44" s="106" t="s">
        <v>4077</v>
      </c>
      <c r="F44" s="39" t="s">
        <v>3868</v>
      </c>
      <c r="G44" s="39" t="s">
        <v>4078</v>
      </c>
      <c r="J44" s="39" t="s">
        <v>1590</v>
      </c>
      <c r="K44" s="39" t="s">
        <v>1797</v>
      </c>
      <c r="L44" s="37"/>
      <c r="M44" s="39" t="s">
        <v>3857</v>
      </c>
      <c r="N44" s="39" t="s">
        <v>3992</v>
      </c>
      <c r="O44" s="39"/>
      <c r="P44" s="39"/>
      <c r="Q44" s="39"/>
      <c r="R44" s="39"/>
      <c r="S44" s="39"/>
      <c r="T44" s="39"/>
      <c r="U44" s="39"/>
      <c r="V44" s="39"/>
      <c r="W44" s="39"/>
    </row>
    <row r="45">
      <c r="A45" s="39" t="s">
        <v>4079</v>
      </c>
      <c r="B45" s="39" t="s">
        <v>4080</v>
      </c>
      <c r="C45" s="39" t="s">
        <v>4075</v>
      </c>
      <c r="D45" s="39" t="s">
        <v>4081</v>
      </c>
      <c r="E45" s="106" t="s">
        <v>4082</v>
      </c>
      <c r="F45" s="39" t="s">
        <v>3868</v>
      </c>
      <c r="G45" s="39" t="s">
        <v>4083</v>
      </c>
      <c r="J45" s="39" t="s">
        <v>1590</v>
      </c>
      <c r="K45" s="39" t="s">
        <v>1763</v>
      </c>
      <c r="L45" s="37"/>
      <c r="M45" s="39" t="s">
        <v>3857</v>
      </c>
      <c r="N45" s="39" t="s">
        <v>3992</v>
      </c>
      <c r="O45" s="39"/>
      <c r="P45" s="39"/>
      <c r="Q45" s="39"/>
      <c r="R45" s="39"/>
      <c r="S45" s="39"/>
      <c r="T45" s="39"/>
      <c r="U45" s="39"/>
      <c r="V45" s="39"/>
      <c r="W45" s="39"/>
    </row>
    <row r="46">
      <c r="A46" s="39" t="s">
        <v>4084</v>
      </c>
      <c r="B46" s="39" t="s">
        <v>4085</v>
      </c>
      <c r="C46" s="39" t="s">
        <v>1820</v>
      </c>
      <c r="D46" s="39" t="s">
        <v>4086</v>
      </c>
      <c r="E46" s="106" t="s">
        <v>4087</v>
      </c>
      <c r="F46" s="39" t="s">
        <v>3868</v>
      </c>
      <c r="G46" s="39" t="s">
        <v>4088</v>
      </c>
      <c r="J46" s="39" t="s">
        <v>1580</v>
      </c>
      <c r="K46" s="39" t="s">
        <v>1781</v>
      </c>
      <c r="L46" s="37"/>
      <c r="M46" s="39" t="s">
        <v>3857</v>
      </c>
      <c r="N46" s="39" t="s">
        <v>3992</v>
      </c>
      <c r="O46" s="39"/>
      <c r="P46" s="39"/>
      <c r="Q46" s="39"/>
      <c r="R46" s="39"/>
      <c r="S46" s="39"/>
      <c r="T46" s="39"/>
      <c r="U46" s="39"/>
      <c r="V46" s="39"/>
      <c r="W46" s="39"/>
    </row>
    <row r="47">
      <c r="F47" s="37"/>
      <c r="J47" s="39" t="s">
        <v>1580</v>
      </c>
      <c r="K47" s="39" t="s">
        <v>1788</v>
      </c>
      <c r="L47" s="37"/>
      <c r="M47" s="39" t="s">
        <v>3857</v>
      </c>
      <c r="N47" s="39" t="s">
        <v>3992</v>
      </c>
      <c r="O47" s="39"/>
      <c r="P47" s="39"/>
      <c r="Q47" s="39"/>
      <c r="R47" s="39"/>
      <c r="S47" s="39"/>
      <c r="T47" s="39"/>
      <c r="U47" s="39"/>
      <c r="V47" s="39"/>
      <c r="W47" s="39"/>
    </row>
    <row r="48">
      <c r="F48" s="37"/>
      <c r="J48" s="39" t="s">
        <v>1580</v>
      </c>
      <c r="K48" s="39" t="s">
        <v>1763</v>
      </c>
      <c r="L48" s="37"/>
      <c r="M48" s="39" t="s">
        <v>3857</v>
      </c>
      <c r="N48" s="39" t="s">
        <v>3992</v>
      </c>
      <c r="O48" s="39"/>
      <c r="P48" s="39"/>
      <c r="Q48" s="39"/>
      <c r="R48" s="39"/>
      <c r="S48" s="39"/>
      <c r="T48" s="39"/>
      <c r="U48" s="39"/>
      <c r="V48" s="39"/>
      <c r="W48" s="39"/>
    </row>
    <row r="49">
      <c r="F49" s="37"/>
      <c r="J49" s="39" t="s">
        <v>4089</v>
      </c>
      <c r="K49" s="39" t="s">
        <v>1781</v>
      </c>
      <c r="L49" s="37"/>
      <c r="M49" s="39" t="s">
        <v>3857</v>
      </c>
      <c r="N49" s="39" t="s">
        <v>3992</v>
      </c>
      <c r="O49" s="39"/>
      <c r="P49" s="39"/>
      <c r="Q49" s="39"/>
      <c r="R49" s="39"/>
      <c r="S49" s="39"/>
      <c r="T49" s="39"/>
      <c r="U49" s="39"/>
      <c r="V49" s="39"/>
      <c r="W49" s="39"/>
    </row>
    <row r="50">
      <c r="F50" s="37"/>
      <c r="J50" s="39" t="s">
        <v>4089</v>
      </c>
      <c r="K50" s="39" t="s">
        <v>1763</v>
      </c>
      <c r="L50" s="37"/>
      <c r="M50" s="39" t="s">
        <v>3857</v>
      </c>
      <c r="N50" s="39" t="s">
        <v>3992</v>
      </c>
      <c r="O50" s="39"/>
      <c r="P50" s="39"/>
      <c r="Q50" s="39"/>
      <c r="R50" s="39"/>
      <c r="S50" s="39"/>
      <c r="T50" s="39"/>
      <c r="U50" s="39"/>
      <c r="V50" s="39"/>
      <c r="W50" s="39"/>
    </row>
    <row r="51">
      <c r="F51" s="37"/>
      <c r="J51" s="39" t="s">
        <v>4089</v>
      </c>
      <c r="K51" s="39" t="s">
        <v>1778</v>
      </c>
      <c r="L51" s="37"/>
      <c r="M51" s="39" t="s">
        <v>3857</v>
      </c>
      <c r="N51" s="39" t="s">
        <v>3992</v>
      </c>
      <c r="O51" s="39"/>
      <c r="P51" s="39"/>
      <c r="Q51" s="39"/>
      <c r="R51" s="39"/>
      <c r="S51" s="39"/>
      <c r="T51" s="39"/>
      <c r="U51" s="39"/>
      <c r="V51" s="39"/>
      <c r="W51" s="39"/>
    </row>
    <row r="52">
      <c r="F52" s="37"/>
      <c r="J52" s="39" t="s">
        <v>4090</v>
      </c>
      <c r="K52" s="39" t="s">
        <v>1781</v>
      </c>
      <c r="L52" s="37"/>
      <c r="M52" s="39" t="s">
        <v>3857</v>
      </c>
      <c r="N52" s="39" t="s">
        <v>3992</v>
      </c>
      <c r="O52" s="39"/>
      <c r="P52" s="39"/>
      <c r="Q52" s="39"/>
      <c r="R52" s="39"/>
      <c r="S52" s="39"/>
      <c r="T52" s="39"/>
      <c r="U52" s="39"/>
      <c r="V52" s="39"/>
      <c r="W52" s="39"/>
    </row>
    <row r="53">
      <c r="F53" s="37"/>
      <c r="J53" s="39" t="s">
        <v>4090</v>
      </c>
      <c r="K53" s="39" t="s">
        <v>1778</v>
      </c>
      <c r="L53" s="37"/>
      <c r="M53" s="39" t="s">
        <v>3857</v>
      </c>
      <c r="N53" s="39" t="s">
        <v>3992</v>
      </c>
      <c r="O53" s="39"/>
      <c r="P53" s="39"/>
      <c r="Q53" s="39"/>
      <c r="R53" s="39"/>
      <c r="S53" s="39"/>
      <c r="T53" s="39"/>
      <c r="U53" s="39"/>
      <c r="V53" s="39"/>
      <c r="W53" s="39"/>
    </row>
    <row r="54">
      <c r="F54" s="37"/>
      <c r="J54" s="39" t="s">
        <v>4090</v>
      </c>
      <c r="K54" s="39" t="s">
        <v>1280</v>
      </c>
      <c r="L54" s="37"/>
      <c r="M54" s="39" t="s">
        <v>3857</v>
      </c>
      <c r="N54" s="39" t="s">
        <v>3992</v>
      </c>
      <c r="O54" s="39"/>
      <c r="P54" s="39"/>
      <c r="Q54" s="39"/>
      <c r="R54" s="39"/>
      <c r="S54" s="39"/>
      <c r="T54" s="39"/>
      <c r="U54" s="39"/>
      <c r="V54" s="39"/>
      <c r="W54" s="39"/>
    </row>
    <row r="55">
      <c r="F55" s="37"/>
      <c r="J55" s="39" t="s">
        <v>4091</v>
      </c>
      <c r="K55" s="39" t="s">
        <v>1778</v>
      </c>
      <c r="L55" s="37"/>
      <c r="M55" s="39" t="s">
        <v>3857</v>
      </c>
      <c r="N55" s="39" t="s">
        <v>3992</v>
      </c>
      <c r="O55" s="39"/>
      <c r="P55" s="39"/>
      <c r="Q55" s="39"/>
      <c r="R55" s="39"/>
      <c r="S55" s="39"/>
      <c r="T55" s="39"/>
      <c r="U55" s="39"/>
      <c r="V55" s="39"/>
      <c r="W55" s="39"/>
    </row>
    <row r="56">
      <c r="F56" s="37"/>
      <c r="J56" s="39" t="s">
        <v>4091</v>
      </c>
      <c r="K56" s="39" t="s">
        <v>1788</v>
      </c>
      <c r="L56" s="37"/>
      <c r="M56" s="39" t="s">
        <v>3857</v>
      </c>
      <c r="N56" s="39" t="s">
        <v>3992</v>
      </c>
      <c r="O56" s="39"/>
      <c r="P56" s="39"/>
      <c r="Q56" s="39"/>
      <c r="R56" s="39"/>
      <c r="S56" s="39"/>
      <c r="T56" s="39"/>
      <c r="U56" s="39"/>
      <c r="V56" s="39"/>
      <c r="W56" s="39"/>
    </row>
    <row r="57">
      <c r="F57" s="37"/>
      <c r="J57" s="39" t="s">
        <v>4091</v>
      </c>
      <c r="K57" s="39" t="s">
        <v>1280</v>
      </c>
      <c r="L57" s="37"/>
      <c r="M57" s="39" t="s">
        <v>3857</v>
      </c>
      <c r="N57" s="39" t="s">
        <v>3992</v>
      </c>
      <c r="O57" s="39"/>
      <c r="P57" s="39"/>
      <c r="Q57" s="39"/>
      <c r="R57" s="39"/>
      <c r="S57" s="39"/>
      <c r="T57" s="39"/>
      <c r="U57" s="39"/>
      <c r="V57" s="39"/>
      <c r="W57" s="39"/>
    </row>
    <row r="58">
      <c r="F58" s="37"/>
      <c r="J58" s="39" t="s">
        <v>4092</v>
      </c>
      <c r="K58" s="39" t="s">
        <v>1766</v>
      </c>
      <c r="L58" s="37"/>
      <c r="M58" s="39" t="s">
        <v>3857</v>
      </c>
      <c r="N58" s="39" t="s">
        <v>4093</v>
      </c>
      <c r="O58" s="39"/>
      <c r="P58" s="39"/>
      <c r="Q58" s="39"/>
      <c r="R58" s="39"/>
      <c r="S58" s="39"/>
      <c r="T58" s="39"/>
      <c r="U58" s="39"/>
      <c r="V58" s="39"/>
      <c r="W58" s="39"/>
    </row>
    <row r="59">
      <c r="F59" s="37"/>
      <c r="J59" s="39" t="s">
        <v>4092</v>
      </c>
      <c r="K59" s="39" t="s">
        <v>1812</v>
      </c>
      <c r="L59" s="37"/>
      <c r="M59" s="39" t="s">
        <v>3857</v>
      </c>
      <c r="N59" s="39" t="s">
        <v>4093</v>
      </c>
      <c r="O59" s="39"/>
      <c r="P59" s="39"/>
      <c r="Q59" s="39"/>
      <c r="R59" s="39"/>
      <c r="S59" s="39"/>
      <c r="T59" s="39"/>
      <c r="U59" s="39"/>
      <c r="V59" s="39"/>
      <c r="W59" s="39"/>
    </row>
    <row r="60">
      <c r="F60" s="37"/>
      <c r="J60" s="39" t="s">
        <v>4092</v>
      </c>
      <c r="K60" s="39" t="s">
        <v>1295</v>
      </c>
      <c r="L60" s="37"/>
      <c r="M60" s="39" t="s">
        <v>3857</v>
      </c>
      <c r="N60" s="39" t="s">
        <v>4094</v>
      </c>
      <c r="O60" s="39"/>
      <c r="P60" s="39"/>
      <c r="Q60" s="39"/>
      <c r="R60" s="39"/>
      <c r="S60" s="39"/>
      <c r="T60" s="39"/>
      <c r="U60" s="39"/>
      <c r="V60" s="39"/>
      <c r="W60" s="39"/>
    </row>
    <row r="61">
      <c r="F61" s="37"/>
      <c r="J61" s="39" t="s">
        <v>4095</v>
      </c>
      <c r="L61" s="37"/>
      <c r="M61" s="39" t="s">
        <v>4096</v>
      </c>
      <c r="N61" s="39" t="s">
        <v>4097</v>
      </c>
      <c r="O61" s="39"/>
      <c r="P61" s="39"/>
      <c r="Q61" s="39"/>
      <c r="R61" s="39"/>
      <c r="S61" s="39"/>
      <c r="T61" s="39"/>
      <c r="U61" s="39"/>
      <c r="V61" s="39"/>
      <c r="W61" s="39"/>
    </row>
    <row r="62">
      <c r="F62" s="37"/>
      <c r="J62" s="39" t="s">
        <v>4098</v>
      </c>
      <c r="L62" s="37"/>
      <c r="M62" s="39" t="s">
        <v>4096</v>
      </c>
      <c r="N62" s="39" t="s">
        <v>4099</v>
      </c>
      <c r="O62" s="39"/>
      <c r="P62" s="39"/>
      <c r="Q62" s="39"/>
      <c r="R62" s="39"/>
      <c r="S62" s="39"/>
      <c r="T62" s="39"/>
      <c r="U62" s="39"/>
      <c r="V62" s="39"/>
      <c r="W62" s="39"/>
    </row>
    <row r="63">
      <c r="F63" s="37"/>
      <c r="J63" s="39" t="s">
        <v>4100</v>
      </c>
      <c r="L63" s="37"/>
      <c r="M63" s="39" t="s">
        <v>4096</v>
      </c>
      <c r="N63" s="39" t="s">
        <v>4099</v>
      </c>
      <c r="O63" s="39"/>
      <c r="P63" s="39"/>
      <c r="Q63" s="39"/>
      <c r="R63" s="39"/>
      <c r="S63" s="39"/>
      <c r="T63" s="39"/>
      <c r="U63" s="39"/>
      <c r="V63" s="39"/>
      <c r="W63" s="39"/>
    </row>
    <row r="64">
      <c r="F64" s="37"/>
      <c r="J64" s="39" t="s">
        <v>4101</v>
      </c>
      <c r="L64" s="37"/>
      <c r="M64" s="39" t="s">
        <v>4096</v>
      </c>
      <c r="N64" s="39" t="s">
        <v>4099</v>
      </c>
      <c r="O64" s="39"/>
      <c r="P64" s="39"/>
      <c r="Q64" s="39"/>
      <c r="R64" s="39"/>
      <c r="S64" s="39"/>
      <c r="T64" s="39"/>
      <c r="U64" s="39"/>
      <c r="V64" s="39"/>
      <c r="W64" s="39"/>
    </row>
    <row r="65">
      <c r="F65" s="37"/>
      <c r="J65" s="39" t="s">
        <v>1554</v>
      </c>
      <c r="L65" s="37"/>
      <c r="M65" s="39" t="s">
        <v>4096</v>
      </c>
      <c r="N65" s="39" t="s">
        <v>4099</v>
      </c>
      <c r="O65" s="39"/>
      <c r="P65" s="39"/>
      <c r="Q65" s="39"/>
      <c r="R65" s="39"/>
      <c r="S65" s="39"/>
      <c r="T65" s="39"/>
      <c r="U65" s="39"/>
      <c r="V65" s="39"/>
      <c r="W65" s="39"/>
    </row>
    <row r="66">
      <c r="F66" s="37"/>
      <c r="J66" s="39" t="s">
        <v>4102</v>
      </c>
      <c r="L66" s="37"/>
      <c r="M66" s="39" t="s">
        <v>4096</v>
      </c>
      <c r="N66" s="39" t="s">
        <v>4103</v>
      </c>
      <c r="O66" s="39"/>
      <c r="P66" s="39"/>
      <c r="Q66" s="39"/>
      <c r="R66" s="39"/>
      <c r="S66" s="39"/>
      <c r="T66" s="39"/>
      <c r="U66" s="39"/>
      <c r="V66" s="39"/>
      <c r="W66" s="39"/>
    </row>
    <row r="67">
      <c r="F67" s="37"/>
      <c r="J67" s="39" t="s">
        <v>1561</v>
      </c>
      <c r="L67" s="37"/>
      <c r="M67" s="39" t="s">
        <v>4096</v>
      </c>
      <c r="N67" s="39" t="s">
        <v>4103</v>
      </c>
      <c r="O67" s="39"/>
      <c r="P67" s="39"/>
      <c r="Q67" s="39"/>
      <c r="R67" s="39"/>
      <c r="S67" s="39"/>
      <c r="T67" s="39"/>
      <c r="U67" s="39"/>
      <c r="V67" s="39"/>
      <c r="W67" s="39"/>
    </row>
    <row r="68">
      <c r="F68" s="37"/>
      <c r="J68" s="39" t="s">
        <v>3347</v>
      </c>
      <c r="L68" s="37"/>
      <c r="M68" s="39" t="s">
        <v>4096</v>
      </c>
      <c r="N68" s="39" t="s">
        <v>4104</v>
      </c>
      <c r="O68" s="39"/>
      <c r="P68" s="39"/>
      <c r="Q68" s="39"/>
      <c r="R68" s="39"/>
      <c r="S68" s="39"/>
      <c r="T68" s="39"/>
      <c r="U68" s="39"/>
      <c r="V68" s="39"/>
      <c r="W68" s="39"/>
    </row>
    <row r="69">
      <c r="F69" s="37"/>
      <c r="J69" s="39" t="s">
        <v>3384</v>
      </c>
      <c r="L69" s="37"/>
      <c r="M69" s="39" t="s">
        <v>4096</v>
      </c>
      <c r="N69" s="39" t="s">
        <v>4104</v>
      </c>
      <c r="O69" s="39"/>
      <c r="P69" s="39"/>
      <c r="Q69" s="39"/>
      <c r="R69" s="39"/>
      <c r="S69" s="39"/>
      <c r="T69" s="39"/>
      <c r="U69" s="39"/>
      <c r="V69" s="39"/>
      <c r="W69" s="39"/>
    </row>
    <row r="70">
      <c r="F70" s="37"/>
      <c r="J70" s="39" t="s">
        <v>4105</v>
      </c>
      <c r="L70" s="37"/>
      <c r="M70" s="39" t="s">
        <v>4096</v>
      </c>
      <c r="N70" s="39" t="s">
        <v>4104</v>
      </c>
      <c r="O70" s="39"/>
      <c r="P70" s="39"/>
      <c r="Q70" s="39"/>
      <c r="R70" s="39"/>
      <c r="S70" s="39"/>
      <c r="T70" s="39"/>
      <c r="U70" s="39"/>
      <c r="V70" s="39"/>
      <c r="W70" s="39"/>
    </row>
    <row r="71">
      <c r="F71" s="37"/>
      <c r="J71" s="39" t="s">
        <v>4106</v>
      </c>
      <c r="L71" s="37"/>
      <c r="M71" s="39" t="s">
        <v>4096</v>
      </c>
      <c r="N71" s="39" t="s">
        <v>4104</v>
      </c>
      <c r="O71" s="39"/>
      <c r="P71" s="39"/>
      <c r="Q71" s="39"/>
      <c r="R71" s="39"/>
      <c r="S71" s="39"/>
      <c r="T71" s="39"/>
      <c r="U71" s="39"/>
      <c r="V71" s="39"/>
      <c r="W71" s="39"/>
    </row>
    <row r="72">
      <c r="F72" s="37"/>
      <c r="J72" s="39" t="s">
        <v>4107</v>
      </c>
      <c r="L72" s="37"/>
      <c r="M72" s="39" t="s">
        <v>4096</v>
      </c>
      <c r="N72" s="39" t="s">
        <v>4108</v>
      </c>
      <c r="O72" s="39"/>
      <c r="P72" s="39"/>
      <c r="Q72" s="39"/>
      <c r="R72" s="39"/>
      <c r="S72" s="39"/>
      <c r="T72" s="39"/>
      <c r="U72" s="39"/>
      <c r="V72" s="39"/>
      <c r="W72" s="39"/>
    </row>
    <row r="73">
      <c r="F73" s="37"/>
      <c r="J73" s="39" t="s">
        <v>1609</v>
      </c>
      <c r="L73" s="37"/>
      <c r="M73" s="39" t="s">
        <v>4096</v>
      </c>
      <c r="N73" s="39" t="s">
        <v>4108</v>
      </c>
      <c r="O73" s="39"/>
      <c r="P73" s="39"/>
      <c r="Q73" s="39"/>
      <c r="R73" s="39"/>
      <c r="S73" s="39"/>
      <c r="T73" s="39"/>
      <c r="U73" s="39"/>
      <c r="V73" s="39"/>
      <c r="W73" s="39"/>
    </row>
    <row r="74">
      <c r="F74" s="37"/>
      <c r="J74" s="39" t="s">
        <v>4109</v>
      </c>
      <c r="L74" s="37"/>
      <c r="M74" s="39" t="s">
        <v>4096</v>
      </c>
      <c r="N74" s="39" t="s">
        <v>4104</v>
      </c>
      <c r="O74" s="39"/>
      <c r="P74" s="39"/>
      <c r="Q74" s="39"/>
      <c r="R74" s="39"/>
      <c r="S74" s="39"/>
      <c r="T74" s="39"/>
      <c r="U74" s="39"/>
      <c r="V74" s="39"/>
      <c r="W74" s="39"/>
    </row>
    <row r="75">
      <c r="F75" s="37"/>
      <c r="J75" s="39" t="s">
        <v>4110</v>
      </c>
      <c r="L75" s="37"/>
      <c r="M75" s="39" t="s">
        <v>4096</v>
      </c>
      <c r="N75" s="39" t="s">
        <v>4104</v>
      </c>
      <c r="O75" s="39"/>
      <c r="P75" s="39"/>
      <c r="Q75" s="39"/>
      <c r="R75" s="39"/>
      <c r="S75" s="39"/>
      <c r="T75" s="39"/>
      <c r="U75" s="39"/>
      <c r="V75" s="39"/>
      <c r="W75" s="39"/>
    </row>
    <row r="76">
      <c r="F76" s="37"/>
      <c r="J76" s="39" t="s">
        <v>4111</v>
      </c>
      <c r="L76" s="37"/>
      <c r="M76" s="39" t="s">
        <v>4096</v>
      </c>
      <c r="N76" s="39" t="s">
        <v>4104</v>
      </c>
      <c r="O76" s="39"/>
      <c r="P76" s="39"/>
      <c r="Q76" s="39"/>
      <c r="R76" s="39"/>
      <c r="S76" s="39"/>
      <c r="T76" s="39"/>
      <c r="U76" s="39"/>
      <c r="V76" s="39"/>
      <c r="W76" s="39"/>
    </row>
    <row r="77">
      <c r="F77" s="37"/>
      <c r="J77" s="39" t="s">
        <v>4112</v>
      </c>
      <c r="L77" s="37"/>
      <c r="M77" s="39" t="s">
        <v>4096</v>
      </c>
      <c r="N77" s="39" t="s">
        <v>4104</v>
      </c>
      <c r="O77" s="39"/>
      <c r="P77" s="39"/>
      <c r="Q77" s="39"/>
      <c r="R77" s="39"/>
      <c r="S77" s="39"/>
      <c r="T77" s="39"/>
      <c r="U77" s="39"/>
      <c r="V77" s="39"/>
      <c r="W77" s="39"/>
    </row>
    <row r="78">
      <c r="F78" s="37"/>
      <c r="J78" s="39" t="s">
        <v>4113</v>
      </c>
      <c r="L78" s="37"/>
      <c r="M78" s="39" t="s">
        <v>4096</v>
      </c>
      <c r="N78" s="39" t="s">
        <v>4114</v>
      </c>
      <c r="O78" s="39"/>
      <c r="P78" s="39"/>
      <c r="Q78" s="39"/>
      <c r="R78" s="39"/>
      <c r="S78" s="39"/>
      <c r="T78" s="39"/>
      <c r="U78" s="39"/>
      <c r="V78" s="39"/>
      <c r="W78" s="39"/>
    </row>
    <row r="79">
      <c r="F79" s="37"/>
      <c r="J79" s="39" t="s">
        <v>4115</v>
      </c>
      <c r="L79" s="37"/>
      <c r="M79" s="39" t="s">
        <v>4096</v>
      </c>
      <c r="N79" s="39" t="s">
        <v>4104</v>
      </c>
      <c r="O79" s="39"/>
      <c r="P79" s="39"/>
      <c r="Q79" s="39"/>
      <c r="R79" s="39"/>
      <c r="S79" s="39"/>
      <c r="T79" s="39"/>
      <c r="U79" s="39"/>
      <c r="V79" s="39"/>
      <c r="W79" s="39"/>
    </row>
    <row r="80">
      <c r="F80" s="37"/>
      <c r="J80" s="39" t="s">
        <v>4116</v>
      </c>
      <c r="L80" s="37"/>
      <c r="M80" s="39" t="s">
        <v>4096</v>
      </c>
      <c r="N80" s="39" t="s">
        <v>4117</v>
      </c>
      <c r="O80" s="39"/>
      <c r="P80" s="39"/>
      <c r="Q80" s="39"/>
      <c r="R80" s="39"/>
      <c r="S80" s="39"/>
      <c r="T80" s="39"/>
      <c r="U80" s="39"/>
      <c r="V80" s="39"/>
      <c r="W80" s="39"/>
    </row>
    <row r="81">
      <c r="F81" s="37"/>
      <c r="J81" s="39" t="s">
        <v>1598</v>
      </c>
      <c r="L81" s="37"/>
      <c r="M81" s="39" t="s">
        <v>4096</v>
      </c>
      <c r="N81" s="39" t="s">
        <v>4118</v>
      </c>
      <c r="O81" s="39"/>
      <c r="P81" s="39"/>
      <c r="Q81" s="39"/>
      <c r="R81" s="39"/>
      <c r="S81" s="39"/>
      <c r="T81" s="39"/>
      <c r="U81" s="39"/>
      <c r="V81" s="39"/>
      <c r="W81" s="39"/>
    </row>
    <row r="82">
      <c r="F82" s="37"/>
      <c r="J82" s="39" t="s">
        <v>3367</v>
      </c>
      <c r="K82" s="39" t="s">
        <v>1778</v>
      </c>
      <c r="L82" s="39" t="s">
        <v>3381</v>
      </c>
      <c r="M82" s="39" t="s">
        <v>3868</v>
      </c>
      <c r="N82" s="39" t="s">
        <v>4119</v>
      </c>
      <c r="O82" s="39"/>
      <c r="P82" s="39"/>
      <c r="Q82" s="39"/>
      <c r="R82" s="39"/>
      <c r="S82" s="39"/>
      <c r="T82" s="39"/>
      <c r="U82" s="39"/>
      <c r="V82" s="39"/>
      <c r="W82" s="39"/>
    </row>
    <row r="83">
      <c r="F83" s="37"/>
      <c r="J83" s="39" t="s">
        <v>3381</v>
      </c>
      <c r="L83" s="37"/>
      <c r="M83" s="39" t="s">
        <v>4096</v>
      </c>
      <c r="N83" s="39" t="s">
        <v>4120</v>
      </c>
      <c r="O83" s="39"/>
      <c r="P83" s="39"/>
      <c r="Q83" s="39"/>
      <c r="R83" s="39"/>
      <c r="S83" s="39"/>
      <c r="T83" s="39"/>
      <c r="U83" s="39"/>
      <c r="V83" s="39"/>
      <c r="W83" s="39"/>
    </row>
    <row r="84">
      <c r="F84" s="37"/>
      <c r="J84" s="39" t="s">
        <v>4121</v>
      </c>
      <c r="L84" s="37"/>
      <c r="M84" s="39" t="s">
        <v>4096</v>
      </c>
      <c r="N84" s="39" t="s">
        <v>4120</v>
      </c>
      <c r="O84" s="39"/>
      <c r="P84" s="39"/>
      <c r="Q84" s="39"/>
      <c r="R84" s="39"/>
      <c r="S84" s="39"/>
      <c r="T84" s="39"/>
      <c r="U84" s="39"/>
      <c r="V84" s="39"/>
      <c r="W84" s="39"/>
    </row>
    <row r="85">
      <c r="F85" s="37"/>
      <c r="J85" s="39" t="s">
        <v>4122</v>
      </c>
      <c r="L85" s="37"/>
      <c r="M85" s="39" t="s">
        <v>4096</v>
      </c>
      <c r="N85" s="39" t="s">
        <v>4120</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4123</v>
      </c>
      <c r="B1" s="64" t="s">
        <v>8</v>
      </c>
      <c r="C1" s="64" t="s">
        <v>3329</v>
      </c>
      <c r="D1" s="141" t="s">
        <v>4124</v>
      </c>
      <c r="E1" s="64" t="s">
        <v>4125</v>
      </c>
      <c r="F1" s="64" t="s">
        <v>4126</v>
      </c>
      <c r="G1" s="64" t="s">
        <v>4127</v>
      </c>
      <c r="H1" s="64" t="s">
        <v>4128</v>
      </c>
      <c r="I1" s="64" t="s">
        <v>4129</v>
      </c>
      <c r="J1" s="141" t="s">
        <v>4130</v>
      </c>
      <c r="K1" s="64" t="s">
        <v>4131</v>
      </c>
      <c r="L1" s="64" t="s">
        <v>4132</v>
      </c>
      <c r="M1" s="64" t="s">
        <v>4133</v>
      </c>
      <c r="N1" s="64" t="s">
        <v>4134</v>
      </c>
      <c r="O1" s="39" t="s">
        <v>4135</v>
      </c>
      <c r="P1" s="39" t="s">
        <v>4136</v>
      </c>
      <c r="Q1" s="39" t="s">
        <v>4137</v>
      </c>
      <c r="R1" s="39" t="s">
        <v>4138</v>
      </c>
      <c r="S1" s="39" t="s">
        <v>4139</v>
      </c>
      <c r="T1" s="39" t="s">
        <v>4140</v>
      </c>
      <c r="U1" s="39" t="s">
        <v>3330</v>
      </c>
      <c r="V1" s="39" t="s">
        <v>3331</v>
      </c>
      <c r="W1" s="39" t="s">
        <v>4141</v>
      </c>
      <c r="X1" s="39" t="s">
        <v>4142</v>
      </c>
      <c r="Y1" s="39" t="s">
        <v>4143</v>
      </c>
      <c r="Z1" s="39" t="s">
        <v>4144</v>
      </c>
      <c r="AA1" s="39" t="s">
        <v>4145</v>
      </c>
      <c r="AB1" s="39" t="s">
        <v>4146</v>
      </c>
      <c r="AC1" s="39" t="s">
        <v>4147</v>
      </c>
      <c r="AD1" s="39" t="s">
        <v>4148</v>
      </c>
      <c r="AE1" s="142" t="s">
        <v>4149</v>
      </c>
      <c r="AF1" s="142" t="s">
        <v>4150</v>
      </c>
      <c r="AG1" s="143" t="s">
        <v>4151</v>
      </c>
      <c r="AH1" s="142" t="s">
        <v>4152</v>
      </c>
      <c r="AI1" s="142" t="s">
        <v>4153</v>
      </c>
      <c r="AJ1" s="142" t="s">
        <v>4154</v>
      </c>
      <c r="AK1" s="142" t="s">
        <v>4155</v>
      </c>
      <c r="AL1" s="142" t="s">
        <v>4156</v>
      </c>
      <c r="AM1" s="142" t="s">
        <v>4157</v>
      </c>
      <c r="AN1" s="142" t="s">
        <v>4158</v>
      </c>
      <c r="AO1" s="142" t="s">
        <v>4159</v>
      </c>
      <c r="AP1" s="142" t="s">
        <v>4160</v>
      </c>
      <c r="AQ1" s="142" t="s">
        <v>4161</v>
      </c>
      <c r="AR1" s="142" t="s">
        <v>4162</v>
      </c>
      <c r="AS1" s="142" t="s">
        <v>4163</v>
      </c>
      <c r="AT1" s="142" t="s">
        <v>4164</v>
      </c>
      <c r="AU1" s="142" t="s">
        <v>4165</v>
      </c>
      <c r="AV1" s="131" t="s">
        <v>4166</v>
      </c>
    </row>
    <row r="2" ht="18.75" customHeight="1">
      <c r="A2" s="64" t="s">
        <v>4167</v>
      </c>
      <c r="B2" s="64" t="s">
        <v>3022</v>
      </c>
      <c r="D2" s="144"/>
      <c r="J2" s="144"/>
    </row>
    <row r="3" ht="18.75" customHeight="1">
      <c r="A3" s="64" t="s">
        <v>4168</v>
      </c>
      <c r="B3" s="102" t="s">
        <v>4169</v>
      </c>
      <c r="C3" s="37" t="s">
        <v>4170</v>
      </c>
      <c r="D3" s="145">
        <v>0.012</v>
      </c>
      <c r="F3" s="39">
        <v>1.0</v>
      </c>
      <c r="J3" s="145">
        <v>0.5</v>
      </c>
      <c r="K3" s="39">
        <v>2.0</v>
      </c>
      <c r="N3" s="39">
        <v>5.0</v>
      </c>
      <c r="O3" s="39" t="s">
        <v>4171</v>
      </c>
      <c r="P3" s="39" t="s">
        <v>4172</v>
      </c>
      <c r="Q3" s="39">
        <v>0.0</v>
      </c>
      <c r="R3" s="39" t="b">
        <v>0</v>
      </c>
      <c r="S3" s="39" t="b">
        <v>0</v>
      </c>
      <c r="T3" s="39" t="s">
        <v>3272</v>
      </c>
      <c r="U3" s="39" t="s">
        <v>4173</v>
      </c>
      <c r="V3" s="39">
        <v>1.0</v>
      </c>
      <c r="W3" s="39" t="b">
        <v>1</v>
      </c>
      <c r="X3" s="39">
        <v>4.0</v>
      </c>
      <c r="Y3" s="39" t="s">
        <v>4174</v>
      </c>
      <c r="Z3" s="39">
        <v>0.0</v>
      </c>
      <c r="AA3" s="39">
        <v>3.0</v>
      </c>
      <c r="AB3" s="39" t="s">
        <v>284</v>
      </c>
      <c r="AC3" s="39">
        <v>20.0</v>
      </c>
      <c r="AD3" s="39">
        <v>20.0</v>
      </c>
      <c r="AE3" s="39"/>
      <c r="AF3" s="39"/>
      <c r="AG3" s="39"/>
      <c r="AH3" s="39" t="s">
        <v>4175</v>
      </c>
      <c r="AI3" s="39" t="s">
        <v>4176</v>
      </c>
      <c r="AJ3" s="39">
        <v>2.0</v>
      </c>
      <c r="AK3" s="39"/>
      <c r="AL3" s="39"/>
      <c r="AM3" s="39"/>
      <c r="AN3" s="39"/>
      <c r="AO3" s="39"/>
      <c r="AP3" s="39"/>
      <c r="AQ3" s="39"/>
      <c r="AR3" s="39"/>
      <c r="AS3" s="39"/>
      <c r="AT3" s="39"/>
      <c r="AU3" s="39"/>
      <c r="AV3" s="39"/>
    </row>
    <row r="4" ht="18.75" customHeight="1">
      <c r="A4" s="64" t="s">
        <v>3211</v>
      </c>
      <c r="B4" s="64" t="s">
        <v>4177</v>
      </c>
      <c r="C4" s="37" t="s">
        <v>4178</v>
      </c>
      <c r="D4" s="145">
        <v>0.01</v>
      </c>
      <c r="F4" s="39">
        <v>1.0</v>
      </c>
      <c r="J4" s="145">
        <v>0.5</v>
      </c>
      <c r="K4" s="39">
        <v>2.0</v>
      </c>
      <c r="N4" s="39">
        <v>4.0</v>
      </c>
      <c r="O4" s="39" t="s">
        <v>4179</v>
      </c>
      <c r="P4" s="39" t="s">
        <v>4172</v>
      </c>
      <c r="Q4" s="39">
        <v>0.0</v>
      </c>
      <c r="R4" s="39" t="b">
        <v>0</v>
      </c>
      <c r="S4" s="39" t="b">
        <v>0</v>
      </c>
      <c r="T4" s="39" t="s">
        <v>453</v>
      </c>
      <c r="U4" s="39" t="s">
        <v>4173</v>
      </c>
      <c r="V4" s="39">
        <v>2.0</v>
      </c>
      <c r="W4" s="39" t="b">
        <v>1</v>
      </c>
      <c r="X4" s="39">
        <v>4.0</v>
      </c>
      <c r="Y4" s="39" t="s">
        <v>4180</v>
      </c>
      <c r="Z4" s="39">
        <v>0.0</v>
      </c>
      <c r="AA4" s="39">
        <v>1.0</v>
      </c>
      <c r="AB4" s="39" t="s">
        <v>1782</v>
      </c>
      <c r="AC4" s="39">
        <v>20.0</v>
      </c>
      <c r="AD4" s="39">
        <v>0.0</v>
      </c>
      <c r="AE4" s="39" t="s">
        <v>4181</v>
      </c>
      <c r="AF4" s="39">
        <v>0.0</v>
      </c>
      <c r="AG4" s="39"/>
      <c r="AH4" s="39" t="s">
        <v>4175</v>
      </c>
      <c r="AI4" s="39" t="s">
        <v>4182</v>
      </c>
      <c r="AJ4" s="39">
        <v>2.0</v>
      </c>
      <c r="AK4" s="39"/>
      <c r="AL4" s="39"/>
      <c r="AM4" s="39"/>
      <c r="AN4" s="39"/>
      <c r="AO4" s="39"/>
      <c r="AP4" s="39"/>
      <c r="AQ4" s="39"/>
      <c r="AR4" s="39"/>
      <c r="AS4" s="39"/>
      <c r="AT4" s="39"/>
      <c r="AU4" s="39"/>
      <c r="AV4" s="39"/>
    </row>
    <row r="5" ht="18.75" customHeight="1">
      <c r="A5" s="64" t="s">
        <v>4183</v>
      </c>
      <c r="B5" s="64" t="s">
        <v>4184</v>
      </c>
      <c r="C5" s="37" t="s">
        <v>4185</v>
      </c>
      <c r="D5" s="145">
        <v>0.01</v>
      </c>
      <c r="F5" s="39">
        <v>2.0</v>
      </c>
      <c r="J5" s="145">
        <v>0.5</v>
      </c>
      <c r="K5" s="39">
        <v>3.0</v>
      </c>
      <c r="N5" s="39">
        <v>3.0</v>
      </c>
      <c r="O5" s="39" t="s">
        <v>4186</v>
      </c>
      <c r="P5" s="39" t="s">
        <v>4172</v>
      </c>
      <c r="Q5" s="39">
        <v>0.0</v>
      </c>
      <c r="R5" s="39" t="b">
        <v>0</v>
      </c>
      <c r="S5" s="39" t="b">
        <v>0</v>
      </c>
      <c r="T5" s="39" t="s">
        <v>4187</v>
      </c>
      <c r="U5" s="39" t="s">
        <v>4173</v>
      </c>
      <c r="V5" s="39">
        <v>3.0</v>
      </c>
      <c r="W5" s="39" t="b">
        <v>1</v>
      </c>
      <c r="X5" s="39">
        <v>4.0</v>
      </c>
      <c r="Y5" s="39" t="s">
        <v>4188</v>
      </c>
      <c r="Z5" s="39">
        <v>0.0</v>
      </c>
      <c r="AA5" s="39">
        <v>1.0</v>
      </c>
      <c r="AB5" s="39"/>
      <c r="AC5" s="39"/>
      <c r="AD5" s="39"/>
      <c r="AE5" s="39"/>
      <c r="AF5" s="39"/>
      <c r="AG5" s="39"/>
      <c r="AH5" s="39" t="s">
        <v>4175</v>
      </c>
      <c r="AI5" s="39" t="s">
        <v>4176</v>
      </c>
      <c r="AJ5" s="39">
        <v>3.0</v>
      </c>
      <c r="AK5" s="39"/>
      <c r="AL5" s="39"/>
      <c r="AM5" s="39"/>
      <c r="AN5" s="39"/>
      <c r="AO5" s="39"/>
      <c r="AP5" s="39"/>
      <c r="AQ5" s="39"/>
      <c r="AR5" s="39"/>
      <c r="AS5" s="39"/>
      <c r="AT5" s="39"/>
      <c r="AU5" s="39"/>
      <c r="AV5" s="39"/>
    </row>
    <row r="6" ht="18.75" customHeight="1">
      <c r="A6" s="64" t="s">
        <v>1767</v>
      </c>
      <c r="B6" s="64" t="s">
        <v>4189</v>
      </c>
      <c r="C6" s="37" t="s">
        <v>4190</v>
      </c>
      <c r="D6" s="145">
        <v>0.008</v>
      </c>
      <c r="F6" s="39">
        <v>2.0</v>
      </c>
      <c r="J6" s="145">
        <v>0.8</v>
      </c>
      <c r="K6" s="39">
        <v>2.0</v>
      </c>
      <c r="N6" s="39">
        <v>2.0</v>
      </c>
      <c r="O6" s="39" t="s">
        <v>29</v>
      </c>
      <c r="P6" s="39" t="s">
        <v>4172</v>
      </c>
      <c r="Q6" s="39">
        <v>0.0</v>
      </c>
      <c r="R6" s="39" t="b">
        <v>0</v>
      </c>
      <c r="S6" s="39" t="b">
        <v>0</v>
      </c>
      <c r="T6" s="39" t="s">
        <v>908</v>
      </c>
      <c r="U6" s="39" t="s">
        <v>4173</v>
      </c>
      <c r="V6" s="39">
        <v>4.0</v>
      </c>
      <c r="W6" s="39" t="b">
        <v>1</v>
      </c>
      <c r="X6" s="39">
        <v>4.0</v>
      </c>
      <c r="Y6" s="39" t="s">
        <v>4188</v>
      </c>
      <c r="Z6" s="39">
        <v>0.0</v>
      </c>
      <c r="AA6" s="39">
        <v>1.0</v>
      </c>
      <c r="AB6" s="39"/>
      <c r="AC6" s="39"/>
      <c r="AD6" s="39"/>
      <c r="AE6" s="39"/>
      <c r="AF6" s="39"/>
      <c r="AG6" s="39"/>
      <c r="AH6" s="39" t="s">
        <v>4175</v>
      </c>
      <c r="AI6" s="39" t="s">
        <v>4191</v>
      </c>
      <c r="AJ6" s="39">
        <v>1.0</v>
      </c>
      <c r="AK6" s="39"/>
      <c r="AL6" s="39"/>
      <c r="AM6" s="39"/>
      <c r="AN6" s="39"/>
      <c r="AO6" s="39"/>
      <c r="AP6" s="39"/>
      <c r="AQ6" s="39"/>
      <c r="AR6" s="39"/>
      <c r="AS6" s="39"/>
      <c r="AT6" s="39"/>
      <c r="AU6" s="39"/>
      <c r="AV6" s="39"/>
    </row>
    <row r="7" ht="18.75" customHeight="1">
      <c r="A7" s="64" t="s">
        <v>1049</v>
      </c>
      <c r="B7" s="64" t="s">
        <v>4192</v>
      </c>
      <c r="C7" s="37" t="s">
        <v>4193</v>
      </c>
      <c r="D7" s="145">
        <v>0.006</v>
      </c>
      <c r="F7" s="39">
        <v>1.0</v>
      </c>
      <c r="J7" s="145">
        <v>0.7</v>
      </c>
      <c r="K7" s="39">
        <v>1.0</v>
      </c>
      <c r="N7" s="39">
        <v>7.0</v>
      </c>
      <c r="O7" s="39" t="s">
        <v>4194</v>
      </c>
      <c r="P7" s="39" t="s">
        <v>4172</v>
      </c>
      <c r="Q7" s="39">
        <v>0.0</v>
      </c>
      <c r="R7" s="39" t="b">
        <v>0</v>
      </c>
      <c r="S7" s="39" t="b">
        <v>0</v>
      </c>
      <c r="T7" s="39" t="s">
        <v>4195</v>
      </c>
      <c r="U7" s="39" t="s">
        <v>4173</v>
      </c>
      <c r="V7" s="39">
        <v>5.0</v>
      </c>
      <c r="W7" s="39" t="b">
        <v>1</v>
      </c>
      <c r="X7" s="39">
        <v>4.0</v>
      </c>
      <c r="Y7" s="39" t="s">
        <v>4196</v>
      </c>
      <c r="Z7" s="39">
        <v>0.0</v>
      </c>
      <c r="AA7" s="39">
        <v>1.0</v>
      </c>
      <c r="AB7" s="39" t="s">
        <v>1782</v>
      </c>
      <c r="AC7" s="39">
        <v>80.0</v>
      </c>
      <c r="AD7" s="39">
        <v>0.0</v>
      </c>
      <c r="AE7" s="39" t="s">
        <v>4181</v>
      </c>
      <c r="AF7" s="39">
        <v>0.0</v>
      </c>
      <c r="AG7" s="39"/>
      <c r="AH7" s="39" t="s">
        <v>4197</v>
      </c>
      <c r="AI7" s="39" t="s">
        <v>29</v>
      </c>
      <c r="AJ7" s="39">
        <v>0.0</v>
      </c>
      <c r="AK7" s="39"/>
      <c r="AL7" s="39"/>
      <c r="AM7" s="39"/>
      <c r="AN7" s="39"/>
      <c r="AO7" s="39"/>
      <c r="AP7" s="39"/>
      <c r="AQ7" s="39"/>
      <c r="AR7" s="39"/>
      <c r="AS7" s="39"/>
      <c r="AT7" s="39"/>
      <c r="AU7" s="39"/>
      <c r="AV7" s="39"/>
    </row>
    <row r="8" ht="18.75" customHeight="1">
      <c r="A8" s="64" t="s">
        <v>4198</v>
      </c>
      <c r="B8" s="102" t="s">
        <v>4199</v>
      </c>
      <c r="C8" s="37" t="s">
        <v>4200</v>
      </c>
      <c r="D8" s="145">
        <v>0.006</v>
      </c>
      <c r="F8" s="39">
        <v>1.0</v>
      </c>
      <c r="J8" s="145">
        <v>0.9</v>
      </c>
      <c r="K8" s="39">
        <v>1.0</v>
      </c>
      <c r="N8" s="39">
        <v>3.0</v>
      </c>
      <c r="O8" s="39" t="s">
        <v>29</v>
      </c>
      <c r="P8" s="39" t="s">
        <v>4172</v>
      </c>
      <c r="Q8" s="39">
        <v>0.0</v>
      </c>
      <c r="R8" s="39" t="b">
        <v>0</v>
      </c>
      <c r="S8" s="39" t="b">
        <v>0</v>
      </c>
      <c r="T8" s="39" t="s">
        <v>518</v>
      </c>
      <c r="U8" s="39" t="s">
        <v>4173</v>
      </c>
      <c r="V8" s="39">
        <v>6.0</v>
      </c>
      <c r="W8" s="39" t="b">
        <v>1</v>
      </c>
      <c r="X8" s="39">
        <v>4.0</v>
      </c>
      <c r="Y8" s="39" t="s">
        <v>4201</v>
      </c>
      <c r="Z8" s="39">
        <v>0.0</v>
      </c>
      <c r="AA8" s="39">
        <v>1.0</v>
      </c>
      <c r="AB8" s="39" t="s">
        <v>518</v>
      </c>
      <c r="AC8" s="39">
        <v>140.0</v>
      </c>
      <c r="AD8" s="39">
        <v>0.0</v>
      </c>
      <c r="AE8" s="39" t="s">
        <v>4202</v>
      </c>
      <c r="AF8" s="39">
        <v>0.0</v>
      </c>
      <c r="AG8" s="39">
        <v>3.0</v>
      </c>
      <c r="AH8" s="39" t="s">
        <v>4175</v>
      </c>
      <c r="AI8" s="39" t="s">
        <v>554</v>
      </c>
      <c r="AJ8" s="39">
        <v>1.0</v>
      </c>
      <c r="AK8" s="39"/>
      <c r="AL8" s="39"/>
      <c r="AM8" s="39"/>
      <c r="AN8" s="39"/>
      <c r="AO8" s="39"/>
      <c r="AP8" s="39"/>
      <c r="AQ8" s="39"/>
      <c r="AR8" s="39"/>
      <c r="AS8" s="39"/>
      <c r="AT8" s="39"/>
      <c r="AU8" s="39"/>
      <c r="AV8" s="39" t="s">
        <v>4203</v>
      </c>
    </row>
    <row r="9" ht="18.75" customHeight="1">
      <c r="A9" s="64" t="s">
        <v>4204</v>
      </c>
      <c r="B9" s="64" t="s">
        <v>4205</v>
      </c>
      <c r="C9" s="37" t="s">
        <v>4206</v>
      </c>
      <c r="D9" s="145">
        <v>0.006</v>
      </c>
      <c r="F9" s="39">
        <v>2.0</v>
      </c>
      <c r="J9" s="145">
        <v>0.7</v>
      </c>
      <c r="K9" s="39">
        <v>2.0</v>
      </c>
      <c r="N9" s="39">
        <v>3.0</v>
      </c>
      <c r="O9" s="39" t="s">
        <v>4207</v>
      </c>
      <c r="P9" s="39" t="s">
        <v>4172</v>
      </c>
      <c r="Q9" s="39">
        <v>0.0</v>
      </c>
      <c r="R9" s="39" t="b">
        <v>0</v>
      </c>
      <c r="S9" s="39" t="b">
        <v>0</v>
      </c>
      <c r="T9" s="39" t="s">
        <v>4208</v>
      </c>
      <c r="U9" s="39" t="s">
        <v>4173</v>
      </c>
      <c r="V9" s="39">
        <v>7.0</v>
      </c>
      <c r="W9" s="39" t="b">
        <v>1</v>
      </c>
      <c r="X9" s="39">
        <v>4.0</v>
      </c>
      <c r="Y9" s="39" t="s">
        <v>4188</v>
      </c>
      <c r="Z9" s="39">
        <v>0.0</v>
      </c>
      <c r="AA9" s="39">
        <v>1.0</v>
      </c>
      <c r="AB9" s="39"/>
      <c r="AC9" s="39"/>
      <c r="AD9" s="39"/>
      <c r="AE9" s="39"/>
      <c r="AF9" s="39"/>
      <c r="AG9" s="39"/>
      <c r="AH9" s="39" t="s">
        <v>4175</v>
      </c>
      <c r="AI9" s="39" t="s">
        <v>4209</v>
      </c>
      <c r="AJ9" s="39">
        <v>2.0</v>
      </c>
      <c r="AK9" s="39"/>
      <c r="AL9" s="39"/>
      <c r="AM9" s="39"/>
      <c r="AN9" s="39"/>
      <c r="AO9" s="39"/>
      <c r="AP9" s="39"/>
      <c r="AQ9" s="39"/>
      <c r="AR9" s="39"/>
      <c r="AS9" s="39"/>
      <c r="AT9" s="39"/>
      <c r="AU9" s="39"/>
      <c r="AV9" s="39"/>
    </row>
    <row r="10" ht="18.75" customHeight="1">
      <c r="A10" s="64" t="s">
        <v>4210</v>
      </c>
      <c r="B10" s="64" t="s">
        <v>4211</v>
      </c>
      <c r="C10" s="37" t="s">
        <v>4212</v>
      </c>
      <c r="D10" s="145">
        <v>0.006</v>
      </c>
      <c r="F10" s="39">
        <v>2.0</v>
      </c>
      <c r="J10" s="145">
        <v>0.5</v>
      </c>
      <c r="K10" s="39">
        <v>2.0</v>
      </c>
      <c r="N10" s="39">
        <v>3.0</v>
      </c>
      <c r="O10" s="39" t="s">
        <v>4186</v>
      </c>
      <c r="P10" s="39" t="s">
        <v>4172</v>
      </c>
      <c r="Q10" s="39">
        <v>0.0</v>
      </c>
      <c r="R10" s="39" t="b">
        <v>0</v>
      </c>
      <c r="S10" s="39" t="b">
        <v>0</v>
      </c>
      <c r="T10" s="39" t="s">
        <v>4213</v>
      </c>
      <c r="U10" s="39" t="s">
        <v>4173</v>
      </c>
      <c r="V10" s="39">
        <v>8.0</v>
      </c>
      <c r="W10" s="39" t="b">
        <v>1</v>
      </c>
      <c r="X10" s="39">
        <v>4.0</v>
      </c>
      <c r="Y10" s="39" t="s">
        <v>4188</v>
      </c>
      <c r="Z10" s="39">
        <v>0.0</v>
      </c>
      <c r="AA10" s="39">
        <v>1.0</v>
      </c>
      <c r="AB10" s="39"/>
      <c r="AC10" s="39"/>
      <c r="AD10" s="39"/>
      <c r="AE10" s="39"/>
      <c r="AF10" s="39"/>
      <c r="AG10" s="39"/>
      <c r="AH10" s="39" t="s">
        <v>4175</v>
      </c>
      <c r="AI10" s="39" t="s">
        <v>4214</v>
      </c>
      <c r="AJ10" s="39">
        <v>2.0</v>
      </c>
      <c r="AK10" s="39"/>
      <c r="AL10" s="39"/>
      <c r="AM10" s="39"/>
      <c r="AN10" s="39"/>
      <c r="AO10" s="39"/>
      <c r="AP10" s="39"/>
      <c r="AQ10" s="39"/>
      <c r="AR10" s="39"/>
      <c r="AS10" s="39"/>
      <c r="AT10" s="39"/>
      <c r="AU10" s="39"/>
      <c r="AV10" s="39"/>
    </row>
    <row r="11" ht="18.75" customHeight="1">
      <c r="A11" s="64" t="s">
        <v>4215</v>
      </c>
      <c r="B11" s="64" t="s">
        <v>4216</v>
      </c>
      <c r="C11" s="37" t="s">
        <v>4217</v>
      </c>
      <c r="D11" s="144">
        <v>0.01</v>
      </c>
      <c r="E11" s="37">
        <v>1.0</v>
      </c>
      <c r="F11" s="37">
        <v>1.0</v>
      </c>
      <c r="G11" s="37">
        <v>3.0</v>
      </c>
      <c r="H11" s="37">
        <v>0.35</v>
      </c>
      <c r="I11" s="37">
        <v>38.0</v>
      </c>
      <c r="J11" s="144">
        <v>0.5</v>
      </c>
      <c r="K11" s="37">
        <v>2.0</v>
      </c>
      <c r="L11" s="37">
        <v>1.0</v>
      </c>
      <c r="M11" s="37">
        <v>3.0</v>
      </c>
      <c r="N11" s="37">
        <v>10.0</v>
      </c>
      <c r="O11" s="39" t="s">
        <v>29</v>
      </c>
      <c r="P11" s="39" t="s">
        <v>4172</v>
      </c>
      <c r="Q11" s="39">
        <v>0.0</v>
      </c>
      <c r="R11" s="39" t="b">
        <v>0</v>
      </c>
      <c r="S11" s="39" t="b">
        <v>0</v>
      </c>
      <c r="T11" s="39" t="s">
        <v>4218</v>
      </c>
      <c r="U11" s="39" t="s">
        <v>4173</v>
      </c>
      <c r="V11" s="39">
        <v>9.0</v>
      </c>
      <c r="W11" s="39" t="b">
        <v>1</v>
      </c>
      <c r="X11" s="39">
        <v>4.0</v>
      </c>
      <c r="Y11" s="39" t="s">
        <v>4219</v>
      </c>
      <c r="Z11" s="39">
        <v>0.0</v>
      </c>
      <c r="AA11" s="39">
        <v>1.0</v>
      </c>
      <c r="AB11" s="39"/>
      <c r="AC11" s="39"/>
      <c r="AD11" s="39"/>
      <c r="AE11" s="39"/>
      <c r="AF11" s="39"/>
      <c r="AG11" s="39"/>
      <c r="AH11" s="39" t="s">
        <v>4220</v>
      </c>
      <c r="AI11" s="39" t="s">
        <v>29</v>
      </c>
      <c r="AJ11" s="39">
        <v>0.0</v>
      </c>
      <c r="AK11" s="39"/>
      <c r="AL11" s="39"/>
      <c r="AM11" s="39"/>
      <c r="AN11" s="39"/>
      <c r="AO11" s="39"/>
      <c r="AP11" s="39"/>
      <c r="AQ11" s="39"/>
      <c r="AR11" s="39"/>
      <c r="AS11" s="39"/>
      <c r="AT11" s="39"/>
      <c r="AU11" s="39"/>
      <c r="AV11" s="39"/>
    </row>
    <row r="12" ht="18.75" customHeight="1">
      <c r="A12" s="64" t="s">
        <v>4221</v>
      </c>
      <c r="B12" s="64" t="s">
        <v>4222</v>
      </c>
      <c r="C12" s="37" t="s">
        <v>4223</v>
      </c>
      <c r="D12" s="145">
        <v>0.008</v>
      </c>
      <c r="F12" s="39">
        <v>1.0</v>
      </c>
      <c r="J12" s="145">
        <v>0.6</v>
      </c>
      <c r="K12" s="39">
        <v>1.0</v>
      </c>
      <c r="N12" s="39">
        <v>5.0</v>
      </c>
      <c r="O12" s="39" t="s">
        <v>4194</v>
      </c>
      <c r="P12" s="39" t="s">
        <v>4172</v>
      </c>
      <c r="Q12" s="39">
        <v>0.0</v>
      </c>
      <c r="R12" s="39" t="b">
        <v>0</v>
      </c>
      <c r="S12" s="39" t="b">
        <v>0</v>
      </c>
      <c r="T12" s="39" t="s">
        <v>4224</v>
      </c>
      <c r="U12" s="39" t="s">
        <v>4173</v>
      </c>
      <c r="V12" s="39">
        <v>10.0</v>
      </c>
      <c r="W12" s="39" t="b">
        <v>1</v>
      </c>
      <c r="X12" s="39">
        <v>4.0</v>
      </c>
      <c r="Y12" s="39" t="s">
        <v>4196</v>
      </c>
      <c r="Z12" s="39">
        <v>0.0</v>
      </c>
      <c r="AA12" s="39">
        <v>1.0</v>
      </c>
      <c r="AB12" s="39" t="s">
        <v>1782</v>
      </c>
      <c r="AC12" s="39">
        <v>80.0</v>
      </c>
      <c r="AD12" s="39">
        <v>0.0</v>
      </c>
      <c r="AE12" s="39" t="s">
        <v>4181</v>
      </c>
      <c r="AF12" s="39">
        <v>0.0</v>
      </c>
      <c r="AG12" s="39"/>
      <c r="AH12" s="39" t="s">
        <v>4175</v>
      </c>
      <c r="AI12" s="39" t="s">
        <v>4182</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4167</v>
      </c>
      <c r="B15" s="64" t="s">
        <v>3022</v>
      </c>
      <c r="D15" s="144"/>
      <c r="J15" s="144"/>
    </row>
    <row r="16" ht="18.75" customHeight="1">
      <c r="A16" s="64" t="s">
        <v>4225</v>
      </c>
      <c r="B16" s="64" t="s">
        <v>4226</v>
      </c>
      <c r="C16" s="37" t="s">
        <v>4227</v>
      </c>
      <c r="D16" s="145">
        <v>0.004</v>
      </c>
      <c r="F16" s="39">
        <v>1.0</v>
      </c>
      <c r="J16" s="145">
        <v>0.7</v>
      </c>
      <c r="K16" s="39">
        <v>3.0</v>
      </c>
      <c r="N16" s="39">
        <v>5.0</v>
      </c>
      <c r="O16" s="39" t="s">
        <v>4228</v>
      </c>
      <c r="P16" s="39" t="s">
        <v>4172</v>
      </c>
      <c r="Q16" s="39">
        <v>0.0</v>
      </c>
      <c r="R16" s="39" t="b">
        <v>0</v>
      </c>
      <c r="S16" s="39" t="b">
        <v>1</v>
      </c>
      <c r="T16" s="39" t="s">
        <v>716</v>
      </c>
      <c r="U16" s="39" t="s">
        <v>29</v>
      </c>
      <c r="V16" s="39">
        <v>0.0</v>
      </c>
      <c r="W16" s="39" t="b">
        <v>1</v>
      </c>
      <c r="X16" s="39">
        <v>4.0</v>
      </c>
      <c r="Y16" s="39" t="s">
        <v>4188</v>
      </c>
      <c r="Z16" s="39">
        <v>0.0</v>
      </c>
      <c r="AA16" s="39">
        <v>1.0</v>
      </c>
      <c r="AB16" s="39"/>
      <c r="AC16" s="39"/>
      <c r="AD16" s="39"/>
      <c r="AE16" s="39"/>
      <c r="AF16" s="39"/>
      <c r="AG16" s="39"/>
      <c r="AH16" s="39" t="s">
        <v>4175</v>
      </c>
      <c r="AI16" s="39" t="s">
        <v>4229</v>
      </c>
      <c r="AJ16" s="39">
        <v>1.0</v>
      </c>
      <c r="AK16" s="39"/>
      <c r="AL16" s="39"/>
      <c r="AM16" s="39"/>
      <c r="AN16" s="39"/>
      <c r="AO16" s="39"/>
      <c r="AP16" s="39"/>
      <c r="AQ16" s="39"/>
      <c r="AR16" s="39"/>
      <c r="AS16" s="39"/>
      <c r="AT16" s="39"/>
      <c r="AU16" s="39"/>
      <c r="AV16" s="39"/>
    </row>
    <row r="17" ht="18.75" customHeight="1">
      <c r="A17" s="64" t="s">
        <v>4230</v>
      </c>
      <c r="B17" s="64" t="s">
        <v>4231</v>
      </c>
      <c r="C17" s="37" t="s">
        <v>4232</v>
      </c>
      <c r="D17" s="145">
        <v>0.003</v>
      </c>
      <c r="F17" s="39">
        <v>1.0</v>
      </c>
      <c r="J17" s="145">
        <v>0.9</v>
      </c>
      <c r="K17" s="39">
        <v>1.0</v>
      </c>
      <c r="N17" s="39">
        <v>2.0</v>
      </c>
      <c r="O17" s="39" t="s">
        <v>29</v>
      </c>
      <c r="P17" s="39" t="s">
        <v>4172</v>
      </c>
      <c r="Q17" s="39">
        <v>0.0</v>
      </c>
      <c r="R17" s="39" t="b">
        <v>0</v>
      </c>
      <c r="S17" s="39" t="b">
        <v>0</v>
      </c>
      <c r="T17" s="39" t="s">
        <v>4233</v>
      </c>
      <c r="U17" s="39" t="s">
        <v>29</v>
      </c>
      <c r="V17" s="39">
        <v>0.0</v>
      </c>
      <c r="W17" s="39" t="b">
        <v>1</v>
      </c>
      <c r="X17" s="39">
        <v>4.0</v>
      </c>
      <c r="Y17" s="39" t="s">
        <v>4234</v>
      </c>
      <c r="Z17" s="39">
        <v>0.0</v>
      </c>
      <c r="AA17" s="39">
        <v>1.0</v>
      </c>
      <c r="AB17" s="39" t="s">
        <v>783</v>
      </c>
      <c r="AC17" s="39">
        <v>40.0</v>
      </c>
      <c r="AD17" s="39">
        <v>0.0</v>
      </c>
      <c r="AE17" s="39" t="s">
        <v>4181</v>
      </c>
      <c r="AF17" s="39">
        <v>0.0</v>
      </c>
      <c r="AG17" s="39"/>
      <c r="AH17" s="39" t="s">
        <v>4235</v>
      </c>
      <c r="AI17" s="39" t="s">
        <v>29</v>
      </c>
      <c r="AJ17" s="39">
        <v>0.0</v>
      </c>
      <c r="AK17" s="39"/>
      <c r="AL17" s="39"/>
      <c r="AM17" s="39"/>
      <c r="AN17" s="39"/>
      <c r="AO17" s="39"/>
      <c r="AP17" s="39"/>
      <c r="AQ17" s="39"/>
      <c r="AR17" s="39"/>
      <c r="AS17" s="39"/>
      <c r="AT17" s="39"/>
      <c r="AU17" s="39"/>
      <c r="AV17" s="39"/>
    </row>
    <row r="18" ht="18.75" customHeight="1">
      <c r="A18" s="64" t="s">
        <v>4236</v>
      </c>
      <c r="B18" s="64" t="s">
        <v>4237</v>
      </c>
      <c r="C18" s="37" t="s">
        <v>4238</v>
      </c>
      <c r="D18" s="145">
        <v>0.003</v>
      </c>
      <c r="F18" s="39">
        <v>1.0</v>
      </c>
      <c r="J18" s="145">
        <v>0.8</v>
      </c>
      <c r="K18" s="39">
        <v>2.0</v>
      </c>
      <c r="N18" s="39">
        <v>2.0</v>
      </c>
      <c r="O18" s="39" t="s">
        <v>29</v>
      </c>
      <c r="P18" s="39" t="s">
        <v>4172</v>
      </c>
      <c r="Q18" s="39">
        <v>0.0</v>
      </c>
      <c r="R18" s="39" t="b">
        <v>0</v>
      </c>
      <c r="S18" s="39" t="b">
        <v>0</v>
      </c>
      <c r="T18" s="39" t="s">
        <v>4239</v>
      </c>
      <c r="U18" s="39" t="s">
        <v>29</v>
      </c>
      <c r="V18" s="39">
        <v>0.0</v>
      </c>
      <c r="W18" s="39" t="b">
        <v>1</v>
      </c>
      <c r="X18" s="39">
        <v>4.0</v>
      </c>
      <c r="Y18" s="39" t="s">
        <v>4188</v>
      </c>
      <c r="Z18" s="39">
        <v>0.0</v>
      </c>
      <c r="AA18" s="39">
        <v>1.0</v>
      </c>
      <c r="AB18" s="39"/>
      <c r="AC18" s="39"/>
      <c r="AD18" s="39"/>
      <c r="AE18" s="39"/>
      <c r="AF18" s="39"/>
      <c r="AG18" s="39"/>
      <c r="AH18" s="39" t="s">
        <v>4235</v>
      </c>
      <c r="AI18" s="39" t="s">
        <v>29</v>
      </c>
      <c r="AJ18" s="39">
        <v>0.0</v>
      </c>
      <c r="AK18" s="39"/>
      <c r="AL18" s="39"/>
      <c r="AM18" s="39"/>
      <c r="AN18" s="39"/>
      <c r="AO18" s="39"/>
      <c r="AP18" s="39"/>
      <c r="AQ18" s="39"/>
      <c r="AR18" s="39"/>
      <c r="AS18" s="39"/>
      <c r="AT18" s="39"/>
      <c r="AU18" s="39"/>
      <c r="AV18" s="39"/>
    </row>
    <row r="19" ht="18.75" customHeight="1">
      <c r="A19" s="64" t="s">
        <v>4240</v>
      </c>
      <c r="B19" s="64" t="s">
        <v>4241</v>
      </c>
      <c r="C19" s="37" t="s">
        <v>4242</v>
      </c>
      <c r="D19" s="145">
        <v>0.003</v>
      </c>
      <c r="F19" s="39">
        <v>1.0</v>
      </c>
      <c r="J19" s="145">
        <v>0.9</v>
      </c>
      <c r="K19" s="39">
        <v>2.0</v>
      </c>
      <c r="N19" s="39">
        <v>1.0</v>
      </c>
      <c r="O19" s="39" t="s">
        <v>29</v>
      </c>
      <c r="P19" s="39" t="s">
        <v>4172</v>
      </c>
      <c r="Q19" s="39">
        <v>0.0</v>
      </c>
      <c r="R19" s="39" t="b">
        <v>0</v>
      </c>
      <c r="S19" s="39" t="b">
        <v>0</v>
      </c>
      <c r="T19" s="39" t="s">
        <v>4243</v>
      </c>
      <c r="U19" s="39" t="s">
        <v>29</v>
      </c>
      <c r="V19" s="39">
        <v>0.0</v>
      </c>
      <c r="W19" s="39" t="b">
        <v>1</v>
      </c>
      <c r="X19" s="39">
        <v>4.0</v>
      </c>
      <c r="Y19" s="39" t="s">
        <v>4188</v>
      </c>
      <c r="Z19" s="39">
        <v>0.0</v>
      </c>
      <c r="AA19" s="39">
        <v>1.0</v>
      </c>
      <c r="AB19" s="39"/>
      <c r="AC19" s="39"/>
      <c r="AD19" s="39"/>
      <c r="AE19" s="39"/>
      <c r="AF19" s="39"/>
      <c r="AG19" s="39"/>
      <c r="AH19" s="39" t="s">
        <v>4235</v>
      </c>
      <c r="AI19" s="39" t="s">
        <v>29</v>
      </c>
      <c r="AJ19" s="39">
        <v>0.0</v>
      </c>
      <c r="AK19" s="39"/>
      <c r="AL19" s="39"/>
      <c r="AM19" s="39"/>
      <c r="AN19" s="39"/>
      <c r="AO19" s="39"/>
      <c r="AP19" s="39"/>
      <c r="AQ19" s="39"/>
      <c r="AR19" s="39"/>
      <c r="AS19" s="39"/>
      <c r="AT19" s="39"/>
      <c r="AU19" s="39"/>
      <c r="AV19" s="39"/>
    </row>
    <row r="20" ht="18.75" customHeight="1">
      <c r="A20" s="64" t="s">
        <v>4244</v>
      </c>
      <c r="B20" s="64" t="s">
        <v>4245</v>
      </c>
      <c r="C20" s="37" t="s">
        <v>4246</v>
      </c>
      <c r="D20" s="145">
        <v>0.003</v>
      </c>
      <c r="F20" s="39">
        <v>1.0</v>
      </c>
      <c r="J20" s="145">
        <v>0.9</v>
      </c>
      <c r="K20" s="39">
        <v>2.0</v>
      </c>
      <c r="N20" s="39">
        <v>1.0</v>
      </c>
      <c r="O20" s="39" t="s">
        <v>29</v>
      </c>
      <c r="P20" s="39" t="s">
        <v>4172</v>
      </c>
      <c r="Q20" s="39">
        <v>0.0</v>
      </c>
      <c r="R20" s="39" t="b">
        <v>0</v>
      </c>
      <c r="S20" s="39" t="b">
        <v>0</v>
      </c>
      <c r="T20" s="39" t="s">
        <v>4247</v>
      </c>
      <c r="U20" s="39" t="s">
        <v>29</v>
      </c>
      <c r="V20" s="39">
        <v>0.0</v>
      </c>
      <c r="W20" s="39" t="b">
        <v>1</v>
      </c>
      <c r="X20" s="39">
        <v>4.0</v>
      </c>
      <c r="Y20" s="39" t="s">
        <v>4188</v>
      </c>
      <c r="Z20" s="39">
        <v>0.0</v>
      </c>
      <c r="AA20" s="39">
        <v>1.0</v>
      </c>
      <c r="AB20" s="39"/>
      <c r="AC20" s="39"/>
      <c r="AD20" s="39"/>
      <c r="AE20" s="39"/>
      <c r="AF20" s="39"/>
      <c r="AG20" s="39"/>
      <c r="AH20" s="39" t="s">
        <v>4235</v>
      </c>
      <c r="AI20" s="39" t="s">
        <v>29</v>
      </c>
      <c r="AJ20" s="39">
        <v>0.0</v>
      </c>
      <c r="AK20" s="39"/>
      <c r="AL20" s="39"/>
      <c r="AM20" s="39"/>
      <c r="AN20" s="39"/>
      <c r="AO20" s="39"/>
      <c r="AP20" s="39"/>
      <c r="AQ20" s="39"/>
      <c r="AR20" s="39"/>
      <c r="AS20" s="39"/>
      <c r="AT20" s="39"/>
      <c r="AU20" s="39"/>
      <c r="AV20" s="39"/>
    </row>
    <row r="21" ht="18.75" customHeight="1">
      <c r="A21" s="64" t="s">
        <v>4248</v>
      </c>
      <c r="B21" s="64" t="s">
        <v>4249</v>
      </c>
      <c r="C21" s="37" t="s">
        <v>4250</v>
      </c>
      <c r="D21" s="145">
        <v>0.004</v>
      </c>
      <c r="F21" s="39">
        <v>1.0</v>
      </c>
      <c r="J21" s="145">
        <v>0.8</v>
      </c>
      <c r="K21" s="39">
        <v>2.0</v>
      </c>
      <c r="N21" s="39">
        <v>4.0</v>
      </c>
      <c r="O21" s="39" t="s">
        <v>4228</v>
      </c>
      <c r="P21" s="39" t="s">
        <v>4172</v>
      </c>
      <c r="Q21" s="39">
        <v>0.0</v>
      </c>
      <c r="R21" s="39" t="b">
        <v>0</v>
      </c>
      <c r="S21" s="39" t="b">
        <v>1</v>
      </c>
      <c r="T21" s="39" t="s">
        <v>2627</v>
      </c>
      <c r="U21" s="39" t="s">
        <v>29</v>
      </c>
      <c r="V21" s="39">
        <v>0.0</v>
      </c>
      <c r="W21" s="39" t="b">
        <v>1</v>
      </c>
      <c r="X21" s="39">
        <v>4.0</v>
      </c>
      <c r="Y21" s="39" t="s">
        <v>4251</v>
      </c>
      <c r="Z21" s="39">
        <v>0.0</v>
      </c>
      <c r="AA21" s="39">
        <v>1.0</v>
      </c>
      <c r="AB21" s="39" t="s">
        <v>1348</v>
      </c>
      <c r="AC21" s="39">
        <v>30.0</v>
      </c>
      <c r="AD21" s="39">
        <v>0.0</v>
      </c>
      <c r="AE21" s="39" t="s">
        <v>4181</v>
      </c>
      <c r="AF21" s="39">
        <v>0.0</v>
      </c>
      <c r="AG21" s="39"/>
      <c r="AH21" s="39" t="s">
        <v>4175</v>
      </c>
      <c r="AI21" s="39" t="s">
        <v>4229</v>
      </c>
      <c r="AJ21" s="39">
        <v>1.0</v>
      </c>
      <c r="AK21" s="39"/>
      <c r="AL21" s="39"/>
      <c r="AM21" s="39"/>
      <c r="AN21" s="39"/>
      <c r="AO21" s="39"/>
      <c r="AP21" s="39"/>
      <c r="AQ21" s="39"/>
      <c r="AR21" s="39"/>
      <c r="AS21" s="39"/>
      <c r="AT21" s="39"/>
      <c r="AU21" s="39"/>
      <c r="AV21" s="39"/>
    </row>
    <row r="22" ht="18.75" customHeight="1">
      <c r="A22" s="64" t="s">
        <v>4252</v>
      </c>
      <c r="B22" s="64" t="s">
        <v>4253</v>
      </c>
      <c r="C22" s="37" t="s">
        <v>4254</v>
      </c>
      <c r="D22" s="145">
        <v>0.005</v>
      </c>
      <c r="F22" s="39">
        <v>1.0</v>
      </c>
      <c r="J22" s="145">
        <v>0.7</v>
      </c>
      <c r="K22" s="39">
        <v>2.0</v>
      </c>
      <c r="N22" s="39">
        <v>4.0</v>
      </c>
      <c r="O22" s="39" t="s">
        <v>4255</v>
      </c>
      <c r="P22" s="39" t="s">
        <v>4172</v>
      </c>
      <c r="Q22" s="39">
        <v>0.0</v>
      </c>
      <c r="R22" s="39" t="b">
        <v>0</v>
      </c>
      <c r="S22" s="39" t="b">
        <v>0</v>
      </c>
      <c r="T22" s="39" t="s">
        <v>4256</v>
      </c>
      <c r="U22" s="39" t="s">
        <v>4173</v>
      </c>
      <c r="V22" s="39">
        <v>11.0</v>
      </c>
      <c r="W22" s="39" t="b">
        <v>1</v>
      </c>
      <c r="X22" s="39">
        <v>4.0</v>
      </c>
      <c r="Y22" s="39" t="s">
        <v>4257</v>
      </c>
      <c r="Z22" s="39">
        <v>0.0</v>
      </c>
      <c r="AA22" s="39">
        <v>1.0</v>
      </c>
      <c r="AB22" s="39" t="s">
        <v>644</v>
      </c>
      <c r="AC22" s="39">
        <v>20.0</v>
      </c>
      <c r="AD22" s="39">
        <v>0.0</v>
      </c>
      <c r="AE22" s="39" t="s">
        <v>4181</v>
      </c>
      <c r="AF22" s="39">
        <v>0.0</v>
      </c>
      <c r="AG22" s="39"/>
      <c r="AH22" s="39" t="s">
        <v>4175</v>
      </c>
      <c r="AI22" s="39" t="s">
        <v>4229</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4167</v>
      </c>
      <c r="B25" s="64" t="s">
        <v>3022</v>
      </c>
      <c r="D25" s="144"/>
      <c r="J25" s="144"/>
    </row>
    <row r="26" ht="18.75" customHeight="1">
      <c r="A26" s="64" t="s">
        <v>4258</v>
      </c>
      <c r="B26" s="64" t="s">
        <v>4259</v>
      </c>
      <c r="C26" s="37" t="s">
        <v>4260</v>
      </c>
      <c r="D26" s="145">
        <v>0.005</v>
      </c>
      <c r="F26" s="39">
        <v>0.0</v>
      </c>
      <c r="J26" s="145">
        <v>0.8</v>
      </c>
      <c r="K26" s="39">
        <v>3.0</v>
      </c>
      <c r="N26" s="39">
        <v>6.0</v>
      </c>
      <c r="O26" s="39" t="s">
        <v>29</v>
      </c>
      <c r="P26" s="39" t="s">
        <v>4261</v>
      </c>
      <c r="Q26" s="39">
        <v>0.0</v>
      </c>
      <c r="R26" s="39" t="b">
        <v>0</v>
      </c>
      <c r="S26" s="39" t="b">
        <v>0</v>
      </c>
      <c r="T26" s="39" t="s">
        <v>4262</v>
      </c>
      <c r="U26" s="39" t="s">
        <v>4173</v>
      </c>
      <c r="V26" s="39">
        <v>12.0</v>
      </c>
      <c r="W26" s="39" t="b">
        <v>1</v>
      </c>
      <c r="X26" s="39">
        <v>4.0</v>
      </c>
      <c r="Y26" s="39" t="s">
        <v>4188</v>
      </c>
      <c r="Z26" s="39">
        <v>0.0</v>
      </c>
      <c r="AA26" s="39">
        <v>1.0</v>
      </c>
      <c r="AB26" s="39"/>
      <c r="AC26" s="39"/>
      <c r="AD26" s="39"/>
      <c r="AE26" s="39"/>
      <c r="AF26" s="39"/>
      <c r="AG26" s="39"/>
      <c r="AH26" s="39" t="s">
        <v>4263</v>
      </c>
      <c r="AI26" s="39" t="s">
        <v>29</v>
      </c>
      <c r="AJ26" s="39">
        <v>0.0</v>
      </c>
      <c r="AK26" s="39"/>
      <c r="AL26" s="39"/>
      <c r="AM26" s="39"/>
      <c r="AN26" s="39"/>
      <c r="AO26" s="39"/>
      <c r="AP26" s="39"/>
      <c r="AQ26" s="39"/>
      <c r="AR26" s="39"/>
      <c r="AS26" s="39"/>
      <c r="AT26" s="39"/>
      <c r="AU26" s="39"/>
      <c r="AV26" s="39"/>
    </row>
    <row r="27" ht="18.75" customHeight="1">
      <c r="A27" s="64" t="s">
        <v>4264</v>
      </c>
      <c r="B27" s="64" t="s">
        <v>4265</v>
      </c>
      <c r="C27" s="37" t="s">
        <v>4266</v>
      </c>
      <c r="D27" s="145">
        <v>0.003</v>
      </c>
      <c r="F27" s="39">
        <v>0.0</v>
      </c>
      <c r="J27" s="145">
        <v>0.8</v>
      </c>
      <c r="K27" s="39">
        <v>2.0</v>
      </c>
      <c r="N27" s="39">
        <v>8.0</v>
      </c>
      <c r="O27" s="39" t="s">
        <v>29</v>
      </c>
      <c r="P27" s="39" t="s">
        <v>4261</v>
      </c>
      <c r="Q27" s="39">
        <v>0.0</v>
      </c>
      <c r="R27" s="39" t="b">
        <v>0</v>
      </c>
      <c r="S27" s="39" t="b">
        <v>0</v>
      </c>
      <c r="T27" s="39" t="s">
        <v>4267</v>
      </c>
      <c r="U27" s="39" t="s">
        <v>29</v>
      </c>
      <c r="V27" s="39">
        <v>0.0</v>
      </c>
      <c r="W27" s="39" t="b">
        <v>1</v>
      </c>
      <c r="X27" s="39">
        <v>4.0</v>
      </c>
      <c r="Y27" s="39" t="s">
        <v>4188</v>
      </c>
      <c r="Z27" s="39">
        <v>0.0</v>
      </c>
      <c r="AA27" s="39">
        <v>1.0</v>
      </c>
      <c r="AB27" s="39"/>
      <c r="AC27" s="39"/>
      <c r="AD27" s="39"/>
      <c r="AE27" s="39"/>
      <c r="AF27" s="39"/>
      <c r="AG27" s="39"/>
      <c r="AH27" s="39" t="s">
        <v>4263</v>
      </c>
      <c r="AI27" s="39" t="s">
        <v>29</v>
      </c>
      <c r="AJ27" s="39">
        <v>0.0</v>
      </c>
      <c r="AK27" s="39"/>
      <c r="AL27" s="39"/>
      <c r="AM27" s="39"/>
      <c r="AN27" s="39"/>
      <c r="AO27" s="39"/>
      <c r="AP27" s="39"/>
      <c r="AQ27" s="39"/>
      <c r="AR27" s="39"/>
      <c r="AS27" s="39"/>
      <c r="AT27" s="39"/>
      <c r="AU27" s="39"/>
      <c r="AV27" s="39"/>
    </row>
    <row r="28" ht="18.75" customHeight="1">
      <c r="A28" s="64" t="s">
        <v>4268</v>
      </c>
      <c r="B28" s="64" t="s">
        <v>4269</v>
      </c>
      <c r="C28" s="37" t="s">
        <v>4270</v>
      </c>
      <c r="D28" s="145">
        <v>0.005</v>
      </c>
      <c r="F28" s="39">
        <v>0.0</v>
      </c>
      <c r="J28" s="145">
        <v>0.6</v>
      </c>
      <c r="K28" s="39">
        <v>3.0</v>
      </c>
      <c r="N28" s="39">
        <v>6.0</v>
      </c>
      <c r="O28" s="39" t="s">
        <v>29</v>
      </c>
      <c r="P28" s="39" t="s">
        <v>4261</v>
      </c>
      <c r="Q28" s="39">
        <v>0.0</v>
      </c>
      <c r="R28" s="39" t="b">
        <v>0</v>
      </c>
      <c r="S28" s="39" t="b">
        <v>0</v>
      </c>
      <c r="T28" s="39" t="s">
        <v>4271</v>
      </c>
      <c r="U28" s="39" t="s">
        <v>29</v>
      </c>
      <c r="V28" s="39">
        <v>0.0</v>
      </c>
      <c r="W28" s="39" t="b">
        <v>1</v>
      </c>
      <c r="X28" s="39">
        <v>4.0</v>
      </c>
      <c r="Y28" s="39" t="s">
        <v>4188</v>
      </c>
      <c r="Z28" s="39">
        <v>0.0</v>
      </c>
      <c r="AA28" s="39">
        <v>1.0</v>
      </c>
      <c r="AB28" s="39"/>
      <c r="AC28" s="39"/>
      <c r="AD28" s="39"/>
      <c r="AE28" s="39"/>
      <c r="AF28" s="39"/>
      <c r="AG28" s="39"/>
      <c r="AH28" s="39" t="s">
        <v>4263</v>
      </c>
      <c r="AI28" s="39" t="s">
        <v>29</v>
      </c>
      <c r="AJ28" s="39">
        <v>0.0</v>
      </c>
      <c r="AK28" s="39"/>
      <c r="AL28" s="39"/>
      <c r="AM28" s="39"/>
      <c r="AN28" s="39"/>
      <c r="AO28" s="39"/>
      <c r="AP28" s="39"/>
      <c r="AQ28" s="39"/>
      <c r="AR28" s="39"/>
      <c r="AS28" s="39"/>
      <c r="AT28" s="39"/>
      <c r="AU28" s="39"/>
      <c r="AV28" s="39"/>
    </row>
    <row r="29" ht="18.75" customHeight="1">
      <c r="A29" s="64" t="s">
        <v>4272</v>
      </c>
      <c r="B29" s="64" t="s">
        <v>4273</v>
      </c>
      <c r="C29" s="37" t="s">
        <v>4274</v>
      </c>
      <c r="D29" s="145">
        <v>0.004</v>
      </c>
      <c r="F29" s="39">
        <v>0.0</v>
      </c>
      <c r="J29" s="145">
        <v>0.5</v>
      </c>
      <c r="K29" s="39">
        <v>3.0</v>
      </c>
      <c r="N29" s="39">
        <v>2.0</v>
      </c>
      <c r="O29" s="39" t="s">
        <v>29</v>
      </c>
      <c r="P29" s="39" t="s">
        <v>4261</v>
      </c>
      <c r="Q29" s="39">
        <v>0.0</v>
      </c>
      <c r="R29" s="39" t="b">
        <v>0</v>
      </c>
      <c r="S29" s="39" t="b">
        <v>0</v>
      </c>
      <c r="T29" s="39" t="s">
        <v>4275</v>
      </c>
      <c r="U29" s="39" t="s">
        <v>29</v>
      </c>
      <c r="V29" s="39">
        <v>0.0</v>
      </c>
      <c r="W29" s="39" t="b">
        <v>1</v>
      </c>
      <c r="X29" s="39">
        <v>4.0</v>
      </c>
      <c r="Y29" s="39" t="s">
        <v>4188</v>
      </c>
      <c r="Z29" s="39">
        <v>0.0</v>
      </c>
      <c r="AA29" s="39">
        <v>1.0</v>
      </c>
      <c r="AB29" s="39"/>
      <c r="AC29" s="39"/>
      <c r="AD29" s="39"/>
      <c r="AE29" s="39"/>
      <c r="AF29" s="39"/>
      <c r="AG29" s="39"/>
      <c r="AH29" s="39" t="s">
        <v>4263</v>
      </c>
      <c r="AI29" s="39" t="s">
        <v>29</v>
      </c>
      <c r="AJ29" s="39">
        <v>0.0</v>
      </c>
      <c r="AK29" s="39"/>
      <c r="AL29" s="39"/>
      <c r="AM29" s="39"/>
      <c r="AN29" s="39"/>
      <c r="AO29" s="39"/>
      <c r="AP29" s="39"/>
      <c r="AQ29" s="39"/>
      <c r="AR29" s="39"/>
      <c r="AS29" s="39"/>
      <c r="AT29" s="39"/>
      <c r="AU29" s="39"/>
      <c r="AV29" s="39"/>
    </row>
    <row r="30" ht="18.75" customHeight="1">
      <c r="A30" s="64" t="s">
        <v>4276</v>
      </c>
      <c r="B30" s="64" t="s">
        <v>4277</v>
      </c>
      <c r="C30" s="37" t="s">
        <v>4278</v>
      </c>
      <c r="D30" s="145">
        <v>0.003</v>
      </c>
      <c r="F30" s="39">
        <v>0.0</v>
      </c>
      <c r="J30" s="145">
        <v>0.9</v>
      </c>
      <c r="K30" s="39">
        <v>3.0</v>
      </c>
      <c r="N30" s="39">
        <v>5.0</v>
      </c>
      <c r="O30" s="39" t="s">
        <v>29</v>
      </c>
      <c r="P30" s="39" t="s">
        <v>4261</v>
      </c>
      <c r="Q30" s="39">
        <v>0.0</v>
      </c>
      <c r="R30" s="39" t="b">
        <v>0</v>
      </c>
      <c r="S30" s="39" t="b">
        <v>0</v>
      </c>
      <c r="T30" s="39" t="s">
        <v>4279</v>
      </c>
      <c r="U30" s="39" t="s">
        <v>29</v>
      </c>
      <c r="V30" s="39">
        <v>0.0</v>
      </c>
      <c r="W30" s="39" t="b">
        <v>1</v>
      </c>
      <c r="X30" s="39">
        <v>4.0</v>
      </c>
      <c r="Y30" s="39" t="s">
        <v>4188</v>
      </c>
      <c r="Z30" s="39">
        <v>0.0</v>
      </c>
      <c r="AA30" s="39">
        <v>1.0</v>
      </c>
      <c r="AB30" s="39"/>
      <c r="AC30" s="39"/>
      <c r="AD30" s="39"/>
      <c r="AE30" s="39"/>
      <c r="AF30" s="39"/>
      <c r="AG30" s="39"/>
      <c r="AH30" s="39" t="s">
        <v>4263</v>
      </c>
      <c r="AI30" s="39" t="s">
        <v>29</v>
      </c>
      <c r="AJ30" s="39">
        <v>0.0</v>
      </c>
      <c r="AK30" s="39"/>
      <c r="AL30" s="39"/>
      <c r="AM30" s="39"/>
      <c r="AN30" s="39"/>
      <c r="AO30" s="39"/>
      <c r="AP30" s="39"/>
      <c r="AQ30" s="39"/>
      <c r="AR30" s="39"/>
      <c r="AS30" s="39"/>
      <c r="AT30" s="39"/>
      <c r="AU30" s="39"/>
      <c r="AV30" s="39"/>
    </row>
    <row r="31" ht="18.75" customHeight="1">
      <c r="A31" s="64" t="s">
        <v>4280</v>
      </c>
      <c r="B31" s="64" t="s">
        <v>4281</v>
      </c>
      <c r="C31" s="37" t="s">
        <v>4282</v>
      </c>
      <c r="D31" s="145">
        <v>0.003</v>
      </c>
      <c r="F31" s="39">
        <v>0.0</v>
      </c>
      <c r="J31" s="145">
        <v>0.7</v>
      </c>
      <c r="K31" s="39">
        <v>3.0</v>
      </c>
      <c r="N31" s="39">
        <v>3.0</v>
      </c>
      <c r="O31" s="39" t="s">
        <v>29</v>
      </c>
      <c r="P31" s="39" t="s">
        <v>4261</v>
      </c>
      <c r="Q31" s="39">
        <v>0.0</v>
      </c>
      <c r="R31" s="39" t="b">
        <v>0</v>
      </c>
      <c r="S31" s="39" t="b">
        <v>0</v>
      </c>
      <c r="T31" s="39" t="s">
        <v>4283</v>
      </c>
      <c r="U31" s="39" t="s">
        <v>29</v>
      </c>
      <c r="V31" s="39">
        <v>0.0</v>
      </c>
      <c r="W31" s="39" t="b">
        <v>1</v>
      </c>
      <c r="X31" s="39">
        <v>4.0</v>
      </c>
      <c r="Y31" s="39" t="s">
        <v>4188</v>
      </c>
      <c r="Z31" s="39">
        <v>0.0</v>
      </c>
      <c r="AA31" s="39">
        <v>1.0</v>
      </c>
      <c r="AB31" s="39"/>
      <c r="AC31" s="39"/>
      <c r="AD31" s="39"/>
      <c r="AE31" s="39"/>
      <c r="AF31" s="39"/>
      <c r="AG31" s="39"/>
      <c r="AH31" s="39" t="s">
        <v>4263</v>
      </c>
      <c r="AI31" s="39" t="s">
        <v>29</v>
      </c>
      <c r="AJ31" s="39">
        <v>0.0</v>
      </c>
      <c r="AK31" s="39"/>
      <c r="AL31" s="39"/>
      <c r="AM31" s="39"/>
      <c r="AN31" s="39"/>
      <c r="AO31" s="39"/>
      <c r="AP31" s="39"/>
      <c r="AQ31" s="39"/>
      <c r="AR31" s="39"/>
      <c r="AS31" s="39"/>
      <c r="AT31" s="39"/>
      <c r="AU31" s="39"/>
      <c r="AV31" s="39"/>
    </row>
    <row r="32" ht="18.75" customHeight="1">
      <c r="A32" s="64" t="s">
        <v>4284</v>
      </c>
      <c r="B32" s="64" t="s">
        <v>4285</v>
      </c>
      <c r="C32" s="37" t="s">
        <v>4286</v>
      </c>
      <c r="D32" s="145">
        <v>0.004</v>
      </c>
      <c r="F32" s="39">
        <v>1.0</v>
      </c>
      <c r="J32" s="145">
        <v>1.0</v>
      </c>
      <c r="K32" s="39">
        <v>1.0</v>
      </c>
      <c r="N32" s="39">
        <v>4.0</v>
      </c>
      <c r="O32" s="39" t="s">
        <v>29</v>
      </c>
      <c r="P32" s="39" t="s">
        <v>4172</v>
      </c>
      <c r="Q32" s="39">
        <v>0.0</v>
      </c>
      <c r="R32" s="39" t="b">
        <v>1</v>
      </c>
      <c r="S32" s="39" t="b">
        <v>0</v>
      </c>
      <c r="T32" s="39" t="s">
        <v>2956</v>
      </c>
      <c r="U32" s="39" t="s">
        <v>29</v>
      </c>
      <c r="V32" s="39">
        <v>0.0</v>
      </c>
      <c r="W32" s="39" t="b">
        <v>1</v>
      </c>
      <c r="X32" s="39">
        <v>4.0</v>
      </c>
      <c r="Y32" s="39" t="s">
        <v>4188</v>
      </c>
      <c r="Z32" s="39">
        <v>0.0</v>
      </c>
      <c r="AA32" s="39">
        <v>1.0</v>
      </c>
      <c r="AB32" s="39"/>
      <c r="AC32" s="39"/>
      <c r="AD32" s="39"/>
      <c r="AE32" s="39"/>
      <c r="AF32" s="39"/>
      <c r="AG32" s="39"/>
      <c r="AH32" s="39" t="s">
        <v>4235</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4287</v>
      </c>
      <c r="B34" s="64" t="s">
        <v>4288</v>
      </c>
      <c r="C34" s="37" t="s">
        <v>4289</v>
      </c>
      <c r="D34" s="145">
        <v>0.002</v>
      </c>
      <c r="F34" s="39">
        <v>1.0</v>
      </c>
      <c r="J34" s="145">
        <v>0.5</v>
      </c>
      <c r="K34" s="39">
        <v>1.0</v>
      </c>
      <c r="N34" s="39">
        <v>8.0</v>
      </c>
      <c r="O34" s="39" t="s">
        <v>29</v>
      </c>
      <c r="P34" s="39" t="s">
        <v>4172</v>
      </c>
      <c r="Q34" s="39">
        <v>0.0</v>
      </c>
      <c r="R34" s="39" t="b">
        <v>0</v>
      </c>
      <c r="S34" s="39" t="b">
        <v>0</v>
      </c>
      <c r="T34" s="39" t="s">
        <v>4290</v>
      </c>
      <c r="U34" s="39" t="s">
        <v>29</v>
      </c>
      <c r="V34" s="39">
        <v>0.0</v>
      </c>
      <c r="W34" s="39" t="b">
        <v>1</v>
      </c>
      <c r="X34" s="39">
        <v>4.0</v>
      </c>
      <c r="Y34" s="39" t="s">
        <v>4291</v>
      </c>
      <c r="Z34" s="39">
        <v>0.0</v>
      </c>
      <c r="AA34" s="39">
        <v>1.0</v>
      </c>
      <c r="AB34" s="39" t="s">
        <v>1782</v>
      </c>
      <c r="AC34" s="39">
        <v>100.0</v>
      </c>
      <c r="AD34" s="39">
        <v>0.0</v>
      </c>
      <c r="AE34" s="39" t="s">
        <v>4181</v>
      </c>
      <c r="AF34" s="39">
        <v>0.0</v>
      </c>
      <c r="AG34" s="39"/>
      <c r="AH34" s="39" t="s">
        <v>4197</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3298</v>
      </c>
      <c r="B36" s="102" t="s">
        <v>4292</v>
      </c>
      <c r="C36" s="39" t="s">
        <v>4293</v>
      </c>
      <c r="D36" s="145">
        <v>0.0</v>
      </c>
      <c r="F36" s="39">
        <v>1.0</v>
      </c>
      <c r="J36" s="145">
        <v>1.0</v>
      </c>
      <c r="K36" s="39">
        <v>1.0</v>
      </c>
      <c r="N36" s="39">
        <v>0.0</v>
      </c>
      <c r="O36" s="39" t="s">
        <v>4294</v>
      </c>
      <c r="P36" s="39" t="s">
        <v>4172</v>
      </c>
      <c r="Q36" s="39">
        <v>0.0</v>
      </c>
      <c r="R36" s="39" t="b">
        <v>0</v>
      </c>
      <c r="S36" s="39" t="b">
        <v>0</v>
      </c>
      <c r="T36" s="39" t="s">
        <v>4295</v>
      </c>
      <c r="W36" s="39" t="b">
        <v>1</v>
      </c>
      <c r="X36" s="39">
        <v>0.0</v>
      </c>
      <c r="Y36" s="39" t="s">
        <v>4296</v>
      </c>
      <c r="Z36" s="39">
        <v>0.0</v>
      </c>
      <c r="AA36" s="39">
        <v>1.0</v>
      </c>
      <c r="AB36" s="39" t="s">
        <v>644</v>
      </c>
      <c r="AC36" s="39">
        <v>20.0</v>
      </c>
      <c r="AD36" s="39">
        <v>20.0</v>
      </c>
      <c r="AE36" s="39" t="s">
        <v>4181</v>
      </c>
      <c r="AH36" s="39" t="s">
        <v>4297</v>
      </c>
      <c r="AJ36" s="39">
        <v>0.0</v>
      </c>
      <c r="AK36" s="39" t="b">
        <v>1</v>
      </c>
      <c r="AL36" s="39" t="s">
        <v>4298</v>
      </c>
      <c r="AM36" s="39"/>
      <c r="AN36" s="39"/>
      <c r="AO36" s="39"/>
      <c r="AP36" s="39"/>
      <c r="AQ36" s="39"/>
      <c r="AR36" s="39"/>
      <c r="AS36" s="39"/>
      <c r="AT36" s="39"/>
      <c r="AU36" s="39"/>
      <c r="AV36" s="39"/>
    </row>
    <row r="37" ht="18.75" customHeight="1">
      <c r="A37" s="102" t="s">
        <v>3301</v>
      </c>
      <c r="B37" s="102" t="s">
        <v>4299</v>
      </c>
      <c r="C37" s="39" t="s">
        <v>4300</v>
      </c>
      <c r="D37" s="145">
        <v>0.0</v>
      </c>
      <c r="F37" s="39">
        <v>1.0</v>
      </c>
      <c r="J37" s="145">
        <v>1.0</v>
      </c>
      <c r="K37" s="39">
        <v>1.0</v>
      </c>
      <c r="N37" s="39">
        <v>0.0</v>
      </c>
      <c r="O37" s="39" t="s">
        <v>4301</v>
      </c>
      <c r="P37" s="39" t="s">
        <v>4172</v>
      </c>
      <c r="Q37" s="39">
        <v>0.0</v>
      </c>
      <c r="R37" s="39" t="b">
        <v>0</v>
      </c>
      <c r="S37" s="39" t="b">
        <v>0</v>
      </c>
      <c r="T37" s="39" t="s">
        <v>644</v>
      </c>
      <c r="W37" s="39" t="b">
        <v>1</v>
      </c>
      <c r="X37" s="39">
        <v>0.0</v>
      </c>
      <c r="Y37" s="39" t="s">
        <v>4296</v>
      </c>
      <c r="Z37" s="39">
        <v>0.0</v>
      </c>
      <c r="AA37" s="39">
        <v>1.0</v>
      </c>
      <c r="AB37" s="39" t="s">
        <v>644</v>
      </c>
      <c r="AC37" s="39">
        <v>0.0</v>
      </c>
      <c r="AD37" s="39">
        <v>0.0</v>
      </c>
      <c r="AE37" s="39" t="s">
        <v>4181</v>
      </c>
      <c r="AH37" s="39" t="s">
        <v>4297</v>
      </c>
      <c r="AJ37" s="39">
        <v>0.0</v>
      </c>
      <c r="AK37" s="39" t="b">
        <v>1</v>
      </c>
      <c r="AL37" s="39" t="s">
        <v>4302</v>
      </c>
      <c r="AM37" s="39"/>
      <c r="AN37" s="39"/>
      <c r="AO37" s="39"/>
      <c r="AP37" s="39"/>
      <c r="AQ37" s="39"/>
      <c r="AR37" s="39"/>
      <c r="AS37" s="39"/>
      <c r="AT37" s="39"/>
      <c r="AU37" s="39"/>
      <c r="AV37" s="39"/>
    </row>
    <row r="38" ht="18.75" customHeight="1">
      <c r="A38" s="102" t="s">
        <v>3304</v>
      </c>
      <c r="B38" s="102" t="s">
        <v>4303</v>
      </c>
      <c r="C38" s="39" t="s">
        <v>4304</v>
      </c>
      <c r="D38" s="145">
        <v>0.0</v>
      </c>
      <c r="F38" s="39">
        <v>1.0</v>
      </c>
      <c r="J38" s="145">
        <v>1.0</v>
      </c>
      <c r="K38" s="39">
        <v>1.0</v>
      </c>
      <c r="N38" s="39">
        <v>0.0</v>
      </c>
      <c r="O38" s="39" t="s">
        <v>4305</v>
      </c>
      <c r="P38" s="39" t="s">
        <v>4172</v>
      </c>
      <c r="Q38" s="39">
        <v>0.0</v>
      </c>
      <c r="R38" s="39" t="b">
        <v>0</v>
      </c>
      <c r="S38" s="39" t="b">
        <v>0</v>
      </c>
      <c r="T38" s="39" t="s">
        <v>4306</v>
      </c>
      <c r="W38" s="39" t="b">
        <v>1</v>
      </c>
      <c r="X38" s="39">
        <v>0.0</v>
      </c>
      <c r="Y38" s="39" t="s">
        <v>4296</v>
      </c>
      <c r="Z38" s="39">
        <v>0.0</v>
      </c>
      <c r="AA38" s="39">
        <v>1.0</v>
      </c>
      <c r="AB38" s="39" t="s">
        <v>29</v>
      </c>
      <c r="AC38" s="39">
        <v>0.0</v>
      </c>
      <c r="AD38" s="39">
        <v>0.0</v>
      </c>
      <c r="AE38" s="39" t="s">
        <v>4181</v>
      </c>
      <c r="AH38" s="39" t="s">
        <v>4297</v>
      </c>
      <c r="AJ38" s="39">
        <v>0.0</v>
      </c>
      <c r="AK38" s="39" t="b">
        <v>1</v>
      </c>
      <c r="AL38" s="39" t="s">
        <v>4307</v>
      </c>
      <c r="AM38" s="39"/>
      <c r="AN38" s="39"/>
      <c r="AO38" s="39"/>
      <c r="AP38" s="39"/>
      <c r="AQ38" s="39"/>
      <c r="AR38" s="39"/>
      <c r="AS38" s="39"/>
      <c r="AT38" s="39"/>
      <c r="AU38" s="39"/>
      <c r="AV38" s="39"/>
    </row>
    <row r="39" ht="18.75" customHeight="1">
      <c r="A39" s="102" t="s">
        <v>3307</v>
      </c>
      <c r="B39" s="102" t="s">
        <v>4308</v>
      </c>
      <c r="C39" s="39" t="s">
        <v>4309</v>
      </c>
      <c r="D39" s="145">
        <v>0.0</v>
      </c>
      <c r="F39" s="39">
        <v>1.0</v>
      </c>
      <c r="J39" s="145">
        <v>1.0</v>
      </c>
      <c r="K39" s="39">
        <v>1.0</v>
      </c>
      <c r="N39" s="39">
        <v>0.0</v>
      </c>
      <c r="O39" s="39" t="s">
        <v>67</v>
      </c>
      <c r="P39" s="39" t="s">
        <v>4172</v>
      </c>
      <c r="Q39" s="39">
        <v>0.0</v>
      </c>
      <c r="R39" s="39" t="b">
        <v>0</v>
      </c>
      <c r="S39" s="39" t="b">
        <v>0</v>
      </c>
      <c r="T39" s="39" t="s">
        <v>4310</v>
      </c>
      <c r="W39" s="39" t="b">
        <v>1</v>
      </c>
      <c r="X39" s="39">
        <v>0.0</v>
      </c>
      <c r="Y39" s="39" t="s">
        <v>4296</v>
      </c>
      <c r="Z39" s="39">
        <v>0.0</v>
      </c>
      <c r="AA39" s="39">
        <v>1.0</v>
      </c>
      <c r="AB39" s="39" t="s">
        <v>284</v>
      </c>
      <c r="AC39" s="39">
        <v>15.0</v>
      </c>
      <c r="AD39" s="39">
        <v>0.0</v>
      </c>
      <c r="AE39" s="39" t="s">
        <v>4181</v>
      </c>
      <c r="AH39" s="39" t="s">
        <v>4297</v>
      </c>
      <c r="AJ39" s="39">
        <v>0.0</v>
      </c>
      <c r="AK39" s="39" t="b">
        <v>1</v>
      </c>
      <c r="AL39" s="39" t="s">
        <v>4311</v>
      </c>
      <c r="AM39" s="39"/>
      <c r="AN39" s="39"/>
      <c r="AO39" s="39"/>
      <c r="AP39" s="39"/>
      <c r="AQ39" s="39"/>
      <c r="AR39" s="39"/>
      <c r="AS39" s="39"/>
      <c r="AT39" s="39"/>
      <c r="AU39" s="39"/>
      <c r="AV39" s="39"/>
    </row>
    <row r="40" ht="18.75" customHeight="1">
      <c r="A40" s="102" t="s">
        <v>3310</v>
      </c>
      <c r="B40" s="102" t="s">
        <v>4312</v>
      </c>
      <c r="C40" s="39" t="s">
        <v>4313</v>
      </c>
      <c r="D40" s="145">
        <v>0.0</v>
      </c>
      <c r="F40" s="39">
        <v>1.0</v>
      </c>
      <c r="J40" s="145">
        <v>1.0</v>
      </c>
      <c r="K40" s="39">
        <v>1.0</v>
      </c>
      <c r="N40" s="39">
        <v>0.0</v>
      </c>
      <c r="O40" s="39" t="s">
        <v>4314</v>
      </c>
      <c r="P40" s="39" t="s">
        <v>4172</v>
      </c>
      <c r="Q40" s="39">
        <v>0.0</v>
      </c>
      <c r="R40" s="39" t="b">
        <v>0</v>
      </c>
      <c r="S40" s="39" t="b">
        <v>0</v>
      </c>
      <c r="T40" s="39" t="s">
        <v>4315</v>
      </c>
      <c r="W40" s="39" t="b">
        <v>1</v>
      </c>
      <c r="X40" s="39">
        <v>0.0</v>
      </c>
      <c r="Y40" s="39" t="s">
        <v>4296</v>
      </c>
      <c r="Z40" s="39">
        <v>0.0</v>
      </c>
      <c r="AA40" s="39">
        <v>1.0</v>
      </c>
      <c r="AB40" s="39" t="s">
        <v>370</v>
      </c>
      <c r="AC40" s="39">
        <v>15.0</v>
      </c>
      <c r="AD40" s="39">
        <v>0.0</v>
      </c>
      <c r="AE40" s="39" t="s">
        <v>4181</v>
      </c>
      <c r="AH40" s="39" t="s">
        <v>4297</v>
      </c>
      <c r="AJ40" s="39">
        <v>0.0</v>
      </c>
      <c r="AK40" s="39" t="b">
        <v>1</v>
      </c>
      <c r="AL40" s="39" t="s">
        <v>4316</v>
      </c>
      <c r="AM40" s="39"/>
      <c r="AN40" s="39"/>
      <c r="AO40" s="39"/>
      <c r="AP40" s="39"/>
      <c r="AQ40" s="39"/>
      <c r="AR40" s="39"/>
      <c r="AS40" s="39"/>
      <c r="AT40" s="39"/>
      <c r="AU40" s="39"/>
      <c r="AV40" s="39"/>
    </row>
    <row r="41" ht="18.75" customHeight="1">
      <c r="A41" s="102" t="s">
        <v>3313</v>
      </c>
      <c r="B41" s="102" t="s">
        <v>4317</v>
      </c>
      <c r="C41" s="39" t="s">
        <v>4318</v>
      </c>
      <c r="D41" s="145">
        <v>0.0</v>
      </c>
      <c r="F41" s="39">
        <v>1.0</v>
      </c>
      <c r="J41" s="145">
        <v>1.0</v>
      </c>
      <c r="K41" s="39">
        <v>1.0</v>
      </c>
      <c r="N41" s="39">
        <v>0.0</v>
      </c>
      <c r="O41" s="39" t="s">
        <v>4319</v>
      </c>
      <c r="P41" s="39" t="s">
        <v>4172</v>
      </c>
      <c r="Q41" s="39">
        <v>0.0</v>
      </c>
      <c r="R41" s="39" t="b">
        <v>0</v>
      </c>
      <c r="S41" s="39" t="b">
        <v>0</v>
      </c>
      <c r="T41" s="39" t="s">
        <v>4256</v>
      </c>
      <c r="W41" s="39" t="b">
        <v>1</v>
      </c>
      <c r="X41" s="39">
        <v>0.0</v>
      </c>
      <c r="Y41" s="39" t="s">
        <v>4296</v>
      </c>
      <c r="Z41" s="39">
        <v>0.0</v>
      </c>
      <c r="AA41" s="39">
        <v>1.0</v>
      </c>
      <c r="AB41" s="39" t="s">
        <v>29</v>
      </c>
      <c r="AC41" s="39">
        <v>0.0</v>
      </c>
      <c r="AD41" s="39">
        <v>0.0</v>
      </c>
      <c r="AE41" s="39" t="s">
        <v>4181</v>
      </c>
      <c r="AH41" s="39" t="s">
        <v>4297</v>
      </c>
      <c r="AJ41" s="39">
        <v>0.0</v>
      </c>
      <c r="AK41" s="39" t="b">
        <v>1</v>
      </c>
      <c r="AL41" s="39" t="s">
        <v>4320</v>
      </c>
      <c r="AM41" s="39"/>
      <c r="AN41" s="39"/>
      <c r="AO41" s="39"/>
      <c r="AP41" s="39"/>
      <c r="AQ41" s="39"/>
      <c r="AR41" s="39"/>
      <c r="AS41" s="39"/>
      <c r="AT41" s="39"/>
      <c r="AU41" s="39"/>
      <c r="AV41" s="39"/>
    </row>
    <row r="42" ht="18.75" customHeight="1">
      <c r="A42" s="102" t="s">
        <v>4321</v>
      </c>
      <c r="B42" s="102" t="s">
        <v>4322</v>
      </c>
      <c r="C42" s="39" t="s">
        <v>4323</v>
      </c>
      <c r="D42" s="145">
        <v>0.0</v>
      </c>
      <c r="F42" s="39">
        <v>0.0</v>
      </c>
      <c r="J42" s="145">
        <v>1.0</v>
      </c>
      <c r="K42" s="39"/>
      <c r="N42" s="39"/>
      <c r="O42" s="39" t="s">
        <v>58</v>
      </c>
      <c r="P42" s="39" t="s">
        <v>4172</v>
      </c>
      <c r="Q42" s="39">
        <v>0.0</v>
      </c>
      <c r="R42" s="39" t="b">
        <v>0</v>
      </c>
      <c r="S42" s="39" t="b">
        <v>0</v>
      </c>
      <c r="T42" s="39"/>
      <c r="W42" s="39" t="b">
        <v>1</v>
      </c>
      <c r="X42" s="39"/>
      <c r="Y42" s="39"/>
      <c r="Z42" s="39"/>
      <c r="AA42" s="39"/>
      <c r="AB42" s="39"/>
      <c r="AC42" s="39"/>
      <c r="AD42" s="39"/>
      <c r="AE42" s="39"/>
      <c r="AH42" s="39" t="s">
        <v>2568</v>
      </c>
      <c r="AJ42" s="39"/>
      <c r="AK42" s="39" t="b">
        <v>0</v>
      </c>
      <c r="AL42" s="39"/>
      <c r="AM42" s="39" t="s">
        <v>4324</v>
      </c>
      <c r="AN42" s="39" t="s">
        <v>4325</v>
      </c>
      <c r="AO42" s="39">
        <v>200.0</v>
      </c>
      <c r="AP42" s="39">
        <v>500.0</v>
      </c>
      <c r="AQ42" s="39">
        <v>1.0</v>
      </c>
      <c r="AR42" s="39">
        <v>1.0</v>
      </c>
    </row>
    <row r="43" ht="18.75" customHeight="1">
      <c r="A43" s="102" t="s">
        <v>4326</v>
      </c>
      <c r="B43" s="102" t="s">
        <v>4327</v>
      </c>
      <c r="C43" s="39" t="s">
        <v>4328</v>
      </c>
      <c r="D43" s="145">
        <v>0.0</v>
      </c>
      <c r="F43" s="39">
        <v>0.0</v>
      </c>
      <c r="J43" s="145">
        <v>1.0</v>
      </c>
      <c r="K43" s="39"/>
      <c r="N43" s="39"/>
      <c r="O43" s="39" t="s">
        <v>4329</v>
      </c>
      <c r="P43" s="39" t="s">
        <v>4172</v>
      </c>
      <c r="Q43" s="39">
        <v>0.0</v>
      </c>
      <c r="R43" s="39" t="b">
        <v>0</v>
      </c>
      <c r="S43" s="39" t="b">
        <v>0</v>
      </c>
      <c r="T43" s="39"/>
      <c r="W43" s="39" t="b">
        <v>1</v>
      </c>
      <c r="X43" s="39"/>
      <c r="Y43" s="39"/>
      <c r="Z43" s="39"/>
      <c r="AA43" s="39"/>
      <c r="AB43" s="39"/>
      <c r="AC43" s="39"/>
      <c r="AD43" s="39"/>
      <c r="AE43" s="39"/>
      <c r="AH43" s="39" t="s">
        <v>2568</v>
      </c>
      <c r="AJ43" s="39"/>
      <c r="AK43" s="39" t="b">
        <v>0</v>
      </c>
      <c r="AL43" s="39"/>
      <c r="AM43" s="39" t="s">
        <v>4324</v>
      </c>
      <c r="AN43" s="39" t="s">
        <v>4325</v>
      </c>
      <c r="AO43" s="39">
        <v>200.0</v>
      </c>
      <c r="AP43" s="39">
        <v>1000.0</v>
      </c>
      <c r="AQ43" s="39">
        <v>1.0</v>
      </c>
      <c r="AR43" s="39">
        <v>1.0</v>
      </c>
    </row>
    <row r="44" ht="18.75" customHeight="1">
      <c r="A44" s="102" t="s">
        <v>4330</v>
      </c>
      <c r="B44" s="102" t="s">
        <v>4331</v>
      </c>
      <c r="C44" s="39" t="s">
        <v>4332</v>
      </c>
      <c r="D44" s="145">
        <v>0.0</v>
      </c>
      <c r="F44" s="39">
        <v>0.0</v>
      </c>
      <c r="J44" s="145">
        <v>1.0</v>
      </c>
      <c r="K44" s="39"/>
      <c r="N44" s="39"/>
      <c r="O44" s="39" t="s">
        <v>4333</v>
      </c>
      <c r="P44" s="39" t="s">
        <v>4172</v>
      </c>
      <c r="Q44" s="39">
        <v>0.0</v>
      </c>
      <c r="R44" s="39" t="b">
        <v>0</v>
      </c>
      <c r="S44" s="39" t="b">
        <v>0</v>
      </c>
      <c r="T44" s="39"/>
      <c r="W44" s="39" t="b">
        <v>1</v>
      </c>
      <c r="X44" s="39"/>
      <c r="Y44" s="39"/>
      <c r="Z44" s="39"/>
      <c r="AA44" s="39"/>
      <c r="AB44" s="39"/>
      <c r="AC44" s="39"/>
      <c r="AD44" s="39"/>
      <c r="AE44" s="39"/>
      <c r="AH44" s="39" t="s">
        <v>2568</v>
      </c>
      <c r="AJ44" s="39"/>
      <c r="AK44" s="39" t="b">
        <v>0</v>
      </c>
      <c r="AL44" s="39"/>
      <c r="AM44" s="39" t="s">
        <v>4324</v>
      </c>
      <c r="AN44" s="39" t="s">
        <v>4325</v>
      </c>
      <c r="AO44" s="39">
        <v>50.0</v>
      </c>
      <c r="AP44" s="39">
        <v>200.0</v>
      </c>
      <c r="AQ44" s="39">
        <v>1.0</v>
      </c>
      <c r="AR44" s="39">
        <v>0.0</v>
      </c>
      <c r="AT44" s="39" t="s">
        <v>65</v>
      </c>
    </row>
    <row r="45" ht="18.75" customHeight="1">
      <c r="A45" s="102" t="s">
        <v>988</v>
      </c>
      <c r="B45" s="102" t="s">
        <v>4334</v>
      </c>
      <c r="C45" s="39" t="s">
        <v>4335</v>
      </c>
      <c r="D45" s="145">
        <v>0.0</v>
      </c>
      <c r="F45" s="39">
        <v>0.0</v>
      </c>
      <c r="J45" s="145">
        <v>1.0</v>
      </c>
      <c r="K45" s="39"/>
      <c r="N45" s="39"/>
      <c r="O45" s="39"/>
      <c r="P45" s="39" t="s">
        <v>4172</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4325</v>
      </c>
      <c r="AU45" s="39">
        <v>1.0</v>
      </c>
      <c r="AV45" s="39"/>
    </row>
    <row r="46" ht="18.75" customHeight="1">
      <c r="A46" s="102" t="s">
        <v>4336</v>
      </c>
      <c r="B46" s="102" t="s">
        <v>4337</v>
      </c>
      <c r="C46" s="39" t="s">
        <v>4338</v>
      </c>
      <c r="D46" s="145">
        <v>0.0</v>
      </c>
      <c r="F46" s="39">
        <v>0.0</v>
      </c>
      <c r="J46" s="145">
        <v>1.0</v>
      </c>
      <c r="K46" s="39"/>
      <c r="N46" s="39"/>
      <c r="O46" s="39"/>
      <c r="P46" s="39" t="s">
        <v>4172</v>
      </c>
      <c r="Q46" s="39">
        <v>0.0</v>
      </c>
      <c r="R46" s="39" t="b">
        <v>0</v>
      </c>
      <c r="S46" s="39" t="b">
        <v>0</v>
      </c>
      <c r="T46" s="39"/>
      <c r="W46" s="39" t="b">
        <v>1</v>
      </c>
      <c r="X46" s="39"/>
      <c r="Y46" s="39"/>
      <c r="Z46" s="39"/>
      <c r="AA46" s="39"/>
      <c r="AB46" s="39"/>
      <c r="AC46" s="39"/>
      <c r="AD46" s="39"/>
      <c r="AE46" s="39"/>
      <c r="AH46" s="39" t="s">
        <v>2568</v>
      </c>
      <c r="AJ46" s="39"/>
      <c r="AK46" s="39" t="b">
        <v>0</v>
      </c>
      <c r="AL46" s="39"/>
      <c r="AM46" s="39" t="s">
        <v>4336</v>
      </c>
      <c r="AN46" s="39" t="s">
        <v>4325</v>
      </c>
      <c r="AO46" s="39">
        <v>0.0</v>
      </c>
      <c r="AP46" s="39">
        <v>100.0</v>
      </c>
      <c r="AQ46" s="39">
        <v>1.0</v>
      </c>
      <c r="AS46" s="39">
        <v>20.0</v>
      </c>
    </row>
    <row r="47" ht="18.75" customHeight="1">
      <c r="A47" s="102" t="s">
        <v>1018</v>
      </c>
      <c r="B47" s="102" t="s">
        <v>4339</v>
      </c>
      <c r="C47" s="39" t="s">
        <v>4340</v>
      </c>
      <c r="D47" s="145">
        <v>0.008</v>
      </c>
      <c r="F47" s="39">
        <v>2.0</v>
      </c>
      <c r="J47" s="145">
        <v>0.7</v>
      </c>
      <c r="K47" s="39">
        <v>3.0</v>
      </c>
      <c r="N47" s="39">
        <v>3.0</v>
      </c>
      <c r="O47" s="39" t="s">
        <v>4341</v>
      </c>
      <c r="P47" s="39" t="s">
        <v>4172</v>
      </c>
      <c r="Q47" s="39">
        <v>0.0</v>
      </c>
      <c r="R47" s="39" t="b">
        <v>0</v>
      </c>
      <c r="S47" s="39" t="b">
        <v>0</v>
      </c>
      <c r="T47" s="39"/>
      <c r="U47" s="39" t="s">
        <v>4173</v>
      </c>
      <c r="V47" s="39">
        <v>4.0</v>
      </c>
      <c r="W47" s="39" t="b">
        <v>1</v>
      </c>
      <c r="X47" s="39">
        <v>8.0</v>
      </c>
      <c r="Y47" s="39"/>
      <c r="Z47" s="39">
        <v>0.0</v>
      </c>
      <c r="AA47" s="39">
        <v>1.0</v>
      </c>
      <c r="AB47" s="39"/>
      <c r="AC47" s="39"/>
      <c r="AD47" s="39">
        <v>0.0</v>
      </c>
      <c r="AE47" s="39"/>
      <c r="AH47" s="39" t="s">
        <v>4175</v>
      </c>
      <c r="AI47" s="39" t="s">
        <v>4176</v>
      </c>
      <c r="AJ47" s="39">
        <v>1.0</v>
      </c>
      <c r="AK47" s="39" t="b">
        <v>0</v>
      </c>
      <c r="AL47" s="39"/>
      <c r="AM47" s="39"/>
      <c r="AN47" s="39"/>
      <c r="AO47" s="39"/>
      <c r="AP47" s="39"/>
      <c r="AQ47" s="39"/>
      <c r="AS47" s="39"/>
      <c r="AV47" s="39" t="s">
        <v>4342</v>
      </c>
    </row>
    <row r="48" ht="18.75" customHeight="1">
      <c r="A48" s="102" t="s">
        <v>4343</v>
      </c>
      <c r="B48" s="102" t="s">
        <v>4344</v>
      </c>
      <c r="C48" s="39" t="s">
        <v>4345</v>
      </c>
      <c r="D48" s="145">
        <v>0.004</v>
      </c>
      <c r="F48" s="39">
        <v>0.0</v>
      </c>
      <c r="J48" s="145">
        <v>0.7</v>
      </c>
      <c r="K48" s="39">
        <v>3.0</v>
      </c>
      <c r="N48" s="39">
        <v>3.0</v>
      </c>
      <c r="O48" s="39" t="s">
        <v>4346</v>
      </c>
      <c r="P48" s="39" t="s">
        <v>4172</v>
      </c>
      <c r="Q48" s="39">
        <v>0.0</v>
      </c>
      <c r="R48" s="39" t="b">
        <v>0</v>
      </c>
      <c r="S48" s="39" t="b">
        <v>0</v>
      </c>
      <c r="T48" s="39"/>
      <c r="U48" s="39" t="s">
        <v>4173</v>
      </c>
      <c r="V48" s="39">
        <v>10.0</v>
      </c>
      <c r="W48" s="39" t="b">
        <v>1</v>
      </c>
      <c r="X48" s="39">
        <v>8.0</v>
      </c>
      <c r="Y48" s="39"/>
      <c r="Z48" s="39">
        <v>0.0</v>
      </c>
      <c r="AA48" s="39">
        <v>1.0</v>
      </c>
      <c r="AB48" s="39" t="s">
        <v>1782</v>
      </c>
      <c r="AC48" s="39">
        <v>80.0</v>
      </c>
      <c r="AD48" s="39">
        <v>0.0</v>
      </c>
      <c r="AE48" s="39"/>
      <c r="AH48" s="39" t="s">
        <v>4175</v>
      </c>
      <c r="AI48" s="39" t="s">
        <v>4209</v>
      </c>
      <c r="AJ48" s="39">
        <v>1.0</v>
      </c>
      <c r="AK48" s="39" t="b">
        <v>0</v>
      </c>
      <c r="AL48" s="39"/>
      <c r="AM48" s="39"/>
      <c r="AN48" s="39"/>
      <c r="AO48" s="39"/>
      <c r="AP48" s="39"/>
      <c r="AQ48" s="39"/>
      <c r="AS48" s="39"/>
      <c r="AV48" s="39" t="s">
        <v>4347</v>
      </c>
    </row>
    <row r="49" ht="18.75" customHeight="1">
      <c r="A49" s="102" t="s">
        <v>944</v>
      </c>
      <c r="B49" s="102" t="s">
        <v>4348</v>
      </c>
      <c r="C49" s="39" t="s">
        <v>4349</v>
      </c>
      <c r="D49" s="145">
        <v>0.003</v>
      </c>
      <c r="F49" s="39">
        <v>1.0</v>
      </c>
      <c r="J49" s="145">
        <v>0.7</v>
      </c>
      <c r="K49" s="39">
        <v>3.0</v>
      </c>
      <c r="N49" s="39">
        <v>3.0</v>
      </c>
      <c r="O49" s="39" t="s">
        <v>4350</v>
      </c>
      <c r="P49" s="39" t="s">
        <v>4172</v>
      </c>
      <c r="Q49" s="39">
        <v>0.0</v>
      </c>
      <c r="R49" s="39" t="b">
        <v>0</v>
      </c>
      <c r="S49" s="39" t="b">
        <v>0</v>
      </c>
      <c r="T49" s="39"/>
      <c r="U49" s="39" t="s">
        <v>4173</v>
      </c>
      <c r="V49" s="39">
        <v>4.0</v>
      </c>
      <c r="W49" s="39" t="b">
        <v>1</v>
      </c>
      <c r="X49" s="39">
        <v>8.0</v>
      </c>
      <c r="Y49" s="39"/>
      <c r="Z49" s="39">
        <v>0.0</v>
      </c>
      <c r="AA49" s="39">
        <v>1.0</v>
      </c>
      <c r="AB49" s="39" t="s">
        <v>4351</v>
      </c>
      <c r="AC49" s="41">
        <v>140.0</v>
      </c>
      <c r="AD49" s="39">
        <v>0.0</v>
      </c>
      <c r="AE49" s="39"/>
      <c r="AH49" s="39" t="s">
        <v>4175</v>
      </c>
      <c r="AI49" s="39" t="s">
        <v>4191</v>
      </c>
      <c r="AJ49" s="39">
        <v>1.0</v>
      </c>
      <c r="AK49" s="39" t="b">
        <v>0</v>
      </c>
      <c r="AL49" s="39"/>
      <c r="AM49" s="39"/>
      <c r="AN49" s="39"/>
      <c r="AO49" s="39"/>
      <c r="AP49" s="39"/>
      <c r="AQ49" s="39"/>
      <c r="AS49" s="39"/>
      <c r="AV49" s="39" t="s">
        <v>4352</v>
      </c>
    </row>
    <row r="50" ht="18.75" customHeight="1">
      <c r="A50" s="102" t="s">
        <v>3210</v>
      </c>
      <c r="B50" s="102" t="s">
        <v>4353</v>
      </c>
      <c r="C50" s="39" t="s">
        <v>4354</v>
      </c>
      <c r="D50" s="145">
        <v>0.003</v>
      </c>
      <c r="F50" s="39">
        <v>1.0</v>
      </c>
      <c r="J50" s="145">
        <v>0.7</v>
      </c>
      <c r="K50" s="39">
        <v>5.0</v>
      </c>
      <c r="N50" s="39">
        <v>3.0</v>
      </c>
      <c r="O50" s="39" t="s">
        <v>61</v>
      </c>
      <c r="P50" s="39" t="s">
        <v>4172</v>
      </c>
      <c r="Q50" s="39">
        <v>0.0</v>
      </c>
      <c r="R50" s="39" t="b">
        <v>0</v>
      </c>
      <c r="S50" s="39" t="b">
        <v>0</v>
      </c>
      <c r="T50" s="39"/>
      <c r="U50" s="39" t="s">
        <v>4173</v>
      </c>
      <c r="V50" s="39">
        <v>4.0</v>
      </c>
      <c r="W50" s="39" t="b">
        <v>1</v>
      </c>
      <c r="X50" s="39">
        <v>8.0</v>
      </c>
      <c r="Y50" s="39"/>
      <c r="Z50" s="39">
        <v>0.0</v>
      </c>
      <c r="AA50" s="39">
        <v>1.0</v>
      </c>
      <c r="AB50" s="39"/>
      <c r="AC50" s="39"/>
      <c r="AD50" s="39">
        <v>0.0</v>
      </c>
      <c r="AE50" s="39"/>
      <c r="AH50" s="39" t="s">
        <v>4175</v>
      </c>
      <c r="AI50" s="39" t="s">
        <v>4182</v>
      </c>
      <c r="AJ50" s="39">
        <v>1.0</v>
      </c>
      <c r="AK50" s="39" t="b">
        <v>0</v>
      </c>
      <c r="AL50" s="39"/>
      <c r="AM50" s="39"/>
      <c r="AN50" s="39"/>
      <c r="AO50" s="39"/>
      <c r="AP50" s="39"/>
      <c r="AQ50" s="39"/>
      <c r="AS50" s="39"/>
      <c r="AV50" s="39" t="s">
        <v>4355</v>
      </c>
    </row>
    <row r="51" ht="18.75" customHeight="1">
      <c r="A51" s="102" t="s">
        <v>509</v>
      </c>
      <c r="B51" s="102" t="s">
        <v>4356</v>
      </c>
      <c r="C51" s="39" t="s">
        <v>4357</v>
      </c>
      <c r="D51" s="145">
        <v>0.05</v>
      </c>
      <c r="F51" s="39">
        <v>1.0</v>
      </c>
      <c r="J51" s="145">
        <v>0.7</v>
      </c>
      <c r="K51" s="39">
        <v>4.0</v>
      </c>
      <c r="N51" s="39">
        <v>3.0</v>
      </c>
      <c r="O51" s="39" t="s">
        <v>61</v>
      </c>
      <c r="P51" s="39" t="s">
        <v>4172</v>
      </c>
      <c r="Q51" s="39">
        <v>0.0</v>
      </c>
      <c r="R51" s="39" t="b">
        <v>0</v>
      </c>
      <c r="S51" s="39" t="b">
        <v>0</v>
      </c>
      <c r="T51" s="39"/>
      <c r="U51" s="39" t="s">
        <v>4173</v>
      </c>
      <c r="V51" s="39">
        <v>2.0</v>
      </c>
      <c r="W51" s="39" t="b">
        <v>1</v>
      </c>
      <c r="X51" s="39">
        <v>8.0</v>
      </c>
      <c r="Y51" s="39"/>
      <c r="Z51" s="39">
        <v>0.0</v>
      </c>
      <c r="AA51" s="39">
        <v>1.0</v>
      </c>
      <c r="AB51" s="39" t="s">
        <v>1782</v>
      </c>
      <c r="AC51" s="39">
        <v>200.0</v>
      </c>
      <c r="AD51" s="39">
        <v>0.0</v>
      </c>
      <c r="AE51" s="39"/>
      <c r="AH51" s="39" t="s">
        <v>4197</v>
      </c>
      <c r="AJ51" s="39">
        <v>1.0</v>
      </c>
      <c r="AK51" s="39" t="b">
        <v>0</v>
      </c>
      <c r="AL51" s="39"/>
      <c r="AM51" s="39"/>
      <c r="AN51" s="39"/>
      <c r="AO51" s="39"/>
      <c r="AP51" s="39"/>
      <c r="AQ51" s="39"/>
      <c r="AS51" s="39"/>
      <c r="AV51" s="39" t="s">
        <v>4358</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4359</v>
      </c>
      <c r="B1" s="37" t="s">
        <v>4360</v>
      </c>
      <c r="C1" s="37" t="s">
        <v>3657</v>
      </c>
      <c r="D1" s="64" t="s">
        <v>2620</v>
      </c>
      <c r="E1" s="37" t="s">
        <v>4361</v>
      </c>
      <c r="F1" s="37" t="s">
        <v>4362</v>
      </c>
      <c r="G1" s="37" t="s">
        <v>4363</v>
      </c>
      <c r="H1" s="37" t="s">
        <v>4364</v>
      </c>
      <c r="I1" s="37" t="s">
        <v>4365</v>
      </c>
      <c r="J1" s="37" t="s">
        <v>4366</v>
      </c>
      <c r="K1" s="37" t="s">
        <v>4367</v>
      </c>
      <c r="L1" s="37" t="s">
        <v>4368</v>
      </c>
      <c r="M1" s="37" t="s">
        <v>4369</v>
      </c>
      <c r="N1" s="37" t="s">
        <v>4370</v>
      </c>
    </row>
    <row r="2" ht="18.75" customHeight="1">
      <c r="A2" s="37" t="s">
        <v>4371</v>
      </c>
      <c r="C2" s="37" t="s">
        <v>4372</v>
      </c>
      <c r="D2" s="64" t="s">
        <v>4373</v>
      </c>
    </row>
    <row r="3" ht="18.75" customHeight="1">
      <c r="A3" s="37" t="s">
        <v>4374</v>
      </c>
      <c r="C3" s="37" t="s">
        <v>4372</v>
      </c>
      <c r="D3" s="64" t="s">
        <v>4375</v>
      </c>
    </row>
    <row r="4" ht="18.75" customHeight="1">
      <c r="A4" s="37" t="s">
        <v>4376</v>
      </c>
      <c r="C4" s="37" t="s">
        <v>4377</v>
      </c>
      <c r="D4" s="64" t="s">
        <v>4378</v>
      </c>
      <c r="E4" s="37" t="s">
        <v>2596</v>
      </c>
    </row>
    <row r="5" ht="18.75" customHeight="1">
      <c r="A5" s="37" t="s">
        <v>4379</v>
      </c>
      <c r="C5" s="37" t="s">
        <v>4377</v>
      </c>
      <c r="D5" s="64" t="s">
        <v>4380</v>
      </c>
      <c r="E5" s="37" t="s">
        <v>2429</v>
      </c>
    </row>
    <row r="6" ht="18.75" customHeight="1">
      <c r="A6" s="37" t="s">
        <v>4381</v>
      </c>
      <c r="C6" s="37" t="s">
        <v>4377</v>
      </c>
      <c r="D6" s="64" t="s">
        <v>4382</v>
      </c>
      <c r="E6" s="37" t="s">
        <v>1179</v>
      </c>
    </row>
    <row r="7" ht="18.75" customHeight="1">
      <c r="A7" s="37" t="s">
        <v>4383</v>
      </c>
      <c r="C7" s="37" t="s">
        <v>4377</v>
      </c>
      <c r="D7" s="64" t="s">
        <v>4384</v>
      </c>
      <c r="E7" s="37" t="s">
        <v>2593</v>
      </c>
    </row>
    <row r="8" ht="18.75" customHeight="1">
      <c r="A8" s="37" t="s">
        <v>4385</v>
      </c>
      <c r="C8" s="37" t="s">
        <v>4377</v>
      </c>
      <c r="D8" s="64" t="s">
        <v>4386</v>
      </c>
      <c r="E8" s="37" t="s">
        <v>2603</v>
      </c>
    </row>
    <row r="9" ht="18.75" customHeight="1">
      <c r="A9" s="37" t="s">
        <v>4387</v>
      </c>
      <c r="C9" s="37" t="s">
        <v>4387</v>
      </c>
      <c r="D9" s="64" t="s">
        <v>4388</v>
      </c>
    </row>
    <row r="10" ht="18.75" customHeight="1">
      <c r="A10" s="37" t="s">
        <v>3212</v>
      </c>
      <c r="C10" s="37" t="s">
        <v>4387</v>
      </c>
      <c r="D10" s="64" t="s">
        <v>4389</v>
      </c>
    </row>
    <row r="11" ht="18.75" customHeight="1">
      <c r="A11" s="37" t="s">
        <v>4390</v>
      </c>
      <c r="C11" s="37" t="s">
        <v>4387</v>
      </c>
      <c r="D11" s="64" t="s">
        <v>4391</v>
      </c>
    </row>
    <row r="12" ht="18.75" customHeight="1">
      <c r="A12" s="37" t="s">
        <v>4392</v>
      </c>
      <c r="C12" s="37" t="s">
        <v>4393</v>
      </c>
      <c r="D12" s="64" t="s">
        <v>4394</v>
      </c>
    </row>
    <row r="13" ht="18.75" customHeight="1">
      <c r="A13" s="37" t="s">
        <v>4395</v>
      </c>
      <c r="C13" s="37" t="s">
        <v>4396</v>
      </c>
      <c r="D13" s="64" t="s">
        <v>4397</v>
      </c>
    </row>
    <row r="14" ht="18.75" customHeight="1">
      <c r="A14" s="37" t="s">
        <v>2593</v>
      </c>
      <c r="D14" s="64"/>
    </row>
    <row r="15" ht="18.75" customHeight="1">
      <c r="A15" s="37" t="s">
        <v>2927</v>
      </c>
      <c r="C15" s="37" t="s">
        <v>4398</v>
      </c>
      <c r="D15" s="64" t="s">
        <v>4399</v>
      </c>
    </row>
    <row r="16" ht="18.75" customHeight="1">
      <c r="A16" s="37" t="s">
        <v>2928</v>
      </c>
      <c r="C16" s="37" t="s">
        <v>4398</v>
      </c>
      <c r="D16" s="64" t="s">
        <v>4400</v>
      </c>
    </row>
    <row r="17" ht="18.75" customHeight="1">
      <c r="A17" s="37" t="s">
        <v>4401</v>
      </c>
      <c r="C17" s="37" t="s">
        <v>4402</v>
      </c>
      <c r="D17" s="64" t="s">
        <v>4403</v>
      </c>
    </row>
    <row r="18" ht="18.75" customHeight="1">
      <c r="A18" s="37" t="s">
        <v>4404</v>
      </c>
      <c r="C18" s="37" t="s">
        <v>4405</v>
      </c>
      <c r="D18" s="64" t="s">
        <v>4406</v>
      </c>
    </row>
    <row r="19" ht="18.75" customHeight="1">
      <c r="A19" s="37" t="s">
        <v>4407</v>
      </c>
      <c r="C19" s="37" t="s">
        <v>4408</v>
      </c>
      <c r="D19" s="64" t="s">
        <v>4409</v>
      </c>
    </row>
    <row r="20" ht="18.75" customHeight="1">
      <c r="A20" s="37" t="s">
        <v>4410</v>
      </c>
      <c r="C20" s="37" t="s">
        <v>4408</v>
      </c>
      <c r="D20" s="64" t="s">
        <v>4411</v>
      </c>
    </row>
    <row r="21" ht="18.75" customHeight="1">
      <c r="A21" s="37" t="s">
        <v>4412</v>
      </c>
      <c r="C21" s="37" t="s">
        <v>2630</v>
      </c>
      <c r="D21" s="64" t="s">
        <v>4413</v>
      </c>
    </row>
    <row r="22" ht="18.75" customHeight="1">
      <c r="A22" s="37" t="s">
        <v>849</v>
      </c>
      <c r="C22" s="37" t="s">
        <v>4414</v>
      </c>
      <c r="D22" s="64" t="s">
        <v>4415</v>
      </c>
    </row>
    <row r="23" ht="18.75" customHeight="1">
      <c r="A23" s="37" t="s">
        <v>1845</v>
      </c>
      <c r="D23" s="64" t="s">
        <v>4416</v>
      </c>
    </row>
    <row r="24" ht="18.75" customHeight="1">
      <c r="A24" s="37" t="s">
        <v>3213</v>
      </c>
      <c r="D24" s="64" t="s">
        <v>4417</v>
      </c>
    </row>
    <row r="25" ht="18.75" customHeight="1">
      <c r="D25" s="64"/>
    </row>
    <row r="26" ht="18.75" customHeight="1">
      <c r="A26" s="37" t="s">
        <v>4404</v>
      </c>
      <c r="D26" s="64"/>
    </row>
    <row r="27" ht="18.75" customHeight="1">
      <c r="D27" s="64"/>
    </row>
    <row r="28" ht="18.75" customHeight="1">
      <c r="A28" s="37" t="s">
        <v>4418</v>
      </c>
      <c r="D28" s="64"/>
    </row>
    <row r="29" ht="18.75" customHeight="1">
      <c r="A29" s="146" t="s">
        <v>2623</v>
      </c>
      <c r="B29" s="146">
        <v>12.0</v>
      </c>
      <c r="C29" s="37" t="s">
        <v>4419</v>
      </c>
      <c r="D29" s="64" t="s">
        <v>4420</v>
      </c>
      <c r="E29" s="37" t="s">
        <v>2599</v>
      </c>
    </row>
    <row r="30" ht="18.75" customHeight="1">
      <c r="A30" s="146" t="s">
        <v>2624</v>
      </c>
      <c r="B30" s="146">
        <v>13.0</v>
      </c>
      <c r="C30" s="37" t="s">
        <v>4419</v>
      </c>
      <c r="D30" s="64" t="s">
        <v>4421</v>
      </c>
      <c r="E30" s="37" t="s">
        <v>2599</v>
      </c>
    </row>
    <row r="31" ht="18.75" customHeight="1">
      <c r="A31" s="146" t="s">
        <v>2625</v>
      </c>
      <c r="B31" s="146">
        <v>14.0</v>
      </c>
      <c r="C31" s="37" t="s">
        <v>4419</v>
      </c>
      <c r="D31" s="64" t="s">
        <v>4422</v>
      </c>
      <c r="E31" s="37" t="s">
        <v>2599</v>
      </c>
    </row>
    <row r="32" ht="18.75" customHeight="1">
      <c r="A32" s="146" t="s">
        <v>2626</v>
      </c>
      <c r="B32" s="146">
        <v>15.0</v>
      </c>
      <c r="C32" s="37" t="s">
        <v>4419</v>
      </c>
      <c r="D32" s="64" t="s">
        <v>4423</v>
      </c>
      <c r="E32" s="37" t="s">
        <v>2601</v>
      </c>
    </row>
    <row r="33" ht="18.75" customHeight="1">
      <c r="A33" s="147" t="s">
        <v>3199</v>
      </c>
      <c r="B33" s="147">
        <v>10.0</v>
      </c>
      <c r="C33" s="37" t="s">
        <v>3199</v>
      </c>
      <c r="D33" s="64" t="s">
        <v>4424</v>
      </c>
      <c r="E33" s="37" t="s">
        <v>2600</v>
      </c>
    </row>
    <row r="34" ht="18.75" customHeight="1">
      <c r="A34" s="147" t="s">
        <v>3200</v>
      </c>
      <c r="B34" s="147">
        <v>9.0</v>
      </c>
      <c r="C34" s="37" t="s">
        <v>3199</v>
      </c>
      <c r="D34" s="64" t="s">
        <v>4425</v>
      </c>
      <c r="E34" s="37" t="s">
        <v>2600</v>
      </c>
    </row>
    <row r="35" ht="18.75" customHeight="1">
      <c r="A35" s="147" t="s">
        <v>3201</v>
      </c>
      <c r="B35" s="147">
        <v>8.0</v>
      </c>
      <c r="C35" s="37" t="s">
        <v>3199</v>
      </c>
      <c r="D35" s="64" t="s">
        <v>4426</v>
      </c>
      <c r="E35" s="37" t="s">
        <v>2600</v>
      </c>
    </row>
    <row r="36" ht="18.75" customHeight="1">
      <c r="A36" s="148" t="s">
        <v>3202</v>
      </c>
      <c r="B36" s="148">
        <v>11.0</v>
      </c>
      <c r="C36" s="37" t="s">
        <v>3202</v>
      </c>
      <c r="D36" s="64" t="s">
        <v>4427</v>
      </c>
      <c r="E36" s="37" t="s">
        <v>2602</v>
      </c>
    </row>
    <row r="37" ht="18.75" customHeight="1">
      <c r="A37" s="148" t="s">
        <v>3203</v>
      </c>
      <c r="B37" s="148">
        <v>4.0</v>
      </c>
      <c r="C37" s="37" t="s">
        <v>4428</v>
      </c>
      <c r="D37" s="64" t="s">
        <v>4429</v>
      </c>
      <c r="E37" s="37" t="s">
        <v>2602</v>
      </c>
    </row>
    <row r="38" ht="18.75" customHeight="1">
      <c r="A38" s="148" t="s">
        <v>3204</v>
      </c>
      <c r="B38" s="148">
        <v>3.0</v>
      </c>
      <c r="C38" s="37" t="s">
        <v>4428</v>
      </c>
      <c r="D38" s="64" t="s">
        <v>4430</v>
      </c>
      <c r="E38" s="37" t="s">
        <v>2602</v>
      </c>
    </row>
    <row r="39" ht="18.75" customHeight="1">
      <c r="A39" s="148" t="s">
        <v>3205</v>
      </c>
      <c r="B39" s="148">
        <v>2.0</v>
      </c>
      <c r="C39" s="37" t="s">
        <v>4428</v>
      </c>
      <c r="D39" s="64" t="s">
        <v>4431</v>
      </c>
      <c r="E39" s="37" t="s">
        <v>2602</v>
      </c>
    </row>
    <row r="40" ht="18.75" customHeight="1">
      <c r="A40" s="148" t="s">
        <v>3206</v>
      </c>
      <c r="B40" s="148">
        <v>1.0</v>
      </c>
      <c r="C40" s="37" t="s">
        <v>4428</v>
      </c>
      <c r="D40" s="64" t="s">
        <v>4432</v>
      </c>
      <c r="E40" s="37" t="s">
        <v>2602</v>
      </c>
    </row>
    <row r="41" ht="18.75" customHeight="1">
      <c r="A41" s="74" t="s">
        <v>3207</v>
      </c>
      <c r="B41" s="74">
        <v>6.0</v>
      </c>
      <c r="C41" s="37" t="s">
        <v>4433</v>
      </c>
      <c r="D41" s="64" t="s">
        <v>4434</v>
      </c>
      <c r="E41" s="37" t="s">
        <v>2602</v>
      </c>
    </row>
    <row r="42" ht="18.75" customHeight="1">
      <c r="A42" s="74" t="s">
        <v>3208</v>
      </c>
      <c r="B42" s="74">
        <v>7.0</v>
      </c>
      <c r="C42" s="37" t="s">
        <v>4433</v>
      </c>
      <c r="D42" s="64" t="s">
        <v>4435</v>
      </c>
      <c r="E42" s="37" t="s">
        <v>2602</v>
      </c>
    </row>
    <row r="43" ht="18.75" customHeight="1">
      <c r="A43" s="74" t="s">
        <v>3209</v>
      </c>
      <c r="B43" s="74">
        <v>5.0</v>
      </c>
      <c r="C43" s="37" t="s">
        <v>3209</v>
      </c>
      <c r="D43" s="64" t="s">
        <v>4436</v>
      </c>
      <c r="E43" s="37" t="s">
        <v>2602</v>
      </c>
    </row>
    <row r="44" ht="18.75" customHeight="1">
      <c r="A44" s="149" t="s">
        <v>2628</v>
      </c>
      <c r="B44" s="149">
        <v>17.0</v>
      </c>
      <c r="C44" s="37" t="s">
        <v>4437</v>
      </c>
      <c r="D44" s="64" t="s">
        <v>4438</v>
      </c>
    </row>
    <row r="45" ht="18.75" customHeight="1">
      <c r="A45" s="149" t="s">
        <v>2627</v>
      </c>
      <c r="B45" s="149">
        <v>16.0</v>
      </c>
      <c r="C45" s="37" t="s">
        <v>4437</v>
      </c>
      <c r="D45" s="64" t="s">
        <v>4439</v>
      </c>
    </row>
    <row r="46" ht="18.75" customHeight="1">
      <c r="A46" s="37" t="s">
        <v>4440</v>
      </c>
      <c r="D46" s="64"/>
    </row>
    <row r="47" ht="18.75" customHeight="1">
      <c r="A47" s="74" t="s">
        <v>4441</v>
      </c>
      <c r="B47" s="74"/>
      <c r="D47" s="64"/>
    </row>
    <row r="48" ht="18.75" customHeight="1">
      <c r="A48" s="74" t="s">
        <v>4442</v>
      </c>
      <c r="B48" s="74"/>
      <c r="D48" s="64"/>
    </row>
    <row r="49" ht="18.75" customHeight="1">
      <c r="A49" s="74" t="s">
        <v>4443</v>
      </c>
      <c r="B49" s="74"/>
      <c r="D49" s="64"/>
    </row>
    <row r="50" ht="18.75" customHeight="1">
      <c r="A50" s="37" t="s">
        <v>4444</v>
      </c>
      <c r="C50" s="37" t="s">
        <v>4445</v>
      </c>
      <c r="D50" s="64" t="s">
        <v>4446</v>
      </c>
      <c r="F50" s="37" t="s">
        <v>4447</v>
      </c>
      <c r="G50" s="37" t="s">
        <v>2927</v>
      </c>
      <c r="H50" s="37">
        <v>1.0</v>
      </c>
      <c r="I50" s="37">
        <v>0.0</v>
      </c>
      <c r="J50" s="37">
        <v>1.0</v>
      </c>
      <c r="K50" s="37">
        <v>1.0</v>
      </c>
      <c r="L50" s="37" t="b">
        <v>0</v>
      </c>
      <c r="M50" s="37">
        <v>1.0</v>
      </c>
    </row>
    <row r="51" ht="18.75" customHeight="1">
      <c r="A51" s="37" t="s">
        <v>4448</v>
      </c>
      <c r="C51" s="37" t="s">
        <v>4445</v>
      </c>
      <c r="D51" s="102" t="s">
        <v>4449</v>
      </c>
      <c r="F51" s="37" t="s">
        <v>4450</v>
      </c>
      <c r="G51" s="37" t="s">
        <v>2928</v>
      </c>
      <c r="H51" s="37">
        <v>1.0</v>
      </c>
      <c r="I51" s="39">
        <v>3.0</v>
      </c>
      <c r="J51" s="39">
        <v>2.0</v>
      </c>
      <c r="K51" s="39">
        <v>3.0</v>
      </c>
      <c r="L51" s="37" t="b">
        <v>1</v>
      </c>
      <c r="M51" s="37">
        <v>2.0</v>
      </c>
    </row>
    <row r="52" ht="18.75" customHeight="1">
      <c r="A52" s="37" t="s">
        <v>4451</v>
      </c>
      <c r="C52" s="37" t="s">
        <v>4445</v>
      </c>
      <c r="D52" s="64" t="s">
        <v>4452</v>
      </c>
      <c r="F52" s="37" t="s">
        <v>4453</v>
      </c>
      <c r="G52" s="37" t="s">
        <v>4454</v>
      </c>
      <c r="H52" s="37">
        <v>3.0</v>
      </c>
      <c r="I52" s="37">
        <v>5.0</v>
      </c>
      <c r="J52" s="37">
        <v>3.0</v>
      </c>
      <c r="K52" s="37">
        <v>5.0</v>
      </c>
      <c r="L52" s="37" t="b">
        <v>1</v>
      </c>
      <c r="M52" s="37">
        <v>3.0</v>
      </c>
    </row>
    <row r="53" ht="18.75" customHeight="1">
      <c r="A53" s="37">
        <v>1.0</v>
      </c>
      <c r="C53" s="37" t="s">
        <v>4455</v>
      </c>
      <c r="D53" s="64" t="s">
        <v>4456</v>
      </c>
      <c r="N53" s="37">
        <v>1.0</v>
      </c>
    </row>
    <row r="54" ht="18.75" customHeight="1">
      <c r="A54" s="37">
        <v>2.0</v>
      </c>
      <c r="C54" s="37" t="s">
        <v>4455</v>
      </c>
      <c r="D54" s="64" t="s">
        <v>4457</v>
      </c>
      <c r="N54" s="37">
        <v>1.15</v>
      </c>
    </row>
    <row r="55" ht="18.75" customHeight="1">
      <c r="A55" s="37">
        <v>3.0</v>
      </c>
      <c r="C55" s="37" t="s">
        <v>4455</v>
      </c>
      <c r="D55" s="64" t="s">
        <v>4458</v>
      </c>
      <c r="N55" s="37">
        <v>1.3</v>
      </c>
    </row>
    <row r="56" ht="18.75" customHeight="1">
      <c r="A56" s="37">
        <v>4.0</v>
      </c>
      <c r="C56" s="37" t="s">
        <v>4455</v>
      </c>
      <c r="D56" s="64" t="s">
        <v>4459</v>
      </c>
      <c r="N56" s="37">
        <v>1.5</v>
      </c>
    </row>
    <row r="57" ht="18.75" customHeight="1">
      <c r="A57" s="39" t="s">
        <v>4460</v>
      </c>
      <c r="B57" s="39" t="s">
        <v>29</v>
      </c>
      <c r="C57" s="39" t="s">
        <v>4377</v>
      </c>
      <c r="D57" s="102" t="s">
        <v>4461</v>
      </c>
      <c r="E57" s="39" t="s">
        <v>2596</v>
      </c>
    </row>
    <row r="58" ht="18.75" customHeight="1">
      <c r="A58" s="39" t="s">
        <v>4462</v>
      </c>
      <c r="B58" s="39" t="s">
        <v>29</v>
      </c>
      <c r="C58" s="39" t="s">
        <v>4377</v>
      </c>
      <c r="D58" s="102" t="s">
        <v>4463</v>
      </c>
      <c r="E58" s="39" t="s">
        <v>2596</v>
      </c>
    </row>
    <row r="59" ht="18.75" customHeight="1">
      <c r="A59" s="39" t="s">
        <v>4464</v>
      </c>
      <c r="B59" s="39" t="s">
        <v>29</v>
      </c>
      <c r="C59" s="39" t="s">
        <v>4377</v>
      </c>
      <c r="D59" s="102" t="s">
        <v>4465</v>
      </c>
      <c r="E59" s="39" t="s">
        <v>2596</v>
      </c>
    </row>
    <row r="60" ht="18.75" customHeight="1">
      <c r="A60" s="39" t="s">
        <v>4466</v>
      </c>
      <c r="C60" s="39" t="s">
        <v>4377</v>
      </c>
      <c r="D60" s="102" t="s">
        <v>4467</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4468</v>
      </c>
      <c r="B1" s="150" t="s">
        <v>4469</v>
      </c>
      <c r="C1" s="37" t="s">
        <v>4470</v>
      </c>
      <c r="D1" s="37" t="s">
        <v>4471</v>
      </c>
      <c r="E1" s="37" t="s">
        <v>4472</v>
      </c>
      <c r="F1" s="37" t="s">
        <v>3324</v>
      </c>
      <c r="G1" s="151" t="s">
        <v>4473</v>
      </c>
      <c r="H1" s="151" t="s">
        <v>4474</v>
      </c>
      <c r="I1" s="151" t="s">
        <v>4475</v>
      </c>
      <c r="J1" s="152" t="s">
        <v>4410</v>
      </c>
      <c r="K1" s="152" t="s">
        <v>4407</v>
      </c>
      <c r="L1" s="151" t="s">
        <v>4476</v>
      </c>
      <c r="M1" s="151" t="s">
        <v>4477</v>
      </c>
      <c r="N1" s="151" t="s">
        <v>2599</v>
      </c>
      <c r="O1" s="151" t="s">
        <v>2600</v>
      </c>
      <c r="P1" s="151" t="s">
        <v>2601</v>
      </c>
      <c r="Q1" s="151" t="s">
        <v>2602</v>
      </c>
      <c r="R1" s="151" t="s">
        <v>2429</v>
      </c>
      <c r="S1" s="151" t="s">
        <v>1845</v>
      </c>
      <c r="T1" s="151" t="s">
        <v>849</v>
      </c>
      <c r="U1" s="151" t="s">
        <v>4478</v>
      </c>
      <c r="V1" s="151" t="s">
        <v>4479</v>
      </c>
      <c r="W1" s="152" t="s">
        <v>2928</v>
      </c>
      <c r="X1" s="151" t="s">
        <v>4480</v>
      </c>
      <c r="Y1" s="151" t="s">
        <v>2604</v>
      </c>
      <c r="Z1" s="151" t="s">
        <v>4481</v>
      </c>
      <c r="AA1" s="151" t="s">
        <v>2927</v>
      </c>
      <c r="AB1" s="151" t="s">
        <v>4401</v>
      </c>
      <c r="AC1" s="151" t="s">
        <v>4404</v>
      </c>
      <c r="AD1" s="151" t="s">
        <v>4412</v>
      </c>
      <c r="AE1" s="151" t="s">
        <v>3213</v>
      </c>
      <c r="AF1" s="151" t="s">
        <v>4482</v>
      </c>
      <c r="AG1" s="151" t="s">
        <v>4483</v>
      </c>
      <c r="AH1" s="151" t="s">
        <v>4484</v>
      </c>
      <c r="AI1" s="151" t="s">
        <v>4485</v>
      </c>
    </row>
    <row r="2" ht="18.75" customHeight="1">
      <c r="A2" s="37" t="s">
        <v>4486</v>
      </c>
      <c r="B2" s="153" t="s">
        <v>4487</v>
      </c>
      <c r="C2" s="37" t="s">
        <v>4488</v>
      </c>
      <c r="D2" s="39" t="s">
        <v>4489</v>
      </c>
      <c r="E2" s="39" t="s">
        <v>4490</v>
      </c>
      <c r="F2" s="39" t="s">
        <v>4491</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4492</v>
      </c>
      <c r="AG2" s="37" t="s">
        <v>29</v>
      </c>
      <c r="AH2" s="37" t="s">
        <v>29</v>
      </c>
      <c r="AI2" s="37" t="s">
        <v>29</v>
      </c>
    </row>
    <row r="3" ht="18.75" customHeight="1">
      <c r="A3" s="37" t="s">
        <v>4493</v>
      </c>
      <c r="B3" s="153" t="s">
        <v>4487</v>
      </c>
      <c r="C3" s="37" t="s">
        <v>4488</v>
      </c>
      <c r="D3" s="39" t="s">
        <v>4494</v>
      </c>
      <c r="E3" s="39" t="s">
        <v>4495</v>
      </c>
      <c r="F3" s="39" t="s">
        <v>4491</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4492</v>
      </c>
      <c r="AG3" s="37" t="s">
        <v>29</v>
      </c>
      <c r="AH3" s="37" t="s">
        <v>29</v>
      </c>
      <c r="AI3" s="37" t="s">
        <v>29</v>
      </c>
    </row>
    <row r="4" ht="18.75" customHeight="1">
      <c r="A4" s="37" t="s">
        <v>4496</v>
      </c>
      <c r="B4" s="153" t="s">
        <v>4487</v>
      </c>
      <c r="C4" s="37" t="s">
        <v>4488</v>
      </c>
      <c r="D4" s="39" t="s">
        <v>4497</v>
      </c>
      <c r="E4" s="39" t="s">
        <v>4498</v>
      </c>
      <c r="F4" s="39" t="s">
        <v>4491</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4492</v>
      </c>
      <c r="AG4" s="37" t="s">
        <v>29</v>
      </c>
      <c r="AH4" s="37" t="s">
        <v>29</v>
      </c>
      <c r="AI4" s="37" t="s">
        <v>29</v>
      </c>
    </row>
    <row r="5" ht="18.75" customHeight="1">
      <c r="A5" s="37" t="s">
        <v>4499</v>
      </c>
      <c r="B5" s="153" t="s">
        <v>4487</v>
      </c>
      <c r="C5" s="37" t="s">
        <v>4488</v>
      </c>
      <c r="D5" s="39" t="s">
        <v>4500</v>
      </c>
      <c r="E5" s="39" t="s">
        <v>4501</v>
      </c>
      <c r="F5" s="39" t="s">
        <v>4491</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4492</v>
      </c>
      <c r="AG5" s="37" t="s">
        <v>29</v>
      </c>
      <c r="AH5" s="37" t="s">
        <v>29</v>
      </c>
      <c r="AI5" s="37" t="s">
        <v>29</v>
      </c>
    </row>
    <row r="6" ht="18.75" customHeight="1">
      <c r="A6" s="37" t="s">
        <v>4502</v>
      </c>
      <c r="B6" s="153" t="s">
        <v>4487</v>
      </c>
      <c r="C6" s="37" t="s">
        <v>4488</v>
      </c>
      <c r="D6" s="39" t="s">
        <v>4503</v>
      </c>
      <c r="E6" s="39" t="s">
        <v>2602</v>
      </c>
      <c r="F6" s="39" t="s">
        <v>4491</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4492</v>
      </c>
      <c r="AG6" s="37" t="s">
        <v>29</v>
      </c>
      <c r="AH6" s="37" t="s">
        <v>29</v>
      </c>
      <c r="AI6" s="37" t="s">
        <v>29</v>
      </c>
    </row>
    <row r="7" ht="18.75" customHeight="1">
      <c r="A7" s="37" t="s">
        <v>4504</v>
      </c>
      <c r="B7" s="153" t="s">
        <v>4487</v>
      </c>
      <c r="C7" s="37" t="s">
        <v>4488</v>
      </c>
      <c r="D7" s="39" t="s">
        <v>4505</v>
      </c>
      <c r="E7" s="39" t="s">
        <v>2599</v>
      </c>
      <c r="F7" s="39" t="s">
        <v>4491</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4492</v>
      </c>
      <c r="AG7" s="37" t="s">
        <v>29</v>
      </c>
      <c r="AH7" s="37" t="s">
        <v>29</v>
      </c>
      <c r="AI7" s="37" t="s">
        <v>29</v>
      </c>
    </row>
    <row r="8" ht="18.75" customHeight="1">
      <c r="A8" s="37" t="s">
        <v>4506</v>
      </c>
      <c r="B8" s="153" t="s">
        <v>4487</v>
      </c>
      <c r="C8" s="37" t="s">
        <v>4488</v>
      </c>
      <c r="D8" s="39" t="s">
        <v>4507</v>
      </c>
      <c r="E8" s="39" t="s">
        <v>4508</v>
      </c>
      <c r="F8" s="39" t="s">
        <v>4491</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4492</v>
      </c>
      <c r="AG8" s="37" t="s">
        <v>29</v>
      </c>
      <c r="AH8" s="37" t="s">
        <v>29</v>
      </c>
      <c r="AI8" s="37" t="s">
        <v>29</v>
      </c>
    </row>
    <row r="9" ht="18.75" customHeight="1">
      <c r="A9" s="37" t="s">
        <v>4509</v>
      </c>
      <c r="B9" s="153" t="s">
        <v>4487</v>
      </c>
      <c r="C9" s="37" t="s">
        <v>4488</v>
      </c>
      <c r="D9" s="39" t="s">
        <v>4510</v>
      </c>
      <c r="E9" s="39" t="s">
        <v>4511</v>
      </c>
      <c r="F9" s="39" t="s">
        <v>4491</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4492</v>
      </c>
      <c r="AG9" s="37" t="s">
        <v>29</v>
      </c>
      <c r="AH9" s="37" t="s">
        <v>29</v>
      </c>
      <c r="AI9" s="37" t="s">
        <v>29</v>
      </c>
    </row>
    <row r="10" ht="18.75" customHeight="1">
      <c r="A10" s="37" t="s">
        <v>4512</v>
      </c>
      <c r="B10" s="153" t="s">
        <v>4487</v>
      </c>
      <c r="C10" s="37" t="s">
        <v>4488</v>
      </c>
      <c r="D10" s="39" t="s">
        <v>4513</v>
      </c>
      <c r="E10" s="39" t="s">
        <v>2601</v>
      </c>
      <c r="F10" s="39" t="s">
        <v>4491</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4492</v>
      </c>
      <c r="AG10" s="37" t="s">
        <v>29</v>
      </c>
      <c r="AH10" s="37" t="s">
        <v>29</v>
      </c>
      <c r="AI10" s="37" t="s">
        <v>29</v>
      </c>
    </row>
    <row r="11" ht="18.75" customHeight="1">
      <c r="A11" s="37" t="s">
        <v>4514</v>
      </c>
      <c r="B11" s="153" t="s">
        <v>4487</v>
      </c>
      <c r="C11" s="37" t="s">
        <v>4488</v>
      </c>
      <c r="D11" s="39" t="s">
        <v>4515</v>
      </c>
      <c r="E11" s="39" t="s">
        <v>4516</v>
      </c>
      <c r="F11" s="39" t="s">
        <v>4491</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4492</v>
      </c>
      <c r="AG11" s="37" t="s">
        <v>29</v>
      </c>
      <c r="AH11" s="37" t="s">
        <v>29</v>
      </c>
      <c r="AI11" s="37" t="s">
        <v>29</v>
      </c>
    </row>
    <row r="12" ht="18.75" customHeight="1">
      <c r="A12" s="37" t="s">
        <v>4517</v>
      </c>
      <c r="B12" s="153" t="s">
        <v>4487</v>
      </c>
      <c r="C12" s="37" t="s">
        <v>4488</v>
      </c>
      <c r="D12" s="39" t="s">
        <v>4518</v>
      </c>
      <c r="E12" s="39" t="s">
        <v>4519</v>
      </c>
      <c r="F12" s="39" t="s">
        <v>4491</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4492</v>
      </c>
      <c r="AG12" s="37" t="s">
        <v>29</v>
      </c>
      <c r="AH12" s="37" t="s">
        <v>29</v>
      </c>
      <c r="AI12" s="37" t="s">
        <v>29</v>
      </c>
    </row>
    <row r="13" ht="18.75" customHeight="1">
      <c r="A13" s="37" t="s">
        <v>4520</v>
      </c>
      <c r="B13" s="153" t="s">
        <v>4487</v>
      </c>
      <c r="C13" s="37" t="s">
        <v>4488</v>
      </c>
      <c r="D13" s="39" t="s">
        <v>4521</v>
      </c>
      <c r="E13" s="39" t="s">
        <v>4522</v>
      </c>
      <c r="F13" s="39" t="s">
        <v>4491</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4492</v>
      </c>
      <c r="AG13" s="37" t="s">
        <v>29</v>
      </c>
      <c r="AH13" s="37" t="s">
        <v>29</v>
      </c>
      <c r="AI13" s="37" t="s">
        <v>29</v>
      </c>
    </row>
    <row r="14" ht="18.75" customHeight="1">
      <c r="A14" s="37" t="s">
        <v>4523</v>
      </c>
      <c r="B14" s="153" t="s">
        <v>4487</v>
      </c>
      <c r="C14" s="37" t="s">
        <v>4488</v>
      </c>
      <c r="D14" s="39" t="s">
        <v>4524</v>
      </c>
      <c r="E14" s="39" t="s">
        <v>4525</v>
      </c>
      <c r="F14" s="39" t="s">
        <v>4491</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4492</v>
      </c>
      <c r="AG14" s="37" t="s">
        <v>29</v>
      </c>
      <c r="AH14" s="37" t="s">
        <v>29</v>
      </c>
      <c r="AI14" s="37" t="s">
        <v>29</v>
      </c>
    </row>
    <row r="15" ht="18.75" customHeight="1">
      <c r="A15" s="37" t="s">
        <v>4526</v>
      </c>
      <c r="B15" s="153" t="s">
        <v>4487</v>
      </c>
      <c r="C15" s="37" t="s">
        <v>4488</v>
      </c>
      <c r="D15" s="39" t="s">
        <v>4527</v>
      </c>
      <c r="E15" s="39" t="s">
        <v>4528</v>
      </c>
      <c r="F15" s="39" t="s">
        <v>4491</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4492</v>
      </c>
      <c r="AG15" s="37" t="s">
        <v>29</v>
      </c>
      <c r="AH15" s="37" t="s">
        <v>29</v>
      </c>
      <c r="AI15" s="37" t="s">
        <v>29</v>
      </c>
    </row>
    <row r="16" ht="18.75" customHeight="1">
      <c r="A16" s="37" t="s">
        <v>4529</v>
      </c>
      <c r="B16" s="153" t="s">
        <v>4530</v>
      </c>
      <c r="C16" s="37" t="s">
        <v>4531</v>
      </c>
      <c r="D16" s="39" t="s">
        <v>29</v>
      </c>
      <c r="E16" s="39" t="s">
        <v>4532</v>
      </c>
      <c r="F16" s="39" t="s">
        <v>4533</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4492</v>
      </c>
      <c r="AG16" s="37" t="s">
        <v>29</v>
      </c>
      <c r="AH16" s="37" t="s">
        <v>29</v>
      </c>
      <c r="AI16" s="37" t="s">
        <v>29</v>
      </c>
    </row>
    <row r="17" ht="18.75" customHeight="1">
      <c r="A17" s="37" t="s">
        <v>4534</v>
      </c>
      <c r="B17" s="153" t="s">
        <v>4530</v>
      </c>
      <c r="C17" s="37" t="s">
        <v>4531</v>
      </c>
      <c r="D17" s="39" t="s">
        <v>29</v>
      </c>
      <c r="E17" s="39" t="s">
        <v>4532</v>
      </c>
      <c r="F17" s="39" t="s">
        <v>4533</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4492</v>
      </c>
      <c r="AG17" s="37" t="s">
        <v>29</v>
      </c>
      <c r="AH17" s="37" t="s">
        <v>29</v>
      </c>
      <c r="AI17" s="37" t="s">
        <v>29</v>
      </c>
    </row>
    <row r="18" ht="18.75" customHeight="1">
      <c r="A18" s="37" t="s">
        <v>4535</v>
      </c>
      <c r="B18" s="153" t="s">
        <v>4530</v>
      </c>
      <c r="C18" s="37" t="s">
        <v>4531</v>
      </c>
      <c r="D18" s="39" t="s">
        <v>29</v>
      </c>
      <c r="E18" s="39" t="s">
        <v>4532</v>
      </c>
      <c r="F18" s="39" t="s">
        <v>4533</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4492</v>
      </c>
      <c r="AG18" s="37" t="s">
        <v>29</v>
      </c>
      <c r="AH18" s="37" t="s">
        <v>29</v>
      </c>
      <c r="AI18" s="37" t="s">
        <v>29</v>
      </c>
    </row>
    <row r="19" ht="18.75" customHeight="1">
      <c r="A19" s="37" t="s">
        <v>4536</v>
      </c>
      <c r="B19" s="153" t="s">
        <v>4537</v>
      </c>
      <c r="C19" s="37" t="s">
        <v>4538</v>
      </c>
      <c r="D19" s="37" t="s">
        <v>4539</v>
      </c>
      <c r="E19" s="37" t="s">
        <v>4540</v>
      </c>
      <c r="F19" s="37" t="s">
        <v>4541</v>
      </c>
    </row>
    <row r="20" ht="18.75" customHeight="1">
      <c r="A20" s="37" t="s">
        <v>4542</v>
      </c>
      <c r="B20" s="153" t="s">
        <v>4537</v>
      </c>
      <c r="C20" s="37" t="s">
        <v>4538</v>
      </c>
      <c r="D20" s="37" t="s">
        <v>4543</v>
      </c>
      <c r="E20" s="37" t="s">
        <v>4540</v>
      </c>
      <c r="F20" s="37" t="s">
        <v>4541</v>
      </c>
    </row>
    <row r="21" ht="18.75" customHeight="1">
      <c r="A21" s="37" t="s">
        <v>4544</v>
      </c>
      <c r="B21" s="153" t="s">
        <v>4537</v>
      </c>
      <c r="C21" s="37" t="s">
        <v>4538</v>
      </c>
      <c r="D21" s="37" t="s">
        <v>4545</v>
      </c>
      <c r="E21" s="37" t="s">
        <v>4540</v>
      </c>
      <c r="F21" s="37" t="s">
        <v>4541</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 customWidth="1" min="84" max="86" width="20.13"/>
  </cols>
  <sheetData>
    <row r="1" ht="37.5" customHeight="1">
      <c r="A1" s="64" t="s">
        <v>4546</v>
      </c>
      <c r="B1" s="64" t="s">
        <v>4547</v>
      </c>
      <c r="C1" s="64" t="s">
        <v>2620</v>
      </c>
      <c r="D1" s="102" t="s">
        <v>4548</v>
      </c>
      <c r="E1" s="64" t="s">
        <v>4549</v>
      </c>
      <c r="F1" s="64" t="s">
        <v>4550</v>
      </c>
      <c r="G1" s="64" t="s">
        <v>4551</v>
      </c>
      <c r="H1" s="154" t="s">
        <v>4376</v>
      </c>
      <c r="I1" s="154" t="s">
        <v>4379</v>
      </c>
      <c r="J1" s="154" t="s">
        <v>4381</v>
      </c>
      <c r="K1" s="154" t="s">
        <v>4383</v>
      </c>
      <c r="L1" s="154" t="s">
        <v>4385</v>
      </c>
      <c r="M1" s="155" t="s">
        <v>3199</v>
      </c>
      <c r="N1" s="155" t="s">
        <v>3200</v>
      </c>
      <c r="O1" s="155" t="s">
        <v>3201</v>
      </c>
      <c r="P1" s="156" t="s">
        <v>3202</v>
      </c>
      <c r="Q1" s="156" t="s">
        <v>3203</v>
      </c>
      <c r="R1" s="156" t="s">
        <v>3204</v>
      </c>
      <c r="S1" s="156" t="s">
        <v>3205</v>
      </c>
      <c r="T1" s="156" t="s">
        <v>3206</v>
      </c>
      <c r="U1" s="74" t="s">
        <v>3207</v>
      </c>
      <c r="V1" s="74" t="s">
        <v>3208</v>
      </c>
      <c r="W1" s="74" t="s">
        <v>3209</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4418</v>
      </c>
      <c r="AQ1" s="64" t="s">
        <v>3212</v>
      </c>
      <c r="AR1" s="64" t="s">
        <v>4404</v>
      </c>
      <c r="AS1" s="64" t="s">
        <v>4407</v>
      </c>
      <c r="AT1" s="64" t="s">
        <v>4410</v>
      </c>
      <c r="AU1" s="64" t="s">
        <v>4412</v>
      </c>
      <c r="AV1" s="64" t="s">
        <v>1845</v>
      </c>
      <c r="AW1" s="64" t="s">
        <v>3213</v>
      </c>
      <c r="AX1" s="64" t="s">
        <v>849</v>
      </c>
      <c r="AY1" s="64" t="s">
        <v>3195</v>
      </c>
      <c r="AZ1" s="64" t="s">
        <v>3657</v>
      </c>
      <c r="BA1" s="64" t="s">
        <v>4552</v>
      </c>
      <c r="BB1" s="64" t="s">
        <v>4553</v>
      </c>
      <c r="BC1" s="64" t="s">
        <v>4554</v>
      </c>
      <c r="BD1" s="64" t="s">
        <v>4555</v>
      </c>
      <c r="BE1" s="64" t="s">
        <v>4556</v>
      </c>
      <c r="BF1" s="64" t="s">
        <v>4557</v>
      </c>
      <c r="BG1" s="64" t="s">
        <v>4558</v>
      </c>
      <c r="BH1" s="64" t="s">
        <v>4559</v>
      </c>
      <c r="BI1" s="102" t="s">
        <v>4560</v>
      </c>
      <c r="BJ1" s="102" t="s">
        <v>4561</v>
      </c>
      <c r="BK1" s="102" t="s">
        <v>4562</v>
      </c>
      <c r="BL1" s="102" t="s">
        <v>4563</v>
      </c>
      <c r="BM1" s="102" t="s">
        <v>4564</v>
      </c>
      <c r="BN1" s="158" t="s">
        <v>4565</v>
      </c>
      <c r="BO1" s="158" t="s">
        <v>4566</v>
      </c>
      <c r="BP1" s="158" t="s">
        <v>4567</v>
      </c>
      <c r="BQ1" s="158" t="s">
        <v>4568</v>
      </c>
      <c r="BR1" s="159" t="s">
        <v>4569</v>
      </c>
      <c r="BS1" s="160" t="s">
        <v>4570</v>
      </c>
      <c r="BT1" s="160" t="s">
        <v>4571</v>
      </c>
      <c r="BU1" s="160" t="s">
        <v>4572</v>
      </c>
      <c r="BV1" s="160" t="s">
        <v>4573</v>
      </c>
      <c r="BW1" s="160" t="s">
        <v>4574</v>
      </c>
      <c r="BX1" s="161" t="s">
        <v>4575</v>
      </c>
      <c r="BY1" s="160" t="s">
        <v>4576</v>
      </c>
      <c r="BZ1" s="160" t="s">
        <v>4577</v>
      </c>
      <c r="CA1" s="160" t="s">
        <v>4578</v>
      </c>
      <c r="CB1" s="160" t="s">
        <v>4579</v>
      </c>
      <c r="CC1" s="160" t="s">
        <v>4580</v>
      </c>
      <c r="CD1" s="161" t="s">
        <v>4581</v>
      </c>
      <c r="CE1" s="161" t="s">
        <v>4582</v>
      </c>
      <c r="CF1" s="161" t="s">
        <v>4583</v>
      </c>
      <c r="CG1" s="161" t="s">
        <v>4584</v>
      </c>
      <c r="CH1" s="161" t="s">
        <v>4585</v>
      </c>
    </row>
    <row r="2" ht="13.5" customHeight="1">
      <c r="A2" s="37" t="s">
        <v>4586</v>
      </c>
      <c r="B2" s="37" t="s">
        <v>4587</v>
      </c>
      <c r="C2" s="64" t="s">
        <v>4588</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4589</v>
      </c>
      <c r="BA2" s="37" t="s">
        <v>4590</v>
      </c>
      <c r="BB2" s="37">
        <v>1.0</v>
      </c>
      <c r="BC2" s="41">
        <v>0.0</v>
      </c>
      <c r="BD2" s="37">
        <v>2.0</v>
      </c>
      <c r="BE2" s="37" t="s">
        <v>4586</v>
      </c>
      <c r="BF2" s="37">
        <v>60.0</v>
      </c>
      <c r="BG2" s="37">
        <v>20.0</v>
      </c>
      <c r="BH2" s="37">
        <v>1.0</v>
      </c>
      <c r="BI2" s="39" t="s">
        <v>4591</v>
      </c>
      <c r="BJ2" s="39"/>
      <c r="BK2" s="39"/>
      <c r="BL2" s="39"/>
      <c r="BM2" s="39"/>
      <c r="BN2" s="158"/>
      <c r="BO2" s="158"/>
      <c r="BP2" s="158"/>
      <c r="BQ2" s="158"/>
      <c r="BR2" s="158"/>
      <c r="BS2" s="158" t="s">
        <v>4592</v>
      </c>
      <c r="BT2" s="158">
        <v>100.0</v>
      </c>
      <c r="BU2" s="158"/>
      <c r="BV2" s="158"/>
      <c r="BW2" s="158"/>
      <c r="BX2" s="158"/>
      <c r="BY2" s="158"/>
      <c r="BZ2" s="158"/>
      <c r="CA2" s="158"/>
      <c r="CB2" s="158"/>
      <c r="CC2" s="158"/>
      <c r="CD2" s="158"/>
      <c r="CE2" s="158"/>
      <c r="CF2" s="158"/>
      <c r="CG2" s="158"/>
      <c r="CH2" s="158"/>
    </row>
    <row r="3" ht="13.5" customHeight="1">
      <c r="A3" s="37" t="s">
        <v>4593</v>
      </c>
      <c r="B3" s="37" t="s">
        <v>4594</v>
      </c>
      <c r="C3" s="64" t="s">
        <v>4595</v>
      </c>
      <c r="D3" s="37" t="s">
        <v>4586</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4589</v>
      </c>
      <c r="BA3" s="37" t="s">
        <v>4596</v>
      </c>
      <c r="BB3" s="37">
        <v>2.0</v>
      </c>
      <c r="BC3" s="37">
        <v>125.0</v>
      </c>
      <c r="BD3" s="37">
        <v>4.0</v>
      </c>
      <c r="BE3" s="37" t="s">
        <v>4593</v>
      </c>
      <c r="BF3" s="37">
        <v>57.0</v>
      </c>
      <c r="BG3" s="37">
        <v>50.0</v>
      </c>
      <c r="BH3" s="37">
        <v>2.0</v>
      </c>
      <c r="BI3" s="39" t="s">
        <v>4591</v>
      </c>
      <c r="BJ3" s="41" t="s">
        <v>4586</v>
      </c>
      <c r="BK3" s="39"/>
      <c r="BL3" s="39"/>
      <c r="BM3" s="64">
        <v>4.0</v>
      </c>
      <c r="BN3" s="158"/>
      <c r="BO3" s="158"/>
      <c r="BP3" s="158"/>
      <c r="BQ3" s="158"/>
      <c r="BR3" s="163" t="s">
        <v>4597</v>
      </c>
      <c r="BS3" s="158" t="s">
        <v>4592</v>
      </c>
      <c r="BT3" s="158">
        <v>50.0</v>
      </c>
      <c r="BU3" s="158"/>
      <c r="BV3" s="158"/>
      <c r="BW3" s="158"/>
      <c r="BX3" s="158"/>
      <c r="BY3" s="158"/>
      <c r="BZ3" s="158"/>
      <c r="CA3" s="158"/>
      <c r="CB3" s="158"/>
      <c r="CC3" s="158"/>
      <c r="CD3" s="158"/>
      <c r="CE3" s="158"/>
      <c r="CF3" s="158"/>
      <c r="CG3" s="158"/>
      <c r="CH3" s="158"/>
    </row>
    <row r="4" ht="13.5" customHeight="1">
      <c r="A4" s="37" t="s">
        <v>4598</v>
      </c>
      <c r="B4" s="37" t="s">
        <v>4599</v>
      </c>
      <c r="C4" s="64" t="s">
        <v>4600</v>
      </c>
      <c r="D4" s="37" t="s">
        <v>4593</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4589</v>
      </c>
      <c r="BA4" s="37" t="s">
        <v>4601</v>
      </c>
      <c r="BB4" s="37">
        <v>3.0</v>
      </c>
      <c r="BC4" s="37">
        <v>260.0</v>
      </c>
      <c r="BD4" s="37">
        <v>7.0</v>
      </c>
      <c r="BE4" s="37" t="s">
        <v>4598</v>
      </c>
      <c r="BF4" s="37">
        <v>66.0</v>
      </c>
      <c r="BG4" s="37">
        <v>100.0</v>
      </c>
      <c r="BH4" s="37">
        <v>3.0</v>
      </c>
      <c r="BI4" s="39" t="s">
        <v>4591</v>
      </c>
      <c r="BJ4" s="41" t="s">
        <v>4593</v>
      </c>
      <c r="BK4" s="39"/>
      <c r="BL4" s="39"/>
      <c r="BM4" s="64">
        <v>8.0</v>
      </c>
      <c r="BN4" s="158"/>
      <c r="BO4" s="158"/>
      <c r="BP4" s="158"/>
      <c r="BQ4" s="158"/>
      <c r="BR4" s="163" t="s">
        <v>4602</v>
      </c>
      <c r="BS4" s="158" t="s">
        <v>4592</v>
      </c>
      <c r="BT4" s="158">
        <v>40.0</v>
      </c>
      <c r="BU4" s="158"/>
      <c r="BV4" s="158"/>
      <c r="BW4" s="158"/>
      <c r="BX4" s="158"/>
      <c r="BY4" s="158"/>
      <c r="BZ4" s="158"/>
      <c r="CA4" s="158"/>
      <c r="CB4" s="158"/>
      <c r="CC4" s="158"/>
      <c r="CD4" s="158"/>
      <c r="CE4" s="158"/>
      <c r="CF4" s="158"/>
      <c r="CG4" s="158"/>
      <c r="CH4" s="158"/>
    </row>
    <row r="5" ht="13.5" customHeight="1">
      <c r="A5" s="37" t="s">
        <v>4603</v>
      </c>
      <c r="B5" s="37" t="s">
        <v>4604</v>
      </c>
      <c r="C5" s="64" t="s">
        <v>4605</v>
      </c>
      <c r="D5" s="37" t="s">
        <v>4598</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4589</v>
      </c>
      <c r="BA5" s="37" t="s">
        <v>4606</v>
      </c>
      <c r="BB5" s="37">
        <v>4.0</v>
      </c>
      <c r="BC5" s="37">
        <v>420.0</v>
      </c>
      <c r="BD5" s="37">
        <v>10.0</v>
      </c>
      <c r="BE5" s="37" t="s">
        <v>4603</v>
      </c>
      <c r="BF5" s="37">
        <v>78.0</v>
      </c>
      <c r="BG5" s="37">
        <v>150.0</v>
      </c>
      <c r="BH5" s="37">
        <v>7.0</v>
      </c>
      <c r="BI5" s="39" t="s">
        <v>4591</v>
      </c>
      <c r="BJ5" s="41" t="s">
        <v>4598</v>
      </c>
      <c r="BK5" s="39"/>
      <c r="BL5" s="39"/>
      <c r="BM5" s="64">
        <v>16.0</v>
      </c>
      <c r="BN5" s="158"/>
      <c r="BO5" s="158"/>
      <c r="BP5" s="158"/>
      <c r="BQ5" s="158"/>
      <c r="BR5" s="163" t="s">
        <v>4607</v>
      </c>
      <c r="BS5" s="158" t="s">
        <v>4592</v>
      </c>
      <c r="BT5" s="158">
        <v>30.0</v>
      </c>
      <c r="BU5" s="158"/>
      <c r="BV5" s="158"/>
      <c r="BW5" s="158"/>
      <c r="BX5" s="158"/>
      <c r="BY5" s="158"/>
      <c r="BZ5" s="158"/>
      <c r="CA5" s="158"/>
      <c r="CB5" s="158"/>
      <c r="CC5" s="158"/>
      <c r="CD5" s="158"/>
      <c r="CE5" s="158"/>
      <c r="CF5" s="158"/>
      <c r="CG5" s="158"/>
      <c r="CH5" s="158"/>
    </row>
    <row r="6" ht="18.75" customHeight="1">
      <c r="A6" s="37" t="s">
        <v>4608</v>
      </c>
      <c r="B6" s="37" t="s">
        <v>4587</v>
      </c>
      <c r="C6" s="64" t="s">
        <v>4609</v>
      </c>
      <c r="D6" s="39"/>
      <c r="E6" s="64">
        <v>2.0</v>
      </c>
      <c r="F6" s="102">
        <v>0.0</v>
      </c>
      <c r="G6" s="64" t="s">
        <v>3062</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4591</v>
      </c>
      <c r="BJ6" s="39"/>
      <c r="BK6" s="39"/>
      <c r="BL6" s="39"/>
      <c r="BM6" s="39"/>
      <c r="BN6" s="158" t="s">
        <v>4610</v>
      </c>
      <c r="BO6" s="158" t="s">
        <v>4611</v>
      </c>
      <c r="BP6" s="158">
        <v>0.0</v>
      </c>
      <c r="BQ6" s="158"/>
      <c r="BR6" s="163" t="s">
        <v>4586</v>
      </c>
      <c r="BS6" s="158" t="s">
        <v>4612</v>
      </c>
      <c r="BT6" s="158">
        <v>85.0</v>
      </c>
      <c r="BU6" s="158"/>
      <c r="BV6" s="158"/>
      <c r="BW6" s="158"/>
      <c r="BX6" s="158"/>
      <c r="BY6" s="158"/>
      <c r="BZ6" s="158"/>
      <c r="CA6" s="158"/>
      <c r="CB6" s="158"/>
      <c r="CC6" s="158"/>
      <c r="CD6" s="158"/>
      <c r="CE6" s="158"/>
      <c r="CF6" s="158"/>
      <c r="CG6" s="158"/>
      <c r="CH6" s="158"/>
    </row>
    <row r="7" ht="18.75" customHeight="1">
      <c r="A7" s="37" t="s">
        <v>4613</v>
      </c>
      <c r="B7" s="37" t="s">
        <v>4587</v>
      </c>
      <c r="C7" s="64" t="s">
        <v>4614</v>
      </c>
      <c r="D7" s="39"/>
      <c r="E7" s="64">
        <v>4.0</v>
      </c>
      <c r="F7" s="64"/>
      <c r="G7" s="64" t="s">
        <v>3062</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4591</v>
      </c>
      <c r="BJ7" s="39"/>
      <c r="BK7" s="39"/>
      <c r="BL7" s="39"/>
      <c r="BM7" s="39"/>
      <c r="BN7" s="158"/>
      <c r="BO7" s="158"/>
      <c r="BP7" s="158"/>
      <c r="BQ7" s="158"/>
      <c r="BR7" s="163" t="s">
        <v>4615</v>
      </c>
      <c r="BS7" s="158" t="s">
        <v>4616</v>
      </c>
      <c r="BT7" s="158">
        <v>50.0</v>
      </c>
      <c r="BU7" s="158"/>
      <c r="BV7" s="158"/>
      <c r="BW7" s="158"/>
      <c r="BX7" s="158"/>
      <c r="BY7" s="158"/>
      <c r="BZ7" s="158"/>
      <c r="CA7" s="158"/>
      <c r="CB7" s="158"/>
      <c r="CC7" s="158"/>
      <c r="CD7" s="158"/>
      <c r="CE7" s="158"/>
      <c r="CF7" s="158"/>
      <c r="CG7" s="158"/>
      <c r="CH7" s="158"/>
    </row>
    <row r="8" ht="18.75" customHeight="1">
      <c r="A8" s="37" t="s">
        <v>4617</v>
      </c>
      <c r="B8" s="37" t="s">
        <v>4587</v>
      </c>
      <c r="C8" s="64" t="s">
        <v>4618</v>
      </c>
      <c r="D8" s="39"/>
      <c r="E8" s="64">
        <v>2.0</v>
      </c>
      <c r="F8" s="102">
        <v>0.0</v>
      </c>
      <c r="G8" s="64" t="s">
        <v>3062</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4591</v>
      </c>
      <c r="BJ8" s="39"/>
      <c r="BK8" s="39"/>
      <c r="BL8" s="39"/>
      <c r="BM8" s="39"/>
      <c r="BN8" s="158"/>
      <c r="BO8" s="158"/>
      <c r="BP8" s="158"/>
      <c r="BQ8" s="158"/>
      <c r="BR8" s="163" t="s">
        <v>4608</v>
      </c>
      <c r="BS8" s="158" t="s">
        <v>4612</v>
      </c>
      <c r="BT8" s="158">
        <v>65.0</v>
      </c>
      <c r="BU8" s="158"/>
      <c r="BV8" s="158"/>
      <c r="BW8" s="158"/>
      <c r="BX8" s="158"/>
      <c r="BY8" s="158"/>
      <c r="BZ8" s="158"/>
      <c r="CA8" s="158"/>
      <c r="CB8" s="158"/>
      <c r="CC8" s="158"/>
      <c r="CD8" s="158"/>
      <c r="CE8" s="158"/>
      <c r="CF8" s="158"/>
      <c r="CG8" s="158"/>
      <c r="CH8" s="158"/>
    </row>
    <row r="9" ht="18.75" customHeight="1">
      <c r="A9" s="37" t="s">
        <v>4619</v>
      </c>
      <c r="B9" s="37" t="s">
        <v>4587</v>
      </c>
      <c r="C9" s="64" t="s">
        <v>4620</v>
      </c>
      <c r="D9" s="39"/>
      <c r="E9" s="64">
        <v>2.0</v>
      </c>
      <c r="F9" s="64"/>
      <c r="G9" s="64" t="s">
        <v>3062</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4591</v>
      </c>
      <c r="BJ9" s="39"/>
      <c r="BK9" s="39"/>
      <c r="BL9" s="39"/>
      <c r="BM9" s="39"/>
      <c r="BN9" s="158"/>
      <c r="BO9" s="158"/>
      <c r="BP9" s="158"/>
      <c r="BQ9" s="158"/>
      <c r="BR9" s="163" t="s">
        <v>4586</v>
      </c>
      <c r="BS9" s="158" t="s">
        <v>4621</v>
      </c>
      <c r="BT9" s="158">
        <v>70.0</v>
      </c>
      <c r="BU9" s="158"/>
      <c r="BV9" s="158"/>
      <c r="BW9" s="158"/>
      <c r="BX9" s="158"/>
      <c r="BY9" s="158"/>
      <c r="BZ9" s="158"/>
      <c r="CA9" s="158"/>
      <c r="CB9" s="158"/>
      <c r="CC9" s="158"/>
      <c r="CD9" s="158"/>
      <c r="CE9" s="158"/>
      <c r="CF9" s="158"/>
      <c r="CG9" s="158"/>
      <c r="CH9" s="158"/>
    </row>
    <row r="10" ht="18.75" customHeight="1">
      <c r="A10" s="37" t="s">
        <v>4622</v>
      </c>
      <c r="B10" s="37" t="s">
        <v>4587</v>
      </c>
      <c r="C10" s="64" t="s">
        <v>4623</v>
      </c>
      <c r="D10" s="39"/>
      <c r="E10" s="64">
        <v>6.0</v>
      </c>
      <c r="F10" s="64"/>
      <c r="G10" s="64" t="s">
        <v>4624</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4591</v>
      </c>
      <c r="BJ10" s="39"/>
      <c r="BK10" s="39"/>
      <c r="BL10" s="39"/>
      <c r="BM10" s="39"/>
      <c r="BN10" s="158"/>
      <c r="BO10" s="158"/>
      <c r="BP10" s="158"/>
      <c r="BQ10" s="158"/>
      <c r="BR10" s="163" t="s">
        <v>4586</v>
      </c>
      <c r="BS10" s="158" t="s">
        <v>4612</v>
      </c>
      <c r="BT10" s="158">
        <v>75.0</v>
      </c>
      <c r="BU10" s="158"/>
      <c r="BV10" s="158"/>
      <c r="BW10" s="158"/>
      <c r="BX10" s="158"/>
      <c r="BY10" s="158"/>
      <c r="BZ10" s="158"/>
      <c r="CA10" s="158"/>
      <c r="CB10" s="158"/>
      <c r="CC10" s="158"/>
      <c r="CD10" s="158"/>
      <c r="CE10" s="158"/>
      <c r="CF10" s="163">
        <v>25.0</v>
      </c>
      <c r="CG10" s="163">
        <v>1.0</v>
      </c>
      <c r="CH10" s="163">
        <v>10.0</v>
      </c>
    </row>
    <row r="11" ht="18.75" customHeight="1">
      <c r="A11" s="37" t="s">
        <v>4625</v>
      </c>
      <c r="B11" s="37" t="s">
        <v>4587</v>
      </c>
      <c r="C11" s="64"/>
      <c r="D11" s="39"/>
      <c r="E11" s="64">
        <v>6.0</v>
      </c>
      <c r="F11" s="64"/>
      <c r="G11" s="64" t="s">
        <v>4624</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4591</v>
      </c>
      <c r="BJ11" s="39"/>
      <c r="BK11" s="39"/>
      <c r="BL11" s="39"/>
      <c r="BM11" s="39"/>
      <c r="BN11" s="158"/>
      <c r="BO11" s="158"/>
      <c r="BP11" s="158"/>
      <c r="BQ11" s="158"/>
      <c r="BR11" s="163" t="s">
        <v>4626</v>
      </c>
      <c r="BS11" s="158" t="s">
        <v>4612</v>
      </c>
      <c r="BT11" s="158">
        <v>55.0</v>
      </c>
      <c r="BU11" s="158"/>
      <c r="BV11" s="158"/>
      <c r="BW11" s="158"/>
      <c r="BX11" s="158"/>
      <c r="BY11" s="158"/>
      <c r="BZ11" s="158"/>
      <c r="CA11" s="158"/>
      <c r="CB11" s="158"/>
      <c r="CC11" s="158"/>
      <c r="CD11" s="158"/>
      <c r="CE11" s="158"/>
      <c r="CF11" s="163">
        <v>25.0</v>
      </c>
      <c r="CG11" s="163">
        <v>1.0</v>
      </c>
      <c r="CH11" s="163">
        <v>10.0</v>
      </c>
    </row>
    <row r="12" ht="18.75" customHeight="1">
      <c r="A12" s="37" t="s">
        <v>4627</v>
      </c>
      <c r="B12" s="37" t="s">
        <v>4587</v>
      </c>
      <c r="C12" s="64" t="s">
        <v>4628</v>
      </c>
      <c r="D12" s="39"/>
      <c r="E12" s="64">
        <v>2.0</v>
      </c>
      <c r="F12" s="64"/>
      <c r="G12" s="64" t="s">
        <v>4624</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4591</v>
      </c>
      <c r="BJ12" s="39"/>
      <c r="BK12" s="39"/>
      <c r="BL12" s="39"/>
      <c r="BM12" s="39"/>
      <c r="BN12" s="158"/>
      <c r="BO12" s="158"/>
      <c r="BP12" s="158"/>
      <c r="BQ12" s="158"/>
      <c r="BR12" s="163" t="s">
        <v>4586</v>
      </c>
      <c r="BS12" s="158" t="s">
        <v>4612</v>
      </c>
      <c r="BT12" s="158">
        <v>80.0</v>
      </c>
      <c r="BU12" s="158"/>
      <c r="BV12" s="158"/>
      <c r="BW12" s="158"/>
      <c r="BX12" s="158"/>
      <c r="BY12" s="158"/>
      <c r="BZ12" s="158"/>
      <c r="CA12" s="158"/>
      <c r="CB12" s="158"/>
      <c r="CC12" s="158"/>
      <c r="CD12" s="158"/>
      <c r="CE12" s="158"/>
      <c r="CF12" s="158"/>
      <c r="CG12" s="158"/>
      <c r="CH12" s="158"/>
    </row>
    <row r="13" ht="18.75" customHeight="1">
      <c r="A13" s="37" t="s">
        <v>4629</v>
      </c>
      <c r="B13" s="37" t="s">
        <v>4587</v>
      </c>
      <c r="C13" s="64" t="s">
        <v>4630</v>
      </c>
      <c r="D13" s="39"/>
      <c r="E13" s="64">
        <v>2.0</v>
      </c>
      <c r="F13" s="64"/>
      <c r="G13" s="64" t="s">
        <v>3062</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4591</v>
      </c>
      <c r="BJ13" s="39"/>
      <c r="BK13" s="39"/>
      <c r="BL13" s="39"/>
      <c r="BM13" s="39"/>
      <c r="BN13" s="158"/>
      <c r="BO13" s="158"/>
      <c r="BP13" s="158"/>
      <c r="BQ13" s="158"/>
      <c r="BR13" s="163" t="s">
        <v>4631</v>
      </c>
      <c r="BS13" s="158" t="s">
        <v>4612</v>
      </c>
      <c r="BT13" s="158">
        <v>45.0</v>
      </c>
      <c r="BU13" s="158"/>
      <c r="BV13" s="158"/>
      <c r="BW13" s="158"/>
      <c r="BX13" s="158"/>
      <c r="BY13" s="158"/>
      <c r="BZ13" s="158"/>
      <c r="CA13" s="158"/>
      <c r="CB13" s="158"/>
      <c r="CC13" s="158"/>
      <c r="CD13" s="158"/>
      <c r="CE13" s="158"/>
      <c r="CF13" s="158"/>
      <c r="CG13" s="158"/>
      <c r="CH13" s="158"/>
    </row>
    <row r="14" ht="18.75" customHeight="1">
      <c r="A14" s="37" t="s">
        <v>4632</v>
      </c>
      <c r="B14" s="37" t="s">
        <v>4587</v>
      </c>
      <c r="C14" s="64" t="s">
        <v>4633</v>
      </c>
      <c r="D14" s="39"/>
      <c r="E14" s="64">
        <v>3.0</v>
      </c>
      <c r="F14" s="64"/>
      <c r="G14" s="64" t="s">
        <v>3062</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4591</v>
      </c>
      <c r="BJ14" s="39"/>
      <c r="BK14" s="39"/>
      <c r="BL14" s="39"/>
      <c r="BM14" s="39"/>
      <c r="BN14" s="158"/>
      <c r="BO14" s="158"/>
      <c r="BP14" s="158"/>
      <c r="BQ14" s="158"/>
      <c r="BR14" s="163" t="s">
        <v>4586</v>
      </c>
      <c r="BS14" s="158" t="s">
        <v>4634</v>
      </c>
      <c r="BT14" s="158">
        <v>65.0</v>
      </c>
      <c r="BU14" s="158"/>
      <c r="BV14" s="158"/>
      <c r="BW14" s="158"/>
      <c r="BX14" s="158"/>
      <c r="BY14" s="158"/>
      <c r="BZ14" s="158"/>
      <c r="CA14" s="158"/>
      <c r="CB14" s="158"/>
      <c r="CC14" s="158"/>
      <c r="CD14" s="158"/>
      <c r="CE14" s="158"/>
      <c r="CF14" s="158"/>
      <c r="CG14" s="158"/>
      <c r="CH14" s="158"/>
    </row>
    <row r="15" ht="18.75" customHeight="1">
      <c r="A15" s="37" t="s">
        <v>4635</v>
      </c>
      <c r="B15" s="37" t="s">
        <v>4587</v>
      </c>
      <c r="C15" s="64" t="s">
        <v>4636</v>
      </c>
      <c r="D15" s="39"/>
      <c r="E15" s="64">
        <v>4.0</v>
      </c>
      <c r="F15" s="64"/>
      <c r="G15" s="64" t="s">
        <v>3062</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4591</v>
      </c>
      <c r="BJ15" s="39"/>
      <c r="BK15" s="39"/>
      <c r="BL15" s="39"/>
      <c r="BM15" s="39"/>
      <c r="BN15" s="158"/>
      <c r="BO15" s="158"/>
      <c r="BP15" s="158"/>
      <c r="BQ15" s="158"/>
      <c r="BR15" s="163" t="s">
        <v>4632</v>
      </c>
      <c r="BS15" s="158" t="s">
        <v>2429</v>
      </c>
      <c r="BT15" s="158">
        <v>50.0</v>
      </c>
      <c r="BU15" s="158"/>
      <c r="BV15" s="158"/>
      <c r="BW15" s="158"/>
      <c r="BX15" s="158"/>
      <c r="BY15" s="158"/>
      <c r="BZ15" s="158"/>
      <c r="CA15" s="158"/>
      <c r="CB15" s="158"/>
      <c r="CC15" s="158"/>
      <c r="CD15" s="158"/>
      <c r="CE15" s="158"/>
      <c r="CF15" s="158"/>
      <c r="CG15" s="158"/>
      <c r="CH15" s="158"/>
    </row>
    <row r="16" ht="18.75" customHeight="1">
      <c r="A16" s="37" t="s">
        <v>4637</v>
      </c>
      <c r="B16" s="37" t="s">
        <v>4587</v>
      </c>
      <c r="C16" s="64" t="s">
        <v>4638</v>
      </c>
      <c r="D16" s="39"/>
      <c r="E16" s="64">
        <v>3.0</v>
      </c>
      <c r="F16" s="64"/>
      <c r="G16" s="64" t="s">
        <v>3062</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4591</v>
      </c>
      <c r="BJ16" s="39"/>
      <c r="BK16" s="39"/>
      <c r="BL16" s="39"/>
      <c r="BM16" s="39"/>
      <c r="BN16" s="158"/>
      <c r="BO16" s="158"/>
      <c r="BP16" s="158"/>
      <c r="BQ16" s="158"/>
      <c r="BR16" s="163" t="s">
        <v>4639</v>
      </c>
      <c r="BS16" s="158" t="s">
        <v>2429</v>
      </c>
      <c r="BT16" s="158">
        <v>45.0</v>
      </c>
      <c r="BU16" s="158"/>
      <c r="BV16" s="158"/>
      <c r="BW16" s="158"/>
      <c r="BX16" s="158"/>
      <c r="BY16" s="158"/>
      <c r="BZ16" s="158"/>
      <c r="CA16" s="158"/>
      <c r="CB16" s="158"/>
      <c r="CC16" s="158"/>
      <c r="CD16" s="158"/>
      <c r="CE16" s="158"/>
      <c r="CF16" s="158"/>
      <c r="CG16" s="158"/>
      <c r="CH16" s="158"/>
    </row>
    <row r="17" ht="18.75" customHeight="1">
      <c r="A17" s="37" t="s">
        <v>4640</v>
      </c>
      <c r="B17" s="37" t="s">
        <v>4587</v>
      </c>
      <c r="C17" s="64" t="s">
        <v>4641</v>
      </c>
      <c r="D17" s="39"/>
      <c r="E17" s="64">
        <v>8.0</v>
      </c>
      <c r="F17" s="64"/>
      <c r="G17" s="64" t="s">
        <v>4624</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4591</v>
      </c>
      <c r="BJ17" s="41"/>
      <c r="BK17" s="39"/>
      <c r="BL17" s="39"/>
      <c r="BM17" s="39"/>
      <c r="BN17" s="158"/>
      <c r="BO17" s="158"/>
      <c r="BP17" s="158"/>
      <c r="BQ17" s="158"/>
      <c r="BR17" s="163" t="s">
        <v>4642</v>
      </c>
      <c r="BS17" s="158" t="s">
        <v>2429</v>
      </c>
      <c r="BT17" s="158">
        <v>40.0</v>
      </c>
      <c r="BU17" s="158"/>
      <c r="BV17" s="158"/>
      <c r="BW17" s="158"/>
      <c r="BX17" s="158"/>
      <c r="BY17" s="158"/>
      <c r="BZ17" s="158"/>
      <c r="CA17" s="158"/>
      <c r="CB17" s="158"/>
      <c r="CC17" s="158"/>
      <c r="CD17" s="158"/>
      <c r="CE17" s="158"/>
      <c r="CF17" s="158"/>
      <c r="CG17" s="158"/>
      <c r="CH17" s="158"/>
    </row>
    <row r="18" ht="18.75" customHeight="1">
      <c r="A18" s="37" t="s">
        <v>4643</v>
      </c>
      <c r="B18" s="37" t="s">
        <v>4587</v>
      </c>
      <c r="C18" s="64" t="s">
        <v>4644</v>
      </c>
      <c r="D18" s="39"/>
      <c r="E18" s="64">
        <v>2.0</v>
      </c>
      <c r="F18" s="102">
        <v>1.0</v>
      </c>
      <c r="G18" s="64" t="s">
        <v>3062</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4591</v>
      </c>
      <c r="BJ18" s="39"/>
      <c r="BK18" s="39"/>
      <c r="BL18" s="39"/>
      <c r="BM18" s="39"/>
      <c r="BN18" s="158"/>
      <c r="BO18" s="158"/>
      <c r="BP18" s="158"/>
      <c r="BQ18" s="158"/>
      <c r="BR18" s="163" t="s">
        <v>4645</v>
      </c>
      <c r="BS18" s="158" t="s">
        <v>1179</v>
      </c>
      <c r="BT18" s="158">
        <v>50.0</v>
      </c>
      <c r="BU18" s="158"/>
      <c r="BV18" s="158"/>
      <c r="BW18" s="158"/>
      <c r="BX18" s="158"/>
      <c r="BY18" s="158"/>
      <c r="BZ18" s="158"/>
      <c r="CA18" s="158"/>
      <c r="CB18" s="158"/>
      <c r="CC18" s="158"/>
      <c r="CD18" s="158"/>
      <c r="CE18" s="158"/>
      <c r="CF18" s="158"/>
      <c r="CG18" s="158"/>
      <c r="CH18" s="158"/>
    </row>
    <row r="19" ht="17.25" customHeight="1">
      <c r="A19" s="37" t="s">
        <v>4645</v>
      </c>
      <c r="B19" s="37" t="s">
        <v>4587</v>
      </c>
      <c r="C19" s="64" t="s">
        <v>4646</v>
      </c>
      <c r="D19" s="39"/>
      <c r="E19" s="64">
        <v>4.0</v>
      </c>
      <c r="F19" s="64"/>
      <c r="G19" s="64" t="s">
        <v>4624</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4591</v>
      </c>
      <c r="BJ19" s="39"/>
      <c r="BK19" s="39"/>
      <c r="BL19" s="39"/>
      <c r="BM19" s="39"/>
      <c r="BN19" s="158"/>
      <c r="BO19" s="158"/>
      <c r="BP19" s="158"/>
      <c r="BQ19" s="158"/>
      <c r="BR19" s="163" t="s">
        <v>4647</v>
      </c>
      <c r="BS19" s="158" t="s">
        <v>1179</v>
      </c>
      <c r="BT19" s="158">
        <v>65.0</v>
      </c>
      <c r="BU19" s="158"/>
      <c r="BV19" s="158"/>
      <c r="BW19" s="158"/>
      <c r="BX19" s="158"/>
      <c r="BY19" s="158"/>
      <c r="BZ19" s="158"/>
      <c r="CA19" s="158"/>
      <c r="CB19" s="158"/>
      <c r="CC19" s="158"/>
      <c r="CD19" s="158"/>
      <c r="CE19" s="158"/>
      <c r="CF19" s="158"/>
      <c r="CG19" s="158"/>
      <c r="CH19" s="158"/>
    </row>
    <row r="20" ht="18.75" customHeight="1">
      <c r="A20" s="37" t="s">
        <v>4648</v>
      </c>
      <c r="B20" s="37" t="s">
        <v>4587</v>
      </c>
      <c r="C20" s="64" t="s">
        <v>4649</v>
      </c>
      <c r="D20" s="39"/>
      <c r="E20" s="64">
        <v>8.0</v>
      </c>
      <c r="F20" s="102">
        <v>1.0</v>
      </c>
      <c r="G20" s="64" t="s">
        <v>4624</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4591</v>
      </c>
      <c r="BJ20" s="39"/>
      <c r="BK20" s="39"/>
      <c r="BL20" s="39"/>
      <c r="BM20" s="39"/>
      <c r="BN20" s="158"/>
      <c r="BO20" s="158"/>
      <c r="BP20" s="158"/>
      <c r="BQ20" s="158"/>
      <c r="BR20" s="163" t="s">
        <v>4650</v>
      </c>
      <c r="BS20" s="158" t="s">
        <v>1179</v>
      </c>
      <c r="BT20" s="158">
        <v>45.0</v>
      </c>
      <c r="BU20" s="158"/>
      <c r="BV20" s="158"/>
      <c r="BW20" s="158"/>
      <c r="BX20" s="158"/>
      <c r="BY20" s="158"/>
      <c r="BZ20" s="158"/>
      <c r="CA20" s="158"/>
      <c r="CB20" s="158"/>
      <c r="CC20" s="158"/>
      <c r="CD20" s="158"/>
      <c r="CE20" s="158"/>
      <c r="CF20" s="158"/>
      <c r="CG20" s="158"/>
      <c r="CH20" s="158"/>
    </row>
    <row r="21" ht="18.75" customHeight="1">
      <c r="A21" s="37" t="s">
        <v>4651</v>
      </c>
      <c r="B21" s="37" t="s">
        <v>4587</v>
      </c>
      <c r="C21" s="64" t="s">
        <v>4652</v>
      </c>
      <c r="D21" s="39"/>
      <c r="E21" s="64">
        <v>16.0</v>
      </c>
      <c r="F21" s="64"/>
      <c r="G21" s="64" t="s">
        <v>3062</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4591</v>
      </c>
      <c r="BJ21" s="39"/>
      <c r="BK21" s="39"/>
      <c r="BL21" s="39"/>
      <c r="BM21" s="39"/>
      <c r="BN21" s="158"/>
      <c r="BO21" s="158"/>
      <c r="BP21" s="158"/>
      <c r="BQ21" s="158"/>
      <c r="BR21" s="163" t="s">
        <v>4653</v>
      </c>
      <c r="BS21" s="158" t="s">
        <v>1179</v>
      </c>
      <c r="BT21" s="158">
        <v>30.0</v>
      </c>
      <c r="BU21" s="158"/>
      <c r="BV21" s="158"/>
      <c r="BW21" s="158"/>
      <c r="BX21" s="158"/>
      <c r="BY21" s="158"/>
      <c r="BZ21" s="158"/>
      <c r="CA21" s="158"/>
      <c r="CB21" s="158"/>
      <c r="CC21" s="158"/>
      <c r="CD21" s="158"/>
      <c r="CE21" s="158"/>
      <c r="CF21" s="158"/>
      <c r="CG21" s="158"/>
      <c r="CH21" s="158"/>
    </row>
    <row r="22" ht="18.75" customHeight="1">
      <c r="A22" s="37" t="s">
        <v>4654</v>
      </c>
      <c r="B22" s="37" t="s">
        <v>54</v>
      </c>
      <c r="C22" s="64" t="s">
        <v>4655</v>
      </c>
      <c r="D22" s="41"/>
      <c r="E22" s="64">
        <v>2.0</v>
      </c>
      <c r="F22" s="64"/>
      <c r="G22" s="64" t="s">
        <v>4624</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4656</v>
      </c>
      <c r="BJ22" s="41"/>
      <c r="BK22" s="41"/>
      <c r="BL22" s="41"/>
      <c r="BM22" s="41"/>
      <c r="BN22" s="158"/>
      <c r="BO22" s="158"/>
      <c r="BP22" s="158"/>
      <c r="BQ22" s="158"/>
      <c r="BR22" s="86" t="s">
        <v>4586</v>
      </c>
      <c r="BS22" s="158" t="s">
        <v>4419</v>
      </c>
      <c r="BT22" s="158">
        <v>100.0</v>
      </c>
      <c r="BU22" s="158"/>
      <c r="BV22" s="158"/>
      <c r="BW22" s="158"/>
      <c r="BX22" s="158"/>
      <c r="BY22" s="158"/>
      <c r="BZ22" s="158"/>
      <c r="CA22" s="158"/>
      <c r="CB22" s="158"/>
      <c r="CC22" s="158"/>
      <c r="CD22" s="158"/>
      <c r="CE22" s="158"/>
      <c r="CF22" s="158"/>
      <c r="CG22" s="158"/>
      <c r="CH22" s="158"/>
    </row>
    <row r="23" ht="18.75" customHeight="1">
      <c r="A23" s="37" t="s">
        <v>4657</v>
      </c>
      <c r="B23" s="37" t="s">
        <v>56</v>
      </c>
      <c r="C23" s="64" t="s">
        <v>4658</v>
      </c>
      <c r="D23" s="41"/>
      <c r="E23" s="64">
        <v>2.0</v>
      </c>
      <c r="F23" s="64"/>
      <c r="G23" s="64" t="s">
        <v>4624</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4656</v>
      </c>
      <c r="BJ23" s="41"/>
      <c r="BK23" s="41"/>
      <c r="BL23" s="41"/>
      <c r="BM23" s="41"/>
      <c r="BN23" s="158"/>
      <c r="BO23" s="158"/>
      <c r="BP23" s="158"/>
      <c r="BQ23" s="158"/>
      <c r="BR23" s="163"/>
      <c r="BS23" s="158" t="s">
        <v>4621</v>
      </c>
      <c r="BT23" s="158">
        <v>95.0</v>
      </c>
      <c r="BU23" s="158"/>
      <c r="BV23" s="158"/>
      <c r="BW23" s="158"/>
      <c r="BX23" s="158"/>
      <c r="BY23" s="158"/>
      <c r="BZ23" s="158"/>
      <c r="CA23" s="158"/>
      <c r="CB23" s="158"/>
      <c r="CC23" s="158"/>
      <c r="CD23" s="158"/>
      <c r="CE23" s="158"/>
      <c r="CF23" s="158"/>
      <c r="CG23" s="158"/>
      <c r="CH23" s="158"/>
    </row>
    <row r="24" ht="18.75" customHeight="1">
      <c r="A24" s="37" t="s">
        <v>4659</v>
      </c>
      <c r="B24" s="37" t="s">
        <v>3237</v>
      </c>
      <c r="C24" s="64" t="s">
        <v>4660</v>
      </c>
      <c r="D24" s="41"/>
      <c r="E24" s="64">
        <v>2.0</v>
      </c>
      <c r="F24" s="64"/>
      <c r="G24" s="64" t="s">
        <v>4624</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4656</v>
      </c>
      <c r="BJ24" s="41"/>
      <c r="BK24" s="41"/>
      <c r="BL24" s="41"/>
      <c r="BM24" s="41"/>
      <c r="BN24" s="158"/>
      <c r="BO24" s="158"/>
      <c r="BP24" s="158"/>
      <c r="BQ24" s="158"/>
      <c r="BR24" s="163"/>
      <c r="BS24" s="158" t="s">
        <v>4621</v>
      </c>
      <c r="BT24" s="158">
        <v>90.0</v>
      </c>
      <c r="BU24" s="158"/>
      <c r="BV24" s="158"/>
      <c r="BW24" s="158"/>
      <c r="BX24" s="158"/>
      <c r="BY24" s="158"/>
      <c r="BZ24" s="158"/>
      <c r="CA24" s="158"/>
      <c r="CB24" s="158"/>
      <c r="CC24" s="158"/>
      <c r="CD24" s="158"/>
      <c r="CE24" s="158"/>
      <c r="CF24" s="158"/>
      <c r="CG24" s="158"/>
      <c r="CH24" s="158"/>
    </row>
    <row r="25" ht="18.75" customHeight="1">
      <c r="A25" s="37" t="s">
        <v>4661</v>
      </c>
      <c r="B25" s="37" t="s">
        <v>3240</v>
      </c>
      <c r="C25" s="64" t="s">
        <v>4662</v>
      </c>
      <c r="D25" s="41"/>
      <c r="E25" s="64">
        <v>2.0</v>
      </c>
      <c r="F25" s="64"/>
      <c r="G25" s="64" t="s">
        <v>4624</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4656</v>
      </c>
      <c r="BJ25" s="41"/>
      <c r="BK25" s="41"/>
      <c r="BL25" s="41"/>
      <c r="BM25" s="41"/>
      <c r="BN25" s="158"/>
      <c r="BO25" s="158"/>
      <c r="BP25" s="158"/>
      <c r="BQ25" s="158"/>
      <c r="BR25" s="163"/>
      <c r="BS25" s="158" t="s">
        <v>4621</v>
      </c>
      <c r="BT25" s="158">
        <v>75.0</v>
      </c>
      <c r="BU25" s="158"/>
      <c r="BV25" s="158"/>
      <c r="BW25" s="158"/>
      <c r="BX25" s="158"/>
      <c r="BY25" s="158"/>
      <c r="BZ25" s="158"/>
      <c r="CA25" s="158"/>
      <c r="CB25" s="158"/>
      <c r="CC25" s="158"/>
      <c r="CD25" s="158"/>
      <c r="CE25" s="158"/>
      <c r="CF25" s="158"/>
      <c r="CG25" s="158"/>
      <c r="CH25" s="158"/>
    </row>
    <row r="26" ht="18.75" customHeight="1">
      <c r="A26" s="37" t="s">
        <v>4663</v>
      </c>
      <c r="B26" s="37" t="s">
        <v>4664</v>
      </c>
      <c r="C26" s="102" t="s">
        <v>4665</v>
      </c>
      <c r="D26" s="39" t="s">
        <v>4666</v>
      </c>
      <c r="E26" s="64">
        <v>2.0</v>
      </c>
      <c r="F26" s="64"/>
      <c r="G26" s="64" t="s">
        <v>4624</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4591</v>
      </c>
      <c r="BJ26" s="39" t="s">
        <v>4593</v>
      </c>
      <c r="BK26" s="39" t="s">
        <v>2626</v>
      </c>
      <c r="BL26" s="39">
        <v>2.0</v>
      </c>
      <c r="BM26" s="39">
        <f>E31</f>
        <v>1</v>
      </c>
      <c r="BN26" s="158"/>
      <c r="BO26" s="158"/>
      <c r="BP26" s="158"/>
      <c r="BQ26" s="158"/>
      <c r="BR26" s="163" t="s">
        <v>4667</v>
      </c>
      <c r="BS26" s="158" t="s">
        <v>4668</v>
      </c>
      <c r="BT26" s="158">
        <v>45.0</v>
      </c>
      <c r="BU26" s="158"/>
      <c r="BV26" s="158"/>
      <c r="BW26" s="158"/>
      <c r="BX26" s="158"/>
      <c r="BY26" s="158"/>
      <c r="BZ26" s="158"/>
      <c r="CA26" s="158"/>
      <c r="CB26" s="158"/>
      <c r="CC26" s="158"/>
      <c r="CD26" s="158"/>
      <c r="CE26" s="158"/>
      <c r="CF26" s="158"/>
      <c r="CG26" s="158"/>
      <c r="CH26" s="158"/>
    </row>
    <row r="27" ht="18.75" customHeight="1">
      <c r="A27" s="37" t="s">
        <v>4615</v>
      </c>
      <c r="B27" s="37" t="s">
        <v>4587</v>
      </c>
      <c r="C27" s="64" t="s">
        <v>4669</v>
      </c>
      <c r="D27" s="39"/>
      <c r="E27" s="64">
        <v>2.0</v>
      </c>
      <c r="F27" s="64"/>
      <c r="G27" s="64" t="s">
        <v>4624</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4591</v>
      </c>
      <c r="BJ27" s="39"/>
      <c r="BK27" s="39"/>
      <c r="BL27" s="39"/>
      <c r="BM27" s="39"/>
      <c r="BN27" s="158"/>
      <c r="BO27" s="158"/>
      <c r="BP27" s="158"/>
      <c r="BQ27" s="158"/>
      <c r="BR27" s="163" t="s">
        <v>4586</v>
      </c>
      <c r="BS27" s="158" t="s">
        <v>4670</v>
      </c>
      <c r="BT27" s="158">
        <v>75.0</v>
      </c>
      <c r="BU27" s="158"/>
      <c r="BV27" s="158"/>
      <c r="BW27" s="158"/>
      <c r="BX27" s="158"/>
      <c r="BY27" s="158"/>
      <c r="BZ27" s="158"/>
      <c r="CA27" s="158"/>
      <c r="CB27" s="158"/>
      <c r="CC27" s="158"/>
      <c r="CD27" s="158"/>
      <c r="CE27" s="158"/>
      <c r="CF27" s="158"/>
      <c r="CG27" s="158"/>
      <c r="CH27" s="158"/>
    </row>
    <row r="28" ht="18.75" customHeight="1">
      <c r="A28" s="37" t="s">
        <v>4671</v>
      </c>
      <c r="B28" s="37" t="s">
        <v>4587</v>
      </c>
      <c r="C28" s="64" t="s">
        <v>4672</v>
      </c>
      <c r="D28" s="39"/>
      <c r="E28" s="64">
        <v>2.0</v>
      </c>
      <c r="F28" s="64"/>
      <c r="G28" s="64" t="s">
        <v>4624</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4591</v>
      </c>
      <c r="BJ28" s="39"/>
      <c r="BK28" s="39"/>
      <c r="BL28" s="39"/>
      <c r="BM28" s="39"/>
      <c r="BN28" s="158"/>
      <c r="BO28" s="158"/>
      <c r="BP28" s="158"/>
      <c r="BQ28" s="158"/>
      <c r="BR28" s="163" t="s">
        <v>4586</v>
      </c>
      <c r="BS28" s="158" t="s">
        <v>4668</v>
      </c>
      <c r="BT28" s="158">
        <v>80.0</v>
      </c>
      <c r="BU28" s="158"/>
      <c r="BV28" s="158"/>
      <c r="BW28" s="158"/>
      <c r="BX28" s="158"/>
      <c r="BY28" s="158"/>
      <c r="BZ28" s="158"/>
      <c r="CA28" s="158"/>
      <c r="CB28" s="158"/>
      <c r="CC28" s="158"/>
      <c r="CD28" s="158"/>
      <c r="CE28" s="158"/>
      <c r="CF28" s="158"/>
      <c r="CG28" s="158"/>
      <c r="CH28" s="158"/>
    </row>
    <row r="29" ht="18.75" customHeight="1">
      <c r="A29" s="37" t="s">
        <v>4673</v>
      </c>
      <c r="B29" s="37" t="s">
        <v>4587</v>
      </c>
      <c r="C29" s="64" t="s">
        <v>4674</v>
      </c>
      <c r="D29" s="39"/>
      <c r="E29" s="64">
        <v>2.0</v>
      </c>
      <c r="F29" s="64"/>
      <c r="G29" s="64" t="s">
        <v>4624</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4591</v>
      </c>
      <c r="BJ29" s="39"/>
      <c r="BK29" s="39"/>
      <c r="BL29" s="39"/>
      <c r="BM29" s="39"/>
      <c r="BN29" s="158"/>
      <c r="BO29" s="158"/>
      <c r="BP29" s="158"/>
      <c r="BQ29" s="158"/>
      <c r="BR29" s="163" t="s">
        <v>4593</v>
      </c>
      <c r="BS29" s="158" t="s">
        <v>4675</v>
      </c>
      <c r="BT29" s="158">
        <v>50.0</v>
      </c>
      <c r="BU29" s="158"/>
      <c r="BV29" s="158"/>
      <c r="BW29" s="158"/>
      <c r="BX29" s="158"/>
      <c r="BY29" s="158"/>
      <c r="BZ29" s="158"/>
      <c r="CA29" s="158"/>
      <c r="CB29" s="158"/>
      <c r="CC29" s="158"/>
      <c r="CD29" s="158"/>
      <c r="CE29" s="158"/>
      <c r="CF29" s="158"/>
      <c r="CG29" s="158"/>
      <c r="CH29" s="158"/>
    </row>
    <row r="30" ht="18.75" customHeight="1">
      <c r="A30" s="37" t="s">
        <v>4676</v>
      </c>
      <c r="B30" s="37" t="s">
        <v>4677</v>
      </c>
      <c r="C30" s="64" t="s">
        <v>4678</v>
      </c>
      <c r="D30" s="39"/>
      <c r="E30" s="64">
        <v>2.0</v>
      </c>
      <c r="F30" s="64"/>
      <c r="G30" s="64" t="s">
        <v>4624</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4591</v>
      </c>
      <c r="BJ30" s="39"/>
      <c r="BK30" s="39"/>
      <c r="BL30" s="39"/>
      <c r="BM30" s="39"/>
      <c r="BN30" s="158"/>
      <c r="BO30" s="158"/>
      <c r="BP30" s="158"/>
      <c r="BQ30" s="158"/>
      <c r="BR30" s="163"/>
      <c r="BS30" s="158" t="s">
        <v>4675</v>
      </c>
      <c r="BT30" s="158">
        <v>45.0</v>
      </c>
      <c r="BU30" s="158"/>
      <c r="BV30" s="158"/>
      <c r="BW30" s="158"/>
      <c r="BX30" s="158"/>
      <c r="BY30" s="158"/>
      <c r="BZ30" s="158"/>
      <c r="CA30" s="158"/>
      <c r="CB30" s="158"/>
      <c r="CC30" s="158"/>
      <c r="CD30" s="158"/>
      <c r="CE30" s="158"/>
      <c r="CF30" s="158"/>
      <c r="CG30" s="158"/>
      <c r="CH30" s="158"/>
    </row>
    <row r="31" ht="18.75" customHeight="1">
      <c r="A31" s="39" t="s">
        <v>4666</v>
      </c>
      <c r="B31" s="39" t="s">
        <v>4664</v>
      </c>
      <c r="C31" s="102" t="s">
        <v>4679</v>
      </c>
      <c r="E31" s="102">
        <v>1.0</v>
      </c>
      <c r="F31" s="64"/>
      <c r="G31" s="102" t="s">
        <v>4624</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4591</v>
      </c>
      <c r="BJ31" s="39" t="s">
        <v>4586</v>
      </c>
      <c r="BK31" s="39" t="s">
        <v>2626</v>
      </c>
      <c r="BL31" s="39">
        <v>1.0</v>
      </c>
      <c r="BN31" s="158"/>
      <c r="BO31" s="158"/>
      <c r="BP31" s="158"/>
      <c r="BQ31" s="158"/>
      <c r="BR31" s="163" t="s">
        <v>4680</v>
      </c>
      <c r="BS31" s="158" t="s">
        <v>4668</v>
      </c>
      <c r="BT31" s="158">
        <v>70.0</v>
      </c>
      <c r="BU31" s="158"/>
      <c r="BV31" s="158"/>
      <c r="BW31" s="158"/>
      <c r="BX31" s="158"/>
      <c r="BY31" s="158"/>
      <c r="BZ31" s="158"/>
      <c r="CA31" s="158"/>
      <c r="CB31" s="158"/>
      <c r="CC31" s="158"/>
      <c r="CD31" s="158"/>
      <c r="CE31" s="158"/>
      <c r="CF31" s="158"/>
      <c r="CG31" s="158"/>
      <c r="CH31" s="158"/>
    </row>
    <row r="32" ht="18.75" customHeight="1">
      <c r="A32" s="39" t="s">
        <v>4681</v>
      </c>
      <c r="B32" s="39" t="s">
        <v>4587</v>
      </c>
      <c r="C32" s="102" t="s">
        <v>4682</v>
      </c>
      <c r="E32" s="102">
        <v>3.0</v>
      </c>
      <c r="F32" s="64"/>
      <c r="G32" s="102" t="s">
        <v>3062</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4591</v>
      </c>
      <c r="BN32" s="158"/>
      <c r="BO32" s="158"/>
      <c r="BP32" s="158"/>
      <c r="BQ32" s="158"/>
      <c r="BR32" s="163" t="s">
        <v>4586</v>
      </c>
      <c r="BS32" s="158" t="s">
        <v>4683</v>
      </c>
      <c r="BT32" s="158">
        <v>70.0</v>
      </c>
      <c r="BU32" s="158"/>
      <c r="BV32" s="158"/>
      <c r="BW32" s="158"/>
      <c r="BX32" s="158"/>
      <c r="BY32" s="158"/>
      <c r="BZ32" s="158"/>
      <c r="CA32" s="158"/>
      <c r="CB32" s="158"/>
      <c r="CC32" s="158"/>
      <c r="CD32" s="158"/>
      <c r="CE32" s="158"/>
      <c r="CF32" s="158"/>
      <c r="CG32" s="158"/>
      <c r="CH32" s="158"/>
    </row>
    <row r="33" ht="18.75" customHeight="1">
      <c r="A33" s="39" t="s">
        <v>4684</v>
      </c>
      <c r="B33" s="39" t="s">
        <v>4587</v>
      </c>
      <c r="C33" s="102" t="s">
        <v>4685</v>
      </c>
      <c r="E33" s="102">
        <v>6.0</v>
      </c>
      <c r="F33" s="64"/>
      <c r="G33" s="102" t="s">
        <v>3062</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4591</v>
      </c>
      <c r="BN33" s="158"/>
      <c r="BO33" s="158"/>
      <c r="BP33" s="158"/>
      <c r="BQ33" s="158"/>
      <c r="BR33" s="163" t="s">
        <v>4686</v>
      </c>
      <c r="BS33" s="158" t="s">
        <v>4683</v>
      </c>
      <c r="BT33" s="158">
        <v>35.0</v>
      </c>
      <c r="BU33" s="158"/>
      <c r="BV33" s="158"/>
      <c r="BW33" s="158"/>
      <c r="BX33" s="158"/>
      <c r="BY33" s="158"/>
      <c r="BZ33" s="158"/>
      <c r="CA33" s="158"/>
      <c r="CB33" s="158"/>
      <c r="CC33" s="158"/>
      <c r="CD33" s="158"/>
      <c r="CE33" s="158"/>
      <c r="CF33" s="158"/>
      <c r="CG33" s="158"/>
      <c r="CH33" s="158"/>
    </row>
    <row r="34">
      <c r="A34" s="39" t="s">
        <v>4687</v>
      </c>
      <c r="B34" s="39" t="s">
        <v>4587</v>
      </c>
      <c r="C34" s="102" t="s">
        <v>4688</v>
      </c>
      <c r="E34" s="102">
        <v>4.0</v>
      </c>
      <c r="F34" s="102">
        <v>1.0</v>
      </c>
      <c r="G34" s="102" t="s">
        <v>3062</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4591</v>
      </c>
      <c r="BN34" s="158" t="s">
        <v>2627</v>
      </c>
      <c r="BO34" s="158" t="s">
        <v>4689</v>
      </c>
      <c r="BP34" s="158">
        <v>0.0</v>
      </c>
      <c r="BQ34" s="158"/>
      <c r="BR34" s="163" t="s">
        <v>4690</v>
      </c>
      <c r="BS34" s="158" t="s">
        <v>2627</v>
      </c>
      <c r="BT34" s="158">
        <v>30.0</v>
      </c>
      <c r="BU34" s="158"/>
      <c r="BV34" s="158"/>
      <c r="BW34" s="158"/>
      <c r="BX34" s="158"/>
      <c r="BY34" s="158"/>
      <c r="BZ34" s="158"/>
      <c r="CA34" s="158"/>
      <c r="CB34" s="158"/>
      <c r="CC34" s="158"/>
      <c r="CD34" s="158"/>
      <c r="CE34" s="158"/>
      <c r="CF34" s="158"/>
      <c r="CG34" s="158"/>
      <c r="CH34" s="158"/>
    </row>
    <row r="35" ht="54.0" customHeight="1">
      <c r="A35" s="39" t="s">
        <v>4691</v>
      </c>
      <c r="B35" s="39" t="s">
        <v>4587</v>
      </c>
      <c r="C35" s="102" t="s">
        <v>4692</v>
      </c>
      <c r="E35" s="102">
        <v>3.0</v>
      </c>
      <c r="F35" s="102">
        <v>0.0</v>
      </c>
      <c r="G35" s="102" t="s">
        <v>3062</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4591</v>
      </c>
      <c r="BN35" s="158" t="s">
        <v>4610</v>
      </c>
      <c r="BO35" s="158" t="s">
        <v>4689</v>
      </c>
      <c r="BP35" s="158">
        <v>0.0</v>
      </c>
      <c r="BQ35" s="158"/>
      <c r="BR35" s="163" t="s">
        <v>4693</v>
      </c>
      <c r="BS35" s="158" t="s">
        <v>4694</v>
      </c>
      <c r="BT35" s="158">
        <v>30.0</v>
      </c>
      <c r="BU35" s="158"/>
      <c r="BV35" s="158"/>
      <c r="BW35" s="158"/>
      <c r="BX35" s="158"/>
      <c r="BY35" s="158"/>
      <c r="BZ35" s="158"/>
      <c r="CA35" s="158"/>
      <c r="CB35" s="158"/>
      <c r="CC35" s="158"/>
      <c r="CD35" s="158"/>
      <c r="CE35" s="158"/>
      <c r="CF35" s="158"/>
      <c r="CG35" s="158"/>
      <c r="CH35" s="158"/>
    </row>
    <row r="36" ht="54.0" customHeight="1">
      <c r="A36" s="39" t="s">
        <v>4647</v>
      </c>
      <c r="B36" s="39" t="s">
        <v>4587</v>
      </c>
      <c r="C36" s="102" t="s">
        <v>4695</v>
      </c>
      <c r="E36" s="102">
        <v>2.0</v>
      </c>
      <c r="F36" s="102">
        <v>0.0</v>
      </c>
      <c r="G36" s="102" t="s">
        <v>3062</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4591</v>
      </c>
      <c r="BQ36" s="158">
        <v>2.0</v>
      </c>
      <c r="BR36" s="163" t="s">
        <v>4586</v>
      </c>
      <c r="BS36" s="158" t="s">
        <v>1845</v>
      </c>
      <c r="BT36" s="158">
        <v>90.0</v>
      </c>
      <c r="BU36" s="158"/>
      <c r="BV36" s="158"/>
      <c r="BW36" s="158"/>
      <c r="BX36" s="158"/>
      <c r="BY36" s="158"/>
      <c r="BZ36" s="158"/>
      <c r="CA36" s="158"/>
      <c r="CB36" s="158"/>
      <c r="CC36" s="158"/>
      <c r="CD36" s="158"/>
      <c r="CE36" s="158"/>
      <c r="CF36" s="158"/>
      <c r="CG36" s="158"/>
      <c r="CH36" s="158"/>
    </row>
    <row r="37" ht="54.0" customHeight="1">
      <c r="A37" s="39" t="s">
        <v>4696</v>
      </c>
      <c r="B37" s="39" t="s">
        <v>29</v>
      </c>
      <c r="C37" s="102" t="s">
        <v>4697</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4591</v>
      </c>
      <c r="BN37" s="39" t="s">
        <v>2628</v>
      </c>
      <c r="BO37" s="39" t="s">
        <v>4689</v>
      </c>
      <c r="BP37" s="39">
        <v>0.0</v>
      </c>
      <c r="BQ37" s="158"/>
      <c r="BR37" s="163" t="s">
        <v>4698</v>
      </c>
      <c r="BS37" s="158" t="s">
        <v>1845</v>
      </c>
      <c r="BT37" s="158">
        <v>40.0</v>
      </c>
      <c r="BU37" s="158"/>
      <c r="BV37" s="158"/>
      <c r="BW37" s="158"/>
      <c r="BX37" s="158"/>
      <c r="BY37" s="158"/>
      <c r="BZ37" s="158"/>
      <c r="CA37" s="158"/>
      <c r="CB37" s="158"/>
      <c r="CC37" s="158"/>
      <c r="CD37" s="158"/>
      <c r="CE37" s="158"/>
      <c r="CF37" s="158"/>
      <c r="CG37" s="158"/>
      <c r="CH37" s="158"/>
    </row>
    <row r="38" ht="18.75" customHeight="1">
      <c r="A38" s="39" t="s">
        <v>4699</v>
      </c>
      <c r="B38" s="39" t="s">
        <v>4587</v>
      </c>
      <c r="C38" s="102" t="s">
        <v>4700</v>
      </c>
      <c r="E38" s="102">
        <v>3.0</v>
      </c>
      <c r="F38" s="102">
        <v>1.0</v>
      </c>
      <c r="G38" s="102" t="s">
        <v>3062</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4701</v>
      </c>
      <c r="BI38" s="39" t="s">
        <v>4591</v>
      </c>
      <c r="BR38" s="39" t="s">
        <v>4635</v>
      </c>
      <c r="BS38" s="126" t="s">
        <v>4702</v>
      </c>
      <c r="BT38" s="126">
        <v>35.0</v>
      </c>
      <c r="BU38" s="126" t="s">
        <v>4703</v>
      </c>
      <c r="BV38" s="126">
        <v>10.0</v>
      </c>
      <c r="BW38" s="126">
        <v>0.0</v>
      </c>
      <c r="BX38" s="126"/>
      <c r="BY38" s="126" t="s">
        <v>29</v>
      </c>
      <c r="BZ38" s="126" t="s">
        <v>29</v>
      </c>
      <c r="CA38" s="126" t="s">
        <v>29</v>
      </c>
      <c r="CB38" s="126" t="s">
        <v>4704</v>
      </c>
      <c r="CC38" s="126">
        <v>25.0</v>
      </c>
      <c r="CD38" s="126">
        <v>0.0</v>
      </c>
      <c r="CE38" s="126"/>
      <c r="CF38" s="126"/>
      <c r="CG38" s="126"/>
      <c r="CH38" s="126"/>
    </row>
    <row r="39" ht="18.75" customHeight="1">
      <c r="A39" s="39" t="s">
        <v>4705</v>
      </c>
      <c r="B39" s="39" t="s">
        <v>4587</v>
      </c>
      <c r="C39" s="102" t="s">
        <v>4706</v>
      </c>
      <c r="E39" s="102">
        <v>3.0</v>
      </c>
      <c r="F39" s="102">
        <v>1.0</v>
      </c>
      <c r="G39" s="102" t="s">
        <v>3062</v>
      </c>
      <c r="I39" s="39">
        <v>1.0</v>
      </c>
      <c r="J39" s="39" t="s">
        <v>29</v>
      </c>
      <c r="M39" s="39">
        <v>50.0</v>
      </c>
      <c r="P39" s="39">
        <v>50.0</v>
      </c>
      <c r="Q39" s="39">
        <v>25.0</v>
      </c>
      <c r="AH39" s="162"/>
      <c r="AI39" s="162"/>
      <c r="AJ39" s="162"/>
      <c r="AK39" s="162"/>
      <c r="AZ39" s="39" t="s">
        <v>4701</v>
      </c>
      <c r="BI39" s="39" t="s">
        <v>4591</v>
      </c>
      <c r="BR39" s="39" t="s">
        <v>4699</v>
      </c>
      <c r="BS39" s="126" t="s">
        <v>4702</v>
      </c>
      <c r="BT39" s="126">
        <v>28.0</v>
      </c>
      <c r="BU39" s="126" t="s">
        <v>4707</v>
      </c>
      <c r="BV39" s="126">
        <v>10.0</v>
      </c>
      <c r="BW39" s="126">
        <v>1.0</v>
      </c>
      <c r="BX39" s="126" t="s">
        <v>4708</v>
      </c>
      <c r="BY39" s="126" t="s">
        <v>29</v>
      </c>
      <c r="BZ39" s="126" t="s">
        <v>29</v>
      </c>
      <c r="CA39" s="126" t="s">
        <v>29</v>
      </c>
      <c r="CB39" s="126" t="s">
        <v>4709</v>
      </c>
      <c r="CC39" s="126">
        <v>25.0</v>
      </c>
      <c r="CD39" s="126">
        <v>1.0</v>
      </c>
      <c r="CE39" s="126">
        <v>10.0</v>
      </c>
      <c r="CF39" s="126"/>
      <c r="CG39" s="126"/>
      <c r="CH39" s="126"/>
    </row>
    <row r="40" ht="18.75" customHeight="1">
      <c r="A40" s="39" t="s">
        <v>4710</v>
      </c>
      <c r="B40" s="39" t="s">
        <v>4587</v>
      </c>
      <c r="C40" s="102" t="s">
        <v>4711</v>
      </c>
      <c r="D40" s="39" t="s">
        <v>4705</v>
      </c>
      <c r="E40" s="102">
        <v>5.0</v>
      </c>
      <c r="F40" s="102">
        <v>1.0</v>
      </c>
      <c r="G40" s="102" t="s">
        <v>3062</v>
      </c>
      <c r="I40" s="39">
        <v>2.0</v>
      </c>
      <c r="J40" s="39" t="s">
        <v>29</v>
      </c>
      <c r="M40" s="39">
        <v>100.0</v>
      </c>
      <c r="P40" s="39">
        <v>100.0</v>
      </c>
      <c r="Q40" s="39">
        <v>50.0</v>
      </c>
      <c r="AH40" s="162"/>
      <c r="AI40" s="162"/>
      <c r="AJ40" s="162"/>
      <c r="AK40" s="162"/>
      <c r="AZ40" s="39" t="s">
        <v>4701</v>
      </c>
      <c r="BI40" s="39" t="s">
        <v>4591</v>
      </c>
      <c r="BM40" s="39">
        <v>0.0</v>
      </c>
      <c r="BR40" s="39" t="s">
        <v>4705</v>
      </c>
      <c r="BS40" s="126" t="s">
        <v>4702</v>
      </c>
      <c r="BT40" s="126">
        <v>26.0</v>
      </c>
      <c r="BU40" s="126" t="s">
        <v>4707</v>
      </c>
      <c r="BV40" s="126">
        <v>20.0</v>
      </c>
      <c r="BW40" s="126">
        <v>2.0</v>
      </c>
      <c r="BX40" s="126" t="s">
        <v>4712</v>
      </c>
      <c r="BY40" s="126" t="s">
        <v>29</v>
      </c>
      <c r="BZ40" s="126" t="s">
        <v>29</v>
      </c>
      <c r="CA40" s="126" t="s">
        <v>29</v>
      </c>
      <c r="CB40" s="126" t="s">
        <v>4709</v>
      </c>
      <c r="CC40" s="126">
        <v>25.0</v>
      </c>
      <c r="CD40" s="126">
        <v>3.0</v>
      </c>
      <c r="CE40" s="126">
        <v>20.0</v>
      </c>
      <c r="CF40" s="126"/>
      <c r="CG40" s="126"/>
      <c r="CH40" s="126"/>
    </row>
    <row r="41" ht="18.75" customHeight="1">
      <c r="A41" s="39" t="s">
        <v>4713</v>
      </c>
      <c r="B41" s="39" t="s">
        <v>4587</v>
      </c>
      <c r="C41" s="102" t="s">
        <v>4714</v>
      </c>
      <c r="D41" s="39" t="s">
        <v>4710</v>
      </c>
      <c r="E41" s="102">
        <v>7.0</v>
      </c>
      <c r="F41" s="102">
        <v>1.0</v>
      </c>
      <c r="G41" s="102" t="s">
        <v>3062</v>
      </c>
      <c r="I41" s="39">
        <v>3.0</v>
      </c>
      <c r="J41" s="39" t="s">
        <v>29</v>
      </c>
      <c r="M41" s="39">
        <v>150.0</v>
      </c>
      <c r="P41" s="39">
        <v>150.0</v>
      </c>
      <c r="Q41" s="39">
        <v>75.0</v>
      </c>
      <c r="AH41" s="162"/>
      <c r="AI41" s="162"/>
      <c r="AJ41" s="162"/>
      <c r="AK41" s="162"/>
      <c r="AZ41" s="39" t="s">
        <v>4701</v>
      </c>
      <c r="BI41" s="39" t="s">
        <v>4591</v>
      </c>
      <c r="BM41" s="39">
        <v>0.0</v>
      </c>
      <c r="BR41" s="39" t="s">
        <v>4710</v>
      </c>
      <c r="BS41" s="126" t="s">
        <v>4702</v>
      </c>
      <c r="BT41" s="126">
        <v>24.0</v>
      </c>
      <c r="BU41" s="126" t="s">
        <v>4707</v>
      </c>
      <c r="BV41" s="126">
        <v>25.0</v>
      </c>
      <c r="BW41" s="126">
        <v>3.0</v>
      </c>
      <c r="BX41" s="126" t="s">
        <v>4715</v>
      </c>
      <c r="BY41" s="126" t="s">
        <v>29</v>
      </c>
      <c r="BZ41" s="126" t="s">
        <v>29</v>
      </c>
      <c r="CA41" s="126" t="s">
        <v>29</v>
      </c>
      <c r="CB41" s="126" t="s">
        <v>4709</v>
      </c>
      <c r="CC41" s="126">
        <v>25.0</v>
      </c>
      <c r="CD41" s="126">
        <v>5.0</v>
      </c>
      <c r="CE41" s="126">
        <v>25.0</v>
      </c>
      <c r="CF41" s="126"/>
      <c r="CG41" s="126"/>
      <c r="CH41" s="126"/>
    </row>
    <row r="42" ht="18.75" customHeight="1">
      <c r="A42" s="39" t="s">
        <v>4716</v>
      </c>
      <c r="B42" s="39" t="s">
        <v>4587</v>
      </c>
      <c r="C42" s="102" t="s">
        <v>4717</v>
      </c>
      <c r="E42" s="102">
        <v>3.0</v>
      </c>
      <c r="F42" s="102">
        <v>1.0</v>
      </c>
      <c r="G42" s="102" t="s">
        <v>3062</v>
      </c>
      <c r="I42" s="39">
        <v>1.0</v>
      </c>
      <c r="J42" s="39" t="s">
        <v>29</v>
      </c>
      <c r="M42" s="39">
        <v>50.0</v>
      </c>
      <c r="P42" s="39">
        <v>50.0</v>
      </c>
      <c r="Q42" s="39">
        <v>25.0</v>
      </c>
      <c r="AH42" s="162"/>
      <c r="AI42" s="162"/>
      <c r="AJ42" s="162"/>
      <c r="AK42" s="162"/>
      <c r="AZ42" s="39" t="s">
        <v>4701</v>
      </c>
      <c r="BI42" s="39" t="s">
        <v>4591</v>
      </c>
      <c r="BR42" s="39" t="s">
        <v>4699</v>
      </c>
      <c r="BS42" s="126" t="s">
        <v>4702</v>
      </c>
      <c r="BT42" s="126">
        <v>28.0</v>
      </c>
      <c r="BU42" s="126" t="s">
        <v>4718</v>
      </c>
      <c r="BV42" s="126">
        <v>10.0</v>
      </c>
      <c r="BW42" s="126">
        <v>1.0</v>
      </c>
      <c r="BX42" s="126" t="s">
        <v>4708</v>
      </c>
      <c r="BY42" s="126" t="s">
        <v>29</v>
      </c>
      <c r="BZ42" s="126" t="s">
        <v>29</v>
      </c>
      <c r="CA42" s="126" t="s">
        <v>29</v>
      </c>
      <c r="CB42" s="126" t="s">
        <v>4719</v>
      </c>
      <c r="CC42" s="126">
        <v>25.0</v>
      </c>
      <c r="CD42" s="126">
        <v>1.0</v>
      </c>
      <c r="CE42" s="126">
        <v>10.0</v>
      </c>
      <c r="CF42" s="126"/>
      <c r="CG42" s="126"/>
      <c r="CH42" s="126"/>
    </row>
    <row r="43" ht="18.75" customHeight="1">
      <c r="A43" s="39" t="s">
        <v>4720</v>
      </c>
      <c r="B43" s="39" t="s">
        <v>4587</v>
      </c>
      <c r="C43" s="102" t="s">
        <v>4721</v>
      </c>
      <c r="D43" s="39" t="s">
        <v>4716</v>
      </c>
      <c r="E43" s="102">
        <v>5.0</v>
      </c>
      <c r="F43" s="102">
        <v>1.0</v>
      </c>
      <c r="G43" s="102" t="s">
        <v>3062</v>
      </c>
      <c r="I43" s="39">
        <v>2.0</v>
      </c>
      <c r="J43" s="39" t="s">
        <v>29</v>
      </c>
      <c r="M43" s="39">
        <v>100.0</v>
      </c>
      <c r="P43" s="39">
        <v>100.0</v>
      </c>
      <c r="Q43" s="39">
        <v>50.0</v>
      </c>
      <c r="AH43" s="162"/>
      <c r="AI43" s="162"/>
      <c r="AJ43" s="162"/>
      <c r="AK43" s="162"/>
      <c r="AZ43" s="39" t="s">
        <v>4701</v>
      </c>
      <c r="BI43" s="39" t="s">
        <v>4591</v>
      </c>
      <c r="BM43" s="39">
        <v>0.0</v>
      </c>
      <c r="BR43" s="39" t="s">
        <v>4716</v>
      </c>
      <c r="BS43" s="126" t="s">
        <v>4702</v>
      </c>
      <c r="BT43" s="126">
        <v>26.0</v>
      </c>
      <c r="BU43" s="126" t="s">
        <v>4718</v>
      </c>
      <c r="BV43" s="126">
        <v>20.0</v>
      </c>
      <c r="BW43" s="126">
        <v>2.0</v>
      </c>
      <c r="BX43" s="126" t="s">
        <v>4712</v>
      </c>
      <c r="BY43" s="126" t="s">
        <v>29</v>
      </c>
      <c r="BZ43" s="126" t="s">
        <v>29</v>
      </c>
      <c r="CA43" s="126" t="s">
        <v>29</v>
      </c>
      <c r="CB43" s="126" t="s">
        <v>4719</v>
      </c>
      <c r="CC43" s="126">
        <v>25.0</v>
      </c>
      <c r="CD43" s="126">
        <v>3.0</v>
      </c>
      <c r="CE43" s="126">
        <v>20.0</v>
      </c>
      <c r="CF43" s="126"/>
      <c r="CG43" s="126"/>
      <c r="CH43" s="126"/>
    </row>
    <row r="44" ht="18.75" customHeight="1">
      <c r="A44" s="39" t="s">
        <v>4722</v>
      </c>
      <c r="B44" s="39" t="s">
        <v>4587</v>
      </c>
      <c r="C44" s="102" t="s">
        <v>4723</v>
      </c>
      <c r="D44" s="39" t="s">
        <v>4720</v>
      </c>
      <c r="E44" s="102">
        <v>7.0</v>
      </c>
      <c r="F44" s="102">
        <v>1.0</v>
      </c>
      <c r="G44" s="102" t="s">
        <v>3062</v>
      </c>
      <c r="I44" s="39">
        <v>3.0</v>
      </c>
      <c r="J44" s="39" t="s">
        <v>29</v>
      </c>
      <c r="M44" s="39">
        <v>150.0</v>
      </c>
      <c r="P44" s="39">
        <v>150.0</v>
      </c>
      <c r="Q44" s="39">
        <v>75.0</v>
      </c>
      <c r="AH44" s="162"/>
      <c r="AI44" s="162"/>
      <c r="AJ44" s="162"/>
      <c r="AK44" s="162"/>
      <c r="AZ44" s="39" t="s">
        <v>4701</v>
      </c>
      <c r="BI44" s="39" t="s">
        <v>4591</v>
      </c>
      <c r="BM44" s="39">
        <v>0.0</v>
      </c>
      <c r="BR44" s="39" t="s">
        <v>4720</v>
      </c>
      <c r="BS44" s="126" t="s">
        <v>4702</v>
      </c>
      <c r="BT44" s="126">
        <v>24.0</v>
      </c>
      <c r="BU44" s="126" t="s">
        <v>4718</v>
      </c>
      <c r="BV44" s="126">
        <v>25.0</v>
      </c>
      <c r="BW44" s="126">
        <v>3.0</v>
      </c>
      <c r="BX44" s="126" t="s">
        <v>4715</v>
      </c>
      <c r="BY44" s="126" t="s">
        <v>29</v>
      </c>
      <c r="BZ44" s="126" t="s">
        <v>29</v>
      </c>
      <c r="CA44" s="126" t="s">
        <v>29</v>
      </c>
      <c r="CB44" s="126" t="s">
        <v>4719</v>
      </c>
      <c r="CC44" s="126">
        <v>25.0</v>
      </c>
      <c r="CD44" s="126">
        <v>5.0</v>
      </c>
      <c r="CE44" s="126">
        <v>25.0</v>
      </c>
      <c r="CF44" s="126"/>
      <c r="CG44" s="126"/>
      <c r="CH44" s="126"/>
    </row>
    <row r="45" ht="18.75" customHeight="1">
      <c r="A45" s="39" t="s">
        <v>4724</v>
      </c>
      <c r="B45" s="39" t="s">
        <v>4587</v>
      </c>
      <c r="C45" s="102" t="s">
        <v>4725</v>
      </c>
      <c r="E45" s="102">
        <v>3.0</v>
      </c>
      <c r="F45" s="102">
        <v>1.0</v>
      </c>
      <c r="G45" s="102" t="s">
        <v>3062</v>
      </c>
      <c r="I45" s="39">
        <v>1.0</v>
      </c>
      <c r="J45" s="39" t="s">
        <v>29</v>
      </c>
      <c r="M45" s="39">
        <v>50.0</v>
      </c>
      <c r="P45" s="39">
        <v>50.0</v>
      </c>
      <c r="Q45" s="39">
        <v>25.0</v>
      </c>
      <c r="AH45" s="162"/>
      <c r="AI45" s="162"/>
      <c r="AJ45" s="162"/>
      <c r="AK45" s="162"/>
      <c r="AZ45" s="39" t="s">
        <v>4701</v>
      </c>
      <c r="BI45" s="39" t="s">
        <v>4591</v>
      </c>
      <c r="BR45" s="39" t="s">
        <v>4699</v>
      </c>
      <c r="BS45" s="126" t="s">
        <v>4702</v>
      </c>
      <c r="BT45" s="126">
        <v>28.0</v>
      </c>
      <c r="BU45" s="126" t="s">
        <v>4726</v>
      </c>
      <c r="BV45" s="126">
        <v>10.0</v>
      </c>
      <c r="BW45" s="126">
        <v>1.0</v>
      </c>
      <c r="BX45" s="126" t="s">
        <v>4708</v>
      </c>
      <c r="BY45" s="126" t="s">
        <v>29</v>
      </c>
      <c r="BZ45" s="126" t="s">
        <v>29</v>
      </c>
      <c r="CA45" s="126" t="s">
        <v>29</v>
      </c>
      <c r="CB45" s="126" t="s">
        <v>4727</v>
      </c>
      <c r="CC45" s="126">
        <v>25.0</v>
      </c>
      <c r="CD45" s="126">
        <v>1.0</v>
      </c>
      <c r="CE45" s="126">
        <v>10.0</v>
      </c>
      <c r="CF45" s="126"/>
      <c r="CG45" s="126"/>
      <c r="CH45" s="126"/>
    </row>
    <row r="46" ht="18.75" customHeight="1">
      <c r="A46" s="39" t="s">
        <v>4728</v>
      </c>
      <c r="B46" s="39" t="s">
        <v>4587</v>
      </c>
      <c r="C46" s="102" t="s">
        <v>4729</v>
      </c>
      <c r="D46" s="39" t="s">
        <v>4724</v>
      </c>
      <c r="E46" s="102">
        <v>5.0</v>
      </c>
      <c r="F46" s="102">
        <v>1.0</v>
      </c>
      <c r="G46" s="102" t="s">
        <v>3062</v>
      </c>
      <c r="I46" s="39">
        <v>2.0</v>
      </c>
      <c r="J46" s="39" t="s">
        <v>29</v>
      </c>
      <c r="M46" s="39">
        <v>100.0</v>
      </c>
      <c r="P46" s="39">
        <v>100.0</v>
      </c>
      <c r="Q46" s="39">
        <v>50.0</v>
      </c>
      <c r="AH46" s="162"/>
      <c r="AI46" s="162"/>
      <c r="AJ46" s="162"/>
      <c r="AK46" s="162"/>
      <c r="AZ46" s="39" t="s">
        <v>4701</v>
      </c>
      <c r="BI46" s="39" t="s">
        <v>4591</v>
      </c>
      <c r="BM46" s="39">
        <v>0.0</v>
      </c>
      <c r="BR46" s="39" t="s">
        <v>4724</v>
      </c>
      <c r="BS46" s="126" t="s">
        <v>4702</v>
      </c>
      <c r="BT46" s="126">
        <v>26.0</v>
      </c>
      <c r="BU46" s="126" t="s">
        <v>4726</v>
      </c>
      <c r="BV46" s="126">
        <v>20.0</v>
      </c>
      <c r="BW46" s="126">
        <v>2.0</v>
      </c>
      <c r="BX46" s="126" t="s">
        <v>4712</v>
      </c>
      <c r="BY46" s="126" t="s">
        <v>29</v>
      </c>
      <c r="BZ46" s="126" t="s">
        <v>29</v>
      </c>
      <c r="CA46" s="126" t="s">
        <v>29</v>
      </c>
      <c r="CB46" s="126" t="s">
        <v>4727</v>
      </c>
      <c r="CC46" s="126">
        <v>25.0</v>
      </c>
      <c r="CD46" s="126">
        <v>3.0</v>
      </c>
      <c r="CE46" s="126">
        <v>20.0</v>
      </c>
      <c r="CF46" s="126"/>
      <c r="CG46" s="126"/>
      <c r="CH46" s="126"/>
    </row>
    <row r="47" ht="18.75" customHeight="1">
      <c r="A47" s="39" t="s">
        <v>4730</v>
      </c>
      <c r="B47" s="39" t="s">
        <v>4587</v>
      </c>
      <c r="C47" s="102" t="s">
        <v>4731</v>
      </c>
      <c r="D47" s="39" t="s">
        <v>4728</v>
      </c>
      <c r="E47" s="102">
        <v>7.0</v>
      </c>
      <c r="F47" s="102">
        <v>1.0</v>
      </c>
      <c r="G47" s="102" t="s">
        <v>3062</v>
      </c>
      <c r="I47" s="39">
        <v>3.0</v>
      </c>
      <c r="J47" s="39" t="s">
        <v>29</v>
      </c>
      <c r="M47" s="39">
        <v>150.0</v>
      </c>
      <c r="P47" s="39">
        <v>150.0</v>
      </c>
      <c r="Q47" s="39">
        <v>75.0</v>
      </c>
      <c r="AH47" s="162"/>
      <c r="AI47" s="162"/>
      <c r="AJ47" s="162"/>
      <c r="AK47" s="162"/>
      <c r="AZ47" s="39" t="s">
        <v>4701</v>
      </c>
      <c r="BI47" s="39" t="s">
        <v>4591</v>
      </c>
      <c r="BM47" s="39">
        <v>0.0</v>
      </c>
      <c r="BR47" s="39" t="s">
        <v>4728</v>
      </c>
      <c r="BS47" s="126" t="s">
        <v>4702</v>
      </c>
      <c r="BT47" s="126">
        <v>24.0</v>
      </c>
      <c r="BU47" s="126" t="s">
        <v>4726</v>
      </c>
      <c r="BV47" s="126">
        <v>25.0</v>
      </c>
      <c r="BW47" s="126">
        <v>3.0</v>
      </c>
      <c r="BX47" s="126" t="s">
        <v>4715</v>
      </c>
      <c r="BY47" s="126" t="s">
        <v>29</v>
      </c>
      <c r="BZ47" s="126" t="s">
        <v>29</v>
      </c>
      <c r="CA47" s="126" t="s">
        <v>29</v>
      </c>
      <c r="CB47" s="126" t="s">
        <v>4727</v>
      </c>
      <c r="CC47" s="126">
        <v>25.0</v>
      </c>
      <c r="CD47" s="126">
        <v>5.0</v>
      </c>
      <c r="CE47" s="126">
        <v>25.0</v>
      </c>
      <c r="CF47" s="126"/>
      <c r="CG47" s="126"/>
      <c r="CH47" s="126"/>
    </row>
    <row r="48" ht="18.75" customHeight="1">
      <c r="A48" s="39" t="s">
        <v>4732</v>
      </c>
      <c r="B48" s="39" t="s">
        <v>4587</v>
      </c>
      <c r="C48" s="102" t="s">
        <v>4733</v>
      </c>
      <c r="E48" s="102">
        <v>3.0</v>
      </c>
      <c r="F48" s="102">
        <v>1.0</v>
      </c>
      <c r="G48" s="102" t="s">
        <v>3062</v>
      </c>
      <c r="I48" s="39">
        <v>1.0</v>
      </c>
      <c r="J48" s="39" t="s">
        <v>29</v>
      </c>
      <c r="M48" s="39">
        <v>50.0</v>
      </c>
      <c r="P48" s="39">
        <v>50.0</v>
      </c>
      <c r="Q48" s="39">
        <v>25.0</v>
      </c>
      <c r="AH48" s="162"/>
      <c r="AI48" s="162"/>
      <c r="AJ48" s="162"/>
      <c r="AK48" s="162"/>
      <c r="AZ48" s="39" t="s">
        <v>4701</v>
      </c>
      <c r="BI48" s="39" t="s">
        <v>4591</v>
      </c>
      <c r="BR48" s="39" t="s">
        <v>4699</v>
      </c>
      <c r="BS48" s="126" t="s">
        <v>4702</v>
      </c>
      <c r="BT48" s="126">
        <v>28.0</v>
      </c>
      <c r="BU48" s="126" t="s">
        <v>4734</v>
      </c>
      <c r="BV48" s="126">
        <v>10.0</v>
      </c>
      <c r="BW48" s="126">
        <v>1.0</v>
      </c>
      <c r="BX48" s="126" t="s">
        <v>4708</v>
      </c>
      <c r="BY48" s="126" t="s">
        <v>29</v>
      </c>
      <c r="BZ48" s="126" t="s">
        <v>29</v>
      </c>
      <c r="CA48" s="126" t="s">
        <v>29</v>
      </c>
      <c r="CB48" s="126" t="s">
        <v>4735</v>
      </c>
      <c r="CC48" s="126">
        <v>25.0</v>
      </c>
      <c r="CD48" s="126">
        <v>1.0</v>
      </c>
      <c r="CE48" s="126">
        <v>10.0</v>
      </c>
      <c r="CF48" s="126"/>
      <c r="CG48" s="126"/>
      <c r="CH48" s="126"/>
    </row>
    <row r="49" ht="18.75" customHeight="1">
      <c r="A49" s="39" t="s">
        <v>4736</v>
      </c>
      <c r="B49" s="39" t="s">
        <v>4587</v>
      </c>
      <c r="C49" s="102" t="s">
        <v>4737</v>
      </c>
      <c r="D49" s="39" t="s">
        <v>4732</v>
      </c>
      <c r="E49" s="102">
        <v>5.0</v>
      </c>
      <c r="F49" s="102">
        <v>1.0</v>
      </c>
      <c r="G49" s="102" t="s">
        <v>3062</v>
      </c>
      <c r="I49" s="39">
        <v>2.0</v>
      </c>
      <c r="J49" s="39" t="s">
        <v>29</v>
      </c>
      <c r="M49" s="39">
        <v>100.0</v>
      </c>
      <c r="P49" s="39">
        <v>100.0</v>
      </c>
      <c r="Q49" s="39">
        <v>50.0</v>
      </c>
      <c r="AH49" s="162"/>
      <c r="AI49" s="162"/>
      <c r="AJ49" s="162"/>
      <c r="AK49" s="162"/>
      <c r="AZ49" s="39" t="s">
        <v>4701</v>
      </c>
      <c r="BI49" s="39" t="s">
        <v>4591</v>
      </c>
      <c r="BM49" s="39">
        <v>0.0</v>
      </c>
      <c r="BR49" s="39" t="s">
        <v>4732</v>
      </c>
      <c r="BS49" s="126" t="s">
        <v>4702</v>
      </c>
      <c r="BT49" s="126">
        <v>26.0</v>
      </c>
      <c r="BU49" s="126" t="s">
        <v>4734</v>
      </c>
      <c r="BV49" s="126">
        <v>20.0</v>
      </c>
      <c r="BW49" s="126">
        <v>2.0</v>
      </c>
      <c r="BX49" s="126" t="s">
        <v>4712</v>
      </c>
      <c r="BY49" s="126" t="s">
        <v>29</v>
      </c>
      <c r="BZ49" s="126" t="s">
        <v>29</v>
      </c>
      <c r="CA49" s="126" t="s">
        <v>29</v>
      </c>
      <c r="CB49" s="126" t="s">
        <v>4735</v>
      </c>
      <c r="CC49" s="126">
        <v>25.0</v>
      </c>
      <c r="CD49" s="126">
        <v>3.0</v>
      </c>
      <c r="CE49" s="126">
        <v>20.0</v>
      </c>
      <c r="CF49" s="126"/>
      <c r="CG49" s="126"/>
      <c r="CH49" s="126"/>
    </row>
    <row r="50" ht="18.75" customHeight="1">
      <c r="A50" s="39" t="s">
        <v>4738</v>
      </c>
      <c r="B50" s="39" t="s">
        <v>4587</v>
      </c>
      <c r="C50" s="102" t="s">
        <v>4739</v>
      </c>
      <c r="D50" s="39" t="s">
        <v>4736</v>
      </c>
      <c r="E50" s="102">
        <v>7.0</v>
      </c>
      <c r="F50" s="102">
        <v>1.0</v>
      </c>
      <c r="G50" s="102" t="s">
        <v>3062</v>
      </c>
      <c r="I50" s="39">
        <v>3.0</v>
      </c>
      <c r="J50" s="39" t="s">
        <v>29</v>
      </c>
      <c r="M50" s="39">
        <v>150.0</v>
      </c>
      <c r="P50" s="39">
        <v>150.0</v>
      </c>
      <c r="Q50" s="39">
        <v>75.0</v>
      </c>
      <c r="AH50" s="162"/>
      <c r="AI50" s="162"/>
      <c r="AJ50" s="162"/>
      <c r="AK50" s="162"/>
      <c r="AZ50" s="39" t="s">
        <v>4701</v>
      </c>
      <c r="BI50" s="39" t="s">
        <v>4591</v>
      </c>
      <c r="BM50" s="39">
        <v>0.0</v>
      </c>
      <c r="BR50" s="39" t="s">
        <v>4736</v>
      </c>
      <c r="BS50" s="126" t="s">
        <v>4702</v>
      </c>
      <c r="BT50" s="126">
        <v>24.0</v>
      </c>
      <c r="BU50" s="126" t="s">
        <v>4734</v>
      </c>
      <c r="BV50" s="126">
        <v>25.0</v>
      </c>
      <c r="BW50" s="126">
        <v>3.0</v>
      </c>
      <c r="BX50" s="126" t="s">
        <v>4715</v>
      </c>
      <c r="BY50" s="126" t="s">
        <v>29</v>
      </c>
      <c r="BZ50" s="126" t="s">
        <v>29</v>
      </c>
      <c r="CA50" s="126" t="s">
        <v>29</v>
      </c>
      <c r="CB50" s="126" t="s">
        <v>4735</v>
      </c>
      <c r="CC50" s="126">
        <v>25.0</v>
      </c>
      <c r="CD50" s="126">
        <v>5.0</v>
      </c>
      <c r="CE50" s="126">
        <v>25.0</v>
      </c>
      <c r="CF50" s="126"/>
      <c r="CG50" s="126"/>
      <c r="CH50" s="126"/>
    </row>
    <row r="51" ht="18.75" customHeight="1">
      <c r="A51" s="39" t="s">
        <v>4740</v>
      </c>
      <c r="B51" s="39" t="s">
        <v>4587</v>
      </c>
      <c r="C51" s="102" t="s">
        <v>4741</v>
      </c>
      <c r="E51" s="102">
        <v>3.0</v>
      </c>
      <c r="F51" s="102">
        <v>1.0</v>
      </c>
      <c r="G51" s="102" t="s">
        <v>3062</v>
      </c>
      <c r="I51" s="39">
        <v>1.0</v>
      </c>
      <c r="J51" s="39" t="s">
        <v>29</v>
      </c>
      <c r="M51" s="39">
        <v>50.0</v>
      </c>
      <c r="P51" s="39">
        <v>50.0</v>
      </c>
      <c r="Q51" s="39">
        <v>25.0</v>
      </c>
      <c r="AH51" s="162"/>
      <c r="AI51" s="162"/>
      <c r="AJ51" s="162"/>
      <c r="AK51" s="162"/>
      <c r="AZ51" s="39" t="s">
        <v>4701</v>
      </c>
      <c r="BI51" s="39" t="s">
        <v>4591</v>
      </c>
      <c r="BR51" s="39" t="s">
        <v>4742</v>
      </c>
      <c r="BS51" s="126" t="s">
        <v>4702</v>
      </c>
      <c r="BT51" s="126">
        <v>28.0</v>
      </c>
      <c r="BU51" s="126" t="s">
        <v>3662</v>
      </c>
      <c r="BV51" s="126">
        <v>10.0</v>
      </c>
      <c r="BW51" s="126">
        <v>1.0</v>
      </c>
      <c r="BX51" s="126"/>
      <c r="BY51" s="126" t="s">
        <v>29</v>
      </c>
      <c r="BZ51" s="126" t="s">
        <v>29</v>
      </c>
      <c r="CA51" s="126" t="s">
        <v>29</v>
      </c>
      <c r="CB51" s="126" t="s">
        <v>4743</v>
      </c>
      <c r="CC51" s="126">
        <v>25.0</v>
      </c>
      <c r="CD51" s="126">
        <v>0.0</v>
      </c>
      <c r="CE51" s="126"/>
      <c r="CF51" s="126"/>
      <c r="CG51" s="126"/>
      <c r="CH51" s="126"/>
    </row>
    <row r="52" ht="18.75" customHeight="1">
      <c r="A52" s="39" t="s">
        <v>4744</v>
      </c>
      <c r="B52" s="39" t="s">
        <v>4587</v>
      </c>
      <c r="C52" s="102" t="s">
        <v>4745</v>
      </c>
      <c r="D52" s="39" t="s">
        <v>4740</v>
      </c>
      <c r="E52" s="102">
        <v>5.0</v>
      </c>
      <c r="F52" s="102">
        <v>1.0</v>
      </c>
      <c r="G52" s="102" t="s">
        <v>3062</v>
      </c>
      <c r="I52" s="39">
        <v>2.0</v>
      </c>
      <c r="J52" s="39" t="s">
        <v>29</v>
      </c>
      <c r="M52" s="39">
        <v>100.0</v>
      </c>
      <c r="P52" s="39">
        <v>100.0</v>
      </c>
      <c r="Q52" s="39">
        <v>50.0</v>
      </c>
      <c r="AH52" s="162"/>
      <c r="AI52" s="162"/>
      <c r="AJ52" s="162"/>
      <c r="AK52" s="162"/>
      <c r="AZ52" s="39" t="s">
        <v>4701</v>
      </c>
      <c r="BI52" s="39" t="s">
        <v>4591</v>
      </c>
      <c r="BM52" s="39">
        <v>0.0</v>
      </c>
      <c r="BR52" s="39" t="s">
        <v>4740</v>
      </c>
      <c r="BS52" s="126" t="s">
        <v>4702</v>
      </c>
      <c r="BT52" s="126">
        <v>26.0</v>
      </c>
      <c r="BU52" s="126" t="s">
        <v>3662</v>
      </c>
      <c r="BV52" s="126">
        <v>20.0</v>
      </c>
      <c r="BW52" s="126">
        <v>2.0</v>
      </c>
      <c r="BX52" s="126"/>
      <c r="BY52" s="126" t="s">
        <v>29</v>
      </c>
      <c r="BZ52" s="126" t="s">
        <v>29</v>
      </c>
      <c r="CA52" s="126" t="s">
        <v>29</v>
      </c>
      <c r="CB52" s="126" t="s">
        <v>4743</v>
      </c>
      <c r="CC52" s="126">
        <v>25.0</v>
      </c>
      <c r="CD52" s="126">
        <v>0.0</v>
      </c>
      <c r="CE52" s="126"/>
      <c r="CF52" s="126"/>
      <c r="CG52" s="126"/>
      <c r="CH52" s="126"/>
    </row>
    <row r="53" ht="18.75" customHeight="1">
      <c r="A53" s="39" t="s">
        <v>4746</v>
      </c>
      <c r="B53" s="39" t="s">
        <v>4587</v>
      </c>
      <c r="C53" s="102" t="s">
        <v>4747</v>
      </c>
      <c r="D53" s="39" t="s">
        <v>4744</v>
      </c>
      <c r="E53" s="102">
        <v>7.0</v>
      </c>
      <c r="F53" s="102">
        <v>1.0</v>
      </c>
      <c r="G53" s="102" t="s">
        <v>3062</v>
      </c>
      <c r="I53" s="39">
        <v>3.0</v>
      </c>
      <c r="J53" s="39" t="s">
        <v>29</v>
      </c>
      <c r="M53" s="39">
        <v>150.0</v>
      </c>
      <c r="P53" s="39">
        <v>150.0</v>
      </c>
      <c r="Q53" s="39">
        <v>75.0</v>
      </c>
      <c r="AH53" s="162"/>
      <c r="AI53" s="162"/>
      <c r="AJ53" s="162"/>
      <c r="AK53" s="162"/>
      <c r="AZ53" s="39" t="s">
        <v>4701</v>
      </c>
      <c r="BI53" s="39" t="s">
        <v>4591</v>
      </c>
      <c r="BM53" s="39">
        <v>0.0</v>
      </c>
      <c r="BR53" s="39" t="s">
        <v>4744</v>
      </c>
      <c r="BS53" s="126" t="s">
        <v>4702</v>
      </c>
      <c r="BT53" s="126">
        <v>24.0</v>
      </c>
      <c r="BU53" s="126" t="s">
        <v>3662</v>
      </c>
      <c r="BV53" s="126">
        <v>25.0</v>
      </c>
      <c r="BW53" s="126">
        <v>3.0</v>
      </c>
      <c r="BX53" s="126"/>
      <c r="BY53" s="126" t="s">
        <v>29</v>
      </c>
      <c r="BZ53" s="126" t="s">
        <v>29</v>
      </c>
      <c r="CA53" s="126" t="s">
        <v>29</v>
      </c>
      <c r="CB53" s="126" t="s">
        <v>4743</v>
      </c>
      <c r="CC53" s="126">
        <v>25.0</v>
      </c>
      <c r="CD53" s="126">
        <v>0.0</v>
      </c>
      <c r="CE53" s="126"/>
      <c r="CF53" s="126"/>
      <c r="CG53" s="126"/>
      <c r="CH53" s="126"/>
    </row>
    <row r="54" ht="18.75" customHeight="1">
      <c r="A54" s="39" t="s">
        <v>4748</v>
      </c>
      <c r="B54" s="39" t="s">
        <v>4587</v>
      </c>
      <c r="C54" s="102" t="s">
        <v>4749</v>
      </c>
      <c r="E54" s="102">
        <v>3.0</v>
      </c>
      <c r="F54" s="102">
        <v>1.0</v>
      </c>
      <c r="G54" s="102" t="s">
        <v>3062</v>
      </c>
      <c r="I54" s="39" t="s">
        <v>29</v>
      </c>
      <c r="J54" s="39">
        <v>1.0</v>
      </c>
      <c r="M54" s="39">
        <v>50.0</v>
      </c>
      <c r="P54" s="39">
        <v>50.0</v>
      </c>
      <c r="Q54" s="39">
        <v>25.0</v>
      </c>
      <c r="AH54" s="162"/>
      <c r="AI54" s="162"/>
      <c r="AJ54" s="162"/>
      <c r="AK54" s="162"/>
      <c r="AZ54" s="39" t="s">
        <v>4701</v>
      </c>
      <c r="BI54" s="39" t="s">
        <v>4591</v>
      </c>
      <c r="BR54" s="39" t="s">
        <v>4645</v>
      </c>
      <c r="BS54" s="126" t="s">
        <v>4750</v>
      </c>
      <c r="BT54" s="126">
        <v>28.0</v>
      </c>
      <c r="BU54" s="126" t="s">
        <v>1295</v>
      </c>
      <c r="BV54" s="126">
        <v>10.0</v>
      </c>
      <c r="BW54" s="126">
        <v>1.0</v>
      </c>
      <c r="BX54" s="126"/>
      <c r="BY54" s="126" t="s">
        <v>1295</v>
      </c>
      <c r="BZ54" s="126">
        <v>1.1</v>
      </c>
      <c r="CA54" s="126">
        <v>4.0</v>
      </c>
      <c r="CB54" s="126" t="s">
        <v>4751</v>
      </c>
      <c r="CC54" s="126">
        <v>25.0</v>
      </c>
      <c r="CD54" s="126">
        <v>0.0</v>
      </c>
      <c r="CE54" s="126"/>
      <c r="CF54" s="126"/>
      <c r="CG54" s="126"/>
      <c r="CH54" s="126"/>
    </row>
    <row r="55" ht="18.75" customHeight="1">
      <c r="A55" s="39" t="s">
        <v>4752</v>
      </c>
      <c r="B55" s="39" t="s">
        <v>4587</v>
      </c>
      <c r="C55" s="102" t="s">
        <v>4753</v>
      </c>
      <c r="D55" s="39" t="s">
        <v>4748</v>
      </c>
      <c r="E55" s="102">
        <v>5.0</v>
      </c>
      <c r="F55" s="102">
        <v>1.0</v>
      </c>
      <c r="G55" s="102" t="s">
        <v>3062</v>
      </c>
      <c r="I55" s="39" t="s">
        <v>29</v>
      </c>
      <c r="J55" s="39">
        <v>2.0</v>
      </c>
      <c r="M55" s="39">
        <v>100.0</v>
      </c>
      <c r="P55" s="39">
        <v>100.0</v>
      </c>
      <c r="Q55" s="39">
        <v>50.0</v>
      </c>
      <c r="AH55" s="162"/>
      <c r="AI55" s="162"/>
      <c r="AJ55" s="162"/>
      <c r="AK55" s="162"/>
      <c r="AZ55" s="39" t="s">
        <v>4701</v>
      </c>
      <c r="BI55" s="39" t="s">
        <v>4591</v>
      </c>
      <c r="BM55" s="39">
        <v>0.0</v>
      </c>
      <c r="BR55" s="39" t="s">
        <v>4748</v>
      </c>
      <c r="BS55" s="126" t="s">
        <v>4750</v>
      </c>
      <c r="BT55" s="126">
        <v>26.0</v>
      </c>
      <c r="BU55" s="126" t="s">
        <v>1295</v>
      </c>
      <c r="BV55" s="126">
        <v>20.0</v>
      </c>
      <c r="BW55" s="126">
        <v>2.0</v>
      </c>
      <c r="BX55" s="126"/>
      <c r="BY55" s="126" t="s">
        <v>1295</v>
      </c>
      <c r="BZ55" s="126">
        <v>1.25</v>
      </c>
      <c r="CA55" s="126">
        <v>5.0</v>
      </c>
      <c r="CB55" s="126" t="s">
        <v>4751</v>
      </c>
      <c r="CC55" s="126">
        <v>25.0</v>
      </c>
      <c r="CD55" s="126">
        <v>0.0</v>
      </c>
      <c r="CE55" s="126"/>
      <c r="CF55" s="126"/>
      <c r="CG55" s="126"/>
      <c r="CH55" s="126"/>
    </row>
    <row r="56" ht="18.75" customHeight="1">
      <c r="A56" s="39" t="s">
        <v>4754</v>
      </c>
      <c r="B56" s="39" t="s">
        <v>4587</v>
      </c>
      <c r="C56" s="102" t="s">
        <v>4755</v>
      </c>
      <c r="D56" s="39" t="s">
        <v>4752</v>
      </c>
      <c r="E56" s="102">
        <v>7.0</v>
      </c>
      <c r="F56" s="102">
        <v>1.0</v>
      </c>
      <c r="G56" s="102" t="s">
        <v>3062</v>
      </c>
      <c r="I56" s="39" t="s">
        <v>29</v>
      </c>
      <c r="J56" s="39">
        <v>3.0</v>
      </c>
      <c r="M56" s="39">
        <v>150.0</v>
      </c>
      <c r="P56" s="39">
        <v>150.0</v>
      </c>
      <c r="Q56" s="39">
        <v>75.0</v>
      </c>
      <c r="AH56" s="162"/>
      <c r="AI56" s="162"/>
      <c r="AJ56" s="162"/>
      <c r="AK56" s="162"/>
      <c r="AZ56" s="39" t="s">
        <v>4701</v>
      </c>
      <c r="BI56" s="39" t="s">
        <v>4591</v>
      </c>
      <c r="BM56" s="39">
        <v>0.0</v>
      </c>
      <c r="BR56" s="39" t="s">
        <v>4752</v>
      </c>
      <c r="BS56" s="126" t="s">
        <v>4750</v>
      </c>
      <c r="BT56" s="126">
        <v>24.0</v>
      </c>
      <c r="BU56" s="126" t="s">
        <v>1295</v>
      </c>
      <c r="BV56" s="126">
        <v>25.0</v>
      </c>
      <c r="BW56" s="126">
        <v>3.0</v>
      </c>
      <c r="BX56" s="126"/>
      <c r="BY56" s="126" t="s">
        <v>1295</v>
      </c>
      <c r="BZ56" s="126">
        <v>1.5</v>
      </c>
      <c r="CA56" s="126">
        <v>6.0</v>
      </c>
      <c r="CB56" s="126" t="s">
        <v>4751</v>
      </c>
      <c r="CC56" s="126">
        <v>25.0</v>
      </c>
      <c r="CD56" s="126">
        <v>0.0</v>
      </c>
      <c r="CE56" s="126"/>
      <c r="CF56" s="126"/>
      <c r="CG56" s="126"/>
      <c r="CH56" s="126"/>
    </row>
    <row r="57" ht="18.75" customHeight="1">
      <c r="A57" s="39" t="s">
        <v>4756</v>
      </c>
      <c r="B57" s="39" t="s">
        <v>4587</v>
      </c>
      <c r="C57" s="102" t="s">
        <v>4757</v>
      </c>
      <c r="E57" s="102">
        <v>3.0</v>
      </c>
      <c r="F57" s="102">
        <v>1.0</v>
      </c>
      <c r="G57" s="102" t="s">
        <v>3062</v>
      </c>
      <c r="I57" s="39" t="s">
        <v>29</v>
      </c>
      <c r="J57" s="39">
        <v>1.0</v>
      </c>
      <c r="M57" s="39">
        <v>50.0</v>
      </c>
      <c r="P57" s="39">
        <v>50.0</v>
      </c>
      <c r="Q57" s="39">
        <v>25.0</v>
      </c>
      <c r="AH57" s="162"/>
      <c r="AI57" s="162"/>
      <c r="AJ57" s="162"/>
      <c r="AK57" s="162"/>
      <c r="AZ57" s="39" t="s">
        <v>4701</v>
      </c>
      <c r="BI57" s="39" t="s">
        <v>4591</v>
      </c>
      <c r="BR57" s="39" t="s">
        <v>4645</v>
      </c>
      <c r="BS57" s="126" t="s">
        <v>4750</v>
      </c>
      <c r="BT57" s="126">
        <v>28.0</v>
      </c>
      <c r="BU57" s="126" t="s">
        <v>1280</v>
      </c>
      <c r="BV57" s="126">
        <v>10.0</v>
      </c>
      <c r="BW57" s="126">
        <v>1.0</v>
      </c>
      <c r="BX57" s="126"/>
      <c r="BY57" s="126" t="s">
        <v>1280</v>
      </c>
      <c r="BZ57" s="126">
        <v>1.1</v>
      </c>
      <c r="CA57" s="126">
        <v>4.0</v>
      </c>
      <c r="CB57" s="126" t="s">
        <v>4758</v>
      </c>
      <c r="CC57" s="126">
        <v>25.0</v>
      </c>
      <c r="CD57" s="126">
        <v>0.0</v>
      </c>
      <c r="CE57" s="126"/>
      <c r="CF57" s="126"/>
      <c r="CG57" s="126"/>
      <c r="CH57" s="126"/>
    </row>
    <row r="58" ht="18.75" customHeight="1">
      <c r="A58" s="39" t="s">
        <v>4759</v>
      </c>
      <c r="B58" s="39" t="s">
        <v>4587</v>
      </c>
      <c r="C58" s="102" t="s">
        <v>4760</v>
      </c>
      <c r="D58" s="39" t="s">
        <v>4756</v>
      </c>
      <c r="E58" s="102">
        <v>5.0</v>
      </c>
      <c r="F58" s="102">
        <v>1.0</v>
      </c>
      <c r="G58" s="102" t="s">
        <v>3062</v>
      </c>
      <c r="I58" s="39" t="s">
        <v>29</v>
      </c>
      <c r="J58" s="39">
        <v>2.0</v>
      </c>
      <c r="M58" s="39">
        <v>100.0</v>
      </c>
      <c r="P58" s="39">
        <v>100.0</v>
      </c>
      <c r="Q58" s="39">
        <v>50.0</v>
      </c>
      <c r="AH58" s="162"/>
      <c r="AI58" s="162"/>
      <c r="AJ58" s="162"/>
      <c r="AK58" s="162"/>
      <c r="AZ58" s="39" t="s">
        <v>4701</v>
      </c>
      <c r="BI58" s="39" t="s">
        <v>4591</v>
      </c>
      <c r="BM58" s="39">
        <v>0.0</v>
      </c>
      <c r="BR58" s="39" t="s">
        <v>4756</v>
      </c>
      <c r="BS58" s="126" t="s">
        <v>4750</v>
      </c>
      <c r="BT58" s="126">
        <v>26.0</v>
      </c>
      <c r="BU58" s="126" t="s">
        <v>1280</v>
      </c>
      <c r="BV58" s="126">
        <v>20.0</v>
      </c>
      <c r="BW58" s="126">
        <v>2.0</v>
      </c>
      <c r="BX58" s="126"/>
      <c r="BY58" s="126" t="s">
        <v>1280</v>
      </c>
      <c r="BZ58" s="126">
        <v>1.25</v>
      </c>
      <c r="CA58" s="126">
        <v>5.0</v>
      </c>
      <c r="CB58" s="126" t="s">
        <v>4758</v>
      </c>
      <c r="CC58" s="126">
        <v>25.0</v>
      </c>
      <c r="CD58" s="126">
        <v>0.0</v>
      </c>
      <c r="CE58" s="126"/>
      <c r="CF58" s="126"/>
      <c r="CG58" s="126"/>
      <c r="CH58" s="126"/>
    </row>
    <row r="59" ht="18.75" customHeight="1">
      <c r="A59" s="39" t="s">
        <v>4761</v>
      </c>
      <c r="B59" s="39" t="s">
        <v>4587</v>
      </c>
      <c r="C59" s="102" t="s">
        <v>4762</v>
      </c>
      <c r="D59" s="39" t="s">
        <v>4759</v>
      </c>
      <c r="E59" s="102">
        <v>7.0</v>
      </c>
      <c r="F59" s="102">
        <v>1.0</v>
      </c>
      <c r="G59" s="102" t="s">
        <v>3062</v>
      </c>
      <c r="I59" s="39" t="s">
        <v>29</v>
      </c>
      <c r="J59" s="39">
        <v>3.0</v>
      </c>
      <c r="M59" s="39">
        <v>150.0</v>
      </c>
      <c r="P59" s="39">
        <v>150.0</v>
      </c>
      <c r="Q59" s="39">
        <v>75.0</v>
      </c>
      <c r="AH59" s="162"/>
      <c r="AI59" s="162"/>
      <c r="AJ59" s="162"/>
      <c r="AK59" s="162"/>
      <c r="AZ59" s="39" t="s">
        <v>4701</v>
      </c>
      <c r="BI59" s="39" t="s">
        <v>4591</v>
      </c>
      <c r="BM59" s="39">
        <v>0.0</v>
      </c>
      <c r="BR59" s="39" t="s">
        <v>4759</v>
      </c>
      <c r="BS59" s="126" t="s">
        <v>4750</v>
      </c>
      <c r="BT59" s="126">
        <v>24.0</v>
      </c>
      <c r="BU59" s="126" t="s">
        <v>1280</v>
      </c>
      <c r="BV59" s="126">
        <v>25.0</v>
      </c>
      <c r="BW59" s="126">
        <v>3.0</v>
      </c>
      <c r="BX59" s="126"/>
      <c r="BY59" s="126" t="s">
        <v>1280</v>
      </c>
      <c r="BZ59" s="126">
        <v>1.5</v>
      </c>
      <c r="CA59" s="126">
        <v>6.0</v>
      </c>
      <c r="CB59" s="126" t="s">
        <v>4758</v>
      </c>
      <c r="CC59" s="126">
        <v>25.0</v>
      </c>
      <c r="CD59" s="126">
        <v>0.0</v>
      </c>
      <c r="CE59" s="126"/>
      <c r="CF59" s="126"/>
      <c r="CG59" s="126"/>
      <c r="CH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c r="CF60" s="131"/>
      <c r="CG60" s="131"/>
      <c r="CH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c r="CF61" s="131"/>
      <c r="CG61" s="131"/>
      <c r="CH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c r="CF62" s="131"/>
      <c r="CG62" s="131"/>
      <c r="CH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c r="CF63" s="131"/>
      <c r="CG63" s="131"/>
      <c r="CH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c r="CF64" s="131"/>
      <c r="CG64" s="131"/>
      <c r="CH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c r="CF65" s="131"/>
      <c r="CG65" s="131"/>
      <c r="CH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c r="CF66" s="131"/>
      <c r="CG66" s="131"/>
      <c r="CH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c r="CF67" s="131"/>
      <c r="CG67" s="131"/>
      <c r="CH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c r="CF68" s="131"/>
      <c r="CG68" s="131"/>
      <c r="CH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c r="CF69" s="131"/>
      <c r="CG69" s="131"/>
      <c r="CH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c r="CF70" s="131"/>
      <c r="CG70" s="131"/>
      <c r="CH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c r="CF71" s="131"/>
      <c r="CG71" s="131"/>
      <c r="CH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c r="CF72" s="131"/>
      <c r="CG72" s="131"/>
      <c r="CH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c r="CF73" s="131"/>
      <c r="CG73" s="131"/>
      <c r="CH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c r="CF74" s="131"/>
      <c r="CG74" s="131"/>
      <c r="CH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c r="CF75" s="131"/>
      <c r="CG75" s="131"/>
      <c r="CH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c r="CF76" s="131"/>
      <c r="CG76" s="131"/>
      <c r="CH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c r="CF77" s="131"/>
      <c r="CG77" s="131"/>
      <c r="CH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c r="CF78" s="131"/>
      <c r="CG78" s="131"/>
      <c r="CH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c r="CF79" s="131"/>
      <c r="CG79" s="131"/>
      <c r="CH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c r="CF80" s="131"/>
      <c r="CG80" s="131"/>
      <c r="CH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c r="CF81" s="131"/>
      <c r="CG81" s="131"/>
      <c r="CH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c r="CF82" s="131"/>
      <c r="CG82" s="131"/>
      <c r="CH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c r="CF83" s="131"/>
      <c r="CG83" s="131"/>
      <c r="CH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c r="CF84" s="131"/>
      <c r="CG84" s="131"/>
      <c r="CH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c r="CF85" s="131"/>
      <c r="CG85" s="131"/>
      <c r="CH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c r="CF86" s="131"/>
      <c r="CG86" s="131"/>
      <c r="CH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c r="CF87" s="131"/>
      <c r="CG87" s="131"/>
      <c r="CH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c r="CF88" s="131"/>
      <c r="CG88" s="131"/>
      <c r="CH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c r="CF89" s="131"/>
      <c r="CG89" s="131"/>
      <c r="CH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c r="CF90" s="131"/>
      <c r="CG90" s="131"/>
      <c r="CH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c r="CF91" s="131"/>
      <c r="CG91" s="131"/>
      <c r="CH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c r="CF92" s="131"/>
      <c r="CG92" s="131"/>
      <c r="CH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c r="CF93" s="131"/>
      <c r="CG93" s="131"/>
      <c r="CH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c r="CF94" s="131"/>
      <c r="CG94" s="131"/>
      <c r="CH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c r="CF95" s="131"/>
      <c r="CG95" s="131"/>
      <c r="CH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c r="CF96" s="131"/>
      <c r="CG96" s="131"/>
      <c r="CH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c r="CF97" s="131"/>
      <c r="CG97" s="131"/>
      <c r="CH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c r="CF98" s="131"/>
      <c r="CG98" s="131"/>
      <c r="CH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c r="CF99" s="131"/>
      <c r="CG99" s="131"/>
      <c r="CH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c r="CF100" s="131"/>
      <c r="CG100" s="131"/>
      <c r="CH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c r="CF101" s="131"/>
      <c r="CG101" s="131"/>
      <c r="CH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c r="CF102" s="131"/>
      <c r="CG102" s="131"/>
      <c r="CH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c r="CF103" s="131"/>
      <c r="CG103" s="131"/>
      <c r="CH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c r="CF104" s="131"/>
      <c r="CG104" s="131"/>
      <c r="CH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c r="CF105" s="131"/>
      <c r="CG105" s="131"/>
      <c r="CH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c r="CF106" s="131"/>
      <c r="CG106" s="131"/>
      <c r="CH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c r="CF107" s="131"/>
      <c r="CG107" s="131"/>
      <c r="CH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c r="CF108" s="131"/>
      <c r="CG108" s="131"/>
      <c r="CH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c r="CF109" s="131"/>
      <c r="CG109" s="131"/>
      <c r="CH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c r="CF110" s="131"/>
      <c r="CG110" s="131"/>
      <c r="CH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c r="CF111" s="131"/>
      <c r="CG111" s="131"/>
      <c r="CH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c r="CF112" s="131"/>
      <c r="CG112" s="131"/>
      <c r="CH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c r="CF113" s="131"/>
      <c r="CG113" s="131"/>
      <c r="CH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c r="CF114" s="131"/>
      <c r="CG114" s="131"/>
      <c r="CH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c r="CF115" s="131"/>
      <c r="CG115" s="131"/>
      <c r="CH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c r="CF116" s="131"/>
      <c r="CG116" s="131"/>
      <c r="CH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c r="CF117" s="131"/>
      <c r="CG117" s="131"/>
      <c r="CH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c r="CF118" s="131"/>
      <c r="CG118" s="131"/>
      <c r="CH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c r="CF119" s="131"/>
      <c r="CG119" s="131"/>
      <c r="CH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c r="CF120" s="131"/>
      <c r="CG120" s="131"/>
      <c r="CH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c r="CF121" s="131"/>
      <c r="CG121" s="131"/>
      <c r="CH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c r="CF122" s="131"/>
      <c r="CG122" s="131"/>
      <c r="CH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c r="CF123" s="131"/>
      <c r="CG123" s="131"/>
      <c r="CH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c r="CF124" s="131"/>
      <c r="CG124" s="131"/>
      <c r="CH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c r="CF125" s="131"/>
      <c r="CG125" s="131"/>
      <c r="CH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c r="CF126" s="131"/>
      <c r="CG126" s="131"/>
      <c r="CH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c r="CF127" s="131"/>
      <c r="CG127" s="131"/>
      <c r="CH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c r="CF128" s="131"/>
      <c r="CG128" s="131"/>
      <c r="CH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c r="CF129" s="131"/>
      <c r="CG129" s="131"/>
      <c r="CH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c r="CF130" s="131"/>
      <c r="CG130" s="131"/>
      <c r="CH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c r="CF131" s="131"/>
      <c r="CG131" s="131"/>
      <c r="CH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c r="CF132" s="131"/>
      <c r="CG132" s="131"/>
      <c r="CH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c r="CF133" s="131"/>
      <c r="CG133" s="131"/>
      <c r="CH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c r="CF134" s="131"/>
      <c r="CG134" s="131"/>
      <c r="CH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c r="CF135" s="131"/>
      <c r="CG135" s="131"/>
      <c r="CH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c r="CF136" s="131"/>
      <c r="CG136" s="131"/>
      <c r="CH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c r="CF137" s="131"/>
      <c r="CG137" s="131"/>
      <c r="CH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c r="CF138" s="131"/>
      <c r="CG138" s="131"/>
      <c r="CH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c r="CF139" s="131"/>
      <c r="CG139" s="131"/>
      <c r="CH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c r="CF140" s="131"/>
      <c r="CG140" s="131"/>
      <c r="CH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c r="CF141" s="131"/>
      <c r="CG141" s="131"/>
      <c r="CH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c r="CF142" s="131"/>
      <c r="CG142" s="131"/>
      <c r="CH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c r="CF143" s="131"/>
      <c r="CG143" s="131"/>
      <c r="CH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c r="CF144" s="131"/>
      <c r="CG144" s="131"/>
      <c r="CH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c r="CF145" s="131"/>
      <c r="CG145" s="131"/>
      <c r="CH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c r="CF146" s="131"/>
      <c r="CG146" s="131"/>
      <c r="CH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c r="CF147" s="131"/>
      <c r="CG147" s="131"/>
      <c r="CH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c r="CF148" s="131"/>
      <c r="CG148" s="131"/>
      <c r="CH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c r="CF149" s="131"/>
      <c r="CG149" s="131"/>
      <c r="CH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c r="CF150" s="131"/>
      <c r="CG150" s="131"/>
      <c r="CH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c r="CF151" s="131"/>
      <c r="CG151" s="131"/>
      <c r="CH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c r="CF152" s="131"/>
      <c r="CG152" s="131"/>
      <c r="CH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c r="CF153" s="131"/>
      <c r="CG153" s="131"/>
      <c r="CH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c r="CF154" s="131"/>
      <c r="CG154" s="131"/>
      <c r="CH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c r="CF155" s="131"/>
      <c r="CG155" s="131"/>
      <c r="CH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c r="CF156" s="131"/>
      <c r="CG156" s="131"/>
      <c r="CH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c r="CF157" s="131"/>
      <c r="CG157" s="131"/>
      <c r="CH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c r="CF158" s="131"/>
      <c r="CG158" s="131"/>
      <c r="CH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c r="CF159" s="131"/>
      <c r="CG159" s="131"/>
      <c r="CH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c r="CF160" s="131"/>
      <c r="CG160" s="131"/>
      <c r="CH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c r="CF161" s="131"/>
      <c r="CG161" s="131"/>
      <c r="CH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c r="CF162" s="131"/>
      <c r="CG162" s="131"/>
      <c r="CH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c r="CF163" s="131"/>
      <c r="CG163" s="131"/>
      <c r="CH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c r="CF164" s="131"/>
      <c r="CG164" s="131"/>
      <c r="CH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c r="CF165" s="131"/>
      <c r="CG165" s="131"/>
      <c r="CH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c r="CF166" s="131"/>
      <c r="CG166" s="131"/>
      <c r="CH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c r="CF167" s="131"/>
      <c r="CG167" s="131"/>
      <c r="CH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c r="CF168" s="131"/>
      <c r="CG168" s="131"/>
      <c r="CH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c r="CF169" s="131"/>
      <c r="CG169" s="131"/>
      <c r="CH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c r="CF170" s="131"/>
      <c r="CG170" s="131"/>
      <c r="CH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c r="CF171" s="131"/>
      <c r="CG171" s="131"/>
      <c r="CH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c r="CF172" s="131"/>
      <c r="CG172" s="131"/>
      <c r="CH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c r="CF173" s="131"/>
      <c r="CG173" s="131"/>
      <c r="CH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c r="CF174" s="131"/>
      <c r="CG174" s="131"/>
      <c r="CH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c r="CF175" s="131"/>
      <c r="CG175" s="131"/>
      <c r="CH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c r="CF176" s="131"/>
      <c r="CG176" s="131"/>
      <c r="CH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c r="CF177" s="131"/>
      <c r="CG177" s="131"/>
      <c r="CH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c r="CF178" s="131"/>
      <c r="CG178" s="131"/>
      <c r="CH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c r="CF179" s="131"/>
      <c r="CG179" s="131"/>
      <c r="CH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c r="CF180" s="131"/>
      <c r="CG180" s="131"/>
      <c r="CH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c r="CF181" s="131"/>
      <c r="CG181" s="131"/>
      <c r="CH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c r="CF182" s="131"/>
      <c r="CG182" s="131"/>
      <c r="CH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c r="CF183" s="131"/>
      <c r="CG183" s="131"/>
      <c r="CH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c r="CF184" s="131"/>
      <c r="CG184" s="131"/>
      <c r="CH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c r="CF185" s="131"/>
      <c r="CG185" s="131"/>
      <c r="CH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c r="CF186" s="131"/>
      <c r="CG186" s="131"/>
      <c r="CH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c r="CF187" s="131"/>
      <c r="CG187" s="131"/>
      <c r="CH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c r="CF188" s="131"/>
      <c r="CG188" s="131"/>
      <c r="CH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c r="CF189" s="131"/>
      <c r="CG189" s="131"/>
      <c r="CH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c r="CF190" s="131"/>
      <c r="CG190" s="131"/>
      <c r="CH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c r="CF191" s="131"/>
      <c r="CG191" s="131"/>
      <c r="CH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c r="CF192" s="131"/>
      <c r="CG192" s="131"/>
      <c r="CH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c r="CF193" s="131"/>
      <c r="CG193" s="131"/>
      <c r="CH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c r="CF194" s="131"/>
      <c r="CG194" s="131"/>
      <c r="CH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c r="CF195" s="131"/>
      <c r="CG195" s="131"/>
      <c r="CH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c r="CF196" s="131"/>
      <c r="CG196" s="131"/>
      <c r="CH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c r="CF197" s="131"/>
      <c r="CG197" s="131"/>
      <c r="CH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c r="CF198" s="131"/>
      <c r="CG198" s="131"/>
      <c r="CH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c r="CF199" s="131"/>
      <c r="CG199" s="131"/>
      <c r="CH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c r="CF200" s="131"/>
      <c r="CG200" s="131"/>
      <c r="CH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c r="CF201" s="131"/>
      <c r="CG201" s="131"/>
      <c r="CH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c r="CF202" s="131"/>
      <c r="CG202" s="131"/>
      <c r="CH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c r="CF203" s="131"/>
      <c r="CG203" s="131"/>
      <c r="CH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c r="CF204" s="131"/>
      <c r="CG204" s="131"/>
      <c r="CH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c r="CF205" s="131"/>
      <c r="CG205" s="131"/>
      <c r="CH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c r="CF206" s="131"/>
      <c r="CG206" s="131"/>
      <c r="CH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c r="CF207" s="131"/>
      <c r="CG207" s="131"/>
      <c r="CH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c r="CF208" s="131"/>
      <c r="CG208" s="131"/>
      <c r="CH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c r="CF209" s="131"/>
      <c r="CG209" s="131"/>
      <c r="CH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c r="CF210" s="131"/>
      <c r="CG210" s="131"/>
      <c r="CH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c r="CF211" s="131"/>
      <c r="CG211" s="131"/>
      <c r="CH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c r="CF212" s="131"/>
      <c r="CG212" s="131"/>
      <c r="CH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c r="CF213" s="131"/>
      <c r="CG213" s="131"/>
      <c r="CH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c r="CF214" s="131"/>
      <c r="CG214" s="131"/>
      <c r="CH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c r="CF215" s="131"/>
      <c r="CG215" s="131"/>
      <c r="CH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c r="CF216" s="131"/>
      <c r="CG216" s="131"/>
      <c r="CH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c r="CF217" s="131"/>
      <c r="CG217" s="131"/>
      <c r="CH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c r="CF218" s="131"/>
      <c r="CG218" s="131"/>
      <c r="CH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c r="CF219" s="131"/>
      <c r="CG219" s="131"/>
      <c r="CH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c r="CF220" s="131"/>
      <c r="CG220" s="131"/>
      <c r="CH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c r="CF221" s="131"/>
      <c r="CG221" s="131"/>
      <c r="CH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c r="CF222" s="131"/>
      <c r="CG222" s="131"/>
      <c r="CH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c r="CF223" s="131"/>
      <c r="CG223" s="131"/>
      <c r="CH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c r="CF224" s="131"/>
      <c r="CG224" s="131"/>
      <c r="CH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c r="CF225" s="131"/>
      <c r="CG225" s="131"/>
      <c r="CH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c r="CF226" s="131"/>
      <c r="CG226" s="131"/>
      <c r="CH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c r="CF227" s="131"/>
      <c r="CG227" s="131"/>
      <c r="CH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c r="CF228" s="131"/>
      <c r="CG228" s="131"/>
      <c r="CH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c r="CF229" s="131"/>
      <c r="CG229" s="131"/>
      <c r="CH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c r="CF230" s="131"/>
      <c r="CG230" s="131"/>
      <c r="CH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c r="CF231" s="131"/>
      <c r="CG231" s="131"/>
      <c r="CH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c r="CF232" s="131"/>
      <c r="CG232" s="131"/>
      <c r="CH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c r="CF233" s="131"/>
      <c r="CG233" s="131"/>
      <c r="CH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c r="CF234" s="131"/>
      <c r="CG234" s="131"/>
      <c r="CH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c r="CF235" s="131"/>
      <c r="CG235" s="131"/>
      <c r="CH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c r="CF236" s="131"/>
      <c r="CG236" s="131"/>
      <c r="CH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c r="CF237" s="131"/>
      <c r="CG237" s="131"/>
      <c r="CH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c r="CF238" s="131"/>
      <c r="CG238" s="131"/>
      <c r="CH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c r="CF239" s="131"/>
      <c r="CG239" s="131"/>
      <c r="CH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c r="CF240" s="131"/>
      <c r="CG240" s="131"/>
      <c r="CH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c r="CF241" s="131"/>
      <c r="CG241" s="131"/>
      <c r="CH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c r="CF242" s="131"/>
      <c r="CG242" s="131"/>
      <c r="CH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c r="CF243" s="131"/>
      <c r="CG243" s="131"/>
      <c r="CH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c r="CF244" s="131"/>
      <c r="CG244" s="131"/>
      <c r="CH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c r="CF245" s="131"/>
      <c r="CG245" s="131"/>
      <c r="CH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c r="CF246" s="131"/>
      <c r="CG246" s="131"/>
      <c r="CH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c r="CF247" s="131"/>
      <c r="CG247" s="131"/>
      <c r="CH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c r="CF248" s="131"/>
      <c r="CG248" s="131"/>
      <c r="CH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c r="CF249" s="131"/>
      <c r="CG249" s="131"/>
      <c r="CH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c r="CF250" s="131"/>
      <c r="CG250" s="131"/>
      <c r="CH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c r="CF251" s="131"/>
      <c r="CG251" s="131"/>
      <c r="CH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c r="CF252" s="131"/>
      <c r="CG252" s="131"/>
      <c r="CH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c r="CF253" s="131"/>
      <c r="CG253" s="131"/>
      <c r="CH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c r="CF254" s="131"/>
      <c r="CG254" s="131"/>
      <c r="CH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c r="CF255" s="131"/>
      <c r="CG255" s="131"/>
      <c r="CH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c r="CF256" s="131"/>
      <c r="CG256" s="131"/>
      <c r="CH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c r="CF257" s="131"/>
      <c r="CG257" s="131"/>
      <c r="CH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c r="CF258" s="131"/>
      <c r="CG258" s="131"/>
      <c r="CH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c r="CF259" s="131"/>
      <c r="CG259" s="131"/>
      <c r="CH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c r="CF260" s="131"/>
      <c r="CG260" s="131"/>
      <c r="CH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c r="CF261" s="131"/>
      <c r="CG261" s="131"/>
      <c r="CH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c r="CF262" s="131"/>
      <c r="CG262" s="131"/>
      <c r="CH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c r="CF263" s="131"/>
      <c r="CG263" s="131"/>
      <c r="CH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c r="CF264" s="131"/>
      <c r="CG264" s="131"/>
      <c r="CH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c r="CF265" s="131"/>
      <c r="CG265" s="131"/>
      <c r="CH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c r="CF266" s="131"/>
      <c r="CG266" s="131"/>
      <c r="CH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c r="CF267" s="131"/>
      <c r="CG267" s="131"/>
      <c r="CH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c r="CF268" s="131"/>
      <c r="CG268" s="131"/>
      <c r="CH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c r="CF269" s="131"/>
      <c r="CG269" s="131"/>
      <c r="CH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c r="CF270" s="131"/>
      <c r="CG270" s="131"/>
      <c r="CH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c r="CF271" s="131"/>
      <c r="CG271" s="131"/>
      <c r="CH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c r="CF272" s="131"/>
      <c r="CG272" s="131"/>
      <c r="CH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c r="CF273" s="131"/>
      <c r="CG273" s="131"/>
      <c r="CH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c r="CF274" s="131"/>
      <c r="CG274" s="131"/>
      <c r="CH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c r="CF275" s="131"/>
      <c r="CG275" s="131"/>
      <c r="CH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c r="CF276" s="131"/>
      <c r="CG276" s="131"/>
      <c r="CH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c r="CF277" s="131"/>
      <c r="CG277" s="131"/>
      <c r="CH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c r="CF278" s="131"/>
      <c r="CG278" s="131"/>
      <c r="CH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c r="CF279" s="131"/>
      <c r="CG279" s="131"/>
      <c r="CH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c r="CF280" s="131"/>
      <c r="CG280" s="131"/>
      <c r="CH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c r="CF281" s="131"/>
      <c r="CG281" s="131"/>
      <c r="CH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c r="CF282" s="131"/>
      <c r="CG282" s="131"/>
      <c r="CH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c r="CF283" s="131"/>
      <c r="CG283" s="131"/>
      <c r="CH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c r="CF284" s="131"/>
      <c r="CG284" s="131"/>
      <c r="CH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c r="CF285" s="131"/>
      <c r="CG285" s="131"/>
      <c r="CH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c r="CF286" s="131"/>
      <c r="CG286" s="131"/>
      <c r="CH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c r="CF287" s="131"/>
      <c r="CG287" s="131"/>
      <c r="CH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c r="CF288" s="131"/>
      <c r="CG288" s="131"/>
      <c r="CH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c r="CF289" s="131"/>
      <c r="CG289" s="131"/>
      <c r="CH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c r="CF290" s="131"/>
      <c r="CG290" s="131"/>
      <c r="CH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c r="CF291" s="131"/>
      <c r="CG291" s="131"/>
      <c r="CH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c r="CF292" s="131"/>
      <c r="CG292" s="131"/>
      <c r="CH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c r="CF293" s="131"/>
      <c r="CG293" s="131"/>
      <c r="CH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c r="CF294" s="131"/>
      <c r="CG294" s="131"/>
      <c r="CH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c r="CF295" s="131"/>
      <c r="CG295" s="131"/>
      <c r="CH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c r="CF296" s="131"/>
      <c r="CG296" s="131"/>
      <c r="CH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c r="CF297" s="131"/>
      <c r="CG297" s="131"/>
      <c r="CH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c r="CF298" s="131"/>
      <c r="CG298" s="131"/>
      <c r="CH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c r="CF299" s="131"/>
      <c r="CG299" s="131"/>
      <c r="CH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c r="CF300" s="131"/>
      <c r="CG300" s="131"/>
      <c r="CH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c r="CF301" s="131"/>
      <c r="CG301" s="131"/>
      <c r="CH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c r="CF302" s="131"/>
      <c r="CG302" s="131"/>
      <c r="CH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c r="CF303" s="131"/>
      <c r="CG303" s="131"/>
      <c r="CH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c r="CF304" s="131"/>
      <c r="CG304" s="131"/>
      <c r="CH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c r="CF305" s="131"/>
      <c r="CG305" s="131"/>
      <c r="CH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c r="CF306" s="131"/>
      <c r="CG306" s="131"/>
      <c r="CH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c r="CF307" s="131"/>
      <c r="CG307" s="131"/>
      <c r="CH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c r="CF308" s="131"/>
      <c r="CG308" s="131"/>
      <c r="CH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c r="CF309" s="131"/>
      <c r="CG309" s="131"/>
      <c r="CH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c r="CF310" s="131"/>
      <c r="CG310" s="131"/>
      <c r="CH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c r="CF311" s="131"/>
      <c r="CG311" s="131"/>
      <c r="CH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c r="CF312" s="131"/>
      <c r="CG312" s="131"/>
      <c r="CH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c r="CF313" s="131"/>
      <c r="CG313" s="131"/>
      <c r="CH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c r="CF314" s="131"/>
      <c r="CG314" s="131"/>
      <c r="CH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c r="CF315" s="131"/>
      <c r="CG315" s="131"/>
      <c r="CH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c r="CF316" s="131"/>
      <c r="CG316" s="131"/>
      <c r="CH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c r="CF317" s="131"/>
      <c r="CG317" s="131"/>
      <c r="CH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c r="CF318" s="131"/>
      <c r="CG318" s="131"/>
      <c r="CH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c r="CF319" s="131"/>
      <c r="CG319" s="131"/>
      <c r="CH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c r="CF320" s="131"/>
      <c r="CG320" s="131"/>
      <c r="CH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c r="CF321" s="131"/>
      <c r="CG321" s="131"/>
      <c r="CH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c r="CF322" s="131"/>
      <c r="CG322" s="131"/>
      <c r="CH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c r="CF323" s="131"/>
      <c r="CG323" s="131"/>
      <c r="CH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c r="CF324" s="131"/>
      <c r="CG324" s="131"/>
      <c r="CH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c r="CF325" s="131"/>
      <c r="CG325" s="131"/>
      <c r="CH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c r="CF326" s="131"/>
      <c r="CG326" s="131"/>
      <c r="CH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c r="CF327" s="131"/>
      <c r="CG327" s="131"/>
      <c r="CH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c r="CF328" s="131"/>
      <c r="CG328" s="131"/>
      <c r="CH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c r="CF329" s="131"/>
      <c r="CG329" s="131"/>
      <c r="CH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c r="CF330" s="131"/>
      <c r="CG330" s="131"/>
      <c r="CH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c r="CF331" s="131"/>
      <c r="CG331" s="131"/>
      <c r="CH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c r="CF332" s="131"/>
      <c r="CG332" s="131"/>
      <c r="CH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c r="CF333" s="131"/>
      <c r="CG333" s="131"/>
      <c r="CH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c r="CF334" s="131"/>
      <c r="CG334" s="131"/>
      <c r="CH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c r="CF335" s="131"/>
      <c r="CG335" s="131"/>
      <c r="CH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c r="CF336" s="131"/>
      <c r="CG336" s="131"/>
      <c r="CH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c r="CF337" s="131"/>
      <c r="CG337" s="131"/>
      <c r="CH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c r="CF338" s="131"/>
      <c r="CG338" s="131"/>
      <c r="CH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c r="CF339" s="131"/>
      <c r="CG339" s="131"/>
      <c r="CH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c r="CF340" s="131"/>
      <c r="CG340" s="131"/>
      <c r="CH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c r="CF341" s="131"/>
      <c r="CG341" s="131"/>
      <c r="CH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c r="CF342" s="131"/>
      <c r="CG342" s="131"/>
      <c r="CH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c r="CF343" s="131"/>
      <c r="CG343" s="131"/>
      <c r="CH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c r="CF344" s="131"/>
      <c r="CG344" s="131"/>
      <c r="CH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c r="CF345" s="131"/>
      <c r="CG345" s="131"/>
      <c r="CH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c r="CF346" s="131"/>
      <c r="CG346" s="131"/>
      <c r="CH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c r="CF347" s="131"/>
      <c r="CG347" s="131"/>
      <c r="CH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c r="CF348" s="131"/>
      <c r="CG348" s="131"/>
      <c r="CH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c r="CF349" s="131"/>
      <c r="CG349" s="131"/>
      <c r="CH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c r="CF350" s="131"/>
      <c r="CG350" s="131"/>
      <c r="CH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c r="CF351" s="131"/>
      <c r="CG351" s="131"/>
      <c r="CH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c r="CF352" s="131"/>
      <c r="CG352" s="131"/>
      <c r="CH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c r="CF353" s="131"/>
      <c r="CG353" s="131"/>
      <c r="CH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c r="CF354" s="131"/>
      <c r="CG354" s="131"/>
      <c r="CH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c r="CF355" s="131"/>
      <c r="CG355" s="131"/>
      <c r="CH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c r="CF356" s="131"/>
      <c r="CG356" s="131"/>
      <c r="CH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c r="CF357" s="131"/>
      <c r="CG357" s="131"/>
      <c r="CH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c r="CF358" s="131"/>
      <c r="CG358" s="131"/>
      <c r="CH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c r="CF359" s="131"/>
      <c r="CG359" s="131"/>
      <c r="CH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c r="CF360" s="131"/>
      <c r="CG360" s="131"/>
      <c r="CH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c r="CF361" s="131"/>
      <c r="CG361" s="131"/>
      <c r="CH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c r="CF362" s="131"/>
      <c r="CG362" s="131"/>
      <c r="CH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c r="CF363" s="131"/>
      <c r="CG363" s="131"/>
      <c r="CH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c r="CF364" s="131"/>
      <c r="CG364" s="131"/>
      <c r="CH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c r="CF365" s="131"/>
      <c r="CG365" s="131"/>
      <c r="CH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c r="CF366" s="131"/>
      <c r="CG366" s="131"/>
      <c r="CH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c r="CF367" s="131"/>
      <c r="CG367" s="131"/>
      <c r="CH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c r="CF368" s="131"/>
      <c r="CG368" s="131"/>
      <c r="CH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c r="CF369" s="131"/>
      <c r="CG369" s="131"/>
      <c r="CH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c r="CF370" s="131"/>
      <c r="CG370" s="131"/>
      <c r="CH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c r="CF371" s="131"/>
      <c r="CG371" s="131"/>
      <c r="CH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c r="CF372" s="131"/>
      <c r="CG372" s="131"/>
      <c r="CH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c r="CF373" s="131"/>
      <c r="CG373" s="131"/>
      <c r="CH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c r="CF374" s="131"/>
      <c r="CG374" s="131"/>
      <c r="CH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c r="CF375" s="131"/>
      <c r="CG375" s="131"/>
      <c r="CH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c r="CF376" s="131"/>
      <c r="CG376" s="131"/>
      <c r="CH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c r="CF377" s="131"/>
      <c r="CG377" s="131"/>
      <c r="CH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c r="CF378" s="131"/>
      <c r="CG378" s="131"/>
      <c r="CH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c r="CF379" s="131"/>
      <c r="CG379" s="131"/>
      <c r="CH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c r="CF380" s="131"/>
      <c r="CG380" s="131"/>
      <c r="CH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c r="CF381" s="131"/>
      <c r="CG381" s="131"/>
      <c r="CH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c r="CF382" s="131"/>
      <c r="CG382" s="131"/>
      <c r="CH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c r="CF383" s="131"/>
      <c r="CG383" s="131"/>
      <c r="CH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c r="CF384" s="131"/>
      <c r="CG384" s="131"/>
      <c r="CH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c r="CF385" s="131"/>
      <c r="CG385" s="131"/>
      <c r="CH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c r="CF386" s="131"/>
      <c r="CG386" s="131"/>
      <c r="CH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c r="CF387" s="131"/>
      <c r="CG387" s="131"/>
      <c r="CH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c r="CF388" s="131"/>
      <c r="CG388" s="131"/>
      <c r="CH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c r="CF389" s="131"/>
      <c r="CG389" s="131"/>
      <c r="CH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c r="CF390" s="131"/>
      <c r="CG390" s="131"/>
      <c r="CH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c r="CF391" s="131"/>
      <c r="CG391" s="131"/>
      <c r="CH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c r="CF392" s="131"/>
      <c r="CG392" s="131"/>
      <c r="CH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c r="CF393" s="131"/>
      <c r="CG393" s="131"/>
      <c r="CH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c r="CF394" s="131"/>
      <c r="CG394" s="131"/>
      <c r="CH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c r="CF395" s="131"/>
      <c r="CG395" s="131"/>
      <c r="CH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c r="CF396" s="131"/>
      <c r="CG396" s="131"/>
      <c r="CH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c r="CF397" s="131"/>
      <c r="CG397" s="131"/>
      <c r="CH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c r="CF398" s="131"/>
      <c r="CG398" s="131"/>
      <c r="CH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c r="CF399" s="131"/>
      <c r="CG399" s="131"/>
      <c r="CH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c r="CF400" s="131"/>
      <c r="CG400" s="131"/>
      <c r="CH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c r="CF401" s="131"/>
      <c r="CG401" s="131"/>
      <c r="CH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c r="CF402" s="131"/>
      <c r="CG402" s="131"/>
      <c r="CH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c r="CF403" s="131"/>
      <c r="CG403" s="131"/>
      <c r="CH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c r="CF404" s="131"/>
      <c r="CG404" s="131"/>
      <c r="CH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c r="CF405" s="131"/>
      <c r="CG405" s="131"/>
      <c r="CH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c r="CF406" s="131"/>
      <c r="CG406" s="131"/>
      <c r="CH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c r="CF407" s="131"/>
      <c r="CG407" s="131"/>
      <c r="CH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c r="CF408" s="131"/>
      <c r="CG408" s="131"/>
      <c r="CH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c r="CF409" s="131"/>
      <c r="CG409" s="131"/>
      <c r="CH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c r="CF410" s="131"/>
      <c r="CG410" s="131"/>
      <c r="CH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c r="CF411" s="131"/>
      <c r="CG411" s="131"/>
      <c r="CH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c r="CF412" s="131"/>
      <c r="CG412" s="131"/>
      <c r="CH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c r="CF413" s="131"/>
      <c r="CG413" s="131"/>
      <c r="CH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c r="CF414" s="131"/>
      <c r="CG414" s="131"/>
      <c r="CH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c r="CF415" s="131"/>
      <c r="CG415" s="131"/>
      <c r="CH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c r="CF416" s="131"/>
      <c r="CG416" s="131"/>
      <c r="CH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c r="CF417" s="131"/>
      <c r="CG417" s="131"/>
      <c r="CH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c r="CF418" s="131"/>
      <c r="CG418" s="131"/>
      <c r="CH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c r="CF419" s="131"/>
      <c r="CG419" s="131"/>
      <c r="CH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c r="CF420" s="131"/>
      <c r="CG420" s="131"/>
      <c r="CH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c r="CF421" s="131"/>
      <c r="CG421" s="131"/>
      <c r="CH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c r="CF422" s="131"/>
      <c r="CG422" s="131"/>
      <c r="CH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c r="CF423" s="131"/>
      <c r="CG423" s="131"/>
      <c r="CH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c r="CF424" s="131"/>
      <c r="CG424" s="131"/>
      <c r="CH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c r="CF425" s="131"/>
      <c r="CG425" s="131"/>
      <c r="CH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c r="CF426" s="131"/>
      <c r="CG426" s="131"/>
      <c r="CH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c r="CF427" s="131"/>
      <c r="CG427" s="131"/>
      <c r="CH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c r="CF428" s="131"/>
      <c r="CG428" s="131"/>
      <c r="CH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c r="CF429" s="131"/>
      <c r="CG429" s="131"/>
      <c r="CH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c r="CF430" s="131"/>
      <c r="CG430" s="131"/>
      <c r="CH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c r="CF431" s="131"/>
      <c r="CG431" s="131"/>
      <c r="CH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c r="CF432" s="131"/>
      <c r="CG432" s="131"/>
      <c r="CH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c r="CF433" s="131"/>
      <c r="CG433" s="131"/>
      <c r="CH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c r="CF434" s="131"/>
      <c r="CG434" s="131"/>
      <c r="CH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c r="CF435" s="131"/>
      <c r="CG435" s="131"/>
      <c r="CH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c r="CF436" s="131"/>
      <c r="CG436" s="131"/>
      <c r="CH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c r="CF437" s="131"/>
      <c r="CG437" s="131"/>
      <c r="CH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c r="CF438" s="131"/>
      <c r="CG438" s="131"/>
      <c r="CH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c r="CF439" s="131"/>
      <c r="CG439" s="131"/>
      <c r="CH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c r="CF440" s="131"/>
      <c r="CG440" s="131"/>
      <c r="CH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c r="CF441" s="131"/>
      <c r="CG441" s="131"/>
      <c r="CH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c r="CF442" s="131"/>
      <c r="CG442" s="131"/>
      <c r="CH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c r="CF443" s="131"/>
      <c r="CG443" s="131"/>
      <c r="CH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c r="CF444" s="131"/>
      <c r="CG444" s="131"/>
      <c r="CH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c r="CF445" s="131"/>
      <c r="CG445" s="131"/>
      <c r="CH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c r="CF446" s="131"/>
      <c r="CG446" s="131"/>
      <c r="CH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c r="CF447" s="131"/>
      <c r="CG447" s="131"/>
      <c r="CH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c r="CF448" s="131"/>
      <c r="CG448" s="131"/>
      <c r="CH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c r="CF449" s="131"/>
      <c r="CG449" s="131"/>
      <c r="CH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c r="CF450" s="131"/>
      <c r="CG450" s="131"/>
      <c r="CH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c r="CF451" s="131"/>
      <c r="CG451" s="131"/>
      <c r="CH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c r="CF452" s="131"/>
      <c r="CG452" s="131"/>
      <c r="CH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c r="CF453" s="131"/>
      <c r="CG453" s="131"/>
      <c r="CH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c r="CF454" s="131"/>
      <c r="CG454" s="131"/>
      <c r="CH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c r="CF455" s="131"/>
      <c r="CG455" s="131"/>
      <c r="CH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c r="CF456" s="131"/>
      <c r="CG456" s="131"/>
      <c r="CH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c r="CF457" s="131"/>
      <c r="CG457" s="131"/>
      <c r="CH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c r="CF458" s="131"/>
      <c r="CG458" s="131"/>
      <c r="CH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c r="CF459" s="131"/>
      <c r="CG459" s="131"/>
      <c r="CH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c r="CF460" s="131"/>
      <c r="CG460" s="131"/>
      <c r="CH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c r="CF461" s="131"/>
      <c r="CG461" s="131"/>
      <c r="CH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c r="CF462" s="131"/>
      <c r="CG462" s="131"/>
      <c r="CH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c r="CF463" s="131"/>
      <c r="CG463" s="131"/>
      <c r="CH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c r="CF464" s="131"/>
      <c r="CG464" s="131"/>
      <c r="CH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c r="CF465" s="131"/>
      <c r="CG465" s="131"/>
      <c r="CH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c r="CF466" s="131"/>
      <c r="CG466" s="131"/>
      <c r="CH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c r="CF467" s="131"/>
      <c r="CG467" s="131"/>
      <c r="CH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c r="CF468" s="131"/>
      <c r="CG468" s="131"/>
      <c r="CH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c r="CF469" s="131"/>
      <c r="CG469" s="131"/>
      <c r="CH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c r="CF470" s="131"/>
      <c r="CG470" s="131"/>
      <c r="CH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c r="CF471" s="131"/>
      <c r="CG471" s="131"/>
      <c r="CH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c r="CF472" s="131"/>
      <c r="CG472" s="131"/>
      <c r="CH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c r="CF473" s="131"/>
      <c r="CG473" s="131"/>
      <c r="CH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c r="CF474" s="131"/>
      <c r="CG474" s="131"/>
      <c r="CH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c r="CF475" s="131"/>
      <c r="CG475" s="131"/>
      <c r="CH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c r="CF476" s="131"/>
      <c r="CG476" s="131"/>
      <c r="CH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c r="CF477" s="131"/>
      <c r="CG477" s="131"/>
      <c r="CH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c r="CF478" s="131"/>
      <c r="CG478" s="131"/>
      <c r="CH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c r="CF479" s="131"/>
      <c r="CG479" s="131"/>
      <c r="CH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c r="CF480" s="131"/>
      <c r="CG480" s="131"/>
      <c r="CH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c r="CF481" s="131"/>
      <c r="CG481" s="131"/>
      <c r="CH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c r="CF482" s="131"/>
      <c r="CG482" s="131"/>
      <c r="CH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c r="CF483" s="131"/>
      <c r="CG483" s="131"/>
      <c r="CH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c r="CF484" s="131"/>
      <c r="CG484" s="131"/>
      <c r="CH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c r="CF485" s="131"/>
      <c r="CG485" s="131"/>
      <c r="CH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c r="CF486" s="131"/>
      <c r="CG486" s="131"/>
      <c r="CH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c r="CF487" s="131"/>
      <c r="CG487" s="131"/>
      <c r="CH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c r="CF488" s="131"/>
      <c r="CG488" s="131"/>
      <c r="CH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c r="CF489" s="131"/>
      <c r="CG489" s="131"/>
      <c r="CH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c r="CF490" s="131"/>
      <c r="CG490" s="131"/>
      <c r="CH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c r="CF491" s="131"/>
      <c r="CG491" s="131"/>
      <c r="CH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c r="CF492" s="131"/>
      <c r="CG492" s="131"/>
      <c r="CH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c r="CF493" s="131"/>
      <c r="CG493" s="131"/>
      <c r="CH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c r="CF494" s="131"/>
      <c r="CG494" s="131"/>
      <c r="CH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c r="CF495" s="131"/>
      <c r="CG495" s="131"/>
      <c r="CH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c r="CF496" s="131"/>
      <c r="CG496" s="131"/>
      <c r="CH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c r="CF497" s="131"/>
      <c r="CG497" s="131"/>
      <c r="CH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c r="CF498" s="131"/>
      <c r="CG498" s="131"/>
      <c r="CH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c r="CF499" s="131"/>
      <c r="CG499" s="131"/>
      <c r="CH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c r="CF500" s="131"/>
      <c r="CG500" s="131"/>
      <c r="CH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c r="CF501" s="131"/>
      <c r="CG501" s="131"/>
      <c r="CH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c r="CF502" s="131"/>
      <c r="CG502" s="131"/>
      <c r="CH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c r="CF503" s="131"/>
      <c r="CG503" s="131"/>
      <c r="CH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c r="CF504" s="131"/>
      <c r="CG504" s="131"/>
      <c r="CH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c r="CF505" s="131"/>
      <c r="CG505" s="131"/>
      <c r="CH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c r="CF506" s="131"/>
      <c r="CG506" s="131"/>
      <c r="CH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c r="CF507" s="131"/>
      <c r="CG507" s="131"/>
      <c r="CH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c r="CF508" s="131"/>
      <c r="CG508" s="131"/>
      <c r="CH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c r="CF509" s="131"/>
      <c r="CG509" s="131"/>
      <c r="CH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c r="CF510" s="131"/>
      <c r="CG510" s="131"/>
      <c r="CH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c r="CF511" s="131"/>
      <c r="CG511" s="131"/>
      <c r="CH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c r="CF512" s="131"/>
      <c r="CG512" s="131"/>
      <c r="CH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c r="CF513" s="131"/>
      <c r="CG513" s="131"/>
      <c r="CH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c r="CF514" s="131"/>
      <c r="CG514" s="131"/>
      <c r="CH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c r="CF515" s="131"/>
      <c r="CG515" s="131"/>
      <c r="CH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c r="CF516" s="131"/>
      <c r="CG516" s="131"/>
      <c r="CH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c r="CF517" s="131"/>
      <c r="CG517" s="131"/>
      <c r="CH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c r="CF518" s="131"/>
      <c r="CG518" s="131"/>
      <c r="CH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c r="CF519" s="131"/>
      <c r="CG519" s="131"/>
      <c r="CH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c r="CF520" s="131"/>
      <c r="CG520" s="131"/>
      <c r="CH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c r="CF521" s="131"/>
      <c r="CG521" s="131"/>
      <c r="CH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c r="CF522" s="131"/>
      <c r="CG522" s="131"/>
      <c r="CH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c r="CF523" s="131"/>
      <c r="CG523" s="131"/>
      <c r="CH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c r="CF524" s="131"/>
      <c r="CG524" s="131"/>
      <c r="CH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c r="CF525" s="131"/>
      <c r="CG525" s="131"/>
      <c r="CH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c r="CF526" s="131"/>
      <c r="CG526" s="131"/>
      <c r="CH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c r="CF527" s="131"/>
      <c r="CG527" s="131"/>
      <c r="CH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c r="CF528" s="131"/>
      <c r="CG528" s="131"/>
      <c r="CH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c r="CF529" s="131"/>
      <c r="CG529" s="131"/>
      <c r="CH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c r="CF530" s="131"/>
      <c r="CG530" s="131"/>
      <c r="CH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c r="CF531" s="131"/>
      <c r="CG531" s="131"/>
      <c r="CH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c r="CF532" s="131"/>
      <c r="CG532" s="131"/>
      <c r="CH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c r="CF533" s="131"/>
      <c r="CG533" s="131"/>
      <c r="CH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c r="CF534" s="131"/>
      <c r="CG534" s="131"/>
      <c r="CH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c r="CF535" s="131"/>
      <c r="CG535" s="131"/>
      <c r="CH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c r="CF536" s="131"/>
      <c r="CG536" s="131"/>
      <c r="CH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c r="CF537" s="131"/>
      <c r="CG537" s="131"/>
      <c r="CH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c r="CF538" s="131"/>
      <c r="CG538" s="131"/>
      <c r="CH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c r="CF539" s="131"/>
      <c r="CG539" s="131"/>
      <c r="CH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c r="CF540" s="131"/>
      <c r="CG540" s="131"/>
      <c r="CH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c r="CF541" s="131"/>
      <c r="CG541" s="131"/>
      <c r="CH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c r="CF542" s="131"/>
      <c r="CG542" s="131"/>
      <c r="CH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c r="CF543" s="131"/>
      <c r="CG543" s="131"/>
      <c r="CH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c r="CF544" s="131"/>
      <c r="CG544" s="131"/>
      <c r="CH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c r="CF545" s="131"/>
      <c r="CG545" s="131"/>
      <c r="CH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c r="CF546" s="131"/>
      <c r="CG546" s="131"/>
      <c r="CH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c r="CF547" s="131"/>
      <c r="CG547" s="131"/>
      <c r="CH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c r="CF548" s="131"/>
      <c r="CG548" s="131"/>
      <c r="CH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c r="CF549" s="131"/>
      <c r="CG549" s="131"/>
      <c r="CH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c r="CF550" s="131"/>
      <c r="CG550" s="131"/>
      <c r="CH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c r="CF551" s="131"/>
      <c r="CG551" s="131"/>
      <c r="CH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c r="CF552" s="131"/>
      <c r="CG552" s="131"/>
      <c r="CH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c r="CF553" s="131"/>
      <c r="CG553" s="131"/>
      <c r="CH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c r="CF554" s="131"/>
      <c r="CG554" s="131"/>
      <c r="CH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c r="CF555" s="131"/>
      <c r="CG555" s="131"/>
      <c r="CH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c r="CF556" s="131"/>
      <c r="CG556" s="131"/>
      <c r="CH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c r="CF557" s="131"/>
      <c r="CG557" s="131"/>
      <c r="CH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c r="CF558" s="131"/>
      <c r="CG558" s="131"/>
      <c r="CH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c r="CF559" s="131"/>
      <c r="CG559" s="131"/>
      <c r="CH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c r="CF560" s="131"/>
      <c r="CG560" s="131"/>
      <c r="CH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c r="CF561" s="131"/>
      <c r="CG561" s="131"/>
      <c r="CH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c r="CF562" s="131"/>
      <c r="CG562" s="131"/>
      <c r="CH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c r="CF563" s="131"/>
      <c r="CG563" s="131"/>
      <c r="CH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c r="CF564" s="131"/>
      <c r="CG564" s="131"/>
      <c r="CH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c r="CF565" s="131"/>
      <c r="CG565" s="131"/>
      <c r="CH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c r="CF566" s="131"/>
      <c r="CG566" s="131"/>
      <c r="CH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c r="CF567" s="131"/>
      <c r="CG567" s="131"/>
      <c r="CH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c r="CF568" s="131"/>
      <c r="CG568" s="131"/>
      <c r="CH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c r="CF569" s="131"/>
      <c r="CG569" s="131"/>
      <c r="CH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c r="CF570" s="131"/>
      <c r="CG570" s="131"/>
      <c r="CH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c r="CF571" s="131"/>
      <c r="CG571" s="131"/>
      <c r="CH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c r="CF572" s="131"/>
      <c r="CG572" s="131"/>
      <c r="CH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c r="CF573" s="131"/>
      <c r="CG573" s="131"/>
      <c r="CH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c r="CF574" s="131"/>
      <c r="CG574" s="131"/>
      <c r="CH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c r="CF575" s="131"/>
      <c r="CG575" s="131"/>
      <c r="CH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c r="CF576" s="131"/>
      <c r="CG576" s="131"/>
      <c r="CH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c r="CF577" s="131"/>
      <c r="CG577" s="131"/>
      <c r="CH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c r="CF578" s="131"/>
      <c r="CG578" s="131"/>
      <c r="CH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c r="CF579" s="131"/>
      <c r="CG579" s="131"/>
      <c r="CH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c r="CF580" s="131"/>
      <c r="CG580" s="131"/>
      <c r="CH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c r="CF581" s="131"/>
      <c r="CG581" s="131"/>
      <c r="CH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c r="CF582" s="131"/>
      <c r="CG582" s="131"/>
      <c r="CH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c r="CF583" s="131"/>
      <c r="CG583" s="131"/>
      <c r="CH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c r="CF584" s="131"/>
      <c r="CG584" s="131"/>
      <c r="CH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c r="CF585" s="131"/>
      <c r="CG585" s="131"/>
      <c r="CH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c r="CF586" s="131"/>
      <c r="CG586" s="131"/>
      <c r="CH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c r="CF587" s="131"/>
      <c r="CG587" s="131"/>
      <c r="CH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c r="CF588" s="131"/>
      <c r="CG588" s="131"/>
      <c r="CH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c r="CF589" s="131"/>
      <c r="CG589" s="131"/>
      <c r="CH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c r="CF590" s="131"/>
      <c r="CG590" s="131"/>
      <c r="CH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c r="CF591" s="131"/>
      <c r="CG591" s="131"/>
      <c r="CH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c r="CF592" s="131"/>
      <c r="CG592" s="131"/>
      <c r="CH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c r="CF593" s="131"/>
      <c r="CG593" s="131"/>
      <c r="CH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c r="CF594" s="131"/>
      <c r="CG594" s="131"/>
      <c r="CH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c r="CF595" s="131"/>
      <c r="CG595" s="131"/>
      <c r="CH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c r="CF596" s="131"/>
      <c r="CG596" s="131"/>
      <c r="CH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c r="CF597" s="131"/>
      <c r="CG597" s="131"/>
      <c r="CH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c r="CF598" s="131"/>
      <c r="CG598" s="131"/>
      <c r="CH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c r="CF599" s="131"/>
      <c r="CG599" s="131"/>
      <c r="CH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c r="CF600" s="131"/>
      <c r="CG600" s="131"/>
      <c r="CH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c r="CF601" s="131"/>
      <c r="CG601" s="131"/>
      <c r="CH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c r="CF602" s="131"/>
      <c r="CG602" s="131"/>
      <c r="CH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c r="CF603" s="131"/>
      <c r="CG603" s="131"/>
      <c r="CH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c r="CF604" s="131"/>
      <c r="CG604" s="131"/>
      <c r="CH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c r="CF605" s="131"/>
      <c r="CG605" s="131"/>
      <c r="CH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c r="CF606" s="131"/>
      <c r="CG606" s="131"/>
      <c r="CH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c r="CF607" s="131"/>
      <c r="CG607" s="131"/>
      <c r="CH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c r="CF608" s="131"/>
      <c r="CG608" s="131"/>
      <c r="CH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c r="CF609" s="131"/>
      <c r="CG609" s="131"/>
      <c r="CH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c r="CF610" s="131"/>
      <c r="CG610" s="131"/>
      <c r="CH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c r="CF611" s="131"/>
      <c r="CG611" s="131"/>
      <c r="CH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c r="CF612" s="131"/>
      <c r="CG612" s="131"/>
      <c r="CH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c r="CF613" s="131"/>
      <c r="CG613" s="131"/>
      <c r="CH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c r="CF614" s="131"/>
      <c r="CG614" s="131"/>
      <c r="CH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c r="CF615" s="131"/>
      <c r="CG615" s="131"/>
      <c r="CH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c r="CF616" s="131"/>
      <c r="CG616" s="131"/>
      <c r="CH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c r="CF617" s="131"/>
      <c r="CG617" s="131"/>
      <c r="CH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c r="CF618" s="131"/>
      <c r="CG618" s="131"/>
      <c r="CH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c r="CF619" s="131"/>
      <c r="CG619" s="131"/>
      <c r="CH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c r="CF620" s="131"/>
      <c r="CG620" s="131"/>
      <c r="CH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c r="CF621" s="131"/>
      <c r="CG621" s="131"/>
      <c r="CH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c r="CF622" s="131"/>
      <c r="CG622" s="131"/>
      <c r="CH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c r="CF623" s="131"/>
      <c r="CG623" s="131"/>
      <c r="CH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c r="CF624" s="131"/>
      <c r="CG624" s="131"/>
      <c r="CH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c r="CF625" s="131"/>
      <c r="CG625" s="131"/>
      <c r="CH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c r="CF626" s="131"/>
      <c r="CG626" s="131"/>
      <c r="CH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c r="CF627" s="131"/>
      <c r="CG627" s="131"/>
      <c r="CH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c r="CF628" s="131"/>
      <c r="CG628" s="131"/>
      <c r="CH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c r="CF629" s="131"/>
      <c r="CG629" s="131"/>
      <c r="CH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c r="CF630" s="131"/>
      <c r="CG630" s="131"/>
      <c r="CH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c r="CF631" s="131"/>
      <c r="CG631" s="131"/>
      <c r="CH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c r="CF632" s="131"/>
      <c r="CG632" s="131"/>
      <c r="CH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c r="CF633" s="131"/>
      <c r="CG633" s="131"/>
      <c r="CH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c r="CF634" s="131"/>
      <c r="CG634" s="131"/>
      <c r="CH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c r="CF635" s="131"/>
      <c r="CG635" s="131"/>
      <c r="CH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c r="CF636" s="131"/>
      <c r="CG636" s="131"/>
      <c r="CH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c r="CF637" s="131"/>
      <c r="CG637" s="131"/>
      <c r="CH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c r="CF638" s="131"/>
      <c r="CG638" s="131"/>
      <c r="CH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c r="CF639" s="131"/>
      <c r="CG639" s="131"/>
      <c r="CH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c r="CF640" s="131"/>
      <c r="CG640" s="131"/>
      <c r="CH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c r="CF641" s="131"/>
      <c r="CG641" s="131"/>
      <c r="CH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c r="CF642" s="131"/>
      <c r="CG642" s="131"/>
      <c r="CH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c r="CF643" s="131"/>
      <c r="CG643" s="131"/>
      <c r="CH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c r="CF644" s="131"/>
      <c r="CG644" s="131"/>
      <c r="CH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c r="CF645" s="131"/>
      <c r="CG645" s="131"/>
      <c r="CH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c r="CF646" s="131"/>
      <c r="CG646" s="131"/>
      <c r="CH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c r="CF647" s="131"/>
      <c r="CG647" s="131"/>
      <c r="CH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c r="CF648" s="131"/>
      <c r="CG648" s="131"/>
      <c r="CH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c r="CF649" s="131"/>
      <c r="CG649" s="131"/>
      <c r="CH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c r="CF650" s="131"/>
      <c r="CG650" s="131"/>
      <c r="CH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c r="CF651" s="131"/>
      <c r="CG651" s="131"/>
      <c r="CH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c r="CF652" s="131"/>
      <c r="CG652" s="131"/>
      <c r="CH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c r="CF653" s="131"/>
      <c r="CG653" s="131"/>
      <c r="CH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c r="CF654" s="131"/>
      <c r="CG654" s="131"/>
      <c r="CH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c r="CF655" s="131"/>
      <c r="CG655" s="131"/>
      <c r="CH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c r="CF656" s="131"/>
      <c r="CG656" s="131"/>
      <c r="CH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c r="CF657" s="131"/>
      <c r="CG657" s="131"/>
      <c r="CH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c r="CF658" s="131"/>
      <c r="CG658" s="131"/>
      <c r="CH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c r="CF659" s="131"/>
      <c r="CG659" s="131"/>
      <c r="CH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c r="CF660" s="131"/>
      <c r="CG660" s="131"/>
      <c r="CH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c r="CF661" s="131"/>
      <c r="CG661" s="131"/>
      <c r="CH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c r="CF662" s="131"/>
      <c r="CG662" s="131"/>
      <c r="CH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c r="CF663" s="131"/>
      <c r="CG663" s="131"/>
      <c r="CH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c r="CF664" s="131"/>
      <c r="CG664" s="131"/>
      <c r="CH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c r="CF665" s="131"/>
      <c r="CG665" s="131"/>
      <c r="CH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c r="CF666" s="131"/>
      <c r="CG666" s="131"/>
      <c r="CH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c r="CF667" s="131"/>
      <c r="CG667" s="131"/>
      <c r="CH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c r="CF668" s="131"/>
      <c r="CG668" s="131"/>
      <c r="CH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c r="CF669" s="131"/>
      <c r="CG669" s="131"/>
      <c r="CH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c r="CF670" s="131"/>
      <c r="CG670" s="131"/>
      <c r="CH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c r="CF671" s="131"/>
      <c r="CG671" s="131"/>
      <c r="CH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c r="CF672" s="131"/>
      <c r="CG672" s="131"/>
      <c r="CH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c r="CF673" s="131"/>
      <c r="CG673" s="131"/>
      <c r="CH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c r="CF674" s="131"/>
      <c r="CG674" s="131"/>
      <c r="CH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c r="CF675" s="131"/>
      <c r="CG675" s="131"/>
      <c r="CH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c r="CF676" s="131"/>
      <c r="CG676" s="131"/>
      <c r="CH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c r="CF677" s="131"/>
      <c r="CG677" s="131"/>
      <c r="CH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c r="CF678" s="131"/>
      <c r="CG678" s="131"/>
      <c r="CH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c r="CF679" s="131"/>
      <c r="CG679" s="131"/>
      <c r="CH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c r="CF680" s="131"/>
      <c r="CG680" s="131"/>
      <c r="CH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c r="CF681" s="131"/>
      <c r="CG681" s="131"/>
      <c r="CH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c r="CF682" s="131"/>
      <c r="CG682" s="131"/>
      <c r="CH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c r="CF683" s="131"/>
      <c r="CG683" s="131"/>
      <c r="CH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c r="CF684" s="131"/>
      <c r="CG684" s="131"/>
      <c r="CH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c r="CF685" s="131"/>
      <c r="CG685" s="131"/>
      <c r="CH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c r="CF686" s="131"/>
      <c r="CG686" s="131"/>
      <c r="CH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c r="CF687" s="131"/>
      <c r="CG687" s="131"/>
      <c r="CH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c r="CF688" s="131"/>
      <c r="CG688" s="131"/>
      <c r="CH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c r="CF689" s="131"/>
      <c r="CG689" s="131"/>
      <c r="CH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c r="CF690" s="131"/>
      <c r="CG690" s="131"/>
      <c r="CH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c r="CF691" s="131"/>
      <c r="CG691" s="131"/>
      <c r="CH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c r="CF692" s="131"/>
      <c r="CG692" s="131"/>
      <c r="CH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c r="CF693" s="131"/>
      <c r="CG693" s="131"/>
      <c r="CH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c r="CF694" s="131"/>
      <c r="CG694" s="131"/>
      <c r="CH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c r="CF695" s="131"/>
      <c r="CG695" s="131"/>
      <c r="CH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c r="CF696" s="131"/>
      <c r="CG696" s="131"/>
      <c r="CH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c r="CF697" s="131"/>
      <c r="CG697" s="131"/>
      <c r="CH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c r="CF698" s="131"/>
      <c r="CG698" s="131"/>
      <c r="CH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c r="CF699" s="131"/>
      <c r="CG699" s="131"/>
      <c r="CH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c r="CF700" s="131"/>
      <c r="CG700" s="131"/>
      <c r="CH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c r="CF701" s="131"/>
      <c r="CG701" s="131"/>
      <c r="CH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c r="CF702" s="131"/>
      <c r="CG702" s="131"/>
      <c r="CH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c r="CF703" s="131"/>
      <c r="CG703" s="131"/>
      <c r="CH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c r="CF704" s="131"/>
      <c r="CG704" s="131"/>
      <c r="CH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c r="CF705" s="131"/>
      <c r="CG705" s="131"/>
      <c r="CH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c r="CF706" s="131"/>
      <c r="CG706" s="131"/>
      <c r="CH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c r="CF707" s="131"/>
      <c r="CG707" s="131"/>
      <c r="CH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c r="CF708" s="131"/>
      <c r="CG708" s="131"/>
      <c r="CH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c r="CF709" s="131"/>
      <c r="CG709" s="131"/>
      <c r="CH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c r="CF710" s="131"/>
      <c r="CG710" s="131"/>
      <c r="CH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c r="CF711" s="131"/>
      <c r="CG711" s="131"/>
      <c r="CH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c r="CF712" s="131"/>
      <c r="CG712" s="131"/>
      <c r="CH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c r="CF713" s="131"/>
      <c r="CG713" s="131"/>
      <c r="CH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c r="CF714" s="131"/>
      <c r="CG714" s="131"/>
      <c r="CH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c r="CF715" s="131"/>
      <c r="CG715" s="131"/>
      <c r="CH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c r="CF716" s="131"/>
      <c r="CG716" s="131"/>
      <c r="CH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c r="CF717" s="131"/>
      <c r="CG717" s="131"/>
      <c r="CH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c r="CF718" s="131"/>
      <c r="CG718" s="131"/>
      <c r="CH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c r="CF719" s="131"/>
      <c r="CG719" s="131"/>
      <c r="CH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c r="CF720" s="131"/>
      <c r="CG720" s="131"/>
      <c r="CH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c r="CF721" s="131"/>
      <c r="CG721" s="131"/>
      <c r="CH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c r="CF722" s="131"/>
      <c r="CG722" s="131"/>
      <c r="CH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c r="CF723" s="131"/>
      <c r="CG723" s="131"/>
      <c r="CH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c r="CF724" s="131"/>
      <c r="CG724" s="131"/>
      <c r="CH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c r="CF725" s="131"/>
      <c r="CG725" s="131"/>
      <c r="CH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c r="CF726" s="131"/>
      <c r="CG726" s="131"/>
      <c r="CH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c r="CF727" s="131"/>
      <c r="CG727" s="131"/>
      <c r="CH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c r="CF728" s="131"/>
      <c r="CG728" s="131"/>
      <c r="CH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c r="CF729" s="131"/>
      <c r="CG729" s="131"/>
      <c r="CH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c r="CF730" s="131"/>
      <c r="CG730" s="131"/>
      <c r="CH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c r="CF731" s="131"/>
      <c r="CG731" s="131"/>
      <c r="CH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c r="CF732" s="131"/>
      <c r="CG732" s="131"/>
      <c r="CH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c r="CF733" s="131"/>
      <c r="CG733" s="131"/>
      <c r="CH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c r="CF734" s="131"/>
      <c r="CG734" s="131"/>
      <c r="CH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c r="CF735" s="131"/>
      <c r="CG735" s="131"/>
      <c r="CH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c r="CF736" s="131"/>
      <c r="CG736" s="131"/>
      <c r="CH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c r="CF737" s="131"/>
      <c r="CG737" s="131"/>
      <c r="CH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c r="CF738" s="131"/>
      <c r="CG738" s="131"/>
      <c r="CH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c r="CF739" s="131"/>
      <c r="CG739" s="131"/>
      <c r="CH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c r="CF740" s="131"/>
      <c r="CG740" s="131"/>
      <c r="CH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c r="CF741" s="131"/>
      <c r="CG741" s="131"/>
      <c r="CH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c r="CF742" s="131"/>
      <c r="CG742" s="131"/>
      <c r="CH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c r="CF743" s="131"/>
      <c r="CG743" s="131"/>
      <c r="CH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c r="CF744" s="131"/>
      <c r="CG744" s="131"/>
      <c r="CH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c r="CF745" s="131"/>
      <c r="CG745" s="131"/>
      <c r="CH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c r="CF746" s="131"/>
      <c r="CG746" s="131"/>
      <c r="CH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c r="CF747" s="131"/>
      <c r="CG747" s="131"/>
      <c r="CH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c r="CF748" s="131"/>
      <c r="CG748" s="131"/>
      <c r="CH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c r="CF749" s="131"/>
      <c r="CG749" s="131"/>
      <c r="CH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c r="CF750" s="131"/>
      <c r="CG750" s="131"/>
      <c r="CH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c r="CF751" s="131"/>
      <c r="CG751" s="131"/>
      <c r="CH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c r="CF752" s="131"/>
      <c r="CG752" s="131"/>
      <c r="CH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c r="CF753" s="131"/>
      <c r="CG753" s="131"/>
      <c r="CH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c r="CF754" s="131"/>
      <c r="CG754" s="131"/>
      <c r="CH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c r="CF755" s="131"/>
      <c r="CG755" s="131"/>
      <c r="CH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c r="CF756" s="131"/>
      <c r="CG756" s="131"/>
      <c r="CH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c r="CF757" s="131"/>
      <c r="CG757" s="131"/>
      <c r="CH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c r="CF758" s="131"/>
      <c r="CG758" s="131"/>
      <c r="CH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c r="CF759" s="131"/>
      <c r="CG759" s="131"/>
      <c r="CH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c r="CF760" s="131"/>
      <c r="CG760" s="131"/>
      <c r="CH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c r="CF761" s="131"/>
      <c r="CG761" s="131"/>
      <c r="CH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c r="CF762" s="131"/>
      <c r="CG762" s="131"/>
      <c r="CH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c r="CF763" s="131"/>
      <c r="CG763" s="131"/>
      <c r="CH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c r="CF764" s="131"/>
      <c r="CG764" s="131"/>
      <c r="CH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c r="CF765" s="131"/>
      <c r="CG765" s="131"/>
      <c r="CH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c r="CF766" s="131"/>
      <c r="CG766" s="131"/>
      <c r="CH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c r="CF767" s="131"/>
      <c r="CG767" s="131"/>
      <c r="CH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c r="CF768" s="131"/>
      <c r="CG768" s="131"/>
      <c r="CH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c r="CF769" s="131"/>
      <c r="CG769" s="131"/>
      <c r="CH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c r="CF770" s="131"/>
      <c r="CG770" s="131"/>
      <c r="CH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c r="CF771" s="131"/>
      <c r="CG771" s="131"/>
      <c r="CH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c r="CF772" s="131"/>
      <c r="CG772" s="131"/>
      <c r="CH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c r="CF773" s="131"/>
      <c r="CG773" s="131"/>
      <c r="CH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c r="CF774" s="131"/>
      <c r="CG774" s="131"/>
      <c r="CH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c r="CF775" s="131"/>
      <c r="CG775" s="131"/>
      <c r="CH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c r="CF776" s="131"/>
      <c r="CG776" s="131"/>
      <c r="CH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c r="CF777" s="131"/>
      <c r="CG777" s="131"/>
      <c r="CH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c r="CF778" s="131"/>
      <c r="CG778" s="131"/>
      <c r="CH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c r="CF779" s="131"/>
      <c r="CG779" s="131"/>
      <c r="CH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c r="CF780" s="131"/>
      <c r="CG780" s="131"/>
      <c r="CH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c r="CF781" s="131"/>
      <c r="CG781" s="131"/>
      <c r="CH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c r="CF782" s="131"/>
      <c r="CG782" s="131"/>
      <c r="CH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c r="CF783" s="131"/>
      <c r="CG783" s="131"/>
      <c r="CH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c r="CF784" s="131"/>
      <c r="CG784" s="131"/>
      <c r="CH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c r="CF785" s="131"/>
      <c r="CG785" s="131"/>
      <c r="CH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c r="CF786" s="131"/>
      <c r="CG786" s="131"/>
      <c r="CH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c r="CF787" s="131"/>
      <c r="CG787" s="131"/>
      <c r="CH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c r="CF788" s="131"/>
      <c r="CG788" s="131"/>
      <c r="CH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c r="CF789" s="131"/>
      <c r="CG789" s="131"/>
      <c r="CH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c r="CF790" s="131"/>
      <c r="CG790" s="131"/>
      <c r="CH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c r="CF791" s="131"/>
      <c r="CG791" s="131"/>
      <c r="CH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c r="CF792" s="131"/>
      <c r="CG792" s="131"/>
      <c r="CH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c r="CF793" s="131"/>
      <c r="CG793" s="131"/>
      <c r="CH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c r="CF794" s="131"/>
      <c r="CG794" s="131"/>
      <c r="CH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c r="CF795" s="131"/>
      <c r="CG795" s="131"/>
      <c r="CH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c r="CF796" s="131"/>
      <c r="CG796" s="131"/>
      <c r="CH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c r="CF797" s="131"/>
      <c r="CG797" s="131"/>
      <c r="CH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c r="CF798" s="131"/>
      <c r="CG798" s="131"/>
      <c r="CH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c r="CF799" s="131"/>
      <c r="CG799" s="131"/>
      <c r="CH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c r="CF800" s="131"/>
      <c r="CG800" s="131"/>
      <c r="CH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c r="CF801" s="131"/>
      <c r="CG801" s="131"/>
      <c r="CH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c r="CF802" s="131"/>
      <c r="CG802" s="131"/>
      <c r="CH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c r="CF803" s="131"/>
      <c r="CG803" s="131"/>
      <c r="CH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c r="CF804" s="131"/>
      <c r="CG804" s="131"/>
      <c r="CH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c r="CF805" s="131"/>
      <c r="CG805" s="131"/>
      <c r="CH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c r="CF806" s="131"/>
      <c r="CG806" s="131"/>
      <c r="CH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c r="CF807" s="131"/>
      <c r="CG807" s="131"/>
      <c r="CH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c r="CF808" s="131"/>
      <c r="CG808" s="131"/>
      <c r="CH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c r="CF809" s="131"/>
      <c r="CG809" s="131"/>
      <c r="CH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c r="CF810" s="131"/>
      <c r="CG810" s="131"/>
      <c r="CH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c r="CF811" s="131"/>
      <c r="CG811" s="131"/>
      <c r="CH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c r="CF812" s="131"/>
      <c r="CG812" s="131"/>
      <c r="CH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c r="CF813" s="131"/>
      <c r="CG813" s="131"/>
      <c r="CH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c r="CF814" s="131"/>
      <c r="CG814" s="131"/>
      <c r="CH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c r="CF815" s="131"/>
      <c r="CG815" s="131"/>
      <c r="CH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c r="CF816" s="131"/>
      <c r="CG816" s="131"/>
      <c r="CH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c r="CF817" s="131"/>
      <c r="CG817" s="131"/>
      <c r="CH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c r="CF818" s="131"/>
      <c r="CG818" s="131"/>
      <c r="CH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c r="CF819" s="131"/>
      <c r="CG819" s="131"/>
      <c r="CH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c r="CF820" s="131"/>
      <c r="CG820" s="131"/>
      <c r="CH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c r="CF821" s="131"/>
      <c r="CG821" s="131"/>
      <c r="CH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c r="CF822" s="131"/>
      <c r="CG822" s="131"/>
      <c r="CH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c r="CF823" s="131"/>
      <c r="CG823" s="131"/>
      <c r="CH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c r="CF824" s="131"/>
      <c r="CG824" s="131"/>
      <c r="CH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c r="CF825" s="131"/>
      <c r="CG825" s="131"/>
      <c r="CH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c r="CF826" s="131"/>
      <c r="CG826" s="131"/>
      <c r="CH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c r="CF827" s="131"/>
      <c r="CG827" s="131"/>
      <c r="CH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c r="CF828" s="131"/>
      <c r="CG828" s="131"/>
      <c r="CH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c r="CF829" s="131"/>
      <c r="CG829" s="131"/>
      <c r="CH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c r="CF830" s="131"/>
      <c r="CG830" s="131"/>
      <c r="CH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c r="CF831" s="131"/>
      <c r="CG831" s="131"/>
      <c r="CH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c r="CF832" s="131"/>
      <c r="CG832" s="131"/>
      <c r="CH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c r="CF833" s="131"/>
      <c r="CG833" s="131"/>
      <c r="CH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c r="CF834" s="131"/>
      <c r="CG834" s="131"/>
      <c r="CH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c r="CF835" s="131"/>
      <c r="CG835" s="131"/>
      <c r="CH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c r="CF836" s="131"/>
      <c r="CG836" s="131"/>
      <c r="CH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c r="CF837" s="131"/>
      <c r="CG837" s="131"/>
      <c r="CH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c r="CF838" s="131"/>
      <c r="CG838" s="131"/>
      <c r="CH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c r="CF839" s="131"/>
      <c r="CG839" s="131"/>
      <c r="CH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c r="CF840" s="131"/>
      <c r="CG840" s="131"/>
      <c r="CH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c r="CF841" s="131"/>
      <c r="CG841" s="131"/>
      <c r="CH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c r="CF842" s="131"/>
      <c r="CG842" s="131"/>
      <c r="CH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c r="CF843" s="131"/>
      <c r="CG843" s="131"/>
      <c r="CH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c r="CF844" s="131"/>
      <c r="CG844" s="131"/>
      <c r="CH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c r="CF845" s="131"/>
      <c r="CG845" s="131"/>
      <c r="CH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c r="CF846" s="131"/>
      <c r="CG846" s="131"/>
      <c r="CH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c r="CF847" s="131"/>
      <c r="CG847" s="131"/>
      <c r="CH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c r="CF848" s="131"/>
      <c r="CG848" s="131"/>
      <c r="CH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c r="CF849" s="131"/>
      <c r="CG849" s="131"/>
      <c r="CH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c r="CF850" s="131"/>
      <c r="CG850" s="131"/>
      <c r="CH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c r="CF851" s="131"/>
      <c r="CG851" s="131"/>
      <c r="CH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c r="CF852" s="131"/>
      <c r="CG852" s="131"/>
      <c r="CH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c r="CF853" s="131"/>
      <c r="CG853" s="131"/>
      <c r="CH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c r="CF854" s="131"/>
      <c r="CG854" s="131"/>
      <c r="CH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c r="CF855" s="131"/>
      <c r="CG855" s="131"/>
      <c r="CH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c r="CF856" s="131"/>
      <c r="CG856" s="131"/>
      <c r="CH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c r="CF857" s="131"/>
      <c r="CG857" s="131"/>
      <c r="CH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c r="CF858" s="131"/>
      <c r="CG858" s="131"/>
      <c r="CH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c r="CF859" s="131"/>
      <c r="CG859" s="131"/>
      <c r="CH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c r="CF860" s="131"/>
      <c r="CG860" s="131"/>
      <c r="CH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c r="CF861" s="131"/>
      <c r="CG861" s="131"/>
      <c r="CH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c r="CF862" s="131"/>
      <c r="CG862" s="131"/>
      <c r="CH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c r="CF863" s="131"/>
      <c r="CG863" s="131"/>
      <c r="CH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c r="CF864" s="131"/>
      <c r="CG864" s="131"/>
      <c r="CH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c r="CF865" s="131"/>
      <c r="CG865" s="131"/>
      <c r="CH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c r="CF866" s="131"/>
      <c r="CG866" s="131"/>
      <c r="CH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c r="CF867" s="131"/>
      <c r="CG867" s="131"/>
      <c r="CH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c r="CF868" s="131"/>
      <c r="CG868" s="131"/>
      <c r="CH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c r="CF869" s="131"/>
      <c r="CG869" s="131"/>
      <c r="CH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c r="CF870" s="131"/>
      <c r="CG870" s="131"/>
      <c r="CH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c r="CF871" s="131"/>
      <c r="CG871" s="131"/>
      <c r="CH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c r="CF872" s="131"/>
      <c r="CG872" s="131"/>
      <c r="CH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c r="CF873" s="131"/>
      <c r="CG873" s="131"/>
      <c r="CH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c r="CF874" s="131"/>
      <c r="CG874" s="131"/>
      <c r="CH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c r="CF875" s="131"/>
      <c r="CG875" s="131"/>
      <c r="CH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c r="CF876" s="131"/>
      <c r="CG876" s="131"/>
      <c r="CH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c r="CF877" s="131"/>
      <c r="CG877" s="131"/>
      <c r="CH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c r="CF878" s="131"/>
      <c r="CG878" s="131"/>
      <c r="CH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c r="CF879" s="131"/>
      <c r="CG879" s="131"/>
      <c r="CH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c r="CF880" s="131"/>
      <c r="CG880" s="131"/>
      <c r="CH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c r="CF881" s="131"/>
      <c r="CG881" s="131"/>
      <c r="CH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c r="CF882" s="131"/>
      <c r="CG882" s="131"/>
      <c r="CH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c r="CF883" s="131"/>
      <c r="CG883" s="131"/>
      <c r="CH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c r="CF884" s="131"/>
      <c r="CG884" s="131"/>
      <c r="CH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c r="CF885" s="131"/>
      <c r="CG885" s="131"/>
      <c r="CH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c r="CF886" s="131"/>
      <c r="CG886" s="131"/>
      <c r="CH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c r="CF887" s="131"/>
      <c r="CG887" s="131"/>
      <c r="CH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c r="CF888" s="131"/>
      <c r="CG888" s="131"/>
      <c r="CH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c r="CF889" s="131"/>
      <c r="CG889" s="131"/>
      <c r="CH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c r="CF890" s="131"/>
      <c r="CG890" s="131"/>
      <c r="CH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c r="CF891" s="131"/>
      <c r="CG891" s="131"/>
      <c r="CH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c r="CF892" s="131"/>
      <c r="CG892" s="131"/>
      <c r="CH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c r="CF893" s="131"/>
      <c r="CG893" s="131"/>
      <c r="CH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c r="CF894" s="131"/>
      <c r="CG894" s="131"/>
      <c r="CH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c r="CF895" s="131"/>
      <c r="CG895" s="131"/>
      <c r="CH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c r="CF896" s="131"/>
      <c r="CG896" s="131"/>
      <c r="CH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c r="CF897" s="131"/>
      <c r="CG897" s="131"/>
      <c r="CH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c r="CF898" s="131"/>
      <c r="CG898" s="131"/>
      <c r="CH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c r="CF899" s="131"/>
      <c r="CG899" s="131"/>
      <c r="CH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c r="CF900" s="131"/>
      <c r="CG900" s="131"/>
      <c r="CH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c r="CF901" s="131"/>
      <c r="CG901" s="131"/>
      <c r="CH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c r="CF902" s="131"/>
      <c r="CG902" s="131"/>
      <c r="CH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c r="CF903" s="131"/>
      <c r="CG903" s="131"/>
      <c r="CH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c r="CF904" s="131"/>
      <c r="CG904" s="131"/>
      <c r="CH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c r="CF905" s="131"/>
      <c r="CG905" s="131"/>
      <c r="CH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c r="CF906" s="131"/>
      <c r="CG906" s="131"/>
      <c r="CH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c r="CF907" s="131"/>
      <c r="CG907" s="131"/>
      <c r="CH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c r="CF908" s="131"/>
      <c r="CG908" s="131"/>
      <c r="CH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c r="CF909" s="131"/>
      <c r="CG909" s="131"/>
      <c r="CH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c r="CF910" s="131"/>
      <c r="CG910" s="131"/>
      <c r="CH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c r="CF911" s="131"/>
      <c r="CG911" s="131"/>
      <c r="CH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c r="CF912" s="131"/>
      <c r="CG912" s="131"/>
      <c r="CH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c r="CF913" s="131"/>
      <c r="CG913" s="131"/>
      <c r="CH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c r="CF914" s="131"/>
      <c r="CG914" s="131"/>
      <c r="CH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c r="CF915" s="131"/>
      <c r="CG915" s="131"/>
      <c r="CH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c r="CF916" s="131"/>
      <c r="CG916" s="131"/>
      <c r="CH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c r="CF917" s="131"/>
      <c r="CG917" s="131"/>
      <c r="CH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c r="CF918" s="131"/>
      <c r="CG918" s="131"/>
      <c r="CH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c r="CF919" s="131"/>
      <c r="CG919" s="131"/>
      <c r="CH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c r="CF920" s="131"/>
      <c r="CG920" s="131"/>
      <c r="CH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c r="CF921" s="131"/>
      <c r="CG921" s="131"/>
      <c r="CH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c r="CF922" s="131"/>
      <c r="CG922" s="131"/>
      <c r="CH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c r="CF923" s="131"/>
      <c r="CG923" s="131"/>
      <c r="CH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c r="CF924" s="131"/>
      <c r="CG924" s="131"/>
      <c r="CH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c r="CF925" s="131"/>
      <c r="CG925" s="131"/>
      <c r="CH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c r="CF926" s="131"/>
      <c r="CG926" s="131"/>
      <c r="CH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c r="CF927" s="131"/>
      <c r="CG927" s="131"/>
      <c r="CH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c r="CF928" s="131"/>
      <c r="CG928" s="131"/>
      <c r="CH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c r="CF929" s="131"/>
      <c r="CG929" s="131"/>
      <c r="CH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c r="CF930" s="131"/>
      <c r="CG930" s="131"/>
      <c r="CH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c r="CF931" s="131"/>
      <c r="CG931" s="131"/>
      <c r="CH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c r="CF932" s="131"/>
      <c r="CG932" s="131"/>
      <c r="CH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c r="CF933" s="131"/>
      <c r="CG933" s="131"/>
      <c r="CH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c r="CF934" s="131"/>
      <c r="CG934" s="131"/>
      <c r="CH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c r="CF935" s="131"/>
      <c r="CG935" s="131"/>
      <c r="CH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c r="CF936" s="131"/>
      <c r="CG936" s="131"/>
      <c r="CH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c r="CF937" s="131"/>
      <c r="CG937" s="131"/>
      <c r="CH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c r="CF938" s="131"/>
      <c r="CG938" s="131"/>
      <c r="CH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c r="CF939" s="131"/>
      <c r="CG939" s="131"/>
      <c r="CH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c r="CF940" s="131"/>
      <c r="CG940" s="131"/>
      <c r="CH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c r="CF941" s="131"/>
      <c r="CG941" s="131"/>
      <c r="CH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c r="CF942" s="131"/>
      <c r="CG942" s="131"/>
      <c r="CH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c r="CF943" s="131"/>
      <c r="CG943" s="131"/>
      <c r="CH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c r="CF944" s="131"/>
      <c r="CG944" s="131"/>
      <c r="CH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c r="CF945" s="131"/>
      <c r="CG945" s="131"/>
      <c r="CH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c r="CF946" s="131"/>
      <c r="CG946" s="131"/>
      <c r="CH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c r="CF947" s="131"/>
      <c r="CG947" s="131"/>
      <c r="CH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c r="CF948" s="131"/>
      <c r="CG948" s="131"/>
      <c r="CH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c r="CF949" s="131"/>
      <c r="CG949" s="131"/>
      <c r="CH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c r="CF950" s="131"/>
      <c r="CG950" s="131"/>
      <c r="CH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c r="CF951" s="131"/>
      <c r="CG951" s="131"/>
      <c r="CH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c r="CF952" s="131"/>
      <c r="CG952" s="131"/>
      <c r="CH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c r="CF953" s="131"/>
      <c r="CG953" s="131"/>
      <c r="CH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c r="CF954" s="131"/>
      <c r="CG954" s="131"/>
      <c r="CH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c r="CF955" s="131"/>
      <c r="CG955" s="131"/>
      <c r="CH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c r="CF956" s="131"/>
      <c r="CG956" s="131"/>
      <c r="CH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c r="CF957" s="131"/>
      <c r="CG957" s="131"/>
      <c r="CH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c r="CF958" s="131"/>
      <c r="CG958" s="131"/>
      <c r="CH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c r="CF959" s="131"/>
      <c r="CG959" s="131"/>
      <c r="CH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c r="CF960" s="131"/>
      <c r="CG960" s="131"/>
      <c r="CH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c r="CF961" s="131"/>
      <c r="CG961" s="131"/>
      <c r="CH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c r="CF962" s="131"/>
      <c r="CG962" s="131"/>
      <c r="CH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c r="CF963" s="131"/>
      <c r="CG963" s="131"/>
      <c r="CH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c r="CF964" s="131"/>
      <c r="CG964" s="131"/>
      <c r="CH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c r="CF965" s="131"/>
      <c r="CG965" s="131"/>
      <c r="CH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c r="CF966" s="131"/>
      <c r="CG966" s="131"/>
      <c r="CH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c r="CF967" s="131"/>
      <c r="CG967" s="131"/>
      <c r="CH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c r="CF968" s="131"/>
      <c r="CG968" s="131"/>
      <c r="CH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c r="CF969" s="131"/>
      <c r="CG969" s="131"/>
      <c r="CH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c r="CF970" s="131"/>
      <c r="CG970" s="131"/>
      <c r="CH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c r="CF971" s="131"/>
      <c r="CG971" s="131"/>
      <c r="CH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c r="CF972" s="131"/>
      <c r="CG972" s="131"/>
      <c r="CH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c r="CF973" s="131"/>
      <c r="CG973" s="131"/>
      <c r="CH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c r="CF974" s="131"/>
      <c r="CG974" s="131"/>
      <c r="CH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c r="CF975" s="131"/>
      <c r="CG975" s="131"/>
      <c r="CH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c r="CF976" s="131"/>
      <c r="CG976" s="131"/>
      <c r="CH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c r="CF977" s="131"/>
      <c r="CG977" s="131"/>
      <c r="CH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c r="CF978" s="131"/>
      <c r="CG978" s="131"/>
      <c r="CH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c r="CF979" s="131"/>
      <c r="CG979" s="131"/>
      <c r="CH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c r="CF980" s="131"/>
      <c r="CG980" s="131"/>
      <c r="CH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c r="CF981" s="131"/>
      <c r="CG981" s="131"/>
      <c r="CH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c r="CF982" s="131"/>
      <c r="CG982" s="131"/>
      <c r="CH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c r="CF983" s="131"/>
      <c r="CG983" s="131"/>
      <c r="CH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c r="CF984" s="131"/>
      <c r="CG984" s="131"/>
      <c r="CH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c r="CF985" s="131"/>
      <c r="CG985" s="131"/>
      <c r="CH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c r="CF986" s="131"/>
      <c r="CG986" s="131"/>
      <c r="CH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c r="CF987" s="131"/>
      <c r="CG987" s="131"/>
      <c r="CH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c r="CF988" s="131"/>
      <c r="CG988" s="131"/>
      <c r="CH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c r="CF989" s="131"/>
      <c r="CG989" s="131"/>
      <c r="CH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c r="CF990" s="131"/>
      <c r="CG990" s="131"/>
      <c r="CH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c r="CF991" s="131"/>
      <c r="CG991" s="131"/>
      <c r="CH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c r="CF992" s="131"/>
      <c r="CG992" s="131"/>
      <c r="CH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c r="CF993" s="131"/>
      <c r="CG993" s="131"/>
      <c r="CH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c r="CF994" s="131"/>
      <c r="CG994" s="131"/>
      <c r="CH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c r="CF995" s="131"/>
      <c r="CG995" s="131"/>
      <c r="CH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c r="CF996" s="131"/>
      <c r="CG996" s="131"/>
      <c r="CH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c r="CF997" s="131"/>
      <c r="CG997" s="131"/>
      <c r="CH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c r="CF998" s="131"/>
      <c r="CG998" s="131"/>
      <c r="CH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c r="CF999" s="131"/>
      <c r="CG999" s="131"/>
      <c r="CH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c r="CF1000" s="131"/>
      <c r="CG1000" s="131"/>
      <c r="CH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c r="CF1001" s="131"/>
      <c r="CG1001" s="131"/>
      <c r="CH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c r="CF1002" s="131"/>
      <c r="CG1002" s="131"/>
      <c r="CH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c r="CF1003" s="131"/>
      <c r="CG1003" s="131"/>
      <c r="CH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c r="CF1004" s="131"/>
      <c r="CG1004" s="131"/>
      <c r="CH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c r="CF1005" s="131"/>
      <c r="CG1005" s="131"/>
      <c r="CH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c r="CF1006" s="131"/>
      <c r="CG1006" s="131"/>
      <c r="CH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c r="CF1007" s="131"/>
      <c r="CG1007" s="131"/>
      <c r="CH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c r="CF1008" s="131"/>
      <c r="CG1008" s="131"/>
      <c r="CH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c r="CF1009" s="131"/>
      <c r="CG1009" s="131"/>
      <c r="CH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c r="CF1010" s="131"/>
      <c r="CG1010" s="131"/>
      <c r="CH1010" s="131"/>
    </row>
  </sheetData>
  <dataValidations>
    <dataValidation type="list" allowBlank="1" showErrorMessage="1" sqref="BJ2:BJ31">
      <formula1>"村,町,都市,大都市"</formula1>
    </dataValidation>
    <dataValidation type="decimal" operator="greaterThanOrEqual" allowBlank="1" showDropDown="1" showInputMessage="1" showErrorMessage="1" prompt="0以上の数値。空欄は効果なし。" sqref="CF2:CH1010">
      <formula1>0.0</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4468</v>
      </c>
      <c r="B1" s="37" t="s">
        <v>4763</v>
      </c>
      <c r="C1" s="37" t="s">
        <v>0</v>
      </c>
      <c r="D1" s="37" t="s">
        <v>4764</v>
      </c>
      <c r="E1" s="37" t="s">
        <v>2620</v>
      </c>
      <c r="F1" s="37" t="s">
        <v>4374</v>
      </c>
      <c r="G1" s="37" t="s">
        <v>4387</v>
      </c>
      <c r="H1" s="37" t="s">
        <v>4390</v>
      </c>
      <c r="I1" s="37" t="s">
        <v>4392</v>
      </c>
      <c r="J1" s="37" t="s">
        <v>4395</v>
      </c>
      <c r="K1" s="37" t="s">
        <v>4401</v>
      </c>
      <c r="L1" s="37" t="s">
        <v>4404</v>
      </c>
      <c r="M1" s="37" t="s">
        <v>4407</v>
      </c>
      <c r="N1" s="37" t="s">
        <v>4410</v>
      </c>
      <c r="O1" s="37" t="s">
        <v>4412</v>
      </c>
      <c r="Q1" s="146" t="s">
        <v>2623</v>
      </c>
      <c r="R1" s="146" t="s">
        <v>2624</v>
      </c>
      <c r="S1" s="146" t="s">
        <v>2625</v>
      </c>
      <c r="T1" s="146" t="s">
        <v>2626</v>
      </c>
      <c r="U1" s="147" t="s">
        <v>3199</v>
      </c>
      <c r="V1" s="147" t="s">
        <v>3200</v>
      </c>
      <c r="W1" s="147" t="s">
        <v>3201</v>
      </c>
      <c r="X1" s="148" t="s">
        <v>3202</v>
      </c>
      <c r="Y1" s="148" t="s">
        <v>3203</v>
      </c>
      <c r="Z1" s="148" t="s">
        <v>3204</v>
      </c>
      <c r="AA1" s="148" t="s">
        <v>3205</v>
      </c>
      <c r="AB1" s="148" t="s">
        <v>3206</v>
      </c>
      <c r="AC1" s="74" t="s">
        <v>3207</v>
      </c>
      <c r="AD1" s="74" t="s">
        <v>3208</v>
      </c>
      <c r="AE1" s="74" t="s">
        <v>3209</v>
      </c>
      <c r="AF1" s="149" t="s">
        <v>2628</v>
      </c>
      <c r="AG1" s="149" t="s">
        <v>2627</v>
      </c>
      <c r="AH1" s="37" t="s">
        <v>4440</v>
      </c>
      <c r="AI1" s="74" t="s">
        <v>4442</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3329</v>
      </c>
      <c r="AZ1" s="39" t="s">
        <v>4765</v>
      </c>
      <c r="BA1" s="39" t="s">
        <v>4766</v>
      </c>
      <c r="BB1" s="164" t="s">
        <v>4767</v>
      </c>
      <c r="BC1" s="164" t="s">
        <v>4768</v>
      </c>
    </row>
    <row r="2" ht="18.75" customHeight="1">
      <c r="A2" s="37" t="s">
        <v>4769</v>
      </c>
      <c r="B2" s="37" t="s">
        <v>4770</v>
      </c>
      <c r="C2" s="37">
        <v>1.0</v>
      </c>
      <c r="D2" s="37">
        <v>5.0</v>
      </c>
      <c r="E2" s="37" t="s">
        <v>4771</v>
      </c>
      <c r="AY2" s="37" t="s">
        <v>4772</v>
      </c>
      <c r="AZ2" s="39">
        <v>1.0</v>
      </c>
      <c r="BA2" s="39" t="s">
        <v>29</v>
      </c>
      <c r="BB2" s="39"/>
      <c r="BC2" s="39"/>
    </row>
    <row r="3" ht="18.75" customHeight="1" outlineLevel="1">
      <c r="A3" s="37" t="s">
        <v>4773</v>
      </c>
      <c r="B3" s="37" t="s">
        <v>4770</v>
      </c>
      <c r="C3" s="37">
        <v>1.0</v>
      </c>
      <c r="D3" s="37">
        <v>5.0</v>
      </c>
      <c r="E3" s="37" t="s">
        <v>4774</v>
      </c>
      <c r="AY3" s="37" t="s">
        <v>4775</v>
      </c>
      <c r="AZ3" s="39">
        <v>1.0</v>
      </c>
      <c r="BA3" s="39" t="s">
        <v>29</v>
      </c>
      <c r="BB3" s="39"/>
      <c r="BC3" s="39"/>
    </row>
    <row r="4" ht="18.75" customHeight="1" outlineLevel="1">
      <c r="A4" s="37" t="s">
        <v>4776</v>
      </c>
      <c r="B4" s="37" t="s">
        <v>4770</v>
      </c>
      <c r="C4" s="37">
        <v>1.0</v>
      </c>
      <c r="D4" s="37">
        <v>5.0</v>
      </c>
      <c r="E4" s="37" t="s">
        <v>4777</v>
      </c>
      <c r="AY4" s="37" t="s">
        <v>4778</v>
      </c>
      <c r="AZ4" s="39">
        <v>1.0</v>
      </c>
      <c r="BA4" s="39" t="s">
        <v>29</v>
      </c>
      <c r="BB4" s="39"/>
      <c r="BC4" s="39"/>
    </row>
    <row r="5" ht="18.75" customHeight="1" outlineLevel="1">
      <c r="A5" s="37" t="s">
        <v>4779</v>
      </c>
      <c r="B5" s="37" t="s">
        <v>4770</v>
      </c>
      <c r="C5" s="37">
        <v>2.0</v>
      </c>
      <c r="D5" s="37">
        <v>15.0</v>
      </c>
      <c r="E5" s="37" t="s">
        <v>4780</v>
      </c>
      <c r="AY5" s="37" t="s">
        <v>4781</v>
      </c>
      <c r="AZ5" s="39">
        <v>2.0</v>
      </c>
      <c r="BA5" s="39" t="s">
        <v>4772</v>
      </c>
      <c r="BB5" s="39"/>
      <c r="BC5" s="39"/>
    </row>
    <row r="6" ht="18.75" customHeight="1" outlineLevel="1">
      <c r="A6" s="37" t="s">
        <v>4782</v>
      </c>
      <c r="B6" s="37" t="s">
        <v>4770</v>
      </c>
      <c r="C6" s="37">
        <v>2.0</v>
      </c>
      <c r="D6" s="37">
        <v>15.0</v>
      </c>
      <c r="E6" s="37" t="s">
        <v>4783</v>
      </c>
      <c r="AY6" s="37" t="s">
        <v>4784</v>
      </c>
      <c r="AZ6" s="39">
        <v>2.0</v>
      </c>
      <c r="BA6" s="39" t="s">
        <v>4775</v>
      </c>
      <c r="BB6" s="39"/>
      <c r="BC6" s="39"/>
    </row>
    <row r="7" ht="18.75" customHeight="1" outlineLevel="1">
      <c r="A7" s="37" t="s">
        <v>4785</v>
      </c>
      <c r="B7" s="37" t="s">
        <v>4770</v>
      </c>
      <c r="C7" s="37">
        <v>2.0</v>
      </c>
      <c r="D7" s="37">
        <v>15.0</v>
      </c>
      <c r="E7" s="37" t="s">
        <v>4786</v>
      </c>
      <c r="AY7" s="37" t="s">
        <v>4787</v>
      </c>
      <c r="AZ7" s="39">
        <v>2.0</v>
      </c>
      <c r="BA7" s="39" t="s">
        <v>4778</v>
      </c>
      <c r="BB7" s="39"/>
      <c r="BC7" s="39"/>
    </row>
    <row r="8" ht="18.75" customHeight="1" outlineLevel="1">
      <c r="A8" s="37" t="s">
        <v>4788</v>
      </c>
      <c r="B8" s="37" t="s">
        <v>4770</v>
      </c>
      <c r="C8" s="37">
        <v>3.0</v>
      </c>
      <c r="D8" s="37">
        <v>25.0</v>
      </c>
      <c r="E8" s="37" t="s">
        <v>4789</v>
      </c>
      <c r="AY8" s="37" t="s">
        <v>4790</v>
      </c>
      <c r="AZ8" s="39">
        <v>3.0</v>
      </c>
      <c r="BA8" s="39" t="s">
        <v>4781</v>
      </c>
      <c r="BB8" s="39"/>
      <c r="BC8" s="39"/>
    </row>
    <row r="9" ht="18.75" customHeight="1" outlineLevel="1">
      <c r="A9" s="37" t="s">
        <v>4791</v>
      </c>
      <c r="B9" s="37" t="s">
        <v>4770</v>
      </c>
      <c r="C9" s="37">
        <v>3.0</v>
      </c>
      <c r="D9" s="37">
        <v>25.0</v>
      </c>
      <c r="E9" s="37" t="s">
        <v>4792</v>
      </c>
      <c r="AY9" s="37" t="s">
        <v>4793</v>
      </c>
      <c r="AZ9" s="39">
        <v>3.0</v>
      </c>
      <c r="BA9" s="39" t="s">
        <v>4784</v>
      </c>
      <c r="BB9" s="39"/>
      <c r="BC9" s="39"/>
    </row>
    <row r="10" ht="18.75" customHeight="1" outlineLevel="1">
      <c r="A10" s="37" t="s">
        <v>4794</v>
      </c>
      <c r="B10" s="37" t="s">
        <v>4770</v>
      </c>
      <c r="C10" s="37">
        <v>3.0</v>
      </c>
      <c r="D10" s="37">
        <v>25.0</v>
      </c>
      <c r="E10" s="37" t="s">
        <v>4794</v>
      </c>
      <c r="AY10" s="37" t="s">
        <v>4795</v>
      </c>
      <c r="AZ10" s="39">
        <v>3.0</v>
      </c>
      <c r="BA10" s="39" t="s">
        <v>4787</v>
      </c>
      <c r="BB10" s="39"/>
      <c r="BC10" s="39"/>
    </row>
    <row r="11" ht="18.75" customHeight="1" outlineLevel="1">
      <c r="A11" s="37" t="s">
        <v>4796</v>
      </c>
      <c r="B11" s="37" t="s">
        <v>4770</v>
      </c>
      <c r="C11" s="37">
        <v>4.0</v>
      </c>
      <c r="D11" s="37">
        <v>35.0</v>
      </c>
      <c r="E11" s="37" t="s">
        <v>4797</v>
      </c>
      <c r="AY11" s="37" t="s">
        <v>4798</v>
      </c>
      <c r="AZ11" s="39">
        <v>4.0</v>
      </c>
      <c r="BA11" s="39" t="s">
        <v>4790</v>
      </c>
      <c r="BB11" s="39"/>
      <c r="BC11" s="39"/>
    </row>
    <row r="12" ht="18.75" customHeight="1" outlineLevel="1">
      <c r="A12" s="37" t="s">
        <v>4799</v>
      </c>
      <c r="B12" s="37" t="s">
        <v>4770</v>
      </c>
      <c r="C12" s="37">
        <v>4.0</v>
      </c>
      <c r="D12" s="37">
        <v>35.0</v>
      </c>
      <c r="E12" s="37" t="s">
        <v>4800</v>
      </c>
      <c r="AY12" s="37" t="s">
        <v>4801</v>
      </c>
      <c r="AZ12" s="39">
        <v>4.0</v>
      </c>
      <c r="BA12" s="39" t="s">
        <v>4793</v>
      </c>
      <c r="BB12" s="39"/>
      <c r="BC12" s="39"/>
    </row>
    <row r="13" ht="18.75" customHeight="1" outlineLevel="1">
      <c r="A13" s="37" t="s">
        <v>4802</v>
      </c>
      <c r="B13" s="37" t="s">
        <v>4770</v>
      </c>
      <c r="C13" s="37">
        <v>4.0</v>
      </c>
      <c r="D13" s="37">
        <v>35.0</v>
      </c>
      <c r="E13" s="37" t="s">
        <v>4803</v>
      </c>
      <c r="AY13" s="37" t="s">
        <v>4804</v>
      </c>
      <c r="AZ13" s="39">
        <v>4.0</v>
      </c>
      <c r="BA13" s="39" t="s">
        <v>4795</v>
      </c>
      <c r="BB13" s="39"/>
      <c r="BC13" s="39"/>
    </row>
    <row r="14" ht="18.75" customHeight="1" outlineLevel="1">
      <c r="B14" s="37" t="s">
        <v>4770</v>
      </c>
      <c r="C14" s="37">
        <f t="shared" ref="C14:C21" si="1">C11+1</f>
        <v>5</v>
      </c>
    </row>
    <row r="15" ht="18.75" customHeight="1" outlineLevel="1">
      <c r="B15" s="37" t="s">
        <v>4770</v>
      </c>
      <c r="C15" s="37">
        <f t="shared" si="1"/>
        <v>5</v>
      </c>
    </row>
    <row r="16" ht="18.75" customHeight="1" outlineLevel="1">
      <c r="B16" s="37" t="s">
        <v>4770</v>
      </c>
      <c r="C16" s="37">
        <f t="shared" si="1"/>
        <v>5</v>
      </c>
    </row>
    <row r="17" ht="18.75" customHeight="1" outlineLevel="1">
      <c r="B17" s="37" t="s">
        <v>4770</v>
      </c>
      <c r="C17" s="37">
        <f t="shared" si="1"/>
        <v>6</v>
      </c>
    </row>
    <row r="18" ht="18.75" customHeight="1" outlineLevel="1">
      <c r="B18" s="37" t="s">
        <v>4770</v>
      </c>
      <c r="C18" s="37">
        <f t="shared" si="1"/>
        <v>6</v>
      </c>
    </row>
    <row r="19" ht="18.75" customHeight="1" outlineLevel="1">
      <c r="B19" s="37" t="s">
        <v>4770</v>
      </c>
      <c r="C19" s="37">
        <f t="shared" si="1"/>
        <v>6</v>
      </c>
    </row>
    <row r="20" ht="18.75" customHeight="1" outlineLevel="1">
      <c r="B20" s="37" t="s">
        <v>4770</v>
      </c>
      <c r="C20" s="37">
        <f t="shared" si="1"/>
        <v>7</v>
      </c>
    </row>
    <row r="21" ht="18.75" customHeight="1" outlineLevel="1">
      <c r="B21" s="37" t="s">
        <v>4770</v>
      </c>
      <c r="C21" s="37">
        <f t="shared" si="1"/>
        <v>7</v>
      </c>
    </row>
    <row r="22" ht="18.75" customHeight="1" outlineLevel="1">
      <c r="A22" s="37" t="s">
        <v>4468</v>
      </c>
      <c r="B22" s="37" t="s">
        <v>4763</v>
      </c>
      <c r="C22" s="37" t="s">
        <v>0</v>
      </c>
      <c r="E22" s="37" t="s">
        <v>2620</v>
      </c>
    </row>
    <row r="23" ht="18.75" customHeight="1">
      <c r="A23" s="37" t="s">
        <v>4805</v>
      </c>
      <c r="B23" s="37" t="s">
        <v>4806</v>
      </c>
      <c r="C23" s="37">
        <v>1.0</v>
      </c>
      <c r="D23" s="37">
        <v>5.0</v>
      </c>
      <c r="E23" s="37" t="s">
        <v>4807</v>
      </c>
      <c r="AW23" s="39">
        <v>10.0</v>
      </c>
      <c r="AY23" s="37" t="s">
        <v>4808</v>
      </c>
      <c r="AZ23" s="39">
        <v>1.0</v>
      </c>
      <c r="BA23" s="39" t="s">
        <v>29</v>
      </c>
      <c r="BB23" s="39"/>
      <c r="BC23" s="39"/>
    </row>
    <row r="24" ht="18.75" customHeight="1" outlineLevel="1">
      <c r="A24" s="37" t="s">
        <v>4809</v>
      </c>
      <c r="B24" s="37" t="s">
        <v>4806</v>
      </c>
      <c r="C24" s="37">
        <v>1.0</v>
      </c>
      <c r="D24" s="37">
        <v>5.0</v>
      </c>
      <c r="E24" s="37" t="s">
        <v>4810</v>
      </c>
      <c r="AY24" s="37" t="s">
        <v>4811</v>
      </c>
      <c r="AZ24" s="39">
        <v>1.0</v>
      </c>
      <c r="BA24" s="39" t="s">
        <v>29</v>
      </c>
      <c r="BB24" s="39"/>
      <c r="BC24" s="39"/>
    </row>
    <row r="25" ht="18.75" customHeight="1" outlineLevel="1">
      <c r="A25" s="37" t="s">
        <v>4812</v>
      </c>
      <c r="B25" s="37" t="s">
        <v>4806</v>
      </c>
      <c r="C25" s="37">
        <v>1.0</v>
      </c>
      <c r="D25" s="37">
        <v>5.0</v>
      </c>
      <c r="E25" s="37" t="s">
        <v>4813</v>
      </c>
      <c r="AY25" s="37" t="s">
        <v>4814</v>
      </c>
      <c r="AZ25" s="39">
        <v>1.0</v>
      </c>
      <c r="BA25" s="39" t="s">
        <v>29</v>
      </c>
      <c r="BB25" s="39"/>
      <c r="BC25" s="39"/>
    </row>
    <row r="26" ht="18.75" customHeight="1" outlineLevel="1">
      <c r="A26" s="37" t="s">
        <v>4815</v>
      </c>
      <c r="B26" s="37" t="s">
        <v>4806</v>
      </c>
      <c r="C26" s="37">
        <v>2.0</v>
      </c>
      <c r="D26" s="37">
        <v>15.0</v>
      </c>
      <c r="E26" s="37" t="s">
        <v>4816</v>
      </c>
      <c r="AY26" s="37" t="s">
        <v>4817</v>
      </c>
      <c r="AZ26" s="39">
        <v>2.0</v>
      </c>
      <c r="BA26" s="39" t="s">
        <v>4808</v>
      </c>
      <c r="BB26" s="39"/>
      <c r="BC26" s="39"/>
    </row>
    <row r="27" ht="18.75" customHeight="1" outlineLevel="1">
      <c r="A27" s="37" t="s">
        <v>4818</v>
      </c>
      <c r="B27" s="37" t="s">
        <v>4806</v>
      </c>
      <c r="C27" s="37">
        <v>2.0</v>
      </c>
      <c r="D27" s="37">
        <v>15.0</v>
      </c>
      <c r="E27" s="37" t="s">
        <v>4819</v>
      </c>
      <c r="AY27" s="37" t="s">
        <v>4820</v>
      </c>
      <c r="AZ27" s="39">
        <v>2.0</v>
      </c>
      <c r="BA27" s="39" t="s">
        <v>4811</v>
      </c>
      <c r="BB27" s="39"/>
      <c r="BC27" s="39"/>
    </row>
    <row r="28" ht="18.75" customHeight="1" outlineLevel="1">
      <c r="A28" s="37" t="s">
        <v>4821</v>
      </c>
      <c r="B28" s="37" t="s">
        <v>4806</v>
      </c>
      <c r="C28" s="37">
        <v>2.0</v>
      </c>
      <c r="D28" s="37">
        <v>15.0</v>
      </c>
      <c r="E28" s="37" t="s">
        <v>4822</v>
      </c>
      <c r="AY28" s="37" t="s">
        <v>4823</v>
      </c>
      <c r="AZ28" s="39">
        <v>2.0</v>
      </c>
      <c r="BA28" s="39" t="s">
        <v>4814</v>
      </c>
      <c r="BB28" s="39"/>
      <c r="BC28" s="39"/>
    </row>
    <row r="29" ht="18.75" customHeight="1" outlineLevel="1">
      <c r="A29" s="37" t="s">
        <v>4824</v>
      </c>
      <c r="B29" s="37" t="s">
        <v>4806</v>
      </c>
      <c r="C29" s="37">
        <v>3.0</v>
      </c>
      <c r="D29" s="37">
        <v>25.0</v>
      </c>
      <c r="E29" s="37" t="s">
        <v>4825</v>
      </c>
      <c r="O29" s="39">
        <v>10.0</v>
      </c>
      <c r="AY29" s="37" t="s">
        <v>4826</v>
      </c>
      <c r="AZ29" s="39">
        <v>3.0</v>
      </c>
      <c r="BA29" s="39" t="s">
        <v>4817</v>
      </c>
      <c r="BB29" s="39"/>
      <c r="BC29" s="39"/>
    </row>
    <row r="30" ht="18.75" customHeight="1" outlineLevel="1">
      <c r="A30" s="37" t="s">
        <v>4827</v>
      </c>
      <c r="B30" s="37" t="s">
        <v>4806</v>
      </c>
      <c r="C30" s="37">
        <v>3.0</v>
      </c>
      <c r="D30" s="37">
        <v>25.0</v>
      </c>
      <c r="E30" s="37" t="s">
        <v>4828</v>
      </c>
      <c r="AW30" s="39">
        <v>15.0</v>
      </c>
      <c r="AY30" s="37" t="s">
        <v>4829</v>
      </c>
      <c r="AZ30" s="39">
        <v>3.0</v>
      </c>
      <c r="BA30" s="39" t="s">
        <v>4820</v>
      </c>
      <c r="BB30" s="39"/>
      <c r="BC30" s="39"/>
    </row>
    <row r="31" ht="18.75" customHeight="1" outlineLevel="1">
      <c r="A31" s="37" t="s">
        <v>4830</v>
      </c>
      <c r="B31" s="37" t="s">
        <v>4806</v>
      </c>
      <c r="C31" s="37">
        <v>3.0</v>
      </c>
      <c r="D31" s="37">
        <v>25.0</v>
      </c>
      <c r="E31" s="37" t="s">
        <v>4831</v>
      </c>
      <c r="AY31" s="37" t="s">
        <v>4832</v>
      </c>
      <c r="AZ31" s="39">
        <v>3.0</v>
      </c>
      <c r="BA31" s="39" t="s">
        <v>4823</v>
      </c>
      <c r="BB31" s="39"/>
      <c r="BC31" s="39"/>
    </row>
    <row r="32" ht="18.75" customHeight="1" outlineLevel="1">
      <c r="A32" s="37" t="s">
        <v>4833</v>
      </c>
      <c r="B32" s="37" t="s">
        <v>4806</v>
      </c>
      <c r="C32" s="37">
        <v>4.0</v>
      </c>
      <c r="D32" s="37">
        <v>35.0</v>
      </c>
      <c r="E32" s="37" t="s">
        <v>4834</v>
      </c>
      <c r="AW32" s="39">
        <v>25.0</v>
      </c>
      <c r="AY32" s="37" t="s">
        <v>4835</v>
      </c>
      <c r="AZ32" s="39">
        <v>4.0</v>
      </c>
      <c r="BA32" s="39" t="s">
        <v>4826</v>
      </c>
      <c r="BB32" s="39"/>
      <c r="BC32" s="39"/>
    </row>
    <row r="33" ht="18.75" customHeight="1" outlineLevel="1">
      <c r="A33" s="37" t="s">
        <v>4836</v>
      </c>
      <c r="B33" s="37" t="s">
        <v>4806</v>
      </c>
      <c r="C33" s="37">
        <v>4.0</v>
      </c>
      <c r="D33" s="37">
        <v>35.0</v>
      </c>
      <c r="E33" s="37" t="s">
        <v>4837</v>
      </c>
      <c r="O33" s="39">
        <v>20.0</v>
      </c>
      <c r="AY33" s="37" t="s">
        <v>4838</v>
      </c>
      <c r="AZ33" s="39">
        <v>4.0</v>
      </c>
      <c r="BA33" s="39" t="s">
        <v>4829</v>
      </c>
      <c r="BB33" s="39"/>
      <c r="BC33" s="39"/>
    </row>
    <row r="34" ht="18.75" customHeight="1" outlineLevel="1">
      <c r="A34" s="37" t="s">
        <v>4839</v>
      </c>
      <c r="B34" s="37" t="s">
        <v>4806</v>
      </c>
      <c r="C34" s="37">
        <v>4.0</v>
      </c>
      <c r="D34" s="37">
        <v>35.0</v>
      </c>
      <c r="E34" s="37" t="s">
        <v>4840</v>
      </c>
      <c r="AY34" s="37" t="s">
        <v>4841</v>
      </c>
      <c r="AZ34" s="39">
        <v>4.0</v>
      </c>
      <c r="BA34" s="39" t="s">
        <v>4832</v>
      </c>
      <c r="BB34" s="39"/>
      <c r="BC34" s="39"/>
    </row>
    <row r="35" ht="18.75" customHeight="1" outlineLevel="1">
      <c r="B35" s="37" t="s">
        <v>4806</v>
      </c>
      <c r="C35" s="37">
        <f t="shared" ref="C35:C42" si="2">C32+1</f>
        <v>5</v>
      </c>
    </row>
    <row r="36" ht="18.75" customHeight="1" outlineLevel="1">
      <c r="B36" s="37" t="s">
        <v>4806</v>
      </c>
      <c r="C36" s="37">
        <f t="shared" si="2"/>
        <v>5</v>
      </c>
    </row>
    <row r="37" ht="18.75" customHeight="1" outlineLevel="1">
      <c r="B37" s="37" t="s">
        <v>4806</v>
      </c>
      <c r="C37" s="37">
        <f t="shared" si="2"/>
        <v>5</v>
      </c>
    </row>
    <row r="38" ht="18.75" customHeight="1" outlineLevel="1">
      <c r="B38" s="37" t="s">
        <v>4806</v>
      </c>
      <c r="C38" s="37">
        <f t="shared" si="2"/>
        <v>6</v>
      </c>
    </row>
    <row r="39" ht="18.75" customHeight="1" outlineLevel="1">
      <c r="B39" s="37" t="s">
        <v>4806</v>
      </c>
      <c r="C39" s="37">
        <f t="shared" si="2"/>
        <v>6</v>
      </c>
    </row>
    <row r="40" ht="18.75" customHeight="1" outlineLevel="1">
      <c r="B40" s="37" t="s">
        <v>4806</v>
      </c>
      <c r="C40" s="37">
        <f t="shared" si="2"/>
        <v>6</v>
      </c>
    </row>
    <row r="41" ht="18.75" customHeight="1" outlineLevel="1">
      <c r="B41" s="37" t="s">
        <v>4806</v>
      </c>
      <c r="C41" s="37">
        <f t="shared" si="2"/>
        <v>7</v>
      </c>
    </row>
    <row r="42" ht="18.75" customHeight="1" outlineLevel="1">
      <c r="B42" s="37" t="s">
        <v>4806</v>
      </c>
      <c r="C42" s="37">
        <f t="shared" si="2"/>
        <v>7</v>
      </c>
    </row>
    <row r="43" ht="18.75" customHeight="1" outlineLevel="1">
      <c r="A43" s="37" t="s">
        <v>4468</v>
      </c>
      <c r="B43" s="37" t="s">
        <v>4763</v>
      </c>
      <c r="C43" s="37" t="s">
        <v>0</v>
      </c>
      <c r="E43" s="37" t="s">
        <v>2620</v>
      </c>
    </row>
    <row r="44" ht="18.75" customHeight="1">
      <c r="A44" s="37" t="s">
        <v>4842</v>
      </c>
      <c r="B44" s="37" t="s">
        <v>1179</v>
      </c>
      <c r="C44" s="37">
        <v>1.0</v>
      </c>
      <c r="D44" s="37">
        <v>5.0</v>
      </c>
      <c r="E44" s="37" t="s">
        <v>4843</v>
      </c>
      <c r="AX44" s="39">
        <v>15.0</v>
      </c>
      <c r="AY44" s="37" t="s">
        <v>4844</v>
      </c>
      <c r="AZ44" s="39">
        <v>1.0</v>
      </c>
      <c r="BA44" s="39" t="s">
        <v>29</v>
      </c>
      <c r="BB44" s="39"/>
      <c r="BC44" s="39"/>
    </row>
    <row r="45" ht="18.75" customHeight="1" outlineLevel="1">
      <c r="A45" s="37" t="s">
        <v>4845</v>
      </c>
      <c r="B45" s="37" t="s">
        <v>1179</v>
      </c>
      <c r="C45" s="37">
        <v>1.0</v>
      </c>
      <c r="D45" s="37">
        <v>5.0</v>
      </c>
      <c r="E45" s="37" t="s">
        <v>4846</v>
      </c>
      <c r="AY45" s="37" t="s">
        <v>4847</v>
      </c>
      <c r="AZ45" s="39">
        <v>1.0</v>
      </c>
      <c r="BA45" s="39" t="s">
        <v>29</v>
      </c>
      <c r="BB45" s="39"/>
      <c r="BC45" s="39"/>
    </row>
    <row r="46" ht="18.75" customHeight="1" outlineLevel="1">
      <c r="A46" s="37" t="s">
        <v>4848</v>
      </c>
      <c r="B46" s="37" t="s">
        <v>1179</v>
      </c>
      <c r="C46" s="37">
        <v>1.0</v>
      </c>
      <c r="D46" s="37">
        <v>5.0</v>
      </c>
      <c r="E46" s="37" t="s">
        <v>4849</v>
      </c>
      <c r="AY46" s="37" t="s">
        <v>4850</v>
      </c>
      <c r="AZ46" s="39">
        <v>1.0</v>
      </c>
      <c r="BA46" s="39" t="s">
        <v>29</v>
      </c>
      <c r="BB46" s="39"/>
      <c r="BC46" s="39"/>
    </row>
    <row r="47" ht="18.75" customHeight="1" outlineLevel="1">
      <c r="A47" s="37" t="s">
        <v>4851</v>
      </c>
      <c r="B47" s="37" t="s">
        <v>1179</v>
      </c>
      <c r="C47" s="37">
        <v>2.0</v>
      </c>
      <c r="D47" s="37">
        <v>15.0</v>
      </c>
      <c r="E47" s="37" t="s">
        <v>4852</v>
      </c>
      <c r="AY47" s="37" t="s">
        <v>4853</v>
      </c>
      <c r="AZ47" s="39">
        <v>2.0</v>
      </c>
      <c r="BA47" s="39" t="s">
        <v>4844</v>
      </c>
      <c r="BB47" s="39"/>
      <c r="BC47" s="39"/>
    </row>
    <row r="48" ht="18.75" customHeight="1" outlineLevel="1">
      <c r="A48" s="37" t="s">
        <v>4854</v>
      </c>
      <c r="B48" s="37" t="s">
        <v>1179</v>
      </c>
      <c r="C48" s="37">
        <v>2.0</v>
      </c>
      <c r="D48" s="37">
        <v>15.0</v>
      </c>
      <c r="E48" s="37" t="s">
        <v>4855</v>
      </c>
      <c r="AY48" s="37" t="s">
        <v>4856</v>
      </c>
      <c r="AZ48" s="39">
        <v>2.0</v>
      </c>
      <c r="BA48" s="39" t="s">
        <v>4847</v>
      </c>
      <c r="BB48" s="39"/>
      <c r="BC48" s="39"/>
    </row>
    <row r="49" ht="18.75" customHeight="1" outlineLevel="1">
      <c r="A49" s="37" t="s">
        <v>4857</v>
      </c>
      <c r="B49" s="37" t="s">
        <v>1179</v>
      </c>
      <c r="C49" s="37">
        <v>2.0</v>
      </c>
      <c r="D49" s="37">
        <v>15.0</v>
      </c>
      <c r="E49" s="37" t="s">
        <v>4822</v>
      </c>
      <c r="AY49" s="37" t="s">
        <v>4858</v>
      </c>
      <c r="AZ49" s="39">
        <v>2.0</v>
      </c>
      <c r="BA49" s="39" t="s">
        <v>4850</v>
      </c>
      <c r="BB49" s="39"/>
      <c r="BC49" s="39"/>
    </row>
    <row r="50" ht="18.75" customHeight="1" outlineLevel="1">
      <c r="A50" s="37" t="s">
        <v>4859</v>
      </c>
      <c r="B50" s="37" t="s">
        <v>1179</v>
      </c>
      <c r="C50" s="37">
        <v>3.0</v>
      </c>
      <c r="D50" s="37">
        <v>25.0</v>
      </c>
      <c r="E50" s="37" t="s">
        <v>4825</v>
      </c>
      <c r="O50" s="39">
        <v>10.0</v>
      </c>
      <c r="AY50" s="37" t="s">
        <v>4860</v>
      </c>
      <c r="AZ50" s="39">
        <v>3.0</v>
      </c>
      <c r="BA50" s="39" t="s">
        <v>4853</v>
      </c>
      <c r="BB50" s="39"/>
      <c r="BC50" s="39"/>
    </row>
    <row r="51" ht="18.75" customHeight="1" outlineLevel="1">
      <c r="A51" s="37" t="s">
        <v>4861</v>
      </c>
      <c r="B51" s="37" t="s">
        <v>1179</v>
      </c>
      <c r="C51" s="37">
        <v>3.0</v>
      </c>
      <c r="D51" s="37">
        <v>25.0</v>
      </c>
      <c r="E51" s="37" t="s">
        <v>4862</v>
      </c>
      <c r="AY51" s="37" t="s">
        <v>4863</v>
      </c>
      <c r="AZ51" s="39">
        <v>3.0</v>
      </c>
      <c r="BA51" s="39" t="s">
        <v>4856</v>
      </c>
      <c r="BB51" s="39"/>
      <c r="BC51" s="39"/>
    </row>
    <row r="52" ht="18.75" customHeight="1" outlineLevel="1">
      <c r="A52" s="37" t="s">
        <v>4864</v>
      </c>
      <c r="B52" s="37" t="s">
        <v>1179</v>
      </c>
      <c r="C52" s="37">
        <v>3.0</v>
      </c>
      <c r="D52" s="37">
        <v>25.0</v>
      </c>
      <c r="E52" s="37" t="s">
        <v>4865</v>
      </c>
      <c r="AY52" s="37" t="s">
        <v>4866</v>
      </c>
      <c r="AZ52" s="39">
        <v>3.0</v>
      </c>
      <c r="BA52" s="39" t="s">
        <v>4858</v>
      </c>
      <c r="BB52" s="39"/>
      <c r="BC52" s="39"/>
    </row>
    <row r="53" ht="18.75" customHeight="1" outlineLevel="1">
      <c r="A53" s="37" t="s">
        <v>4867</v>
      </c>
      <c r="B53" s="37" t="s">
        <v>1179</v>
      </c>
      <c r="C53" s="37">
        <v>4.0</v>
      </c>
      <c r="D53" s="37">
        <v>35.0</v>
      </c>
      <c r="E53" s="37" t="s">
        <v>4837</v>
      </c>
      <c r="O53" s="39">
        <v>20.0</v>
      </c>
      <c r="AY53" s="37" t="s">
        <v>4868</v>
      </c>
      <c r="AZ53" s="39">
        <v>4.0</v>
      </c>
      <c r="BA53" s="39" t="s">
        <v>4860</v>
      </c>
      <c r="BB53" s="39"/>
      <c r="BC53" s="39"/>
    </row>
    <row r="54" ht="18.75" customHeight="1" outlineLevel="1">
      <c r="A54" s="37" t="s">
        <v>4869</v>
      </c>
      <c r="B54" s="37" t="s">
        <v>1179</v>
      </c>
      <c r="C54" s="37">
        <v>4.0</v>
      </c>
      <c r="D54" s="37">
        <v>35.0</v>
      </c>
      <c r="E54" s="37" t="s">
        <v>4870</v>
      </c>
      <c r="AX54" s="39">
        <v>25.0</v>
      </c>
      <c r="AY54" s="37" t="s">
        <v>4871</v>
      </c>
      <c r="AZ54" s="39">
        <v>4.0</v>
      </c>
      <c r="BA54" s="39" t="s">
        <v>4863</v>
      </c>
      <c r="BB54" s="39"/>
      <c r="BC54" s="39"/>
    </row>
    <row r="55" ht="18.75" customHeight="1" outlineLevel="1">
      <c r="A55" s="37" t="s">
        <v>4872</v>
      </c>
      <c r="B55" s="37" t="s">
        <v>1179</v>
      </c>
      <c r="C55" s="37">
        <v>4.0</v>
      </c>
      <c r="D55" s="37">
        <v>35.0</v>
      </c>
      <c r="E55" s="37" t="s">
        <v>4873</v>
      </c>
      <c r="AY55" s="37" t="s">
        <v>4874</v>
      </c>
      <c r="AZ55" s="39">
        <v>4.0</v>
      </c>
      <c r="BA55" s="39" t="s">
        <v>4866</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4875</v>
      </c>
      <c r="B65" s="37" t="s">
        <v>4393</v>
      </c>
      <c r="C65" s="37">
        <v>1.0</v>
      </c>
      <c r="D65" s="37">
        <v>5.0</v>
      </c>
      <c r="E65" s="37" t="s">
        <v>4876</v>
      </c>
      <c r="AJ65" s="39">
        <v>10.0</v>
      </c>
      <c r="AY65" s="37" t="s">
        <v>4877</v>
      </c>
      <c r="AZ65" s="39">
        <v>1.0</v>
      </c>
      <c r="BA65" s="39" t="s">
        <v>29</v>
      </c>
      <c r="BB65" s="39"/>
      <c r="BC65" s="39"/>
    </row>
    <row r="66" ht="18.75" customHeight="1" outlineLevel="1">
      <c r="A66" s="37" t="s">
        <v>4878</v>
      </c>
      <c r="B66" s="37" t="s">
        <v>4393</v>
      </c>
      <c r="C66" s="37">
        <v>1.0</v>
      </c>
      <c r="D66" s="37">
        <v>5.0</v>
      </c>
      <c r="E66" s="37" t="s">
        <v>4879</v>
      </c>
      <c r="AY66" s="37" t="s">
        <v>4880</v>
      </c>
      <c r="AZ66" s="39">
        <v>1.0</v>
      </c>
      <c r="BA66" s="39" t="s">
        <v>29</v>
      </c>
      <c r="BB66" s="39"/>
      <c r="BC66" s="39"/>
    </row>
    <row r="67" ht="18.75" customHeight="1" outlineLevel="1">
      <c r="A67" s="37" t="s">
        <v>4881</v>
      </c>
      <c r="B67" s="37" t="s">
        <v>4393</v>
      </c>
      <c r="C67" s="37">
        <v>1.0</v>
      </c>
      <c r="D67" s="37">
        <v>5.0</v>
      </c>
      <c r="E67" s="37" t="s">
        <v>4882</v>
      </c>
      <c r="AY67" s="37" t="s">
        <v>4883</v>
      </c>
      <c r="AZ67" s="39">
        <v>1.0</v>
      </c>
      <c r="BA67" s="39" t="s">
        <v>29</v>
      </c>
      <c r="BB67" s="39"/>
      <c r="BC67" s="39"/>
    </row>
    <row r="68" ht="18.75" customHeight="1" outlineLevel="1">
      <c r="A68" s="37" t="s">
        <v>4884</v>
      </c>
      <c r="B68" s="37" t="s">
        <v>4393</v>
      </c>
      <c r="C68" s="37">
        <v>2.0</v>
      </c>
      <c r="D68" s="37">
        <v>15.0</v>
      </c>
      <c r="E68" s="37" t="s">
        <v>4885</v>
      </c>
      <c r="AY68" s="37" t="s">
        <v>4886</v>
      </c>
      <c r="AZ68" s="39">
        <v>2.0</v>
      </c>
      <c r="BA68" s="39" t="s">
        <v>4877</v>
      </c>
      <c r="BB68" s="39"/>
      <c r="BC68" s="39"/>
    </row>
    <row r="69" ht="18.75" customHeight="1" outlineLevel="1">
      <c r="A69" s="37" t="s">
        <v>4887</v>
      </c>
      <c r="B69" s="37" t="s">
        <v>4393</v>
      </c>
      <c r="C69" s="37">
        <v>2.0</v>
      </c>
      <c r="D69" s="37">
        <v>15.0</v>
      </c>
      <c r="E69" s="37" t="s">
        <v>4888</v>
      </c>
      <c r="AY69" s="37" t="s">
        <v>4889</v>
      </c>
      <c r="AZ69" s="39">
        <v>2.0</v>
      </c>
      <c r="BA69" s="39" t="s">
        <v>4880</v>
      </c>
      <c r="BB69" s="39"/>
      <c r="BC69" s="39"/>
    </row>
    <row r="70" ht="18.75" customHeight="1" outlineLevel="1">
      <c r="A70" s="37" t="s">
        <v>4890</v>
      </c>
      <c r="B70" s="37" t="s">
        <v>4393</v>
      </c>
      <c r="C70" s="37">
        <v>2.0</v>
      </c>
      <c r="D70" s="37">
        <v>15.0</v>
      </c>
      <c r="E70" s="37" t="s">
        <v>4891</v>
      </c>
      <c r="AY70" s="37" t="s">
        <v>4892</v>
      </c>
      <c r="AZ70" s="39">
        <v>2.0</v>
      </c>
      <c r="BA70" s="39" t="s">
        <v>4883</v>
      </c>
      <c r="BB70" s="39"/>
      <c r="BC70" s="39"/>
    </row>
    <row r="71" ht="18.75" customHeight="1" outlineLevel="1">
      <c r="A71" s="37" t="s">
        <v>4893</v>
      </c>
      <c r="B71" s="37" t="s">
        <v>4393</v>
      </c>
      <c r="C71" s="37">
        <v>3.0</v>
      </c>
      <c r="D71" s="37">
        <v>25.0</v>
      </c>
      <c r="E71" s="37" t="s">
        <v>4879</v>
      </c>
      <c r="AY71" s="37" t="s">
        <v>4894</v>
      </c>
      <c r="AZ71" s="39">
        <v>3.0</v>
      </c>
      <c r="BA71" s="39" t="s">
        <v>4886</v>
      </c>
      <c r="BB71" s="39"/>
      <c r="BC71" s="39"/>
    </row>
    <row r="72" ht="18.75" customHeight="1" outlineLevel="1">
      <c r="A72" s="37" t="s">
        <v>4895</v>
      </c>
      <c r="B72" s="37" t="s">
        <v>4393</v>
      </c>
      <c r="C72" s="37">
        <v>3.0</v>
      </c>
      <c r="D72" s="37">
        <v>25.0</v>
      </c>
      <c r="E72" s="37" t="s">
        <v>4896</v>
      </c>
      <c r="AY72" s="37" t="s">
        <v>4897</v>
      </c>
      <c r="AZ72" s="39">
        <v>3.0</v>
      </c>
      <c r="BA72" s="39" t="s">
        <v>4889</v>
      </c>
      <c r="BB72" s="39"/>
      <c r="BC72" s="39"/>
    </row>
    <row r="73" ht="18.75" customHeight="1" outlineLevel="1">
      <c r="A73" s="37" t="s">
        <v>4898</v>
      </c>
      <c r="B73" s="37" t="s">
        <v>4393</v>
      </c>
      <c r="C73" s="37">
        <v>3.0</v>
      </c>
      <c r="D73" s="37">
        <v>25.0</v>
      </c>
      <c r="E73" s="37" t="s">
        <v>4899</v>
      </c>
      <c r="AY73" s="37" t="s">
        <v>4900</v>
      </c>
      <c r="AZ73" s="39">
        <v>3.0</v>
      </c>
      <c r="BA73" s="39" t="s">
        <v>4892</v>
      </c>
      <c r="BB73" s="39"/>
      <c r="BC73" s="39"/>
    </row>
    <row r="74" ht="18.75" customHeight="1" outlineLevel="1">
      <c r="A74" s="37" t="s">
        <v>4901</v>
      </c>
      <c r="B74" s="37" t="s">
        <v>4393</v>
      </c>
      <c r="C74" s="37">
        <v>4.0</v>
      </c>
      <c r="D74" s="37">
        <v>35.0</v>
      </c>
      <c r="E74" s="37" t="s">
        <v>4902</v>
      </c>
      <c r="AJ74" s="39">
        <v>25.0</v>
      </c>
      <c r="AY74" s="37" t="s">
        <v>4903</v>
      </c>
      <c r="AZ74" s="39">
        <v>4.0</v>
      </c>
      <c r="BA74" s="39" t="s">
        <v>4894</v>
      </c>
      <c r="BB74" s="39"/>
      <c r="BC74" s="39"/>
    </row>
    <row r="75" ht="18.75" customHeight="1" outlineLevel="1">
      <c r="A75" s="37" t="s">
        <v>4904</v>
      </c>
      <c r="B75" s="37" t="s">
        <v>4393</v>
      </c>
      <c r="C75" s="37">
        <v>4.0</v>
      </c>
      <c r="D75" s="37">
        <v>35.0</v>
      </c>
      <c r="E75" s="37" t="s">
        <v>4905</v>
      </c>
      <c r="AY75" s="37" t="s">
        <v>4906</v>
      </c>
      <c r="AZ75" s="39">
        <v>4.0</v>
      </c>
      <c r="BA75" s="39" t="s">
        <v>4897</v>
      </c>
      <c r="BB75" s="39"/>
      <c r="BC75" s="39"/>
    </row>
    <row r="76" ht="18.75" customHeight="1" outlineLevel="1">
      <c r="A76" s="37" t="s">
        <v>4907</v>
      </c>
      <c r="B76" s="37" t="s">
        <v>4393</v>
      </c>
      <c r="C76" s="37">
        <v>4.0</v>
      </c>
      <c r="D76" s="37">
        <v>35.0</v>
      </c>
      <c r="E76" s="37" t="s">
        <v>4908</v>
      </c>
      <c r="AY76" s="37" t="s">
        <v>4909</v>
      </c>
      <c r="AZ76" s="39">
        <v>4.0</v>
      </c>
      <c r="BA76" s="39" t="s">
        <v>4900</v>
      </c>
      <c r="BB76" s="39"/>
      <c r="BC76" s="39"/>
    </row>
    <row r="77" ht="18.75" customHeight="1" outlineLevel="1">
      <c r="B77" s="37" t="s">
        <v>4393</v>
      </c>
      <c r="C77" s="37">
        <f t="shared" ref="C77:C85" si="4">C74+1</f>
        <v>5</v>
      </c>
    </row>
    <row r="78" ht="18.75" customHeight="1" outlineLevel="1">
      <c r="B78" s="37" t="s">
        <v>4393</v>
      </c>
      <c r="C78" s="37">
        <f t="shared" si="4"/>
        <v>5</v>
      </c>
    </row>
    <row r="79" ht="18.75" customHeight="1" outlineLevel="1">
      <c r="B79" s="37" t="s">
        <v>4393</v>
      </c>
      <c r="C79" s="37">
        <f t="shared" si="4"/>
        <v>5</v>
      </c>
    </row>
    <row r="80" ht="18.75" customHeight="1" outlineLevel="1">
      <c r="B80" s="37" t="s">
        <v>4393</v>
      </c>
      <c r="C80" s="37">
        <f t="shared" si="4"/>
        <v>6</v>
      </c>
    </row>
    <row r="81" ht="18.75" customHeight="1" outlineLevel="1">
      <c r="B81" s="37" t="s">
        <v>4393</v>
      </c>
      <c r="C81" s="37">
        <f t="shared" si="4"/>
        <v>6</v>
      </c>
    </row>
    <row r="82" ht="18.75" customHeight="1" outlineLevel="1">
      <c r="B82" s="37" t="s">
        <v>4393</v>
      </c>
      <c r="C82" s="37">
        <f t="shared" si="4"/>
        <v>6</v>
      </c>
    </row>
    <row r="83" ht="18.75" customHeight="1" outlineLevel="1">
      <c r="B83" s="37" t="s">
        <v>4393</v>
      </c>
      <c r="C83" s="37">
        <f t="shared" si="4"/>
        <v>7</v>
      </c>
    </row>
    <row r="84" ht="18.75" customHeight="1" outlineLevel="1">
      <c r="B84" s="37" t="s">
        <v>4393</v>
      </c>
      <c r="C84" s="37">
        <f t="shared" si="4"/>
        <v>7</v>
      </c>
    </row>
    <row r="85" ht="18.75" customHeight="1" outlineLevel="1">
      <c r="B85" s="37" t="s">
        <v>4393</v>
      </c>
      <c r="C85" s="37">
        <f t="shared" si="4"/>
        <v>7</v>
      </c>
    </row>
    <row r="86" ht="18.75" customHeight="1" outlineLevel="1">
      <c r="A86" s="37" t="s">
        <v>4910</v>
      </c>
      <c r="B86" s="37" t="s">
        <v>4911</v>
      </c>
      <c r="C86" s="37">
        <v>1.0</v>
      </c>
      <c r="D86" s="37">
        <v>5.0</v>
      </c>
      <c r="E86" s="37" t="s">
        <v>4912</v>
      </c>
      <c r="AY86" s="37" t="s">
        <v>4913</v>
      </c>
      <c r="AZ86" s="39">
        <v>1.0</v>
      </c>
      <c r="BA86" s="39" t="s">
        <v>29</v>
      </c>
      <c r="BB86" s="39"/>
      <c r="BC86" s="39"/>
    </row>
    <row r="87" ht="18.75" customHeight="1">
      <c r="A87" s="37" t="s">
        <v>4914</v>
      </c>
      <c r="B87" s="37" t="s">
        <v>4911</v>
      </c>
      <c r="C87" s="37">
        <v>1.0</v>
      </c>
      <c r="D87" s="37">
        <v>5.0</v>
      </c>
      <c r="E87" s="37" t="s">
        <v>4915</v>
      </c>
      <c r="AY87" s="37" t="s">
        <v>4916</v>
      </c>
      <c r="AZ87" s="39">
        <v>1.0</v>
      </c>
      <c r="BA87" s="39" t="s">
        <v>29</v>
      </c>
      <c r="BB87" s="39"/>
      <c r="BC87" s="39"/>
    </row>
    <row r="88" ht="18.75" customHeight="1" outlineLevel="1">
      <c r="A88" s="37" t="s">
        <v>4917</v>
      </c>
      <c r="B88" s="37" t="s">
        <v>4911</v>
      </c>
      <c r="C88" s="37">
        <v>1.0</v>
      </c>
      <c r="D88" s="37">
        <v>5.0</v>
      </c>
      <c r="E88" s="37" t="s">
        <v>4918</v>
      </c>
      <c r="AY88" s="37" t="s">
        <v>4919</v>
      </c>
      <c r="AZ88" s="39">
        <v>1.0</v>
      </c>
      <c r="BA88" s="39" t="s">
        <v>29</v>
      </c>
      <c r="BB88" s="39"/>
      <c r="BC88" s="39"/>
    </row>
    <row r="89" ht="18.75" customHeight="1" outlineLevel="1">
      <c r="A89" s="37" t="s">
        <v>4920</v>
      </c>
      <c r="B89" s="37" t="s">
        <v>4911</v>
      </c>
      <c r="C89" s="37">
        <v>2.0</v>
      </c>
      <c r="D89" s="37">
        <v>15.0</v>
      </c>
      <c r="E89" s="37" t="s">
        <v>4921</v>
      </c>
      <c r="AY89" s="37" t="s">
        <v>4922</v>
      </c>
      <c r="AZ89" s="39">
        <v>2.0</v>
      </c>
      <c r="BA89" s="39" t="s">
        <v>4913</v>
      </c>
      <c r="BB89" s="39"/>
      <c r="BC89" s="39"/>
    </row>
    <row r="90" ht="18.75" customHeight="1" outlineLevel="1">
      <c r="A90" s="37" t="s">
        <v>4923</v>
      </c>
      <c r="B90" s="37" t="s">
        <v>4911</v>
      </c>
      <c r="C90" s="37">
        <v>2.0</v>
      </c>
      <c r="D90" s="37">
        <v>15.0</v>
      </c>
      <c r="E90" s="37" t="s">
        <v>4924</v>
      </c>
      <c r="M90" s="39">
        <v>5.0</v>
      </c>
      <c r="N90" s="39">
        <v>5.0</v>
      </c>
      <c r="AY90" s="37" t="s">
        <v>4925</v>
      </c>
      <c r="AZ90" s="39">
        <v>2.0</v>
      </c>
      <c r="BA90" s="39" t="s">
        <v>4916</v>
      </c>
      <c r="BB90" s="39"/>
      <c r="BC90" s="39"/>
    </row>
    <row r="91" ht="18.75" customHeight="1" outlineLevel="1">
      <c r="A91" s="37" t="s">
        <v>4926</v>
      </c>
      <c r="B91" s="37" t="s">
        <v>4911</v>
      </c>
      <c r="C91" s="37">
        <v>2.0</v>
      </c>
      <c r="D91" s="37">
        <v>15.0</v>
      </c>
      <c r="E91" s="37" t="s">
        <v>4927</v>
      </c>
      <c r="AY91" s="37" t="s">
        <v>4928</v>
      </c>
      <c r="AZ91" s="39">
        <v>2.0</v>
      </c>
      <c r="BA91" s="39" t="s">
        <v>4919</v>
      </c>
      <c r="BB91" s="39"/>
      <c r="BC91" s="39"/>
    </row>
    <row r="92" ht="18.75" customHeight="1" outlineLevel="1">
      <c r="A92" s="37" t="s">
        <v>4929</v>
      </c>
      <c r="B92" s="37" t="s">
        <v>4911</v>
      </c>
      <c r="C92" s="37">
        <v>3.0</v>
      </c>
      <c r="D92" s="37">
        <v>25.0</v>
      </c>
      <c r="E92" s="37" t="s">
        <v>4930</v>
      </c>
      <c r="AY92" s="37" t="s">
        <v>4931</v>
      </c>
      <c r="AZ92" s="39">
        <v>3.0</v>
      </c>
      <c r="BA92" s="39" t="s">
        <v>4922</v>
      </c>
      <c r="BB92" s="39"/>
      <c r="BC92" s="39"/>
    </row>
    <row r="93" ht="18.75" customHeight="1" outlineLevel="1">
      <c r="A93" s="37" t="s">
        <v>4932</v>
      </c>
      <c r="B93" s="37" t="s">
        <v>4911</v>
      </c>
      <c r="C93" s="37">
        <v>3.0</v>
      </c>
      <c r="D93" s="37">
        <v>25.0</v>
      </c>
      <c r="E93" s="37" t="s">
        <v>4933</v>
      </c>
      <c r="AY93" s="37" t="s">
        <v>4934</v>
      </c>
      <c r="AZ93" s="39">
        <v>3.0</v>
      </c>
      <c r="BA93" s="39" t="s">
        <v>4925</v>
      </c>
      <c r="BB93" s="39"/>
      <c r="BC93" s="39"/>
    </row>
    <row r="94" ht="18.75" customHeight="1" outlineLevel="1">
      <c r="A94" s="37" t="s">
        <v>4935</v>
      </c>
      <c r="B94" s="37" t="s">
        <v>4911</v>
      </c>
      <c r="C94" s="37">
        <v>3.0</v>
      </c>
      <c r="D94" s="37">
        <v>25.0</v>
      </c>
      <c r="E94" s="37" t="s">
        <v>4936</v>
      </c>
      <c r="AY94" s="37" t="s">
        <v>4937</v>
      </c>
      <c r="AZ94" s="39">
        <v>3.0</v>
      </c>
      <c r="BA94" s="39" t="s">
        <v>4928</v>
      </c>
      <c r="BB94" s="39"/>
      <c r="BC94" s="39"/>
    </row>
    <row r="95" ht="18.75" customHeight="1" outlineLevel="1">
      <c r="A95" s="37" t="s">
        <v>4938</v>
      </c>
      <c r="B95" s="37" t="s">
        <v>4911</v>
      </c>
      <c r="C95" s="37">
        <v>4.0</v>
      </c>
      <c r="D95" s="37">
        <v>35.0</v>
      </c>
      <c r="E95" s="37" t="s">
        <v>4939</v>
      </c>
      <c r="AY95" s="37" t="s">
        <v>4940</v>
      </c>
      <c r="AZ95" s="39">
        <v>4.0</v>
      </c>
      <c r="BA95" s="39" t="s">
        <v>4931</v>
      </c>
      <c r="BB95" s="39"/>
      <c r="BC95" s="39"/>
    </row>
    <row r="96" ht="18.75" customHeight="1" outlineLevel="1">
      <c r="A96" s="37" t="s">
        <v>4941</v>
      </c>
      <c r="B96" s="37" t="s">
        <v>4911</v>
      </c>
      <c r="C96" s="37">
        <v>4.0</v>
      </c>
      <c r="D96" s="37">
        <v>35.0</v>
      </c>
      <c r="E96" s="37" t="s">
        <v>4942</v>
      </c>
      <c r="M96" s="39">
        <v>10.0</v>
      </c>
      <c r="N96" s="39">
        <v>10.0</v>
      </c>
      <c r="AY96" s="37" t="s">
        <v>4943</v>
      </c>
      <c r="AZ96" s="39">
        <v>4.0</v>
      </c>
      <c r="BA96" s="39" t="s">
        <v>4934</v>
      </c>
      <c r="BB96" s="39"/>
      <c r="BC96" s="39"/>
    </row>
    <row r="97" ht="18.75" customHeight="1" outlineLevel="1">
      <c r="A97" s="37" t="s">
        <v>4944</v>
      </c>
      <c r="B97" s="37" t="s">
        <v>4911</v>
      </c>
      <c r="C97" s="37">
        <v>4.0</v>
      </c>
      <c r="D97" s="37">
        <v>35.0</v>
      </c>
      <c r="E97" s="37" t="s">
        <v>4945</v>
      </c>
      <c r="AY97" s="37" t="s">
        <v>4946</v>
      </c>
      <c r="AZ97" s="39">
        <v>4.0</v>
      </c>
      <c r="BA97" s="39" t="s">
        <v>4937</v>
      </c>
      <c r="BB97" s="39"/>
      <c r="BC97" s="39"/>
    </row>
    <row r="98" ht="18.75" customHeight="1" outlineLevel="1">
      <c r="B98" s="37" t="s">
        <v>4911</v>
      </c>
      <c r="C98" s="37">
        <f t="shared" ref="C98:C106" si="5">C95+1</f>
        <v>5</v>
      </c>
    </row>
    <row r="99" ht="18.75" customHeight="1" outlineLevel="1">
      <c r="B99" s="37" t="s">
        <v>4911</v>
      </c>
      <c r="C99" s="37">
        <f t="shared" si="5"/>
        <v>5</v>
      </c>
    </row>
    <row r="100" ht="18.75" customHeight="1" outlineLevel="1">
      <c r="B100" s="37" t="s">
        <v>4911</v>
      </c>
      <c r="C100" s="37">
        <f t="shared" si="5"/>
        <v>5</v>
      </c>
    </row>
    <row r="101" ht="18.75" customHeight="1" outlineLevel="1">
      <c r="B101" s="37" t="s">
        <v>4911</v>
      </c>
      <c r="C101" s="37">
        <f t="shared" si="5"/>
        <v>6</v>
      </c>
    </row>
    <row r="102" ht="18.75" customHeight="1" outlineLevel="1">
      <c r="B102" s="37" t="s">
        <v>4911</v>
      </c>
      <c r="C102" s="37">
        <f t="shared" si="5"/>
        <v>6</v>
      </c>
    </row>
    <row r="103" ht="18.75" customHeight="1" outlineLevel="1">
      <c r="B103" s="37" t="s">
        <v>4911</v>
      </c>
      <c r="C103" s="37">
        <f t="shared" si="5"/>
        <v>6</v>
      </c>
    </row>
    <row r="104" ht="18.75" customHeight="1" outlineLevel="1">
      <c r="B104" s="37" t="s">
        <v>4911</v>
      </c>
      <c r="C104" s="37">
        <f t="shared" si="5"/>
        <v>7</v>
      </c>
    </row>
    <row r="105" ht="18.75" customHeight="1" outlineLevel="1">
      <c r="B105" s="37" t="s">
        <v>4911</v>
      </c>
      <c r="C105" s="37">
        <f t="shared" si="5"/>
        <v>7</v>
      </c>
    </row>
    <row r="106" ht="18.75" customHeight="1" outlineLevel="1">
      <c r="B106" s="37" t="s">
        <v>4911</v>
      </c>
      <c r="C106" s="37">
        <f t="shared" si="5"/>
        <v>7</v>
      </c>
    </row>
    <row r="107" ht="18.75" customHeight="1">
      <c r="A107" s="39" t="s">
        <v>4947</v>
      </c>
      <c r="B107" s="41" t="s">
        <v>4948</v>
      </c>
      <c r="C107" s="39">
        <v>1.0</v>
      </c>
      <c r="D107" s="39">
        <v>5.0</v>
      </c>
      <c r="E107" s="41" t="s">
        <v>4949</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4950</v>
      </c>
      <c r="AZ107" s="39">
        <v>1.0</v>
      </c>
      <c r="BA107" s="39" t="s">
        <v>29</v>
      </c>
      <c r="BB107" s="39"/>
      <c r="BC107" s="39"/>
    </row>
    <row r="108" ht="18.75" customHeight="1">
      <c r="A108" s="39" t="s">
        <v>4951</v>
      </c>
      <c r="B108" s="41" t="s">
        <v>4948</v>
      </c>
      <c r="C108" s="39">
        <v>2.0</v>
      </c>
      <c r="D108" s="39">
        <v>15.0</v>
      </c>
      <c r="E108" s="39" t="s">
        <v>4952</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4953</v>
      </c>
      <c r="AZ108" s="39">
        <v>2.0</v>
      </c>
      <c r="BA108" s="39" t="s">
        <v>4950</v>
      </c>
      <c r="BB108" s="39"/>
      <c r="BC108" s="39"/>
    </row>
    <row r="109" ht="18.75" customHeight="1">
      <c r="A109" s="39" t="s">
        <v>4954</v>
      </c>
      <c r="B109" s="41" t="s">
        <v>4948</v>
      </c>
      <c r="C109" s="39">
        <v>3.0</v>
      </c>
      <c r="D109" s="39">
        <v>25.0</v>
      </c>
      <c r="E109" s="39" t="s">
        <v>4955</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4956</v>
      </c>
      <c r="AZ109" s="39">
        <v>3.0</v>
      </c>
      <c r="BA109" s="39" t="s">
        <v>4953</v>
      </c>
      <c r="BB109" s="39"/>
      <c r="BC109" s="39"/>
    </row>
    <row r="110" ht="18.75" customHeight="1">
      <c r="A110" s="39" t="s">
        <v>4957</v>
      </c>
      <c r="B110" s="41" t="s">
        <v>4948</v>
      </c>
      <c r="C110" s="39">
        <v>1.0</v>
      </c>
      <c r="D110" s="39">
        <v>5.0</v>
      </c>
      <c r="E110" s="39" t="s">
        <v>4958</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4959</v>
      </c>
      <c r="AZ110" s="39">
        <v>1.0</v>
      </c>
      <c r="BA110" s="39" t="s">
        <v>29</v>
      </c>
      <c r="BB110" s="39"/>
      <c r="BC110" s="39"/>
    </row>
    <row r="111" ht="18.75" customHeight="1">
      <c r="A111" s="39" t="s">
        <v>4960</v>
      </c>
      <c r="B111" s="41" t="s">
        <v>4948</v>
      </c>
      <c r="C111" s="39">
        <v>2.0</v>
      </c>
      <c r="D111" s="39">
        <v>15.0</v>
      </c>
      <c r="E111" s="39" t="s">
        <v>4961</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4962</v>
      </c>
      <c r="AZ111" s="39">
        <v>2.0</v>
      </c>
      <c r="BA111" s="39" t="s">
        <v>4959</v>
      </c>
      <c r="BB111" s="39"/>
      <c r="BC111" s="39"/>
    </row>
    <row r="112" ht="18.75" customHeight="1">
      <c r="A112" s="39" t="s">
        <v>4963</v>
      </c>
      <c r="B112" s="41" t="s">
        <v>4948</v>
      </c>
      <c r="C112" s="39">
        <v>3.0</v>
      </c>
      <c r="D112" s="39">
        <v>25.0</v>
      </c>
      <c r="E112" s="39" t="s">
        <v>4964</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4965</v>
      </c>
      <c r="AZ112" s="39">
        <v>3.0</v>
      </c>
      <c r="BA112" s="39" t="s">
        <v>4962</v>
      </c>
      <c r="BB112" s="39"/>
      <c r="BC112" s="39"/>
    </row>
    <row r="113" ht="18.75" customHeight="1">
      <c r="A113" s="39" t="s">
        <v>4966</v>
      </c>
      <c r="B113" s="41" t="s">
        <v>4948</v>
      </c>
      <c r="C113" s="39">
        <v>1.0</v>
      </c>
      <c r="D113" s="39">
        <v>5.0</v>
      </c>
      <c r="E113" s="39" t="s">
        <v>4967</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4968</v>
      </c>
      <c r="AZ113" s="39">
        <v>1.0</v>
      </c>
      <c r="BA113" s="39" t="s">
        <v>29</v>
      </c>
      <c r="BB113" s="39"/>
      <c r="BC113" s="39"/>
    </row>
    <row r="114" ht="18.75" customHeight="1">
      <c r="A114" s="39" t="s">
        <v>4969</v>
      </c>
      <c r="B114" s="39" t="s">
        <v>4806</v>
      </c>
      <c r="C114" s="39">
        <v>1.0</v>
      </c>
      <c r="D114" s="39">
        <v>5.0</v>
      </c>
      <c r="E114" s="39" t="s">
        <v>4970</v>
      </c>
      <c r="AY114" s="39" t="s">
        <v>4971</v>
      </c>
      <c r="AZ114" s="39">
        <v>1.0</v>
      </c>
      <c r="BB114" s="39">
        <v>5.0</v>
      </c>
      <c r="BC114" s="39">
        <v>0.0</v>
      </c>
    </row>
    <row r="115" ht="18.75" customHeight="1">
      <c r="A115" s="39" t="s">
        <v>4972</v>
      </c>
      <c r="B115" s="39" t="s">
        <v>4806</v>
      </c>
      <c r="C115" s="39">
        <v>2.0</v>
      </c>
      <c r="D115" s="39">
        <v>15.0</v>
      </c>
      <c r="E115" s="39" t="s">
        <v>4973</v>
      </c>
      <c r="AY115" s="39" t="s">
        <v>4974</v>
      </c>
      <c r="AZ115" s="39">
        <v>2.0</v>
      </c>
      <c r="BA115" s="39" t="s">
        <v>4971</v>
      </c>
      <c r="BB115" s="39">
        <v>5.0</v>
      </c>
      <c r="BC115" s="39">
        <v>0.0</v>
      </c>
    </row>
    <row r="116" ht="18.75" customHeight="1">
      <c r="A116" s="39" t="s">
        <v>4975</v>
      </c>
      <c r="B116" s="39" t="s">
        <v>4806</v>
      </c>
      <c r="C116" s="39">
        <v>3.0</v>
      </c>
      <c r="D116" s="39">
        <v>25.0</v>
      </c>
      <c r="E116" s="39" t="s">
        <v>4976</v>
      </c>
      <c r="AY116" s="39" t="s">
        <v>4977</v>
      </c>
      <c r="AZ116" s="39">
        <v>3.0</v>
      </c>
      <c r="BA116" s="39" t="s">
        <v>4974</v>
      </c>
      <c r="BB116" s="39">
        <v>5.0</v>
      </c>
      <c r="BC116" s="39">
        <v>1.0</v>
      </c>
    </row>
    <row r="117" ht="18.75" customHeight="1">
      <c r="A117" s="39" t="s">
        <v>4978</v>
      </c>
      <c r="B117" s="39" t="s">
        <v>4806</v>
      </c>
      <c r="C117" s="39">
        <v>4.0</v>
      </c>
      <c r="D117" s="39">
        <v>35.0</v>
      </c>
      <c r="E117" s="39" t="s">
        <v>4973</v>
      </c>
      <c r="AY117" s="39" t="s">
        <v>4979</v>
      </c>
      <c r="AZ117" s="39">
        <v>4.0</v>
      </c>
      <c r="BA117" s="39" t="s">
        <v>4977</v>
      </c>
      <c r="BB117" s="39">
        <v>5.0</v>
      </c>
      <c r="BC117" s="39">
        <v>0.0</v>
      </c>
    </row>
    <row r="118" ht="18.75" customHeight="1">
      <c r="A118" s="39" t="s">
        <v>4980</v>
      </c>
      <c r="B118" s="39" t="s">
        <v>4806</v>
      </c>
      <c r="C118" s="39">
        <v>5.0</v>
      </c>
      <c r="D118" s="39">
        <v>45.0</v>
      </c>
      <c r="E118" s="39" t="s">
        <v>4981</v>
      </c>
      <c r="AY118" s="39" t="s">
        <v>4982</v>
      </c>
      <c r="AZ118" s="39">
        <v>5.0</v>
      </c>
      <c r="BA118" s="39" t="s">
        <v>4979</v>
      </c>
      <c r="BB118" s="39">
        <v>5.0</v>
      </c>
      <c r="BC118" s="39">
        <v>1.0</v>
      </c>
    </row>
    <row r="119" ht="18.75" customHeight="1">
      <c r="A119" s="39" t="s">
        <v>4983</v>
      </c>
      <c r="B119" s="39" t="s">
        <v>4806</v>
      </c>
      <c r="C119" s="39">
        <v>6.0</v>
      </c>
      <c r="D119" s="39">
        <v>55.0</v>
      </c>
      <c r="E119" s="39" t="s">
        <v>4973</v>
      </c>
      <c r="AY119" s="39" t="s">
        <v>4984</v>
      </c>
      <c r="AZ119" s="39">
        <v>6.0</v>
      </c>
      <c r="BA119" s="39" t="s">
        <v>4982</v>
      </c>
      <c r="BB119" s="39">
        <v>5.0</v>
      </c>
      <c r="BC119" s="39">
        <v>0.0</v>
      </c>
    </row>
    <row r="120" ht="18.75" customHeight="1">
      <c r="A120" s="39" t="s">
        <v>4985</v>
      </c>
      <c r="B120" s="39" t="s">
        <v>4806</v>
      </c>
      <c r="C120" s="39">
        <v>7.0</v>
      </c>
      <c r="D120" s="39">
        <v>65.0</v>
      </c>
      <c r="E120" s="39" t="s">
        <v>4986</v>
      </c>
      <c r="AY120" s="39" t="s">
        <v>4987</v>
      </c>
      <c r="AZ120" s="39">
        <v>7.0</v>
      </c>
      <c r="BA120" s="39" t="s">
        <v>4984</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4988</v>
      </c>
      <c r="B1" s="11" t="s">
        <v>2</v>
      </c>
      <c r="C1" s="2" t="s">
        <v>4989</v>
      </c>
      <c r="D1" s="3" t="s">
        <v>3842</v>
      </c>
      <c r="E1" s="3" t="s">
        <v>0</v>
      </c>
      <c r="F1" s="4" t="s">
        <v>4376</v>
      </c>
      <c r="G1" s="5" t="s">
        <v>4379</v>
      </c>
      <c r="H1" s="165" t="s">
        <v>4381</v>
      </c>
      <c r="I1" s="5" t="s">
        <v>4383</v>
      </c>
      <c r="J1" s="165" t="s">
        <v>4385</v>
      </c>
      <c r="K1" s="165" t="s">
        <v>4990</v>
      </c>
      <c r="L1" s="166"/>
      <c r="M1" s="167" t="s">
        <v>849</v>
      </c>
      <c r="N1" s="167" t="s">
        <v>4991</v>
      </c>
      <c r="O1" s="167" t="s">
        <v>1492</v>
      </c>
      <c r="P1" s="167" t="s">
        <v>4992</v>
      </c>
      <c r="Q1" s="167" t="s">
        <v>4806</v>
      </c>
      <c r="R1" s="167" t="s">
        <v>4993</v>
      </c>
      <c r="S1" s="167" t="s">
        <v>284</v>
      </c>
      <c r="T1" s="167" t="s">
        <v>370</v>
      </c>
      <c r="U1" s="167" t="s">
        <v>518</v>
      </c>
      <c r="V1" s="167" t="s">
        <v>644</v>
      </c>
      <c r="W1" s="167" t="s">
        <v>783</v>
      </c>
      <c r="X1" s="167" t="s">
        <v>716</v>
      </c>
      <c r="Y1" s="167"/>
      <c r="Z1" s="167" t="s">
        <v>4994</v>
      </c>
      <c r="AA1" s="167" t="s">
        <v>1490</v>
      </c>
      <c r="AB1" s="167" t="s">
        <v>4995</v>
      </c>
      <c r="AC1" s="167" t="s">
        <v>4996</v>
      </c>
      <c r="AD1" s="167" t="s">
        <v>4997</v>
      </c>
      <c r="AE1" s="167" t="s">
        <v>4998</v>
      </c>
      <c r="AF1" s="167" t="s">
        <v>4999</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5000</v>
      </c>
      <c r="BT1" s="48" t="s">
        <v>2587</v>
      </c>
      <c r="BU1" s="48" t="s">
        <v>2588</v>
      </c>
      <c r="BV1" s="48" t="s">
        <v>2589</v>
      </c>
      <c r="BW1" s="48" t="s">
        <v>2590</v>
      </c>
      <c r="BX1" s="48" t="s">
        <v>2591</v>
      </c>
      <c r="BY1" s="48" t="s">
        <v>2592</v>
      </c>
      <c r="BZ1" s="168" t="s">
        <v>5001</v>
      </c>
      <c r="CA1" s="168" t="s">
        <v>5002</v>
      </c>
      <c r="CB1" s="168" t="s">
        <v>5003</v>
      </c>
      <c r="CC1" s="168" t="s">
        <v>8</v>
      </c>
      <c r="CD1" s="168" t="s">
        <v>4367</v>
      </c>
      <c r="CE1" s="168" t="s">
        <v>5004</v>
      </c>
      <c r="CF1" s="168" t="s">
        <v>5005</v>
      </c>
      <c r="CG1" s="168" t="s">
        <v>5006</v>
      </c>
      <c r="CH1" s="168" t="s">
        <v>5007</v>
      </c>
      <c r="CI1" s="168" t="s">
        <v>5008</v>
      </c>
      <c r="CJ1" s="168" t="s">
        <v>5009</v>
      </c>
    </row>
    <row r="2" ht="18.75" customHeight="1">
      <c r="A2" s="11"/>
      <c r="B2" s="11" t="s">
        <v>5010</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5011</v>
      </c>
      <c r="C3" s="37" t="s">
        <v>3325</v>
      </c>
      <c r="E3" s="37">
        <f t="shared" ref="E3:E20" si="2">MAX(F3:K3)</f>
        <v>2</v>
      </c>
      <c r="G3" s="37">
        <v>2.0</v>
      </c>
      <c r="S3" s="37">
        <f t="shared" ref="S3:S5" si="3">$G3*15</f>
        <v>30</v>
      </c>
    </row>
    <row r="4" ht="18.75" customHeight="1" outlineLevel="1">
      <c r="A4" s="37" t="str">
        <f t="shared" si="1"/>
        <v>炎付与Ⅱ</v>
      </c>
      <c r="B4" s="37" t="s">
        <v>5012</v>
      </c>
      <c r="C4" s="37" t="s">
        <v>3325</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5013</v>
      </c>
      <c r="C5" s="37" t="s">
        <v>3325</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5011</v>
      </c>
      <c r="C6" s="37" t="s">
        <v>3325</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5012</v>
      </c>
      <c r="C7" s="37" t="s">
        <v>3325</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5013</v>
      </c>
      <c r="C8" s="37" t="s">
        <v>3325</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5011</v>
      </c>
      <c r="C9" s="37" t="s">
        <v>3325</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5012</v>
      </c>
      <c r="C10" s="37" t="s">
        <v>3325</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5013</v>
      </c>
      <c r="C11" s="37" t="s">
        <v>3325</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5011</v>
      </c>
      <c r="C12" s="37" t="s">
        <v>3325</v>
      </c>
      <c r="E12" s="37">
        <f t="shared" si="2"/>
        <v>2</v>
      </c>
      <c r="G12" s="37">
        <v>2.0</v>
      </c>
      <c r="V12" s="37">
        <f t="shared" ref="V12:V14" si="9">$G12*15</f>
        <v>30</v>
      </c>
    </row>
    <row r="13" ht="18.75" customHeight="1" outlineLevel="1">
      <c r="A13" s="37" t="str">
        <f t="shared" si="8"/>
        <v>毒付与Ⅱ</v>
      </c>
      <c r="B13" s="37" t="s">
        <v>5012</v>
      </c>
      <c r="C13" s="37" t="s">
        <v>3325</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5013</v>
      </c>
      <c r="C14" s="37" t="s">
        <v>3325</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5011</v>
      </c>
      <c r="C15" s="37" t="s">
        <v>3325</v>
      </c>
      <c r="E15" s="37">
        <f t="shared" si="2"/>
        <v>2</v>
      </c>
      <c r="H15" s="37">
        <v>2.0</v>
      </c>
      <c r="W15" s="37">
        <f t="shared" ref="W15:W17" si="11">$H15*15</f>
        <v>30</v>
      </c>
    </row>
    <row r="16" ht="18.75" customHeight="1" outlineLevel="1">
      <c r="A16" s="37" t="str">
        <f t="shared" si="10"/>
        <v>光付与Ⅱ</v>
      </c>
      <c r="B16" s="37" t="s">
        <v>5012</v>
      </c>
      <c r="C16" s="37" t="s">
        <v>3325</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5013</v>
      </c>
      <c r="C17" s="37" t="s">
        <v>3325</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5011</v>
      </c>
      <c r="C18" s="37" t="s">
        <v>3325</v>
      </c>
      <c r="E18" s="37">
        <f t="shared" si="2"/>
        <v>2</v>
      </c>
      <c r="G18" s="37">
        <v>2.0</v>
      </c>
      <c r="X18" s="37">
        <f t="shared" ref="X18:X20" si="13">$G18*15</f>
        <v>30</v>
      </c>
    </row>
    <row r="19" ht="18.75" customHeight="1" outlineLevel="1">
      <c r="A19" s="37" t="str">
        <f t="shared" si="12"/>
        <v>闇付与Ⅱ</v>
      </c>
      <c r="B19" s="37" t="s">
        <v>5012</v>
      </c>
      <c r="C19" s="37" t="s">
        <v>3325</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5013</v>
      </c>
      <c r="C20" s="37" t="s">
        <v>3325</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5014</v>
      </c>
      <c r="C22" s="37" t="s">
        <v>5015</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5016</v>
      </c>
      <c r="C23" s="37" t="s">
        <v>5015</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5017</v>
      </c>
      <c r="C24" s="37" t="s">
        <v>5015</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5018</v>
      </c>
      <c r="C25" s="37" t="s">
        <v>5019</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5020</v>
      </c>
      <c r="C26" s="37" t="s">
        <v>5019</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5021</v>
      </c>
      <c r="C27" s="37" t="s">
        <v>5019</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5022</v>
      </c>
      <c r="C28" s="37" t="s">
        <v>5015</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5023</v>
      </c>
      <c r="C29" s="37" t="s">
        <v>5015</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5024</v>
      </c>
      <c r="C30" s="37" t="s">
        <v>5015</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5025</v>
      </c>
      <c r="C31" s="37" t="s">
        <v>5026</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5027</v>
      </c>
      <c r="C32" s="37" t="s">
        <v>5026</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5028</v>
      </c>
      <c r="C33" s="37" t="s">
        <v>5026</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5029</v>
      </c>
      <c r="C34" s="37" t="s">
        <v>5030</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5031</v>
      </c>
      <c r="C35" s="37" t="s">
        <v>5030</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5032</v>
      </c>
      <c r="C36" s="37" t="s">
        <v>5030</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5033</v>
      </c>
      <c r="C37" s="37" t="s">
        <v>2800</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5034</v>
      </c>
      <c r="C38" s="37" t="s">
        <v>2800</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5035</v>
      </c>
      <c r="C39" s="37" t="s">
        <v>2800</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5036</v>
      </c>
      <c r="C40" s="37" t="s">
        <v>5037</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5038</v>
      </c>
      <c r="C41" s="37" t="s">
        <v>5037</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5039</v>
      </c>
      <c r="C42" s="37" t="s">
        <v>5037</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5040</v>
      </c>
      <c r="B1" s="113" t="s">
        <v>4468</v>
      </c>
      <c r="C1" s="113" t="s">
        <v>4470</v>
      </c>
      <c r="D1" s="113" t="s">
        <v>4472</v>
      </c>
      <c r="E1" s="113" t="s">
        <v>3324</v>
      </c>
      <c r="F1" s="170" t="s">
        <v>4376</v>
      </c>
      <c r="G1" s="170" t="s">
        <v>4379</v>
      </c>
      <c r="H1" s="170" t="s">
        <v>4381</v>
      </c>
      <c r="I1" s="170" t="s">
        <v>4383</v>
      </c>
      <c r="J1" s="170" t="s">
        <v>4385</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5040</v>
      </c>
      <c r="AB1" s="172" t="s">
        <v>4468</v>
      </c>
      <c r="AC1" s="172" t="s">
        <v>4470</v>
      </c>
      <c r="AD1" s="172" t="s">
        <v>4410</v>
      </c>
      <c r="AE1" s="172" t="s">
        <v>5041</v>
      </c>
      <c r="AF1" s="172" t="s">
        <v>5042</v>
      </c>
      <c r="AG1" s="172" t="s">
        <v>5043</v>
      </c>
      <c r="AH1" s="172" t="s">
        <v>4472</v>
      </c>
      <c r="AI1" s="172" t="s">
        <v>3324</v>
      </c>
      <c r="AJ1" s="109"/>
      <c r="AK1" s="172" t="s">
        <v>4468</v>
      </c>
      <c r="AL1" s="172" t="s">
        <v>4470</v>
      </c>
      <c r="AM1" s="172" t="s">
        <v>4472</v>
      </c>
      <c r="AN1" s="172" t="s">
        <v>3324</v>
      </c>
    </row>
    <row r="2">
      <c r="F2" s="173" t="s">
        <v>5044</v>
      </c>
      <c r="G2" s="173" t="s">
        <v>5044</v>
      </c>
      <c r="H2" s="173" t="s">
        <v>5044</v>
      </c>
      <c r="I2" s="173" t="s">
        <v>5044</v>
      </c>
      <c r="J2" s="173" t="s">
        <v>5044</v>
      </c>
      <c r="K2" s="49"/>
      <c r="L2" s="49"/>
      <c r="M2" s="49"/>
      <c r="N2" s="49"/>
      <c r="O2" s="49"/>
      <c r="P2" s="51"/>
      <c r="Q2" s="51"/>
      <c r="R2" s="52"/>
      <c r="S2" s="52"/>
      <c r="T2" s="52"/>
      <c r="U2" s="52"/>
      <c r="V2" s="53"/>
      <c r="W2" s="53"/>
      <c r="X2" s="53"/>
      <c r="Y2" s="53"/>
      <c r="AA2" s="174" t="s">
        <v>5045</v>
      </c>
      <c r="AB2" s="109" t="s">
        <v>5046</v>
      </c>
      <c r="AC2" s="109" t="s">
        <v>5047</v>
      </c>
      <c r="AD2" s="175">
        <v>-0.15</v>
      </c>
      <c r="AE2" s="109"/>
      <c r="AF2" s="109"/>
      <c r="AG2" s="109"/>
      <c r="AH2" s="109" t="s">
        <v>5048</v>
      </c>
      <c r="AI2" s="109" t="s">
        <v>4541</v>
      </c>
      <c r="AJ2" s="109"/>
      <c r="AK2" s="109" t="s">
        <v>5049</v>
      </c>
      <c r="AL2" s="109" t="s">
        <v>5050</v>
      </c>
      <c r="AM2" s="109" t="s">
        <v>5051</v>
      </c>
      <c r="AN2" s="109" t="s">
        <v>4541</v>
      </c>
    </row>
    <row r="3">
      <c r="A3" s="37" t="s">
        <v>1179</v>
      </c>
      <c r="B3" s="37" t="s">
        <v>5052</v>
      </c>
      <c r="C3" s="37" t="s">
        <v>5053</v>
      </c>
      <c r="D3" s="37" t="s">
        <v>5054</v>
      </c>
      <c r="E3" s="37" t="s">
        <v>5055</v>
      </c>
      <c r="AA3" s="174" t="s">
        <v>5045</v>
      </c>
      <c r="AB3" s="109" t="s">
        <v>5056</v>
      </c>
      <c r="AC3" s="109" t="s">
        <v>5047</v>
      </c>
      <c r="AD3" s="109"/>
      <c r="AE3" s="109"/>
      <c r="AF3" s="109"/>
      <c r="AG3" s="109"/>
      <c r="AH3" s="109" t="s">
        <v>5048</v>
      </c>
      <c r="AI3" s="109" t="s">
        <v>4541</v>
      </c>
      <c r="AJ3" s="109"/>
      <c r="AK3" s="109" t="s">
        <v>5057</v>
      </c>
      <c r="AL3" s="109" t="s">
        <v>5050</v>
      </c>
      <c r="AM3" s="109" t="s">
        <v>5051</v>
      </c>
      <c r="AN3" s="109" t="s">
        <v>4541</v>
      </c>
    </row>
    <row r="4">
      <c r="A4" s="37" t="s">
        <v>1179</v>
      </c>
      <c r="B4" s="37" t="s">
        <v>5058</v>
      </c>
      <c r="C4" s="37" t="s">
        <v>5053</v>
      </c>
      <c r="D4" s="37" t="s">
        <v>5054</v>
      </c>
      <c r="E4" s="37" t="s">
        <v>5055</v>
      </c>
      <c r="AA4" s="174" t="s">
        <v>5045</v>
      </c>
      <c r="AB4" s="109" t="s">
        <v>5059</v>
      </c>
      <c r="AC4" s="109" t="s">
        <v>5047</v>
      </c>
      <c r="AD4" s="109"/>
      <c r="AE4" s="109"/>
      <c r="AF4" s="109"/>
      <c r="AG4" s="109"/>
      <c r="AH4" s="109" t="s">
        <v>5048</v>
      </c>
      <c r="AI4" s="109" t="s">
        <v>4541</v>
      </c>
      <c r="AJ4" s="109"/>
      <c r="AK4" s="109" t="s">
        <v>5060</v>
      </c>
      <c r="AL4" s="109" t="s">
        <v>5050</v>
      </c>
      <c r="AM4" s="109" t="s">
        <v>5051</v>
      </c>
      <c r="AN4" s="109" t="s">
        <v>4541</v>
      </c>
    </row>
    <row r="5">
      <c r="A5" s="37" t="s">
        <v>1179</v>
      </c>
      <c r="B5" s="37" t="s">
        <v>5061</v>
      </c>
      <c r="C5" s="37" t="s">
        <v>5053</v>
      </c>
      <c r="D5" s="37" t="s">
        <v>5054</v>
      </c>
      <c r="E5" s="37" t="s">
        <v>5055</v>
      </c>
      <c r="AA5" s="174" t="s">
        <v>5045</v>
      </c>
      <c r="AB5" s="109" t="s">
        <v>5062</v>
      </c>
      <c r="AC5" s="109" t="s">
        <v>5047</v>
      </c>
      <c r="AD5" s="109"/>
      <c r="AE5" s="109"/>
      <c r="AF5" s="109"/>
      <c r="AG5" s="109"/>
      <c r="AH5" s="109" t="s">
        <v>5048</v>
      </c>
      <c r="AI5" s="109" t="s">
        <v>4541</v>
      </c>
      <c r="AJ5" s="109"/>
      <c r="AK5" s="109" t="s">
        <v>5063</v>
      </c>
      <c r="AL5" s="109" t="s">
        <v>5050</v>
      </c>
      <c r="AM5" s="109" t="s">
        <v>5051</v>
      </c>
      <c r="AN5" s="109" t="s">
        <v>4541</v>
      </c>
    </row>
    <row r="6">
      <c r="A6" s="37" t="s">
        <v>1179</v>
      </c>
      <c r="B6" s="37" t="s">
        <v>5064</v>
      </c>
      <c r="C6" s="37" t="s">
        <v>5053</v>
      </c>
      <c r="D6" s="37" t="s">
        <v>5054</v>
      </c>
      <c r="E6" s="37" t="s">
        <v>5055</v>
      </c>
      <c r="AA6" s="174" t="s">
        <v>5045</v>
      </c>
      <c r="AB6" s="109" t="s">
        <v>5065</v>
      </c>
      <c r="AC6" s="109" t="s">
        <v>5047</v>
      </c>
      <c r="AD6" s="109"/>
      <c r="AE6" s="109"/>
      <c r="AF6" s="109"/>
      <c r="AG6" s="109"/>
      <c r="AH6" s="109" t="s">
        <v>5048</v>
      </c>
      <c r="AI6" s="109" t="s">
        <v>4541</v>
      </c>
      <c r="AJ6" s="109"/>
      <c r="AK6" s="109"/>
      <c r="AL6" s="109"/>
      <c r="AM6" s="109"/>
      <c r="AN6" s="109"/>
    </row>
    <row r="7">
      <c r="A7" s="37" t="s">
        <v>1179</v>
      </c>
      <c r="B7" s="37" t="s">
        <v>5066</v>
      </c>
      <c r="C7" s="37" t="s">
        <v>5053</v>
      </c>
      <c r="D7" s="37" t="s">
        <v>5054</v>
      </c>
      <c r="E7" s="37" t="s">
        <v>5055</v>
      </c>
      <c r="AA7" s="109"/>
      <c r="AB7" s="109"/>
      <c r="AC7" s="109"/>
      <c r="AD7" s="109"/>
      <c r="AE7" s="109"/>
      <c r="AF7" s="109"/>
      <c r="AG7" s="109"/>
      <c r="AH7" s="109"/>
      <c r="AI7" s="109"/>
      <c r="AJ7" s="109"/>
      <c r="AK7" s="109"/>
      <c r="AL7" s="109"/>
      <c r="AM7" s="109"/>
      <c r="AN7" s="109"/>
    </row>
    <row r="8">
      <c r="A8" s="37" t="s">
        <v>1179</v>
      </c>
      <c r="B8" s="37" t="s">
        <v>5067</v>
      </c>
      <c r="C8" s="37" t="s">
        <v>5053</v>
      </c>
      <c r="D8" s="37" t="s">
        <v>5054</v>
      </c>
      <c r="E8" s="37" t="s">
        <v>5055</v>
      </c>
      <c r="AA8" s="109"/>
      <c r="AB8" s="109"/>
      <c r="AC8" s="109"/>
      <c r="AD8" s="109"/>
      <c r="AE8" s="109"/>
      <c r="AF8" s="109"/>
      <c r="AG8" s="109"/>
      <c r="AH8" s="109"/>
      <c r="AI8" s="109"/>
      <c r="AJ8" s="109"/>
      <c r="AK8" s="109"/>
      <c r="AL8" s="109"/>
      <c r="AM8" s="109"/>
      <c r="AN8" s="109"/>
    </row>
    <row r="9">
      <c r="A9" s="37" t="s">
        <v>1179</v>
      </c>
      <c r="B9" s="37" t="s">
        <v>5068</v>
      </c>
      <c r="C9" s="37" t="s">
        <v>5053</v>
      </c>
      <c r="D9" s="37" t="s">
        <v>5054</v>
      </c>
      <c r="E9" s="37" t="s">
        <v>5055</v>
      </c>
      <c r="AA9" s="109"/>
      <c r="AB9" s="109"/>
      <c r="AC9" s="109"/>
      <c r="AD9" s="109"/>
      <c r="AE9" s="109"/>
      <c r="AF9" s="109"/>
      <c r="AG9" s="109"/>
      <c r="AH9" s="109"/>
      <c r="AI9" s="109"/>
      <c r="AJ9" s="109"/>
      <c r="AK9" s="109"/>
      <c r="AL9" s="109"/>
      <c r="AM9" s="109"/>
      <c r="AN9" s="109"/>
    </row>
    <row r="10">
      <c r="A10" s="37" t="s">
        <v>1179</v>
      </c>
      <c r="B10" s="37" t="s">
        <v>5069</v>
      </c>
      <c r="C10" s="37" t="s">
        <v>5053</v>
      </c>
      <c r="D10" s="37" t="s">
        <v>5054</v>
      </c>
      <c r="E10" s="37" t="s">
        <v>5055</v>
      </c>
      <c r="AA10" s="109"/>
      <c r="AB10" s="109"/>
      <c r="AC10" s="109"/>
      <c r="AD10" s="109"/>
      <c r="AE10" s="109"/>
      <c r="AF10" s="109"/>
      <c r="AG10" s="109"/>
      <c r="AH10" s="109"/>
      <c r="AI10" s="109"/>
      <c r="AJ10" s="109"/>
      <c r="AK10" s="109"/>
      <c r="AL10" s="109"/>
      <c r="AM10" s="109"/>
      <c r="AN10" s="109"/>
    </row>
    <row r="11">
      <c r="A11" s="37" t="s">
        <v>1179</v>
      </c>
      <c r="B11" s="37" t="s">
        <v>5070</v>
      </c>
      <c r="C11" s="37" t="s">
        <v>5053</v>
      </c>
      <c r="D11" s="37" t="s">
        <v>5054</v>
      </c>
      <c r="E11" s="37" t="s">
        <v>5055</v>
      </c>
      <c r="AA11" s="109"/>
      <c r="AB11" s="109"/>
      <c r="AC11" s="109"/>
      <c r="AD11" s="109"/>
      <c r="AE11" s="109"/>
      <c r="AF11" s="109"/>
      <c r="AG11" s="109"/>
      <c r="AH11" s="109"/>
      <c r="AI11" s="109"/>
      <c r="AJ11" s="109"/>
      <c r="AK11" s="109"/>
      <c r="AL11" s="109"/>
      <c r="AM11" s="109"/>
      <c r="AN11" s="109"/>
    </row>
    <row r="12">
      <c r="A12" s="37" t="s">
        <v>1179</v>
      </c>
      <c r="B12" s="37" t="s">
        <v>5071</v>
      </c>
      <c r="C12" s="37" t="s">
        <v>5053</v>
      </c>
      <c r="D12" s="37" t="s">
        <v>5054</v>
      </c>
      <c r="E12" s="37" t="s">
        <v>5055</v>
      </c>
      <c r="AA12" s="109"/>
      <c r="AB12" s="109"/>
      <c r="AC12" s="109"/>
      <c r="AD12" s="109"/>
      <c r="AE12" s="109"/>
      <c r="AF12" s="109"/>
      <c r="AG12" s="109"/>
      <c r="AH12" s="109"/>
      <c r="AI12" s="109"/>
      <c r="AJ12" s="109"/>
      <c r="AK12" s="109"/>
      <c r="AL12" s="109"/>
      <c r="AM12" s="109"/>
      <c r="AN12" s="109"/>
    </row>
    <row r="13">
      <c r="A13" s="37" t="s">
        <v>1179</v>
      </c>
      <c r="B13" s="37" t="s">
        <v>5072</v>
      </c>
      <c r="C13" s="37" t="s">
        <v>5053</v>
      </c>
      <c r="D13" s="37" t="s">
        <v>5054</v>
      </c>
      <c r="E13" s="37" t="s">
        <v>5055</v>
      </c>
      <c r="AA13" s="109"/>
      <c r="AB13" s="109"/>
      <c r="AC13" s="109"/>
      <c r="AD13" s="109"/>
      <c r="AE13" s="109"/>
      <c r="AF13" s="109"/>
      <c r="AG13" s="109"/>
      <c r="AH13" s="109"/>
      <c r="AI13" s="109"/>
      <c r="AJ13" s="109"/>
      <c r="AK13" s="109"/>
      <c r="AL13" s="109"/>
      <c r="AM13" s="109"/>
      <c r="AN13" s="109"/>
    </row>
    <row r="14">
      <c r="A14" s="37" t="s">
        <v>1179</v>
      </c>
      <c r="B14" s="37" t="s">
        <v>5073</v>
      </c>
      <c r="C14" s="37" t="s">
        <v>5053</v>
      </c>
      <c r="D14" s="37" t="s">
        <v>5054</v>
      </c>
      <c r="E14" s="37" t="s">
        <v>5055</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5074</v>
      </c>
      <c r="C1" s="2" t="s">
        <v>2623</v>
      </c>
      <c r="D1" s="2" t="s">
        <v>2624</v>
      </c>
      <c r="E1" s="2" t="s">
        <v>2625</v>
      </c>
      <c r="F1" s="2" t="s">
        <v>2626</v>
      </c>
      <c r="G1" s="147" t="s">
        <v>3199</v>
      </c>
      <c r="H1" s="147" t="s">
        <v>3200</v>
      </c>
      <c r="I1" s="147" t="s">
        <v>3201</v>
      </c>
      <c r="J1" s="147" t="s">
        <v>3202</v>
      </c>
      <c r="K1" s="148" t="s">
        <v>3203</v>
      </c>
      <c r="L1" s="148" t="s">
        <v>3204</v>
      </c>
      <c r="M1" s="148" t="s">
        <v>3205</v>
      </c>
      <c r="N1" s="148" t="s">
        <v>3206</v>
      </c>
      <c r="O1" s="74" t="s">
        <v>3207</v>
      </c>
      <c r="P1" s="74" t="s">
        <v>3208</v>
      </c>
      <c r="Q1" s="74" t="s">
        <v>3209</v>
      </c>
      <c r="R1" s="74" t="s">
        <v>5075</v>
      </c>
      <c r="S1" s="149" t="s">
        <v>2628</v>
      </c>
      <c r="T1" s="149" t="s">
        <v>2627</v>
      </c>
      <c r="U1" s="74" t="s">
        <v>5076</v>
      </c>
      <c r="V1" s="74" t="s">
        <v>5077</v>
      </c>
      <c r="W1" s="2" t="s">
        <v>5078</v>
      </c>
      <c r="X1" s="2" t="s">
        <v>5079</v>
      </c>
      <c r="Y1" s="2" t="s">
        <v>5080</v>
      </c>
      <c r="Z1" s="2" t="s">
        <v>5081</v>
      </c>
    </row>
    <row r="2" ht="18.75" customHeight="1">
      <c r="A2" s="64">
        <v>1.0</v>
      </c>
      <c r="B2" s="64" t="s">
        <v>5082</v>
      </c>
      <c r="C2" s="64"/>
      <c r="D2" s="64"/>
      <c r="E2" s="64"/>
      <c r="F2" s="64"/>
      <c r="G2" s="64">
        <v>10.0</v>
      </c>
      <c r="H2" s="64">
        <v>0.0</v>
      </c>
      <c r="I2" s="64">
        <v>0.0</v>
      </c>
      <c r="J2" s="64"/>
      <c r="K2" s="64">
        <v>10.0</v>
      </c>
      <c r="U2" s="118">
        <v>1.0</v>
      </c>
      <c r="V2" s="118">
        <v>0.0</v>
      </c>
      <c r="W2" s="37" t="s">
        <v>5083</v>
      </c>
      <c r="X2" s="37" t="s">
        <v>5084</v>
      </c>
      <c r="Y2" s="37" t="s">
        <v>5085</v>
      </c>
      <c r="Z2" s="37">
        <v>1.0</v>
      </c>
    </row>
    <row r="3" ht="18.75" customHeight="1">
      <c r="A3" s="64">
        <v>2.0</v>
      </c>
      <c r="B3" s="64" t="s">
        <v>5082</v>
      </c>
      <c r="C3" s="64"/>
      <c r="D3" s="64"/>
      <c r="E3" s="64"/>
      <c r="F3" s="64"/>
      <c r="G3" s="64">
        <v>20.0</v>
      </c>
      <c r="H3" s="64">
        <v>0.0</v>
      </c>
      <c r="I3" s="64">
        <v>0.0</v>
      </c>
      <c r="J3" s="64"/>
      <c r="K3" s="64">
        <v>20.0</v>
      </c>
      <c r="U3" s="118">
        <v>1.0</v>
      </c>
      <c r="V3" s="118">
        <v>0.15</v>
      </c>
      <c r="W3" s="37" t="s">
        <v>5086</v>
      </c>
      <c r="X3" s="37" t="s">
        <v>5087</v>
      </c>
      <c r="Y3" s="37" t="s">
        <v>5088</v>
      </c>
      <c r="Z3" s="37">
        <v>1.25</v>
      </c>
    </row>
    <row r="4" ht="18.75" customHeight="1">
      <c r="A4" s="64">
        <v>3.0</v>
      </c>
      <c r="B4" s="64" t="s">
        <v>5082</v>
      </c>
      <c r="C4" s="64"/>
      <c r="D4" s="64"/>
      <c r="E4" s="64"/>
      <c r="F4" s="64"/>
      <c r="G4" s="64">
        <v>30.0</v>
      </c>
      <c r="H4" s="86">
        <v>1.0</v>
      </c>
      <c r="I4" s="64"/>
      <c r="J4" s="64"/>
      <c r="K4" s="64">
        <v>30.0</v>
      </c>
      <c r="L4" s="86">
        <v>1.0</v>
      </c>
      <c r="U4" s="118">
        <v>1.0</v>
      </c>
      <c r="V4" s="118">
        <v>0.3</v>
      </c>
      <c r="W4" s="37" t="s">
        <v>5089</v>
      </c>
      <c r="X4" s="37" t="s">
        <v>4530</v>
      </c>
      <c r="Y4" s="37" t="s">
        <v>5090</v>
      </c>
      <c r="Z4" s="37">
        <v>1.5</v>
      </c>
    </row>
    <row r="5" ht="18.75" customHeight="1">
      <c r="A5" s="64">
        <v>4.0</v>
      </c>
      <c r="B5" s="64" t="s">
        <v>5082</v>
      </c>
      <c r="C5" s="64"/>
      <c r="D5" s="64"/>
      <c r="E5" s="64"/>
      <c r="F5" s="64"/>
      <c r="G5" s="64">
        <v>40.0</v>
      </c>
      <c r="H5" s="86">
        <v>2.0</v>
      </c>
      <c r="I5" s="86">
        <v>1.0</v>
      </c>
      <c r="J5" s="64"/>
      <c r="K5" s="64">
        <v>40.0</v>
      </c>
      <c r="L5" s="86">
        <v>1.0</v>
      </c>
      <c r="M5" s="41">
        <v>1.0</v>
      </c>
      <c r="N5" s="39">
        <v>0.0</v>
      </c>
      <c r="U5" s="118">
        <v>1.0</v>
      </c>
      <c r="V5" s="118">
        <v>0.5</v>
      </c>
      <c r="W5" s="37" t="s">
        <v>5091</v>
      </c>
      <c r="X5" s="37" t="s">
        <v>5092</v>
      </c>
      <c r="Y5" s="37" t="s">
        <v>5093</v>
      </c>
      <c r="Z5" s="37">
        <v>1.75</v>
      </c>
    </row>
    <row r="6" ht="18.75" customHeight="1">
      <c r="A6" s="64">
        <v>5.0</v>
      </c>
      <c r="B6" s="64" t="s">
        <v>5082</v>
      </c>
      <c r="C6" s="64"/>
      <c r="D6" s="64"/>
      <c r="E6" s="64"/>
      <c r="F6" s="64"/>
      <c r="G6" s="64">
        <v>50.0</v>
      </c>
      <c r="H6" s="86">
        <v>2.0</v>
      </c>
      <c r="I6" s="86">
        <v>2.0</v>
      </c>
      <c r="J6" s="64"/>
      <c r="K6" s="64">
        <v>50.0</v>
      </c>
      <c r="L6" s="86">
        <v>2.0</v>
      </c>
      <c r="M6" s="86">
        <v>1.0</v>
      </c>
      <c r="N6" s="86">
        <v>1.0</v>
      </c>
      <c r="O6" s="37">
        <v>20.0</v>
      </c>
      <c r="P6" s="39">
        <v>0.0</v>
      </c>
      <c r="Q6" s="39">
        <v>0.0</v>
      </c>
      <c r="R6" s="37" t="s">
        <v>5094</v>
      </c>
      <c r="U6" s="118">
        <v>1.0</v>
      </c>
      <c r="V6" s="118">
        <v>0.65</v>
      </c>
      <c r="W6" s="37" t="s">
        <v>5095</v>
      </c>
      <c r="X6" s="37" t="s">
        <v>5096</v>
      </c>
      <c r="Y6" s="37" t="s">
        <v>5097</v>
      </c>
      <c r="Z6" s="37">
        <v>2.0</v>
      </c>
    </row>
    <row r="7" ht="18.75" customHeight="1">
      <c r="A7" s="64">
        <v>6.0</v>
      </c>
      <c r="B7" s="64" t="s">
        <v>5082</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5094</v>
      </c>
      <c r="U7" s="118">
        <v>1.0</v>
      </c>
      <c r="V7" s="118">
        <v>0.8</v>
      </c>
    </row>
    <row r="8" ht="18.75" customHeight="1">
      <c r="A8" s="64">
        <v>7.0</v>
      </c>
      <c r="B8" s="64" t="s">
        <v>5082</v>
      </c>
      <c r="C8" s="64"/>
      <c r="D8" s="64"/>
      <c r="E8" s="64"/>
      <c r="F8" s="64"/>
      <c r="G8" s="64">
        <f t="shared" si="1"/>
        <v>200</v>
      </c>
      <c r="H8" s="86">
        <v>4.0</v>
      </c>
      <c r="I8" s="86">
        <v>4.0</v>
      </c>
      <c r="J8" s="64"/>
      <c r="K8" s="64">
        <f t="shared" si="2"/>
        <v>200</v>
      </c>
      <c r="L8" s="86">
        <v>4.0</v>
      </c>
      <c r="M8" s="86">
        <v>2.0</v>
      </c>
      <c r="N8" s="86">
        <v>2.0</v>
      </c>
      <c r="O8" s="37">
        <v>80.0</v>
      </c>
      <c r="P8" s="39">
        <v>2.0</v>
      </c>
      <c r="Q8" s="39">
        <v>0.0</v>
      </c>
      <c r="R8" s="37" t="s">
        <v>5094</v>
      </c>
      <c r="U8" s="118">
        <v>1.0</v>
      </c>
      <c r="V8" s="118">
        <v>1.0</v>
      </c>
    </row>
    <row r="9" ht="18.75" customHeight="1">
      <c r="A9" s="64">
        <v>1.0</v>
      </c>
      <c r="B9" s="37" t="s">
        <v>5098</v>
      </c>
      <c r="O9" s="37">
        <v>5.0</v>
      </c>
      <c r="P9" s="39">
        <v>0.0</v>
      </c>
    </row>
    <row r="10" ht="18.75" customHeight="1">
      <c r="A10" s="64">
        <v>2.0</v>
      </c>
      <c r="B10" s="37" t="s">
        <v>5098</v>
      </c>
      <c r="O10" s="37">
        <v>10.0</v>
      </c>
      <c r="P10" s="39">
        <v>0.0</v>
      </c>
      <c r="Q10" s="39">
        <v>0.0</v>
      </c>
    </row>
    <row r="11" ht="18.75" customHeight="1">
      <c r="A11" s="64">
        <v>3.0</v>
      </c>
      <c r="B11" s="37" t="s">
        <v>5098</v>
      </c>
      <c r="O11" s="37">
        <v>20.0</v>
      </c>
      <c r="P11" s="39">
        <v>0.0</v>
      </c>
      <c r="Q11" s="39">
        <v>0.0</v>
      </c>
    </row>
    <row r="12" ht="18.75" customHeight="1">
      <c r="A12" s="64">
        <v>4.0</v>
      </c>
      <c r="B12" s="37" t="s">
        <v>5098</v>
      </c>
      <c r="O12" s="37">
        <v>40.0</v>
      </c>
      <c r="P12" s="39">
        <v>1.0</v>
      </c>
      <c r="Q12" s="39">
        <v>0.0</v>
      </c>
    </row>
    <row r="13" ht="18.75" customHeight="1">
      <c r="A13" s="64">
        <v>5.0</v>
      </c>
      <c r="B13" s="37" t="s">
        <v>5098</v>
      </c>
      <c r="O13" s="37">
        <v>80.0</v>
      </c>
      <c r="P13" s="39">
        <v>2.0</v>
      </c>
      <c r="Q13" s="39">
        <v>0.0</v>
      </c>
      <c r="R13" s="37" t="s">
        <v>5094</v>
      </c>
    </row>
    <row r="14" ht="18.75" customHeight="1">
      <c r="A14" s="64">
        <v>6.0</v>
      </c>
      <c r="B14" s="37" t="s">
        <v>5098</v>
      </c>
      <c r="O14" s="37">
        <v>160.0</v>
      </c>
      <c r="P14" s="39">
        <v>3.0</v>
      </c>
      <c r="Q14" s="39">
        <v>1.0</v>
      </c>
      <c r="R14" s="37" t="s">
        <v>5094</v>
      </c>
    </row>
    <row r="15" ht="18.75" customHeight="1">
      <c r="A15" s="64">
        <v>7.0</v>
      </c>
      <c r="B15" s="37" t="s">
        <v>5098</v>
      </c>
      <c r="O15" s="37">
        <v>320.0</v>
      </c>
      <c r="P15" s="39">
        <v>6.0</v>
      </c>
      <c r="Q15" s="39">
        <v>2.0</v>
      </c>
      <c r="R15" s="37" t="s">
        <v>5094</v>
      </c>
    </row>
    <row r="16" ht="18.75" customHeight="1">
      <c r="A16" s="37">
        <v>1.0</v>
      </c>
      <c r="B16" s="37" t="s">
        <v>4445</v>
      </c>
      <c r="C16" s="37">
        <v>2.0</v>
      </c>
      <c r="D16" s="37">
        <v>2.0</v>
      </c>
      <c r="E16" s="37">
        <v>2.0</v>
      </c>
      <c r="G16" s="37">
        <v>2.0</v>
      </c>
      <c r="J16" s="37">
        <v>2.0</v>
      </c>
      <c r="K16" s="37">
        <v>2.0</v>
      </c>
    </row>
    <row r="17" ht="18.75" customHeight="1"/>
    <row r="18" ht="18.75" customHeight="1"/>
    <row r="19" ht="18.75" customHeight="1"/>
    <row r="20" ht="18.75" customHeight="1"/>
    <row r="21" ht="18.75" customHeight="1">
      <c r="H21" s="37" t="s">
        <v>5099</v>
      </c>
      <c r="I21" s="37" t="s">
        <v>2929</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5100</v>
      </c>
      <c r="B1" s="37" t="s">
        <v>5101</v>
      </c>
      <c r="C1" s="37" t="s">
        <v>5102</v>
      </c>
      <c r="D1" s="37" t="s">
        <v>5103</v>
      </c>
      <c r="E1" s="37" t="s">
        <v>5104</v>
      </c>
      <c r="F1" s="37" t="s">
        <v>5105</v>
      </c>
      <c r="G1" s="37" t="s">
        <v>2569</v>
      </c>
      <c r="H1" s="37" t="s">
        <v>1452</v>
      </c>
      <c r="I1" s="37" t="s">
        <v>5106</v>
      </c>
      <c r="J1" s="37" t="s">
        <v>1782</v>
      </c>
      <c r="K1" s="37" t="s">
        <v>1492</v>
      </c>
      <c r="L1" s="37" t="s">
        <v>4993</v>
      </c>
      <c r="M1" s="37" t="s">
        <v>4998</v>
      </c>
      <c r="N1" s="37" t="s">
        <v>4999</v>
      </c>
      <c r="O1" s="37" t="s">
        <v>5001</v>
      </c>
      <c r="P1" s="37" t="s">
        <v>5107</v>
      </c>
      <c r="Q1" s="37" t="s">
        <v>4484</v>
      </c>
      <c r="R1" s="37" t="s">
        <v>5108</v>
      </c>
      <c r="S1" s="37" t="s">
        <v>5109</v>
      </c>
      <c r="T1" s="37" t="s">
        <v>5110</v>
      </c>
      <c r="U1" s="37" t="s">
        <v>5111</v>
      </c>
      <c r="V1" s="176" t="s">
        <v>5112</v>
      </c>
      <c r="W1" s="177" t="s">
        <v>5113</v>
      </c>
      <c r="X1" s="177" t="s">
        <v>3199</v>
      </c>
      <c r="Y1" s="39" t="s">
        <v>4367</v>
      </c>
      <c r="Z1" s="39" t="s">
        <v>3324</v>
      </c>
      <c r="AA1" s="39" t="s">
        <v>5114</v>
      </c>
    </row>
    <row r="2" ht="18.75" customHeight="1">
      <c r="A2" s="37" t="s">
        <v>2811</v>
      </c>
      <c r="B2" s="37" t="s">
        <v>3325</v>
      </c>
      <c r="C2" s="37" t="s">
        <v>5115</v>
      </c>
      <c r="D2" s="37">
        <v>20.0</v>
      </c>
      <c r="E2" s="39">
        <v>10.0</v>
      </c>
      <c r="F2" s="37">
        <v>25.0</v>
      </c>
      <c r="K2" s="37">
        <v>20.0</v>
      </c>
      <c r="M2" s="37">
        <v>10.0</v>
      </c>
      <c r="N2" s="37">
        <v>135.0</v>
      </c>
      <c r="R2" s="37" t="s">
        <v>5116</v>
      </c>
      <c r="S2" s="37" t="s">
        <v>5117</v>
      </c>
      <c r="T2" s="37" t="s">
        <v>5118</v>
      </c>
      <c r="V2" s="176">
        <v>1.0</v>
      </c>
      <c r="W2" s="178">
        <v>0.5</v>
      </c>
      <c r="X2" s="178">
        <v>0.0</v>
      </c>
    </row>
    <row r="3" ht="18.75" customHeight="1">
      <c r="A3" s="37" t="s">
        <v>2802</v>
      </c>
      <c r="B3" s="37" t="s">
        <v>3325</v>
      </c>
      <c r="C3" s="37" t="s">
        <v>5115</v>
      </c>
      <c r="D3" s="37">
        <v>30.0</v>
      </c>
      <c r="E3" s="39">
        <v>20.0</v>
      </c>
      <c r="F3" s="37">
        <v>35.0</v>
      </c>
      <c r="K3" s="37">
        <v>25.0</v>
      </c>
      <c r="M3" s="37">
        <v>10.0</v>
      </c>
      <c r="N3" s="37">
        <v>135.0</v>
      </c>
      <c r="R3" s="37" t="s">
        <v>4995</v>
      </c>
      <c r="S3" s="37" t="s">
        <v>5118</v>
      </c>
      <c r="V3" s="176">
        <v>1.25</v>
      </c>
      <c r="W3" s="178">
        <v>1.0</v>
      </c>
      <c r="X3" s="178">
        <v>0.1</v>
      </c>
    </row>
    <row r="4" ht="18.75" customHeight="1">
      <c r="A4" s="37" t="s">
        <v>2798</v>
      </c>
      <c r="B4" s="37" t="s">
        <v>3325</v>
      </c>
      <c r="C4" s="37" t="s">
        <v>5115</v>
      </c>
      <c r="D4" s="37">
        <v>40.0</v>
      </c>
      <c r="E4" s="39">
        <v>25.0</v>
      </c>
      <c r="F4" s="37">
        <v>40.0</v>
      </c>
      <c r="K4" s="37">
        <v>25.0</v>
      </c>
      <c r="M4" s="37">
        <v>10.0</v>
      </c>
      <c r="N4" s="37">
        <v>135.0</v>
      </c>
      <c r="R4" s="37" t="s">
        <v>4995</v>
      </c>
      <c r="V4" s="176">
        <v>1.5</v>
      </c>
      <c r="W4" s="178">
        <v>1.4</v>
      </c>
      <c r="X4" s="178">
        <v>0.1</v>
      </c>
    </row>
    <row r="5" ht="18.75" customHeight="1">
      <c r="A5" s="37" t="s">
        <v>2805</v>
      </c>
      <c r="B5" s="37" t="s">
        <v>3325</v>
      </c>
      <c r="C5" s="37" t="s">
        <v>5115</v>
      </c>
      <c r="D5" s="37">
        <v>40.0</v>
      </c>
      <c r="E5" s="39">
        <v>20.0</v>
      </c>
      <c r="F5" s="37">
        <v>45.0</v>
      </c>
      <c r="K5" s="37">
        <v>25.0</v>
      </c>
      <c r="M5" s="37">
        <v>10.0</v>
      </c>
      <c r="N5" s="37">
        <v>135.0</v>
      </c>
      <c r="R5" s="37" t="s">
        <v>5117</v>
      </c>
      <c r="S5" s="37" t="s">
        <v>5106</v>
      </c>
      <c r="V5" s="176">
        <v>1.25</v>
      </c>
      <c r="W5" s="178">
        <v>0.6</v>
      </c>
      <c r="X5" s="178">
        <v>1.2</v>
      </c>
    </row>
    <row r="6" ht="18.75" customHeight="1">
      <c r="A6" s="37" t="s">
        <v>5119</v>
      </c>
      <c r="B6" s="37" t="s">
        <v>3325</v>
      </c>
      <c r="C6" s="37" t="s">
        <v>5115</v>
      </c>
      <c r="D6" s="37">
        <v>50.0</v>
      </c>
      <c r="E6" s="39">
        <v>30.0</v>
      </c>
      <c r="F6" s="37">
        <v>45.0</v>
      </c>
      <c r="K6" s="37">
        <v>30.0</v>
      </c>
      <c r="M6" s="37">
        <v>10.0</v>
      </c>
      <c r="N6" s="37">
        <v>125.0</v>
      </c>
      <c r="R6" s="37" t="s">
        <v>5117</v>
      </c>
      <c r="V6" s="176">
        <v>1.25</v>
      </c>
      <c r="W6" s="178">
        <v>1.2</v>
      </c>
      <c r="X6" s="178">
        <v>0.4</v>
      </c>
    </row>
    <row r="7" ht="18.75" customHeight="1">
      <c r="A7" s="37" t="s">
        <v>2821</v>
      </c>
      <c r="B7" s="37" t="s">
        <v>3325</v>
      </c>
      <c r="C7" s="37" t="s">
        <v>5115</v>
      </c>
      <c r="D7" s="37">
        <v>30.0</v>
      </c>
      <c r="E7" s="39">
        <v>10.0</v>
      </c>
      <c r="F7" s="37">
        <v>30.0</v>
      </c>
      <c r="K7" s="37">
        <v>20.0</v>
      </c>
      <c r="M7" s="37">
        <v>10.0</v>
      </c>
      <c r="N7" s="37">
        <v>125.0</v>
      </c>
      <c r="R7" s="37" t="s">
        <v>1490</v>
      </c>
      <c r="V7" s="176">
        <v>1.0</v>
      </c>
      <c r="W7" s="178">
        <v>0.0</v>
      </c>
      <c r="X7" s="178">
        <v>1.0</v>
      </c>
    </row>
    <row r="8" ht="18.75" customHeight="1">
      <c r="A8" s="37" t="s">
        <v>5120</v>
      </c>
      <c r="B8" s="37" t="s">
        <v>3325</v>
      </c>
      <c r="C8" s="37" t="s">
        <v>5115</v>
      </c>
      <c r="D8" s="37">
        <v>50.0</v>
      </c>
      <c r="E8" s="39">
        <v>30.0</v>
      </c>
      <c r="F8" s="37">
        <v>45.0</v>
      </c>
      <c r="K8" s="37">
        <v>25.0</v>
      </c>
      <c r="M8" s="37">
        <v>10.0</v>
      </c>
      <c r="N8" s="37">
        <v>125.0</v>
      </c>
      <c r="R8" s="37" t="s">
        <v>1490</v>
      </c>
      <c r="V8" s="176">
        <v>1.5</v>
      </c>
      <c r="W8" s="178">
        <v>1.6</v>
      </c>
      <c r="X8" s="178">
        <v>0.2</v>
      </c>
    </row>
    <row r="9" ht="18.75" customHeight="1">
      <c r="A9" s="37" t="s">
        <v>2813</v>
      </c>
      <c r="B9" s="37" t="s">
        <v>3325</v>
      </c>
      <c r="C9" s="37" t="s">
        <v>4993</v>
      </c>
      <c r="D9" s="37">
        <v>65.0</v>
      </c>
      <c r="E9" s="39">
        <v>20.0</v>
      </c>
      <c r="F9" s="37">
        <v>25.0</v>
      </c>
      <c r="K9" s="37">
        <v>25.0</v>
      </c>
      <c r="L9" s="37">
        <v>40.0</v>
      </c>
      <c r="M9" s="37">
        <v>10.0</v>
      </c>
      <c r="N9" s="37">
        <v>135.0</v>
      </c>
      <c r="O9" s="37">
        <v>20.0</v>
      </c>
      <c r="V9" s="176">
        <v>1.25</v>
      </c>
      <c r="W9" s="178">
        <v>0.2</v>
      </c>
      <c r="X9" s="178">
        <v>1.4</v>
      </c>
    </row>
    <row r="10" ht="18.75" customHeight="1">
      <c r="A10" s="37" t="s">
        <v>5121</v>
      </c>
      <c r="B10" s="37" t="s">
        <v>3325</v>
      </c>
      <c r="C10" s="37" t="s">
        <v>4993</v>
      </c>
      <c r="D10" s="37">
        <v>20.0</v>
      </c>
      <c r="E10" s="39">
        <v>10.0</v>
      </c>
      <c r="F10" s="37">
        <v>10.0</v>
      </c>
      <c r="K10" s="37">
        <v>25.0</v>
      </c>
      <c r="L10" s="37">
        <v>40.0</v>
      </c>
      <c r="M10" s="37">
        <v>10.0</v>
      </c>
      <c r="N10" s="37">
        <v>140.0</v>
      </c>
      <c r="O10" s="37">
        <v>20.0</v>
      </c>
      <c r="R10" s="37" t="s">
        <v>5122</v>
      </c>
      <c r="V10" s="176">
        <v>2.0</v>
      </c>
      <c r="W10" s="178">
        <v>2.0</v>
      </c>
      <c r="X10" s="178">
        <v>0.3</v>
      </c>
      <c r="Y10" s="41">
        <v>3.0</v>
      </c>
    </row>
    <row r="11" ht="18.75" customHeight="1">
      <c r="A11" s="37" t="s">
        <v>2816</v>
      </c>
      <c r="B11" s="37" t="s">
        <v>3325</v>
      </c>
      <c r="C11" s="37" t="s">
        <v>4806</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2803</v>
      </c>
      <c r="B13" s="37" t="s">
        <v>3325</v>
      </c>
      <c r="C13" s="37" t="s">
        <v>79</v>
      </c>
      <c r="D13" s="37">
        <v>-5.0</v>
      </c>
      <c r="E13" s="39">
        <v>10.0</v>
      </c>
      <c r="F13" s="37">
        <v>15.0</v>
      </c>
      <c r="K13" s="37">
        <v>25.0</v>
      </c>
      <c r="M13" s="37">
        <v>10.0</v>
      </c>
      <c r="N13" s="37">
        <v>120.0</v>
      </c>
      <c r="V13" s="176">
        <v>1.0</v>
      </c>
      <c r="W13" s="178">
        <v>0.2</v>
      </c>
      <c r="X13" s="178">
        <v>1.0</v>
      </c>
    </row>
    <row r="14" ht="18.75" customHeight="1">
      <c r="A14" s="37" t="s">
        <v>79</v>
      </c>
      <c r="B14" s="37" t="s">
        <v>3325</v>
      </c>
      <c r="C14" s="37" t="s">
        <v>79</v>
      </c>
      <c r="D14" s="37">
        <v>0.0</v>
      </c>
      <c r="E14" s="39">
        <v>20.0</v>
      </c>
      <c r="F14" s="37">
        <v>20.0</v>
      </c>
      <c r="K14" s="37">
        <v>35.0</v>
      </c>
      <c r="M14" s="37">
        <v>10.0</v>
      </c>
      <c r="N14" s="37">
        <v>120.0</v>
      </c>
      <c r="V14" s="176">
        <v>1.0</v>
      </c>
      <c r="W14" s="178">
        <v>0.6</v>
      </c>
      <c r="X14" s="178">
        <v>0.8</v>
      </c>
    </row>
    <row r="15" ht="18.75" customHeight="1">
      <c r="A15" s="37" t="s">
        <v>5123</v>
      </c>
      <c r="B15" s="37" t="s">
        <v>3325</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2826</v>
      </c>
      <c r="B17" s="37" t="s">
        <v>2634</v>
      </c>
      <c r="Q17" s="37">
        <v>3.0</v>
      </c>
      <c r="R17" s="37" t="s">
        <v>137</v>
      </c>
      <c r="V17" s="176">
        <v>1.0</v>
      </c>
      <c r="W17" s="178">
        <v>0.2</v>
      </c>
      <c r="X17" s="178">
        <v>0.1</v>
      </c>
    </row>
    <row r="18" ht="18.75" customHeight="1">
      <c r="A18" s="37" t="s">
        <v>5124</v>
      </c>
      <c r="B18" s="37" t="s">
        <v>2634</v>
      </c>
      <c r="E18" s="37">
        <v>5.0</v>
      </c>
      <c r="P18" s="37">
        <v>5.0</v>
      </c>
      <c r="Q18" s="37">
        <v>10.0</v>
      </c>
      <c r="V18" s="176">
        <v>1.5</v>
      </c>
      <c r="W18" s="178">
        <v>0.7</v>
      </c>
      <c r="X18" s="178">
        <v>0.1</v>
      </c>
    </row>
    <row r="19" ht="18.75" customHeight="1">
      <c r="A19" s="37" t="s">
        <v>2806</v>
      </c>
      <c r="B19" s="37" t="s">
        <v>2634</v>
      </c>
      <c r="Q19" s="37">
        <v>4.0</v>
      </c>
      <c r="V19" s="176">
        <v>1.0</v>
      </c>
      <c r="W19" s="178">
        <v>0.1</v>
      </c>
      <c r="X19" s="178">
        <v>0.3</v>
      </c>
    </row>
    <row r="20" ht="18.75" customHeight="1">
      <c r="A20" s="37" t="s">
        <v>5125</v>
      </c>
      <c r="B20" s="37" t="s">
        <v>2634</v>
      </c>
      <c r="Q20" s="37">
        <v>0.0</v>
      </c>
      <c r="R20" s="37" t="s">
        <v>5126</v>
      </c>
      <c r="S20" s="37" t="s">
        <v>5127</v>
      </c>
      <c r="V20" s="176">
        <v>1.0</v>
      </c>
      <c r="W20" s="178">
        <v>0.1</v>
      </c>
      <c r="X20" s="178">
        <v>0.3</v>
      </c>
    </row>
    <row r="21" ht="18.75" customHeight="1">
      <c r="V21" s="176"/>
      <c r="W21" s="176"/>
      <c r="X21" s="176"/>
    </row>
    <row r="22" ht="18.75" customHeight="1">
      <c r="A22" s="37" t="s">
        <v>2799</v>
      </c>
      <c r="B22" s="37" t="s">
        <v>2635</v>
      </c>
      <c r="E22" s="37">
        <v>10.0</v>
      </c>
      <c r="P22" s="37">
        <v>10.0</v>
      </c>
      <c r="Q22" s="37">
        <v>20.0</v>
      </c>
      <c r="V22" s="176">
        <v>2.0</v>
      </c>
      <c r="W22" s="178">
        <v>2.8</v>
      </c>
      <c r="X22" s="178">
        <v>0.25</v>
      </c>
      <c r="AA22" s="39">
        <v>1.0</v>
      </c>
    </row>
    <row r="23" ht="18.75" customHeight="1">
      <c r="A23" s="37" t="s">
        <v>2807</v>
      </c>
      <c r="B23" s="37" t="s">
        <v>2635</v>
      </c>
      <c r="Q23" s="37">
        <v>10.0</v>
      </c>
      <c r="V23" s="176">
        <v>1.5</v>
      </c>
      <c r="W23" s="178">
        <v>0.25</v>
      </c>
      <c r="X23" s="178">
        <v>1.0</v>
      </c>
      <c r="AA23" s="39">
        <v>2.0</v>
      </c>
    </row>
    <row r="24" ht="18.75" customHeight="1">
      <c r="A24" s="37" t="s">
        <v>2817</v>
      </c>
      <c r="B24" s="37" t="s">
        <v>2635</v>
      </c>
      <c r="Q24" s="37">
        <v>5.0</v>
      </c>
      <c r="R24" s="37" t="s">
        <v>5128</v>
      </c>
      <c r="V24" s="176">
        <v>1.5</v>
      </c>
      <c r="W24" s="178">
        <v>0.25</v>
      </c>
      <c r="X24" s="178">
        <v>1.0</v>
      </c>
      <c r="AA24" s="39">
        <v>3.0</v>
      </c>
    </row>
    <row r="25" ht="18.75" customHeight="1">
      <c r="V25" s="176"/>
      <c r="W25" s="176"/>
      <c r="X25" s="176"/>
    </row>
    <row r="26" ht="18.75" customHeight="1">
      <c r="A26" s="37" t="s">
        <v>5129</v>
      </c>
      <c r="B26" s="37" t="s">
        <v>2636</v>
      </c>
      <c r="E26" s="37">
        <v>5.0</v>
      </c>
      <c r="Q26" s="37">
        <v>3.0</v>
      </c>
      <c r="R26" s="37" t="s">
        <v>5126</v>
      </c>
      <c r="V26" s="176"/>
      <c r="W26" s="176"/>
      <c r="X26" s="176"/>
    </row>
    <row r="27" ht="18.75" customHeight="1">
      <c r="A27" s="37" t="s">
        <v>2800</v>
      </c>
      <c r="B27" s="37" t="s">
        <v>2636</v>
      </c>
      <c r="Q27" s="37">
        <v>1.0</v>
      </c>
      <c r="R27" s="37" t="s">
        <v>5130</v>
      </c>
      <c r="V27" s="176"/>
      <c r="W27" s="176"/>
      <c r="X27" s="176"/>
    </row>
    <row r="28" ht="18.75" customHeight="1">
      <c r="V28" s="176"/>
      <c r="W28" s="176"/>
      <c r="X28" s="176"/>
    </row>
    <row r="29" ht="18.75" customHeight="1">
      <c r="A29" s="37" t="s">
        <v>5131</v>
      </c>
      <c r="B29" s="37" t="s">
        <v>5132</v>
      </c>
      <c r="R29" s="37" t="s">
        <v>137</v>
      </c>
      <c r="V29" s="176">
        <v>1.0</v>
      </c>
      <c r="W29" s="178">
        <v>0.15</v>
      </c>
      <c r="X29" s="178">
        <v>0.05</v>
      </c>
    </row>
    <row r="30" ht="18.75" customHeight="1">
      <c r="A30" s="37" t="s">
        <v>5037</v>
      </c>
      <c r="B30" s="37" t="s">
        <v>5132</v>
      </c>
      <c r="R30" s="37" t="s">
        <v>5126</v>
      </c>
      <c r="S30" s="37" t="s">
        <v>5127</v>
      </c>
      <c r="V30" s="176">
        <v>1.0</v>
      </c>
      <c r="W30" s="178">
        <v>0.1</v>
      </c>
      <c r="X30" s="178">
        <v>0.05</v>
      </c>
    </row>
    <row r="31" ht="18.75" customHeight="1">
      <c r="A31" s="37" t="s">
        <v>5133</v>
      </c>
      <c r="B31" s="37" t="s">
        <v>5132</v>
      </c>
      <c r="R31" s="37" t="s">
        <v>5134</v>
      </c>
      <c r="V31" s="176">
        <v>1.0</v>
      </c>
      <c r="W31" s="178">
        <v>0.1</v>
      </c>
      <c r="X31" s="178">
        <v>0.05</v>
      </c>
    </row>
    <row r="32" ht="18.75" customHeight="1">
      <c r="A32" s="37" t="s">
        <v>5135</v>
      </c>
      <c r="B32" s="37" t="s">
        <v>5132</v>
      </c>
      <c r="R32" s="37" t="s">
        <v>5136</v>
      </c>
      <c r="S32" s="37" t="s">
        <v>5137</v>
      </c>
      <c r="V32" s="176">
        <v>1.0</v>
      </c>
      <c r="W32" s="178">
        <v>0.2</v>
      </c>
      <c r="X32" s="178">
        <v>0.05</v>
      </c>
    </row>
    <row r="33" ht="18.75" customHeight="1"/>
    <row r="34" ht="18.75" customHeight="1">
      <c r="A34" s="39" t="s">
        <v>32</v>
      </c>
      <c r="B34" s="39" t="s">
        <v>5138</v>
      </c>
      <c r="C34" s="39" t="s">
        <v>5115</v>
      </c>
      <c r="D34" s="39">
        <v>60.0</v>
      </c>
      <c r="F34" s="41">
        <v>35.0</v>
      </c>
      <c r="K34" s="41">
        <v>15.0</v>
      </c>
      <c r="M34" s="41">
        <v>10.0</v>
      </c>
      <c r="N34" s="41">
        <v>125.0</v>
      </c>
      <c r="V34" s="176"/>
      <c r="W34" s="178"/>
      <c r="X34" s="178"/>
      <c r="Y34" s="39">
        <v>1.0</v>
      </c>
      <c r="Z34" s="39" t="s">
        <v>5139</v>
      </c>
      <c r="AA34" s="39"/>
    </row>
    <row r="35" ht="18.75" customHeight="1">
      <c r="A35" s="39" t="s">
        <v>35</v>
      </c>
      <c r="B35" s="39" t="s">
        <v>5138</v>
      </c>
      <c r="C35" s="39" t="s">
        <v>5115</v>
      </c>
      <c r="D35" s="41">
        <v>30.0</v>
      </c>
      <c r="F35" s="41">
        <v>25.0</v>
      </c>
      <c r="K35" s="41">
        <v>10.0</v>
      </c>
      <c r="M35" s="41">
        <v>10.0</v>
      </c>
      <c r="N35" s="41">
        <v>135.0</v>
      </c>
      <c r="P35" s="41">
        <v>15.0</v>
      </c>
      <c r="V35" s="176"/>
      <c r="W35" s="178"/>
      <c r="X35" s="178"/>
      <c r="Y35" s="39">
        <v>1.0</v>
      </c>
      <c r="Z35" s="39" t="s">
        <v>5139</v>
      </c>
      <c r="AA35" s="39"/>
    </row>
    <row r="36" ht="18.75" customHeight="1">
      <c r="A36" s="39" t="s">
        <v>37</v>
      </c>
      <c r="B36" s="39" t="s">
        <v>5138</v>
      </c>
      <c r="C36" s="39" t="s">
        <v>5115</v>
      </c>
      <c r="D36" s="41">
        <v>50.0</v>
      </c>
      <c r="F36" s="39">
        <v>15.0</v>
      </c>
      <c r="K36" s="41">
        <v>10.0</v>
      </c>
      <c r="M36" s="41">
        <v>10.0</v>
      </c>
      <c r="N36" s="41">
        <v>135.0</v>
      </c>
      <c r="V36" s="176"/>
      <c r="W36" s="178"/>
      <c r="X36" s="178"/>
      <c r="Y36" s="39">
        <v>2.0</v>
      </c>
      <c r="Z36" s="39" t="s">
        <v>5139</v>
      </c>
      <c r="AA36" s="39"/>
    </row>
    <row r="37" ht="18.75" customHeight="1">
      <c r="A37" s="39" t="s">
        <v>39</v>
      </c>
      <c r="B37" s="39" t="s">
        <v>5138</v>
      </c>
      <c r="C37" s="39" t="s">
        <v>5115</v>
      </c>
      <c r="D37" s="39">
        <v>20.0</v>
      </c>
      <c r="F37" s="41">
        <v>12.0</v>
      </c>
      <c r="K37" s="41">
        <v>7.0</v>
      </c>
      <c r="M37" s="41">
        <v>10.0</v>
      </c>
      <c r="N37" s="41">
        <v>125.0</v>
      </c>
      <c r="V37" s="176"/>
      <c r="W37" s="178"/>
      <c r="X37" s="178"/>
      <c r="Y37" s="39">
        <v>1.0</v>
      </c>
      <c r="Z37" s="39" t="s">
        <v>5139</v>
      </c>
      <c r="AA37" s="39"/>
    </row>
    <row r="38" ht="18.75" customHeight="1">
      <c r="A38" s="39" t="s">
        <v>45</v>
      </c>
      <c r="B38" s="39" t="s">
        <v>5138</v>
      </c>
      <c r="C38" s="39" t="s">
        <v>5115</v>
      </c>
      <c r="D38" s="41">
        <v>20.0</v>
      </c>
      <c r="F38" s="39">
        <v>10.0</v>
      </c>
      <c r="K38" s="39">
        <v>15.0</v>
      </c>
      <c r="M38" s="41">
        <v>5.0</v>
      </c>
      <c r="N38" s="41">
        <v>115.0</v>
      </c>
      <c r="V38" s="176"/>
      <c r="W38" s="178"/>
      <c r="X38" s="178"/>
      <c r="Y38" s="39">
        <v>2.0</v>
      </c>
      <c r="Z38" s="39" t="s">
        <v>5139</v>
      </c>
      <c r="AA38" s="39"/>
    </row>
    <row r="39" ht="18.75" customHeight="1">
      <c r="A39" s="39" t="s">
        <v>2605</v>
      </c>
      <c r="B39" s="39" t="s">
        <v>5140</v>
      </c>
      <c r="C39" s="41" t="s">
        <v>5138</v>
      </c>
      <c r="D39" s="41">
        <v>10.0</v>
      </c>
      <c r="F39" s="41">
        <v>10.0</v>
      </c>
      <c r="K39" s="41">
        <v>8.0</v>
      </c>
      <c r="M39" s="41">
        <v>5.0</v>
      </c>
      <c r="N39" s="41">
        <v>110.0</v>
      </c>
      <c r="Q39" s="41">
        <v>10.0</v>
      </c>
      <c r="V39" s="176"/>
      <c r="W39" s="178"/>
      <c r="X39" s="178"/>
      <c r="Z39" s="39" t="s">
        <v>5141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3844</v>
      </c>
      <c r="C1" s="179" t="s">
        <v>3657</v>
      </c>
      <c r="D1" s="179" t="s">
        <v>5142</v>
      </c>
      <c r="E1" s="179" t="s">
        <v>3022</v>
      </c>
      <c r="F1" s="179" t="s">
        <v>5143</v>
      </c>
      <c r="G1" s="179" t="s">
        <v>4153</v>
      </c>
      <c r="H1" s="179" t="s">
        <v>5144</v>
      </c>
      <c r="I1" s="179" t="s">
        <v>5145</v>
      </c>
      <c r="J1" s="179" t="s">
        <v>4471</v>
      </c>
      <c r="K1" s="179" t="s">
        <v>5146</v>
      </c>
      <c r="L1" s="179" t="s">
        <v>5147</v>
      </c>
      <c r="M1" s="179" t="s">
        <v>8</v>
      </c>
      <c r="N1" s="179" t="s">
        <v>5148</v>
      </c>
      <c r="O1" s="179" t="s">
        <v>5149</v>
      </c>
      <c r="P1" s="179" t="s">
        <v>5150</v>
      </c>
      <c r="Q1" s="179" t="s">
        <v>5151</v>
      </c>
      <c r="R1" s="179" t="s">
        <v>5152</v>
      </c>
      <c r="S1" s="179" t="s">
        <v>5153</v>
      </c>
      <c r="T1" s="179" t="s">
        <v>3324</v>
      </c>
      <c r="U1" s="179" t="s">
        <v>3329</v>
      </c>
      <c r="V1" s="180" t="s">
        <v>5154</v>
      </c>
      <c r="W1" s="180" t="s">
        <v>5155</v>
      </c>
      <c r="X1" s="180" t="s">
        <v>5156</v>
      </c>
      <c r="Y1" s="180" t="s">
        <v>5157</v>
      </c>
      <c r="Z1" s="180" t="s">
        <v>5158</v>
      </c>
      <c r="AA1" s="180" t="s">
        <v>5159</v>
      </c>
      <c r="AB1" s="180" t="s">
        <v>5160</v>
      </c>
      <c r="AC1" s="180" t="s">
        <v>5161</v>
      </c>
    </row>
    <row r="2">
      <c r="A2" s="181" t="s">
        <v>5162</v>
      </c>
      <c r="B2" s="181" t="s">
        <v>5163</v>
      </c>
      <c r="C2" s="181" t="s">
        <v>5164</v>
      </c>
      <c r="D2" s="181" t="s">
        <v>5165</v>
      </c>
      <c r="E2" s="181" t="s">
        <v>5166</v>
      </c>
      <c r="F2" s="181" t="s">
        <v>5167</v>
      </c>
      <c r="G2" s="181" t="s">
        <v>5168</v>
      </c>
      <c r="H2" s="181" t="s">
        <v>5169</v>
      </c>
      <c r="I2" s="181" t="s">
        <v>5170</v>
      </c>
      <c r="J2" s="181" t="s">
        <v>5171</v>
      </c>
      <c r="K2" s="181" t="s">
        <v>5172</v>
      </c>
      <c r="L2" s="181" t="s">
        <v>5173</v>
      </c>
      <c r="M2" s="181" t="s">
        <v>5174</v>
      </c>
      <c r="N2" s="181" t="s">
        <v>5175</v>
      </c>
      <c r="O2" s="181">
        <v>10.0</v>
      </c>
      <c r="P2" s="181" t="b">
        <v>1</v>
      </c>
      <c r="Q2" s="181">
        <v>5.0</v>
      </c>
      <c r="R2" s="181" t="s">
        <v>29</v>
      </c>
      <c r="S2" s="181" t="s">
        <v>29</v>
      </c>
      <c r="T2" s="181" t="s">
        <v>5176</v>
      </c>
      <c r="U2" s="181" t="s">
        <v>5177</v>
      </c>
      <c r="V2" s="181"/>
      <c r="W2" s="181"/>
      <c r="X2" s="181"/>
      <c r="Y2" s="181"/>
      <c r="Z2" s="181"/>
      <c r="AA2" s="181"/>
      <c r="AB2" s="181"/>
      <c r="AC2" s="181"/>
    </row>
    <row r="3">
      <c r="A3" s="181" t="s">
        <v>5178</v>
      </c>
      <c r="B3" s="181" t="s">
        <v>5163</v>
      </c>
      <c r="C3" s="181" t="s">
        <v>5164</v>
      </c>
      <c r="D3" s="181" t="s">
        <v>5165</v>
      </c>
      <c r="E3" s="181" t="s">
        <v>5179</v>
      </c>
      <c r="F3" s="181" t="s">
        <v>5167</v>
      </c>
      <c r="G3" s="181" t="s">
        <v>29</v>
      </c>
      <c r="H3" s="181" t="s">
        <v>5180</v>
      </c>
      <c r="I3" s="181" t="s">
        <v>5181</v>
      </c>
      <c r="J3" s="181" t="s">
        <v>5182</v>
      </c>
      <c r="K3" s="181" t="s">
        <v>29</v>
      </c>
      <c r="L3" s="181" t="s">
        <v>5173</v>
      </c>
      <c r="M3" s="181" t="s">
        <v>5183</v>
      </c>
      <c r="N3" s="181" t="s">
        <v>5184</v>
      </c>
      <c r="O3" s="181">
        <v>15.0</v>
      </c>
      <c r="P3" s="181" t="b">
        <v>1</v>
      </c>
      <c r="Q3" s="181">
        <v>5.0</v>
      </c>
      <c r="R3" s="181" t="s">
        <v>29</v>
      </c>
      <c r="S3" s="181" t="s">
        <v>29</v>
      </c>
      <c r="T3" s="181" t="s">
        <v>5185</v>
      </c>
      <c r="U3" s="181" t="s">
        <v>5186</v>
      </c>
      <c r="V3" s="181"/>
      <c r="W3" s="181"/>
      <c r="X3" s="181"/>
      <c r="Y3" s="181"/>
      <c r="Z3" s="181"/>
      <c r="AA3" s="181"/>
      <c r="AB3" s="181"/>
      <c r="AC3" s="181"/>
    </row>
    <row r="4">
      <c r="A4" s="181" t="s">
        <v>5187</v>
      </c>
      <c r="B4" s="181" t="s">
        <v>5163</v>
      </c>
      <c r="C4" s="181" t="s">
        <v>5164</v>
      </c>
      <c r="D4" s="181" t="s">
        <v>5188</v>
      </c>
      <c r="E4" s="181" t="s">
        <v>5189</v>
      </c>
      <c r="F4" s="181" t="s">
        <v>5167</v>
      </c>
      <c r="G4" s="181" t="s">
        <v>29</v>
      </c>
      <c r="H4" s="181" t="s">
        <v>5190</v>
      </c>
      <c r="I4" s="181" t="s">
        <v>5191</v>
      </c>
      <c r="J4" s="181" t="s">
        <v>5192</v>
      </c>
      <c r="K4" s="181" t="s">
        <v>29</v>
      </c>
      <c r="L4" s="181" t="s">
        <v>29</v>
      </c>
      <c r="M4" s="181" t="s">
        <v>5193</v>
      </c>
      <c r="N4" s="181" t="s">
        <v>29</v>
      </c>
      <c r="O4" s="181" t="s">
        <v>29</v>
      </c>
      <c r="P4" s="181" t="b">
        <v>0</v>
      </c>
      <c r="Q4" s="181" t="s">
        <v>29</v>
      </c>
      <c r="R4" s="181">
        <v>5.0</v>
      </c>
      <c r="S4" s="181">
        <v>3.0</v>
      </c>
      <c r="T4" s="181" t="s">
        <v>5194</v>
      </c>
      <c r="U4" s="181" t="s">
        <v>5195</v>
      </c>
      <c r="V4" s="181"/>
      <c r="W4" s="181"/>
      <c r="X4" s="181"/>
      <c r="Y4" s="181"/>
      <c r="Z4" s="181"/>
      <c r="AA4" s="181"/>
      <c r="AB4" s="181"/>
      <c r="AC4" s="181"/>
    </row>
    <row r="5">
      <c r="A5" s="181" t="s">
        <v>5196</v>
      </c>
      <c r="B5" s="181" t="s">
        <v>5163</v>
      </c>
      <c r="C5" s="181" t="s">
        <v>5164</v>
      </c>
      <c r="D5" s="181" t="s">
        <v>5165</v>
      </c>
      <c r="E5" s="181" t="s">
        <v>5197</v>
      </c>
      <c r="F5" s="181" t="s">
        <v>5167</v>
      </c>
      <c r="G5" s="181" t="s">
        <v>5198</v>
      </c>
      <c r="H5" s="181" t="s">
        <v>5169</v>
      </c>
      <c r="I5" s="181" t="s">
        <v>5199</v>
      </c>
      <c r="J5" s="181" t="s">
        <v>5200</v>
      </c>
      <c r="K5" s="181" t="s">
        <v>5201</v>
      </c>
      <c r="L5" s="181" t="s">
        <v>5202</v>
      </c>
      <c r="M5" s="181" t="s">
        <v>5203</v>
      </c>
      <c r="N5" s="181" t="s">
        <v>5204</v>
      </c>
      <c r="O5" s="181">
        <v>10.0</v>
      </c>
      <c r="P5" s="181" t="b">
        <v>1</v>
      </c>
      <c r="Q5" s="181">
        <v>5.0</v>
      </c>
      <c r="R5" s="181" t="s">
        <v>29</v>
      </c>
      <c r="S5" s="181" t="s">
        <v>29</v>
      </c>
      <c r="T5" s="181" t="s">
        <v>5205</v>
      </c>
      <c r="U5" s="181" t="s">
        <v>5206</v>
      </c>
      <c r="V5" s="181"/>
      <c r="W5" s="181"/>
      <c r="X5" s="181"/>
      <c r="Y5" s="181"/>
      <c r="Z5" s="181"/>
      <c r="AA5" s="181"/>
      <c r="AB5" s="181"/>
      <c r="AC5" s="181"/>
    </row>
    <row r="6">
      <c r="A6" s="181" t="s">
        <v>5207</v>
      </c>
      <c r="B6" s="182" t="s">
        <v>5208</v>
      </c>
      <c r="C6" s="181" t="s">
        <v>5164</v>
      </c>
      <c r="D6" s="181" t="s">
        <v>5165</v>
      </c>
      <c r="E6" s="181" t="s">
        <v>5209</v>
      </c>
      <c r="F6" s="181" t="s">
        <v>5167</v>
      </c>
      <c r="G6" s="181" t="s">
        <v>29</v>
      </c>
      <c r="H6" s="181" t="s">
        <v>5169</v>
      </c>
      <c r="I6" s="181" t="s">
        <v>5210</v>
      </c>
      <c r="J6" s="181" t="s">
        <v>5211</v>
      </c>
      <c r="K6" s="181" t="s">
        <v>5212</v>
      </c>
      <c r="L6" s="181" t="s">
        <v>5173</v>
      </c>
      <c r="M6" s="181" t="s">
        <v>5213</v>
      </c>
      <c r="N6" s="181" t="s">
        <v>5214</v>
      </c>
      <c r="O6" s="181">
        <v>15.0</v>
      </c>
      <c r="P6" s="181" t="b">
        <v>1</v>
      </c>
      <c r="Q6" s="181">
        <v>5.0</v>
      </c>
      <c r="R6" s="181" t="s">
        <v>29</v>
      </c>
      <c r="S6" s="181" t="s">
        <v>29</v>
      </c>
      <c r="T6" s="181" t="s">
        <v>5215</v>
      </c>
      <c r="U6" s="181" t="s">
        <v>5216</v>
      </c>
      <c r="V6" s="181"/>
      <c r="W6" s="181"/>
      <c r="X6" s="181"/>
      <c r="Y6" s="181"/>
      <c r="Z6" s="181"/>
      <c r="AA6" s="181"/>
      <c r="AB6" s="181"/>
      <c r="AC6" s="181"/>
    </row>
    <row r="7">
      <c r="A7" s="181" t="s">
        <v>5217</v>
      </c>
      <c r="B7" s="182" t="s">
        <v>5208</v>
      </c>
      <c r="C7" s="181" t="s">
        <v>5164</v>
      </c>
      <c r="D7" s="181" t="s">
        <v>5165</v>
      </c>
      <c r="E7" s="181" t="s">
        <v>5209</v>
      </c>
      <c r="F7" s="181" t="s">
        <v>5167</v>
      </c>
      <c r="G7" s="181" t="s">
        <v>29</v>
      </c>
      <c r="H7" s="181" t="s">
        <v>5169</v>
      </c>
      <c r="I7" s="181" t="s">
        <v>5218</v>
      </c>
      <c r="J7" s="181" t="s">
        <v>5219</v>
      </c>
      <c r="K7" s="181" t="s">
        <v>5220</v>
      </c>
      <c r="L7" s="181" t="s">
        <v>5173</v>
      </c>
      <c r="M7" s="181" t="s">
        <v>5221</v>
      </c>
      <c r="N7" s="181" t="s">
        <v>5222</v>
      </c>
      <c r="O7" s="181">
        <v>15.0</v>
      </c>
      <c r="P7" s="181" t="b">
        <v>1</v>
      </c>
      <c r="Q7" s="181">
        <v>5.0</v>
      </c>
      <c r="R7" s="181" t="s">
        <v>29</v>
      </c>
      <c r="S7" s="181" t="s">
        <v>29</v>
      </c>
      <c r="T7" s="181" t="s">
        <v>5215</v>
      </c>
      <c r="U7" s="181" t="s">
        <v>5223</v>
      </c>
      <c r="V7" s="181"/>
      <c r="W7" s="181"/>
      <c r="X7" s="181"/>
      <c r="Y7" s="181"/>
      <c r="Z7" s="181"/>
      <c r="AA7" s="181"/>
      <c r="AB7" s="181"/>
      <c r="AC7" s="181"/>
    </row>
    <row r="8">
      <c r="A8" s="181" t="s">
        <v>5178</v>
      </c>
      <c r="B8" s="182" t="s">
        <v>5208</v>
      </c>
      <c r="C8" s="181" t="s">
        <v>5164</v>
      </c>
      <c r="D8" s="181" t="s">
        <v>5165</v>
      </c>
      <c r="E8" s="181" t="s">
        <v>5224</v>
      </c>
      <c r="F8" s="181" t="s">
        <v>5167</v>
      </c>
      <c r="G8" s="181" t="s">
        <v>29</v>
      </c>
      <c r="H8" s="181" t="s">
        <v>5225</v>
      </c>
      <c r="I8" s="181" t="s">
        <v>5226</v>
      </c>
      <c r="J8" s="181" t="s">
        <v>5182</v>
      </c>
      <c r="K8" s="181" t="s">
        <v>29</v>
      </c>
      <c r="L8" s="181" t="s">
        <v>5173</v>
      </c>
      <c r="M8" s="181" t="s">
        <v>5227</v>
      </c>
      <c r="N8" s="181" t="s">
        <v>5184</v>
      </c>
      <c r="O8" s="181">
        <v>15.0</v>
      </c>
      <c r="P8" s="181" t="b">
        <v>1</v>
      </c>
      <c r="Q8" s="181">
        <v>5.0</v>
      </c>
      <c r="R8" s="181" t="s">
        <v>29</v>
      </c>
      <c r="S8" s="181" t="s">
        <v>29</v>
      </c>
      <c r="T8" s="181" t="s">
        <v>5215</v>
      </c>
      <c r="U8" s="181" t="s">
        <v>5228</v>
      </c>
      <c r="V8" s="181"/>
      <c r="W8" s="181"/>
      <c r="X8" s="181"/>
      <c r="Y8" s="181"/>
      <c r="Z8" s="181"/>
      <c r="AA8" s="181"/>
      <c r="AB8" s="181"/>
      <c r="AC8" s="181"/>
    </row>
    <row r="9">
      <c r="A9" s="181" t="s">
        <v>5196</v>
      </c>
      <c r="B9" s="181" t="s">
        <v>4141</v>
      </c>
      <c r="C9" s="181" t="s">
        <v>5164</v>
      </c>
      <c r="D9" s="181" t="s">
        <v>5165</v>
      </c>
      <c r="E9" s="181" t="s">
        <v>5209</v>
      </c>
      <c r="F9" s="181" t="s">
        <v>5167</v>
      </c>
      <c r="G9" s="181" t="s">
        <v>5198</v>
      </c>
      <c r="H9" s="181" t="s">
        <v>5169</v>
      </c>
      <c r="I9" s="181" t="s">
        <v>5229</v>
      </c>
      <c r="J9" s="181" t="s">
        <v>5200</v>
      </c>
      <c r="K9" s="181" t="s">
        <v>5201</v>
      </c>
      <c r="L9" s="181" t="s">
        <v>5230</v>
      </c>
      <c r="M9" s="181" t="s">
        <v>5231</v>
      </c>
      <c r="N9" s="181" t="s">
        <v>5204</v>
      </c>
      <c r="O9" s="181">
        <v>15.0</v>
      </c>
      <c r="P9" s="181" t="b">
        <v>1</v>
      </c>
      <c r="Q9" s="181">
        <v>5.0</v>
      </c>
      <c r="R9" s="181" t="s">
        <v>29</v>
      </c>
      <c r="S9" s="181" t="s">
        <v>29</v>
      </c>
      <c r="T9" s="181" t="s">
        <v>5215</v>
      </c>
      <c r="U9" s="181" t="s">
        <v>5232</v>
      </c>
      <c r="V9" s="181"/>
      <c r="W9" s="181"/>
      <c r="X9" s="181"/>
      <c r="Y9" s="181"/>
      <c r="Z9" s="181"/>
      <c r="AA9" s="181"/>
      <c r="AB9" s="181"/>
      <c r="AC9" s="181"/>
    </row>
    <row r="10">
      <c r="A10" s="182" t="s">
        <v>5233</v>
      </c>
      <c r="B10" s="182" t="s">
        <v>4141</v>
      </c>
      <c r="C10" s="182" t="s">
        <v>5164</v>
      </c>
      <c r="D10" s="182" t="s">
        <v>5234</v>
      </c>
      <c r="E10" s="182" t="s">
        <v>5235</v>
      </c>
      <c r="F10" s="181"/>
      <c r="G10" s="181"/>
      <c r="H10" s="181"/>
      <c r="I10" s="181"/>
      <c r="J10" s="181"/>
      <c r="K10" s="181"/>
      <c r="L10" s="181"/>
      <c r="M10" s="181"/>
      <c r="N10" s="181"/>
      <c r="O10" s="181"/>
      <c r="P10" s="181"/>
      <c r="Q10" s="181"/>
      <c r="R10" s="181"/>
      <c r="S10" s="181"/>
      <c r="T10" s="182" t="s">
        <v>5236</v>
      </c>
      <c r="U10" s="182" t="s">
        <v>5237</v>
      </c>
      <c r="V10" s="181" t="s">
        <v>5238</v>
      </c>
      <c r="W10" s="181">
        <v>100.0</v>
      </c>
      <c r="X10" s="181" t="s">
        <v>5239</v>
      </c>
      <c r="Y10" s="181" t="s">
        <v>5240</v>
      </c>
      <c r="Z10" s="181" t="s">
        <v>5241</v>
      </c>
      <c r="AA10" s="181">
        <v>3.0</v>
      </c>
      <c r="AB10" s="181">
        <v>3.0</v>
      </c>
      <c r="AC10" s="181">
        <v>5.0</v>
      </c>
    </row>
    <row r="11">
      <c r="A11" s="182" t="s">
        <v>5242</v>
      </c>
      <c r="B11" s="182" t="s">
        <v>4141</v>
      </c>
      <c r="C11" s="182" t="s">
        <v>5164</v>
      </c>
      <c r="D11" s="182" t="s">
        <v>5234</v>
      </c>
      <c r="E11" s="182" t="s">
        <v>5243</v>
      </c>
      <c r="F11" s="181"/>
      <c r="G11" s="181"/>
      <c r="H11" s="181"/>
      <c r="I11" s="181"/>
      <c r="J11" s="181"/>
      <c r="K11" s="181"/>
      <c r="L11" s="181"/>
      <c r="M11" s="181"/>
      <c r="N11" s="181"/>
      <c r="O11" s="181"/>
      <c r="P11" s="181"/>
      <c r="Q11" s="181"/>
      <c r="R11" s="181"/>
      <c r="S11" s="181"/>
      <c r="T11" s="182" t="s">
        <v>5244</v>
      </c>
      <c r="U11" s="182" t="s">
        <v>5245</v>
      </c>
      <c r="V11" s="181" t="s">
        <v>5246</v>
      </c>
      <c r="W11" s="181">
        <v>90.0</v>
      </c>
      <c r="X11" s="181" t="s">
        <v>5247</v>
      </c>
      <c r="Y11" s="181" t="s">
        <v>5248</v>
      </c>
      <c r="Z11" s="181"/>
      <c r="AA11" s="181">
        <v>3.0</v>
      </c>
      <c r="AB11" s="181">
        <v>1.0</v>
      </c>
      <c r="AC11" s="181">
        <v>3.0</v>
      </c>
    </row>
    <row r="12">
      <c r="A12" s="182" t="s">
        <v>5249</v>
      </c>
      <c r="B12" s="182" t="s">
        <v>4141</v>
      </c>
      <c r="C12" s="182" t="s">
        <v>5164</v>
      </c>
      <c r="D12" s="182" t="s">
        <v>5234</v>
      </c>
      <c r="E12" s="182" t="s">
        <v>5250</v>
      </c>
      <c r="F12" s="181"/>
      <c r="G12" s="181"/>
      <c r="H12" s="181"/>
      <c r="I12" s="181"/>
      <c r="J12" s="181"/>
      <c r="K12" s="181"/>
      <c r="L12" s="181"/>
      <c r="M12" s="181"/>
      <c r="N12" s="181"/>
      <c r="O12" s="181"/>
      <c r="P12" s="181"/>
      <c r="Q12" s="181"/>
      <c r="R12" s="181"/>
      <c r="S12" s="181"/>
      <c r="T12" s="182" t="s">
        <v>5251</v>
      </c>
      <c r="U12" s="182" t="s">
        <v>5252</v>
      </c>
      <c r="V12" s="181" t="s">
        <v>4419</v>
      </c>
      <c r="W12" s="181">
        <v>80.0</v>
      </c>
      <c r="X12" s="181" t="s">
        <v>5253</v>
      </c>
      <c r="Y12" s="181" t="s">
        <v>5254</v>
      </c>
      <c r="Z12" s="181" t="s">
        <v>5255</v>
      </c>
      <c r="AA12" s="181">
        <v>3.0</v>
      </c>
      <c r="AB12" s="181">
        <v>100.0</v>
      </c>
      <c r="AC12" s="181">
        <v>3.0</v>
      </c>
    </row>
    <row r="13">
      <c r="A13" s="182" t="s">
        <v>5256</v>
      </c>
      <c r="B13" s="182" t="s">
        <v>4141</v>
      </c>
      <c r="C13" s="182" t="s">
        <v>5164</v>
      </c>
      <c r="D13" s="182" t="s">
        <v>5234</v>
      </c>
      <c r="E13" s="182" t="s">
        <v>5257</v>
      </c>
      <c r="F13" s="181"/>
      <c r="G13" s="181"/>
      <c r="H13" s="181"/>
      <c r="I13" s="181"/>
      <c r="J13" s="181"/>
      <c r="K13" s="181"/>
      <c r="L13" s="181"/>
      <c r="M13" s="181"/>
      <c r="N13" s="181"/>
      <c r="O13" s="181"/>
      <c r="P13" s="181"/>
      <c r="Q13" s="181"/>
      <c r="R13" s="181"/>
      <c r="S13" s="181"/>
      <c r="T13" s="182" t="s">
        <v>5258</v>
      </c>
      <c r="U13" s="182" t="s">
        <v>5259</v>
      </c>
      <c r="V13" s="181" t="s">
        <v>4647</v>
      </c>
      <c r="W13" s="181">
        <v>60.0</v>
      </c>
      <c r="X13" s="181" t="s">
        <v>5260</v>
      </c>
      <c r="Y13" s="181" t="s">
        <v>5261</v>
      </c>
      <c r="Z13" s="181" t="s">
        <v>5255</v>
      </c>
      <c r="AA13" s="181">
        <v>3.0</v>
      </c>
      <c r="AB13" s="181">
        <v>100.0</v>
      </c>
      <c r="AC13" s="181">
        <v>5.0</v>
      </c>
    </row>
    <row r="14">
      <c r="A14" s="182" t="s">
        <v>5262</v>
      </c>
      <c r="B14" s="182" t="s">
        <v>5263</v>
      </c>
      <c r="C14" s="182" t="s">
        <v>5164</v>
      </c>
      <c r="D14" s="182" t="s">
        <v>5234</v>
      </c>
      <c r="E14" s="182" t="s">
        <v>5264</v>
      </c>
      <c r="F14" s="181"/>
      <c r="G14" s="181"/>
      <c r="H14" s="181"/>
      <c r="I14" s="181"/>
      <c r="J14" s="181"/>
      <c r="K14" s="181"/>
      <c r="L14" s="181"/>
      <c r="M14" s="181"/>
      <c r="N14" s="181"/>
      <c r="O14" s="181"/>
      <c r="P14" s="181"/>
      <c r="Q14" s="181"/>
      <c r="R14" s="181"/>
      <c r="S14" s="181"/>
      <c r="T14" s="182" t="s">
        <v>5265</v>
      </c>
      <c r="U14" s="182" t="s">
        <v>5266</v>
      </c>
      <c r="V14" s="181" t="s">
        <v>4645</v>
      </c>
      <c r="W14" s="181">
        <v>50.0</v>
      </c>
      <c r="X14" s="181" t="s">
        <v>5267</v>
      </c>
      <c r="Y14" s="181" t="s">
        <v>5261</v>
      </c>
      <c r="Z14" s="181" t="s">
        <v>5255</v>
      </c>
      <c r="AA14" s="181">
        <v>3.0</v>
      </c>
      <c r="AB14" s="181">
        <v>100.0</v>
      </c>
      <c r="AC14" s="181">
        <v>8.0</v>
      </c>
    </row>
    <row r="15">
      <c r="A15" s="182" t="s">
        <v>5268</v>
      </c>
      <c r="B15" s="182" t="s">
        <v>5263</v>
      </c>
      <c r="C15" s="182" t="s">
        <v>5164</v>
      </c>
      <c r="D15" s="182" t="s">
        <v>5234</v>
      </c>
      <c r="E15" s="182" t="s">
        <v>5269</v>
      </c>
      <c r="F15" s="181"/>
      <c r="G15" s="181"/>
      <c r="H15" s="181"/>
      <c r="I15" s="181"/>
      <c r="J15" s="181"/>
      <c r="K15" s="181"/>
      <c r="L15" s="181"/>
      <c r="M15" s="181"/>
      <c r="N15" s="181"/>
      <c r="O15" s="181"/>
      <c r="P15" s="181"/>
      <c r="Q15" s="181"/>
      <c r="R15" s="181"/>
      <c r="S15" s="181"/>
      <c r="T15" s="182" t="s">
        <v>5270</v>
      </c>
      <c r="U15" s="182" t="s">
        <v>5271</v>
      </c>
      <c r="V15" s="181" t="s">
        <v>5272</v>
      </c>
      <c r="W15" s="181">
        <v>70.0</v>
      </c>
      <c r="X15" s="181" t="s">
        <v>5273</v>
      </c>
      <c r="Y15" s="181" t="s">
        <v>5274</v>
      </c>
      <c r="Z15" s="181"/>
      <c r="AA15" s="181">
        <v>5.0</v>
      </c>
      <c r="AB15" s="181">
        <v>1.0</v>
      </c>
      <c r="AC15" s="181">
        <v>10.0</v>
      </c>
    </row>
    <row r="16">
      <c r="A16" s="182" t="s">
        <v>5275</v>
      </c>
      <c r="B16" s="182" t="s">
        <v>4141</v>
      </c>
      <c r="C16" s="182" t="s">
        <v>5164</v>
      </c>
      <c r="D16" s="182" t="s">
        <v>5276</v>
      </c>
      <c r="E16" s="182" t="s">
        <v>5277</v>
      </c>
      <c r="F16" s="182" t="s">
        <v>5167</v>
      </c>
      <c r="G16" s="181"/>
      <c r="H16" s="182" t="s">
        <v>5278</v>
      </c>
      <c r="I16" s="182" t="s">
        <v>5279</v>
      </c>
      <c r="J16" s="182" t="s">
        <v>5280</v>
      </c>
      <c r="K16" s="181"/>
      <c r="L16" s="182" t="s">
        <v>5281</v>
      </c>
      <c r="M16" s="181"/>
      <c r="N16" s="182" t="s">
        <v>5282</v>
      </c>
      <c r="O16" s="182">
        <v>15.0</v>
      </c>
      <c r="P16" s="182" t="b">
        <v>1</v>
      </c>
      <c r="Q16" s="182">
        <v>5.0</v>
      </c>
      <c r="R16" s="181"/>
      <c r="S16" s="181"/>
      <c r="T16" s="182" t="s">
        <v>5283</v>
      </c>
      <c r="U16" s="182" t="s">
        <v>5255</v>
      </c>
      <c r="V16" s="181" t="s">
        <v>5284</v>
      </c>
      <c r="W16" s="181"/>
      <c r="X16" s="181"/>
      <c r="Y16" s="181"/>
      <c r="Z16" s="181"/>
      <c r="AA16" s="181"/>
      <c r="AB16" s="181">
        <v>100.0</v>
      </c>
      <c r="AC16" s="181"/>
    </row>
    <row r="17">
      <c r="A17" s="182" t="s">
        <v>5285</v>
      </c>
      <c r="B17" s="182" t="s">
        <v>4141</v>
      </c>
      <c r="C17" s="182" t="s">
        <v>5164</v>
      </c>
      <c r="D17" s="182" t="s">
        <v>5276</v>
      </c>
      <c r="E17" s="182" t="s">
        <v>5286</v>
      </c>
      <c r="F17" s="182" t="s">
        <v>5167</v>
      </c>
      <c r="G17" s="181"/>
      <c r="H17" s="182" t="s">
        <v>5278</v>
      </c>
      <c r="I17" s="182" t="s">
        <v>5279</v>
      </c>
      <c r="J17" s="182" t="s">
        <v>5280</v>
      </c>
      <c r="K17" s="181"/>
      <c r="L17" s="182" t="s">
        <v>5281</v>
      </c>
      <c r="M17" s="181"/>
      <c r="N17" s="182" t="s">
        <v>5287</v>
      </c>
      <c r="O17" s="182">
        <v>15.0</v>
      </c>
      <c r="P17" s="182" t="b">
        <v>1</v>
      </c>
      <c r="Q17" s="182">
        <v>5.0</v>
      </c>
      <c r="R17" s="181"/>
      <c r="S17" s="181"/>
      <c r="T17" s="182" t="s">
        <v>5288</v>
      </c>
      <c r="U17" s="182" t="s">
        <v>5241</v>
      </c>
      <c r="V17" s="181" t="s">
        <v>5238</v>
      </c>
      <c r="W17" s="181"/>
      <c r="X17" s="181"/>
      <c r="Y17" s="181"/>
      <c r="Z17" s="181"/>
      <c r="AA17" s="181"/>
      <c r="AB17" s="181">
        <v>3.0</v>
      </c>
      <c r="AC17" s="181"/>
    </row>
    <row r="18">
      <c r="A18" s="182" t="s">
        <v>5289</v>
      </c>
      <c r="B18" s="182" t="s">
        <v>4141</v>
      </c>
      <c r="C18" s="182" t="s">
        <v>2049</v>
      </c>
      <c r="D18" s="182" t="s">
        <v>5165</v>
      </c>
      <c r="E18" s="182" t="s">
        <v>5290</v>
      </c>
      <c r="F18" s="182" t="s">
        <v>5291</v>
      </c>
      <c r="G18" s="182" t="s">
        <v>29</v>
      </c>
      <c r="H18" s="182" t="s">
        <v>5292</v>
      </c>
      <c r="I18" s="182" t="s">
        <v>5293</v>
      </c>
      <c r="J18" s="182" t="s">
        <v>5280</v>
      </c>
      <c r="K18" s="182" t="s">
        <v>5294</v>
      </c>
      <c r="L18" s="182" t="s">
        <v>5295</v>
      </c>
      <c r="M18" s="182" t="s">
        <v>5296</v>
      </c>
      <c r="N18" s="182" t="s">
        <v>5297</v>
      </c>
      <c r="O18" s="182" t="s">
        <v>29</v>
      </c>
      <c r="P18" s="182" t="b">
        <v>0</v>
      </c>
      <c r="Q18" s="182" t="s">
        <v>29</v>
      </c>
      <c r="R18" s="182" t="s">
        <v>29</v>
      </c>
      <c r="S18" s="182" t="s">
        <v>29</v>
      </c>
      <c r="T18" s="182" t="s">
        <v>5298</v>
      </c>
      <c r="U18" s="182" t="s">
        <v>5299</v>
      </c>
      <c r="V18" s="182" t="s">
        <v>29</v>
      </c>
      <c r="W18" s="182" t="s">
        <v>29</v>
      </c>
      <c r="X18" s="182" t="s">
        <v>29</v>
      </c>
      <c r="Y18" s="182" t="s">
        <v>29</v>
      </c>
      <c r="Z18" s="182" t="s">
        <v>29</v>
      </c>
      <c r="AA18" s="182" t="s">
        <v>29</v>
      </c>
      <c r="AB18" s="182" t="s">
        <v>29</v>
      </c>
      <c r="AC18" s="182" t="s">
        <v>29</v>
      </c>
    </row>
    <row r="19">
      <c r="A19" s="182" t="s">
        <v>5300</v>
      </c>
      <c r="B19" s="182" t="s">
        <v>4141</v>
      </c>
      <c r="C19" s="182" t="s">
        <v>2049</v>
      </c>
      <c r="D19" s="182" t="s">
        <v>5165</v>
      </c>
      <c r="E19" s="182" t="s">
        <v>5301</v>
      </c>
      <c r="F19" s="182" t="s">
        <v>5291</v>
      </c>
      <c r="G19" s="182" t="s">
        <v>29</v>
      </c>
      <c r="H19" s="182" t="s">
        <v>5292</v>
      </c>
      <c r="I19" s="182" t="s">
        <v>5293</v>
      </c>
      <c r="J19" s="182" t="s">
        <v>5280</v>
      </c>
      <c r="K19" s="182" t="s">
        <v>29</v>
      </c>
      <c r="L19" s="182" t="s">
        <v>5295</v>
      </c>
      <c r="M19" s="182" t="s">
        <v>5302</v>
      </c>
      <c r="N19" s="182" t="s">
        <v>5303</v>
      </c>
      <c r="O19" s="182" t="s">
        <v>29</v>
      </c>
      <c r="P19" s="182" t="b">
        <v>0</v>
      </c>
      <c r="Q19" s="182" t="s">
        <v>29</v>
      </c>
      <c r="R19" s="182" t="s">
        <v>29</v>
      </c>
      <c r="S19" s="182" t="s">
        <v>29</v>
      </c>
      <c r="T19" s="182" t="s">
        <v>5298</v>
      </c>
      <c r="U19" s="182" t="s">
        <v>5304</v>
      </c>
      <c r="V19" s="182" t="s">
        <v>29</v>
      </c>
      <c r="W19" s="182" t="s">
        <v>29</v>
      </c>
      <c r="X19" s="182" t="s">
        <v>29</v>
      </c>
      <c r="Y19" s="182" t="s">
        <v>29</v>
      </c>
      <c r="Z19" s="182" t="s">
        <v>29</v>
      </c>
      <c r="AA19" s="182">
        <v>16.0</v>
      </c>
      <c r="AB19" s="182" t="s">
        <v>29</v>
      </c>
      <c r="AC19" s="182" t="s">
        <v>29</v>
      </c>
    </row>
    <row r="20">
      <c r="A20" s="182" t="s">
        <v>5305</v>
      </c>
      <c r="B20" s="182" t="s">
        <v>4141</v>
      </c>
      <c r="C20" s="182" t="s">
        <v>2049</v>
      </c>
      <c r="D20" s="182" t="s">
        <v>5165</v>
      </c>
      <c r="E20" s="182" t="s">
        <v>5306</v>
      </c>
      <c r="F20" s="182" t="s">
        <v>5291</v>
      </c>
      <c r="G20" s="182" t="s">
        <v>29</v>
      </c>
      <c r="H20" s="182" t="s">
        <v>5292</v>
      </c>
      <c r="I20" s="182" t="s">
        <v>5293</v>
      </c>
      <c r="J20" s="182" t="s">
        <v>5280</v>
      </c>
      <c r="K20" s="182" t="s">
        <v>29</v>
      </c>
      <c r="L20" s="182" t="s">
        <v>5295</v>
      </c>
      <c r="M20" s="182" t="s">
        <v>5307</v>
      </c>
      <c r="N20" s="182" t="s">
        <v>5308</v>
      </c>
      <c r="O20" s="182" t="s">
        <v>29</v>
      </c>
      <c r="P20" s="182" t="b">
        <v>0</v>
      </c>
      <c r="Q20" s="182" t="s">
        <v>29</v>
      </c>
      <c r="R20" s="182" t="s">
        <v>29</v>
      </c>
      <c r="S20" s="182" t="s">
        <v>29</v>
      </c>
      <c r="T20" s="182" t="s">
        <v>5298</v>
      </c>
      <c r="U20" s="182" t="s">
        <v>5309</v>
      </c>
      <c r="V20" s="182" t="s">
        <v>29</v>
      </c>
      <c r="W20" s="182" t="s">
        <v>29</v>
      </c>
      <c r="X20" s="182" t="s">
        <v>29</v>
      </c>
      <c r="Y20" s="182" t="s">
        <v>29</v>
      </c>
      <c r="Z20" s="182" t="s">
        <v>29</v>
      </c>
      <c r="AA20" s="182">
        <v>3.0</v>
      </c>
      <c r="AB20" s="182" t="s">
        <v>29</v>
      </c>
      <c r="AC20" s="182" t="s">
        <v>29</v>
      </c>
    </row>
    <row r="21">
      <c r="A21" s="182" t="s">
        <v>5310</v>
      </c>
      <c r="B21" s="182" t="s">
        <v>4141</v>
      </c>
      <c r="C21" s="182" t="s">
        <v>5164</v>
      </c>
      <c r="D21" s="182" t="s">
        <v>5276</v>
      </c>
      <c r="E21" s="182" t="s">
        <v>5311</v>
      </c>
      <c r="F21" s="182" t="s">
        <v>5167</v>
      </c>
      <c r="G21" s="182" t="s">
        <v>29</v>
      </c>
      <c r="H21" s="182" t="s">
        <v>5278</v>
      </c>
      <c r="I21" s="182" t="s">
        <v>5279</v>
      </c>
      <c r="J21" s="182" t="s">
        <v>5280</v>
      </c>
      <c r="K21" s="182" t="s">
        <v>29</v>
      </c>
      <c r="L21" s="182" t="s">
        <v>5281</v>
      </c>
      <c r="M21" s="182" t="s">
        <v>29</v>
      </c>
      <c r="N21" s="182" t="s">
        <v>5312</v>
      </c>
      <c r="O21" s="182">
        <v>20.0</v>
      </c>
      <c r="P21" s="182" t="b">
        <v>1</v>
      </c>
      <c r="Q21" s="182">
        <v>5.0</v>
      </c>
      <c r="R21" s="182" t="s">
        <v>29</v>
      </c>
      <c r="S21" s="182" t="s">
        <v>29</v>
      </c>
      <c r="T21" s="182" t="s">
        <v>5313</v>
      </c>
      <c r="U21" s="182" t="s">
        <v>5314</v>
      </c>
      <c r="V21" s="182" t="s">
        <v>5315</v>
      </c>
      <c r="W21" s="182" t="s">
        <v>29</v>
      </c>
      <c r="X21" s="182" t="s">
        <v>29</v>
      </c>
      <c r="Y21" s="182" t="s">
        <v>29</v>
      </c>
      <c r="Z21" s="182" t="s">
        <v>29</v>
      </c>
      <c r="AA21" s="182">
        <v>1.0</v>
      </c>
      <c r="AB21" s="182" t="s">
        <v>29</v>
      </c>
      <c r="AC21" s="182" t="s">
        <v>29</v>
      </c>
    </row>
    <row r="22">
      <c r="A22" s="182" t="s">
        <v>5316</v>
      </c>
      <c r="B22" s="182" t="s">
        <v>4141</v>
      </c>
      <c r="C22" s="182" t="s">
        <v>5164</v>
      </c>
      <c r="D22" s="182" t="s">
        <v>5276</v>
      </c>
      <c r="E22" s="182" t="s">
        <v>5317</v>
      </c>
      <c r="F22" s="182" t="s">
        <v>5167</v>
      </c>
      <c r="G22" s="182" t="s">
        <v>29</v>
      </c>
      <c r="H22" s="182" t="s">
        <v>5278</v>
      </c>
      <c r="I22" s="182" t="s">
        <v>5279</v>
      </c>
      <c r="J22" s="182" t="s">
        <v>5280</v>
      </c>
      <c r="K22" s="182" t="s">
        <v>29</v>
      </c>
      <c r="L22" s="182" t="s">
        <v>5281</v>
      </c>
      <c r="M22" s="182" t="s">
        <v>29</v>
      </c>
      <c r="N22" s="182" t="s">
        <v>5318</v>
      </c>
      <c r="O22" s="182">
        <v>20.0</v>
      </c>
      <c r="P22" s="182" t="b">
        <v>1</v>
      </c>
      <c r="Q22" s="182">
        <v>5.0</v>
      </c>
      <c r="R22" s="182" t="s">
        <v>29</v>
      </c>
      <c r="S22" s="182" t="s">
        <v>29</v>
      </c>
      <c r="T22" s="182" t="s">
        <v>5313</v>
      </c>
      <c r="U22" s="182" t="s">
        <v>5319</v>
      </c>
      <c r="V22" s="182" t="s">
        <v>5320</v>
      </c>
      <c r="W22" s="182" t="s">
        <v>29</v>
      </c>
      <c r="X22" s="182" t="s">
        <v>29</v>
      </c>
      <c r="Y22" s="182" t="s">
        <v>29</v>
      </c>
      <c r="Z22" s="182" t="s">
        <v>29</v>
      </c>
      <c r="AA22" s="182">
        <v>3.0</v>
      </c>
      <c r="AB22" s="182" t="s">
        <v>29</v>
      </c>
      <c r="AC22" s="182" t="s">
        <v>29</v>
      </c>
    </row>
    <row r="23">
      <c r="A23" s="182" t="s">
        <v>5321</v>
      </c>
      <c r="B23" s="182" t="s">
        <v>4141</v>
      </c>
      <c r="C23" s="182" t="s">
        <v>5164</v>
      </c>
      <c r="D23" s="182" t="s">
        <v>5276</v>
      </c>
      <c r="E23" s="182" t="s">
        <v>5322</v>
      </c>
      <c r="F23" s="182" t="s">
        <v>5167</v>
      </c>
      <c r="G23" s="182" t="s">
        <v>29</v>
      </c>
      <c r="H23" s="182" t="s">
        <v>5278</v>
      </c>
      <c r="I23" s="182" t="s">
        <v>5279</v>
      </c>
      <c r="J23" s="182" t="s">
        <v>5280</v>
      </c>
      <c r="K23" s="182" t="s">
        <v>29</v>
      </c>
      <c r="L23" s="182" t="s">
        <v>5281</v>
      </c>
      <c r="M23" s="182" t="s">
        <v>29</v>
      </c>
      <c r="N23" s="182" t="s">
        <v>5323</v>
      </c>
      <c r="O23" s="182">
        <v>20.0</v>
      </c>
      <c r="P23" s="182" t="b">
        <v>1</v>
      </c>
      <c r="Q23" s="182">
        <v>5.0</v>
      </c>
      <c r="R23" s="182" t="s">
        <v>29</v>
      </c>
      <c r="S23" s="182" t="s">
        <v>29</v>
      </c>
      <c r="T23" s="182" t="s">
        <v>5313</v>
      </c>
      <c r="U23" s="182" t="s">
        <v>5324</v>
      </c>
      <c r="V23" s="182" t="s">
        <v>5325</v>
      </c>
      <c r="W23" s="182" t="s">
        <v>29</v>
      </c>
      <c r="X23" s="182" t="s">
        <v>29</v>
      </c>
      <c r="Y23" s="182" t="s">
        <v>29</v>
      </c>
      <c r="Z23" s="182" t="s">
        <v>29</v>
      </c>
      <c r="AA23" s="182">
        <v>1.0</v>
      </c>
      <c r="AB23" s="182" t="s">
        <v>29</v>
      </c>
      <c r="AC23" s="182" t="s">
        <v>29</v>
      </c>
    </row>
    <row r="24">
      <c r="A24" s="182" t="s">
        <v>5326</v>
      </c>
      <c r="B24" s="182" t="s">
        <v>4141</v>
      </c>
      <c r="C24" s="182" t="s">
        <v>5164</v>
      </c>
      <c r="D24" s="182" t="s">
        <v>5276</v>
      </c>
      <c r="E24" s="182" t="s">
        <v>5327</v>
      </c>
      <c r="F24" s="182" t="s">
        <v>5167</v>
      </c>
      <c r="G24" s="182" t="s">
        <v>29</v>
      </c>
      <c r="H24" s="182" t="s">
        <v>5278</v>
      </c>
      <c r="I24" s="182" t="s">
        <v>5279</v>
      </c>
      <c r="J24" s="182" t="s">
        <v>5280</v>
      </c>
      <c r="K24" s="182" t="s">
        <v>29</v>
      </c>
      <c r="L24" s="182" t="s">
        <v>5281</v>
      </c>
      <c r="M24" s="182" t="s">
        <v>29</v>
      </c>
      <c r="N24" s="182" t="s">
        <v>29</v>
      </c>
      <c r="O24" s="182" t="s">
        <v>29</v>
      </c>
      <c r="P24" s="182" t="b">
        <v>1</v>
      </c>
      <c r="Q24" s="182">
        <v>5.0</v>
      </c>
      <c r="R24" s="182">
        <v>5.0</v>
      </c>
      <c r="S24" s="182">
        <v>3.0</v>
      </c>
      <c r="T24" s="182" t="s">
        <v>5313</v>
      </c>
      <c r="U24" s="182" t="s">
        <v>5328</v>
      </c>
      <c r="V24" s="182" t="s">
        <v>5329</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3329</v>
      </c>
      <c r="B1" s="183" t="s">
        <v>3656</v>
      </c>
      <c r="C1" s="183" t="s">
        <v>5330</v>
      </c>
      <c r="D1" s="183" t="s">
        <v>5331</v>
      </c>
      <c r="E1" s="183" t="s">
        <v>2620</v>
      </c>
      <c r="F1" s="183" t="s">
        <v>5332</v>
      </c>
      <c r="G1" s="184" t="s">
        <v>5333</v>
      </c>
      <c r="H1" s="184" t="s">
        <v>5334</v>
      </c>
      <c r="I1" s="184" t="s">
        <v>5335</v>
      </c>
      <c r="J1" s="184" t="s">
        <v>5336</v>
      </c>
      <c r="K1" s="184" t="s">
        <v>5337</v>
      </c>
      <c r="L1" s="184" t="s">
        <v>5338</v>
      </c>
      <c r="M1" s="184" t="s">
        <v>5339</v>
      </c>
      <c r="N1" s="184" t="s">
        <v>5340</v>
      </c>
    </row>
    <row r="2">
      <c r="A2" s="126" t="s">
        <v>5341</v>
      </c>
      <c r="B2" s="126" t="s">
        <v>3290</v>
      </c>
      <c r="C2" s="126" t="s">
        <v>57</v>
      </c>
      <c r="D2" s="126" t="s">
        <v>58</v>
      </c>
      <c r="E2" s="126" t="s">
        <v>5342</v>
      </c>
      <c r="F2" s="126" t="s">
        <v>4948</v>
      </c>
      <c r="G2" s="106" t="s">
        <v>5343</v>
      </c>
      <c r="H2" s="106" t="s">
        <v>5344</v>
      </c>
      <c r="I2" s="106">
        <v>40.0</v>
      </c>
      <c r="J2" s="106">
        <v>2.0</v>
      </c>
      <c r="K2" s="106">
        <v>20.0</v>
      </c>
      <c r="L2" s="106">
        <v>5.0</v>
      </c>
      <c r="M2" s="106" t="s">
        <v>5345</v>
      </c>
      <c r="N2" s="106">
        <v>3.0</v>
      </c>
    </row>
    <row r="3">
      <c r="A3" s="126" t="s">
        <v>5346</v>
      </c>
      <c r="B3" s="126" t="s">
        <v>3292</v>
      </c>
      <c r="C3" s="126" t="s">
        <v>56</v>
      </c>
      <c r="D3" s="126" t="s">
        <v>54</v>
      </c>
      <c r="E3" s="126" t="s">
        <v>5347</v>
      </c>
      <c r="F3" s="126" t="s">
        <v>4948</v>
      </c>
      <c r="G3" s="106" t="s">
        <v>5348</v>
      </c>
      <c r="H3" s="106" t="s">
        <v>5349</v>
      </c>
      <c r="I3" s="106">
        <v>40.0</v>
      </c>
      <c r="J3" s="106">
        <v>2.0</v>
      </c>
      <c r="K3" s="106">
        <v>20.0</v>
      </c>
      <c r="L3" s="106">
        <v>5.0</v>
      </c>
      <c r="M3" s="106" t="s">
        <v>5345</v>
      </c>
      <c r="N3" s="106">
        <v>3.0</v>
      </c>
    </row>
    <row r="4">
      <c r="A4" s="126" t="s">
        <v>5350</v>
      </c>
      <c r="B4" s="126" t="s">
        <v>3294</v>
      </c>
      <c r="C4" s="126" t="s">
        <v>67</v>
      </c>
      <c r="D4" s="126" t="s">
        <v>57</v>
      </c>
      <c r="E4" s="126" t="s">
        <v>5351</v>
      </c>
      <c r="F4" s="126" t="s">
        <v>4948</v>
      </c>
      <c r="G4" s="106" t="s">
        <v>5352</v>
      </c>
      <c r="H4" s="106" t="s">
        <v>5353</v>
      </c>
      <c r="I4" s="106">
        <v>40.0</v>
      </c>
      <c r="J4" s="106">
        <v>2.0</v>
      </c>
      <c r="K4" s="106">
        <v>20.0</v>
      </c>
      <c r="L4" s="106">
        <v>5.0</v>
      </c>
      <c r="M4" s="106" t="s">
        <v>5345</v>
      </c>
      <c r="N4" s="106">
        <v>3.0</v>
      </c>
    </row>
    <row r="5">
      <c r="A5" s="126" t="s">
        <v>5354</v>
      </c>
      <c r="B5" s="126" t="s">
        <v>3296</v>
      </c>
      <c r="C5" s="126" t="s">
        <v>61</v>
      </c>
      <c r="D5" s="126" t="s">
        <v>60</v>
      </c>
      <c r="E5" s="126" t="s">
        <v>5355</v>
      </c>
      <c r="F5" s="126" t="s">
        <v>4948</v>
      </c>
      <c r="G5" s="106" t="s">
        <v>5356</v>
      </c>
      <c r="H5" s="106" t="s">
        <v>5357</v>
      </c>
      <c r="I5" s="106">
        <v>40.0</v>
      </c>
      <c r="J5" s="106">
        <v>2.0</v>
      </c>
      <c r="K5" s="106">
        <v>20.0</v>
      </c>
      <c r="L5" s="106">
        <v>5.0</v>
      </c>
      <c r="M5" s="106" t="s">
        <v>5345</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3316</v>
      </c>
      <c r="C1" s="185" t="s">
        <v>3657</v>
      </c>
      <c r="D1" s="185" t="s">
        <v>5358</v>
      </c>
      <c r="E1" s="185" t="s">
        <v>5359</v>
      </c>
      <c r="F1" s="185" t="s">
        <v>5360</v>
      </c>
      <c r="G1" s="185" t="s">
        <v>5361</v>
      </c>
      <c r="H1" s="185" t="s">
        <v>5362</v>
      </c>
      <c r="I1" s="185" t="s">
        <v>5363</v>
      </c>
      <c r="J1" s="185" t="s">
        <v>5364</v>
      </c>
      <c r="K1" s="185" t="s">
        <v>5365</v>
      </c>
      <c r="L1" s="186" t="s">
        <v>3225</v>
      </c>
      <c r="M1" s="186" t="s">
        <v>3226</v>
      </c>
      <c r="N1" s="123" t="s">
        <v>3337</v>
      </c>
      <c r="O1" s="123" t="s">
        <v>3338</v>
      </c>
      <c r="P1" s="123" t="s">
        <v>5366</v>
      </c>
      <c r="Q1" s="123" t="s">
        <v>5367</v>
      </c>
    </row>
    <row r="2">
      <c r="A2" s="39" t="s">
        <v>5368</v>
      </c>
      <c r="B2" s="39" t="s">
        <v>5369</v>
      </c>
      <c r="C2" s="39" t="s">
        <v>4419</v>
      </c>
      <c r="D2" s="39" t="s">
        <v>29</v>
      </c>
      <c r="E2" s="39" t="s">
        <v>29</v>
      </c>
      <c r="F2" s="39" t="s">
        <v>29</v>
      </c>
      <c r="G2" s="39" t="s">
        <v>29</v>
      </c>
      <c r="H2" s="39" t="s">
        <v>29</v>
      </c>
      <c r="I2" s="39"/>
      <c r="J2" s="39"/>
      <c r="K2" s="39">
        <v>1.0</v>
      </c>
      <c r="L2" s="39" t="s">
        <v>3277</v>
      </c>
      <c r="M2" s="39">
        <v>0.0</v>
      </c>
      <c r="N2" s="39">
        <v>-5.0</v>
      </c>
      <c r="O2" s="39">
        <v>30.0</v>
      </c>
      <c r="P2" s="39">
        <v>50.0</v>
      </c>
      <c r="Q2" s="39"/>
    </row>
    <row r="3">
      <c r="A3" s="39" t="s">
        <v>5370</v>
      </c>
      <c r="B3" s="39" t="s">
        <v>5371</v>
      </c>
      <c r="C3" s="39" t="s">
        <v>4419</v>
      </c>
      <c r="D3" s="39" t="s">
        <v>29</v>
      </c>
      <c r="E3" s="39" t="s">
        <v>29</v>
      </c>
      <c r="F3" s="39" t="s">
        <v>29</v>
      </c>
      <c r="G3" s="39" t="s">
        <v>29</v>
      </c>
      <c r="H3" s="39" t="s">
        <v>29</v>
      </c>
      <c r="I3" s="39"/>
      <c r="J3" s="39"/>
      <c r="K3" s="39">
        <v>1.0</v>
      </c>
      <c r="L3" s="39" t="s">
        <v>3277</v>
      </c>
      <c r="M3" s="39">
        <v>0.0</v>
      </c>
      <c r="N3" s="39">
        <v>-5.0</v>
      </c>
      <c r="O3" s="39">
        <v>30.0</v>
      </c>
      <c r="P3" s="39">
        <v>30.0</v>
      </c>
      <c r="Q3" s="39"/>
    </row>
    <row r="4">
      <c r="A4" s="39" t="s">
        <v>5372</v>
      </c>
      <c r="B4" s="39" t="s">
        <v>56</v>
      </c>
      <c r="C4" s="39" t="s">
        <v>4419</v>
      </c>
      <c r="D4" s="39" t="s">
        <v>29</v>
      </c>
      <c r="E4" s="39" t="s">
        <v>29</v>
      </c>
      <c r="F4" s="39" t="s">
        <v>29</v>
      </c>
      <c r="G4" s="39" t="s">
        <v>29</v>
      </c>
      <c r="H4" s="39" t="s">
        <v>29</v>
      </c>
      <c r="I4" s="39"/>
      <c r="J4" s="39"/>
      <c r="K4" s="39">
        <v>1.0</v>
      </c>
      <c r="L4" s="39" t="s">
        <v>3277</v>
      </c>
      <c r="M4" s="39">
        <v>0.0</v>
      </c>
      <c r="N4" s="39">
        <v>18.0</v>
      </c>
      <c r="O4" s="39">
        <v>40.0</v>
      </c>
      <c r="P4" s="39">
        <v>55.0</v>
      </c>
      <c r="Q4" s="39"/>
    </row>
    <row r="5">
      <c r="A5" s="39" t="s">
        <v>5373</v>
      </c>
      <c r="B5" s="39" t="s">
        <v>5371</v>
      </c>
      <c r="C5" s="39" t="s">
        <v>4419</v>
      </c>
      <c r="D5" s="39"/>
      <c r="E5" s="39"/>
      <c r="F5" s="39"/>
      <c r="G5" s="39"/>
      <c r="H5" s="39"/>
      <c r="I5" s="39"/>
      <c r="J5" s="39"/>
      <c r="K5" s="39">
        <v>1.0</v>
      </c>
      <c r="L5" s="39" t="s">
        <v>3277</v>
      </c>
      <c r="M5" s="39">
        <v>0.0</v>
      </c>
      <c r="N5" s="39">
        <v>0.0</v>
      </c>
      <c r="O5" s="39">
        <v>28.0</v>
      </c>
      <c r="P5" s="39">
        <v>30.0</v>
      </c>
      <c r="Q5" s="39"/>
    </row>
    <row r="6">
      <c r="A6" s="39" t="s">
        <v>5374</v>
      </c>
      <c r="B6" s="39" t="s">
        <v>5375</v>
      </c>
      <c r="C6" s="39" t="s">
        <v>4419</v>
      </c>
      <c r="D6" s="39"/>
      <c r="E6" s="39"/>
      <c r="F6" s="39"/>
      <c r="G6" s="39"/>
      <c r="H6" s="39"/>
      <c r="I6" s="39"/>
      <c r="J6" s="39"/>
      <c r="K6" s="39">
        <v>1.0</v>
      </c>
      <c r="L6" s="39" t="s">
        <v>3277</v>
      </c>
      <c r="M6" s="39">
        <v>0.0</v>
      </c>
      <c r="N6" s="39">
        <v>10.0</v>
      </c>
      <c r="O6" s="39">
        <v>35.0</v>
      </c>
      <c r="P6" s="39">
        <v>35.0</v>
      </c>
      <c r="Q6" s="39"/>
    </row>
    <row r="7">
      <c r="A7" s="39" t="s">
        <v>5376</v>
      </c>
      <c r="B7" s="39" t="s">
        <v>5375</v>
      </c>
      <c r="C7" s="39" t="s">
        <v>4419</v>
      </c>
      <c r="D7" s="39" t="s">
        <v>29</v>
      </c>
      <c r="E7" s="39" t="s">
        <v>29</v>
      </c>
      <c r="F7" s="39" t="s">
        <v>29</v>
      </c>
      <c r="G7" s="39" t="s">
        <v>29</v>
      </c>
      <c r="H7" s="39" t="s">
        <v>29</v>
      </c>
      <c r="I7" s="39"/>
      <c r="J7" s="39"/>
      <c r="K7" s="39">
        <v>1.0</v>
      </c>
      <c r="L7" s="39" t="s">
        <v>3277</v>
      </c>
      <c r="M7" s="39">
        <v>0.0</v>
      </c>
      <c r="N7" s="39">
        <v>5.0</v>
      </c>
      <c r="O7" s="39">
        <v>35.0</v>
      </c>
      <c r="P7" s="39">
        <v>25.0</v>
      </c>
      <c r="Q7" s="39"/>
    </row>
    <row r="8">
      <c r="A8" s="39" t="s">
        <v>5377</v>
      </c>
      <c r="B8" s="39" t="s">
        <v>5378</v>
      </c>
      <c r="C8" s="39" t="s">
        <v>4419</v>
      </c>
      <c r="D8" s="39" t="s">
        <v>29</v>
      </c>
      <c r="E8" s="39" t="s">
        <v>29</v>
      </c>
      <c r="F8" s="39" t="s">
        <v>29</v>
      </c>
      <c r="G8" s="39" t="s">
        <v>29</v>
      </c>
      <c r="H8" s="39" t="s">
        <v>29</v>
      </c>
      <c r="I8" s="39"/>
      <c r="J8" s="39"/>
      <c r="K8" s="39">
        <v>1.0</v>
      </c>
      <c r="L8" s="39" t="s">
        <v>3277</v>
      </c>
      <c r="M8" s="39">
        <v>0.0</v>
      </c>
      <c r="N8" s="39">
        <v>-20.0</v>
      </c>
      <c r="O8" s="39">
        <v>35.0</v>
      </c>
      <c r="P8" s="39"/>
      <c r="Q8" s="39"/>
    </row>
    <row r="9">
      <c r="A9" s="39" t="s">
        <v>5379</v>
      </c>
      <c r="B9" s="39" t="s">
        <v>61</v>
      </c>
      <c r="C9" s="39" t="s">
        <v>4419</v>
      </c>
      <c r="D9" s="39"/>
      <c r="E9" s="39"/>
      <c r="F9" s="39"/>
      <c r="G9" s="39"/>
      <c r="H9" s="39"/>
      <c r="I9" s="39"/>
      <c r="J9" s="39"/>
      <c r="K9" s="39">
        <v>1.0</v>
      </c>
      <c r="L9" s="39" t="s">
        <v>3277</v>
      </c>
      <c r="M9" s="39">
        <v>0.0</v>
      </c>
      <c r="N9" s="39">
        <v>-5.0</v>
      </c>
      <c r="O9" s="39">
        <v>30.0</v>
      </c>
      <c r="P9" s="39"/>
      <c r="Q9" s="39"/>
    </row>
    <row r="10">
      <c r="A10" s="39" t="s">
        <v>5380</v>
      </c>
      <c r="B10" s="39" t="s">
        <v>61</v>
      </c>
      <c r="C10" s="39" t="s">
        <v>4419</v>
      </c>
      <c r="D10" s="39"/>
      <c r="E10" s="39"/>
      <c r="F10" s="39"/>
      <c r="G10" s="39"/>
      <c r="H10" s="39"/>
      <c r="I10" s="39"/>
      <c r="J10" s="39"/>
      <c r="K10" s="39">
        <v>1.0</v>
      </c>
      <c r="L10" s="39" t="s">
        <v>3277</v>
      </c>
      <c r="M10" s="39">
        <v>0.0</v>
      </c>
      <c r="N10" s="39">
        <v>0.0</v>
      </c>
      <c r="O10" s="39">
        <v>35.0</v>
      </c>
      <c r="P10" s="39"/>
      <c r="Q10" s="39"/>
    </row>
    <row r="11">
      <c r="A11" s="39" t="s">
        <v>5381</v>
      </c>
      <c r="B11" s="39" t="s">
        <v>5378</v>
      </c>
      <c r="C11" s="39" t="s">
        <v>4419</v>
      </c>
      <c r="D11" s="39"/>
      <c r="E11" s="39"/>
      <c r="F11" s="39"/>
      <c r="G11" s="39"/>
      <c r="H11" s="39"/>
      <c r="I11" s="39"/>
      <c r="J11" s="39"/>
      <c r="K11" s="39">
        <v>1.0</v>
      </c>
      <c r="L11" s="39" t="s">
        <v>3277</v>
      </c>
      <c r="M11" s="39">
        <v>0.0</v>
      </c>
      <c r="N11" s="39">
        <v>-10.0</v>
      </c>
      <c r="O11" s="39">
        <v>35.0</v>
      </c>
      <c r="P11" s="39"/>
      <c r="Q11" s="39"/>
    </row>
    <row r="12">
      <c r="A12" s="39" t="s">
        <v>5382</v>
      </c>
      <c r="B12" s="39" t="s">
        <v>5378</v>
      </c>
      <c r="C12" s="39" t="s">
        <v>4419</v>
      </c>
      <c r="D12" s="39"/>
      <c r="E12" s="39"/>
      <c r="F12" s="39"/>
      <c r="G12" s="39"/>
      <c r="H12" s="39"/>
      <c r="I12" s="39"/>
      <c r="J12" s="39"/>
      <c r="K12" s="39">
        <v>1.0</v>
      </c>
      <c r="L12" s="39" t="s">
        <v>3277</v>
      </c>
      <c r="M12" s="39">
        <v>0.0</v>
      </c>
      <c r="N12" s="39">
        <v>0.0</v>
      </c>
      <c r="O12" s="39">
        <v>35.0</v>
      </c>
      <c r="P12" s="39"/>
      <c r="Q12" s="39"/>
    </row>
    <row r="13">
      <c r="A13" s="39" t="s">
        <v>3203</v>
      </c>
      <c r="B13" s="39" t="s">
        <v>5383</v>
      </c>
      <c r="C13" s="39" t="s">
        <v>5113</v>
      </c>
      <c r="D13" s="39" t="s">
        <v>29</v>
      </c>
      <c r="E13" s="39" t="s">
        <v>29</v>
      </c>
      <c r="F13" s="39" t="s">
        <v>29</v>
      </c>
      <c r="G13" s="39" t="s">
        <v>29</v>
      </c>
      <c r="H13" s="39" t="s">
        <v>29</v>
      </c>
      <c r="I13" s="39"/>
      <c r="J13" s="39"/>
      <c r="K13" s="39">
        <v>1.0</v>
      </c>
      <c r="L13" s="39" t="s">
        <v>3279</v>
      </c>
      <c r="M13" s="39">
        <v>1.0</v>
      </c>
      <c r="N13" s="39"/>
      <c r="O13" s="39"/>
      <c r="P13" s="39"/>
      <c r="Q13" s="39"/>
    </row>
    <row r="14">
      <c r="A14" s="39" t="s">
        <v>3204</v>
      </c>
      <c r="B14" s="39" t="s">
        <v>5384</v>
      </c>
      <c r="C14" s="39" t="s">
        <v>4437</v>
      </c>
      <c r="D14" s="39">
        <v>5.0</v>
      </c>
      <c r="E14" s="39">
        <v>1.0</v>
      </c>
      <c r="F14" s="39" t="s">
        <v>4770</v>
      </c>
      <c r="G14" s="39">
        <v>0.2</v>
      </c>
      <c r="H14" s="39" t="s">
        <v>5385</v>
      </c>
      <c r="I14" s="39"/>
      <c r="J14" s="39"/>
      <c r="K14" s="39">
        <v>1.0</v>
      </c>
      <c r="L14" s="39" t="s">
        <v>3279</v>
      </c>
      <c r="M14" s="39">
        <v>2.0</v>
      </c>
      <c r="N14" s="39"/>
      <c r="O14" s="39"/>
      <c r="P14" s="39"/>
      <c r="Q14" s="39"/>
    </row>
    <row r="15">
      <c r="A15" s="41" t="s">
        <v>3209</v>
      </c>
      <c r="B15" s="39" t="s">
        <v>5386</v>
      </c>
      <c r="C15" s="39" t="s">
        <v>4437</v>
      </c>
      <c r="D15" s="39">
        <v>5.0</v>
      </c>
      <c r="E15" s="39">
        <v>1.0</v>
      </c>
      <c r="F15" s="39" t="s">
        <v>4770</v>
      </c>
      <c r="G15" s="39">
        <v>0.2</v>
      </c>
      <c r="H15" s="39" t="s">
        <v>5385</v>
      </c>
      <c r="I15" s="39"/>
      <c r="J15" s="39"/>
      <c r="K15" s="39">
        <v>1.0</v>
      </c>
      <c r="L15" s="39" t="s">
        <v>3279</v>
      </c>
      <c r="M15" s="39">
        <v>2.0</v>
      </c>
      <c r="N15" s="39"/>
      <c r="O15" s="39"/>
      <c r="P15" s="39"/>
      <c r="Q15" s="39"/>
    </row>
    <row r="16">
      <c r="A16" s="39" t="s">
        <v>3200</v>
      </c>
      <c r="B16" s="39" t="s">
        <v>56</v>
      </c>
      <c r="C16" s="39" t="s">
        <v>4437</v>
      </c>
      <c r="D16" s="39">
        <v>5.0</v>
      </c>
      <c r="E16" s="39">
        <v>1.0</v>
      </c>
      <c r="F16" s="39" t="s">
        <v>4911</v>
      </c>
      <c r="G16" s="39">
        <v>0.2</v>
      </c>
      <c r="H16" s="39" t="s">
        <v>5385</v>
      </c>
      <c r="I16" s="39"/>
      <c r="J16" s="39"/>
      <c r="K16" s="39">
        <v>1.0</v>
      </c>
      <c r="L16" s="39" t="s">
        <v>3277</v>
      </c>
      <c r="M16" s="39">
        <v>2.0</v>
      </c>
      <c r="N16" s="39"/>
      <c r="O16" s="39"/>
      <c r="P16" s="39"/>
      <c r="Q16" s="39"/>
    </row>
    <row r="17">
      <c r="A17" s="39" t="s">
        <v>3201</v>
      </c>
      <c r="B17" s="39" t="s">
        <v>56</v>
      </c>
      <c r="C17" s="39" t="s">
        <v>4437</v>
      </c>
      <c r="D17" s="39">
        <v>5.0</v>
      </c>
      <c r="E17" s="39">
        <v>1.0</v>
      </c>
      <c r="F17" s="39" t="s">
        <v>4911</v>
      </c>
      <c r="G17" s="39">
        <v>0.2</v>
      </c>
      <c r="H17" s="39" t="s">
        <v>5385</v>
      </c>
      <c r="I17" s="39"/>
      <c r="J17" s="39"/>
      <c r="K17" s="39">
        <v>1.0</v>
      </c>
      <c r="L17" s="39" t="s">
        <v>3277</v>
      </c>
      <c r="M17" s="39">
        <v>3.0</v>
      </c>
      <c r="N17" s="39"/>
      <c r="O17" s="39"/>
      <c r="P17" s="39"/>
      <c r="Q17" s="39"/>
    </row>
    <row r="18">
      <c r="A18" s="39" t="s">
        <v>3205</v>
      </c>
      <c r="B18" s="39" t="s">
        <v>5384</v>
      </c>
      <c r="C18" s="39" t="s">
        <v>4437</v>
      </c>
      <c r="D18" s="39">
        <v>5.0</v>
      </c>
      <c r="E18" s="39">
        <v>1.0</v>
      </c>
      <c r="F18" s="39" t="s">
        <v>4770</v>
      </c>
      <c r="G18" s="39">
        <v>0.2</v>
      </c>
      <c r="H18" s="39" t="s">
        <v>5385</v>
      </c>
      <c r="I18" s="39"/>
      <c r="J18" s="39"/>
      <c r="K18" s="39">
        <v>1.0</v>
      </c>
      <c r="L18" s="39" t="s">
        <v>3279</v>
      </c>
      <c r="M18" s="39">
        <v>3.0</v>
      </c>
      <c r="N18" s="39"/>
      <c r="O18" s="39"/>
      <c r="P18" s="39"/>
      <c r="Q18" s="39"/>
    </row>
    <row r="19">
      <c r="A19" s="39" t="s">
        <v>3206</v>
      </c>
      <c r="B19" s="39" t="s">
        <v>5384</v>
      </c>
      <c r="C19" s="39" t="s">
        <v>4437</v>
      </c>
      <c r="D19" s="39">
        <v>5.0</v>
      </c>
      <c r="E19" s="39">
        <v>1.0</v>
      </c>
      <c r="F19" s="39" t="s">
        <v>4770</v>
      </c>
      <c r="G19" s="39">
        <v>0.2</v>
      </c>
      <c r="H19" s="39" t="s">
        <v>5385</v>
      </c>
      <c r="I19" s="39"/>
      <c r="J19" s="39"/>
      <c r="K19" s="39">
        <v>1.0</v>
      </c>
      <c r="L19" s="39" t="s">
        <v>3279</v>
      </c>
      <c r="M19" s="39">
        <v>3.0</v>
      </c>
      <c r="N19" s="39"/>
      <c r="O19" s="39"/>
      <c r="P19" s="39"/>
      <c r="Q19" s="39"/>
    </row>
    <row r="20">
      <c r="A20" s="39" t="s">
        <v>3208</v>
      </c>
      <c r="B20" s="39" t="s">
        <v>5387</v>
      </c>
      <c r="C20" s="39" t="s">
        <v>4437</v>
      </c>
      <c r="D20" s="39">
        <v>5.0</v>
      </c>
      <c r="E20" s="39">
        <v>1.0</v>
      </c>
      <c r="F20" s="39" t="s">
        <v>4770</v>
      </c>
      <c r="G20" s="39">
        <v>0.2</v>
      </c>
      <c r="H20" s="39" t="s">
        <v>5385</v>
      </c>
      <c r="I20" s="39"/>
      <c r="J20" s="39"/>
      <c r="K20" s="39">
        <v>1.0</v>
      </c>
      <c r="L20" s="39" t="s">
        <v>3279</v>
      </c>
      <c r="M20" s="39">
        <v>1.0</v>
      </c>
      <c r="N20" s="39"/>
      <c r="O20" s="39"/>
      <c r="P20" s="39"/>
      <c r="Q20" s="39"/>
    </row>
    <row r="21">
      <c r="A21" s="39" t="s">
        <v>48</v>
      </c>
      <c r="B21" s="39" t="s">
        <v>5388</v>
      </c>
      <c r="C21" s="39" t="s">
        <v>48</v>
      </c>
      <c r="D21" s="39" t="s">
        <v>29</v>
      </c>
      <c r="E21" s="39" t="s">
        <v>29</v>
      </c>
      <c r="F21" s="39" t="s">
        <v>29</v>
      </c>
      <c r="G21" s="39" t="s">
        <v>29</v>
      </c>
      <c r="H21" s="39" t="s">
        <v>5389</v>
      </c>
      <c r="I21" s="39" t="s">
        <v>29</v>
      </c>
      <c r="J21" s="39" t="s">
        <v>29</v>
      </c>
      <c r="K21" s="39">
        <v>1.0</v>
      </c>
      <c r="L21" s="39" t="s">
        <v>3277</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5390</v>
      </c>
      <c r="D1" s="187" t="s">
        <v>5391</v>
      </c>
      <c r="E1" s="187" t="s">
        <v>5392</v>
      </c>
      <c r="F1" s="187" t="s">
        <v>5393</v>
      </c>
      <c r="G1" s="187" t="s">
        <v>5394</v>
      </c>
      <c r="H1" s="187" t="s">
        <v>5395</v>
      </c>
      <c r="I1" s="187" t="s">
        <v>5396</v>
      </c>
      <c r="J1" s="187" t="s">
        <v>5397</v>
      </c>
      <c r="K1" s="187" t="s">
        <v>8</v>
      </c>
      <c r="L1" s="187" t="s">
        <v>5001</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5398</v>
      </c>
    </row>
    <row r="3">
      <c r="A3" s="142" t="s">
        <v>50</v>
      </c>
      <c r="B3" s="142">
        <v>20.0</v>
      </c>
      <c r="C3" s="142">
        <v>20.0</v>
      </c>
      <c r="D3" s="142">
        <v>5.0</v>
      </c>
      <c r="E3" s="142">
        <v>6.0</v>
      </c>
      <c r="F3" s="142">
        <v>3.0</v>
      </c>
      <c r="G3" s="142" t="s">
        <v>5399</v>
      </c>
      <c r="H3" s="142" t="s">
        <v>4681</v>
      </c>
      <c r="I3" s="142">
        <v>1.0</v>
      </c>
      <c r="J3" s="142">
        <v>1.0</v>
      </c>
      <c r="K3" s="142" t="s">
        <v>849</v>
      </c>
      <c r="L3" s="142">
        <v>0.0</v>
      </c>
      <c r="M3" s="142" t="s">
        <v>5400</v>
      </c>
    </row>
    <row r="4">
      <c r="A4" s="142" t="s">
        <v>52</v>
      </c>
      <c r="B4" s="142">
        <v>20.0</v>
      </c>
      <c r="C4" s="142">
        <v>80.0</v>
      </c>
      <c r="D4" s="142">
        <v>0.0</v>
      </c>
      <c r="E4" s="142">
        <v>0.0</v>
      </c>
      <c r="F4" s="142">
        <v>3.0</v>
      </c>
      <c r="G4" s="142" t="s">
        <v>5401</v>
      </c>
      <c r="H4" s="142" t="s">
        <v>4684</v>
      </c>
      <c r="I4" s="142">
        <v>1.0</v>
      </c>
      <c r="J4" s="142">
        <v>1.0</v>
      </c>
      <c r="K4" s="142" t="s">
        <v>849</v>
      </c>
      <c r="L4" s="142">
        <v>0.0</v>
      </c>
      <c r="M4" s="142" t="s">
        <v>5402</v>
      </c>
    </row>
    <row r="5">
      <c r="A5" s="142" t="s">
        <v>484</v>
      </c>
      <c r="B5" s="142">
        <v>20.0</v>
      </c>
      <c r="C5" s="142">
        <v>0.0</v>
      </c>
      <c r="D5" s="142">
        <v>0.0</v>
      </c>
      <c r="E5" s="142">
        <v>0.0</v>
      </c>
      <c r="F5" s="142">
        <v>3.0</v>
      </c>
      <c r="G5" s="142" t="s">
        <v>5399</v>
      </c>
      <c r="H5" s="142" t="s">
        <v>4645</v>
      </c>
      <c r="I5" s="142">
        <v>1.0</v>
      </c>
      <c r="J5" s="142">
        <v>1.0</v>
      </c>
      <c r="K5" s="142" t="s">
        <v>1845</v>
      </c>
      <c r="L5" s="142">
        <v>0.0</v>
      </c>
      <c r="M5" s="142" t="s">
        <v>5403</v>
      </c>
    </row>
    <row r="6">
      <c r="A6" s="142" t="s">
        <v>5404</v>
      </c>
      <c r="B6" s="142">
        <v>20.0</v>
      </c>
      <c r="C6" s="142">
        <v>0.0</v>
      </c>
      <c r="D6" s="142">
        <v>0.0</v>
      </c>
      <c r="E6" s="142">
        <v>3.0</v>
      </c>
      <c r="F6" s="142">
        <v>3.0</v>
      </c>
      <c r="G6" s="142" t="s">
        <v>5405</v>
      </c>
      <c r="H6" s="142" t="s">
        <v>4637</v>
      </c>
      <c r="I6" s="142">
        <v>1.0</v>
      </c>
      <c r="J6" s="142">
        <v>1.0</v>
      </c>
      <c r="K6" s="142" t="s">
        <v>4306</v>
      </c>
      <c r="L6" s="142">
        <v>10.0</v>
      </c>
      <c r="M6" s="142" t="s">
        <v>5406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5407</v>
      </c>
      <c r="J1" s="166" t="s">
        <v>4471</v>
      </c>
      <c r="K1" s="166" t="s">
        <v>5408</v>
      </c>
      <c r="L1" s="167" t="s">
        <v>849</v>
      </c>
      <c r="M1" s="167" t="s">
        <v>4991</v>
      </c>
      <c r="N1" s="167" t="s">
        <v>1492</v>
      </c>
      <c r="O1" s="167" t="s">
        <v>4992</v>
      </c>
      <c r="P1" s="167" t="s">
        <v>4806</v>
      </c>
      <c r="Q1" s="167" t="s">
        <v>4993</v>
      </c>
      <c r="R1" s="167" t="s">
        <v>1452</v>
      </c>
      <c r="S1" s="167" t="s">
        <v>5106</v>
      </c>
      <c r="T1" s="167" t="s">
        <v>1782</v>
      </c>
      <c r="U1" s="167" t="s">
        <v>284</v>
      </c>
      <c r="V1" s="167" t="s">
        <v>370</v>
      </c>
      <c r="W1" s="167" t="s">
        <v>518</v>
      </c>
      <c r="X1" s="167" t="s">
        <v>644</v>
      </c>
      <c r="Y1" s="167" t="s">
        <v>783</v>
      </c>
      <c r="Z1" s="167" t="s">
        <v>716</v>
      </c>
      <c r="AA1" s="167" t="s">
        <v>5409</v>
      </c>
      <c r="AB1" s="167" t="s">
        <v>4994</v>
      </c>
      <c r="AC1" s="167" t="s">
        <v>1490</v>
      </c>
      <c r="AD1" s="167" t="s">
        <v>4995</v>
      </c>
      <c r="AE1" s="167" t="s">
        <v>4996</v>
      </c>
      <c r="AF1" s="167" t="s">
        <v>4997</v>
      </c>
      <c r="AG1" s="167" t="s">
        <v>4998</v>
      </c>
      <c r="AH1" s="167" t="s">
        <v>4999</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5410</v>
      </c>
      <c r="BU1" s="48" t="s">
        <v>5000</v>
      </c>
      <c r="BV1" s="48" t="s">
        <v>2587</v>
      </c>
      <c r="BW1" s="48" t="s">
        <v>2588</v>
      </c>
      <c r="BX1" s="48" t="s">
        <v>2589</v>
      </c>
      <c r="BY1" s="48" t="s">
        <v>2590</v>
      </c>
      <c r="BZ1" s="48" t="s">
        <v>2591</v>
      </c>
      <c r="CA1" s="48" t="s">
        <v>2592</v>
      </c>
      <c r="CB1" s="189" t="s">
        <v>1842</v>
      </c>
      <c r="CC1" s="168" t="s">
        <v>5001</v>
      </c>
      <c r="CD1" s="168" t="s">
        <v>5002</v>
      </c>
      <c r="CE1" s="168" t="s">
        <v>3097</v>
      </c>
      <c r="CF1" s="168" t="s">
        <v>5003</v>
      </c>
      <c r="CG1" s="168" t="s">
        <v>8</v>
      </c>
      <c r="CH1" s="168" t="s">
        <v>4367</v>
      </c>
      <c r="CI1" s="168" t="s">
        <v>5004</v>
      </c>
      <c r="CJ1" s="168" t="s">
        <v>5005</v>
      </c>
      <c r="CK1" s="168" t="s">
        <v>5006</v>
      </c>
      <c r="CL1" s="168" t="s">
        <v>5007</v>
      </c>
      <c r="CM1" s="168" t="s">
        <v>5008</v>
      </c>
      <c r="CN1" s="168" t="s">
        <v>5009</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3325</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3325</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3325</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5411</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3325</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3325</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5412</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3325</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3325</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5413</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3325</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5411</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5414</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5415</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5416</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5417</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5418</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3082</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5414</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5419</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5420</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5421</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5418</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3082</v>
      </c>
    </row>
    <row r="34" ht="18.75" customHeight="1" outlineLevel="1">
      <c r="A34" s="1" t="s">
        <v>5422</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5414</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5423</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5424</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5425</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5418</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3082</v>
      </c>
    </row>
    <row r="38" ht="18.75" customHeight="1" outlineLevel="1">
      <c r="A38" s="1" t="s">
        <v>5426</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5414</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5427</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5428</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5429</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5418</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3082</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4806</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4806</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4806</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4806</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4806</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4806</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3086</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4806</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4806</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4806</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3058</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4806</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4806</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3090</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4806</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3093</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4806</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3093</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4806</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3097</v>
      </c>
      <c r="CG55" s="37" t="s">
        <v>5430</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4806</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3062</v>
      </c>
      <c r="CK56" s="37" t="s">
        <v>2569</v>
      </c>
    </row>
    <row r="57" ht="18.75" customHeight="1" outlineLevel="1">
      <c r="A57" s="19" t="s">
        <v>5431</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4806</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5432</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4806</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5433</v>
      </c>
    </row>
    <row r="59" ht="18.75" customHeight="1" outlineLevel="1">
      <c r="A59" s="19" t="s">
        <v>5434</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4806</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5435</v>
      </c>
    </row>
    <row r="60" ht="18.75" customHeight="1" outlineLevel="1">
      <c r="A60" s="24" t="s">
        <v>5436</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4806</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5437</v>
      </c>
    </row>
    <row r="61" ht="18.75" customHeight="1" outlineLevel="1">
      <c r="A61" s="24" t="s">
        <v>5438</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4806</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5439</v>
      </c>
    </row>
    <row r="62" ht="18.75" customHeight="1" outlineLevel="1">
      <c r="A62" s="24" t="s">
        <v>5440</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4806</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5441</v>
      </c>
    </row>
    <row r="63" ht="18.75" customHeight="1" outlineLevel="1">
      <c r="A63" s="24" t="s">
        <v>5442</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4806</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5443</v>
      </c>
    </row>
    <row r="64" ht="18.75" customHeight="1" outlineLevel="1">
      <c r="A64" s="24" t="s">
        <v>5444</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4806</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5445</v>
      </c>
    </row>
    <row r="65" ht="18.75" customHeight="1" outlineLevel="1">
      <c r="A65" s="24" t="s">
        <v>5446</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4806</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5447</v>
      </c>
    </row>
    <row r="66" ht="18.75" customHeight="1" outlineLevel="1">
      <c r="A66" s="24" t="s">
        <v>5448</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4806</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5449</v>
      </c>
    </row>
    <row r="67" ht="18.75" customHeight="1" outlineLevel="1">
      <c r="A67" s="24" t="s">
        <v>5450</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4806</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5451</v>
      </c>
    </row>
    <row r="68" ht="18.75" customHeight="1" outlineLevel="1">
      <c r="A68" s="24" t="s">
        <v>5452</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4806</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5453</v>
      </c>
    </row>
    <row r="69" ht="18.75" customHeight="1" outlineLevel="1">
      <c r="A69" s="24" t="s">
        <v>5454</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4806</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5455</v>
      </c>
    </row>
    <row r="70" ht="18.75" customHeight="1" outlineLevel="1">
      <c r="A70" s="24" t="s">
        <v>5456</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4806</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5457</v>
      </c>
    </row>
    <row r="71" ht="18.75" customHeight="1" outlineLevel="1">
      <c r="A71" s="24" t="s">
        <v>5458</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4806</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5459</v>
      </c>
    </row>
    <row r="72" ht="18.75" customHeight="1" outlineLevel="1">
      <c r="A72" s="24" t="s">
        <v>5460</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4806</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5461</v>
      </c>
    </row>
    <row r="73" ht="18.75" customHeight="1" outlineLevel="1">
      <c r="A73" s="24" t="s">
        <v>5462</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4806</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5463</v>
      </c>
    </row>
    <row r="74" ht="18.75" customHeight="1" outlineLevel="1">
      <c r="A74" s="24" t="s">
        <v>5464</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4806</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5465</v>
      </c>
    </row>
    <row r="75" ht="18.75" customHeight="1" outlineLevel="1">
      <c r="A75" s="24" t="s">
        <v>5466</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4806</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5467</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5468</v>
      </c>
      <c r="B1" s="190" t="s">
        <v>5469</v>
      </c>
      <c r="C1" s="190" t="s">
        <v>5470</v>
      </c>
      <c r="D1" s="190" t="s">
        <v>5471</v>
      </c>
      <c r="E1" s="190" t="s">
        <v>5472</v>
      </c>
      <c r="F1" s="190" t="s">
        <v>5473</v>
      </c>
      <c r="G1" s="190" t="s">
        <v>5474</v>
      </c>
      <c r="H1" s="190" t="s">
        <v>5475</v>
      </c>
      <c r="I1" s="190" t="s">
        <v>5476</v>
      </c>
      <c r="J1" s="190" t="s">
        <v>5477</v>
      </c>
      <c r="K1" s="190" t="s">
        <v>5478</v>
      </c>
      <c r="L1" s="190" t="s">
        <v>5479</v>
      </c>
      <c r="M1" s="190" t="s">
        <v>5480</v>
      </c>
      <c r="N1" s="190" t="s">
        <v>1921</v>
      </c>
      <c r="O1" s="190" t="s">
        <v>5481</v>
      </c>
      <c r="P1" s="190" t="s">
        <v>5482</v>
      </c>
      <c r="Q1" s="190" t="s">
        <v>5483</v>
      </c>
      <c r="R1" s="190" t="s">
        <v>5484</v>
      </c>
      <c r="S1" s="190" t="s">
        <v>5485</v>
      </c>
    </row>
    <row r="2">
      <c r="A2" s="106" t="s">
        <v>5486</v>
      </c>
      <c r="B2" s="106" t="s">
        <v>5487</v>
      </c>
      <c r="C2" s="106" t="s">
        <v>5488</v>
      </c>
      <c r="D2" s="106" t="s">
        <v>5489</v>
      </c>
      <c r="E2" s="106" t="s">
        <v>5490</v>
      </c>
      <c r="F2" s="106" t="s">
        <v>5491</v>
      </c>
      <c r="G2" s="106" t="s">
        <v>5492</v>
      </c>
      <c r="H2" s="106" t="s">
        <v>5493</v>
      </c>
      <c r="I2" s="106" t="s">
        <v>5494</v>
      </c>
      <c r="J2" s="106" t="s">
        <v>5495</v>
      </c>
      <c r="K2" s="106" t="s">
        <v>5496</v>
      </c>
      <c r="L2" s="106" t="s">
        <v>5497</v>
      </c>
      <c r="M2" s="106" t="s">
        <v>5498</v>
      </c>
      <c r="N2" s="106" t="s">
        <v>5499</v>
      </c>
      <c r="O2" s="106" t="s">
        <v>5500</v>
      </c>
      <c r="P2" s="106" t="s">
        <v>5501</v>
      </c>
      <c r="Q2" s="106" t="s">
        <v>5502</v>
      </c>
      <c r="R2" s="106" t="s">
        <v>5503</v>
      </c>
      <c r="S2" s="106" t="s">
        <v>5504</v>
      </c>
    </row>
    <row r="3">
      <c r="A3" s="106" t="s">
        <v>5505</v>
      </c>
      <c r="B3" s="106" t="s">
        <v>5487</v>
      </c>
      <c r="C3" s="106" t="s">
        <v>5506</v>
      </c>
      <c r="D3" s="106" t="s">
        <v>5507</v>
      </c>
      <c r="E3" s="106" t="s">
        <v>5508</v>
      </c>
      <c r="F3" s="106" t="s">
        <v>5509</v>
      </c>
      <c r="G3" s="106" t="s">
        <v>5510</v>
      </c>
      <c r="H3" s="106" t="s">
        <v>5511</v>
      </c>
      <c r="I3" s="106" t="s">
        <v>5512</v>
      </c>
      <c r="J3" s="106" t="s">
        <v>5513</v>
      </c>
      <c r="K3" s="106" t="s">
        <v>5514</v>
      </c>
      <c r="L3" s="106" t="s">
        <v>5515</v>
      </c>
      <c r="M3" s="106" t="s">
        <v>5516</v>
      </c>
      <c r="N3" s="106" t="s">
        <v>5517</v>
      </c>
      <c r="O3" s="106" t="s">
        <v>5518</v>
      </c>
      <c r="P3" s="106" t="s">
        <v>5519</v>
      </c>
      <c r="Q3" s="106" t="s">
        <v>5520</v>
      </c>
      <c r="R3" s="106" t="s">
        <v>5521</v>
      </c>
      <c r="S3" s="106" t="s">
        <v>5522</v>
      </c>
    </row>
    <row r="4">
      <c r="A4" s="106" t="s">
        <v>5523</v>
      </c>
      <c r="B4" s="106" t="s">
        <v>5487</v>
      </c>
      <c r="C4" s="106" t="s">
        <v>5488</v>
      </c>
      <c r="D4" s="106" t="s">
        <v>5524</v>
      </c>
      <c r="E4" s="106" t="s">
        <v>5525</v>
      </c>
      <c r="F4" s="106" t="s">
        <v>5526</v>
      </c>
      <c r="G4" s="106" t="s">
        <v>5527</v>
      </c>
      <c r="H4" s="106" t="s">
        <v>5528</v>
      </c>
      <c r="I4" s="106" t="s">
        <v>5529</v>
      </c>
      <c r="J4" s="106" t="s">
        <v>5530</v>
      </c>
      <c r="K4" s="106" t="s">
        <v>5531</v>
      </c>
      <c r="L4" s="106" t="s">
        <v>5532</v>
      </c>
      <c r="M4" s="106" t="s">
        <v>5533</v>
      </c>
      <c r="N4" s="106" t="s">
        <v>5534</v>
      </c>
      <c r="O4" s="106" t="s">
        <v>5535</v>
      </c>
      <c r="P4" s="106" t="s">
        <v>5536</v>
      </c>
      <c r="Q4" s="106" t="s">
        <v>5537</v>
      </c>
      <c r="R4" s="106" t="s">
        <v>5538</v>
      </c>
      <c r="S4" s="106" t="s">
        <v>5539</v>
      </c>
    </row>
    <row r="5">
      <c r="A5" s="106" t="s">
        <v>5540</v>
      </c>
      <c r="B5" s="106" t="s">
        <v>5541</v>
      </c>
      <c r="C5" s="106" t="s">
        <v>5542</v>
      </c>
      <c r="D5" s="106" t="s">
        <v>5543</v>
      </c>
      <c r="E5" s="106" t="s">
        <v>5544</v>
      </c>
      <c r="F5" s="106" t="s">
        <v>5545</v>
      </c>
      <c r="G5" s="106" t="s">
        <v>5546</v>
      </c>
      <c r="H5" s="106" t="s">
        <v>5547</v>
      </c>
      <c r="I5" s="106" t="s">
        <v>5548</v>
      </c>
      <c r="J5" s="106" t="s">
        <v>5549</v>
      </c>
      <c r="K5" s="106" t="s">
        <v>5550</v>
      </c>
      <c r="L5" s="106" t="s">
        <v>5551</v>
      </c>
      <c r="M5" s="106" t="s">
        <v>5552</v>
      </c>
      <c r="N5" s="106" t="s">
        <v>5553</v>
      </c>
      <c r="O5" s="106" t="s">
        <v>5554</v>
      </c>
      <c r="P5" s="106" t="s">
        <v>5555</v>
      </c>
      <c r="Q5" s="106" t="s">
        <v>5556</v>
      </c>
      <c r="R5" s="106" t="s">
        <v>5557</v>
      </c>
      <c r="S5" s="106" t="s">
        <v>5558</v>
      </c>
    </row>
    <row r="6">
      <c r="A6" s="106" t="s">
        <v>5559</v>
      </c>
      <c r="B6" s="106" t="s">
        <v>5487</v>
      </c>
      <c r="C6" s="106" t="s">
        <v>5488</v>
      </c>
      <c r="D6" s="106" t="s">
        <v>5560</v>
      </c>
      <c r="E6" s="106" t="s">
        <v>5561</v>
      </c>
      <c r="F6" s="106" t="s">
        <v>5562</v>
      </c>
      <c r="G6" s="106" t="s">
        <v>5563</v>
      </c>
      <c r="H6" s="106" t="s">
        <v>5564</v>
      </c>
      <c r="I6" s="106" t="s">
        <v>5565</v>
      </c>
      <c r="J6" s="106" t="s">
        <v>5566</v>
      </c>
      <c r="K6" s="106" t="s">
        <v>5567</v>
      </c>
      <c r="L6" s="106" t="s">
        <v>5568</v>
      </c>
      <c r="M6" s="106" t="s">
        <v>5569</v>
      </c>
      <c r="N6" s="106" t="s">
        <v>5570</v>
      </c>
      <c r="O6" s="106" t="s">
        <v>5571</v>
      </c>
      <c r="P6" s="106" t="s">
        <v>5572</v>
      </c>
      <c r="Q6" s="106" t="s">
        <v>5573</v>
      </c>
      <c r="R6" s="106" t="s">
        <v>5574</v>
      </c>
      <c r="S6" s="106" t="s">
        <v>5575</v>
      </c>
    </row>
    <row r="7">
      <c r="A7" s="106" t="s">
        <v>5576</v>
      </c>
      <c r="B7" s="106" t="s">
        <v>5577</v>
      </c>
      <c r="C7" s="106" t="s">
        <v>5488</v>
      </c>
      <c r="D7" s="106" t="s">
        <v>5578</v>
      </c>
      <c r="E7" s="106" t="s">
        <v>5579</v>
      </c>
      <c r="F7" s="106" t="s">
        <v>5580</v>
      </c>
      <c r="G7" s="106" t="s">
        <v>5581</v>
      </c>
      <c r="H7" s="106" t="s">
        <v>5582</v>
      </c>
      <c r="I7" s="106" t="s">
        <v>5583</v>
      </c>
      <c r="J7" s="106" t="s">
        <v>5584</v>
      </c>
      <c r="K7" s="106" t="s">
        <v>5585</v>
      </c>
      <c r="L7" s="106" t="s">
        <v>5586</v>
      </c>
      <c r="M7" s="106" t="s">
        <v>5587</v>
      </c>
      <c r="N7" s="106" t="s">
        <v>5588</v>
      </c>
      <c r="O7" s="106" t="s">
        <v>5589</v>
      </c>
      <c r="P7" s="106" t="s">
        <v>5590</v>
      </c>
      <c r="Q7" s="106" t="s">
        <v>5591</v>
      </c>
      <c r="R7" s="106" t="s">
        <v>5592</v>
      </c>
      <c r="S7" s="106" t="s">
        <v>5593</v>
      </c>
    </row>
    <row r="8">
      <c r="A8" s="106" t="s">
        <v>5594</v>
      </c>
      <c r="B8" s="106" t="s">
        <v>5541</v>
      </c>
      <c r="C8" s="106" t="s">
        <v>5506</v>
      </c>
      <c r="D8" s="106" t="s">
        <v>5595</v>
      </c>
      <c r="E8" s="106" t="s">
        <v>5596</v>
      </c>
      <c r="F8" s="106" t="s">
        <v>5597</v>
      </c>
      <c r="G8" s="106" t="s">
        <v>5598</v>
      </c>
      <c r="H8" s="106" t="s">
        <v>5599</v>
      </c>
      <c r="I8" s="106" t="s">
        <v>5600</v>
      </c>
      <c r="J8" s="106" t="s">
        <v>5601</v>
      </c>
      <c r="K8" s="106" t="s">
        <v>5602</v>
      </c>
      <c r="L8" s="106" t="s">
        <v>5603</v>
      </c>
      <c r="M8" s="106" t="s">
        <v>5604</v>
      </c>
      <c r="N8" s="106" t="s">
        <v>5605</v>
      </c>
      <c r="O8" s="106" t="s">
        <v>5606</v>
      </c>
      <c r="P8" s="106" t="s">
        <v>5607</v>
      </c>
      <c r="Q8" s="106" t="s">
        <v>5608</v>
      </c>
      <c r="R8" s="106" t="s">
        <v>5609</v>
      </c>
      <c r="S8" s="106" t="s">
        <v>5610</v>
      </c>
    </row>
    <row r="9">
      <c r="A9" s="106" t="s">
        <v>1263</v>
      </c>
      <c r="B9" s="106" t="s">
        <v>5487</v>
      </c>
      <c r="C9" s="106" t="s">
        <v>5488</v>
      </c>
      <c r="D9" s="106" t="s">
        <v>5611</v>
      </c>
      <c r="E9" s="106" t="s">
        <v>5612</v>
      </c>
      <c r="F9" s="106" t="s">
        <v>5613</v>
      </c>
      <c r="G9" s="106" t="s">
        <v>5614</v>
      </c>
      <c r="H9" s="106" t="s">
        <v>5615</v>
      </c>
      <c r="I9" s="106" t="s">
        <v>5616</v>
      </c>
      <c r="J9" s="106" t="s">
        <v>5617</v>
      </c>
      <c r="K9" s="106" t="s">
        <v>5618</v>
      </c>
      <c r="L9" s="106" t="s">
        <v>5619</v>
      </c>
      <c r="M9" s="106" t="s">
        <v>5620</v>
      </c>
      <c r="N9" s="106" t="s">
        <v>5621</v>
      </c>
      <c r="O9" s="106" t="s">
        <v>5622</v>
      </c>
      <c r="P9" s="106" t="s">
        <v>5623</v>
      </c>
      <c r="Q9" s="106" t="s">
        <v>5624</v>
      </c>
      <c r="R9" s="106" t="s">
        <v>5625</v>
      </c>
      <c r="S9" s="106" t="s">
        <v>5626</v>
      </c>
    </row>
    <row r="10">
      <c r="A10" s="106" t="s">
        <v>5627</v>
      </c>
      <c r="B10" s="106" t="s">
        <v>5541</v>
      </c>
      <c r="C10" s="106" t="s">
        <v>5542</v>
      </c>
      <c r="D10" s="106" t="s">
        <v>5628</v>
      </c>
      <c r="E10" s="106" t="s">
        <v>5629</v>
      </c>
      <c r="F10" s="106" t="s">
        <v>5630</v>
      </c>
      <c r="G10" s="106" t="s">
        <v>5631</v>
      </c>
      <c r="H10" s="106" t="s">
        <v>5632</v>
      </c>
      <c r="I10" s="106" t="s">
        <v>5633</v>
      </c>
      <c r="J10" s="106" t="s">
        <v>5634</v>
      </c>
      <c r="K10" s="106" t="s">
        <v>5635</v>
      </c>
      <c r="L10" s="106" t="s">
        <v>5636</v>
      </c>
      <c r="M10" s="106" t="s">
        <v>5637</v>
      </c>
      <c r="N10" s="106" t="s">
        <v>5638</v>
      </c>
      <c r="O10" s="106" t="s">
        <v>5639</v>
      </c>
      <c r="P10" s="106" t="s">
        <v>5640</v>
      </c>
      <c r="Q10" s="106" t="s">
        <v>5641</v>
      </c>
      <c r="R10" s="106" t="s">
        <v>5642</v>
      </c>
      <c r="S10" s="106" t="s">
        <v>5643</v>
      </c>
    </row>
    <row r="11">
      <c r="A11" s="106" t="s">
        <v>3319</v>
      </c>
      <c r="B11" s="106" t="s">
        <v>5541</v>
      </c>
      <c r="C11" s="106" t="s">
        <v>5542</v>
      </c>
      <c r="D11" s="106" t="s">
        <v>5644</v>
      </c>
      <c r="E11" s="106" t="s">
        <v>5645</v>
      </c>
      <c r="F11" s="106" t="s">
        <v>5646</v>
      </c>
      <c r="G11" s="106" t="s">
        <v>5647</v>
      </c>
      <c r="H11" s="106" t="s">
        <v>5648</v>
      </c>
      <c r="I11" s="106" t="s">
        <v>5649</v>
      </c>
      <c r="J11" s="106" t="s">
        <v>5650</v>
      </c>
      <c r="K11" s="106" t="s">
        <v>5651</v>
      </c>
      <c r="L11" s="106" t="s">
        <v>5652</v>
      </c>
      <c r="M11" s="106" t="s">
        <v>5653</v>
      </c>
      <c r="N11" s="106" t="s">
        <v>5654</v>
      </c>
      <c r="O11" s="106" t="s">
        <v>5655</v>
      </c>
      <c r="P11" s="106" t="s">
        <v>5656</v>
      </c>
      <c r="Q11" s="106" t="s">
        <v>5657</v>
      </c>
      <c r="R11" s="106" t="s">
        <v>5658</v>
      </c>
      <c r="S11" s="106" t="s">
        <v>5659</v>
      </c>
    </row>
    <row r="12">
      <c r="A12" s="109" t="s">
        <v>5660</v>
      </c>
      <c r="B12" s="109" t="s">
        <v>5661</v>
      </c>
      <c r="C12" s="109" t="s">
        <v>5662</v>
      </c>
      <c r="D12" s="109" t="s">
        <v>5663</v>
      </c>
      <c r="E12" s="106" t="s">
        <v>5664</v>
      </c>
      <c r="F12" s="106" t="s">
        <v>5665</v>
      </c>
      <c r="G12" s="109" t="s">
        <v>5666</v>
      </c>
      <c r="H12" s="106" t="s">
        <v>5667</v>
      </c>
      <c r="I12" s="109" t="s">
        <v>5668</v>
      </c>
      <c r="J12" s="106" t="s">
        <v>5669</v>
      </c>
      <c r="K12" s="109" t="s">
        <v>5670</v>
      </c>
      <c r="L12" s="109" t="s">
        <v>5671</v>
      </c>
      <c r="M12" s="106" t="s">
        <v>5672</v>
      </c>
      <c r="N12" s="106" t="s">
        <v>5673</v>
      </c>
      <c r="O12" s="109" t="s">
        <v>5674</v>
      </c>
      <c r="P12" s="106" t="s">
        <v>5675</v>
      </c>
      <c r="Q12" s="106" t="s">
        <v>5676</v>
      </c>
      <c r="R12" s="106" t="s">
        <v>5677</v>
      </c>
      <c r="S12" s="109" t="s">
        <v>5678</v>
      </c>
    </row>
    <row r="13">
      <c r="A13" s="109" t="s">
        <v>5679</v>
      </c>
      <c r="B13" s="109" t="s">
        <v>5680</v>
      </c>
      <c r="C13" s="109" t="s">
        <v>5662</v>
      </c>
      <c r="D13" s="106" t="s">
        <v>5681</v>
      </c>
      <c r="E13" s="109" t="s">
        <v>5682</v>
      </c>
      <c r="F13" s="106" t="s">
        <v>5683</v>
      </c>
      <c r="G13" s="106" t="s">
        <v>5684</v>
      </c>
      <c r="H13" s="106" t="s">
        <v>5685</v>
      </c>
      <c r="I13" s="106" t="s">
        <v>5686</v>
      </c>
      <c r="J13" s="109" t="s">
        <v>5687</v>
      </c>
      <c r="K13" s="106" t="s">
        <v>5688</v>
      </c>
      <c r="L13" s="109" t="s">
        <v>5689</v>
      </c>
      <c r="M13" s="106" t="s">
        <v>5690</v>
      </c>
      <c r="N13" s="106" t="s">
        <v>5691</v>
      </c>
      <c r="O13" s="106" t="s">
        <v>5692</v>
      </c>
      <c r="P13" s="106" t="s">
        <v>5693</v>
      </c>
      <c r="Q13" s="106" t="s">
        <v>5694</v>
      </c>
      <c r="R13" s="106" t="s">
        <v>5695</v>
      </c>
      <c r="S13" s="106" t="s">
        <v>5696</v>
      </c>
    </row>
    <row r="14">
      <c r="A14" s="109" t="s">
        <v>5697</v>
      </c>
      <c r="B14" s="109" t="s">
        <v>5487</v>
      </c>
      <c r="C14" s="109" t="s">
        <v>5542</v>
      </c>
      <c r="D14" s="109" t="s">
        <v>5698</v>
      </c>
      <c r="E14" s="109" t="s">
        <v>5699</v>
      </c>
      <c r="F14" s="109" t="s">
        <v>5700</v>
      </c>
      <c r="G14" s="109" t="s">
        <v>5701</v>
      </c>
      <c r="H14" s="109" t="s">
        <v>5702</v>
      </c>
      <c r="I14" s="109" t="s">
        <v>5703</v>
      </c>
      <c r="J14" s="109" t="s">
        <v>5704</v>
      </c>
      <c r="K14" s="109" t="s">
        <v>5705</v>
      </c>
      <c r="L14" s="109" t="s">
        <v>5706</v>
      </c>
      <c r="M14" s="109" t="s">
        <v>5707</v>
      </c>
      <c r="N14" s="109" t="s">
        <v>5708</v>
      </c>
      <c r="O14" s="109" t="s">
        <v>5709</v>
      </c>
      <c r="P14" s="109" t="s">
        <v>5710</v>
      </c>
      <c r="Q14" s="109" t="s">
        <v>5711</v>
      </c>
      <c r="R14" s="109" t="s">
        <v>5712</v>
      </c>
      <c r="S14" s="109" t="s">
        <v>5713</v>
      </c>
    </row>
    <row r="15">
      <c r="A15" s="109" t="s">
        <v>5714</v>
      </c>
      <c r="B15" s="109" t="s">
        <v>5661</v>
      </c>
      <c r="C15" s="109" t="s">
        <v>5715</v>
      </c>
      <c r="D15" s="109" t="s">
        <v>5716</v>
      </c>
      <c r="E15" s="109" t="s">
        <v>5717</v>
      </c>
      <c r="F15" s="109" t="s">
        <v>5718</v>
      </c>
      <c r="G15" s="109" t="s">
        <v>5719</v>
      </c>
      <c r="H15" s="109" t="s">
        <v>5720</v>
      </c>
      <c r="I15" s="109" t="s">
        <v>5721</v>
      </c>
      <c r="J15" s="109" t="s">
        <v>5722</v>
      </c>
      <c r="K15" s="109" t="s">
        <v>5723</v>
      </c>
      <c r="L15" s="109" t="s">
        <v>5724</v>
      </c>
      <c r="M15" s="109" t="s">
        <v>5725</v>
      </c>
      <c r="N15" s="106" t="s">
        <v>5726</v>
      </c>
      <c r="O15" s="106" t="s">
        <v>5727</v>
      </c>
      <c r="P15" s="109" t="s">
        <v>5728</v>
      </c>
      <c r="Q15" s="109" t="s">
        <v>5729</v>
      </c>
      <c r="R15" s="109" t="s">
        <v>5730</v>
      </c>
      <c r="S15" s="109" t="s">
        <v>5731</v>
      </c>
    </row>
    <row r="16">
      <c r="A16" s="109" t="s">
        <v>5732</v>
      </c>
      <c r="B16" s="109" t="s">
        <v>5733</v>
      </c>
      <c r="C16" s="109" t="s">
        <v>5734</v>
      </c>
      <c r="D16" s="109" t="s">
        <v>5735</v>
      </c>
      <c r="E16" s="109" t="s">
        <v>5736</v>
      </c>
      <c r="F16" s="109" t="s">
        <v>5737</v>
      </c>
      <c r="G16" s="109" t="s">
        <v>5738</v>
      </c>
      <c r="H16" s="106" t="s">
        <v>5739</v>
      </c>
      <c r="I16" s="109" t="s">
        <v>5740</v>
      </c>
      <c r="J16" s="109" t="s">
        <v>5741</v>
      </c>
      <c r="K16" s="109" t="s">
        <v>5742</v>
      </c>
      <c r="L16" s="109" t="s">
        <v>5743</v>
      </c>
      <c r="M16" s="109" t="s">
        <v>5744</v>
      </c>
      <c r="N16" s="106" t="s">
        <v>5745</v>
      </c>
      <c r="O16" s="106" t="s">
        <v>5746</v>
      </c>
      <c r="P16" s="109" t="s">
        <v>5747</v>
      </c>
      <c r="Q16" s="109" t="s">
        <v>5748</v>
      </c>
      <c r="R16" s="109" t="s">
        <v>5749</v>
      </c>
      <c r="S16" s="109" t="s">
        <v>5750</v>
      </c>
    </row>
    <row r="17">
      <c r="A17" s="109" t="s">
        <v>5751</v>
      </c>
      <c r="B17" s="109" t="s">
        <v>5541</v>
      </c>
      <c r="C17" s="109" t="s">
        <v>5662</v>
      </c>
      <c r="D17" s="106" t="s">
        <v>5752</v>
      </c>
      <c r="E17" s="109" t="s">
        <v>5753</v>
      </c>
      <c r="F17" s="106" t="s">
        <v>5754</v>
      </c>
      <c r="G17" s="106" t="s">
        <v>5755</v>
      </c>
      <c r="H17" s="106" t="s">
        <v>5756</v>
      </c>
      <c r="I17" s="109" t="s">
        <v>5757</v>
      </c>
      <c r="J17" s="106" t="s">
        <v>5758</v>
      </c>
      <c r="K17" s="106" t="s">
        <v>5759</v>
      </c>
      <c r="L17" s="106" t="s">
        <v>5760</v>
      </c>
      <c r="M17" s="106" t="s">
        <v>5761</v>
      </c>
      <c r="N17" s="106" t="s">
        <v>5762</v>
      </c>
      <c r="O17" s="109" t="s">
        <v>5763</v>
      </c>
      <c r="P17" s="109" t="s">
        <v>5764</v>
      </c>
      <c r="Q17" s="106" t="s">
        <v>5765</v>
      </c>
      <c r="R17" s="106" t="s">
        <v>5766</v>
      </c>
      <c r="S17" s="106" t="s">
        <v>5767</v>
      </c>
    </row>
    <row r="18">
      <c r="A18" s="109" t="s">
        <v>5768</v>
      </c>
      <c r="B18" s="109" t="s">
        <v>5577</v>
      </c>
      <c r="C18" s="109" t="s">
        <v>5506</v>
      </c>
      <c r="D18" s="109" t="s">
        <v>5769</v>
      </c>
      <c r="E18" s="109" t="s">
        <v>5770</v>
      </c>
      <c r="F18" s="109" t="s">
        <v>5771</v>
      </c>
      <c r="G18" s="109" t="s">
        <v>5772</v>
      </c>
      <c r="H18" s="109" t="s">
        <v>5773</v>
      </c>
      <c r="I18" s="109" t="s">
        <v>5774</v>
      </c>
      <c r="J18" s="109" t="s">
        <v>5775</v>
      </c>
      <c r="K18" s="109" t="s">
        <v>5776</v>
      </c>
      <c r="L18" s="109" t="s">
        <v>5777</v>
      </c>
      <c r="M18" s="109" t="s">
        <v>5778</v>
      </c>
      <c r="N18" s="109" t="s">
        <v>5779</v>
      </c>
      <c r="O18" s="106" t="s">
        <v>5780</v>
      </c>
      <c r="P18" s="109" t="s">
        <v>5781</v>
      </c>
      <c r="Q18" s="109" t="s">
        <v>5782</v>
      </c>
      <c r="R18" s="106" t="s">
        <v>5783</v>
      </c>
      <c r="S18" s="109" t="s">
        <v>5784</v>
      </c>
    </row>
    <row r="19">
      <c r="A19" s="109" t="s">
        <v>5785</v>
      </c>
      <c r="B19" s="109" t="s">
        <v>5487</v>
      </c>
      <c r="C19" s="109" t="s">
        <v>5003</v>
      </c>
      <c r="D19" s="109" t="s">
        <v>5786</v>
      </c>
      <c r="E19" s="109" t="s">
        <v>5787</v>
      </c>
      <c r="F19" s="109" t="s">
        <v>5788</v>
      </c>
      <c r="G19" s="109" t="s">
        <v>5789</v>
      </c>
      <c r="H19" s="109" t="s">
        <v>5790</v>
      </c>
      <c r="I19" s="109" t="s">
        <v>5791</v>
      </c>
      <c r="J19" s="109" t="s">
        <v>5792</v>
      </c>
      <c r="K19" s="109" t="s">
        <v>5793</v>
      </c>
      <c r="L19" s="109" t="s">
        <v>5794</v>
      </c>
      <c r="M19" s="109" t="s">
        <v>5795</v>
      </c>
      <c r="N19" s="106" t="s">
        <v>5796</v>
      </c>
      <c r="O19" s="109" t="s">
        <v>5797</v>
      </c>
      <c r="P19" s="109" t="s">
        <v>5798</v>
      </c>
      <c r="Q19" s="109" t="s">
        <v>5799</v>
      </c>
      <c r="R19" s="109" t="s">
        <v>5800</v>
      </c>
      <c r="S19" s="109" t="s">
        <v>5801</v>
      </c>
    </row>
  </sheetData>
  <drawing r:id="rId1"/>
</worksheet>
</file>